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tables/table5.xml" ContentType="application/vnd.openxmlformats-officedocument.spreadsheetml.table+xml"/>
  <Override PartName="/xl/worksheets/sheet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c14b19d4e724271" /></Relationships>
</file>

<file path=xl/workbook.xml><?xml version="1.0" encoding="utf-8"?>
<x:workbook xmlns:x="http://schemas.openxmlformats.org/spreadsheetml/2006/main">
  <x:sheets>
    <x:sheet xmlns:r="http://schemas.openxmlformats.org/officeDocument/2006/relationships" name="Summary" sheetId="1" r:id="R4392dc19405c49e5"/>
    <x:sheet xmlns:r="http://schemas.openxmlformats.org/officeDocument/2006/relationships" name="Query map" sheetId="2" r:id="R77719d1a0e53427b"/>
    <x:sheet xmlns:r="http://schemas.openxmlformats.org/officeDocument/2006/relationships" name="Page priorities" sheetId="3" r:id="Rd9c4668452024a01"/>
    <x:sheet xmlns:r="http://schemas.openxmlformats.org/officeDocument/2006/relationships" name="Content briefs" sheetId="4" r:id="R50e153a4412b489b"/>
    <x:sheet xmlns:r="http://schemas.openxmlformats.org/officeDocument/2006/relationships" name="Page baseline" sheetId="5" r:id="R2fb710e40ac54779"/>
    <x:sheet xmlns:r="http://schemas.openxmlformats.org/officeDocument/2006/relationships" name="Live checks" sheetId="6" r:id="Ree7d46b96cbb4dfa"/>
    <x:sheet xmlns:r="http://schemas.openxmlformats.org/officeDocument/2006/relationships" name="Daily trend" sheetId="7" r:id="R21c199e02389481e"/>
    <x:sheet xmlns:r="http://schemas.openxmlformats.org/officeDocument/2006/relationships" name="Sources" sheetId="8" r:id="R5bec77dcbfae4521"/>
  </x:sheets>
</x:workbook>
</file>

<file path=xl/sharedStrings.xml><?xml version="1.0" encoding="utf-8"?>
<x:sst xmlns:x="http://schemas.openxmlformats.org/spreadsheetml/2006/main"/>
</file>

<file path=xl/styles.xml><?xml version="1.0" encoding="utf-8"?>
<x:styleSheet xmlns:x="http://schemas.openxmlformats.org/spreadsheetml/2006/main">
  <x:numFmts count="5">
    <x:numFmt numFmtId="200" formatCode="#,##0"/>
    <x:numFmt numFmtId="201" formatCode="0.00%"/>
    <x:numFmt numFmtId="202" formatCode="0.00"/>
    <x:numFmt numFmtId="203" formatCode="yyyy-mm-dd"/>
    <x:numFmt numFmtId="204" formatCode="0"/>
  </x:numFmts>
  <x:fonts count="10">
    <x:font>
      <x:sz val="11"/>
      <x:name val="Carlito"/>
    </x:font>
    <x:font>
      <x:sz val="11"/>
      <x:color rgb="FF202226"/>
      <x:name val="Arial"/>
    </x:font>
    <x:font>
      <x:b/>
      <x:sz val="18"/>
      <x:color rgb="FF202226"/>
      <x:name val="Arial"/>
    </x:font>
    <x:font>
      <x:i/>
      <x:sz val="10"/>
      <x:color rgb="FF636973"/>
      <x:name val="Arial"/>
    </x:font>
    <x:font>
      <x:b/>
      <x:sz val="11"/>
      <x:color rgb="FFFFFFFF"/>
      <x:name val="Arial"/>
    </x:font>
    <x:font>
      <x:b/>
      <x:sz val="12"/>
      <x:color rgb="FFFFFFFF"/>
      <x:name val="Arial"/>
    </x:font>
    <x:font>
      <x:b/>
      <x:sz val="11"/>
      <x:color rgb="FF202226"/>
      <x:name val="Arial"/>
    </x:font>
    <x:font>
      <x:b/>
      <x:sz val="13"/>
      <x:color rgb="FF202226"/>
      <x:name val="Arial"/>
    </x:font>
    <x:font>
      <x:b/>
      <x:sz val="13"/>
      <x:color rgb="FFC45C28"/>
      <x:name val="Arial"/>
    </x:font>
    <x:font>
      <x:sz val="10"/>
      <x:color rgb="FF636973"/>
      <x:name val="Arial"/>
    </x:font>
  </x:fonts>
  <x:fills count="4">
    <x:fill>
      <x:patternFill patternType="none"/>
    </x:fill>
    <x:fill>
      <x:patternFill patternType="gray125"/>
    </x:fill>
    <x:fill>
      <x:patternFill patternType="solid">
        <x:fgColor rgb="FF34373C"/>
      </x:patternFill>
    </x:fill>
    <x:fill>
      <x:patternFill patternType="solid">
        <x:fgColor rgb="FFFFF0CF"/>
      </x:patternFill>
    </x:fill>
  </x:fills>
  <x:borders count="5">
    <x:border/>
    <x:border>
      <x:bottom style="thin">
        <x:color rgb="FFC45C28"/>
      </x:bottom>
    </x:border>
    <x:border>
      <x:right style="thin">
        <x:color rgb="FFFFFFFF"/>
      </x:right>
    </x:border>
    <x:border>
      <x:left style="thin">
        <x:color rgb="FFFFFFFF"/>
      </x:left>
      <x:right style="thin">
        <x:color rgb="FFFFFFFF"/>
      </x:right>
    </x:border>
    <x:border>
      <x:left style="thin">
        <x:color rgb="FFFFFFFF"/>
      </x:left>
    </x:border>
  </x:borders>
  <x:cellStyleXfs count="1">
    <x:xf numFmtId="0" fontId="0" fillId="0" borderId="0"/>
  </x:cellStyleXfs>
  <x:cellXfs count="38">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top"/>
    </x:xf>
    <x:xf numFmtId="0" fontId="2" fillId="0" borderId="0" xfId="0" applyNumberFormat="1" applyFont="1" applyFill="1" applyBorder="1" applyAlignment="1">
      <x:alignment vertical="top"/>
    </x:xf>
    <x:xf numFmtId="0" fontId="1" fillId="0" borderId="1" xfId="0" applyNumberFormat="1" applyFont="1" applyFill="1" applyBorder="1" applyAlignment="1">
      <x:alignment vertical="top"/>
    </x:xf>
    <x:xf numFmtId="0" fontId="3" fillId="0" borderId="1" xfId="0" applyNumberFormat="1" applyFont="1" applyFill="1" applyBorder="1" applyAlignment="1">
      <x:alignment vertical="top"/>
    </x:xf>
    <x:xf numFmtId="0" fontId="1" fillId="2" borderId="0" xfId="0" applyNumberFormat="1" applyFont="1" applyFill="1" applyBorder="1" applyAlignment="1">
      <x:alignment vertical="top"/>
    </x:xf>
    <x:xf numFmtId="0" fontId="4" fillId="2" borderId="0" xfId="0" applyNumberFormat="1" applyFont="1" applyFill="1" applyBorder="1" applyAlignment="1">
      <x:alignment vertical="top"/>
    </x:xf>
    <x:xf numFmtId="0" fontId="4" fillId="2" borderId="0" xfId="0" applyNumberFormat="1" applyFont="1" applyFill="1" applyBorder="1" applyAlignment="1">
      <x:alignment vertical="top" wrapText="1"/>
    </x:xf>
    <x:xf numFmtId="0" fontId="4" fillId="2" borderId="0" xfId="0" applyNumberFormat="1" applyFont="1" applyFill="1" applyBorder="1" applyAlignment="1">
      <x:alignment vertical="center" wrapText="1"/>
    </x:xf>
    <x:xf numFmtId="0" fontId="4" fillId="2" borderId="2" xfId="0" applyNumberFormat="1" applyFont="1" applyFill="1" applyBorder="1" applyAlignment="1">
      <x:alignment vertical="center" wrapText="1"/>
    </x:xf>
    <x:xf numFmtId="0" fontId="4" fillId="2" borderId="3" xfId="0" applyNumberFormat="1" applyFont="1" applyFill="1" applyBorder="1" applyAlignment="1">
      <x:alignment vertical="center" wrapText="1"/>
    </x:xf>
    <x:xf numFmtId="0" fontId="4" fillId="2" borderId="4" xfId="0" applyNumberFormat="1" applyFont="1" applyFill="1" applyBorder="1" applyAlignment="1">
      <x:alignment vertical="center" wrapText="1"/>
    </x:xf>
    <x:xf numFmtId="0" fontId="1" fillId="0" borderId="0" xfId="0" applyNumberFormat="1" applyFont="1" applyFill="1" applyBorder="1" applyAlignment="1">
      <x:alignment vertical="top" wrapText="1"/>
    </x:xf>
    <x:xf numFmtId="200" fontId="1" fillId="0" borderId="0" xfId="0" applyNumberFormat="1" applyFont="1" applyFill="1" applyBorder="1" applyAlignment="1">
      <x:alignment vertical="top" wrapText="1"/>
    </x:xf>
    <x:xf numFmtId="201" fontId="1" fillId="0" borderId="0" xfId="0" applyNumberFormat="1" applyFont="1" applyFill="1" applyBorder="1" applyAlignment="1">
      <x:alignment vertical="top" wrapText="1"/>
    </x:xf>
    <x:xf numFmtId="202" fontId="1" fillId="0" borderId="0" xfId="0" applyNumberFormat="1" applyFont="1" applyFill="1" applyBorder="1" applyAlignment="1">
      <x:alignment vertical="top" wrapText="1"/>
    </x:xf>
    <x:xf numFmtId="200" fontId="1" fillId="0" borderId="0" xfId="0" applyNumberFormat="1" applyFont="1" applyFill="1" applyBorder="1" applyAlignment="1">
      <x:alignment horizontal="right" vertical="top" wrapText="1"/>
    </x:xf>
    <x:xf numFmtId="201" fontId="1" fillId="0" borderId="0" xfId="0" applyNumberFormat="1" applyFont="1" applyFill="1" applyBorder="1" applyAlignment="1">
      <x:alignment horizontal="right" vertical="top" wrapText="1"/>
    </x:xf>
    <x:xf numFmtId="202" fontId="1" fillId="0" borderId="0" xfId="0" applyNumberFormat="1" applyFont="1" applyFill="1" applyBorder="1" applyAlignment="1">
      <x:alignment horizontal="right" vertical="top" wrapText="1"/>
    </x:xf>
    <x:xf numFmtId="0" fontId="5" fillId="2" borderId="0" xfId="0" applyNumberFormat="1" applyFont="1" applyFill="1" applyBorder="1" applyAlignment="1">
      <x:alignment vertical="top"/>
    </x:xf>
    <x:xf numFmtId="0" fontId="6" fillId="0" borderId="0" xfId="0" applyNumberFormat="1" applyFont="1" applyFill="1" applyBorder="1" applyAlignment="1">
      <x:alignment vertical="top"/>
    </x:xf>
    <x:xf numFmtId="203" fontId="1" fillId="0" borderId="0" xfId="0" applyNumberFormat="1" applyFont="1" applyFill="1" applyBorder="1" applyAlignment="1">
      <x:alignment vertical="top" wrapText="1"/>
    </x:xf>
    <x:xf numFmtId="200" fontId="1" fillId="0" borderId="0" xfId="0" applyNumberFormat="1" applyFont="1" applyFill="1" applyBorder="1"/>
    <x:xf numFmtId="201" fontId="1" fillId="0" borderId="0" xfId="0" applyNumberFormat="1" applyFont="1" applyFill="1" applyBorder="1"/>
    <x:xf numFmtId="202" fontId="1" fillId="0" borderId="0" xfId="0" applyNumberFormat="1" applyFont="1" applyFill="1" applyBorder="1"/>
    <x:xf numFmtId="0" fontId="1" fillId="2" borderId="0" xfId="0" applyNumberFormat="1" applyFont="1" applyFill="1" applyBorder="1"/>
    <x:xf numFmtId="0" fontId="4" fillId="2" borderId="0" xfId="0" applyNumberFormat="1" applyFont="1" applyFill="1" applyBorder="1"/>
    <x:xf numFmtId="0" fontId="1" fillId="3" borderId="0" xfId="0" applyNumberFormat="1" applyFont="1" applyFill="1" applyBorder="1" applyAlignment="1">
      <x:alignment vertical="top"/>
    </x:xf>
    <x:xf numFmtId="204" fontId="1" fillId="3" borderId="0" xfId="0" applyNumberFormat="1" applyFont="1" applyFill="1" applyBorder="1" applyAlignment="1">
      <x:alignment vertical="top"/>
    </x:xf>
    <x:xf numFmtId="0" fontId="7" fillId="0" borderId="0" xfId="0" applyNumberFormat="1" applyFont="1" applyFill="1" applyBorder="1" applyAlignment="1">
      <x:alignment vertical="top"/>
    </x:xf>
    <x:xf numFmtId="200" fontId="7" fillId="0" borderId="0" xfId="0" applyNumberFormat="1" applyFont="1" applyFill="1" applyBorder="1" applyAlignment="1">
      <x:alignment vertical="top"/>
    </x:xf>
    <x:xf numFmtId="201" fontId="7" fillId="0" borderId="0" xfId="0" applyNumberFormat="1" applyFont="1" applyFill="1" applyBorder="1" applyAlignment="1">
      <x:alignment vertical="top"/>
    </x:xf>
    <x:xf numFmtId="0" fontId="8" fillId="0" borderId="0" xfId="0" applyNumberFormat="1" applyFont="1" applyFill="1" applyBorder="1" applyAlignment="1">
      <x:alignment vertical="top"/>
    </x:xf>
    <x:xf numFmtId="200" fontId="1" fillId="0" borderId="0" xfId="0" applyNumberFormat="1" applyFont="1" applyFill="1" applyBorder="1" applyAlignment="1">
      <x:alignment vertical="top"/>
    </x:xf>
    <x:xf numFmtId="202" fontId="1" fillId="0" borderId="0" xfId="0" applyNumberFormat="1" applyFont="1" applyFill="1" applyBorder="1" applyAlignment="1">
      <x:alignment vertical="top"/>
    </x:xf>
    <x:xf numFmtId="201" fontId="1" fillId="0" borderId="0" xfId="0" applyNumberFormat="1" applyFont="1" applyFill="1" applyBorder="1" applyAlignment="1">
      <x:alignment vertical="top"/>
    </x:xf>
    <x:xf numFmtId="0" fontId="9" fillId="0" borderId="0" xfId="0" applyNumberFormat="1" applyFont="1" applyFill="1" applyBorder="1" applyAlignment="1">
      <x:alignment vertical="top"/>
    </x:xf>
  </x:cellXfs>
  <x:cellStyles count="1">
    <x:cellStyle name="Normal" xfId="0"/>
  </x:cellStyles>
  <x:dxfs count="2">
    <x:dxf>
      <x:fill>
        <x:patternFill patternType="solid">
          <x:bgColor rgb="FFE3EFE6"/>
        </x:patternFill>
      </x:fill>
    </x:dxf>
    <x:dxf>
      <x:fill>
        <x:patternFill patternType="solid">
          <x:bgColor rgb="FFFFF0CF"/>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1d303490a65c465f" /><Relationship Type="http://schemas.openxmlformats.org/officeDocument/2006/relationships/theme" Target="/xl/theme/theme1.xml" Id="R2ec37d5af3274104" /><Relationship Type="http://schemas.openxmlformats.org/officeDocument/2006/relationships/sharedStrings" Target="/xl/sharedStrings.xml" Id="Re664ac8674ac479c" /><Relationship Type="http://schemas.openxmlformats.org/officeDocument/2006/relationships/worksheet" Target="/xl/worksheets/sheet1.xml" Id="R4392dc19405c49e5" /><Relationship Type="http://schemas.openxmlformats.org/officeDocument/2006/relationships/worksheet" Target="/xl/worksheets/sheet2.xml" Id="R77719d1a0e53427b" /><Relationship Type="http://schemas.openxmlformats.org/officeDocument/2006/relationships/worksheet" Target="/xl/worksheets/sheet3.xml" Id="Rd9c4668452024a01" /><Relationship Type="http://schemas.openxmlformats.org/officeDocument/2006/relationships/worksheet" Target="/xl/worksheets/sheet4.xml" Id="R50e153a4412b489b" /><Relationship Type="http://schemas.openxmlformats.org/officeDocument/2006/relationships/worksheet" Target="/xl/worksheets/sheet5.xml" Id="R2fb710e40ac54779" /><Relationship Type="http://schemas.openxmlformats.org/officeDocument/2006/relationships/worksheet" Target="/xl/worksheets/sheet6.xml" Id="Ree7d46b96cbb4dfa" /><Relationship Type="http://schemas.openxmlformats.org/officeDocument/2006/relationships/worksheet" Target="/xl/worksheets/sheet7.xml" Id="R21c199e02389481e" /><Relationship Type="http://schemas.openxmlformats.org/officeDocument/2006/relationships/worksheet" Target="/xl/worksheets/sheet8.xml" Id="R5bec77dcbfae4521" /></Relationships>
</file>

<file path=xl/tables/table1.xml><?xml version="1.0" encoding="utf-8"?>
<x:table xmlns:x="http://schemas.openxmlformats.org/spreadsheetml/2006/main" id="1" name="MercedesQueries" displayName="MercedesQueries" ref="A4:N357" headerRowCount="1" totalsRowCount="0" totalsRowShown="0">
  <x:tableColumns count="14">
    <x:tableColumn id="1" name="Exact exported query"/>
    <x:tableColumn id="2" name="Clicks"/>
    <x:tableColumn id="3" name="Impressions"/>
    <x:tableColumn id="4" name="Exported CTR"/>
    <x:tableColumn id="5" name="Average position"/>
    <x:tableColumn id="6" name="Intent cluster"/>
    <x:tableColumn id="7" name="Page ID"/>
    <x:tableColumn id="8" name="Recommended URL"/>
    <x:tableColumn id="9" name="Target section"/>
    <x:tableColumn id="10" name="Service fit"/>
    <x:tableColumn id="11" name="Work priority"/>
    <x:tableColumn id="12" name="Gap to position 5"/>
    <x:tableColumn id="13" name="Recommended action"/>
    <x:tableColumn id="14" name="Source query row"/>
  </x:tableColumns>
  <x:tableStyleInfo name="TableStyleLight1" showFirstColumn="0" showLastColumn="0" showRowStripes="1" showColumnStripes="0"/>
</x:table>
</file>

<file path=xl/tables/table2.xml><?xml version="1.0" encoding="utf-8"?>
<x:table xmlns:x="http://schemas.openxmlformats.org/spreadsheetml/2006/main" id="2" name="PagePriorities" displayName="PagePriorities" ref="A4:I35" headerRowCount="1" totalsRowCount="0" totalsRowShown="0">
  <x:tableColumns count="9">
    <x:tableColumn id="1" name="Page ID"/>
    <x:tableColumn id="2" name="Page / topic"/>
    <x:tableColumn id="3" name="Page priority"/>
    <x:tableColumn id="4" name="Mapped queries"/>
    <x:tableColumn id="5" name="Mapped impressions"/>
    <x:tableColumn id="6" name="Mapped clicks"/>
    <x:tableColumn id="7" name="Weighted query position"/>
    <x:tableColumn id="8" name="Recommended URL"/>
    <x:tableColumn id="9" name="Page status"/>
  </x:tableColumns>
  <x:tableStyleInfo name="TableStyleLight1" showFirstColumn="0" showLastColumn="0" showRowStripes="1" showColumnStripes="0"/>
</x:table>
</file>

<file path=xl/tables/table3.xml><?xml version="1.0" encoding="utf-8"?>
<x:table xmlns:x="http://schemas.openxmlformats.org/spreadsheetml/2006/main" id="3" name="ExportedPages" displayName="ExportedPages" ref="A4:E65" headerRowCount="1" totalsRowCount="0" totalsRowShown="0">
  <x:tableColumns count="5">
    <x:tableColumn id="1" name="Exact exported page URL"/>
    <x:tableColumn id="2" name="Clicks"/>
    <x:tableColumn id="3" name="Impressions"/>
    <x:tableColumn id="4" name="Exported CTR"/>
    <x:tableColumn id="5" name="Average position"/>
  </x:tableColumns>
  <x:tableStyleInfo name="TableStyleLight1" showFirstColumn="0" showLastColumn="0" showRowStripes="1" showColumnStripes="0"/>
</x:table>
</file>

<file path=xl/tables/table4.xml><?xml version="1.0" encoding="utf-8"?>
<x:table xmlns:x="http://schemas.openxmlformats.org/spreadsheetml/2006/main" id="4" name="LiveUrlChecks" displayName="LiveUrlChecks" ref="A4:G42" headerRowCount="1" totalsRowCount="0" totalsRowShown="0">
  <x:tableColumns count="7">
    <x:tableColumn id="1" name="Requested URL"/>
    <x:tableColumn id="2" name="HTTP status"/>
    <x:tableColumn id="3" name="Location header"/>
    <x:tableColumn id="4" name="HTML canonical"/>
    <x:tableColumn id="5" name="HTML title"/>
    <x:tableColumn id="6" name="Assessment"/>
    <x:tableColumn id="7" name="Recommended next step"/>
  </x:tableColumns>
  <x:tableStyleInfo name="TableStyleLight1" showFirstColumn="0" showLastColumn="0" showRowStripes="1" showColumnStripes="0"/>
</x:table>
</file>

<file path=xl/tables/table5.xml><?xml version="1.0" encoding="utf-8"?>
<x:table xmlns:x="http://schemas.openxmlformats.org/spreadsheetml/2006/main" id="5" name="DailyPerformance" displayName="DailyPerformance" ref="A4:E96" headerRowCount="1" totalsRowCount="0" totalsRowShown="0">
  <x:tableColumns count="5">
    <x:tableColumn id="1" name="Date"/>
    <x:tableColumn id="2" name="Clicks"/>
    <x:tableColumn id="3" name="Impressions"/>
    <x:tableColumn id="4" name="Exported CTR"/>
    <x:tableColumn id="5" name="Average position"/>
  </x:tableColumns>
  <x:tableStyleInfo name="TableStyleLight1"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d9d41e197da241b8" /></Relationships>
</file>

<file path=xl/worksheets/_rels/sheet3.xml.rels>&#65279;<?xml version="1.0" encoding="utf-8"?><Relationships xmlns="http://schemas.openxmlformats.org/package/2006/relationships"><Relationship Type="http://schemas.openxmlformats.org/officeDocument/2006/relationships/table" Target="/xl/tables/table2.xml" Id="R7f4451678f224caf" /></Relationships>
</file>

<file path=xl/worksheets/_rels/sheet5.xml.rels>&#65279;<?xml version="1.0" encoding="utf-8"?><Relationships xmlns="http://schemas.openxmlformats.org/package/2006/relationships"><Relationship Type="http://schemas.openxmlformats.org/officeDocument/2006/relationships/table" Target="/xl/tables/table3.xml" Id="R3b6e2b2d3e7444d8" /></Relationships>
</file>

<file path=xl/worksheets/_rels/sheet6.xml.rels>&#65279;<?xml version="1.0" encoding="utf-8"?><Relationships xmlns="http://schemas.openxmlformats.org/package/2006/relationships"><Relationship Type="http://schemas.openxmlformats.org/officeDocument/2006/relationships/table" Target="/xl/tables/table4.xml" Id="Rd4503982661243fc" /></Relationships>
</file>

<file path=xl/worksheets/_rels/sheet7.xml.rels>&#65279;<?xml version="1.0" encoding="utf-8"?><Relationships xmlns="http://schemas.openxmlformats.org/package/2006/relationships"><Relationship Type="http://schemas.openxmlformats.org/officeDocument/2006/relationships/table" Target="/xl/tables/table5.xml" Id="R2e9a169619e34eb3" /></Relationships>
</file>

<file path=xl/worksheets/sheet1.xml><?xml version="1.0" encoding="utf-8"?>
<x:worksheet xmlns:x="http://schemas.openxmlformats.org/spreadsheetml/2006/main">
  <x:sheetViews>
    <x:sheetView showGridLines="0" workbookViewId="0"/>
  </x:sheetViews>
  <x:sheetFormatPr defaultRowHeight="15"/>
  <x:cols>
    <x:col min="1" max="1" width="39" hidden="0" customWidth="1"/>
    <x:col min="2" max="2" width="18" hidden="0" customWidth="1"/>
    <x:col min="3" max="3" width="18" hidden="0" customWidth="1"/>
    <x:col min="4" max="4" width="20" hidden="0" customWidth="1"/>
    <x:col min="5" max="5" width="18" hidden="0" customWidth="1"/>
    <x:col min="6" max="6" width="18" hidden="0" customWidth="1"/>
    <x:col min="7" max="7" width="18" hidden="0" customWidth="1"/>
    <x:col min="8" max="8" width="18" hidden="0" customWidth="1"/>
  </x:cols>
  <x:sheetData>
    <x:row r="1" ht="30" customHeight="1">
      <x:c r="A1" s="3" t="str">
        <x:v>Mercedes search ranking plan</x:v>
      </x:c>
      <x:c r="B1" s="2"/>
      <x:c r="C1" s="2"/>
      <x:c r="D1" s="2"/>
      <x:c r="E1" s="2"/>
      <x:c r="F1" s="2"/>
      <x:c r="G1" s="2"/>
      <x:c r="H1" s="2"/>
    </x:row>
    <x:row r="2" ht="25" customHeight="1">
      <x:c r="A2" s="5" t="str">
        <x:v>Digi-Tec | Target positions 2–5 | Search data: 7 Jun–6 Sep 2026 | Plan prepared: 8 Sep 2026</x:v>
      </x:c>
      <x:c r="B2" s="4"/>
      <x:c r="C2" s="4"/>
      <x:c r="D2" s="4"/>
      <x:c r="E2" s="4"/>
      <x:c r="F2" s="4"/>
      <x:c r="G2" s="4"/>
      <x:c r="H2" s="4"/>
    </x:row>
    <x:row r="3">
      <x:c r="A3" s="2"/>
      <x:c r="B3" s="2"/>
      <x:c r="C3" s="2"/>
      <x:c r="D3" s="2"/>
      <x:c r="E3" s="2"/>
      <x:c r="F3" s="2"/>
      <x:c r="G3" s="2"/>
      <x:c r="H3" s="2"/>
    </x:row>
    <x:row r="4" ht="34" customHeight="1">
      <x:c r="A4" s="10" t="str">
        <x:v>Baseline</x:v>
      </x:c>
      <x:c r="B4" s="11" t="str">
        <x:v>Queries</x:v>
      </x:c>
      <x:c r="C4" s="11" t="str">
        <x:v>Impressions</x:v>
      </x:c>
      <x:c r="D4" s="11" t="str">
        <x:v>Clicks</x:v>
      </x:c>
      <x:c r="E4" s="11" t="str">
        <x:v>CTR</x:v>
      </x:c>
      <x:c r="F4" s="11" t="str">
        <x:v>Within 2–5</x:v>
      </x:c>
      <x:c r="G4" s="11" t="str">
        <x:v>Better than 2</x:v>
      </x:c>
      <x:c r="H4" s="12" t="str">
        <x:v>Above 5</x:v>
      </x:c>
    </x:row>
    <x:row r="5" ht="35" customHeight="1">
      <x:c r="A5" s="2" t="str">
        <x:v>All exported Mercedes queries</x:v>
      </x:c>
      <x:c r="B5" s="31" t="n">
        <x:f>COUNTA('Query map'!A5:A357)</x:f>
        <x:v>353</x:v>
      </x:c>
      <x:c r="C5" s="31" t="n">
        <x:f>SUM('Query map'!C5:C357)</x:f>
        <x:v>10597</x:v>
      </x:c>
      <x:c r="D5" s="31" t="n">
        <x:f>SUM('Query map'!B5:B357)</x:f>
        <x:v>19</x:v>
      </x:c>
      <x:c r="E5" s="32" t="n">
        <x:f>D5/C5</x:f>
        <x:v>0.0017929602717750308</x:v>
      </x:c>
      <x:c r="F5" s="30" t="n">
        <x:f>COUNTIFS('Query map'!E5:E357,"&gt;="&amp;'Sources'!B4,'Query map'!E5:E357,"&lt;="&amp;'Sources'!B5)</x:f>
        <x:v>34</x:v>
      </x:c>
      <x:c r="G5" s="30" t="n">
        <x:f>COUNTIF('Query map'!E5:E357,"&lt;"&amp;'Sources'!B4)</x:f>
        <x:v>8</x:v>
      </x:c>
      <x:c r="H5" s="30" t="n">
        <x:f>COUNTIF('Query map'!E5:E357,"&gt;"&amp;'Sources'!B5)</x:f>
        <x:v>311</x:v>
      </x:c>
    </x:row>
    <x:row r="6">
      <x:c r="A6" s="2"/>
      <x:c r="B6" s="2"/>
      <x:c r="C6" s="2"/>
      <x:c r="D6" s="2"/>
      <x:c r="E6" s="2"/>
      <x:c r="F6" s="2"/>
      <x:c r="G6" s="2"/>
      <x:c r="H6" s="2"/>
    </x:row>
    <x:row r="7">
      <x:c r="A7" s="33" t="str">
        <x:v>First priority: fix legacy Mercedes URLs serving the homepage</x:v>
      </x:c>
      <x:c r="B7" s="2"/>
      <x:c r="C7" s="2"/>
      <x:c r="D7" s="2"/>
      <x:c r="E7" s="2"/>
      <x:c r="F7" s="2"/>
      <x:c r="G7" s="2"/>
      <x:c r="H7" s="2"/>
    </x:row>
    <x:row r="8" ht="24" customHeight="1">
      <x:c r="A8" s="37" t="str">
        <x:v>The old repair URL returned HTTP 200 and a homepage canonical, despite 4,625 impressions in this export.</x:v>
      </x:c>
      <x:c r="B8" s="2"/>
      <x:c r="C8" s="2"/>
      <x:c r="D8" s="2"/>
      <x:c r="E8" s="2"/>
      <x:c r="F8" s="2"/>
      <x:c r="G8" s="2"/>
      <x:c r="H8" s="2"/>
    </x:row>
    <x:row r="9" ht="24" customHeight="1">
      <x:c r="A9" s="37" t="str">
        <x:v>Replace that response with a direct 301/308 to the Mercedes hub. See Live checks for the five sampled legacy routes.</x:v>
      </x:c>
      <x:c r="B9" s="2"/>
      <x:c r="C9" s="2"/>
      <x:c r="D9" s="2"/>
      <x:c r="E9" s="2"/>
      <x:c r="F9" s="2"/>
      <x:c r="G9" s="2"/>
      <x:c r="H9" s="2"/>
    </x:row>
    <x:row r="10">
      <x:c r="A10" s="2"/>
      <x:c r="B10" s="2"/>
      <x:c r="C10" s="2"/>
      <x:c r="D10" s="2"/>
      <x:c r="E10" s="2"/>
      <x:c r="F10" s="2"/>
      <x:c r="G10" s="2"/>
      <x:c r="H10" s="2"/>
    </x:row>
    <x:row r="11">
      <x:c r="A11" s="30" t="str">
        <x:v>Where to focus next</x:v>
      </x:c>
      <x:c r="B11" s="2"/>
      <x:c r="C11" s="2"/>
      <x:c r="D11" s="2"/>
      <x:c r="E11" s="2"/>
      <x:c r="F11" s="2"/>
      <x:c r="G11" s="2"/>
      <x:c r="H11" s="2"/>
    </x:row>
    <x:row r="12" ht="34" customHeight="1">
      <x:c r="A12" s="10" t="str">
        <x:v>Example query</x:v>
      </x:c>
      <x:c r="B12" s="11" t="str">
        <x:v>Impressions</x:v>
      </x:c>
      <x:c r="C12" s="11" t="str">
        <x:v>Avg. position</x:v>
      </x:c>
      <x:c r="D12" s="11" t="str">
        <x:v>Page ID</x:v>
      </x:c>
      <x:c r="E12" s="11" t="str">
        <x:v>First action</x:v>
      </x:c>
      <x:c r="F12" s="11" t="str"/>
      <x:c r="G12" s="11" t="str"/>
      <x:c r="H12" s="12" t="str"/>
    </x:row>
    <x:row r="13" ht="30" customHeight="1">
      <x:c r="A13" s="2" t="str">
        <x:v>mercedes repair dubai</x:v>
      </x:c>
      <x:c r="B13" s="34" t="n">
        <x:f>'Query map'!C5</x:f>
        <x:v>954</x:v>
      </x:c>
      <x:c r="C13" s="35" t="n">
        <x:f>'Query map'!E5</x:f>
        <x:v>10.64</x:v>
      </x:c>
      <x:c r="D13" s="2" t="str">
        <x:v>HUB</x:v>
      </x:c>
      <x:c r="E13" s="2" t="str">
        <x:v>Consolidate hub signals and strengthen service scope</x:v>
      </x:c>
      <x:c r="F13" s="2"/>
      <x:c r="G13" s="2"/>
      <x:c r="H13" s="2"/>
    </x:row>
    <x:row r="14" ht="30" customHeight="1">
      <x:c r="A14" s="2" t="str">
        <x:v>mercedes service dubai</x:v>
      </x:c>
      <x:c r="B14" s="34" t="n">
        <x:f>'Query map'!C9</x:f>
        <x:v>591</x:v>
      </x:c>
      <x:c r="C14" s="35" t="n">
        <x:f>'Query map'!E9</x:f>
        <x:v>16.81</x:v>
      </x:c>
      <x:c r="D14" s="2" t="str">
        <x:v>HUB</x:v>
      </x:c>
      <x:c r="E14" s="2" t="str">
        <x:v>Consolidate hub signals and strengthen service scope</x:v>
      </x:c>
      <x:c r="F14" s="2"/>
      <x:c r="G14" s="2"/>
      <x:c r="H14" s="2"/>
    </x:row>
    <x:row r="15" ht="30" customHeight="1">
      <x:c r="A15" s="2" t="str">
        <x:v>mercedes specialist dubai</x:v>
      </x:c>
      <x:c r="B15" s="34" t="n">
        <x:f>'Query map'!C19</x:f>
        <x:v>315</x:v>
      </x:c>
      <x:c r="C15" s="35" t="n">
        <x:f>'Query map'!E19</x:f>
        <x:v>10.86</x:v>
      </x:c>
      <x:c r="D15" s="2" t="str">
        <x:v>HUB</x:v>
      </x:c>
      <x:c r="E15" s="2" t="str">
        <x:v>Consolidate hub signals and strengthen service scope</x:v>
      </x:c>
      <x:c r="F15" s="2"/>
      <x:c r="G15" s="2"/>
      <x:c r="H15" s="2"/>
    </x:row>
    <x:row r="16" ht="30" customHeight="1">
      <x:c r="A16" s="2" t="str">
        <x:v>mercedes suspension repair dubai</x:v>
      </x:c>
      <x:c r="B16" s="34" t="n">
        <x:f>'Query map'!C21</x:f>
        <x:v>245</x:v>
      </x:c>
      <x:c r="C16" s="35" t="n">
        <x:f>'Query map'!E21</x:f>
        <x:v>16.22</x:v>
      </x:c>
      <x:c r="D16" s="2" t="str">
        <x:v>SUSP</x:v>
      </x:c>
      <x:c r="E16" s="2" t="str">
        <x:v>Strengthen existing page and contextual links</x:v>
      </x:c>
      <x:c r="F16" s="2"/>
      <x:c r="G16" s="2"/>
      <x:c r="H16" s="2"/>
    </x:row>
    <x:row r="17" ht="30" customHeight="1">
      <x:c r="A17" s="2" t="str">
        <x:v>mercedes engine repair dubai</x:v>
      </x:c>
      <x:c r="B17" s="34" t="n">
        <x:f>'Query map'!C26</x:f>
        <x:v>184</x:v>
      </x:c>
      <x:c r="C17" s="35" t="n">
        <x:f>'Query map'!E26</x:f>
        <x:v>17.47</x:v>
      </x:c>
      <x:c r="D17" s="2" t="str">
        <x:v>ENGINE</x:v>
      </x:c>
      <x:c r="E17" s="2" t="str">
        <x:v>Make engine repair explicit on the mechanical page</x:v>
      </x:c>
      <x:c r="F17" s="2"/>
      <x:c r="G17" s="2"/>
      <x:c r="H17" s="2"/>
    </x:row>
    <x:row r="18" ht="30" customHeight="1">
      <x:c r="A18" s="2" t="str">
        <x:v>mercedes oil change dubai</x:v>
      </x:c>
      <x:c r="B18" s="34" t="n">
        <x:f>'Query map'!C28</x:f>
        <x:v>176</x:v>
      </x:c>
      <x:c r="C18" s="35" t="n">
        <x:f>'Query map'!E28</x:f>
        <x:v>16.97</x:v>
      </x:c>
      <x:c r="D18" s="2" t="str">
        <x:v>OIL</x:v>
      </x:c>
      <x:c r="E18" s="2" t="str">
        <x:v>Strengthen existing page and contextual links</x:v>
      </x:c>
      <x:c r="F18" s="2"/>
      <x:c r="G18" s="2"/>
      <x:c r="H18" s="2"/>
    </x:row>
    <x:row r="19" ht="30" customHeight="1">
      <x:c r="A19" s="2" t="str">
        <x:v>mercedes transmission repair dubai</x:v>
      </x:c>
      <x:c r="B19" s="34" t="n">
        <x:f>'Query map'!C10</x:f>
        <x:v>127</x:v>
      </x:c>
      <x:c r="C19" s="35" t="n">
        <x:f>'Query map'!E10</x:f>
        <x:v>20.81</x:v>
      </x:c>
      <x:c r="D19" s="2" t="str">
        <x:v>TRANS</x:v>
      </x:c>
      <x:c r="E19" s="2" t="str">
        <x:v>Strengthen existing page and contextual links</x:v>
      </x:c>
      <x:c r="F19" s="2"/>
      <x:c r="G19" s="2"/>
      <x:c r="H19" s="2"/>
    </x:row>
    <x:row r="20">
      <x:c r="A20" s="2"/>
      <x:c r="B20" s="2"/>
      <x:c r="C20" s="2"/>
      <x:c r="D20" s="2"/>
      <x:c r="E20" s="2"/>
      <x:c r="F20" s="2"/>
      <x:c r="G20" s="2"/>
      <x:c r="H20" s="2"/>
    </x:row>
    <x:row r="21">
      <x:c r="A21" s="2"/>
      <x:c r="B21" s="2"/>
      <x:c r="C21" s="2"/>
      <x:c r="D21" s="2"/>
      <x:c r="E21" s="2"/>
      <x:c r="F21" s="2"/>
      <x:c r="G21" s="2"/>
      <x:c r="H21" s="2"/>
    </x:row>
    <x:row r="22" ht="34" customHeight="1">
      <x:c r="A22" s="10" t="str">
        <x:v>Equal-length comparison</x:v>
      </x:c>
      <x:c r="B22" s="11" t="str">
        <x:v>Impressions</x:v>
      </x:c>
      <x:c r="C22" s="11" t="str">
        <x:v>Clicks</x:v>
      </x:c>
      <x:c r="D22" s="11" t="str">
        <x:v>CTR</x:v>
      </x:c>
      <x:c r="E22" s="11" t="str">
        <x:v>Est. avg. position</x:v>
      </x:c>
      <x:c r="F22" s="11" t="str"/>
      <x:c r="G22" s="11" t="str"/>
      <x:c r="H22" s="12" t="str"/>
    </x:row>
    <x:row r="23" ht="29" customHeight="1">
      <x:c r="A23" s="2" t="str">
        <x:v>First 28 days: 7 Jun–4 Jul</x:v>
      </x:c>
      <x:c r="B23" s="34" t="n">
        <x:f>SUM('Daily trend'!C5:C32)</x:f>
        <x:v>3224</x:v>
      </x:c>
      <x:c r="C23" s="34" t="n">
        <x:f>SUM('Daily trend'!B5:B32)</x:f>
        <x:v>0</x:v>
      </x:c>
      <x:c r="D23" s="36" t="n">
        <x:f>C23/B23</x:f>
        <x:v>0</x:v>
      </x:c>
      <x:c r="E23" s="35" t="n">
        <x:f>SUMPRODUCT('Daily trend'!C5:C32,'Daily trend'!E5:E32)/B23</x:f>
        <x:v>22.72918734491315</x:v>
      </x:c>
      <x:c r="F23" s="2"/>
      <x:c r="G23" s="2"/>
      <x:c r="H23" s="2"/>
    </x:row>
    <x:row r="24" ht="29" customHeight="1">
      <x:c r="A24" s="2" t="str">
        <x:v>Latest 28 days: 10 Aug–6 Sep</x:v>
      </x:c>
      <x:c r="B24" s="34" t="n">
        <x:f>SUM('Daily trend'!C69:C96)</x:f>
        <x:v>4173</x:v>
      </x:c>
      <x:c r="C24" s="34" t="n">
        <x:f>SUM('Daily trend'!B69:B96)</x:f>
        <x:v>12</x:v>
      </x:c>
      <x:c r="D24" s="36" t="n">
        <x:f>C24/B24</x:f>
        <x:v>0.002875629043853343</x:v>
      </x:c>
      <x:c r="E24" s="35" t="n">
        <x:f>SUMPRODUCT('Daily trend'!C69:C96,'Daily trend'!E69:E96)/B24</x:f>
        <x:v>15.209753175173734</x:v>
      </x:c>
      <x:c r="F24" s="2"/>
      <x:c r="G24" s="2"/>
      <x:c r="H24" s="2"/>
    </x:row>
    <x:row r="25">
      <x:c r="A25" s="2"/>
      <x:c r="B25" s="2"/>
      <x:c r="C25" s="2"/>
      <x:c r="D25" s="2"/>
      <x:c r="E25" s="2"/>
      <x:c r="F25" s="2"/>
      <x:c r="G25" s="2"/>
      <x:c r="H25" s="2"/>
    </x:row>
    <x:row r="26" ht="24" customHeight="1">
      <x:c r="A26" s="37" t="str">
        <x:v>This trend is encouraging, but it does not identify the cause or forecast future rankings.</x:v>
      </x:c>
      <x:c r="B26" s="2"/>
      <x:c r="C26" s="2"/>
      <x:c r="D26" s="2"/>
      <x:c r="E26" s="2"/>
      <x:c r="F26" s="2"/>
      <x:c r="G26" s="2"/>
      <x:c r="H26" s="2"/>
    </x:row>
    <x:row r="27">
      <x:c r="A27" s="2"/>
      <x:c r="B27" s="2"/>
      <x:c r="C27" s="2"/>
      <x:c r="D27" s="2"/>
      <x:c r="E27" s="2"/>
      <x:c r="F27" s="2"/>
      <x:c r="G27" s="2"/>
      <x:c r="H27" s="2"/>
    </x:row>
    <x:row r="28" ht="34" customHeight="1">
      <x:c r="A28" s="10" t="str">
        <x:v>Sequence</x:v>
      </x:c>
      <x:c r="B28" s="11" t="str">
        <x:v>Owner</x:v>
      </x:c>
      <x:c r="C28" s="11" t="str">
        <x:v>Outcome</x:v>
      </x:c>
      <x:c r="D28" s="11" t="str"/>
      <x:c r="E28" s="11" t="str"/>
      <x:c r="F28" s="11" t="str"/>
      <x:c r="G28" s="11" t="str"/>
      <x:c r="H28" s="12" t="str"/>
    </x:row>
    <x:row r="29" ht="38" customHeight="1">
      <x:c r="A29" s="2" t="str">
        <x:v>Week 1</x:v>
      </x:c>
      <x:c r="B29" s="2" t="str">
        <x:v>Developer + SEO</x:v>
      </x:c>
      <x:c r="C29" s="2" t="str">
        <x:v>Fix and verify five sampled legacy redirects; export query + page data; inspect canonical/indexing on main targets.</x:v>
      </x:c>
      <x:c r="D29" s="2"/>
      <x:c r="E29" s="2"/>
      <x:c r="F29" s="2"/>
      <x:c r="G29" s="2"/>
      <x:c r="H29" s="2"/>
    </x:row>
    <x:row r="30" ht="38" customHeight="1">
      <x:c r="A30" s="2" t="str">
        <x:v>Weeks 2–3</x:v>
      </x:c>
      <x:c r="B30" s="2" t="str">
        <x:v>SEO + workshop</x:v>
      </x:c>
      <x:c r="C30" s="2" t="str">
        <x:v>Update approved high-demand page briefs; add service-specific links, accurate scope and real workshop evidence.</x:v>
      </x:c>
      <x:c r="D30" s="2"/>
      <x:c r="E30" s="2"/>
      <x:c r="F30" s="2"/>
      <x:c r="G30" s="2"/>
      <x:c r="H30" s="2"/>
    </x:row>
    <x:row r="31" ht="38" customHeight="1">
      <x:c r="A31" s="2" t="str">
        <x:v>Weeks 3–6</x:v>
      </x:c>
      <x:c r="B31" s="2" t="str">
        <x:v>Workshop + SEO</x:v>
      </x:c>
      <x:c r="C31" s="2" t="str">
        <x:v>Improve supported coding and tuning sections; decide audio upgrade coverage; refine model sections from real jobs.</x:v>
      </x:c>
      <x:c r="D31" s="2"/>
      <x:c r="E31" s="2"/>
      <x:c r="F31" s="2"/>
      <x:c r="G31" s="2"/>
      <x:c r="H31" s="2"/>
    </x:row>
    <x:row r="32" ht="38" customHeight="1">
      <x:c r="A32" s="2" t="str">
        <x:v>Weeks 4, 8, 12</x:v>
      </x:c>
      <x:c r="B32" s="2" t="str">
        <x:v>SEO + owner</x:v>
      </x:c>
      <x:c r="C32" s="2" t="str">
        <x:v>Compare 28-day UAE/device cohorts, intended URLs, clicks, leads and query ranks; change priorities from evidence.</x:v>
      </x:c>
      <x:c r="D32" s="2"/>
      <x:c r="E32" s="2"/>
      <x:c r="F32" s="2"/>
      <x:c r="G32" s="2"/>
      <x:c r="H32" s="2"/>
    </x:row>
    <x:row r="33">
      <x:c r="A33" s="2"/>
      <x:c r="B33" s="2"/>
      <x:c r="C33" s="2"/>
      <x:c r="D33" s="2"/>
      <x:c r="E33" s="2"/>
      <x:c r="F33" s="2"/>
      <x:c r="G33" s="2"/>
      <x:c r="H33" s="2"/>
    </x:row>
    <x:row r="34">
      <x:c r="A34" s="30" t="str">
        <x:v>How to use this plan</x:v>
      </x:c>
      <x:c r="B34" s="2"/>
      <x:c r="C34" s="2"/>
      <x:c r="D34" s="2"/>
      <x:c r="E34" s="2"/>
      <x:c r="F34" s="2"/>
      <x:c r="G34" s="2"/>
      <x:c r="H34" s="2"/>
    </x:row>
    <x:row r="35" ht="24" customHeight="1">
      <x:c r="A35" s="37" t="str">
        <x:v>Query map: every query, original metrics, recommended destination, priority, gap and next action.</x:v>
      </x:c>
      <x:c r="B35" s="2"/>
      <x:c r="C35" s="2"/>
      <x:c r="D35" s="2"/>
      <x:c r="E35" s="2"/>
      <x:c r="F35" s="2"/>
      <x:c r="G35" s="2"/>
      <x:c r="H35" s="2"/>
    </x:row>
    <x:row r="36" ht="24" customHeight="1">
      <x:c r="A36" s="37" t="str">
        <x:v>Page priorities + Content briefs: work order, proposed titles/H1s, content changes and internal links.</x:v>
      </x:c>
      <x:c r="B36" s="2"/>
      <x:c r="C36" s="2"/>
      <x:c r="D36" s="2"/>
      <x:c r="E36" s="2"/>
      <x:c r="F36" s="2"/>
      <x:c r="G36" s="2"/>
      <x:c r="H36" s="2"/>
    </x:row>
    <x:row r="37" ht="24" customHeight="1">
      <x:c r="A37" s="37" t="str">
        <x:v>Live checks + Page baseline: technical evidence and all 61 historical page rows, kept separate.</x:v>
      </x:c>
      <x:c r="B37" s="2"/>
      <x:c r="C37" s="2"/>
      <x:c r="D37" s="2"/>
      <x:c r="E37" s="2"/>
      <x:c r="F37" s="2"/>
      <x:c r="G37" s="2"/>
      <x:c r="H37" s="2"/>
    </x:row>
    <x:row r="38" ht="24" customHeight="1">
      <x:c r="A38" s="37" t="str">
        <x:v>Sources: fit labels, editable priority thresholds, limitations and how to measure progress.</x:v>
      </x:c>
      <x:c r="B38" s="2"/>
      <x:c r="C38" s="2"/>
      <x:c r="D38" s="2"/>
      <x:c r="E38" s="2"/>
      <x:c r="F38" s="2"/>
      <x:c r="G38" s="2"/>
      <x:c r="H38" s="2"/>
    </x:row>
    <x:row r="39">
      <x:c r="A39" s="2"/>
      <x:c r="B39" s="2"/>
      <x:c r="C39" s="2"/>
      <x:c r="D39" s="2"/>
      <x:c r="E39" s="2"/>
      <x:c r="F39" s="2"/>
      <x:c r="G39" s="2"/>
      <x:c r="H39" s="2"/>
    </x:row>
    <x:row r="40">
      <x:c r="A40" s="30" t="str">
        <x:v>Scope decisions</x:v>
      </x:c>
      <x:c r="B40" s="2"/>
      <x:c r="C40" s="2"/>
      <x:c r="D40" s="2"/>
      <x:c r="E40" s="2"/>
      <x:c r="F40" s="2"/>
      <x:c r="G40" s="2"/>
      <x:c r="H40" s="2"/>
    </x:row>
    <x:row r="41" ht="24" customHeight="1">
      <x:c r="A41" s="37" t="str">
        <x:v>307 relevant queries; 29 conditional on service/model coverage; 17 held for mismatched or unverified intent.</x:v>
      </x:c>
      <x:c r="B41" s="2"/>
      <x:c r="C41" s="2"/>
      <x:c r="D41" s="2"/>
      <x:c r="E41" s="2"/>
      <x:c r="F41" s="2"/>
      <x:c r="G41" s="2"/>
      <x:c r="H41" s="2"/>
    </x:row>
    <x:row r="42" ht="24" customHeight="1">
      <x:c r="A42" s="37" t="str">
        <x:v>Audio upgrades: 375 impressions across three queries. A new page is conditional on a confirmed upgrade service.</x:v>
      </x:c>
      <x:c r="B42" s="2"/>
      <x:c r="C42" s="2"/>
      <x:c r="D42" s="2"/>
      <x:c r="E42" s="2"/>
      <x:c r="F42" s="2"/>
      <x:c r="G42" s="2"/>
      <x:c r="H42" s="2"/>
    </x:row>
    <x:row r="43" ht="24" customHeight="1">
      <x:c r="A43" s="37" t="str">
        <x:v>Low-volume model terms stay on the closest existing family page or confirmed hub section.</x:v>
      </x:c>
      <x:c r="B43" s="2"/>
      <x:c r="C43" s="2"/>
      <x:c r="D43" s="2"/>
      <x:c r="E43" s="2"/>
      <x:c r="F43" s="2"/>
      <x:c r="G43" s="2"/>
      <x:c r="H43" s="2"/>
    </x:row>
    <x:row r="44">
      <x:c r="A44" s="2"/>
      <x:c r="B44" s="2"/>
      <x:c r="C44" s="2"/>
      <x:c r="D44" s="2"/>
      <x:c r="E44" s="2"/>
      <x:c r="F44" s="2"/>
      <x:c r="G44" s="2"/>
      <x:c r="H44" s="2"/>
    </x:row>
    <x:row r="45">
      <x:c r="A45" s="30" t="str">
        <x:v>Important measurement limits</x:v>
      </x:c>
      <x:c r="B45" s="2"/>
      <x:c r="C45" s="2"/>
      <x:c r="D45" s="2"/>
      <x:c r="E45" s="2"/>
      <x:c r="F45" s="2"/>
      <x:c r="G45" s="2"/>
      <x:c r="H45" s="2"/>
    </x:row>
    <x:row r="46" ht="24" customHeight="1">
      <x:c r="A46" s="37" t="str">
        <x:v>These are historical average positions, not current Dubai rankings. Page assignments are recommendations.</x:v>
      </x:c>
      <x:c r="B46" s="2"/>
      <x:c r="C46" s="2"/>
      <x:c r="D46" s="2"/>
      <x:c r="E46" s="2"/>
      <x:c r="F46" s="2"/>
      <x:c r="G46" s="2"/>
      <x:c r="H46" s="2"/>
    </x:row>
    <x:row r="47" ht="24" customHeight="1">
      <x:c r="A47" s="37" t="str">
        <x:v>The objective is positions 2–5 for relevant queries while preserving better results. No ranking or timing is guaranteed.</x:v>
      </x:c>
      <x:c r="B47" s="2"/>
      <x:c r="C47" s="2"/>
      <x:c r="D47" s="2"/>
      <x:c r="E47" s="2"/>
      <x:c r="F47" s="2"/>
      <x:c r="G47" s="2"/>
      <x:c r="H47" s="2"/>
    </x:row>
    <x:row r="48" ht="24" customHeight="1">
      <x:c r="A48" s="37" t="str">
        <x:v>No website changes were made. This is the plan for review and implementation.</x:v>
      </x:c>
      <x:c r="B48" s="2"/>
      <x:c r="C48" s="2"/>
      <x:c r="D48" s="2"/>
      <x:c r="E48" s="2"/>
      <x:c r="F48" s="2"/>
      <x:c r="G48" s="2"/>
      <x:c r="H48" s="2"/>
    </x:row>
    <x:row r="49">
      <x:c r="A49" s="2"/>
      <x:c r="B49" s="2"/>
      <x:c r="C49" s="2"/>
      <x:c r="D49" s="2"/>
      <x:c r="E49" s="2"/>
      <x:c r="F49" s="2"/>
      <x:c r="G49" s="2"/>
      <x:c r="H49" s="2"/>
    </x:row>
    <x:row r="50">
      <x:c r="A50" s="2"/>
      <x:c r="B50" s="2"/>
      <x:c r="C50" s="2"/>
      <x:c r="D50" s="2"/>
      <x:c r="E50" s="2"/>
      <x:c r="F50" s="2"/>
      <x:c r="G50" s="2"/>
      <x:c r="H50" s="2"/>
    </x:row>
    <x:row r="51">
      <x:c r="A51" s="2"/>
      <x:c r="B51" s="2"/>
      <x:c r="C51" s="2"/>
      <x:c r="D51" s="2"/>
      <x:c r="E51" s="2"/>
      <x:c r="F51" s="2"/>
      <x:c r="G51" s="2"/>
      <x:c r="H51" s="2"/>
    </x:row>
    <x:row r="52">
      <x:c r="A52" s="2"/>
      <x:c r="B52" s="2"/>
      <x:c r="C52" s="2"/>
      <x:c r="D52" s="2"/>
      <x:c r="E52" s="2"/>
      <x:c r="F52" s="2"/>
      <x:c r="G52" s="2"/>
      <x:c r="H52" s="2"/>
    </x:row>
    <x:row r="53">
      <x:c r="A53" s="2"/>
      <x:c r="B53" s="2"/>
      <x:c r="C53" s="2"/>
      <x:c r="D53" s="2"/>
      <x:c r="E53" s="2"/>
      <x:c r="F53" s="2"/>
      <x:c r="G53" s="2"/>
      <x:c r="H53" s="2"/>
    </x:row>
    <x:row r="54">
      <x:c r="A54" s="2"/>
      <x:c r="B54" s="2"/>
      <x:c r="C54" s="2"/>
      <x:c r="D54" s="2"/>
      <x:c r="E54" s="2"/>
      <x:c r="F54" s="2"/>
      <x:c r="G54" s="2"/>
      <x:c r="H54" s="2"/>
    </x:row>
    <x:row r="55">
      <x:c r="A55" s="2"/>
      <x:c r="B55" s="2"/>
      <x:c r="C55" s="2"/>
      <x:c r="D55" s="2"/>
      <x:c r="E55" s="2"/>
      <x:c r="F55" s="2"/>
      <x:c r="G55" s="2"/>
      <x:c r="H55" s="2"/>
    </x:row>
    <x:row r="56">
      <x:c r="A56" s="2"/>
      <x:c r="B56" s="2"/>
      <x:c r="C56" s="2"/>
      <x:c r="D56" s="2"/>
      <x:c r="E56" s="2"/>
      <x:c r="F56" s="2"/>
      <x:c r="G56" s="2"/>
      <x:c r="H56" s="2"/>
    </x:row>
    <x:row r="57">
      <x:c r="A57" s="2"/>
      <x:c r="B57" s="2"/>
      <x:c r="C57" s="2"/>
      <x:c r="D57" s="2"/>
      <x:c r="E57" s="2"/>
      <x:c r="F57" s="2"/>
      <x:c r="G57" s="2"/>
      <x:c r="H57" s="2"/>
    </x:row>
    <x:row r="58">
      <x:c r="A58" s="2"/>
      <x:c r="B58" s="2"/>
      <x:c r="C58" s="2"/>
      <x:c r="D58" s="2"/>
      <x:c r="E58" s="2"/>
      <x:c r="F58" s="2"/>
      <x:c r="G58" s="2"/>
      <x:c r="H58" s="2"/>
    </x:row>
    <x:row r="59">
      <x:c r="A59" s="2"/>
      <x:c r="B59" s="2"/>
      <x:c r="C59" s="2"/>
      <x:c r="D59" s="2"/>
      <x:c r="E59" s="2"/>
      <x:c r="F59" s="2"/>
      <x:c r="G59" s="2"/>
      <x:c r="H59" s="2"/>
    </x:row>
    <x:row r="60">
      <x:c r="A60" s="2"/>
      <x:c r="B60" s="2"/>
      <x:c r="C60" s="2"/>
      <x:c r="D60" s="2"/>
      <x:c r="E60" s="2"/>
      <x:c r="F60" s="2"/>
      <x:c r="G60" s="2"/>
      <x:c r="H60" s="2"/>
    </x:row>
    <x:row r="61">
      <x:c r="A61" s="2"/>
      <x:c r="B61" s="2"/>
      <x:c r="C61" s="2"/>
      <x:c r="D61" s="2"/>
      <x:c r="E61" s="2"/>
      <x:c r="F61" s="2"/>
      <x:c r="G61" s="2"/>
      <x:c r="H61" s="2"/>
    </x:row>
    <x:row r="62">
      <x:c r="A62" s="2"/>
      <x:c r="B62" s="2"/>
      <x:c r="C62" s="2"/>
      <x:c r="D62" s="2"/>
      <x:c r="E62" s="2"/>
      <x:c r="F62" s="2"/>
      <x:c r="G62" s="2"/>
      <x:c r="H62" s="2"/>
    </x:row>
    <x:row r="63">
      <x:c r="A63" s="2"/>
      <x:c r="B63" s="2"/>
      <x:c r="C63" s="2"/>
      <x:c r="D63" s="2"/>
      <x:c r="E63" s="2"/>
      <x:c r="F63" s="2"/>
      <x:c r="G63" s="2"/>
      <x:c r="H63" s="2"/>
    </x:row>
    <x:row r="64">
      <x:c r="A64" s="2"/>
      <x:c r="B64" s="2"/>
      <x:c r="C64" s="2"/>
      <x:c r="D64" s="2"/>
      <x:c r="E64" s="2"/>
      <x:c r="F64" s="2"/>
      <x:c r="G64" s="2"/>
      <x:c r="H64" s="2"/>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xSplit="1" ySplit="4" topLeftCell="B5" activePane="bottomRight" state="frozen"/>
    </x:sheetView>
  </x:sheetViews>
  <x:sheetFormatPr defaultRowHeight="15"/>
  <x:cols>
    <x:col min="1" max="1" width="52" hidden="0" customWidth="1"/>
    <x:col min="2" max="2" width="10" hidden="0" customWidth="1"/>
    <x:col min="3" max="3" width="13" hidden="0" customWidth="1"/>
    <x:col min="4" max="4" width="13" hidden="0" customWidth="1"/>
    <x:col min="5" max="5" width="13" hidden="0" customWidth="1"/>
    <x:col min="6" max="6" width="28" hidden="0" customWidth="1"/>
    <x:col min="7" max="7" width="12" hidden="0" customWidth="1"/>
    <x:col min="8" max="8" width="67" hidden="0" customWidth="1"/>
    <x:col min="9" max="9" width="35" hidden="0" customWidth="1"/>
    <x:col min="10" max="10" width="15" hidden="0" customWidth="1"/>
    <x:col min="11" max="11" width="15" hidden="0" customWidth="1"/>
    <x:col min="12" max="12" width="17" hidden="0" customWidth="1"/>
    <x:col min="13" max="13" width="90" hidden="0" customWidth="1"/>
    <x:col min="14" max="14" width="16" hidden="0" customWidth="1"/>
  </x:cols>
  <x:sheetData>
    <x:row r="1" ht="30" customHeight="1">
      <x:c r="A1" s="3" t="str">
        <x:v>Mercedes query-to-page plan</x:v>
      </x:c>
      <x:c r="B1" s="2"/>
      <x:c r="C1" s="2"/>
      <x:c r="D1" s="2"/>
      <x:c r="E1" s="2"/>
      <x:c r="F1" s="2"/>
      <x:c r="G1" s="2"/>
      <x:c r="H1" s="2"/>
      <x:c r="I1" s="2"/>
      <x:c r="J1" s="2"/>
      <x:c r="K1" s="2"/>
      <x:c r="L1" s="2"/>
      <x:c r="M1" s="2"/>
      <x:c r="N1" s="2"/>
    </x:row>
    <x:row r="2" ht="25" customHeight="1">
      <x:c r="A2" s="5" t="str">
        <x:v>7 Jun–6 Sep 2026 | Original query metrics retained | Targets are recommendations, not observed ranking URLs</x:v>
      </x:c>
      <x:c r="B2" s="4"/>
      <x:c r="C2" s="4"/>
      <x:c r="D2" s="4"/>
      <x:c r="E2" s="4"/>
      <x:c r="F2" s="4"/>
      <x:c r="G2" s="4"/>
      <x:c r="H2" s="4"/>
      <x:c r="I2" s="4"/>
      <x:c r="J2" s="4"/>
      <x:c r="K2" s="4"/>
      <x:c r="L2" s="4"/>
      <x:c r="M2" s="4"/>
      <x:c r="N2" s="4"/>
    </x:row>
    <x:row r="3">
      <x:c r="A3" s="2"/>
      <x:c r="B3" s="2"/>
      <x:c r="C3" s="2"/>
      <x:c r="D3" s="2"/>
      <x:c r="E3" s="2"/>
      <x:c r="F3" s="2"/>
      <x:c r="G3" s="2"/>
      <x:c r="H3" s="2"/>
      <x:c r="I3" s="2"/>
      <x:c r="J3" s="2"/>
      <x:c r="K3" s="2"/>
      <x:c r="L3" s="2"/>
      <x:c r="M3" s="2"/>
      <x:c r="N3" s="2"/>
    </x:row>
    <x:row r="4" ht="34" customHeight="1">
      <x:c r="A4" s="10" t="str">
        <x:v>Exact exported query</x:v>
      </x:c>
      <x:c r="B4" s="11" t="str">
        <x:v>Clicks</x:v>
      </x:c>
      <x:c r="C4" s="11" t="str">
        <x:v>Impressions</x:v>
      </x:c>
      <x:c r="D4" s="11" t="str">
        <x:v>Exported CTR</x:v>
      </x:c>
      <x:c r="E4" s="11" t="str">
        <x:v>Average position</x:v>
      </x:c>
      <x:c r="F4" s="11" t="str">
        <x:v>Intent cluster</x:v>
      </x:c>
      <x:c r="G4" s="11" t="str">
        <x:v>Page ID</x:v>
      </x:c>
      <x:c r="H4" s="11" t="str">
        <x:v>Recommended URL</x:v>
      </x:c>
      <x:c r="I4" s="11" t="str">
        <x:v>Target section</x:v>
      </x:c>
      <x:c r="J4" s="11" t="str">
        <x:v>Service fit</x:v>
      </x:c>
      <x:c r="K4" s="11" t="str">
        <x:v>Work priority</x:v>
      </x:c>
      <x:c r="L4" s="11" t="str">
        <x:v>Gap to position 5</x:v>
      </x:c>
      <x:c r="M4" s="11" t="str">
        <x:v>Recommended action</x:v>
      </x:c>
      <x:c r="N4" s="12" t="str">
        <x:v>Source query row</x:v>
      </x:c>
    </x:row>
    <x:row r="5" ht="65" customHeight="1">
      <x:c r="A5" s="13" t="str">
        <x:v>mercedes repair dubai</x:v>
      </x:c>
      <x:c r="B5" s="17" t="n">
        <x:v>5</x:v>
      </x:c>
      <x:c r="C5" s="17" t="n">
        <x:v>954</x:v>
      </x:c>
      <x:c r="D5" s="18" t="n">
        <x:v>0.0052</x:v>
      </x:c>
      <x:c r="E5" s="19" t="n">
        <x:v>10.64</x:v>
      </x:c>
      <x:c r="F5" s="13" t="str">
        <x:v>General repair and workshop</x:v>
      </x:c>
      <x:c r="G5" s="13" t="str">
        <x:v>HUB</x:v>
      </x:c>
      <x:c r="H5" s="13" t="str">
        <x:v>https://digitecme.com/brands/mercedes-benz-service-dubai</x:v>
      </x:c>
      <x:c r="I5" s="13" t="str">
        <x:v>Workshop and booking</x:v>
      </x:c>
      <x:c r="J5" s="13" t="str">
        <x:v>Relevant</x:v>
      </x:c>
      <x:c r="K5" s="13" t="str">
        <x:f>IF(J5="Hold","Hold",IF(J5="Conditional","Conditional",IF(E5&lt;='Sources'!$B$5,"Protect",IF(AND(E5&lt;='Sources'!$B$7,C5&gt;='Sources'!$B$6),"P1",IF(OR(E5&lt;='Sources'!$B$7,C5&gt;='Sources'!$B$8),"P2","P3")))))</x:f>
        <x:v>P1</x:v>
      </x:c>
      <x:c r="L5" s="16" t="n">
        <x:f>IF(J5="Hold","",MAX(0,E5-'Sources'!$B$5))</x:f>
        <x:v>5.640000000000001</x:v>
      </x:c>
      <x:c r="M5" s="13" t="str">
        <x:v>Use the main Mercedes page for broad repair, service, garage and specialist wording.</x:v>
      </x:c>
      <x:c r="N5" s="13" t="n">
        <x:v>2</x:v>
      </x:c>
    </x:row>
    <x:row r="6" ht="65" customHeight="1">
      <x:c r="A6" s="13" t="str">
        <x:v>mercedes repair in dubai</x:v>
      </x:c>
      <x:c r="B6" s="17" t="n">
        <x:v>3</x:v>
      </x:c>
      <x:c r="C6" s="17" t="n">
        <x:v>271</x:v>
      </x:c>
      <x:c r="D6" s="18" t="n">
        <x:v>0.0111</x:v>
      </x:c>
      <x:c r="E6" s="19" t="n">
        <x:v>11.3</x:v>
      </x:c>
      <x:c r="F6" s="13" t="str">
        <x:v>General repair and workshop</x:v>
      </x:c>
      <x:c r="G6" s="13" t="str">
        <x:v>HUB</x:v>
      </x:c>
      <x:c r="H6" s="13" t="str">
        <x:v>https://digitecme.com/brands/mercedes-benz-service-dubai</x:v>
      </x:c>
      <x:c r="I6" s="13" t="str">
        <x:v>Workshop and booking</x:v>
      </x:c>
      <x:c r="J6" s="13" t="str">
        <x:v>Relevant</x:v>
      </x:c>
      <x:c r="K6" s="13" t="str">
        <x:f>IF(J6="Hold","Hold",IF(J6="Conditional","Conditional",IF(E6&lt;='Sources'!$B$5,"Protect",IF(AND(E6&lt;='Sources'!$B$7,C6&gt;='Sources'!$B$6),"P1",IF(OR(E6&lt;='Sources'!$B$7,C6&gt;='Sources'!$B$8),"P2","P3")))))</x:f>
        <x:v>P1</x:v>
      </x:c>
      <x:c r="L6" s="16" t="n">
        <x:f>IF(J6="Hold","",MAX(0,E6-'Sources'!$B$5))</x:f>
        <x:v>6.300000000000001</x:v>
      </x:c>
      <x:c r="M6" s="13" t="str">
        <x:v>Use the main Mercedes page for broad repair, service, garage and specialist wording.</x:v>
      </x:c>
      <x:c r="N6" s="13" t="n">
        <x:v>3</x:v>
      </x:c>
    </x:row>
    <x:row r="7" ht="65" customHeight="1">
      <x:c r="A7" s="13" t="str">
        <x:v>mercedes repair dubai near me</x:v>
      </x:c>
      <x:c r="B7" s="17" t="n">
        <x:v>2</x:v>
      </x:c>
      <x:c r="C7" s="17" t="n">
        <x:v>9</x:v>
      </x:c>
      <x:c r="D7" s="18" t="n">
        <x:v>0.22219999999999998</x:v>
      </x:c>
      <x:c r="E7" s="19" t="n">
        <x:v>2.22</x:v>
      </x:c>
      <x:c r="F7" s="13" t="str">
        <x:v>General repair and workshop</x:v>
      </x:c>
      <x:c r="G7" s="13" t="str">
        <x:v>HUB</x:v>
      </x:c>
      <x:c r="H7" s="13" t="str">
        <x:v>https://digitecme.com/brands/mercedes-benz-service-dubai</x:v>
      </x:c>
      <x:c r="I7" s="13" t="str">
        <x:v>Workshop and booking</x:v>
      </x:c>
      <x:c r="J7" s="13" t="str">
        <x:v>Relevant</x:v>
      </x:c>
      <x:c r="K7" s="13" t="str">
        <x:f>IF(J7="Hold","Hold",IF(J7="Conditional","Conditional",IF(E7&lt;='Sources'!$B$5,"Protect",IF(AND(E7&lt;='Sources'!$B$7,C7&gt;='Sources'!$B$6),"P1",IF(OR(E7&lt;='Sources'!$B$7,C7&gt;='Sources'!$B$8),"P2","P3")))))</x:f>
        <x:v>Protect</x:v>
      </x:c>
      <x:c r="L7" s="16" t="n">
        <x:f>IF(J7="Hold","",MAX(0,E7-'Sources'!$B$5))</x:f>
        <x:v>0</x:v>
      </x:c>
      <x:c r="M7" s="13" t="str">
        <x:v>Use the main Mercedes page for broad repair, service, garage and specialist wording. Include accurate Al Quoz location and Business Profile links; proximity varies by searcher.</x:v>
      </x:c>
      <x:c r="N7" s="13" t="n">
        <x:v>4</x:v>
      </x:c>
    </x:row>
    <x:row r="8" ht="65" customHeight="1">
      <x:c r="A8" s="13" t="str">
        <x:v>mercedes specialist workshop</x:v>
      </x:c>
      <x:c r="B8" s="17" t="n">
        <x:v>2</x:v>
      </x:c>
      <x:c r="C8" s="17" t="n">
        <x:v>2</x:v>
      </x:c>
      <x:c r="D8" s="18" t="n">
        <x:v>1</x:v>
      </x:c>
      <x:c r="E8" s="19" t="n">
        <x:v>6</x:v>
      </x:c>
      <x:c r="F8" s="13" t="str">
        <x:v>General repair and workshop</x:v>
      </x:c>
      <x:c r="G8" s="13" t="str">
        <x:v>HUB</x:v>
      </x:c>
      <x:c r="H8" s="13" t="str">
        <x:v>https://digitecme.com/brands/mercedes-benz-service-dubai</x:v>
      </x:c>
      <x:c r="I8" s="13" t="str">
        <x:v>Workshop and booking</x:v>
      </x:c>
      <x:c r="J8" s="13" t="str">
        <x:v>Relevant</x:v>
      </x:c>
      <x:c r="K8" s="13" t="str">
        <x:f>IF(J8="Hold","Hold",IF(J8="Conditional","Conditional",IF(E8&lt;='Sources'!$B$5,"Protect",IF(AND(E8&lt;='Sources'!$B$7,C8&gt;='Sources'!$B$6),"P1",IF(OR(E8&lt;='Sources'!$B$7,C8&gt;='Sources'!$B$8),"P2","P3")))))</x:f>
        <x:v>P2</x:v>
      </x:c>
      <x:c r="L8" s="16" t="n">
        <x:f>IF(J8="Hold","",MAX(0,E8-'Sources'!$B$5))</x:f>
        <x:v>1</x:v>
      </x:c>
      <x:c r="M8" s="13" t="str">
        <x:v>Use the main Mercedes page for broad repair, service, garage and specialist wording.</x:v>
      </x:c>
      <x:c r="N8" s="13" t="n">
        <x:v>5</x:v>
      </x:c>
    </x:row>
    <x:row r="9" ht="65" customHeight="1">
      <x:c r="A9" s="13" t="str">
        <x:v>mercedes service dubai</x:v>
      </x:c>
      <x:c r="B9" s="17" t="n">
        <x:v>1</x:v>
      </x:c>
      <x:c r="C9" s="17" t="n">
        <x:v>591</x:v>
      </x:c>
      <x:c r="D9" s="18" t="n">
        <x:v>0.0017000000000000001</x:v>
      </x:c>
      <x:c r="E9" s="19" t="n">
        <x:v>16.81</x:v>
      </x:c>
      <x:c r="F9" s="13" t="str">
        <x:v>Scheduled service and maintenance</x:v>
      </x:c>
      <x:c r="G9" s="13" t="str">
        <x:v>HUB</x:v>
      </x:c>
      <x:c r="H9" s="13" t="str">
        <x:v>https://digitecme.com/brands/mercedes-benz-service-dubai</x:v>
      </x:c>
      <x:c r="I9" s="13" t="str">
        <x:v>Service A/B and minor/major scope</x:v>
      </x:c>
      <x:c r="J9" s="13" t="str">
        <x:v>Relevant</x:v>
      </x:c>
      <x:c r="K9" s="13" t="str">
        <x:f>IF(J9="Hold","Hold",IF(J9="Conditional","Conditional",IF(E9&lt;='Sources'!$B$5,"Protect",IF(AND(E9&lt;='Sources'!$B$7,C9&gt;='Sources'!$B$6),"P1",IF(OR(E9&lt;='Sources'!$B$7,C9&gt;='Sources'!$B$8),"P2","P3")))))</x:f>
        <x:v>P1</x:v>
      </x:c>
      <x:c r="L9" s="16" t="n">
        <x:f>IF(J9="Hold","",MAX(0,E9-'Sources'!$B$5))</x:f>
        <x:v>11.809999999999999</x:v>
      </x:c>
      <x:c r="M9" s="13" t="str">
        <x:v>Use one service booking destination; explain scope and link oil-only work and informational schedules separately.</x:v>
      </x:c>
      <x:c r="N9" s="13" t="n">
        <x:v>6</x:v>
      </x:c>
    </x:row>
    <x:row r="10" ht="65" customHeight="1">
      <x:c r="A10" s="13" t="str">
        <x:v>mercedes transmission repair dubai</x:v>
      </x:c>
      <x:c r="B10" s="17" t="n">
        <x:v>1</x:v>
      </x:c>
      <x:c r="C10" s="17" t="n">
        <x:v>127</x:v>
      </x:c>
      <x:c r="D10" s="18" t="n">
        <x:v>0.0079</x:v>
      </x:c>
      <x:c r="E10" s="19" t="n">
        <x:v>20.81</x:v>
      </x:c>
      <x:c r="F10" s="13" t="str">
        <x:v>Transmission and gearbox</x:v>
      </x:c>
      <x:c r="G10" s="13" t="str">
        <x:v>TRANS</x:v>
      </x:c>
      <x:c r="H10" s="13" t="str">
        <x:v>https://digitecme.com/services/mercedes-transmission-repair-dubai</x:v>
      </x:c>
      <x:c r="I10" s="13" t="str">
        <x:v>Gearbox service and fault diagnosis</x:v>
      </x:c>
      <x:c r="J10" s="13" t="str">
        <x:v>Relevant</x:v>
      </x:c>
      <x:c r="K10" s="13" t="str">
        <x:f>IF(J10="Hold","Hold",IF(J10="Conditional","Conditional",IF(E10&lt;='Sources'!$B$5,"Protect",IF(AND(E10&lt;='Sources'!$B$7,C10&gt;='Sources'!$B$6),"P1",IF(OR(E10&lt;='Sources'!$B$7,C10&gt;='Sources'!$B$8),"P2","P3")))))</x:f>
        <x:v>P2</x:v>
      </x:c>
      <x:c r="L10" s="16" t="n">
        <x:f>IF(J10="Hold","",MAX(0,E10-'Sources'!$B$5))</x:f>
        <x:v>15.809999999999999</x:v>
      </x:c>
      <x:c r="M10" s="13" t="str">
        <x:v>Match transmission repair, service and applicable clutch work to one transactional page.</x:v>
      </x:c>
      <x:c r="N10" s="13" t="n">
        <x:v>7</x:v>
      </x:c>
    </x:row>
    <x:row r="11" ht="65" customHeight="1">
      <x:c r="A11" s="13" t="str">
        <x:v>mercedes transmission repair</x:v>
      </x:c>
      <x:c r="B11" s="17" t="n">
        <x:v>1</x:v>
      </x:c>
      <x:c r="C11" s="17" t="n">
        <x:v>98</x:v>
      </x:c>
      <x:c r="D11" s="18" t="n">
        <x:v>0.0102</x:v>
      </x:c>
      <x:c r="E11" s="19" t="n">
        <x:v>36.9</x:v>
      </x:c>
      <x:c r="F11" s="13" t="str">
        <x:v>Transmission and gearbox</x:v>
      </x:c>
      <x:c r="G11" s="13" t="str">
        <x:v>TRANS</x:v>
      </x:c>
      <x:c r="H11" s="13" t="str">
        <x:v>https://digitecme.com/services/mercedes-transmission-repair-dubai</x:v>
      </x:c>
      <x:c r="I11" s="13" t="str">
        <x:v>Gearbox service and fault diagnosis</x:v>
      </x:c>
      <x:c r="J11" s="13" t="str">
        <x:v>Relevant</x:v>
      </x:c>
      <x:c r="K11" s="13" t="str">
        <x:f>IF(J11="Hold","Hold",IF(J11="Conditional","Conditional",IF(E11&lt;='Sources'!$B$5,"Protect",IF(AND(E11&lt;='Sources'!$B$7,C11&gt;='Sources'!$B$6),"P1",IF(OR(E11&lt;='Sources'!$B$7,C11&gt;='Sources'!$B$8),"P2","P3")))))</x:f>
        <x:v>P2</x:v>
      </x:c>
      <x:c r="L11" s="16" t="n">
        <x:f>IF(J11="Hold","",MAX(0,E11-'Sources'!$B$5))</x:f>
        <x:v>31.9</x:v>
      </x:c>
      <x:c r="M11" s="13" t="str">
        <x:v>Match transmission repair, service and applicable clutch work to one transactional page.</x:v>
      </x:c>
      <x:c r="N11" s="13" t="n">
        <x:v>8</x:v>
      </x:c>
    </x:row>
    <x:row r="12" ht="65" customHeight="1">
      <x:c r="A12" s="13" t="str">
        <x:v>mercedes major service dubai</x:v>
      </x:c>
      <x:c r="B12" s="17" t="n">
        <x:v>1</x:v>
      </x:c>
      <x:c r="C12" s="17" t="n">
        <x:v>70</x:v>
      </x:c>
      <x:c r="D12" s="18" t="n">
        <x:v>0.0143</x:v>
      </x:c>
      <x:c r="E12" s="19" t="n">
        <x:v>14.24</x:v>
      </x:c>
      <x:c r="F12" s="13" t="str">
        <x:v>Scheduled service and maintenance</x:v>
      </x:c>
      <x:c r="G12" s="13" t="str">
        <x:v>HUB</x:v>
      </x:c>
      <x:c r="H12" s="13" t="str">
        <x:v>https://digitecme.com/brands/mercedes-benz-service-dubai</x:v>
      </x:c>
      <x:c r="I12" s="13" t="str">
        <x:v>Service A/B and minor/major scope</x:v>
      </x:c>
      <x:c r="J12" s="13" t="str">
        <x:v>Relevant</x:v>
      </x:c>
      <x:c r="K12" s="13" t="str">
        <x:f>IF(J12="Hold","Hold",IF(J12="Conditional","Conditional",IF(E12&lt;='Sources'!$B$5,"Protect",IF(AND(E12&lt;='Sources'!$B$7,C12&gt;='Sources'!$B$6),"P1",IF(OR(E12&lt;='Sources'!$B$7,C12&gt;='Sources'!$B$8),"P2","P3")))))</x:f>
        <x:v>P1</x:v>
      </x:c>
      <x:c r="L12" s="16" t="n">
        <x:f>IF(J12="Hold","",MAX(0,E12-'Sources'!$B$5))</x:f>
        <x:v>9.24</x:v>
      </x:c>
      <x:c r="M12" s="13" t="str">
        <x:v>Use one service booking destination; explain scope and link oil-only work and informational schedules separately.</x:v>
      </x:c>
      <x:c r="N12" s="13" t="n">
        <x:v>9</x:v>
      </x:c>
    </x:row>
    <x:row r="13" ht="65" customHeight="1">
      <x:c r="A13" s="13" t="str">
        <x:v>mercedes ac repair dubai</x:v>
      </x:c>
      <x:c r="B13" s="17" t="n">
        <x:v>1</x:v>
      </x:c>
      <x:c r="C13" s="17" t="n">
        <x:v>46</x:v>
      </x:c>
      <x:c r="D13" s="18" t="n">
        <x:v>0.0217</x:v>
      </x:c>
      <x:c r="E13" s="19" t="n">
        <x:v>22.87</x:v>
      </x:c>
      <x:c r="F13" s="13" t="str">
        <x:v>AC repair</x:v>
      </x:c>
      <x:c r="G13" s="13" t="str">
        <x:v>AC</x:v>
      </x:c>
      <x:c r="H13" s="13" t="str">
        <x:v>https://digitecme.com/services/mercedes-ac-repair-dubai</x:v>
      </x:c>
      <x:c r="I13" s="13" t="str">
        <x:v>AC diagnosis, recharge and repair</x:v>
      </x:c>
      <x:c r="J13" s="13" t="str">
        <x:v>Relevant</x:v>
      </x:c>
      <x:c r="K13" s="13" t="str">
        <x:f>IF(J13="Hold","Hold",IF(J13="Conditional","Conditional",IF(E13&lt;='Sources'!$B$5,"Protect",IF(AND(E13&lt;='Sources'!$B$7,C13&gt;='Sources'!$B$6),"P1",IF(OR(E13&lt;='Sources'!$B$7,C13&gt;='Sources'!$B$8),"P2","P3")))))</x:f>
        <x:v>P2</x:v>
      </x:c>
      <x:c r="L13" s="16" t="n">
        <x:f>IF(J13="Hold","",MAX(0,E13-'Sources'!$B$5))</x:f>
        <x:v>17.87</x:v>
      </x:c>
      <x:c r="M13" s="13" t="str">
        <x:v>Use AC and air conditioning as natural wording on the same page.</x:v>
      </x:c>
      <x:c r="N13" s="13" t="n">
        <x:v>10</x:v>
      </x:c>
    </x:row>
    <x:row r="14" ht="65" customHeight="1">
      <x:c r="A14" s="13" t="str">
        <x:v>mercedes gad motors</x:v>
      </x:c>
      <x:c r="B14" s="17" t="n">
        <x:v>1</x:v>
      </x:c>
      <x:c r="C14" s="17" t="n">
        <x:v>33</x:v>
      </x:c>
      <x:c r="D14" s="18" t="n">
        <x:v>0.030299999999999997</x:v>
      </x:c>
      <x:c r="E14" s="19" t="n">
        <x:v>6.67</x:v>
      </x:c>
      <x:c r="F14" s="13" t="str">
        <x:v>Performance tuning and GAD</x:v>
      </x:c>
      <x:c r="G14" s="13" t="str">
        <x:v>TUNE</x:v>
      </x:c>
      <x:c r="H14" s="13" t="str">
        <x:v>https://digitecme.com/tuning</x:v>
      </x:c>
      <x:c r="I14" s="13" t="str">
        <x:v>Mercedes-AMG tuning and verified projects</x:v>
      </x:c>
      <x:c r="J14" s="13" t="str">
        <x:v>Relevant</x:v>
      </x:c>
      <x:c r="K14" s="13" t="str">
        <x:f>IF(J14="Hold","Hold",IF(J14="Conditional","Conditional",IF(E14&lt;='Sources'!$B$5,"Protect",IF(AND(E14&lt;='Sources'!$B$7,C14&gt;='Sources'!$B$6),"P1",IF(OR(E14&lt;='Sources'!$B$7,C14&gt;='Sources'!$B$8),"P2","P3")))))</x:f>
        <x:v>P2</x:v>
      </x:c>
      <x:c r="L14" s="16" t="n">
        <x:f>IF(J14="Hold","",MAX(0,E14-'Sources'!$B$5))</x:f>
        <x:v>1.67</x:v>
      </x:c>
      <x:c r="M14" s="13" t="str">
        <x:v>Use the Mercedes section of the existing tuning page and relevant project evidence.</x:v>
      </x:c>
      <x:c r="N14" s="13" t="n">
        <x:v>11</x:v>
      </x:c>
    </x:row>
    <x:row r="15" ht="65" customHeight="1">
      <x:c r="A15" s="13" t="str">
        <x:v>mercedes repair shop</x:v>
      </x:c>
      <x:c r="B15" s="17" t="n">
        <x:v>1</x:v>
      </x:c>
      <x:c r="C15" s="17" t="n">
        <x:v>11</x:v>
      </x:c>
      <x:c r="D15" s="18" t="n">
        <x:v>0.0909</x:v>
      </x:c>
      <x:c r="E15" s="19" t="n">
        <x:v>8.45</x:v>
      </x:c>
      <x:c r="F15" s="13" t="str">
        <x:v>General repair and workshop</x:v>
      </x:c>
      <x:c r="G15" s="13" t="str">
        <x:v>HUB</x:v>
      </x:c>
      <x:c r="H15" s="13" t="str">
        <x:v>https://digitecme.com/brands/mercedes-benz-service-dubai</x:v>
      </x:c>
      <x:c r="I15" s="13" t="str">
        <x:v>Workshop and booking</x:v>
      </x:c>
      <x:c r="J15" s="13" t="str">
        <x:v>Relevant</x:v>
      </x:c>
      <x:c r="K15" s="13" t="str">
        <x:f>IF(J15="Hold","Hold",IF(J15="Conditional","Conditional",IF(E15&lt;='Sources'!$B$5,"Protect",IF(AND(E15&lt;='Sources'!$B$7,C15&gt;='Sources'!$B$6),"P1",IF(OR(E15&lt;='Sources'!$B$7,C15&gt;='Sources'!$B$8),"P2","P3")))))</x:f>
        <x:v>P2</x:v>
      </x:c>
      <x:c r="L15" s="16" t="n">
        <x:f>IF(J15="Hold","",MAX(0,E15-'Sources'!$B$5))</x:f>
        <x:v>3.4499999999999993</x:v>
      </x:c>
      <x:c r="M15" s="13" t="str">
        <x:v>Use the main Mercedes page for broad repair, service, garage and specialist wording.</x:v>
      </x:c>
      <x:c r="N15" s="13" t="n">
        <x:v>12</x:v>
      </x:c>
    </x:row>
    <x:row r="16" ht="65" customHeight="1">
      <x:c r="A16" s="13" t="str">
        <x:v>mercedes repair</x:v>
      </x:c>
      <x:c r="B16" s="17" t="n">
        <x:v>0</x:v>
      </x:c>
      <x:c r="C16" s="17" t="n">
        <x:v>635</x:v>
      </x:c>
      <x:c r="D16" s="18" t="n">
        <x:v>0</x:v>
      </x:c>
      <x:c r="E16" s="19" t="n">
        <x:v>17.31</x:v>
      </x:c>
      <x:c r="F16" s="13" t="str">
        <x:v>General repair and workshop</x:v>
      </x:c>
      <x:c r="G16" s="13" t="str">
        <x:v>HUB</x:v>
      </x:c>
      <x:c r="H16" s="13" t="str">
        <x:v>https://digitecme.com/brands/mercedes-benz-service-dubai</x:v>
      </x:c>
      <x:c r="I16" s="13" t="str">
        <x:v>Workshop and booking</x:v>
      </x:c>
      <x:c r="J16" s="13" t="str">
        <x:v>Relevant</x:v>
      </x:c>
      <x:c r="K16" s="13" t="str">
        <x:f>IF(J16="Hold","Hold",IF(J16="Conditional","Conditional",IF(E16&lt;='Sources'!$B$5,"Protect",IF(AND(E16&lt;='Sources'!$B$7,C16&gt;='Sources'!$B$6),"P1",IF(OR(E16&lt;='Sources'!$B$7,C16&gt;='Sources'!$B$8),"P2","P3")))))</x:f>
        <x:v>P1</x:v>
      </x:c>
      <x:c r="L16" s="16" t="n">
        <x:f>IF(J16="Hold","",MAX(0,E16-'Sources'!$B$5))</x:f>
        <x:v>12.309999999999999</x:v>
      </x:c>
      <x:c r="M16" s="13" t="str">
        <x:v>Use the main Mercedes page for broad repair, service, garage and specialist wording.</x:v>
      </x:c>
      <x:c r="N16" s="13" t="n">
        <x:v>13</x:v>
      </x:c>
    </x:row>
    <x:row r="17" ht="65" customHeight="1">
      <x:c r="A17" s="13" t="str">
        <x:v>mercedes workshop dubai</x:v>
      </x:c>
      <x:c r="B17" s="17" t="n">
        <x:v>0</x:v>
      </x:c>
      <x:c r="C17" s="17" t="n">
        <x:v>374</x:v>
      </x:c>
      <x:c r="D17" s="18" t="n">
        <x:v>0</x:v>
      </x:c>
      <x:c r="E17" s="19" t="n">
        <x:v>22.03</x:v>
      </x:c>
      <x:c r="F17" s="13" t="str">
        <x:v>General repair and workshop</x:v>
      </x:c>
      <x:c r="G17" s="13" t="str">
        <x:v>HUB</x:v>
      </x:c>
      <x:c r="H17" s="13" t="str">
        <x:v>https://digitecme.com/brands/mercedes-benz-service-dubai</x:v>
      </x:c>
      <x:c r="I17" s="13" t="str">
        <x:v>Workshop and booking</x:v>
      </x:c>
      <x:c r="J17" s="13" t="str">
        <x:v>Relevant</x:v>
      </x:c>
      <x:c r="K17" s="13" t="str">
        <x:f>IF(J17="Hold","Hold",IF(J17="Conditional","Conditional",IF(E17&lt;='Sources'!$B$5,"Protect",IF(AND(E17&lt;='Sources'!$B$7,C17&gt;='Sources'!$B$6),"P1",IF(OR(E17&lt;='Sources'!$B$7,C17&gt;='Sources'!$B$8),"P2","P3")))))</x:f>
        <x:v>P2</x:v>
      </x:c>
      <x:c r="L17" s="16" t="n">
        <x:f>IF(J17="Hold","",MAX(0,E17-'Sources'!$B$5))</x:f>
        <x:v>17.03</x:v>
      </x:c>
      <x:c r="M17" s="13" t="str">
        <x:v>Use the main Mercedes page for broad repair, service, garage and specialist wording.</x:v>
      </x:c>
      <x:c r="N17" s="13" t="n">
        <x:v>14</x:v>
      </x:c>
    </x:row>
    <x:row r="18" ht="65" customHeight="1">
      <x:c r="A18" s="13" t="str">
        <x:v>mercedes service</x:v>
      </x:c>
      <x:c r="B18" s="17" t="n">
        <x:v>0</x:v>
      </x:c>
      <x:c r="C18" s="17" t="n">
        <x:v>331</x:v>
      </x:c>
      <x:c r="D18" s="18" t="n">
        <x:v>0</x:v>
      </x:c>
      <x:c r="E18" s="19" t="n">
        <x:v>25.85</x:v>
      </x:c>
      <x:c r="F18" s="13" t="str">
        <x:v>Scheduled service and maintenance</x:v>
      </x:c>
      <x:c r="G18" s="13" t="str">
        <x:v>HUB</x:v>
      </x:c>
      <x:c r="H18" s="13" t="str">
        <x:v>https://digitecme.com/brands/mercedes-benz-service-dubai</x:v>
      </x:c>
      <x:c r="I18" s="13" t="str">
        <x:v>Service A/B and minor/major scope</x:v>
      </x:c>
      <x:c r="J18" s="13" t="str">
        <x:v>Relevant</x:v>
      </x:c>
      <x:c r="K18" s="13" t="str">
        <x:f>IF(J18="Hold","Hold",IF(J18="Conditional","Conditional",IF(E18&lt;='Sources'!$B$5,"Protect",IF(AND(E18&lt;='Sources'!$B$7,C18&gt;='Sources'!$B$6),"P1",IF(OR(E18&lt;='Sources'!$B$7,C18&gt;='Sources'!$B$8),"P2","P3")))))</x:f>
        <x:v>P2</x:v>
      </x:c>
      <x:c r="L18" s="16" t="n">
        <x:f>IF(J18="Hold","",MAX(0,E18-'Sources'!$B$5))</x:f>
        <x:v>20.85</x:v>
      </x:c>
      <x:c r="M18" s="13" t="str">
        <x:v>Use one service booking destination; explain scope and link oil-only work and informational schedules separately.</x:v>
      </x:c>
      <x:c r="N18" s="13" t="n">
        <x:v>15</x:v>
      </x:c>
    </x:row>
    <x:row r="19" ht="65" customHeight="1">
      <x:c r="A19" s="13" t="str">
        <x:v>mercedes specialist dubai</x:v>
      </x:c>
      <x:c r="B19" s="17" t="n">
        <x:v>0</x:v>
      </x:c>
      <x:c r="C19" s="17" t="n">
        <x:v>315</x:v>
      </x:c>
      <x:c r="D19" s="18" t="n">
        <x:v>0</x:v>
      </x:c>
      <x:c r="E19" s="19" t="n">
        <x:v>10.86</x:v>
      </x:c>
      <x:c r="F19" s="13" t="str">
        <x:v>General repair and workshop</x:v>
      </x:c>
      <x:c r="G19" s="13" t="str">
        <x:v>HUB</x:v>
      </x:c>
      <x:c r="H19" s="13" t="str">
        <x:v>https://digitecme.com/brands/mercedes-benz-service-dubai</x:v>
      </x:c>
      <x:c r="I19" s="13" t="str">
        <x:v>Workshop and booking</x:v>
      </x:c>
      <x:c r="J19" s="13" t="str">
        <x:v>Relevant</x:v>
      </x:c>
      <x:c r="K19" s="13" t="str">
        <x:f>IF(J19="Hold","Hold",IF(J19="Conditional","Conditional",IF(E19&lt;='Sources'!$B$5,"Protect",IF(AND(E19&lt;='Sources'!$B$7,C19&gt;='Sources'!$B$6),"P1",IF(OR(E19&lt;='Sources'!$B$7,C19&gt;='Sources'!$B$8),"P2","P3")))))</x:f>
        <x:v>P1</x:v>
      </x:c>
      <x:c r="L19" s="16" t="n">
        <x:f>IF(J19="Hold","",MAX(0,E19-'Sources'!$B$5))</x:f>
        <x:v>5.859999999999999</x:v>
      </x:c>
      <x:c r="M19" s="13" t="str">
        <x:v>Use the main Mercedes page for broad repair, service, garage and specialist wording.</x:v>
      </x:c>
      <x:c r="N19" s="13" t="n">
        <x:v>16</x:v>
      </x:c>
    </x:row>
    <x:row r="20" ht="65" customHeight="1">
      <x:c r="A20" s="13" t="str">
        <x:v>mercedes service center dubai</x:v>
      </x:c>
      <x:c r="B20" s="17" t="n">
        <x:v>0</x:v>
      </x:c>
      <x:c r="C20" s="17" t="n">
        <x:v>261</x:v>
      </x:c>
      <x:c r="D20" s="18" t="n">
        <x:v>0</x:v>
      </x:c>
      <x:c r="E20" s="19" t="n">
        <x:v>16.69</x:v>
      </x:c>
      <x:c r="F20" s="13" t="str">
        <x:v>Scheduled service and maintenance</x:v>
      </x:c>
      <x:c r="G20" s="13" t="str">
        <x:v>HUB</x:v>
      </x:c>
      <x:c r="H20" s="13" t="str">
        <x:v>https://digitecme.com/brands/mercedes-benz-service-dubai</x:v>
      </x:c>
      <x:c r="I20" s="13" t="str">
        <x:v>Service A/B and minor/major scope</x:v>
      </x:c>
      <x:c r="J20" s="13" t="str">
        <x:v>Relevant</x:v>
      </x:c>
      <x:c r="K20" s="13" t="str">
        <x:f>IF(J20="Hold","Hold",IF(J20="Conditional","Conditional",IF(E20&lt;='Sources'!$B$5,"Protect",IF(AND(E20&lt;='Sources'!$B$7,C20&gt;='Sources'!$B$6),"P1",IF(OR(E20&lt;='Sources'!$B$7,C20&gt;='Sources'!$B$8),"P2","P3")))))</x:f>
        <x:v>P1</x:v>
      </x:c>
      <x:c r="L20" s="16" t="n">
        <x:f>IF(J20="Hold","",MAX(0,E20-'Sources'!$B$5))</x:f>
        <x:v>11.690000000000001</x:v>
      </x:c>
      <x:c r="M20" s="13" t="str">
        <x:v>Use one service booking destination; explain scope and link oil-only work and informational schedules separately.</x:v>
      </x:c>
      <x:c r="N20" s="13" t="n">
        <x:v>17</x:v>
      </x:c>
    </x:row>
    <x:row r="21" ht="65" customHeight="1">
      <x:c r="A21" s="13" t="str">
        <x:v>mercedes suspension repair dubai</x:v>
      </x:c>
      <x:c r="B21" s="17" t="n">
        <x:v>0</x:v>
      </x:c>
      <x:c r="C21" s="17" t="n">
        <x:v>245</x:v>
      </x:c>
      <x:c r="D21" s="18" t="n">
        <x:v>0</x:v>
      </x:c>
      <x:c r="E21" s="19" t="n">
        <x:v>16.22</x:v>
      </x:c>
      <x:c r="F21" s="13" t="str">
        <x:v>Suspension repair</x:v>
      </x:c>
      <x:c r="G21" s="13" t="str">
        <x:v>SUSP</x:v>
      </x:c>
      <x:c r="H21" s="13" t="str">
        <x:v>https://digitecme.com/services/mercedes-suspension-repair-dubai</x:v>
      </x:c>
      <x:c r="I21" s="13" t="str">
        <x:v>Suspension and AIRMATIC diagnosis</x:v>
      </x:c>
      <x:c r="J21" s="13" t="str">
        <x:v>Relevant</x:v>
      </x:c>
      <x:c r="K21" s="13" t="str">
        <x:f>IF(J21="Hold","Hold",IF(J21="Conditional","Conditional",IF(E21&lt;='Sources'!$B$5,"Protect",IF(AND(E21&lt;='Sources'!$B$7,C21&gt;='Sources'!$B$6),"P1",IF(OR(E21&lt;='Sources'!$B$7,C21&gt;='Sources'!$B$8),"P2","P3")))))</x:f>
        <x:v>P1</x:v>
      </x:c>
      <x:c r="L21" s="16" t="n">
        <x:f>IF(J21="Hold","",MAX(0,E21-'Sources'!$B$5))</x:f>
        <x:v>11.219999999999999</x:v>
      </x:c>
      <x:c r="M21" s="13" t="str">
        <x:v>Use the Mercedes suspension service page, with links to relevant symptom guides.</x:v>
      </x:c>
      <x:c r="N21" s="13" t="n">
        <x:v>18</x:v>
      </x:c>
    </x:row>
    <x:row r="22" ht="65" customHeight="1">
      <x:c r="A22" s="13" t="str">
        <x:v>mercedes repair specialist</x:v>
      </x:c>
      <x:c r="B22" s="17" t="n">
        <x:v>0</x:v>
      </x:c>
      <x:c r="C22" s="17" t="n">
        <x:v>242</x:v>
      </x:c>
      <x:c r="D22" s="18" t="n">
        <x:v>0</x:v>
      </x:c>
      <x:c r="E22" s="19" t="n">
        <x:v>16.51</x:v>
      </x:c>
      <x:c r="F22" s="13" t="str">
        <x:v>General repair and workshop</x:v>
      </x:c>
      <x:c r="G22" s="13" t="str">
        <x:v>HUB</x:v>
      </x:c>
      <x:c r="H22" s="13" t="str">
        <x:v>https://digitecme.com/brands/mercedes-benz-service-dubai</x:v>
      </x:c>
      <x:c r="I22" s="13" t="str">
        <x:v>Workshop and booking</x:v>
      </x:c>
      <x:c r="J22" s="13" t="str">
        <x:v>Relevant</x:v>
      </x:c>
      <x:c r="K22" s="13" t="str">
        <x:f>IF(J22="Hold","Hold",IF(J22="Conditional","Conditional",IF(E22&lt;='Sources'!$B$5,"Protect",IF(AND(E22&lt;='Sources'!$B$7,C22&gt;='Sources'!$B$6),"P1",IF(OR(E22&lt;='Sources'!$B$7,C22&gt;='Sources'!$B$8),"P2","P3")))))</x:f>
        <x:v>P1</x:v>
      </x:c>
      <x:c r="L22" s="16" t="n">
        <x:f>IF(J22="Hold","",MAX(0,E22-'Sources'!$B$5))</x:f>
        <x:v>11.510000000000002</x:v>
      </x:c>
      <x:c r="M22" s="13" t="str">
        <x:v>Use the main Mercedes page for broad repair, service, garage and specialist wording.</x:v>
      </x:c>
      <x:c r="N22" s="13" t="n">
        <x:v>19</x:v>
      </x:c>
    </x:row>
    <x:row r="23" ht="65" customHeight="1">
      <x:c r="A23" s="13" t="str">
        <x:v>mercedes maintenance dubai</x:v>
      </x:c>
      <x:c r="B23" s="17" t="n">
        <x:v>0</x:v>
      </x:c>
      <x:c r="C23" s="17" t="n">
        <x:v>241</x:v>
      </x:c>
      <x:c r="D23" s="18" t="n">
        <x:v>0</x:v>
      </x:c>
      <x:c r="E23" s="19" t="n">
        <x:v>15.67</x:v>
      </x:c>
      <x:c r="F23" s="13" t="str">
        <x:v>Scheduled service and maintenance</x:v>
      </x:c>
      <x:c r="G23" s="13" t="str">
        <x:v>HUB</x:v>
      </x:c>
      <x:c r="H23" s="13" t="str">
        <x:v>https://digitecme.com/brands/mercedes-benz-service-dubai</x:v>
      </x:c>
      <x:c r="I23" s="13" t="str">
        <x:v>Service A/B and minor/major scope</x:v>
      </x:c>
      <x:c r="J23" s="13" t="str">
        <x:v>Relevant</x:v>
      </x:c>
      <x:c r="K23" s="13" t="str">
        <x:f>IF(J23="Hold","Hold",IF(J23="Conditional","Conditional",IF(E23&lt;='Sources'!$B$5,"Protect",IF(AND(E23&lt;='Sources'!$B$7,C23&gt;='Sources'!$B$6),"P1",IF(OR(E23&lt;='Sources'!$B$7,C23&gt;='Sources'!$B$8),"P2","P3")))))</x:f>
        <x:v>P1</x:v>
      </x:c>
      <x:c r="L23" s="16" t="n">
        <x:f>IF(J23="Hold","",MAX(0,E23-'Sources'!$B$5))</x:f>
        <x:v>10.67</x:v>
      </x:c>
      <x:c r="M23" s="13" t="str">
        <x:v>Use one service booking destination; explain scope and link oil-only work and informational schedules separately.</x:v>
      </x:c>
      <x:c r="N23" s="13" t="n">
        <x:v>20</x:v>
      </x:c>
    </x:row>
    <x:row r="24" ht="65" customHeight="1">
      <x:c r="A24" s="13" t="str">
        <x:v>mercedes engine repair</x:v>
      </x:c>
      <x:c r="B24" s="17" t="n">
        <x:v>0</x:v>
      </x:c>
      <x:c r="C24" s="17" t="n">
        <x:v>221</x:v>
      </x:c>
      <x:c r="D24" s="18" t="n">
        <x:v>0</x:v>
      </x:c>
      <x:c r="E24" s="19" t="n">
        <x:v>56.81</x:v>
      </x:c>
      <x:c r="F24" s="13" t="str">
        <x:v>Engine repair</x:v>
      </x:c>
      <x:c r="G24" s="13" t="str">
        <x:v>ENGINE</x:v>
      </x:c>
      <x:c r="H24" s="13" t="str">
        <x:v>https://digitecme.com/services/mercedes-mechanical-repair-dubai</x:v>
      </x:c>
      <x:c r="I24" s="13" t="str">
        <x:v>Engine diagnosis and mechanical repair</x:v>
      </x:c>
      <x:c r="J24" s="13" t="str">
        <x:v>Relevant</x:v>
      </x:c>
      <x:c r="K24" s="13" t="str">
        <x:f>IF(J24="Hold","Hold",IF(J24="Conditional","Conditional",IF(E24&lt;='Sources'!$B$5,"Protect",IF(AND(E24&lt;='Sources'!$B$7,C24&gt;='Sources'!$B$6),"P1",IF(OR(E24&lt;='Sources'!$B$7,C24&gt;='Sources'!$B$8),"P2","P3")))))</x:f>
        <x:v>P2</x:v>
      </x:c>
      <x:c r="L24" s="16" t="n">
        <x:f>IF(J24="Hold","",MAX(0,E24-'Sources'!$B$5))</x:f>
        <x:v>51.81</x:v>
      </x:c>
      <x:c r="M24" s="13" t="str">
        <x:v>Make engine repair prominent on the existing mechanical URL; avoid another competing URL.</x:v>
      </x:c>
      <x:c r="N24" s="13" t="n">
        <x:v>21</x:v>
      </x:c>
    </x:row>
    <x:row r="25" ht="65" customHeight="1">
      <x:c r="A25" s="13" t="str">
        <x:v>mercedes benz repair dubai</x:v>
      </x:c>
      <x:c r="B25" s="17" t="n">
        <x:v>0</x:v>
      </x:c>
      <x:c r="C25" s="17" t="n">
        <x:v>192</x:v>
      </x:c>
      <x:c r="D25" s="18" t="n">
        <x:v>0</x:v>
      </x:c>
      <x:c r="E25" s="19" t="n">
        <x:v>13.04</x:v>
      </x:c>
      <x:c r="F25" s="13" t="str">
        <x:v>General repair and workshop</x:v>
      </x:c>
      <x:c r="G25" s="13" t="str">
        <x:v>HUB</x:v>
      </x:c>
      <x:c r="H25" s="13" t="str">
        <x:v>https://digitecme.com/brands/mercedes-benz-service-dubai</x:v>
      </x:c>
      <x:c r="I25" s="13" t="str">
        <x:v>Workshop and booking</x:v>
      </x:c>
      <x:c r="J25" s="13" t="str">
        <x:v>Relevant</x:v>
      </x:c>
      <x:c r="K25" s="13" t="str">
        <x:f>IF(J25="Hold","Hold",IF(J25="Conditional","Conditional",IF(E25&lt;='Sources'!$B$5,"Protect",IF(AND(E25&lt;='Sources'!$B$7,C25&gt;='Sources'!$B$6),"P1",IF(OR(E25&lt;='Sources'!$B$7,C25&gt;='Sources'!$B$8),"P2","P3")))))</x:f>
        <x:v>P1</x:v>
      </x:c>
      <x:c r="L25" s="16" t="n">
        <x:f>IF(J25="Hold","",MAX(0,E25-'Sources'!$B$5))</x:f>
        <x:v>8.04</x:v>
      </x:c>
      <x:c r="M25" s="13" t="str">
        <x:v>Use the main Mercedes page for broad repair, service, garage and specialist wording.</x:v>
      </x:c>
      <x:c r="N25" s="13" t="n">
        <x:v>22</x:v>
      </x:c>
    </x:row>
    <x:row r="26" ht="65" customHeight="1">
      <x:c r="A26" s="13" t="str">
        <x:v>mercedes engine repair dubai</x:v>
      </x:c>
      <x:c r="B26" s="17" t="n">
        <x:v>0</x:v>
      </x:c>
      <x:c r="C26" s="17" t="n">
        <x:v>184</x:v>
      </x:c>
      <x:c r="D26" s="18" t="n">
        <x:v>0</x:v>
      </x:c>
      <x:c r="E26" s="19" t="n">
        <x:v>17.47</x:v>
      </x:c>
      <x:c r="F26" s="13" t="str">
        <x:v>Engine repair</x:v>
      </x:c>
      <x:c r="G26" s="13" t="str">
        <x:v>ENGINE</x:v>
      </x:c>
      <x:c r="H26" s="13" t="str">
        <x:v>https://digitecme.com/services/mercedes-mechanical-repair-dubai</x:v>
      </x:c>
      <x:c r="I26" s="13" t="str">
        <x:v>Engine diagnosis and mechanical repair</x:v>
      </x:c>
      <x:c r="J26" s="13" t="str">
        <x:v>Relevant</x:v>
      </x:c>
      <x:c r="K26" s="13" t="str">
        <x:f>IF(J26="Hold","Hold",IF(J26="Conditional","Conditional",IF(E26&lt;='Sources'!$B$5,"Protect",IF(AND(E26&lt;='Sources'!$B$7,C26&gt;='Sources'!$B$6),"P1",IF(OR(E26&lt;='Sources'!$B$7,C26&gt;='Sources'!$B$8),"P2","P3")))))</x:f>
        <x:v>P1</x:v>
      </x:c>
      <x:c r="L26" s="16" t="n">
        <x:f>IF(J26="Hold","",MAX(0,E26-'Sources'!$B$5))</x:f>
        <x:v>12.469999999999999</x:v>
      </x:c>
      <x:c r="M26" s="13" t="str">
        <x:v>Make engine repair prominent on the existing mechanical URL; avoid another competing URL.</x:v>
      </x:c>
      <x:c r="N26" s="13" t="n">
        <x:v>23</x:v>
      </x:c>
    </x:row>
    <x:row r="27" ht="65" customHeight="1">
      <x:c r="A27" s="13" t="str">
        <x:v>mercedes coding service</x:v>
      </x:c>
      <x:c r="B27" s="17" t="n">
        <x:v>0</x:v>
      </x:c>
      <x:c r="C27" s="17" t="n">
        <x:v>180</x:v>
      </x:c>
      <x:c r="D27" s="18" t="n">
        <x:v>0</x:v>
      </x:c>
      <x:c r="E27" s="19" t="n">
        <x:v>51.6</x:v>
      </x:c>
      <x:c r="F27" s="13" t="str">
        <x:v>Diagnostics and coding</x:v>
      </x:c>
      <x:c r="G27" s="13" t="str">
        <x:v>DIAG</x:v>
      </x:c>
      <x:c r="H27" s="13" t="str">
        <x:v>https://digitecme.com/services/mercedes-diagnostics-dubai</x:v>
      </x:c>
      <x:c r="I27" s="13" t="str">
        <x:v>Coding/programming</x:v>
      </x:c>
      <x:c r="J27" s="13" t="str">
        <x:v>Relevant</x:v>
      </x:c>
      <x:c r="K27" s="13" t="str">
        <x:f>IF(J27="Hold","Hold",IF(J27="Conditional","Conditional",IF(E27&lt;='Sources'!$B$5,"Protect",IF(AND(E27&lt;='Sources'!$B$7,C27&gt;='Sources'!$B$6),"P1",IF(OR(E27&lt;='Sources'!$B$7,C27&gt;='Sources'!$B$8),"P2","P3")))))</x:f>
        <x:v>P2</x:v>
      </x:c>
      <x:c r="L27" s="16" t="n">
        <x:f>IF(J27="Hold","",MAX(0,E27-'Sources'!$B$5))</x:f>
        <x:v>46.6</x:v>
      </x:c>
      <x:c r="M27" s="13" t="str">
        <x:v>Match supported vehicle/module functions; do not create a page per fault code.</x:v>
      </x:c>
      <x:c r="N27" s="13" t="n">
        <x:v>24</x:v>
      </x:c>
    </x:row>
    <x:row r="28" ht="65" customHeight="1">
      <x:c r="A28" s="13" t="str">
        <x:v>mercedes oil change dubai</x:v>
      </x:c>
      <x:c r="B28" s="17" t="n">
        <x:v>0</x:v>
      </x:c>
      <x:c r="C28" s="17" t="n">
        <x:v>176</x:v>
      </x:c>
      <x:c r="D28" s="18" t="n">
        <x:v>0</x:v>
      </x:c>
      <x:c r="E28" s="19" t="n">
        <x:v>16.97</x:v>
      </x:c>
      <x:c r="F28" s="13" t="str">
        <x:v>Oil change</x:v>
      </x:c>
      <x:c r="G28" s="13" t="str">
        <x:v>OIL</x:v>
      </x:c>
      <x:c r="H28" s="13" t="str">
        <x:v>https://digitecme.com/services/mercedes-oil-change-dubai</x:v>
      </x:c>
      <x:c r="I28" s="13" t="str">
        <x:v>Oil/filter scope and vehicle specification</x:v>
      </x:c>
      <x:c r="J28" s="13" t="str">
        <x:v>Relevant</x:v>
      </x:c>
      <x:c r="K28" s="13" t="str">
        <x:f>IF(J28="Hold","Hold",IF(J28="Conditional","Conditional",IF(E28&lt;='Sources'!$B$5,"Protect",IF(AND(E28&lt;='Sources'!$B$7,C28&gt;='Sources'!$B$6),"P1",IF(OR(E28&lt;='Sources'!$B$7,C28&gt;='Sources'!$B$8),"P2","P3")))))</x:f>
        <x:v>P1</x:v>
      </x:c>
      <x:c r="L28" s="16" t="n">
        <x:f>IF(J28="Hold","",MAX(0,E28-'Sources'!$B$5))</x:f>
        <x:v>11.969999999999999</x:v>
      </x:c>
      <x:c r="M28" s="13" t="str">
        <x:v>Keep oil-only intent here and broader Service A/B intent on the hub.</x:v>
      </x:c>
      <x:c r="N28" s="13" t="n">
        <x:v>25</x:v>
      </x:c>
    </x:row>
    <x:row r="29" ht="65" customHeight="1">
      <x:c r="A29" s="13" t="str">
        <x:v>mercedes stereo upgrade in dubai</x:v>
      </x:c>
      <x:c r="B29" s="17" t="n">
        <x:v>0</x:v>
      </x:c>
      <x:c r="C29" s="17" t="n">
        <x:v>166</x:v>
      </x:c>
      <x:c r="D29" s="18" t="n">
        <x:v>0</x:v>
      </x:c>
      <x:c r="E29" s="19" t="n">
        <x:v>55.81</x:v>
      </x:c>
      <x:c r="F29" s="13" t="str">
        <x:v>Audio upgrades</x:v>
      </x:c>
      <x:c r="G29" s="13" t="str">
        <x:v>AUDIO</x:v>
      </x:c>
      <x:c r="H29" s="13" t="str">
        <x:v>https://digitecme.com/services/mercedes-audio-upgrade-dubai</x:v>
      </x:c>
      <x:c r="I29" s="13" t="str">
        <x:v>Compatibility and E-Class examples</x:v>
      </x:c>
      <x:c r="J29" s="13" t="str">
        <x:v>Conditional</x:v>
      </x:c>
      <x:c r="K29" s="13" t="str">
        <x:f>IF(J29="Hold","Hold",IF(J29="Conditional","Conditional",IF(E29&lt;='Sources'!$B$5,"Protect",IF(AND(E29&lt;='Sources'!$B$7,C29&gt;='Sources'!$B$6),"P1",IF(OR(E29&lt;='Sources'!$B$7,C29&gt;='Sources'!$B$8),"P2","P3")))))</x:f>
        <x:v>Conditional</x:v>
      </x:c>
      <x:c r="L29" s="16" t="n">
        <x:f>IF(J29="Hold","",MAX(0,E29-'Sources'!$B$5))</x:f>
        <x:v>50.81</x:v>
      </x:c>
      <x:c r="M29" s="13" t="str">
        <x:v>Confirm audio upgrade capability before publishing or targeting this proposed URL.</x:v>
      </x:c>
      <x:c r="N29" s="13" t="n">
        <x:v>26</x:v>
      </x:c>
    </x:row>
    <x:row r="30" ht="65" customHeight="1">
      <x:c r="A30" s="13" t="str">
        <x:v>mercedes repairs</x:v>
      </x:c>
      <x:c r="B30" s="17" t="n">
        <x:v>0</x:v>
      </x:c>
      <x:c r="C30" s="17" t="n">
        <x:v>150</x:v>
      </x:c>
      <x:c r="D30" s="18" t="n">
        <x:v>0</x:v>
      </x:c>
      <x:c r="E30" s="19" t="n">
        <x:v>11.29</x:v>
      </x:c>
      <x:c r="F30" s="13" t="str">
        <x:v>General repair and workshop</x:v>
      </x:c>
      <x:c r="G30" s="13" t="str">
        <x:v>HUB</x:v>
      </x:c>
      <x:c r="H30" s="13" t="str">
        <x:v>https://digitecme.com/brands/mercedes-benz-service-dubai</x:v>
      </x:c>
      <x:c r="I30" s="13" t="str">
        <x:v>Workshop and booking</x:v>
      </x:c>
      <x:c r="J30" s="13" t="str">
        <x:v>Relevant</x:v>
      </x:c>
      <x:c r="K30" s="13" t="str">
        <x:f>IF(J30="Hold","Hold",IF(J30="Conditional","Conditional",IF(E30&lt;='Sources'!$B$5,"Protect",IF(AND(E30&lt;='Sources'!$B$7,C30&gt;='Sources'!$B$6),"P1",IF(OR(E30&lt;='Sources'!$B$7,C30&gt;='Sources'!$B$8),"P2","P3")))))</x:f>
        <x:v>P1</x:v>
      </x:c>
      <x:c r="L30" s="16" t="n">
        <x:f>IF(J30="Hold","",MAX(0,E30-'Sources'!$B$5))</x:f>
        <x:v>6.289999999999999</x:v>
      </x:c>
      <x:c r="M30" s="13" t="str">
        <x:v>Use the main Mercedes page for broad repair, service, garage and specialist wording.</x:v>
      </x:c>
      <x:c r="N30" s="13" t="n">
        <x:v>27</x:v>
      </x:c>
    </x:row>
    <x:row r="31" ht="65" customHeight="1">
      <x:c r="A31" s="13" t="str">
        <x:v>mercedes benz service center dubai</x:v>
      </x:c>
      <x:c r="B31" s="17" t="n">
        <x:v>0</x:v>
      </x:c>
      <x:c r="C31" s="17" t="n">
        <x:v>150</x:v>
      </x:c>
      <x:c r="D31" s="18" t="n">
        <x:v>0</x:v>
      </x:c>
      <x:c r="E31" s="19" t="n">
        <x:v>21.16</x:v>
      </x:c>
      <x:c r="F31" s="13" t="str">
        <x:v>Scheduled service and maintenance</x:v>
      </x:c>
      <x:c r="G31" s="13" t="str">
        <x:v>HUB</x:v>
      </x:c>
      <x:c r="H31" s="13" t="str">
        <x:v>https://digitecme.com/brands/mercedes-benz-service-dubai</x:v>
      </x:c>
      <x:c r="I31" s="13" t="str">
        <x:v>Service A/B and minor/major scope</x:v>
      </x:c>
      <x:c r="J31" s="13" t="str">
        <x:v>Relevant</x:v>
      </x:c>
      <x:c r="K31" s="13" t="str">
        <x:f>IF(J31="Hold","Hold",IF(J31="Conditional","Conditional",IF(E31&lt;='Sources'!$B$5,"Protect",IF(AND(E31&lt;='Sources'!$B$7,C31&gt;='Sources'!$B$6),"P1",IF(OR(E31&lt;='Sources'!$B$7,C31&gt;='Sources'!$B$8),"P2","P3")))))</x:f>
        <x:v>P2</x:v>
      </x:c>
      <x:c r="L31" s="16" t="n">
        <x:f>IF(J31="Hold","",MAX(0,E31-'Sources'!$B$5))</x:f>
        <x:v>16.16</x:v>
      </x:c>
      <x:c r="M31" s="13" t="str">
        <x:v>Use one service booking destination; explain scope and link oil-only work and informational schedules separately.</x:v>
      </x:c>
      <x:c r="N31" s="13" t="n">
        <x:v>28</x:v>
      </x:c>
    </x:row>
    <x:row r="32" ht="65" customHeight="1">
      <x:c r="A32" s="13" t="str">
        <x:v>mercedes service in dubai</x:v>
      </x:c>
      <x:c r="B32" s="17" t="n">
        <x:v>0</x:v>
      </x:c>
      <x:c r="C32" s="17" t="n">
        <x:v>148</x:v>
      </x:c>
      <x:c r="D32" s="18" t="n">
        <x:v>0</x:v>
      </x:c>
      <x:c r="E32" s="19" t="n">
        <x:v>6.74</x:v>
      </x:c>
      <x:c r="F32" s="13" t="str">
        <x:v>Scheduled service and maintenance</x:v>
      </x:c>
      <x:c r="G32" s="13" t="str">
        <x:v>HUB</x:v>
      </x:c>
      <x:c r="H32" s="13" t="str">
        <x:v>https://digitecme.com/brands/mercedes-benz-service-dubai</x:v>
      </x:c>
      <x:c r="I32" s="13" t="str">
        <x:v>Service A/B and minor/major scope</x:v>
      </x:c>
      <x:c r="J32" s="13" t="str">
        <x:v>Relevant</x:v>
      </x:c>
      <x:c r="K32" s="13" t="str">
        <x:f>IF(J32="Hold","Hold",IF(J32="Conditional","Conditional",IF(E32&lt;='Sources'!$B$5,"Protect",IF(AND(E32&lt;='Sources'!$B$7,C32&gt;='Sources'!$B$6),"P1",IF(OR(E32&lt;='Sources'!$B$7,C32&gt;='Sources'!$B$8),"P2","P3")))))</x:f>
        <x:v>P1</x:v>
      </x:c>
      <x:c r="L32" s="16" t="n">
        <x:f>IF(J32="Hold","",MAX(0,E32-'Sources'!$B$5))</x:f>
        <x:v>1.7400000000000002</x:v>
      </x:c>
      <x:c r="M32" s="13" t="str">
        <x:v>Use one service booking destination; explain scope and link oil-only work and informational schedules separately.</x:v>
      </x:c>
      <x:c r="N32" s="13" t="n">
        <x:v>29</x:v>
      </x:c>
    </x:row>
    <x:row r="33" ht="65" customHeight="1">
      <x:c r="A33" s="13" t="str">
        <x:v>mercedes maintenance</x:v>
      </x:c>
      <x:c r="B33" s="17" t="n">
        <x:v>0</x:v>
      </x:c>
      <x:c r="C33" s="17" t="n">
        <x:v>146</x:v>
      </x:c>
      <x:c r="D33" s="18" t="n">
        <x:v>0</x:v>
      </x:c>
      <x:c r="E33" s="19" t="n">
        <x:v>30.03</x:v>
      </x:c>
      <x:c r="F33" s="13" t="str">
        <x:v>Scheduled service and maintenance</x:v>
      </x:c>
      <x:c r="G33" s="13" t="str">
        <x:v>HUB</x:v>
      </x:c>
      <x:c r="H33" s="13" t="str">
        <x:v>https://digitecme.com/brands/mercedes-benz-service-dubai</x:v>
      </x:c>
      <x:c r="I33" s="13" t="str">
        <x:v>Service A/B and minor/major scope</x:v>
      </x:c>
      <x:c r="J33" s="13" t="str">
        <x:v>Relevant</x:v>
      </x:c>
      <x:c r="K33" s="13" t="str">
        <x:f>IF(J33="Hold","Hold",IF(J33="Conditional","Conditional",IF(E33&lt;='Sources'!$B$5,"Protect",IF(AND(E33&lt;='Sources'!$B$7,C33&gt;='Sources'!$B$6),"P1",IF(OR(E33&lt;='Sources'!$B$7,C33&gt;='Sources'!$B$8),"P2","P3")))))</x:f>
        <x:v>P2</x:v>
      </x:c>
      <x:c r="L33" s="16" t="n">
        <x:f>IF(J33="Hold","",MAX(0,E33-'Sources'!$B$5))</x:f>
        <x:v>25.03</x:v>
      </x:c>
      <x:c r="M33" s="13" t="str">
        <x:v>Use one service booking destination; explain scope and link oil-only work and informational schedules separately.</x:v>
      </x:c>
      <x:c r="N33" s="13" t="n">
        <x:v>30</x:v>
      </x:c>
    </x:row>
    <x:row r="34" ht="65" customHeight="1">
      <x:c r="A34" s="13" t="str">
        <x:v>mercedes e class audio upgrade in dubai</x:v>
      </x:c>
      <x:c r="B34" s="17" t="n">
        <x:v>0</x:v>
      </x:c>
      <x:c r="C34" s="17" t="n">
        <x:v>133</x:v>
      </x:c>
      <x:c r="D34" s="18" t="n">
        <x:v>0</x:v>
      </x:c>
      <x:c r="E34" s="19" t="n">
        <x:v>58.62</x:v>
      </x:c>
      <x:c r="F34" s="13" t="str">
        <x:v>Audio upgrades</x:v>
      </x:c>
      <x:c r="G34" s="13" t="str">
        <x:v>AUDIO</x:v>
      </x:c>
      <x:c r="H34" s="13" t="str">
        <x:v>https://digitecme.com/services/mercedes-audio-upgrade-dubai</x:v>
      </x:c>
      <x:c r="I34" s="13" t="str">
        <x:v>Compatibility and E-Class examples</x:v>
      </x:c>
      <x:c r="J34" s="13" t="str">
        <x:v>Conditional</x:v>
      </x:c>
      <x:c r="K34" s="13" t="str">
        <x:f>IF(J34="Hold","Hold",IF(J34="Conditional","Conditional",IF(E34&lt;='Sources'!$B$5,"Protect",IF(AND(E34&lt;='Sources'!$B$7,C34&gt;='Sources'!$B$6),"P1",IF(OR(E34&lt;='Sources'!$B$7,C34&gt;='Sources'!$B$8),"P2","P3")))))</x:f>
        <x:v>Conditional</x:v>
      </x:c>
      <x:c r="L34" s="16" t="n">
        <x:f>IF(J34="Hold","",MAX(0,E34-'Sources'!$B$5))</x:f>
        <x:v>53.62</x:v>
      </x:c>
      <x:c r="M34" s="13" t="str">
        <x:v>Confirm audio upgrade capability before publishing or targeting this proposed URL.</x:v>
      </x:c>
      <x:c r="N34" s="13" t="n">
        <x:v>31</x:v>
      </x:c>
    </x:row>
    <x:row r="35" ht="65" customHeight="1">
      <x:c r="A35" s="13" t="str">
        <x:v>mercedes garage dubai</x:v>
      </x:c>
      <x:c r="B35" s="17" t="n">
        <x:v>0</x:v>
      </x:c>
      <x:c r="C35" s="17" t="n">
        <x:v>126</x:v>
      </x:c>
      <x:c r="D35" s="18" t="n">
        <x:v>0</x:v>
      </x:c>
      <x:c r="E35" s="19" t="n">
        <x:v>29.44</x:v>
      </x:c>
      <x:c r="F35" s="13" t="str">
        <x:v>General repair and workshop</x:v>
      </x:c>
      <x:c r="G35" s="13" t="str">
        <x:v>HUB</x:v>
      </x:c>
      <x:c r="H35" s="13" t="str">
        <x:v>https://digitecme.com/brands/mercedes-benz-service-dubai</x:v>
      </x:c>
      <x:c r="I35" s="13" t="str">
        <x:v>Workshop and booking</x:v>
      </x:c>
      <x:c r="J35" s="13" t="str">
        <x:v>Relevant</x:v>
      </x:c>
      <x:c r="K35" s="13" t="str">
        <x:f>IF(J35="Hold","Hold",IF(J35="Conditional","Conditional",IF(E35&lt;='Sources'!$B$5,"Protect",IF(AND(E35&lt;='Sources'!$B$7,C35&gt;='Sources'!$B$6),"P1",IF(OR(E35&lt;='Sources'!$B$7,C35&gt;='Sources'!$B$8),"P2","P3")))))</x:f>
        <x:v>P2</x:v>
      </x:c>
      <x:c r="L35" s="16" t="n">
        <x:f>IF(J35="Hold","",MAX(0,E35-'Sources'!$B$5))</x:f>
        <x:v>24.44</x:v>
      </x:c>
      <x:c r="M35" s="13" t="str">
        <x:v>Use the main Mercedes page for broad repair, service, garage and specialist wording.</x:v>
      </x:c>
      <x:c r="N35" s="13" t="n">
        <x:v>32</x:v>
      </x:c>
    </x:row>
    <x:row r="36" ht="65" customHeight="1">
      <x:c r="A36" s="13" t="str">
        <x:v>mercedes car service in dubai</x:v>
      </x:c>
      <x:c r="B36" s="17" t="n">
        <x:v>0</x:v>
      </x:c>
      <x:c r="C36" s="17" t="n">
        <x:v>125</x:v>
      </x:c>
      <x:c r="D36" s="18" t="n">
        <x:v>0</x:v>
      </x:c>
      <x:c r="E36" s="19" t="n">
        <x:v>10.3</x:v>
      </x:c>
      <x:c r="F36" s="13" t="str">
        <x:v>Scheduled service and maintenance</x:v>
      </x:c>
      <x:c r="G36" s="13" t="str">
        <x:v>HUB</x:v>
      </x:c>
      <x:c r="H36" s="13" t="str">
        <x:v>https://digitecme.com/brands/mercedes-benz-service-dubai</x:v>
      </x:c>
      <x:c r="I36" s="13" t="str">
        <x:v>Service A/B and minor/major scope</x:v>
      </x:c>
      <x:c r="J36" s="13" t="str">
        <x:v>Relevant</x:v>
      </x:c>
      <x:c r="K36" s="13" t="str">
        <x:f>IF(J36="Hold","Hold",IF(J36="Conditional","Conditional",IF(E36&lt;='Sources'!$B$5,"Protect",IF(AND(E36&lt;='Sources'!$B$7,C36&gt;='Sources'!$B$6),"P1",IF(OR(E36&lt;='Sources'!$B$7,C36&gt;='Sources'!$B$8),"P2","P3")))))</x:f>
        <x:v>P1</x:v>
      </x:c>
      <x:c r="L36" s="16" t="n">
        <x:f>IF(J36="Hold","",MAX(0,E36-'Sources'!$B$5))</x:f>
        <x:v>5.300000000000001</x:v>
      </x:c>
      <x:c r="M36" s="13" t="str">
        <x:v>Use one service booking destination; explain scope and link oil-only work and informational schedules separately.</x:v>
      </x:c>
      <x:c r="N36" s="13" t="n">
        <x:v>33</x:v>
      </x:c>
    </x:row>
    <x:row r="37" ht="65" customHeight="1">
      <x:c r="A37" s="13" t="str">
        <x:v>mercedes repair garage in dubai</x:v>
      </x:c>
      <x:c r="B37" s="17" t="n">
        <x:v>0</x:v>
      </x:c>
      <x:c r="C37" s="17" t="n">
        <x:v>119</x:v>
      </x:c>
      <x:c r="D37" s="18" t="n">
        <x:v>0</x:v>
      </x:c>
      <x:c r="E37" s="19" t="n">
        <x:v>16.98</x:v>
      </x:c>
      <x:c r="F37" s="13" t="str">
        <x:v>General repair and workshop</x:v>
      </x:c>
      <x:c r="G37" s="13" t="str">
        <x:v>HUB</x:v>
      </x:c>
      <x:c r="H37" s="13" t="str">
        <x:v>https://digitecme.com/brands/mercedes-benz-service-dubai</x:v>
      </x:c>
      <x:c r="I37" s="13" t="str">
        <x:v>Workshop and booking</x:v>
      </x:c>
      <x:c r="J37" s="13" t="str">
        <x:v>Relevant</x:v>
      </x:c>
      <x:c r="K37" s="13" t="str">
        <x:f>IF(J37="Hold","Hold",IF(J37="Conditional","Conditional",IF(E37&lt;='Sources'!$B$5,"Protect",IF(AND(E37&lt;='Sources'!$B$7,C37&gt;='Sources'!$B$6),"P1",IF(OR(E37&lt;='Sources'!$B$7,C37&gt;='Sources'!$B$8),"P2","P3")))))</x:f>
        <x:v>P1</x:v>
      </x:c>
      <x:c r="L37" s="16" t="n">
        <x:f>IF(J37="Hold","",MAX(0,E37-'Sources'!$B$5))</x:f>
        <x:v>11.98</x:v>
      </x:c>
      <x:c r="M37" s="13" t="str">
        <x:v>Use the main Mercedes page for broad repair, service, garage and specialist wording.</x:v>
      </x:c>
      <x:c r="N37" s="13" t="n">
        <x:v>34</x:v>
      </x:c>
    </x:row>
    <x:row r="38" ht="65" customHeight="1">
      <x:c r="A38" s="13" t="str">
        <x:v>mercedes car repair dubai</x:v>
      </x:c>
      <x:c r="B38" s="17" t="n">
        <x:v>0</x:v>
      </x:c>
      <x:c r="C38" s="17" t="n">
        <x:v>118</x:v>
      </x:c>
      <x:c r="D38" s="18" t="n">
        <x:v>0</x:v>
      </x:c>
      <x:c r="E38" s="19" t="n">
        <x:v>8.96</x:v>
      </x:c>
      <x:c r="F38" s="13" t="str">
        <x:v>General repair and workshop</x:v>
      </x:c>
      <x:c r="G38" s="13" t="str">
        <x:v>HUB</x:v>
      </x:c>
      <x:c r="H38" s="13" t="str">
        <x:v>https://digitecme.com/brands/mercedes-benz-service-dubai</x:v>
      </x:c>
      <x:c r="I38" s="13" t="str">
        <x:v>Workshop and booking</x:v>
      </x:c>
      <x:c r="J38" s="13" t="str">
        <x:v>Relevant</x:v>
      </x:c>
      <x:c r="K38" s="13" t="str">
        <x:f>IF(J38="Hold","Hold",IF(J38="Conditional","Conditional",IF(E38&lt;='Sources'!$B$5,"Protect",IF(AND(E38&lt;='Sources'!$B$7,C38&gt;='Sources'!$B$6),"P1",IF(OR(E38&lt;='Sources'!$B$7,C38&gt;='Sources'!$B$8),"P2","P3")))))</x:f>
        <x:v>P1</x:v>
      </x:c>
      <x:c r="L38" s="16" t="n">
        <x:f>IF(J38="Hold","",MAX(0,E38-'Sources'!$B$5))</x:f>
        <x:v>3.960000000000001</x:v>
      </x:c>
      <x:c r="M38" s="13" t="str">
        <x:v>Use the main Mercedes page for broad repair, service, garage and specialist wording.</x:v>
      </x:c>
      <x:c r="N38" s="13" t="n">
        <x:v>35</x:v>
      </x:c>
    </x:row>
    <x:row r="39" ht="65" customHeight="1">
      <x:c r="A39" s="13" t="str">
        <x:v>mercedes suspension repair</x:v>
      </x:c>
      <x:c r="B39" s="17" t="n">
        <x:v>0</x:v>
      </x:c>
      <x:c r="C39" s="17" t="n">
        <x:v>118</x:v>
      </x:c>
      <x:c r="D39" s="18" t="n">
        <x:v>0</x:v>
      </x:c>
      <x:c r="E39" s="19" t="n">
        <x:v>29.94</x:v>
      </x:c>
      <x:c r="F39" s="13" t="str">
        <x:v>Suspension repair</x:v>
      </x:c>
      <x:c r="G39" s="13" t="str">
        <x:v>SUSP</x:v>
      </x:c>
      <x:c r="H39" s="13" t="str">
        <x:v>https://digitecme.com/services/mercedes-suspension-repair-dubai</x:v>
      </x:c>
      <x:c r="I39" s="13" t="str">
        <x:v>Suspension and AIRMATIC diagnosis</x:v>
      </x:c>
      <x:c r="J39" s="13" t="str">
        <x:v>Relevant</x:v>
      </x:c>
      <x:c r="K39" s="13" t="str">
        <x:f>IF(J39="Hold","Hold",IF(J39="Conditional","Conditional",IF(E39&lt;='Sources'!$B$5,"Protect",IF(AND(E39&lt;='Sources'!$B$7,C39&gt;='Sources'!$B$6),"P1",IF(OR(E39&lt;='Sources'!$B$7,C39&gt;='Sources'!$B$8),"P2","P3")))))</x:f>
        <x:v>P2</x:v>
      </x:c>
      <x:c r="L39" s="16" t="n">
        <x:f>IF(J39="Hold","",MAX(0,E39-'Sources'!$B$5))</x:f>
        <x:v>24.94</x:v>
      </x:c>
      <x:c r="M39" s="13" t="str">
        <x:v>Use the Mercedes suspension service page, with links to relevant symptom guides.</x:v>
      </x:c>
      <x:c r="N39" s="13" t="n">
        <x:v>36</x:v>
      </x:c>
    </x:row>
    <x:row r="40" ht="65" customHeight="1">
      <x:c r="A40" s="13" t="str">
        <x:v>mercedes oil change</x:v>
      </x:c>
      <x:c r="B40" s="17" t="n">
        <x:v>0</x:v>
      </x:c>
      <x:c r="C40" s="17" t="n">
        <x:v>116</x:v>
      </x:c>
      <x:c r="D40" s="18" t="n">
        <x:v>0</x:v>
      </x:c>
      <x:c r="E40" s="19" t="n">
        <x:v>19.12</x:v>
      </x:c>
      <x:c r="F40" s="13" t="str">
        <x:v>Oil change</x:v>
      </x:c>
      <x:c r="G40" s="13" t="str">
        <x:v>OIL</x:v>
      </x:c>
      <x:c r="H40" s="13" t="str">
        <x:v>https://digitecme.com/services/mercedes-oil-change-dubai</x:v>
      </x:c>
      <x:c r="I40" s="13" t="str">
        <x:v>Oil/filter scope and vehicle specification</x:v>
      </x:c>
      <x:c r="J40" s="13" t="str">
        <x:v>Relevant</x:v>
      </x:c>
      <x:c r="K40" s="13" t="str">
        <x:f>IF(J40="Hold","Hold",IF(J40="Conditional","Conditional",IF(E40&lt;='Sources'!$B$5,"Protect",IF(AND(E40&lt;='Sources'!$B$7,C40&gt;='Sources'!$B$6),"P1",IF(OR(E40&lt;='Sources'!$B$7,C40&gt;='Sources'!$B$8),"P2","P3")))))</x:f>
        <x:v>P1</x:v>
      </x:c>
      <x:c r="L40" s="16" t="n">
        <x:f>IF(J40="Hold","",MAX(0,E40-'Sources'!$B$5))</x:f>
        <x:v>14.120000000000001</x:v>
      </x:c>
      <x:c r="M40" s="13" t="str">
        <x:v>Keep oil-only intent here and broader Service A/B intent on the hub.</x:v>
      </x:c>
      <x:c r="N40" s="13" t="n">
        <x:v>37</x:v>
      </x:c>
    </x:row>
    <x:row r="41" ht="65" customHeight="1">
      <x:c r="A41" s="13" t="str">
        <x:v>mercedes specialist</x:v>
      </x:c>
      <x:c r="B41" s="17" t="n">
        <x:v>0</x:v>
      </x:c>
      <x:c r="C41" s="17" t="n">
        <x:v>114</x:v>
      </x:c>
      <x:c r="D41" s="18" t="n">
        <x:v>0</x:v>
      </x:c>
      <x:c r="E41" s="19" t="n">
        <x:v>11.5</x:v>
      </x:c>
      <x:c r="F41" s="13" t="str">
        <x:v>General repair and workshop</x:v>
      </x:c>
      <x:c r="G41" s="13" t="str">
        <x:v>HUB</x:v>
      </x:c>
      <x:c r="H41" s="13" t="str">
        <x:v>https://digitecme.com/brands/mercedes-benz-service-dubai</x:v>
      </x:c>
      <x:c r="I41" s="13" t="str">
        <x:v>Workshop and booking</x:v>
      </x:c>
      <x:c r="J41" s="13" t="str">
        <x:v>Relevant</x:v>
      </x:c>
      <x:c r="K41" s="13" t="str">
        <x:f>IF(J41="Hold","Hold",IF(J41="Conditional","Conditional",IF(E41&lt;='Sources'!$B$5,"Protect",IF(AND(E41&lt;='Sources'!$B$7,C41&gt;='Sources'!$B$6),"P1",IF(OR(E41&lt;='Sources'!$B$7,C41&gt;='Sources'!$B$8),"P2","P3")))))</x:f>
        <x:v>P1</x:v>
      </x:c>
      <x:c r="L41" s="16" t="n">
        <x:f>IF(J41="Hold","",MAX(0,E41-'Sources'!$B$5))</x:f>
        <x:v>6.5</x:v>
      </x:c>
      <x:c r="M41" s="13" t="str">
        <x:v>Use the main Mercedes page for broad repair, service, garage and specialist wording.</x:v>
      </x:c>
      <x:c r="N41" s="13" t="n">
        <x:v>38</x:v>
      </x:c>
    </x:row>
    <x:row r="42" ht="65" customHeight="1">
      <x:c r="A42" s="13" t="str">
        <x:v>mercedes battery replacement dubai</x:v>
      </x:c>
      <x:c r="B42" s="17" t="n">
        <x:v>0</x:v>
      </x:c>
      <x:c r="C42" s="17" t="n">
        <x:v>101</x:v>
      </x:c>
      <x:c r="D42" s="18" t="n">
        <x:v>0</x:v>
      </x:c>
      <x:c r="E42" s="19" t="n">
        <x:v>23.18</x:v>
      </x:c>
      <x:c r="F42" s="13" t="str">
        <x:v>Battery replacement</x:v>
      </x:c>
      <x:c r="G42" s="13" t="str">
        <x:v>BATTERY</x:v>
      </x:c>
      <x:c r="H42" s="13" t="str">
        <x:v>https://digitecme.com/services/mercedes-battery-replacement-dubai</x:v>
      </x:c>
      <x:c r="I42" s="13" t="str">
        <x:v>Battery testing, replacement and location</x:v>
      </x:c>
      <x:c r="J42" s="13" t="str">
        <x:v>Relevant</x:v>
      </x:c>
      <x:c r="K42" s="13" t="str">
        <x:f>IF(J42="Hold","Hold",IF(J42="Conditional","Conditional",IF(E42&lt;='Sources'!$B$5,"Protect",IF(AND(E42&lt;='Sources'!$B$7,C42&gt;='Sources'!$B$6),"P1",IF(OR(E42&lt;='Sources'!$B$7,C42&gt;='Sources'!$B$8),"P2","P3")))))</x:f>
        <x:v>P2</x:v>
      </x:c>
      <x:c r="L42" s="16" t="n">
        <x:f>IF(J42="Hold","",MAX(0,E42-'Sources'!$B$5))</x:f>
        <x:v>18.18</x:v>
      </x:c>
      <x:c r="M42" s="13" t="str">
        <x:v>Explain model-specific battery selection and supported installation checks.</x:v>
      </x:c>
      <x:c r="N42" s="13" t="n">
        <x:v>39</x:v>
      </x:c>
    </x:row>
    <x:row r="43" ht="65" customHeight="1">
      <x:c r="A43" s="13" t="str">
        <x:v>mercedes servicing</x:v>
      </x:c>
      <x:c r="B43" s="17" t="n">
        <x:v>0</x:v>
      </x:c>
      <x:c r="C43" s="17" t="n">
        <x:v>99</x:v>
      </x:c>
      <x:c r="D43" s="18" t="n">
        <x:v>0</x:v>
      </x:c>
      <x:c r="E43" s="19" t="n">
        <x:v>28.26</x:v>
      </x:c>
      <x:c r="F43" s="13" t="str">
        <x:v>Scheduled service and maintenance</x:v>
      </x:c>
      <x:c r="G43" s="13" t="str">
        <x:v>HUB</x:v>
      </x:c>
      <x:c r="H43" s="13" t="str">
        <x:v>https://digitecme.com/brands/mercedes-benz-service-dubai</x:v>
      </x:c>
      <x:c r="I43" s="13" t="str">
        <x:v>Service A/B and minor/major scope</x:v>
      </x:c>
      <x:c r="J43" s="13" t="str">
        <x:v>Relevant</x:v>
      </x:c>
      <x:c r="K43" s="13" t="str">
        <x:f>IF(J43="Hold","Hold",IF(J43="Conditional","Conditional",IF(E43&lt;='Sources'!$B$5,"Protect",IF(AND(E43&lt;='Sources'!$B$7,C43&gt;='Sources'!$B$6),"P1",IF(OR(E43&lt;='Sources'!$B$7,C43&gt;='Sources'!$B$8),"P2","P3")))))</x:f>
        <x:v>P2</x:v>
      </x:c>
      <x:c r="L43" s="16" t="n">
        <x:f>IF(J43="Hold","",MAX(0,E43-'Sources'!$B$5))</x:f>
        <x:v>23.26</x:v>
      </x:c>
      <x:c r="M43" s="13" t="str">
        <x:v>Use one service booking destination; explain scope and link oil-only work and informational schedules separately.</x:v>
      </x:c>
      <x:c r="N43" s="13" t="n">
        <x:v>40</x:v>
      </x:c>
    </x:row>
    <x:row r="44" ht="65" customHeight="1">
      <x:c r="A44" s="13" t="str">
        <x:v>mercedes auto repair in dubai</x:v>
      </x:c>
      <x:c r="B44" s="17" t="n">
        <x:v>0</x:v>
      </x:c>
      <x:c r="C44" s="17" t="n">
        <x:v>88</x:v>
      </x:c>
      <x:c r="D44" s="18" t="n">
        <x:v>0</x:v>
      </x:c>
      <x:c r="E44" s="19" t="n">
        <x:v>11.9</x:v>
      </x:c>
      <x:c r="F44" s="13" t="str">
        <x:v>General repair and workshop</x:v>
      </x:c>
      <x:c r="G44" s="13" t="str">
        <x:v>HUB</x:v>
      </x:c>
      <x:c r="H44" s="13" t="str">
        <x:v>https://digitecme.com/brands/mercedes-benz-service-dubai</x:v>
      </x:c>
      <x:c r="I44" s="13" t="str">
        <x:v>Workshop and booking</x:v>
      </x:c>
      <x:c r="J44" s="13" t="str">
        <x:v>Relevant</x:v>
      </x:c>
      <x:c r="K44" s="13" t="str">
        <x:f>IF(J44="Hold","Hold",IF(J44="Conditional","Conditional",IF(E44&lt;='Sources'!$B$5,"Protect",IF(AND(E44&lt;='Sources'!$B$7,C44&gt;='Sources'!$B$6),"P1",IF(OR(E44&lt;='Sources'!$B$7,C44&gt;='Sources'!$B$8),"P2","P3")))))</x:f>
        <x:v>P1</x:v>
      </x:c>
      <x:c r="L44" s="16" t="n">
        <x:f>IF(J44="Hold","",MAX(0,E44-'Sources'!$B$5))</x:f>
        <x:v>6.9</x:v>
      </x:c>
      <x:c r="M44" s="13" t="str">
        <x:v>Use the main Mercedes page for broad repair, service, garage and specialist wording.</x:v>
      </x:c>
      <x:c r="N44" s="13" t="n">
        <x:v>41</x:v>
      </x:c>
    </x:row>
    <x:row r="45" ht="65" customHeight="1">
      <x:c r="A45" s="13" t="str">
        <x:v>mercedes benz service dubai</x:v>
      </x:c>
      <x:c r="B45" s="17" t="n">
        <x:v>0</x:v>
      </x:c>
      <x:c r="C45" s="17" t="n">
        <x:v>80</x:v>
      </x:c>
      <x:c r="D45" s="18" t="n">
        <x:v>0</x:v>
      </x:c>
      <x:c r="E45" s="19" t="n">
        <x:v>15.1</x:v>
      </x:c>
      <x:c r="F45" s="13" t="str">
        <x:v>Scheduled service and maintenance</x:v>
      </x:c>
      <x:c r="G45" s="13" t="str">
        <x:v>HUB</x:v>
      </x:c>
      <x:c r="H45" s="13" t="str">
        <x:v>https://digitecme.com/brands/mercedes-benz-service-dubai</x:v>
      </x:c>
      <x:c r="I45" s="13" t="str">
        <x:v>Service A/B and minor/major scope</x:v>
      </x:c>
      <x:c r="J45" s="13" t="str">
        <x:v>Relevant</x:v>
      </x:c>
      <x:c r="K45" s="13" t="str">
        <x:f>IF(J45="Hold","Hold",IF(J45="Conditional","Conditional",IF(E45&lt;='Sources'!$B$5,"Protect",IF(AND(E45&lt;='Sources'!$B$7,C45&gt;='Sources'!$B$6),"P1",IF(OR(E45&lt;='Sources'!$B$7,C45&gt;='Sources'!$B$8),"P2","P3")))))</x:f>
        <x:v>P1</x:v>
      </x:c>
      <x:c r="L45" s="16" t="n">
        <x:f>IF(J45="Hold","",MAX(0,E45-'Sources'!$B$5))</x:f>
        <x:v>10.1</x:v>
      </x:c>
      <x:c r="M45" s="13" t="str">
        <x:v>Use one service booking destination; explain scope and link oil-only work and informational schedules separately.</x:v>
      </x:c>
      <x:c r="N45" s="13" t="n">
        <x:v>42</x:v>
      </x:c>
    </x:row>
    <x:row r="46" ht="65" customHeight="1">
      <x:c r="A46" s="13" t="str">
        <x:v>mercedes sound system upgrade in dubai</x:v>
      </x:c>
      <x:c r="B46" s="17" t="n">
        <x:v>0</x:v>
      </x:c>
      <x:c r="C46" s="17" t="n">
        <x:v>76</x:v>
      </x:c>
      <x:c r="D46" s="18" t="n">
        <x:v>0</x:v>
      </x:c>
      <x:c r="E46" s="19" t="n">
        <x:v>60.87</x:v>
      </x:c>
      <x:c r="F46" s="13" t="str">
        <x:v>Audio upgrades</x:v>
      </x:c>
      <x:c r="G46" s="13" t="str">
        <x:v>AUDIO</x:v>
      </x:c>
      <x:c r="H46" s="13" t="str">
        <x:v>https://digitecme.com/services/mercedes-audio-upgrade-dubai</x:v>
      </x:c>
      <x:c r="I46" s="13" t="str">
        <x:v>Compatibility and E-Class examples</x:v>
      </x:c>
      <x:c r="J46" s="13" t="str">
        <x:v>Conditional</x:v>
      </x:c>
      <x:c r="K46" s="13" t="str">
        <x:f>IF(J46="Hold","Hold",IF(J46="Conditional","Conditional",IF(E46&lt;='Sources'!$B$5,"Protect",IF(AND(E46&lt;='Sources'!$B$7,C46&gt;='Sources'!$B$6),"P1",IF(OR(E46&lt;='Sources'!$B$7,C46&gt;='Sources'!$B$8),"P2","P3")))))</x:f>
        <x:v>Conditional</x:v>
      </x:c>
      <x:c r="L46" s="16" t="n">
        <x:f>IF(J46="Hold","",MAX(0,E46-'Sources'!$B$5))</x:f>
        <x:v>55.87</x:v>
      </x:c>
      <x:c r="M46" s="13" t="str">
        <x:v>Confirm audio upgrade capability before publishing or targeting this proposed URL.</x:v>
      </x:c>
      <x:c r="N46" s="13" t="n">
        <x:v>43</x:v>
      </x:c>
    </x:row>
    <x:row r="47" ht="65" customHeight="1">
      <x:c r="A47" s="13" t="str">
        <x:v>mercedes ac repair</x:v>
      </x:c>
      <x:c r="B47" s="17" t="n">
        <x:v>0</x:v>
      </x:c>
      <x:c r="C47" s="17" t="n">
        <x:v>67</x:v>
      </x:c>
      <x:c r="D47" s="18" t="n">
        <x:v>0</x:v>
      </x:c>
      <x:c r="E47" s="19" t="n">
        <x:v>25.94</x:v>
      </x:c>
      <x:c r="F47" s="13" t="str">
        <x:v>AC repair</x:v>
      </x:c>
      <x:c r="G47" s="13" t="str">
        <x:v>AC</x:v>
      </x:c>
      <x:c r="H47" s="13" t="str">
        <x:v>https://digitecme.com/services/mercedes-ac-repair-dubai</x:v>
      </x:c>
      <x:c r="I47" s="13" t="str">
        <x:v>AC diagnosis, recharge and repair</x:v>
      </x:c>
      <x:c r="J47" s="13" t="str">
        <x:v>Relevant</x:v>
      </x:c>
      <x:c r="K47" s="13" t="str">
        <x:f>IF(J47="Hold","Hold",IF(J47="Conditional","Conditional",IF(E47&lt;='Sources'!$B$5,"Protect",IF(AND(E47&lt;='Sources'!$B$7,C47&gt;='Sources'!$B$6),"P1",IF(OR(E47&lt;='Sources'!$B$7,C47&gt;='Sources'!$B$8),"P2","P3")))))</x:f>
        <x:v>P2</x:v>
      </x:c>
      <x:c r="L47" s="16" t="n">
        <x:f>IF(J47="Hold","",MAX(0,E47-'Sources'!$B$5))</x:f>
        <x:v>20.94</x:v>
      </x:c>
      <x:c r="M47" s="13" t="str">
        <x:v>Use AC and air conditioning as natural wording on the same page.</x:v>
      </x:c>
      <x:c r="N47" s="13" t="n">
        <x:v>44</x:v>
      </x:c>
    </x:row>
    <x:row r="48" ht="65" customHeight="1">
      <x:c r="A48" s="13" t="str">
        <x:v>mercedes benz auto repair in dubai</x:v>
      </x:c>
      <x:c r="B48" s="17" t="n">
        <x:v>0</x:v>
      </x:c>
      <x:c r="C48" s="17" t="n">
        <x:v>64</x:v>
      </x:c>
      <x:c r="D48" s="18" t="n">
        <x:v>0</x:v>
      </x:c>
      <x:c r="E48" s="19" t="n">
        <x:v>18.59</x:v>
      </x:c>
      <x:c r="F48" s="13" t="str">
        <x:v>General repair and workshop</x:v>
      </x:c>
      <x:c r="G48" s="13" t="str">
        <x:v>HUB</x:v>
      </x:c>
      <x:c r="H48" s="13" t="str">
        <x:v>https://digitecme.com/brands/mercedes-benz-service-dubai</x:v>
      </x:c>
      <x:c r="I48" s="13" t="str">
        <x:v>Workshop and booking</x:v>
      </x:c>
      <x:c r="J48" s="13" t="str">
        <x:v>Relevant</x:v>
      </x:c>
      <x:c r="K48" s="13" t="str">
        <x:f>IF(J48="Hold","Hold",IF(J48="Conditional","Conditional",IF(E48&lt;='Sources'!$B$5,"Protect",IF(AND(E48&lt;='Sources'!$B$7,C48&gt;='Sources'!$B$6),"P1",IF(OR(E48&lt;='Sources'!$B$7,C48&gt;='Sources'!$B$8),"P2","P3")))))</x:f>
        <x:v>P1</x:v>
      </x:c>
      <x:c r="L48" s="16" t="n">
        <x:f>IF(J48="Hold","",MAX(0,E48-'Sources'!$B$5))</x:f>
        <x:v>13.59</x:v>
      </x:c>
      <x:c r="M48" s="13" t="str">
        <x:v>Use the main Mercedes page for broad repair, service, garage and specialist wording.</x:v>
      </x:c>
      <x:c r="N48" s="13" t="n">
        <x:v>45</x:v>
      </x:c>
    </x:row>
    <x:row r="49" ht="65" customHeight="1">
      <x:c r="A49" s="13" t="str">
        <x:v>mercedes minor service dubai</x:v>
      </x:c>
      <x:c r="B49" s="17" t="n">
        <x:v>0</x:v>
      </x:c>
      <x:c r="C49" s="17" t="n">
        <x:v>62</x:v>
      </x:c>
      <x:c r="D49" s="18" t="n">
        <x:v>0</x:v>
      </x:c>
      <x:c r="E49" s="19" t="n">
        <x:v>12.89</x:v>
      </x:c>
      <x:c r="F49" s="13" t="str">
        <x:v>Scheduled service and maintenance</x:v>
      </x:c>
      <x:c r="G49" s="13" t="str">
        <x:v>HUB</x:v>
      </x:c>
      <x:c r="H49" s="13" t="str">
        <x:v>https://digitecme.com/brands/mercedes-benz-service-dubai</x:v>
      </x:c>
      <x:c r="I49" s="13" t="str">
        <x:v>Service A/B and minor/major scope</x:v>
      </x:c>
      <x:c r="J49" s="13" t="str">
        <x:v>Relevant</x:v>
      </x:c>
      <x:c r="K49" s="13" t="str">
        <x:f>IF(J49="Hold","Hold",IF(J49="Conditional","Conditional",IF(E49&lt;='Sources'!$B$5,"Protect",IF(AND(E49&lt;='Sources'!$B$7,C49&gt;='Sources'!$B$6),"P1",IF(OR(E49&lt;='Sources'!$B$7,C49&gt;='Sources'!$B$8),"P2","P3")))))</x:f>
        <x:v>P1</x:v>
      </x:c>
      <x:c r="L49" s="16" t="n">
        <x:f>IF(J49="Hold","",MAX(0,E49-'Sources'!$B$5))</x:f>
        <x:v>7.890000000000001</x:v>
      </x:c>
      <x:c r="M49" s="13" t="str">
        <x:v>Use one service booking destination; explain scope and link oil-only work and informational schedules separately.</x:v>
      </x:c>
      <x:c r="N49" s="13" t="n">
        <x:v>46</x:v>
      </x:c>
    </x:row>
    <x:row r="50" ht="65" customHeight="1">
      <x:c r="A50" s="13" t="str">
        <x:v>gad mercedes</x:v>
      </x:c>
      <x:c r="B50" s="17" t="n">
        <x:v>0</x:v>
      </x:c>
      <x:c r="C50" s="17" t="n">
        <x:v>57</x:v>
      </x:c>
      <x:c r="D50" s="18" t="n">
        <x:v>0</x:v>
      </x:c>
      <x:c r="E50" s="19" t="n">
        <x:v>7.88</x:v>
      </x:c>
      <x:c r="F50" s="13" t="str">
        <x:v>Performance tuning and GAD</x:v>
      </x:c>
      <x:c r="G50" s="13" t="str">
        <x:v>TUNE</x:v>
      </x:c>
      <x:c r="H50" s="13" t="str">
        <x:v>https://digitecme.com/tuning</x:v>
      </x:c>
      <x:c r="I50" s="13" t="str">
        <x:v>Mercedes-AMG tuning and verified projects</x:v>
      </x:c>
      <x:c r="J50" s="13" t="str">
        <x:v>Relevant</x:v>
      </x:c>
      <x:c r="K50" s="13" t="str">
        <x:f>IF(J50="Hold","Hold",IF(J50="Conditional","Conditional",IF(E50&lt;='Sources'!$B$5,"Protect",IF(AND(E50&lt;='Sources'!$B$7,C50&gt;='Sources'!$B$6),"P1",IF(OR(E50&lt;='Sources'!$B$7,C50&gt;='Sources'!$B$8),"P2","P3")))))</x:f>
        <x:v>P1</x:v>
      </x:c>
      <x:c r="L50" s="16" t="n">
        <x:f>IF(J50="Hold","",MAX(0,E50-'Sources'!$B$5))</x:f>
        <x:v>2.88</x:v>
      </x:c>
      <x:c r="M50" s="13" t="str">
        <x:v>Use the Mercedes section of the existing tuning page and relevant project evidence.</x:v>
      </x:c>
      <x:c r="N50" s="13" t="n">
        <x:v>47</x:v>
      </x:c>
    </x:row>
    <x:row r="51" ht="65" customHeight="1">
      <x:c r="A51" s="13" t="str">
        <x:v>mercedes garage in dubai</x:v>
      </x:c>
      <x:c r="B51" s="17" t="n">
        <x:v>0</x:v>
      </x:c>
      <x:c r="C51" s="17" t="n">
        <x:v>56</x:v>
      </x:c>
      <x:c r="D51" s="18" t="n">
        <x:v>0</x:v>
      </x:c>
      <x:c r="E51" s="19" t="n">
        <x:v>8.98</x:v>
      </x:c>
      <x:c r="F51" s="13" t="str">
        <x:v>General repair and workshop</x:v>
      </x:c>
      <x:c r="G51" s="13" t="str">
        <x:v>HUB</x:v>
      </x:c>
      <x:c r="H51" s="13" t="str">
        <x:v>https://digitecme.com/brands/mercedes-benz-service-dubai</x:v>
      </x:c>
      <x:c r="I51" s="13" t="str">
        <x:v>Workshop and booking</x:v>
      </x:c>
      <x:c r="J51" s="13" t="str">
        <x:v>Relevant</x:v>
      </x:c>
      <x:c r="K51" s="13" t="str">
        <x:f>IF(J51="Hold","Hold",IF(J51="Conditional","Conditional",IF(E51&lt;='Sources'!$B$5,"Protect",IF(AND(E51&lt;='Sources'!$B$7,C51&gt;='Sources'!$B$6),"P1",IF(OR(E51&lt;='Sources'!$B$7,C51&gt;='Sources'!$B$8),"P2","P3")))))</x:f>
        <x:v>P1</x:v>
      </x:c>
      <x:c r="L51" s="16" t="n">
        <x:f>IF(J51="Hold","",MAX(0,E51-'Sources'!$B$5))</x:f>
        <x:v>3.9800000000000004</x:v>
      </x:c>
      <x:c r="M51" s="13" t="str">
        <x:v>Use the main Mercedes page for broad repair, service, garage and specialist wording.</x:v>
      </x:c>
      <x:c r="N51" s="13" t="n">
        <x:v>48</x:v>
      </x:c>
    </x:row>
    <x:row r="52" ht="65" customHeight="1">
      <x:c r="A52" s="13" t="str">
        <x:v>mercedes brake service dubai</x:v>
      </x:c>
      <x:c r="B52" s="17" t="n">
        <x:v>0</x:v>
      </x:c>
      <x:c r="C52" s="17" t="n">
        <x:v>55</x:v>
      </x:c>
      <x:c r="D52" s="18" t="n">
        <x:v>0</x:v>
      </x:c>
      <x:c r="E52" s="19" t="n">
        <x:v>31.35</x:v>
      </x:c>
      <x:c r="F52" s="13" t="str">
        <x:v>Brake service and repair</x:v>
      </x:c>
      <x:c r="G52" s="13" t="str">
        <x:v>BRAKES</x:v>
      </x:c>
      <x:c r="H52" s="13" t="str">
        <x:v>https://digitecme.com/services/mercedes-brake-repair-dubai</x:v>
      </x:c>
      <x:c r="I52" s="13" t="str">
        <x:v>Pads, discs and inspection</x:v>
      </x:c>
      <x:c r="J52" s="13" t="str">
        <x:v>Relevant</x:v>
      </x:c>
      <x:c r="K52" s="13" t="str">
        <x:f>IF(J52="Hold","Hold",IF(J52="Conditional","Conditional",IF(E52&lt;='Sources'!$B$5,"Protect",IF(AND(E52&lt;='Sources'!$B$7,C52&gt;='Sources'!$B$6),"P1",IF(OR(E52&lt;='Sources'!$B$7,C52&gt;='Sources'!$B$8),"P2","P3")))))</x:f>
        <x:v>P2</x:v>
      </x:c>
      <x:c r="L52" s="16" t="n">
        <x:f>IF(J52="Hold","",MAX(0,E52-'Sources'!$B$5))</x:f>
        <x:v>26.35</x:v>
      </x:c>
      <x:c r="M52" s="13" t="str">
        <x:v>Use brake service and repair naturally on the same page.</x:v>
      </x:c>
      <x:c r="N52" s="13" t="n">
        <x:v>49</x:v>
      </x:c>
    </x:row>
    <x:row r="53" ht="65" customHeight="1">
      <x:c r="A53" s="13" t="str">
        <x:v>mercedes service center</x:v>
      </x:c>
      <x:c r="B53" s="17" t="n">
        <x:v>0</x:v>
      </x:c>
      <x:c r="C53" s="17" t="n">
        <x:v>54</x:v>
      </x:c>
      <x:c r="D53" s="18" t="n">
        <x:v>0</x:v>
      </x:c>
      <x:c r="E53" s="19" t="n">
        <x:v>21.39</x:v>
      </x:c>
      <x:c r="F53" s="13" t="str">
        <x:v>Scheduled service and maintenance</x:v>
      </x:c>
      <x:c r="G53" s="13" t="str">
        <x:v>HUB</x:v>
      </x:c>
      <x:c r="H53" s="13" t="str">
        <x:v>https://digitecme.com/brands/mercedes-benz-service-dubai</x:v>
      </x:c>
      <x:c r="I53" s="13" t="str">
        <x:v>Service A/B and minor/major scope</x:v>
      </x:c>
      <x:c r="J53" s="13" t="str">
        <x:v>Relevant</x:v>
      </x:c>
      <x:c r="K53" s="13" t="str">
        <x:f>IF(J53="Hold","Hold",IF(J53="Conditional","Conditional",IF(E53&lt;='Sources'!$B$5,"Protect",IF(AND(E53&lt;='Sources'!$B$7,C53&gt;='Sources'!$B$6),"P1",IF(OR(E53&lt;='Sources'!$B$7,C53&gt;='Sources'!$B$8),"P2","P3")))))</x:f>
        <x:v>P2</x:v>
      </x:c>
      <x:c r="L53" s="16" t="n">
        <x:f>IF(J53="Hold","",MAX(0,E53-'Sources'!$B$5))</x:f>
        <x:v>16.39</x:v>
      </x:c>
      <x:c r="M53" s="13" t="str">
        <x:v>Use one service booking destination; explain scope and link oil-only work and informational schedules separately.</x:v>
      </x:c>
      <x:c r="N53" s="13" t="n">
        <x:v>50</x:v>
      </x:c>
    </x:row>
    <x:row r="54" ht="65" customHeight="1">
      <x:c r="A54" s="13" t="str">
        <x:v>mercedes body repair dubai</x:v>
      </x:c>
      <x:c r="B54" s="17" t="n">
        <x:v>0</x:v>
      </x:c>
      <x:c r="C54" s="17" t="n">
        <x:v>52</x:v>
      </x:c>
      <x:c r="D54" s="18" t="n">
        <x:v>0</x:v>
      </x:c>
      <x:c r="E54" s="19" t="n">
        <x:v>28.29</x:v>
      </x:c>
      <x:c r="F54" s="13" t="str">
        <x:v>Body repair</x:v>
      </x:c>
      <x:c r="G54" s="13" t="str">
        <x:v>BODY</x:v>
      </x:c>
      <x:c r="H54" s="13" t="str">
        <x:v>https://digitecme.com/services/mercedes-body-repair-dubai</x:v>
      </x:c>
      <x:c r="I54" s="13" t="str">
        <x:v>Body shop and paintwork scope</x:v>
      </x:c>
      <x:c r="J54" s="13" t="str">
        <x:v>Relevant</x:v>
      </x:c>
      <x:c r="K54" s="13" t="str">
        <x:f>IF(J54="Hold","Hold",IF(J54="Conditional","Conditional",IF(E54&lt;='Sources'!$B$5,"Protect",IF(AND(E54&lt;='Sources'!$B$7,C54&gt;='Sources'!$B$6),"P1",IF(OR(E54&lt;='Sources'!$B$7,C54&gt;='Sources'!$B$8),"P2","P3")))))</x:f>
        <x:v>P2</x:v>
      </x:c>
      <x:c r="L54" s="16" t="n">
        <x:f>IF(J54="Hold","",MAX(0,E54-'Sources'!$B$5))</x:f>
        <x:v>23.29</x:v>
      </x:c>
      <x:c r="M54" s="13" t="str">
        <x:v>Show original repair evidence and genuine workshop capability.</x:v>
      </x:c>
      <x:c r="N54" s="13" t="n">
        <x:v>51</x:v>
      </x:c>
    </x:row>
    <x:row r="55" ht="65" customHeight="1">
      <x:c r="A55" s="13" t="str">
        <x:v>mercedes benz ac repair</x:v>
      </x:c>
      <x:c r="B55" s="17" t="n">
        <x:v>0</x:v>
      </x:c>
      <x:c r="C55" s="17" t="n">
        <x:v>45</x:v>
      </x:c>
      <x:c r="D55" s="18" t="n">
        <x:v>0</x:v>
      </x:c>
      <x:c r="E55" s="19" t="n">
        <x:v>18.62</x:v>
      </x:c>
      <x:c r="F55" s="13" t="str">
        <x:v>AC repair</x:v>
      </x:c>
      <x:c r="G55" s="13" t="str">
        <x:v>AC</x:v>
      </x:c>
      <x:c r="H55" s="13" t="str">
        <x:v>https://digitecme.com/services/mercedes-ac-repair-dubai</x:v>
      </x:c>
      <x:c r="I55" s="13" t="str">
        <x:v>AC diagnosis, recharge and repair</x:v>
      </x:c>
      <x:c r="J55" s="13" t="str">
        <x:v>Relevant</x:v>
      </x:c>
      <x:c r="K55" s="13" t="str">
        <x:f>IF(J55="Hold","Hold",IF(J55="Conditional","Conditional",IF(E55&lt;='Sources'!$B$5,"Protect",IF(AND(E55&lt;='Sources'!$B$7,C55&gt;='Sources'!$B$6),"P1",IF(OR(E55&lt;='Sources'!$B$7,C55&gt;='Sources'!$B$8),"P2","P3")))))</x:f>
        <x:v>P2</x:v>
      </x:c>
      <x:c r="L55" s="16" t="n">
        <x:f>IF(J55="Hold","",MAX(0,E55-'Sources'!$B$5))</x:f>
        <x:v>13.620000000000001</x:v>
      </x:c>
      <x:c r="M55" s="13" t="str">
        <x:v>Use AC and air conditioning as natural wording on the same page.</x:v>
      </x:c>
      <x:c r="N55" s="13" t="n">
        <x:v>52</x:v>
      </x:c>
    </x:row>
    <x:row r="56" ht="65" customHeight="1">
      <x:c r="A56" s="13" t="str">
        <x:v>mercedes air conditioning repair</x:v>
      </x:c>
      <x:c r="B56" s="17" t="n">
        <x:v>0</x:v>
      </x:c>
      <x:c r="C56" s="17" t="n">
        <x:v>45</x:v>
      </x:c>
      <x:c r="D56" s="18" t="n">
        <x:v>0</x:v>
      </x:c>
      <x:c r="E56" s="19" t="n">
        <x:v>26.82</x:v>
      </x:c>
      <x:c r="F56" s="13" t="str">
        <x:v>AC repair</x:v>
      </x:c>
      <x:c r="G56" s="13" t="str">
        <x:v>AC</x:v>
      </x:c>
      <x:c r="H56" s="13" t="str">
        <x:v>https://digitecme.com/services/mercedes-ac-repair-dubai</x:v>
      </x:c>
      <x:c r="I56" s="13" t="str">
        <x:v>AC diagnosis, recharge and repair</x:v>
      </x:c>
      <x:c r="J56" s="13" t="str">
        <x:v>Relevant</x:v>
      </x:c>
      <x:c r="K56" s="13" t="str">
        <x:f>IF(J56="Hold","Hold",IF(J56="Conditional","Conditional",IF(E56&lt;='Sources'!$B$5,"Protect",IF(AND(E56&lt;='Sources'!$B$7,C56&gt;='Sources'!$B$6),"P1",IF(OR(E56&lt;='Sources'!$B$7,C56&gt;='Sources'!$B$8),"P2","P3")))))</x:f>
        <x:v>P2</x:v>
      </x:c>
      <x:c r="L56" s="16" t="n">
        <x:f>IF(J56="Hold","",MAX(0,E56-'Sources'!$B$5))</x:f>
        <x:v>21.82</x:v>
      </x:c>
      <x:c r="M56" s="13" t="str">
        <x:v>Use AC and air conditioning as natural wording on the same page.</x:v>
      </x:c>
      <x:c r="N56" s="13" t="n">
        <x:v>53</x:v>
      </x:c>
    </x:row>
    <x:row r="57" ht="65" customHeight="1">
      <x:c r="A57" s="13" t="str">
        <x:v>mercedes benz workshop dubai</x:v>
      </x:c>
      <x:c r="B57" s="17" t="n">
        <x:v>0</x:v>
      </x:c>
      <x:c r="C57" s="17" t="n">
        <x:v>44</x:v>
      </x:c>
      <x:c r="D57" s="18" t="n">
        <x:v>0</x:v>
      </x:c>
      <x:c r="E57" s="19" t="n">
        <x:v>18.64</x:v>
      </x:c>
      <x:c r="F57" s="13" t="str">
        <x:v>General repair and workshop</x:v>
      </x:c>
      <x:c r="G57" s="13" t="str">
        <x:v>HUB</x:v>
      </x:c>
      <x:c r="H57" s="13" t="str">
        <x:v>https://digitecme.com/brands/mercedes-benz-service-dubai</x:v>
      </x:c>
      <x:c r="I57" s="13" t="str">
        <x:v>Workshop and booking</x:v>
      </x:c>
      <x:c r="J57" s="13" t="str">
        <x:v>Relevant</x:v>
      </x:c>
      <x:c r="K57" s="13" t="str">
        <x:f>IF(J57="Hold","Hold",IF(J57="Conditional","Conditional",IF(E57&lt;='Sources'!$B$5,"Protect",IF(AND(E57&lt;='Sources'!$B$7,C57&gt;='Sources'!$B$6),"P1",IF(OR(E57&lt;='Sources'!$B$7,C57&gt;='Sources'!$B$8),"P2","P3")))))</x:f>
        <x:v>P2</x:v>
      </x:c>
      <x:c r="L57" s="16" t="n">
        <x:f>IF(J57="Hold","",MAX(0,E57-'Sources'!$B$5))</x:f>
        <x:v>13.64</x:v>
      </x:c>
      <x:c r="M57" s="13" t="str">
        <x:v>Use the main Mercedes page for broad repair, service, garage and specialist wording.</x:v>
      </x:c>
      <x:c r="N57" s="13" t="n">
        <x:v>54</x:v>
      </x:c>
    </x:row>
    <x:row r="58" ht="65" customHeight="1">
      <x:c r="A58" s="13" t="str">
        <x:v>mercedes benz repair</x:v>
      </x:c>
      <x:c r="B58" s="17" t="n">
        <x:v>0</x:v>
      </x:c>
      <x:c r="C58" s="17" t="n">
        <x:v>44</x:v>
      </x:c>
      <x:c r="D58" s="18" t="n">
        <x:v>0</x:v>
      </x:c>
      <x:c r="E58" s="19" t="n">
        <x:v>28.55</x:v>
      </x:c>
      <x:c r="F58" s="13" t="str">
        <x:v>General repair and workshop</x:v>
      </x:c>
      <x:c r="G58" s="13" t="str">
        <x:v>HUB</x:v>
      </x:c>
      <x:c r="H58" s="13" t="str">
        <x:v>https://digitecme.com/brands/mercedes-benz-service-dubai</x:v>
      </x:c>
      <x:c r="I58" s="13" t="str">
        <x:v>Workshop and booking</x:v>
      </x:c>
      <x:c r="J58" s="13" t="str">
        <x:v>Relevant</x:v>
      </x:c>
      <x:c r="K58" s="13" t="str">
        <x:f>IF(J58="Hold","Hold",IF(J58="Conditional","Conditional",IF(E58&lt;='Sources'!$B$5,"Protect",IF(AND(E58&lt;='Sources'!$B$7,C58&gt;='Sources'!$B$6),"P1",IF(OR(E58&lt;='Sources'!$B$7,C58&gt;='Sources'!$B$8),"P2","P3")))))</x:f>
        <x:v>P2</x:v>
      </x:c>
      <x:c r="L58" s="16" t="n">
        <x:f>IF(J58="Hold","",MAX(0,E58-'Sources'!$B$5))</x:f>
        <x:v>23.55</x:v>
      </x:c>
      <x:c r="M58" s="13" t="str">
        <x:v>Use the main Mercedes page for broad repair, service, garage and specialist wording.</x:v>
      </x:c>
      <x:c r="N58" s="13" t="n">
        <x:v>55</x:v>
      </x:c>
    </x:row>
    <x:row r="59" ht="65" customHeight="1">
      <x:c r="A59" s="13" t="str">
        <x:v>mercedes benz workshop</x:v>
      </x:c>
      <x:c r="B59" s="17" t="n">
        <x:v>0</x:v>
      </x:c>
      <x:c r="C59" s="17" t="n">
        <x:v>43</x:v>
      </x:c>
      <x:c r="D59" s="18" t="n">
        <x:v>0</x:v>
      </x:c>
      <x:c r="E59" s="19" t="n">
        <x:v>16.91</x:v>
      </x:c>
      <x:c r="F59" s="13" t="str">
        <x:v>General repair and workshop</x:v>
      </x:c>
      <x:c r="G59" s="13" t="str">
        <x:v>HUB</x:v>
      </x:c>
      <x:c r="H59" s="13" t="str">
        <x:v>https://digitecme.com/brands/mercedes-benz-service-dubai</x:v>
      </x:c>
      <x:c r="I59" s="13" t="str">
        <x:v>Workshop and booking</x:v>
      </x:c>
      <x:c r="J59" s="13" t="str">
        <x:v>Relevant</x:v>
      </x:c>
      <x:c r="K59" s="13" t="str">
        <x:f>IF(J59="Hold","Hold",IF(J59="Conditional","Conditional",IF(E59&lt;='Sources'!$B$5,"Protect",IF(AND(E59&lt;='Sources'!$B$7,C59&gt;='Sources'!$B$6),"P1",IF(OR(E59&lt;='Sources'!$B$7,C59&gt;='Sources'!$B$8),"P2","P3")))))</x:f>
        <x:v>P2</x:v>
      </x:c>
      <x:c r="L59" s="16" t="n">
        <x:f>IF(J59="Hold","",MAX(0,E59-'Sources'!$B$5))</x:f>
        <x:v>11.91</x:v>
      </x:c>
      <x:c r="M59" s="13" t="str">
        <x:v>Use the main Mercedes page for broad repair, service, garage and specialist wording.</x:v>
      </x:c>
      <x:c r="N59" s="13" t="n">
        <x:v>56</x:v>
      </x:c>
    </x:row>
    <x:row r="60" ht="65" customHeight="1">
      <x:c r="A60" s="13" t="str">
        <x:v>mercedes repair near me</x:v>
      </x:c>
      <x:c r="B60" s="17" t="n">
        <x:v>0</x:v>
      </x:c>
      <x:c r="C60" s="17" t="n">
        <x:v>42</x:v>
      </x:c>
      <x:c r="D60" s="18" t="n">
        <x:v>0</x:v>
      </x:c>
      <x:c r="E60" s="19" t="n">
        <x:v>18.69</x:v>
      </x:c>
      <x:c r="F60" s="13" t="str">
        <x:v>General repair and workshop</x:v>
      </x:c>
      <x:c r="G60" s="13" t="str">
        <x:v>HUB</x:v>
      </x:c>
      <x:c r="H60" s="13" t="str">
        <x:v>https://digitecme.com/brands/mercedes-benz-service-dubai</x:v>
      </x:c>
      <x:c r="I60" s="13" t="str">
        <x:v>Workshop and booking</x:v>
      </x:c>
      <x:c r="J60" s="13" t="str">
        <x:v>Relevant</x:v>
      </x:c>
      <x:c r="K60" s="13" t="str">
        <x:f>IF(J60="Hold","Hold",IF(J60="Conditional","Conditional",IF(E60&lt;='Sources'!$B$5,"Protect",IF(AND(E60&lt;='Sources'!$B$7,C60&gt;='Sources'!$B$6),"P1",IF(OR(E60&lt;='Sources'!$B$7,C60&gt;='Sources'!$B$8),"P2","P3")))))</x:f>
        <x:v>P2</x:v>
      </x:c>
      <x:c r="L60" s="16" t="n">
        <x:f>IF(J60="Hold","",MAX(0,E60-'Sources'!$B$5))</x:f>
        <x:v>13.690000000000001</x:v>
      </x:c>
      <x:c r="M60" s="13" t="str">
        <x:v>Use the main Mercedes page for broad repair, service, garage and specialist wording. Include accurate Al Quoz location and Business Profile links; proximity varies by searcher.</x:v>
      </x:c>
      <x:c r="N60" s="13" t="n">
        <x:v>57</x:v>
      </x:c>
    </x:row>
    <x:row r="61" ht="65" customHeight="1">
      <x:c r="A61" s="13" t="str">
        <x:v>mercedes car repair</x:v>
      </x:c>
      <x:c r="B61" s="17" t="n">
        <x:v>0</x:v>
      </x:c>
      <x:c r="C61" s="17" t="n">
        <x:v>41</x:v>
      </x:c>
      <x:c r="D61" s="18" t="n">
        <x:v>0</x:v>
      </x:c>
      <x:c r="E61" s="19" t="n">
        <x:v>27.1</x:v>
      </x:c>
      <x:c r="F61" s="13" t="str">
        <x:v>General repair and workshop</x:v>
      </x:c>
      <x:c r="G61" s="13" t="str">
        <x:v>HUB</x:v>
      </x:c>
      <x:c r="H61" s="13" t="str">
        <x:v>https://digitecme.com/brands/mercedes-benz-service-dubai</x:v>
      </x:c>
      <x:c r="I61" s="13" t="str">
        <x:v>Workshop and booking</x:v>
      </x:c>
      <x:c r="J61" s="13" t="str">
        <x:v>Relevant</x:v>
      </x:c>
      <x:c r="K61" s="13" t="str">
        <x:f>IF(J61="Hold","Hold",IF(J61="Conditional","Conditional",IF(E61&lt;='Sources'!$B$5,"Protect",IF(AND(E61&lt;='Sources'!$B$7,C61&gt;='Sources'!$B$6),"P1",IF(OR(E61&lt;='Sources'!$B$7,C61&gt;='Sources'!$B$8),"P2","P3")))))</x:f>
        <x:v>P2</x:v>
      </x:c>
      <x:c r="L61" s="16" t="n">
        <x:f>IF(J61="Hold","",MAX(0,E61-'Sources'!$B$5))</x:f>
        <x:v>22.1</x:v>
      </x:c>
      <x:c r="M61" s="13" t="str">
        <x:v>Use the main Mercedes page for broad repair, service, garage and specialist wording.</x:v>
      </x:c>
      <x:c r="N61" s="13" t="n">
        <x:v>58</x:v>
      </x:c>
    </x:row>
    <x:row r="62" ht="65" customHeight="1">
      <x:c r="A62" s="13" t="str">
        <x:v>mercedes workshop</x:v>
      </x:c>
      <x:c r="B62" s="17" t="n">
        <x:v>0</x:v>
      </x:c>
      <x:c r="C62" s="17" t="n">
        <x:v>40</x:v>
      </x:c>
      <x:c r="D62" s="18" t="n">
        <x:v>0</x:v>
      </x:c>
      <x:c r="E62" s="19" t="n">
        <x:v>20.07</x:v>
      </x:c>
      <x:c r="F62" s="13" t="str">
        <x:v>General repair and workshop</x:v>
      </x:c>
      <x:c r="G62" s="13" t="str">
        <x:v>HUB</x:v>
      </x:c>
      <x:c r="H62" s="13" t="str">
        <x:v>https://digitecme.com/brands/mercedes-benz-service-dubai</x:v>
      </x:c>
      <x:c r="I62" s="13" t="str">
        <x:v>Workshop and booking</x:v>
      </x:c>
      <x:c r="J62" s="13" t="str">
        <x:v>Relevant</x:v>
      </x:c>
      <x:c r="K62" s="13" t="str">
        <x:f>IF(J62="Hold","Hold",IF(J62="Conditional","Conditional",IF(E62&lt;='Sources'!$B$5,"Protect",IF(AND(E62&lt;='Sources'!$B$7,C62&gt;='Sources'!$B$6),"P1",IF(OR(E62&lt;='Sources'!$B$7,C62&gt;='Sources'!$B$8),"P2","P3")))))</x:f>
        <x:v>P2</x:v>
      </x:c>
      <x:c r="L62" s="16" t="n">
        <x:f>IF(J62="Hold","",MAX(0,E62-'Sources'!$B$5))</x:f>
        <x:v>15.07</x:v>
      </x:c>
      <x:c r="M62" s="13" t="str">
        <x:v>Use the main Mercedes page for broad repair, service, garage and specialist wording.</x:v>
      </x:c>
      <x:c r="N62" s="13" t="n">
        <x:v>59</x:v>
      </x:c>
    </x:row>
    <x:row r="63" ht="65" customHeight="1">
      <x:c r="A63" s="13" t="str">
        <x:v>mercedes benz garage dubai</x:v>
      </x:c>
      <x:c r="B63" s="17" t="n">
        <x:v>0</x:v>
      </x:c>
      <x:c r="C63" s="17" t="n">
        <x:v>39</x:v>
      </x:c>
      <x:c r="D63" s="18" t="n">
        <x:v>0</x:v>
      </x:c>
      <x:c r="E63" s="19" t="n">
        <x:v>9.74</x:v>
      </x:c>
      <x:c r="F63" s="13" t="str">
        <x:v>General repair and workshop</x:v>
      </x:c>
      <x:c r="G63" s="13" t="str">
        <x:v>HUB</x:v>
      </x:c>
      <x:c r="H63" s="13" t="str">
        <x:v>https://digitecme.com/brands/mercedes-benz-service-dubai</x:v>
      </x:c>
      <x:c r="I63" s="13" t="str">
        <x:v>Workshop and booking</x:v>
      </x:c>
      <x:c r="J63" s="13" t="str">
        <x:v>Relevant</x:v>
      </x:c>
      <x:c r="K63" s="13" t="str">
        <x:f>IF(J63="Hold","Hold",IF(J63="Conditional","Conditional",IF(E63&lt;='Sources'!$B$5,"Protect",IF(AND(E63&lt;='Sources'!$B$7,C63&gt;='Sources'!$B$6),"P1",IF(OR(E63&lt;='Sources'!$B$7,C63&gt;='Sources'!$B$8),"P2","P3")))))</x:f>
        <x:v>P2</x:v>
      </x:c>
      <x:c r="L63" s="16" t="n">
        <x:f>IF(J63="Hold","",MAX(0,E63-'Sources'!$B$5))</x:f>
        <x:v>4.74</x:v>
      </x:c>
      <x:c r="M63" s="13" t="str">
        <x:v>Use the main Mercedes page for broad repair, service, garage and specialist wording.</x:v>
      </x:c>
      <x:c r="N63" s="13" t="n">
        <x:v>60</x:v>
      </x:c>
    </x:row>
    <x:row r="64" ht="65" customHeight="1">
      <x:c r="A64" s="13" t="str">
        <x:v>mercedes benz transmission repair</x:v>
      </x:c>
      <x:c r="B64" s="17" t="n">
        <x:v>0</x:v>
      </x:c>
      <x:c r="C64" s="17" t="n">
        <x:v>38</x:v>
      </x:c>
      <x:c r="D64" s="18" t="n">
        <x:v>0</x:v>
      </x:c>
      <x:c r="E64" s="19" t="n">
        <x:v>39.5</x:v>
      </x:c>
      <x:c r="F64" s="13" t="str">
        <x:v>Transmission and gearbox</x:v>
      </x:c>
      <x:c r="G64" s="13" t="str">
        <x:v>TRANS</x:v>
      </x:c>
      <x:c r="H64" s="13" t="str">
        <x:v>https://digitecme.com/services/mercedes-transmission-repair-dubai</x:v>
      </x:c>
      <x:c r="I64" s="13" t="str">
        <x:v>Gearbox service and fault diagnosis</x:v>
      </x:c>
      <x:c r="J64" s="13" t="str">
        <x:v>Relevant</x:v>
      </x:c>
      <x:c r="K64" s="13" t="str">
        <x:f>IF(J64="Hold","Hold",IF(J64="Conditional","Conditional",IF(E64&lt;='Sources'!$B$5,"Protect",IF(AND(E64&lt;='Sources'!$B$7,C64&gt;='Sources'!$B$6),"P1",IF(OR(E64&lt;='Sources'!$B$7,C64&gt;='Sources'!$B$8),"P2","P3")))))</x:f>
        <x:v>P2</x:v>
      </x:c>
      <x:c r="L64" s="16" t="n">
        <x:f>IF(J64="Hold","",MAX(0,E64-'Sources'!$B$5))</x:f>
        <x:v>34.5</x:v>
      </x:c>
      <x:c r="M64" s="13" t="str">
        <x:v>Match transmission repair, service and applicable clutch work to one transactional page.</x:v>
      </x:c>
      <x:c r="N64" s="13" t="n">
        <x:v>61</x:v>
      </x:c>
    </x:row>
    <x:row r="65" ht="65" customHeight="1">
      <x:c r="A65" s="13" t="str">
        <x:v>mercedes battery replacement near me</x:v>
      </x:c>
      <x:c r="B65" s="17" t="n">
        <x:v>0</x:v>
      </x:c>
      <x:c r="C65" s="17" t="n">
        <x:v>36</x:v>
      </x:c>
      <x:c r="D65" s="18" t="n">
        <x:v>0</x:v>
      </x:c>
      <x:c r="E65" s="19" t="n">
        <x:v>9.08</x:v>
      </x:c>
      <x:c r="F65" s="13" t="str">
        <x:v>Battery replacement</x:v>
      </x:c>
      <x:c r="G65" s="13" t="str">
        <x:v>BATTERY</x:v>
      </x:c>
      <x:c r="H65" s="13" t="str">
        <x:v>https://digitecme.com/services/mercedes-battery-replacement-dubai</x:v>
      </x:c>
      <x:c r="I65" s="13" t="str">
        <x:v>Battery testing, replacement and location</x:v>
      </x:c>
      <x:c r="J65" s="13" t="str">
        <x:v>Relevant</x:v>
      </x:c>
      <x:c r="K65" s="13" t="str">
        <x:f>IF(J65="Hold","Hold",IF(J65="Conditional","Conditional",IF(E65&lt;='Sources'!$B$5,"Protect",IF(AND(E65&lt;='Sources'!$B$7,C65&gt;='Sources'!$B$6),"P1",IF(OR(E65&lt;='Sources'!$B$7,C65&gt;='Sources'!$B$8),"P2","P3")))))</x:f>
        <x:v>P2</x:v>
      </x:c>
      <x:c r="L65" s="16" t="n">
        <x:f>IF(J65="Hold","",MAX(0,E65-'Sources'!$B$5))</x:f>
        <x:v>4.08</x:v>
      </x:c>
      <x:c r="M65" s="13" t="str">
        <x:v>Explain model-specific battery selection and supported installation checks. Include accurate Al Quoz location and Business Profile links; proximity varies by searcher.</x:v>
      </x:c>
      <x:c r="N65" s="13" t="n">
        <x:v>62</x:v>
      </x:c>
    </x:row>
    <x:row r="66" ht="65" customHeight="1">
      <x:c r="A66" s="13" t="str">
        <x:v>mercedes mechanic</x:v>
      </x:c>
      <x:c r="B66" s="17" t="n">
        <x:v>0</x:v>
      </x:c>
      <x:c r="C66" s="17" t="n">
        <x:v>35</x:v>
      </x:c>
      <x:c r="D66" s="18" t="n">
        <x:v>0</x:v>
      </x:c>
      <x:c r="E66" s="19" t="n">
        <x:v>22.43</x:v>
      </x:c>
      <x:c r="F66" s="13" t="str">
        <x:v>General repair and workshop</x:v>
      </x:c>
      <x:c r="G66" s="13" t="str">
        <x:v>HUB</x:v>
      </x:c>
      <x:c r="H66" s="13" t="str">
        <x:v>https://digitecme.com/brands/mercedes-benz-service-dubai</x:v>
      </x:c>
      <x:c r="I66" s="13" t="str">
        <x:v>Workshop and booking</x:v>
      </x:c>
      <x:c r="J66" s="13" t="str">
        <x:v>Relevant</x:v>
      </x:c>
      <x:c r="K66" s="13" t="str">
        <x:f>IF(J66="Hold","Hold",IF(J66="Conditional","Conditional",IF(E66&lt;='Sources'!$B$5,"Protect",IF(AND(E66&lt;='Sources'!$B$7,C66&gt;='Sources'!$B$6),"P1",IF(OR(E66&lt;='Sources'!$B$7,C66&gt;='Sources'!$B$8),"P2","P3")))))</x:f>
        <x:v>P2</x:v>
      </x:c>
      <x:c r="L66" s="16" t="n">
        <x:f>IF(J66="Hold","",MAX(0,E66-'Sources'!$B$5))</x:f>
        <x:v>17.43</x:v>
      </x:c>
      <x:c r="M66" s="13" t="str">
        <x:v>Use the main Mercedes page for broad repair, service, garage and specialist wording.</x:v>
      </x:c>
      <x:c r="N66" s="13" t="n">
        <x:v>63</x:v>
      </x:c>
    </x:row>
    <x:row r="67" ht="65" customHeight="1">
      <x:c r="A67" s="13" t="str">
        <x:v>mercedes brake repair</x:v>
      </x:c>
      <x:c r="B67" s="17" t="n">
        <x:v>0</x:v>
      </x:c>
      <x:c r="C67" s="17" t="n">
        <x:v>34</x:v>
      </x:c>
      <x:c r="D67" s="18" t="n">
        <x:v>0</x:v>
      </x:c>
      <x:c r="E67" s="19" t="n">
        <x:v>57.79</x:v>
      </x:c>
      <x:c r="F67" s="13" t="str">
        <x:v>Brake service and repair</x:v>
      </x:c>
      <x:c r="G67" s="13" t="str">
        <x:v>BRAKES</x:v>
      </x:c>
      <x:c r="H67" s="13" t="str">
        <x:v>https://digitecme.com/services/mercedes-brake-repair-dubai</x:v>
      </x:c>
      <x:c r="I67" s="13" t="str">
        <x:v>Pads, discs and inspection</x:v>
      </x:c>
      <x:c r="J67" s="13" t="str">
        <x:v>Relevant</x:v>
      </x:c>
      <x:c r="K67" s="13" t="str">
        <x:f>IF(J67="Hold","Hold",IF(J67="Conditional","Conditional",IF(E67&lt;='Sources'!$B$5,"Protect",IF(AND(E67&lt;='Sources'!$B$7,C67&gt;='Sources'!$B$6),"P1",IF(OR(E67&lt;='Sources'!$B$7,C67&gt;='Sources'!$B$8),"P2","P3")))))</x:f>
        <x:v>P2</x:v>
      </x:c>
      <x:c r="L67" s="16" t="n">
        <x:f>IF(J67="Hold","",MAX(0,E67-'Sources'!$B$5))</x:f>
        <x:v>52.79</x:v>
      </x:c>
      <x:c r="M67" s="13" t="str">
        <x:v>Use brake service and repair naturally on the same page.</x:v>
      </x:c>
      <x:c r="N67" s="13" t="n">
        <x:v>64</x:v>
      </x:c>
    </x:row>
    <x:row r="68" ht="65" customHeight="1">
      <x:c r="A68" s="13" t="str">
        <x:v>mercedes dubai service</x:v>
      </x:c>
      <x:c r="B68" s="17" t="n">
        <x:v>0</x:v>
      </x:c>
      <x:c r="C68" s="17" t="n">
        <x:v>31</x:v>
      </x:c>
      <x:c r="D68" s="18" t="n">
        <x:v>0</x:v>
      </x:c>
      <x:c r="E68" s="19" t="n">
        <x:v>13.03</x:v>
      </x:c>
      <x:c r="F68" s="13" t="str">
        <x:v>Scheduled service and maintenance</x:v>
      </x:c>
      <x:c r="G68" s="13" t="str">
        <x:v>HUB</x:v>
      </x:c>
      <x:c r="H68" s="13" t="str">
        <x:v>https://digitecme.com/brands/mercedes-benz-service-dubai</x:v>
      </x:c>
      <x:c r="I68" s="13" t="str">
        <x:v>Service A/B and minor/major scope</x:v>
      </x:c>
      <x:c r="J68" s="13" t="str">
        <x:v>Relevant</x:v>
      </x:c>
      <x:c r="K68" s="13" t="str">
        <x:f>IF(J68="Hold","Hold",IF(J68="Conditional","Conditional",IF(E68&lt;='Sources'!$B$5,"Protect",IF(AND(E68&lt;='Sources'!$B$7,C68&gt;='Sources'!$B$6),"P1",IF(OR(E68&lt;='Sources'!$B$7,C68&gt;='Sources'!$B$8),"P2","P3")))))</x:f>
        <x:v>P2</x:v>
      </x:c>
      <x:c r="L68" s="16" t="n">
        <x:f>IF(J68="Hold","",MAX(0,E68-'Sources'!$B$5))</x:f>
        <x:v>8.03</x:v>
      </x:c>
      <x:c r="M68" s="13" t="str">
        <x:v>Use one service booking destination; explain scope and link oil-only work and informational schedules separately.</x:v>
      </x:c>
      <x:c r="N68" s="13" t="n">
        <x:v>65</x:v>
      </x:c>
    </x:row>
    <x:row r="69" ht="65" customHeight="1">
      <x:c r="A69" s="13" t="str">
        <x:v>mercedes-benz repair dubai</x:v>
      </x:c>
      <x:c r="B69" s="17" t="n">
        <x:v>0</x:v>
      </x:c>
      <x:c r="C69" s="17" t="n">
        <x:v>30</x:v>
      </x:c>
      <x:c r="D69" s="18" t="n">
        <x:v>0</x:v>
      </x:c>
      <x:c r="E69" s="19" t="n">
        <x:v>4.33</x:v>
      </x:c>
      <x:c r="F69" s="13" t="str">
        <x:v>General repair and workshop</x:v>
      </x:c>
      <x:c r="G69" s="13" t="str">
        <x:v>HUB</x:v>
      </x:c>
      <x:c r="H69" s="13" t="str">
        <x:v>https://digitecme.com/brands/mercedes-benz-service-dubai</x:v>
      </x:c>
      <x:c r="I69" s="13" t="str">
        <x:v>Workshop and booking</x:v>
      </x:c>
      <x:c r="J69" s="13" t="str">
        <x:v>Relevant</x:v>
      </x:c>
      <x:c r="K69" s="13" t="str">
        <x:f>IF(J69="Hold","Hold",IF(J69="Conditional","Conditional",IF(E69&lt;='Sources'!$B$5,"Protect",IF(AND(E69&lt;='Sources'!$B$7,C69&gt;='Sources'!$B$6),"P1",IF(OR(E69&lt;='Sources'!$B$7,C69&gt;='Sources'!$B$8),"P2","P3")))))</x:f>
        <x:v>Protect</x:v>
      </x:c>
      <x:c r="L69" s="16" t="n">
        <x:f>IF(J69="Hold","",MAX(0,E69-'Sources'!$B$5))</x:f>
        <x:v>0</x:v>
      </x:c>
      <x:c r="M69" s="13" t="str">
        <x:v>Use the main Mercedes page for broad repair, service, garage and specialist wording.</x:v>
      </x:c>
      <x:c r="N69" s="13" t="n">
        <x:v>66</x:v>
      </x:c>
    </x:row>
    <x:row r="70" ht="65" customHeight="1">
      <x:c r="A70" s="13" t="str">
        <x:v>mercedes body repair</x:v>
      </x:c>
      <x:c r="B70" s="17" t="n">
        <x:v>0</x:v>
      </x:c>
      <x:c r="C70" s="17" t="n">
        <x:v>30</x:v>
      </x:c>
      <x:c r="D70" s="18" t="n">
        <x:v>0</x:v>
      </x:c>
      <x:c r="E70" s="19" t="n">
        <x:v>31.57</x:v>
      </x:c>
      <x:c r="F70" s="13" t="str">
        <x:v>Body repair</x:v>
      </x:c>
      <x:c r="G70" s="13" t="str">
        <x:v>BODY</x:v>
      </x:c>
      <x:c r="H70" s="13" t="str">
        <x:v>https://digitecme.com/services/mercedes-body-repair-dubai</x:v>
      </x:c>
      <x:c r="I70" s="13" t="str">
        <x:v>Body shop and paintwork scope</x:v>
      </x:c>
      <x:c r="J70" s="13" t="str">
        <x:v>Relevant</x:v>
      </x:c>
      <x:c r="K70" s="13" t="str">
        <x:f>IF(J70="Hold","Hold",IF(J70="Conditional","Conditional",IF(E70&lt;='Sources'!$B$5,"Protect",IF(AND(E70&lt;='Sources'!$B$7,C70&gt;='Sources'!$B$6),"P1",IF(OR(E70&lt;='Sources'!$B$7,C70&gt;='Sources'!$B$8),"P2","P3")))))</x:f>
        <x:v>P2</x:v>
      </x:c>
      <x:c r="L70" s="16" t="n">
        <x:f>IF(J70="Hold","",MAX(0,E70-'Sources'!$B$5))</x:f>
        <x:v>26.57</x:v>
      </x:c>
      <x:c r="M70" s="13" t="str">
        <x:v>Show original repair evidence and genuine workshop capability.</x:v>
      </x:c>
      <x:c r="N70" s="13" t="n">
        <x:v>67</x:v>
      </x:c>
    </x:row>
    <x:row r="71" ht="65" customHeight="1">
      <x:c r="A71" s="13" t="str">
        <x:v>mercedes brake repair dubai</x:v>
      </x:c>
      <x:c r="B71" s="17" t="n">
        <x:v>0</x:v>
      </x:c>
      <x:c r="C71" s="17" t="n">
        <x:v>28</x:v>
      </x:c>
      <x:c r="D71" s="18" t="n">
        <x:v>0</x:v>
      </x:c>
      <x:c r="E71" s="19" t="n">
        <x:v>9.64</x:v>
      </x:c>
      <x:c r="F71" s="13" t="str">
        <x:v>Brake service and repair</x:v>
      </x:c>
      <x:c r="G71" s="13" t="str">
        <x:v>BRAKES</x:v>
      </x:c>
      <x:c r="H71" s="13" t="str">
        <x:v>https://digitecme.com/services/mercedes-brake-repair-dubai</x:v>
      </x:c>
      <x:c r="I71" s="13" t="str">
        <x:v>Pads, discs and inspection</x:v>
      </x:c>
      <x:c r="J71" s="13" t="str">
        <x:v>Relevant</x:v>
      </x:c>
      <x:c r="K71" s="13" t="str">
        <x:f>IF(J71="Hold","Hold",IF(J71="Conditional","Conditional",IF(E71&lt;='Sources'!$B$5,"Protect",IF(AND(E71&lt;='Sources'!$B$7,C71&gt;='Sources'!$B$6),"P1",IF(OR(E71&lt;='Sources'!$B$7,C71&gt;='Sources'!$B$8),"P2","P3")))))</x:f>
        <x:v>P2</x:v>
      </x:c>
      <x:c r="L71" s="16" t="n">
        <x:f>IF(J71="Hold","",MAX(0,E71-'Sources'!$B$5))</x:f>
        <x:v>4.640000000000001</x:v>
      </x:c>
      <x:c r="M71" s="13" t="str">
        <x:v>Use brake service and repair naturally on the same page.</x:v>
      </x:c>
      <x:c r="N71" s="13" t="n">
        <x:v>68</x:v>
      </x:c>
    </x:row>
    <x:row r="72" ht="65" customHeight="1">
      <x:c r="A72" s="13" t="str">
        <x:v>gad motors mercedes</x:v>
      </x:c>
      <x:c r="B72" s="17" t="n">
        <x:v>0</x:v>
      </x:c>
      <x:c r="C72" s="17" t="n">
        <x:v>27</x:v>
      </x:c>
      <x:c r="D72" s="18" t="n">
        <x:v>0</x:v>
      </x:c>
      <x:c r="E72" s="19" t="n">
        <x:v>8.11</x:v>
      </x:c>
      <x:c r="F72" s="13" t="str">
        <x:v>Performance tuning and GAD</x:v>
      </x:c>
      <x:c r="G72" s="13" t="str">
        <x:v>TUNE</x:v>
      </x:c>
      <x:c r="H72" s="13" t="str">
        <x:v>https://digitecme.com/tuning</x:v>
      </x:c>
      <x:c r="I72" s="13" t="str">
        <x:v>Mercedes-AMG tuning and verified projects</x:v>
      </x:c>
      <x:c r="J72" s="13" t="str">
        <x:v>Relevant</x:v>
      </x:c>
      <x:c r="K72" s="13" t="str">
        <x:f>IF(J72="Hold","Hold",IF(J72="Conditional","Conditional",IF(E72&lt;='Sources'!$B$5,"Protect",IF(AND(E72&lt;='Sources'!$B$7,C72&gt;='Sources'!$B$6),"P1",IF(OR(E72&lt;='Sources'!$B$7,C72&gt;='Sources'!$B$8),"P2","P3")))))</x:f>
        <x:v>P2</x:v>
      </x:c>
      <x:c r="L72" s="16" t="n">
        <x:f>IF(J72="Hold","",MAX(0,E72-'Sources'!$B$5))</x:f>
        <x:v>3.1099999999999994</x:v>
      </x:c>
      <x:c r="M72" s="13" t="str">
        <x:v>Use the Mercedes section of the existing tuning page and relevant project evidence.</x:v>
      </x:c>
      <x:c r="N72" s="13" t="n">
        <x:v>69</x:v>
      </x:c>
    </x:row>
    <x:row r="73" ht="65" customHeight="1">
      <x:c r="A73" s="13" t="str">
        <x:v>mercedes service near me</x:v>
      </x:c>
      <x:c r="B73" s="17" t="n">
        <x:v>0</x:v>
      </x:c>
      <x:c r="C73" s="17" t="n">
        <x:v>27</x:v>
      </x:c>
      <x:c r="D73" s="18" t="n">
        <x:v>0</x:v>
      </x:c>
      <x:c r="E73" s="19" t="n">
        <x:v>21.04</x:v>
      </x:c>
      <x:c r="F73" s="13" t="str">
        <x:v>Scheduled service and maintenance</x:v>
      </x:c>
      <x:c r="G73" s="13" t="str">
        <x:v>HUB</x:v>
      </x:c>
      <x:c r="H73" s="13" t="str">
        <x:v>https://digitecme.com/brands/mercedes-benz-service-dubai</x:v>
      </x:c>
      <x:c r="I73" s="13" t="str">
        <x:v>Service A/B and minor/major scope</x:v>
      </x:c>
      <x:c r="J73" s="13" t="str">
        <x:v>Relevant</x:v>
      </x:c>
      <x:c r="K73" s="13" t="str">
        <x:f>IF(J73="Hold","Hold",IF(J73="Conditional","Conditional",IF(E73&lt;='Sources'!$B$5,"Protect",IF(AND(E73&lt;='Sources'!$B$7,C73&gt;='Sources'!$B$6),"P1",IF(OR(E73&lt;='Sources'!$B$7,C73&gt;='Sources'!$B$8),"P2","P3")))))</x:f>
        <x:v>P2</x:v>
      </x:c>
      <x:c r="L73" s="16" t="n">
        <x:f>IF(J73="Hold","",MAX(0,E73-'Sources'!$B$5))</x:f>
        <x:v>16.04</x:v>
      </x:c>
      <x:c r="M73" s="13" t="str">
        <x:v>Use one service booking destination; explain scope and link oil-only work and informational schedules separately. Include accurate Al Quoz location and Business Profile links; proximity varies by searcher.</x:v>
      </x:c>
      <x:c r="N73" s="13" t="n">
        <x:v>70</x:v>
      </x:c>
    </x:row>
    <x:row r="74" ht="65" customHeight="1">
      <x:c r="A74" s="13" t="str">
        <x:v>mercedes diagnostic dubai</x:v>
      </x:c>
      <x:c r="B74" s="17" t="n">
        <x:v>0</x:v>
      </x:c>
      <x:c r="C74" s="17" t="n">
        <x:v>26</x:v>
      </x:c>
      <x:c r="D74" s="18" t="n">
        <x:v>0</x:v>
      </x:c>
      <x:c r="E74" s="19" t="n">
        <x:v>4.73</x:v>
      </x:c>
      <x:c r="F74" s="13" t="str">
        <x:v>Diagnostics and coding</x:v>
      </x:c>
      <x:c r="G74" s="13" t="str">
        <x:v>DIAG</x:v>
      </x:c>
      <x:c r="H74" s="13" t="str">
        <x:v>https://digitecme.com/services/mercedes-diagnostics-dubai</x:v>
      </x:c>
      <x:c r="I74" s="13" t="str">
        <x:v>Diagnostic process</x:v>
      </x:c>
      <x:c r="J74" s="13" t="str">
        <x:v>Relevant</x:v>
      </x:c>
      <x:c r="K74" s="13" t="str">
        <x:f>IF(J74="Hold","Hold",IF(J74="Conditional","Conditional",IF(E74&lt;='Sources'!$B$5,"Protect",IF(AND(E74&lt;='Sources'!$B$7,C74&gt;='Sources'!$B$6),"P1",IF(OR(E74&lt;='Sources'!$B$7,C74&gt;='Sources'!$B$8),"P2","P3")))))</x:f>
        <x:v>Protect</x:v>
      </x:c>
      <x:c r="L74" s="16" t="n">
        <x:f>IF(J74="Hold","",MAX(0,E74-'Sources'!$B$5))</x:f>
        <x:v>0</x:v>
      </x:c>
      <x:c r="M74" s="13" t="str">
        <x:v>Match supported vehicle/module functions; do not create a page per fault code.</x:v>
      </x:c>
      <x:c r="N74" s="13" t="n">
        <x:v>71</x:v>
      </x:c>
    </x:row>
    <x:row r="75" ht="65" customHeight="1">
      <x:c r="A75" s="13" t="str">
        <x:v>mercedes dubai service center</x:v>
      </x:c>
      <x:c r="B75" s="17" t="n">
        <x:v>0</x:v>
      </x:c>
      <x:c r="C75" s="17" t="n">
        <x:v>26</x:v>
      </x:c>
      <x:c r="D75" s="18" t="n">
        <x:v>0</x:v>
      </x:c>
      <x:c r="E75" s="19" t="n">
        <x:v>14.12</x:v>
      </x:c>
      <x:c r="F75" s="13" t="str">
        <x:v>Scheduled service and maintenance</x:v>
      </x:c>
      <x:c r="G75" s="13" t="str">
        <x:v>HUB</x:v>
      </x:c>
      <x:c r="H75" s="13" t="str">
        <x:v>https://digitecme.com/brands/mercedes-benz-service-dubai</x:v>
      </x:c>
      <x:c r="I75" s="13" t="str">
        <x:v>Service A/B and minor/major scope</x:v>
      </x:c>
      <x:c r="J75" s="13" t="str">
        <x:v>Relevant</x:v>
      </x:c>
      <x:c r="K75" s="13" t="str">
        <x:f>IF(J75="Hold","Hold",IF(J75="Conditional","Conditional",IF(E75&lt;='Sources'!$B$5,"Protect",IF(AND(E75&lt;='Sources'!$B$7,C75&gt;='Sources'!$B$6),"P1",IF(OR(E75&lt;='Sources'!$B$7,C75&gt;='Sources'!$B$8),"P2","P3")))))</x:f>
        <x:v>P2</x:v>
      </x:c>
      <x:c r="L75" s="16" t="n">
        <x:f>IF(J75="Hold","",MAX(0,E75-'Sources'!$B$5))</x:f>
        <x:v>9.12</x:v>
      </x:c>
      <x:c r="M75" s="13" t="str">
        <x:v>Use one service booking destination; explain scope and link oil-only work and informational schedules separately.</x:v>
      </x:c>
      <x:c r="N75" s="13" t="n">
        <x:v>72</x:v>
      </x:c>
    </x:row>
    <x:row r="76" ht="65" customHeight="1">
      <x:c r="A76" s="13" t="str">
        <x:v>mercedes car service dubai</x:v>
      </x:c>
      <x:c r="B76" s="17" t="n">
        <x:v>0</x:v>
      </x:c>
      <x:c r="C76" s="17" t="n">
        <x:v>25</x:v>
      </x:c>
      <x:c r="D76" s="18" t="n">
        <x:v>0</x:v>
      </x:c>
      <x:c r="E76" s="19" t="n">
        <x:v>10.36</x:v>
      </x:c>
      <x:c r="F76" s="13" t="str">
        <x:v>Scheduled service and maintenance</x:v>
      </x:c>
      <x:c r="G76" s="13" t="str">
        <x:v>HUB</x:v>
      </x:c>
      <x:c r="H76" s="13" t="str">
        <x:v>https://digitecme.com/brands/mercedes-benz-service-dubai</x:v>
      </x:c>
      <x:c r="I76" s="13" t="str">
        <x:v>Service A/B and minor/major scope</x:v>
      </x:c>
      <x:c r="J76" s="13" t="str">
        <x:v>Relevant</x:v>
      </x:c>
      <x:c r="K76" s="13" t="str">
        <x:f>IF(J76="Hold","Hold",IF(J76="Conditional","Conditional",IF(E76&lt;='Sources'!$B$5,"Protect",IF(AND(E76&lt;='Sources'!$B$7,C76&gt;='Sources'!$B$6),"P1",IF(OR(E76&lt;='Sources'!$B$7,C76&gt;='Sources'!$B$8),"P2","P3")))))</x:f>
        <x:v>P2</x:v>
      </x:c>
      <x:c r="L76" s="16" t="n">
        <x:f>IF(J76="Hold","",MAX(0,E76-'Sources'!$B$5))</x:f>
        <x:v>5.359999999999999</x:v>
      </x:c>
      <x:c r="M76" s="13" t="str">
        <x:v>Use one service booking destination; explain scope and link oil-only work and informational schedules separately.</x:v>
      </x:c>
      <x:c r="N76" s="13" t="n">
        <x:v>73</x:v>
      </x:c>
    </x:row>
    <x:row r="77" ht="65" customHeight="1">
      <x:c r="A77" s="13" t="str">
        <x:v>mercedes auto repair​ in dubai</x:v>
      </x:c>
      <x:c r="B77" s="17" t="n">
        <x:v>0</x:v>
      </x:c>
      <x:c r="C77" s="17" t="n">
        <x:v>24</x:v>
      </x:c>
      <x:c r="D77" s="18" t="n">
        <x:v>0</x:v>
      </x:c>
      <x:c r="E77" s="19" t="n">
        <x:v>4.71</x:v>
      </x:c>
      <x:c r="F77" s="13" t="str">
        <x:v>General repair and workshop</x:v>
      </x:c>
      <x:c r="G77" s="13" t="str">
        <x:v>HUB</x:v>
      </x:c>
      <x:c r="H77" s="13" t="str">
        <x:v>https://digitecme.com/brands/mercedes-benz-service-dubai</x:v>
      </x:c>
      <x:c r="I77" s="13" t="str">
        <x:v>Workshop and booking</x:v>
      </x:c>
      <x:c r="J77" s="13" t="str">
        <x:v>Relevant</x:v>
      </x:c>
      <x:c r="K77" s="13" t="str">
        <x:f>IF(J77="Hold","Hold",IF(J77="Conditional","Conditional",IF(E77&lt;='Sources'!$B$5,"Protect",IF(AND(E77&lt;='Sources'!$B$7,C77&gt;='Sources'!$B$6),"P1",IF(OR(E77&lt;='Sources'!$B$7,C77&gt;='Sources'!$B$8),"P2","P3")))))</x:f>
        <x:v>Protect</x:v>
      </x:c>
      <x:c r="L77" s="16" t="n">
        <x:f>IF(J77="Hold","",MAX(0,E77-'Sources'!$B$5))</x:f>
        <x:v>0</x:v>
      </x:c>
      <x:c r="M77" s="13" t="str">
        <x:v>Use the main Mercedes page for broad repair, service, garage and specialist wording.</x:v>
      </x:c>
      <x:c r="N77" s="13" t="n">
        <x:v>74</x:v>
      </x:c>
    </x:row>
    <x:row r="78" ht="65" customHeight="1">
      <x:c r="A78" s="13" t="str">
        <x:v>mercedes tuning</x:v>
      </x:c>
      <x:c r="B78" s="17" t="n">
        <x:v>0</x:v>
      </x:c>
      <x:c r="C78" s="17" t="n">
        <x:v>22</x:v>
      </x:c>
      <x:c r="D78" s="18" t="n">
        <x:v>0</x:v>
      </x:c>
      <x:c r="E78" s="19" t="n">
        <x:v>12.5</x:v>
      </x:c>
      <x:c r="F78" s="13" t="str">
        <x:v>Performance tuning and GAD</x:v>
      </x:c>
      <x:c r="G78" s="13" t="str">
        <x:v>TUNE</x:v>
      </x:c>
      <x:c r="H78" s="13" t="str">
        <x:v>https://digitecme.com/tuning</x:v>
      </x:c>
      <x:c r="I78" s="13" t="str">
        <x:v>Mercedes-AMG tuning and verified projects</x:v>
      </x:c>
      <x:c r="J78" s="13" t="str">
        <x:v>Relevant</x:v>
      </x:c>
      <x:c r="K78" s="13" t="str">
        <x:f>IF(J78="Hold","Hold",IF(J78="Conditional","Conditional",IF(E78&lt;='Sources'!$B$5,"Protect",IF(AND(E78&lt;='Sources'!$B$7,C78&gt;='Sources'!$B$6),"P1",IF(OR(E78&lt;='Sources'!$B$7,C78&gt;='Sources'!$B$8),"P2","P3")))))</x:f>
        <x:v>P2</x:v>
      </x:c>
      <x:c r="L78" s="16" t="n">
        <x:f>IF(J78="Hold","",MAX(0,E78-'Sources'!$B$5))</x:f>
        <x:v>7.5</x:v>
      </x:c>
      <x:c r="M78" s="13" t="str">
        <x:v>Use the Mercedes section of the existing tuning page and relevant project evidence.</x:v>
      </x:c>
      <x:c r="N78" s="13" t="n">
        <x:v>75</x:v>
      </x:c>
    </x:row>
    <x:row r="79" ht="65" customHeight="1">
      <x:c r="A79" s="13" t="str">
        <x:v>mercedes auto repair</x:v>
      </x:c>
      <x:c r="B79" s="17" t="n">
        <x:v>0</x:v>
      </x:c>
      <x:c r="C79" s="17" t="n">
        <x:v>22</x:v>
      </x:c>
      <x:c r="D79" s="18" t="n">
        <x:v>0</x:v>
      </x:c>
      <x:c r="E79" s="19" t="n">
        <x:v>42.73</x:v>
      </x:c>
      <x:c r="F79" s="13" t="str">
        <x:v>General repair and workshop</x:v>
      </x:c>
      <x:c r="G79" s="13" t="str">
        <x:v>HUB</x:v>
      </x:c>
      <x:c r="H79" s="13" t="str">
        <x:v>https://digitecme.com/brands/mercedes-benz-service-dubai</x:v>
      </x:c>
      <x:c r="I79" s="13" t="str">
        <x:v>Workshop and booking</x:v>
      </x:c>
      <x:c r="J79" s="13" t="str">
        <x:v>Relevant</x:v>
      </x:c>
      <x:c r="K79" s="13" t="str">
        <x:f>IF(J79="Hold","Hold",IF(J79="Conditional","Conditional",IF(E79&lt;='Sources'!$B$5,"Protect",IF(AND(E79&lt;='Sources'!$B$7,C79&gt;='Sources'!$B$6),"P1",IF(OR(E79&lt;='Sources'!$B$7,C79&gt;='Sources'!$B$8),"P2","P3")))))</x:f>
        <x:v>P2</x:v>
      </x:c>
      <x:c r="L79" s="16" t="n">
        <x:f>IF(J79="Hold","",MAX(0,E79-'Sources'!$B$5))</x:f>
        <x:v>37.73</x:v>
      </x:c>
      <x:c r="M79" s="13" t="str">
        <x:v>Use the main Mercedes page for broad repair, service, garage and specialist wording.</x:v>
      </x:c>
      <x:c r="N79" s="13" t="n">
        <x:v>76</x:v>
      </x:c>
    </x:row>
    <x:row r="80" ht="65" customHeight="1">
      <x:c r="A80" s="13" t="str">
        <x:v>mercedes benz auto repair​ in dubai</x:v>
      </x:c>
      <x:c r="B80" s="17" t="n">
        <x:v>0</x:v>
      </x:c>
      <x:c r="C80" s="17" t="n">
        <x:v>21</x:v>
      </x:c>
      <x:c r="D80" s="18" t="n">
        <x:v>0</x:v>
      </x:c>
      <x:c r="E80" s="19" t="n">
        <x:v>9.57</x:v>
      </x:c>
      <x:c r="F80" s="13" t="str">
        <x:v>General repair and workshop</x:v>
      </x:c>
      <x:c r="G80" s="13" t="str">
        <x:v>HUB</x:v>
      </x:c>
      <x:c r="H80" s="13" t="str">
        <x:v>https://digitecme.com/brands/mercedes-benz-service-dubai</x:v>
      </x:c>
      <x:c r="I80" s="13" t="str">
        <x:v>Workshop and booking</x:v>
      </x:c>
      <x:c r="J80" s="13" t="str">
        <x:v>Relevant</x:v>
      </x:c>
      <x:c r="K80" s="13" t="str">
        <x:f>IF(J80="Hold","Hold",IF(J80="Conditional","Conditional",IF(E80&lt;='Sources'!$B$5,"Protect",IF(AND(E80&lt;='Sources'!$B$7,C80&gt;='Sources'!$B$6),"P1",IF(OR(E80&lt;='Sources'!$B$7,C80&gt;='Sources'!$B$8),"P2","P3")))))</x:f>
        <x:v>P2</x:v>
      </x:c>
      <x:c r="L80" s="16" t="n">
        <x:f>IF(J80="Hold","",MAX(0,E80-'Sources'!$B$5))</x:f>
        <x:v>4.57</x:v>
      </x:c>
      <x:c r="M80" s="13" t="str">
        <x:v>Use the main Mercedes page for broad repair, service, garage and specialist wording.</x:v>
      </x:c>
      <x:c r="N80" s="13" t="n">
        <x:v>77</x:v>
      </x:c>
    </x:row>
    <x:row r="81" ht="65" customHeight="1">
      <x:c r="A81" s="13" t="str">
        <x:v>mercedes benz air conditioning repair</x:v>
      </x:c>
      <x:c r="B81" s="17" t="n">
        <x:v>0</x:v>
      </x:c>
      <x:c r="C81" s="17" t="n">
        <x:v>20</x:v>
      </x:c>
      <x:c r="D81" s="18" t="n">
        <x:v>0</x:v>
      </x:c>
      <x:c r="E81" s="19" t="n">
        <x:v>9.8</x:v>
      </x:c>
      <x:c r="F81" s="13" t="str">
        <x:v>AC repair</x:v>
      </x:c>
      <x:c r="G81" s="13" t="str">
        <x:v>AC</x:v>
      </x:c>
      <x:c r="H81" s="13" t="str">
        <x:v>https://digitecme.com/services/mercedes-ac-repair-dubai</x:v>
      </x:c>
      <x:c r="I81" s="13" t="str">
        <x:v>AC diagnosis, recharge and repair</x:v>
      </x:c>
      <x:c r="J81" s="13" t="str">
        <x:v>Relevant</x:v>
      </x:c>
      <x:c r="K81" s="13" t="str">
        <x:f>IF(J81="Hold","Hold",IF(J81="Conditional","Conditional",IF(E81&lt;='Sources'!$B$5,"Protect",IF(AND(E81&lt;='Sources'!$B$7,C81&gt;='Sources'!$B$6),"P1",IF(OR(E81&lt;='Sources'!$B$7,C81&gt;='Sources'!$B$8),"P2","P3")))))</x:f>
        <x:v>P2</x:v>
      </x:c>
      <x:c r="L81" s="16" t="n">
        <x:f>IF(J81="Hold","",MAX(0,E81-'Sources'!$B$5))</x:f>
        <x:v>4.800000000000001</x:v>
      </x:c>
      <x:c r="M81" s="13" t="str">
        <x:v>Use AC and air conditioning as natural wording on the same page.</x:v>
      </x:c>
      <x:c r="N81" s="13" t="n">
        <x:v>78</x:v>
      </x:c>
    </x:row>
    <x:row r="82" ht="65" customHeight="1">
      <x:c r="A82" s="13" t="str">
        <x:v>mercedes repair shop near me</x:v>
      </x:c>
      <x:c r="B82" s="17" t="n">
        <x:v>0</x:v>
      </x:c>
      <x:c r="C82" s="17" t="n">
        <x:v>20</x:v>
      </x:c>
      <x:c r="D82" s="18" t="n">
        <x:v>0</x:v>
      </x:c>
      <x:c r="E82" s="19" t="n">
        <x:v>21.6</x:v>
      </x:c>
      <x:c r="F82" s="13" t="str">
        <x:v>General repair and workshop</x:v>
      </x:c>
      <x:c r="G82" s="13" t="str">
        <x:v>HUB</x:v>
      </x:c>
      <x:c r="H82" s="13" t="str">
        <x:v>https://digitecme.com/brands/mercedes-benz-service-dubai</x:v>
      </x:c>
      <x:c r="I82" s="13" t="str">
        <x:v>Workshop and booking</x:v>
      </x:c>
      <x:c r="J82" s="13" t="str">
        <x:v>Relevant</x:v>
      </x:c>
      <x:c r="K82" s="13" t="str">
        <x:f>IF(J82="Hold","Hold",IF(J82="Conditional","Conditional",IF(E82&lt;='Sources'!$B$5,"Protect",IF(AND(E82&lt;='Sources'!$B$7,C82&gt;='Sources'!$B$6),"P1",IF(OR(E82&lt;='Sources'!$B$7,C82&gt;='Sources'!$B$8),"P2","P3")))))</x:f>
        <x:v>P2</x:v>
      </x:c>
      <x:c r="L82" s="16" t="n">
        <x:f>IF(J82="Hold","",MAX(0,E82-'Sources'!$B$5))</x:f>
        <x:v>16.6</x:v>
      </x:c>
      <x:c r="M82" s="13" t="str">
        <x:v>Use the main Mercedes page for broad repair, service, garage and specialist wording. Include accurate Al Quoz location and Business Profile links; proximity varies by searcher.</x:v>
      </x:c>
      <x:c r="N82" s="13" t="n">
        <x:v>79</x:v>
      </x:c>
    </x:row>
    <x:row r="83" ht="65" customHeight="1">
      <x:c r="A83" s="13" t="str">
        <x:v>mercedes electrical repair</x:v>
      </x:c>
      <x:c r="B83" s="17" t="n">
        <x:v>0</x:v>
      </x:c>
      <x:c r="C83" s="17" t="n">
        <x:v>20</x:v>
      </x:c>
      <x:c r="D83" s="18" t="n">
        <x:v>0</x:v>
      </x:c>
      <x:c r="E83" s="19" t="n">
        <x:v>24.2</x:v>
      </x:c>
      <x:c r="F83" s="13" t="str">
        <x:v>Electrical and ECU faults</x:v>
      </x:c>
      <x:c r="G83" s="13" t="str">
        <x:v>ELEC</x:v>
      </x:c>
      <x:c r="H83" s="13" t="str">
        <x:v>https://digitecme.com/services/mercedes-electrical-repair-dubai</x:v>
      </x:c>
      <x:c r="I83" s="13" t="str">
        <x:v>Electrical testing and module assessment</x:v>
      </x:c>
      <x:c r="J83" s="13" t="str">
        <x:v>Relevant</x:v>
      </x:c>
      <x:c r="K83" s="13" t="str">
        <x:f>IF(J83="Hold","Hold",IF(J83="Conditional","Conditional",IF(E83&lt;='Sources'!$B$5,"Protect",IF(AND(E83&lt;='Sources'!$B$7,C83&gt;='Sources'!$B$6),"P1",IF(OR(E83&lt;='Sources'!$B$7,C83&gt;='Sources'!$B$8),"P2","P3")))))</x:f>
        <x:v>P2</x:v>
      </x:c>
      <x:c r="L83" s="16" t="n">
        <x:f>IF(J83="Hold","",MAX(0,E83-'Sources'!$B$5))</x:f>
        <x:v>19.2</x:v>
      </x:c>
      <x:c r="M83" s="13" t="str">
        <x:v>Distinguish hardware/electrical repair from module coding and ECU tuning.</x:v>
      </x:c>
      <x:c r="N83" s="13" t="n">
        <x:v>80</x:v>
      </x:c>
    </x:row>
    <x:row r="84" ht="65" customHeight="1">
      <x:c r="A84" s="13" t="str">
        <x:v>mercedes car service</x:v>
      </x:c>
      <x:c r="B84" s="17" t="n">
        <x:v>0</x:v>
      </x:c>
      <x:c r="C84" s="17" t="n">
        <x:v>20</x:v>
      </x:c>
      <x:c r="D84" s="18" t="n">
        <x:v>0</x:v>
      </x:c>
      <x:c r="E84" s="19" t="n">
        <x:v>32.65</x:v>
      </x:c>
      <x:c r="F84" s="13" t="str">
        <x:v>Scheduled service and maintenance</x:v>
      </x:c>
      <x:c r="G84" s="13" t="str">
        <x:v>HUB</x:v>
      </x:c>
      <x:c r="H84" s="13" t="str">
        <x:v>https://digitecme.com/brands/mercedes-benz-service-dubai</x:v>
      </x:c>
      <x:c r="I84" s="13" t="str">
        <x:v>Service A/B and minor/major scope</x:v>
      </x:c>
      <x:c r="J84" s="13" t="str">
        <x:v>Relevant</x:v>
      </x:c>
      <x:c r="K84" s="13" t="str">
        <x:f>IF(J84="Hold","Hold",IF(J84="Conditional","Conditional",IF(E84&lt;='Sources'!$B$5,"Protect",IF(AND(E84&lt;='Sources'!$B$7,C84&gt;='Sources'!$B$6),"P1",IF(OR(E84&lt;='Sources'!$B$7,C84&gt;='Sources'!$B$8),"P2","P3")))))</x:f>
        <x:v>P2</x:v>
      </x:c>
      <x:c r="L84" s="16" t="n">
        <x:f>IF(J84="Hold","",MAX(0,E84-'Sources'!$B$5))</x:f>
        <x:v>27.65</x:v>
      </x:c>
      <x:c r="M84" s="13" t="str">
        <x:v>Use one service booking destination; explain scope and link oil-only work and informational schedules separately.</x:v>
      </x:c>
      <x:c r="N84" s="13" t="n">
        <x:v>81</x:v>
      </x:c>
    </x:row>
    <x:row r="85" ht="65" customHeight="1">
      <x:c r="A85" s="13" t="str">
        <x:v>mercedes benz oil change</x:v>
      </x:c>
      <x:c r="B85" s="17" t="n">
        <x:v>0</x:v>
      </x:c>
      <x:c r="C85" s="17" t="n">
        <x:v>20</x:v>
      </x:c>
      <x:c r="D85" s="18" t="n">
        <x:v>0</x:v>
      </x:c>
      <x:c r="E85" s="19" t="n">
        <x:v>45.2</x:v>
      </x:c>
      <x:c r="F85" s="13" t="str">
        <x:v>Oil change</x:v>
      </x:c>
      <x:c r="G85" s="13" t="str">
        <x:v>OIL</x:v>
      </x:c>
      <x:c r="H85" s="13" t="str">
        <x:v>https://digitecme.com/services/mercedes-oil-change-dubai</x:v>
      </x:c>
      <x:c r="I85" s="13" t="str">
        <x:v>Oil/filter scope and vehicle specification</x:v>
      </x:c>
      <x:c r="J85" s="13" t="str">
        <x:v>Relevant</x:v>
      </x:c>
      <x:c r="K85" s="13" t="str">
        <x:f>IF(J85="Hold","Hold",IF(J85="Conditional","Conditional",IF(E85&lt;='Sources'!$B$5,"Protect",IF(AND(E85&lt;='Sources'!$B$7,C85&gt;='Sources'!$B$6),"P1",IF(OR(E85&lt;='Sources'!$B$7,C85&gt;='Sources'!$B$8),"P2","P3")))))</x:f>
        <x:v>P2</x:v>
      </x:c>
      <x:c r="L85" s="16" t="n">
        <x:f>IF(J85="Hold","",MAX(0,E85-'Sources'!$B$5))</x:f>
        <x:v>40.2</x:v>
      </x:c>
      <x:c r="M85" s="13" t="str">
        <x:v>Keep oil-only intent here and broader Service A/B intent on the hub.</x:v>
      </x:c>
      <x:c r="N85" s="13" t="n">
        <x:v>82</x:v>
      </x:c>
    </x:row>
    <x:row r="86" ht="65" customHeight="1">
      <x:c r="A86" s="13" t="str">
        <x:v>mercedes engine tuning</x:v>
      </x:c>
      <x:c r="B86" s="17" t="n">
        <x:v>0</x:v>
      </x:c>
      <x:c r="C86" s="17" t="n">
        <x:v>19</x:v>
      </x:c>
      <x:c r="D86" s="18" t="n">
        <x:v>0</x:v>
      </x:c>
      <x:c r="E86" s="19" t="n">
        <x:v>13.84</x:v>
      </x:c>
      <x:c r="F86" s="13" t="str">
        <x:v>Performance tuning and GAD</x:v>
      </x:c>
      <x:c r="G86" s="13" t="str">
        <x:v>TUNE</x:v>
      </x:c>
      <x:c r="H86" s="13" t="str">
        <x:v>https://digitecme.com/tuning</x:v>
      </x:c>
      <x:c r="I86" s="13" t="str">
        <x:v>Mercedes-AMG tuning and verified projects</x:v>
      </x:c>
      <x:c r="J86" s="13" t="str">
        <x:v>Relevant</x:v>
      </x:c>
      <x:c r="K86" s="13" t="str">
        <x:f>IF(J86="Hold","Hold",IF(J86="Conditional","Conditional",IF(E86&lt;='Sources'!$B$5,"Protect",IF(AND(E86&lt;='Sources'!$B$7,C86&gt;='Sources'!$B$6),"P1",IF(OR(E86&lt;='Sources'!$B$7,C86&gt;='Sources'!$B$8),"P2","P3")))))</x:f>
        <x:v>P2</x:v>
      </x:c>
      <x:c r="L86" s="16" t="n">
        <x:f>IF(J86="Hold","",MAX(0,E86-'Sources'!$B$5))</x:f>
        <x:v>8.84</x:v>
      </x:c>
      <x:c r="M86" s="13" t="str">
        <x:v>Use the Mercedes section of the existing tuning page and relevant project evidence.</x:v>
      </x:c>
      <x:c r="N86" s="13" t="n">
        <x:v>83</x:v>
      </x:c>
    </x:row>
    <x:row r="87" ht="65" customHeight="1">
      <x:c r="A87" s="13" t="str">
        <x:v>mercedes body shop</x:v>
      </x:c>
      <x:c r="B87" s="17" t="n">
        <x:v>0</x:v>
      </x:c>
      <x:c r="C87" s="17" t="n">
        <x:v>19</x:v>
      </x:c>
      <x:c r="D87" s="18" t="n">
        <x:v>0</x:v>
      </x:c>
      <x:c r="E87" s="19" t="n">
        <x:v>54.84</x:v>
      </x:c>
      <x:c r="F87" s="13" t="str">
        <x:v>Body repair</x:v>
      </x:c>
      <x:c r="G87" s="13" t="str">
        <x:v>BODY</x:v>
      </x:c>
      <x:c r="H87" s="13" t="str">
        <x:v>https://digitecme.com/services/mercedes-body-repair-dubai</x:v>
      </x:c>
      <x:c r="I87" s="13" t="str">
        <x:v>Body shop and paintwork scope</x:v>
      </x:c>
      <x:c r="J87" s="13" t="str">
        <x:v>Relevant</x:v>
      </x:c>
      <x:c r="K87" s="13" t="str">
        <x:f>IF(J87="Hold","Hold",IF(J87="Conditional","Conditional",IF(E87&lt;='Sources'!$B$5,"Protect",IF(AND(E87&lt;='Sources'!$B$7,C87&gt;='Sources'!$B$6),"P1",IF(OR(E87&lt;='Sources'!$B$7,C87&gt;='Sources'!$B$8),"P2","P3")))))</x:f>
        <x:v>P3</x:v>
      </x:c>
      <x:c r="L87" s="16" t="n">
        <x:f>IF(J87="Hold","",MAX(0,E87-'Sources'!$B$5))</x:f>
        <x:v>49.84</x:v>
      </x:c>
      <x:c r="M87" s="13" t="str">
        <x:v>Show original repair evidence and genuine workshop capability.</x:v>
      </x:c>
      <x:c r="N87" s="13" t="n">
        <x:v>84</x:v>
      </x:c>
    </x:row>
    <x:row r="88" ht="65" customHeight="1">
      <x:c r="A88" s="13" t="str">
        <x:v>mercedes gearbox service</x:v>
      </x:c>
      <x:c r="B88" s="17" t="n">
        <x:v>0</x:v>
      </x:c>
      <x:c r="C88" s="17" t="n">
        <x:v>19</x:v>
      </x:c>
      <x:c r="D88" s="18" t="n">
        <x:v>0</x:v>
      </x:c>
      <x:c r="E88" s="19" t="n">
        <x:v>59.32</x:v>
      </x:c>
      <x:c r="F88" s="13" t="str">
        <x:v>Transmission and gearbox</x:v>
      </x:c>
      <x:c r="G88" s="13" t="str">
        <x:v>TRANS</x:v>
      </x:c>
      <x:c r="H88" s="13" t="str">
        <x:v>https://digitecme.com/services/mercedes-transmission-repair-dubai</x:v>
      </x:c>
      <x:c r="I88" s="13" t="str">
        <x:v>Gearbox service and fault diagnosis</x:v>
      </x:c>
      <x:c r="J88" s="13" t="str">
        <x:v>Relevant</x:v>
      </x:c>
      <x:c r="K88" s="13" t="str">
        <x:f>IF(J88="Hold","Hold",IF(J88="Conditional","Conditional",IF(E88&lt;='Sources'!$B$5,"Protect",IF(AND(E88&lt;='Sources'!$B$7,C88&gt;='Sources'!$B$6),"P1",IF(OR(E88&lt;='Sources'!$B$7,C88&gt;='Sources'!$B$8),"P2","P3")))))</x:f>
        <x:v>P3</x:v>
      </x:c>
      <x:c r="L88" s="16" t="n">
        <x:f>IF(J88="Hold","",MAX(0,E88-'Sources'!$B$5))</x:f>
        <x:v>54.32</x:v>
      </x:c>
      <x:c r="M88" s="13" t="str">
        <x:v>Match transmission repair, service and applicable clutch work to one transactional page.</x:v>
      </x:c>
      <x:c r="N88" s="13" t="n">
        <x:v>85</x:v>
      </x:c>
    </x:row>
    <x:row r="89" ht="65" customHeight="1">
      <x:c r="A89" s="13" t="str">
        <x:v>mercedes steering repair</x:v>
      </x:c>
      <x:c r="B89" s="17" t="n">
        <x:v>0</x:v>
      </x:c>
      <x:c r="C89" s="17" t="n">
        <x:v>18</x:v>
      </x:c>
      <x:c r="D89" s="18" t="n">
        <x:v>0</x:v>
      </x:c>
      <x:c r="E89" s="19" t="n">
        <x:v>9.72</x:v>
      </x:c>
      <x:c r="F89" s="13" t="str">
        <x:v>Steering repair</x:v>
      </x:c>
      <x:c r="G89" s="13" t="str">
        <x:v>STEER</x:v>
      </x:c>
      <x:c r="H89" s="13" t="str">
        <x:v>https://digitecme.com/services/mercedes-steering-repair-dubai</x:v>
      </x:c>
      <x:c r="I89" s="13" t="str">
        <x:v>Rack and steering diagnosis</x:v>
      </x:c>
      <x:c r="J89" s="13" t="str">
        <x:v>Relevant</x:v>
      </x:c>
      <x:c r="K89" s="13" t="str">
        <x:f>IF(J89="Hold","Hold",IF(J89="Conditional","Conditional",IF(E89&lt;='Sources'!$B$5,"Protect",IF(AND(E89&lt;='Sources'!$B$7,C89&gt;='Sources'!$B$6),"P1",IF(OR(E89&lt;='Sources'!$B$7,C89&gt;='Sources'!$B$8),"P2","P3")))))</x:f>
        <x:v>P2</x:v>
      </x:c>
      <x:c r="L89" s="16" t="n">
        <x:f>IF(J89="Hold","",MAX(0,E89-'Sources'!$B$5))</x:f>
        <x:v>4.720000000000001</x:v>
      </x:c>
      <x:c r="M89" s="13" t="str">
        <x:v>Strengthen contextual links to the existing steering page.</x:v>
      </x:c>
      <x:c r="N89" s="13" t="n">
        <x:v>86</x:v>
      </x:c>
    </x:row>
    <x:row r="90" ht="65" customHeight="1">
      <x:c r="A90" s="13" t="str">
        <x:v>mercedes benz service center</x:v>
      </x:c>
      <x:c r="B90" s="17" t="n">
        <x:v>0</x:v>
      </x:c>
      <x:c r="C90" s="17" t="n">
        <x:v>18</x:v>
      </x:c>
      <x:c r="D90" s="18" t="n">
        <x:v>0</x:v>
      </x:c>
      <x:c r="E90" s="19" t="n">
        <x:v>27</x:v>
      </x:c>
      <x:c r="F90" s="13" t="str">
        <x:v>Scheduled service and maintenance</x:v>
      </x:c>
      <x:c r="G90" s="13" t="str">
        <x:v>HUB</x:v>
      </x:c>
      <x:c r="H90" s="13" t="str">
        <x:v>https://digitecme.com/brands/mercedes-benz-service-dubai</x:v>
      </x:c>
      <x:c r="I90" s="13" t="str">
        <x:v>Service A/B and minor/major scope</x:v>
      </x:c>
      <x:c r="J90" s="13" t="str">
        <x:v>Relevant</x:v>
      </x:c>
      <x:c r="K90" s="13" t="str">
        <x:f>IF(J90="Hold","Hold",IF(J90="Conditional","Conditional",IF(E90&lt;='Sources'!$B$5,"Protect",IF(AND(E90&lt;='Sources'!$B$7,C90&gt;='Sources'!$B$6),"P1",IF(OR(E90&lt;='Sources'!$B$7,C90&gt;='Sources'!$B$8),"P2","P3")))))</x:f>
        <x:v>P3</x:v>
      </x:c>
      <x:c r="L90" s="16" t="n">
        <x:f>IF(J90="Hold","",MAX(0,E90-'Sources'!$B$5))</x:f>
        <x:v>22</x:v>
      </x:c>
      <x:c r="M90" s="13" t="str">
        <x:v>Use one service booking destination; explain scope and link oil-only work and informational schedules separately.</x:v>
      </x:c>
      <x:c r="N90" s="13" t="n">
        <x:v>87</x:v>
      </x:c>
    </x:row>
    <x:row r="91" ht="65" customHeight="1">
      <x:c r="A91" s="13" t="str">
        <x:v>tuning mercedes</x:v>
      </x:c>
      <x:c r="B91" s="17" t="n">
        <x:v>0</x:v>
      </x:c>
      <x:c r="C91" s="17" t="n">
        <x:v>17</x:v>
      </x:c>
      <x:c r="D91" s="18" t="n">
        <x:v>0</x:v>
      </x:c>
      <x:c r="E91" s="19" t="n">
        <x:v>13</x:v>
      </x:c>
      <x:c r="F91" s="13" t="str">
        <x:v>Performance tuning and GAD</x:v>
      </x:c>
      <x:c r="G91" s="13" t="str">
        <x:v>TUNE</x:v>
      </x:c>
      <x:c r="H91" s="13" t="str">
        <x:v>https://digitecme.com/tuning</x:v>
      </x:c>
      <x:c r="I91" s="13" t="str">
        <x:v>Mercedes-AMG tuning and verified projects</x:v>
      </x:c>
      <x:c r="J91" s="13" t="str">
        <x:v>Relevant</x:v>
      </x:c>
      <x:c r="K91" s="13" t="str">
        <x:f>IF(J91="Hold","Hold",IF(J91="Conditional","Conditional",IF(E91&lt;='Sources'!$B$5,"Protect",IF(AND(E91&lt;='Sources'!$B$7,C91&gt;='Sources'!$B$6),"P1",IF(OR(E91&lt;='Sources'!$B$7,C91&gt;='Sources'!$B$8),"P2","P3")))))</x:f>
        <x:v>P2</x:v>
      </x:c>
      <x:c r="L91" s="16" t="n">
        <x:f>IF(J91="Hold","",MAX(0,E91-'Sources'!$B$5))</x:f>
        <x:v>8</x:v>
      </x:c>
      <x:c r="M91" s="13" t="str">
        <x:v>Use the Mercedes section of the existing tuning page and relevant project evidence.</x:v>
      </x:c>
      <x:c r="N91" s="13" t="n">
        <x:v>88</x:v>
      </x:c>
    </x:row>
    <x:row r="92" ht="65" customHeight="1">
      <x:c r="A92" s="13" t="str">
        <x:v>mercedes body shop dubai</x:v>
      </x:c>
      <x:c r="B92" s="17" t="n">
        <x:v>0</x:v>
      </x:c>
      <x:c r="C92" s="17" t="n">
        <x:v>17</x:v>
      </x:c>
      <x:c r="D92" s="18" t="n">
        <x:v>0</x:v>
      </x:c>
      <x:c r="E92" s="19" t="n">
        <x:v>31.88</x:v>
      </x:c>
      <x:c r="F92" s="13" t="str">
        <x:v>Body repair</x:v>
      </x:c>
      <x:c r="G92" s="13" t="str">
        <x:v>BODY</x:v>
      </x:c>
      <x:c r="H92" s="13" t="str">
        <x:v>https://digitecme.com/services/mercedes-body-repair-dubai</x:v>
      </x:c>
      <x:c r="I92" s="13" t="str">
        <x:v>Body shop and paintwork scope</x:v>
      </x:c>
      <x:c r="J92" s="13" t="str">
        <x:v>Relevant</x:v>
      </x:c>
      <x:c r="K92" s="13" t="str">
        <x:f>IF(J92="Hold","Hold",IF(J92="Conditional","Conditional",IF(E92&lt;='Sources'!$B$5,"Protect",IF(AND(E92&lt;='Sources'!$B$7,C92&gt;='Sources'!$B$6),"P1",IF(OR(E92&lt;='Sources'!$B$7,C92&gt;='Sources'!$B$8),"P2","P3")))))</x:f>
        <x:v>P3</x:v>
      </x:c>
      <x:c r="L92" s="16" t="n">
        <x:f>IF(J92="Hold","",MAX(0,E92-'Sources'!$B$5))</x:f>
        <x:v>26.88</x:v>
      </x:c>
      <x:c r="M92" s="13" t="str">
        <x:v>Show original repair evidence and genuine workshop capability.</x:v>
      </x:c>
      <x:c r="N92" s="13" t="n">
        <x:v>89</x:v>
      </x:c>
    </x:row>
    <x:row r="93" ht="65" customHeight="1">
      <x:c r="A93" s="13" t="str">
        <x:v>repair mercedes in uae</x:v>
      </x:c>
      <x:c r="B93" s="17" t="n">
        <x:v>0</x:v>
      </x:c>
      <x:c r="C93" s="17" t="n">
        <x:v>16</x:v>
      </x:c>
      <x:c r="D93" s="18" t="n">
        <x:v>0</x:v>
      </x:c>
      <x:c r="E93" s="19" t="n">
        <x:v>4.69</x:v>
      </x:c>
      <x:c r="F93" s="13" t="str">
        <x:v>General repair and workshop</x:v>
      </x:c>
      <x:c r="G93" s="13" t="str">
        <x:v>HUB</x:v>
      </x:c>
      <x:c r="H93" s="13" t="str">
        <x:v>https://digitecme.com/brands/mercedes-benz-service-dubai</x:v>
      </x:c>
      <x:c r="I93" s="13" t="str">
        <x:v>Workshop and booking</x:v>
      </x:c>
      <x:c r="J93" s="13" t="str">
        <x:v>Relevant</x:v>
      </x:c>
      <x:c r="K93" s="13" t="str">
        <x:f>IF(J93="Hold","Hold",IF(J93="Conditional","Conditional",IF(E93&lt;='Sources'!$B$5,"Protect",IF(AND(E93&lt;='Sources'!$B$7,C93&gt;='Sources'!$B$6),"P1",IF(OR(E93&lt;='Sources'!$B$7,C93&gt;='Sources'!$B$8),"P2","P3")))))</x:f>
        <x:v>Protect</x:v>
      </x:c>
      <x:c r="L93" s="16" t="n">
        <x:f>IF(J93="Hold","",MAX(0,E93-'Sources'!$B$5))</x:f>
        <x:v>0</x:v>
      </x:c>
      <x:c r="M93" s="13" t="str">
        <x:v>Use the main Mercedes page for broad repair, service, garage and specialist wording.</x:v>
      </x:c>
      <x:c r="N93" s="13" t="n">
        <x:v>90</x:v>
      </x:c>
    </x:row>
    <x:row r="94" ht="65" customHeight="1">
      <x:c r="A94" s="13" t="str">
        <x:v>best mercedes garage in dubai</x:v>
      </x:c>
      <x:c r="B94" s="17" t="n">
        <x:v>0</x:v>
      </x:c>
      <x:c r="C94" s="17" t="n">
        <x:v>16</x:v>
      </x:c>
      <x:c r="D94" s="18" t="n">
        <x:v>0</x:v>
      </x:c>
      <x:c r="E94" s="19" t="n">
        <x:v>26.81</x:v>
      </x:c>
      <x:c r="F94" s="13" t="str">
        <x:v>General repair and workshop</x:v>
      </x:c>
      <x:c r="G94" s="13" t="str">
        <x:v>HUB</x:v>
      </x:c>
      <x:c r="H94" s="13" t="str">
        <x:v>https://digitecme.com/brands/mercedes-benz-service-dubai</x:v>
      </x:c>
      <x:c r="I94" s="13" t="str">
        <x:v>Workshop and booking</x:v>
      </x:c>
      <x:c r="J94" s="13" t="str">
        <x:v>Relevant</x:v>
      </x:c>
      <x:c r="K94" s="13" t="str">
        <x:f>IF(J94="Hold","Hold",IF(J94="Conditional","Conditional",IF(E94&lt;='Sources'!$B$5,"Protect",IF(AND(E94&lt;='Sources'!$B$7,C94&gt;='Sources'!$B$6),"P1",IF(OR(E94&lt;='Sources'!$B$7,C94&gt;='Sources'!$B$8),"P2","P3")))))</x:f>
        <x:v>P3</x:v>
      </x:c>
      <x:c r="L94" s="16" t="n">
        <x:f>IF(J94="Hold","",MAX(0,E94-'Sources'!$B$5))</x:f>
        <x:v>21.81</x:v>
      </x:c>
      <x:c r="M94" s="13" t="str">
        <x:v>Use the main Mercedes page for broad repair, service, garage and specialist wording.</x:v>
      </x:c>
      <x:c r="N94" s="13" t="n">
        <x:v>91</x:v>
      </x:c>
    </x:row>
    <x:row r="95" ht="65" customHeight="1">
      <x:c r="A95" s="13" t="str">
        <x:v>mercedes services</x:v>
      </x:c>
      <x:c r="B95" s="17" t="n">
        <x:v>0</x:v>
      </x:c>
      <x:c r="C95" s="17" t="n">
        <x:v>16</x:v>
      </x:c>
      <x:c r="D95" s="18" t="n">
        <x:v>0</x:v>
      </x:c>
      <x:c r="E95" s="19" t="n">
        <x:v>34.44</x:v>
      </x:c>
      <x:c r="F95" s="13" t="str">
        <x:v>Scheduled service and maintenance</x:v>
      </x:c>
      <x:c r="G95" s="13" t="str">
        <x:v>HUB</x:v>
      </x:c>
      <x:c r="H95" s="13" t="str">
        <x:v>https://digitecme.com/brands/mercedes-benz-service-dubai</x:v>
      </x:c>
      <x:c r="I95" s="13" t="str">
        <x:v>Service A/B and minor/major scope</x:v>
      </x:c>
      <x:c r="J95" s="13" t="str">
        <x:v>Relevant</x:v>
      </x:c>
      <x:c r="K95" s="13" t="str">
        <x:f>IF(J95="Hold","Hold",IF(J95="Conditional","Conditional",IF(E95&lt;='Sources'!$B$5,"Protect",IF(AND(E95&lt;='Sources'!$B$7,C95&gt;='Sources'!$B$6),"P1",IF(OR(E95&lt;='Sources'!$B$7,C95&gt;='Sources'!$B$8),"P2","P3")))))</x:f>
        <x:v>P3</x:v>
      </x:c>
      <x:c r="L95" s="16" t="n">
        <x:f>IF(J95="Hold","",MAX(0,E95-'Sources'!$B$5))</x:f>
        <x:v>29.439999999999998</x:v>
      </x:c>
      <x:c r="M95" s="13" t="str">
        <x:v>Use one service booking destination; explain scope and link oil-only work and informational schedules separately.</x:v>
      </x:c>
      <x:c r="N95" s="13" t="n">
        <x:v>92</x:v>
      </x:c>
    </x:row>
    <x:row r="96" ht="65" customHeight="1">
      <x:c r="A96" s="13" t="str">
        <x:v>mercedes tuning near me</x:v>
      </x:c>
      <x:c r="B96" s="17" t="n">
        <x:v>0</x:v>
      </x:c>
      <x:c r="C96" s="17" t="n">
        <x:v>15</x:v>
      </x:c>
      <x:c r="D96" s="18" t="n">
        <x:v>0</x:v>
      </x:c>
      <x:c r="E96" s="19" t="n">
        <x:v>6.4</x:v>
      </x:c>
      <x:c r="F96" s="13" t="str">
        <x:v>Performance tuning and GAD</x:v>
      </x:c>
      <x:c r="G96" s="13" t="str">
        <x:v>TUNE</x:v>
      </x:c>
      <x:c r="H96" s="13" t="str">
        <x:v>https://digitecme.com/tuning</x:v>
      </x:c>
      <x:c r="I96" s="13" t="str">
        <x:v>Mercedes-AMG tuning and verified projects</x:v>
      </x:c>
      <x:c r="J96" s="13" t="str">
        <x:v>Relevant</x:v>
      </x:c>
      <x:c r="K96" s="13" t="str">
        <x:f>IF(J96="Hold","Hold",IF(J96="Conditional","Conditional",IF(E96&lt;='Sources'!$B$5,"Protect",IF(AND(E96&lt;='Sources'!$B$7,C96&gt;='Sources'!$B$6),"P1",IF(OR(E96&lt;='Sources'!$B$7,C96&gt;='Sources'!$B$8),"P2","P3")))))</x:f>
        <x:v>P2</x:v>
      </x:c>
      <x:c r="L96" s="16" t="n">
        <x:f>IF(J96="Hold","",MAX(0,E96-'Sources'!$B$5))</x:f>
        <x:v>1.4000000000000004</x:v>
      </x:c>
      <x:c r="M96" s="13" t="str">
        <x:v>Use the Mercedes section of the existing tuning page and relevant project evidence. Include accurate Al Quoz location and Business Profile links; proximity varies by searcher.</x:v>
      </x:c>
      <x:c r="N96" s="13" t="n">
        <x:v>93</x:v>
      </x:c>
    </x:row>
    <x:row r="97" ht="65" customHeight="1">
      <x:c r="A97" s="13" t="str">
        <x:v>mercedes benz authorized body shop</x:v>
      </x:c>
      <x:c r="B97" s="17" t="n">
        <x:v>0</x:v>
      </x:c>
      <x:c r="C97" s="17" t="n">
        <x:v>15</x:v>
      </x:c>
      <x:c r="D97" s="18" t="n">
        <x:v>0</x:v>
      </x:c>
      <x:c r="E97" s="19" t="n">
        <x:v>55.2</x:v>
      </x:c>
      <x:c r="F97" s="13" t="str">
        <x:v>Body repair</x:v>
      </x:c>
      <x:c r="G97" s="13" t="str">
        <x:v>BODY</x:v>
      </x:c>
      <x:c r="H97" s="13" t="str">
        <x:v>https://digitecme.com/services/mercedes-body-repair-dubai</x:v>
      </x:c>
      <x:c r="I97" s="13" t="str">
        <x:v>Body shop and paintwork scope</x:v>
      </x:c>
      <x:c r="J97" s="13" t="str">
        <x:v>Hold</x:v>
      </x:c>
      <x:c r="K97" s="13" t="str">
        <x:f>IF(J97="Hold","Hold",IF(J97="Conditional","Conditional",IF(E97&lt;='Sources'!$B$5,"Protect",IF(AND(E97&lt;='Sources'!$B$7,C97&gt;='Sources'!$B$6),"P1",IF(OR(E97&lt;='Sources'!$B$7,C97&gt;='Sources'!$B$8),"P2","P3")))))</x:f>
        <x:v>Hold</x:v>
      </x:c>
      <x:c r="L97" s="16" t="str">
        <x:f>IF(J97="Hold","",MAX(0,E97-'Sources'!$B$5))</x:f>
      </x:c>
      <x:c r="M97" s="13" t="str">
        <x:v>Official/dealer or certification intent. Digi-Tec is positioned as independent; do not optimize by implying unverified authorization. URL is a related alternative only.</x:v>
      </x:c>
      <x:c r="N97" s="13" t="n">
        <x:v>94</x:v>
      </x:c>
    </x:row>
    <x:row r="98" ht="65" customHeight="1">
      <x:c r="A98" s="13" t="str">
        <x:v>mercedes exhaust repair</x:v>
      </x:c>
      <x:c r="B98" s="17" t="n">
        <x:v>0</x:v>
      </x:c>
      <x:c r="C98" s="17" t="n">
        <x:v>14</x:v>
      </x:c>
      <x:c r="D98" s="18" t="n">
        <x:v>0</x:v>
      </x:c>
      <x:c r="E98" s="19" t="n">
        <x:v>6.5</x:v>
      </x:c>
      <x:c r="F98" s="13" t="str">
        <x:v>Exhaust repair</x:v>
      </x:c>
      <x:c r="G98" s="13" t="str">
        <x:v>EXHAUST</x:v>
      </x:c>
      <x:c r="H98" s="13" t="str">
        <x:v>https://digitecme.com/services/mercedes-exhaust-repair-dubai</x:v>
      </x:c>
      <x:c r="I98" s="13" t="str">
        <x:v>Exhaust fault inspection</x:v>
      </x:c>
      <x:c r="J98" s="13" t="str">
        <x:v>Relevant</x:v>
      </x:c>
      <x:c r="K98" s="13" t="str">
        <x:f>IF(J98="Hold","Hold",IF(J98="Conditional","Conditional",IF(E98&lt;='Sources'!$B$5,"Protect",IF(AND(E98&lt;='Sources'!$B$7,C98&gt;='Sources'!$B$6),"P1",IF(OR(E98&lt;='Sources'!$B$7,C98&gt;='Sources'!$B$8),"P2","P3")))))</x:f>
        <x:v>P2</x:v>
      </x:c>
      <x:c r="L98" s="16" t="n">
        <x:f>IF(J98="Hold","",MAX(0,E98-'Sources'!$B$5))</x:f>
        <x:v>1.5</x:v>
      </x:c>
      <x:c r="M98" s="13" t="str">
        <x:v>Retain repair intent; performance modification belongs on tuning.</x:v>
      </x:c>
      <x:c r="N98" s="13" t="n">
        <x:v>95</x:v>
      </x:c>
    </x:row>
    <x:row r="99" ht="65" customHeight="1">
      <x:c r="A99" s="13" t="str">
        <x:v>mercedes workshop near me</x:v>
      </x:c>
      <x:c r="B99" s="17" t="n">
        <x:v>0</x:v>
      </x:c>
      <x:c r="C99" s="17" t="n">
        <x:v>14</x:v>
      </x:c>
      <x:c r="D99" s="18" t="n">
        <x:v>0</x:v>
      </x:c>
      <x:c r="E99" s="19" t="n">
        <x:v>11.43</x:v>
      </x:c>
      <x:c r="F99" s="13" t="str">
        <x:v>General repair and workshop</x:v>
      </x:c>
      <x:c r="G99" s="13" t="str">
        <x:v>HUB</x:v>
      </x:c>
      <x:c r="H99" s="13" t="str">
        <x:v>https://digitecme.com/brands/mercedes-benz-service-dubai</x:v>
      </x:c>
      <x:c r="I99" s="13" t="str">
        <x:v>Workshop and booking</x:v>
      </x:c>
      <x:c r="J99" s="13" t="str">
        <x:v>Relevant</x:v>
      </x:c>
      <x:c r="K99" s="13" t="str">
        <x:f>IF(J99="Hold","Hold",IF(J99="Conditional","Conditional",IF(E99&lt;='Sources'!$B$5,"Protect",IF(AND(E99&lt;='Sources'!$B$7,C99&gt;='Sources'!$B$6),"P1",IF(OR(E99&lt;='Sources'!$B$7,C99&gt;='Sources'!$B$8),"P2","P3")))))</x:f>
        <x:v>P2</x:v>
      </x:c>
      <x:c r="L99" s="16" t="n">
        <x:f>IF(J99="Hold","",MAX(0,E99-'Sources'!$B$5))</x:f>
        <x:v>6.43</x:v>
      </x:c>
      <x:c r="M99" s="13" t="str">
        <x:v>Use the main Mercedes page for broad repair, service, garage and specialist wording. Include accurate Al Quoz location and Business Profile links; proximity varies by searcher.</x:v>
      </x:c>
      <x:c r="N99" s="13" t="n">
        <x:v>96</x:v>
      </x:c>
    </x:row>
    <x:row r="100" ht="65" customHeight="1">
      <x:c r="A100" s="13" t="str">
        <x:v>mercedes service center in dubai</x:v>
      </x:c>
      <x:c r="B100" s="17" t="n">
        <x:v>0</x:v>
      </x:c>
      <x:c r="C100" s="17" t="n">
        <x:v>13</x:v>
      </x:c>
      <x:c r="D100" s="18" t="n">
        <x:v>0</x:v>
      </x:c>
      <x:c r="E100" s="19" t="n">
        <x:v>10.15</x:v>
      </x:c>
      <x:c r="F100" s="13" t="str">
        <x:v>Scheduled service and maintenance</x:v>
      </x:c>
      <x:c r="G100" s="13" t="str">
        <x:v>HUB</x:v>
      </x:c>
      <x:c r="H100" s="13" t="str">
        <x:v>https://digitecme.com/brands/mercedes-benz-service-dubai</x:v>
      </x:c>
      <x:c r="I100" s="13" t="str">
        <x:v>Service A/B and minor/major scope</x:v>
      </x:c>
      <x:c r="J100" s="13" t="str">
        <x:v>Relevant</x:v>
      </x:c>
      <x:c r="K100" s="13" t="str">
        <x:f>IF(J100="Hold","Hold",IF(J100="Conditional","Conditional",IF(E100&lt;='Sources'!$B$5,"Protect",IF(AND(E100&lt;='Sources'!$B$7,C100&gt;='Sources'!$B$6),"P1",IF(OR(E100&lt;='Sources'!$B$7,C100&gt;='Sources'!$B$8),"P2","P3")))))</x:f>
        <x:v>P2</x:v>
      </x:c>
      <x:c r="L100" s="16" t="n">
        <x:f>IF(J100="Hold","",MAX(0,E100-'Sources'!$B$5))</x:f>
        <x:v>5.15</x:v>
      </x:c>
      <x:c r="M100" s="13" t="str">
        <x:v>Use one service booking destination; explain scope and link oil-only work and informational schedules separately.</x:v>
      </x:c>
      <x:c r="N100" s="13" t="n">
        <x:v>97</x:v>
      </x:c>
    </x:row>
    <x:row r="101" ht="65" customHeight="1">
      <x:c r="A101" s="13" t="str">
        <x:v>mercedes oil change near me</x:v>
      </x:c>
      <x:c r="B101" s="17" t="n">
        <x:v>0</x:v>
      </x:c>
      <x:c r="C101" s="17" t="n">
        <x:v>13</x:v>
      </x:c>
      <x:c r="D101" s="18" t="n">
        <x:v>0</x:v>
      </x:c>
      <x:c r="E101" s="19" t="n">
        <x:v>12.62</x:v>
      </x:c>
      <x:c r="F101" s="13" t="str">
        <x:v>Oil change</x:v>
      </x:c>
      <x:c r="G101" s="13" t="str">
        <x:v>OIL</x:v>
      </x:c>
      <x:c r="H101" s="13" t="str">
        <x:v>https://digitecme.com/services/mercedes-oil-change-dubai</x:v>
      </x:c>
      <x:c r="I101" s="13" t="str">
        <x:v>Oil/filter scope and vehicle specification</x:v>
      </x:c>
      <x:c r="J101" s="13" t="str">
        <x:v>Relevant</x:v>
      </x:c>
      <x:c r="K101" s="13" t="str">
        <x:f>IF(J101="Hold","Hold",IF(J101="Conditional","Conditional",IF(E101&lt;='Sources'!$B$5,"Protect",IF(AND(E101&lt;='Sources'!$B$7,C101&gt;='Sources'!$B$6),"P1",IF(OR(E101&lt;='Sources'!$B$7,C101&gt;='Sources'!$B$8),"P2","P3")))))</x:f>
        <x:v>P2</x:v>
      </x:c>
      <x:c r="L101" s="16" t="n">
        <x:f>IF(J101="Hold","",MAX(0,E101-'Sources'!$B$5))</x:f>
        <x:v>7.619999999999999</x:v>
      </x:c>
      <x:c r="M101" s="13" t="str">
        <x:v>Keep oil-only intent here and broader Service A/B intent on the hub. Include accurate Al Quoz location and Business Profile links; proximity varies by searcher.</x:v>
      </x:c>
      <x:c r="N101" s="13" t="n">
        <x:v>98</x:v>
      </x:c>
    </x:row>
    <x:row r="102" ht="65" customHeight="1">
      <x:c r="A102" s="13" t="str">
        <x:v>mercedes benz sl63 amg service dubai</x:v>
      </x:c>
      <x:c r="B102" s="17" t="n">
        <x:v>0</x:v>
      </x:c>
      <x:c r="C102" s="17" t="n">
        <x:v>12</x:v>
      </x:c>
      <x:c r="D102" s="18" t="n">
        <x:v>0</x:v>
      </x:c>
      <x:c r="E102" s="19" t="n">
        <x:v>19.75</x:v>
      </x:c>
      <x:c r="F102" s="13" t="str">
        <x:v>Other Mercedes model service</x:v>
      </x:c>
      <x:c r="G102" s="13" t="str">
        <x:v>HUB</x:v>
      </x:c>
      <x:c r="H102" s="13" t="str">
        <x:v>https://digitecme.com/brands/mercedes-benz-service-dubai</x:v>
      </x:c>
      <x:c r="I102" s="13" t="str">
        <x:v>Models serviced</x:v>
      </x:c>
      <x:c r="J102" s="13" t="str">
        <x:v>Relevant</x:v>
      </x:c>
      <x:c r="K102" s="13" t="str">
        <x:f>IF(J102="Hold","Hold",IF(J102="Conditional","Conditional",IF(E102&lt;='Sources'!$B$5,"Protect",IF(AND(E102&lt;='Sources'!$B$7,C102&gt;='Sources'!$B$6),"P1",IF(OR(E102&lt;='Sources'!$B$7,C102&gt;='Sources'!$B$8),"P2","P3")))))</x:f>
        <x:v>P2</x:v>
      </x:c>
      <x:c r="L102" s="16" t="n">
        <x:f>IF(J102="Hold","",MAX(0,E102-'Sources'!$B$5))</x:f>
        <x:v>14.75</x:v>
      </x:c>
      <x:c r="M102" s="13" t="str">
        <x:v>Use a confirmed model-family section on the hub initially. A dedicated family page needs service evidence and sustained demand; do not publish a thin page per variant.</x:v>
      </x:c>
      <x:c r="N102" s="13" t="n">
        <x:v>99</x:v>
      </x:c>
    </x:row>
    <x:row r="103" ht="65" customHeight="1">
      <x:c r="A103" s="13" t="str">
        <x:v>mercedes performance tuning</x:v>
      </x:c>
      <x:c r="B103" s="17" t="n">
        <x:v>0</x:v>
      </x:c>
      <x:c r="C103" s="17" t="n">
        <x:v>12</x:v>
      </x:c>
      <x:c r="D103" s="18" t="n">
        <x:v>0</x:v>
      </x:c>
      <x:c r="E103" s="19" t="n">
        <x:v>23.58</x:v>
      </x:c>
      <x:c r="F103" s="13" t="str">
        <x:v>Performance tuning and GAD</x:v>
      </x:c>
      <x:c r="G103" s="13" t="str">
        <x:v>TUNE</x:v>
      </x:c>
      <x:c r="H103" s="13" t="str">
        <x:v>https://digitecme.com/tuning</x:v>
      </x:c>
      <x:c r="I103" s="13" t="str">
        <x:v>Mercedes-AMG tuning and verified projects</x:v>
      </x:c>
      <x:c r="J103" s="13" t="str">
        <x:v>Relevant</x:v>
      </x:c>
      <x:c r="K103" s="13" t="str">
        <x:f>IF(J103="Hold","Hold",IF(J103="Conditional","Conditional",IF(E103&lt;='Sources'!$B$5,"Protect",IF(AND(E103&lt;='Sources'!$B$7,C103&gt;='Sources'!$B$6),"P1",IF(OR(E103&lt;='Sources'!$B$7,C103&gt;='Sources'!$B$8),"P2","P3")))))</x:f>
        <x:v>P3</x:v>
      </x:c>
      <x:c r="L103" s="16" t="n">
        <x:f>IF(J103="Hold","",MAX(0,E103-'Sources'!$B$5))</x:f>
        <x:v>18.58</x:v>
      </x:c>
      <x:c r="M103" s="13" t="str">
        <x:v>Use the Mercedes section of the existing tuning page and relevant project evidence.</x:v>
      </x:c>
      <x:c r="N103" s="13" t="n">
        <x:v>100</x:v>
      </x:c>
    </x:row>
    <x:row r="104" ht="65" customHeight="1">
      <x:c r="A104" s="13" t="str">
        <x:v>mercedes inspection dubai</x:v>
      </x:c>
      <x:c r="B104" s="17" t="n">
        <x:v>0</x:v>
      </x:c>
      <x:c r="C104" s="17" t="n">
        <x:v>12</x:v>
      </x:c>
      <x:c r="D104" s="18" t="n">
        <x:v>0</x:v>
      </x:c>
      <x:c r="E104" s="19" t="n">
        <x:v>24.67</x:v>
      </x:c>
      <x:c r="F104" s="13" t="str">
        <x:v>Mercedes inspection</x:v>
      </x:c>
      <x:c r="G104" s="13" t="str">
        <x:v>HUB</x:v>
      </x:c>
      <x:c r="H104" s="13" t="str">
        <x:v>https://digitecme.com/brands/mercedes-benz-service-dubai</x:v>
      </x:c>
      <x:c r="I104" s="13" t="str">
        <x:v>Inspection scope</x:v>
      </x:c>
      <x:c r="J104" s="13" t="str">
        <x:v>Relevant</x:v>
      </x:c>
      <x:c r="K104" s="13" t="str">
        <x:f>IF(J104="Hold","Hold",IF(J104="Conditional","Conditional",IF(E104&lt;='Sources'!$B$5,"Protect",IF(AND(E104&lt;='Sources'!$B$7,C104&gt;='Sources'!$B$6),"P1",IF(OR(E104&lt;='Sources'!$B$7,C104&gt;='Sources'!$B$8),"P2","P3")))))</x:f>
        <x:v>P3</x:v>
      </x:c>
      <x:c r="L104" s="16" t="n">
        <x:f>IF(J104="Hold","",MAX(0,E104-'Sources'!$B$5))</x:f>
        <x:v>19.67</x:v>
      </x:c>
      <x:c r="M104" s="13" t="str">
        <x:v>Use the hub inspection section and clarify general diagnosis versus a pre-purchase inspection before promising scope.</x:v>
      </x:c>
      <x:c r="N104" s="13" t="n">
        <x:v>101</x:v>
      </x:c>
    </x:row>
    <x:row r="105" ht="65" customHeight="1">
      <x:c r="A105" s="13" t="str">
        <x:v>mercedes authorized service near me</x:v>
      </x:c>
      <x:c r="B105" s="17" t="n">
        <x:v>0</x:v>
      </x:c>
      <x:c r="C105" s="17" t="n">
        <x:v>12</x:v>
      </x:c>
      <x:c r="D105" s="18" t="n">
        <x:v>0</x:v>
      </x:c>
      <x:c r="E105" s="19" t="n">
        <x:v>29.42</x:v>
      </x:c>
      <x:c r="F105" s="13" t="str">
        <x:v>Scheduled service and maintenance</x:v>
      </x:c>
      <x:c r="G105" s="13" t="str">
        <x:v>HUB</x:v>
      </x:c>
      <x:c r="H105" s="13" t="str">
        <x:v>https://digitecme.com/brands/mercedes-benz-service-dubai</x:v>
      </x:c>
      <x:c r="I105" s="13" t="str">
        <x:v>Service A/B and minor/major scope</x:v>
      </x:c>
      <x:c r="J105" s="13" t="str">
        <x:v>Hold</x:v>
      </x:c>
      <x:c r="K105" s="13" t="str">
        <x:f>IF(J105="Hold","Hold",IF(J105="Conditional","Conditional",IF(E105&lt;='Sources'!$B$5,"Protect",IF(AND(E105&lt;='Sources'!$B$7,C105&gt;='Sources'!$B$6),"P1",IF(OR(E105&lt;='Sources'!$B$7,C105&gt;='Sources'!$B$8),"P2","P3")))))</x:f>
        <x:v>Hold</x:v>
      </x:c>
      <x:c r="L105" s="16" t="str">
        <x:f>IF(J105="Hold","",MAX(0,E105-'Sources'!$B$5))</x:f>
      </x:c>
      <x:c r="M105" s="13" t="str">
        <x:v>Official/dealer or certification intent. Digi-Tec is positioned as independent; do not optimize by implying unverified authorization. URL is a related alternative only.</x:v>
      </x:c>
      <x:c r="N105" s="13" t="n">
        <x:v>102</x:v>
      </x:c>
    </x:row>
    <x:row r="106" ht="65" customHeight="1">
      <x:c r="A106" s="13" t="str">
        <x:v>mercedes repair shops dubai</x:v>
      </x:c>
      <x:c r="B106" s="17" t="n">
        <x:v>0</x:v>
      </x:c>
      <x:c r="C106" s="17" t="n">
        <x:v>11</x:v>
      </x:c>
      <x:c r="D106" s="18" t="n">
        <x:v>0</x:v>
      </x:c>
      <x:c r="E106" s="19" t="n">
        <x:v>15.64</x:v>
      </x:c>
      <x:c r="F106" s="13" t="str">
        <x:v>General repair and workshop</x:v>
      </x:c>
      <x:c r="G106" s="13" t="str">
        <x:v>HUB</x:v>
      </x:c>
      <x:c r="H106" s="13" t="str">
        <x:v>https://digitecme.com/brands/mercedes-benz-service-dubai</x:v>
      </x:c>
      <x:c r="I106" s="13" t="str">
        <x:v>Workshop and booking</x:v>
      </x:c>
      <x:c r="J106" s="13" t="str">
        <x:v>Relevant</x:v>
      </x:c>
      <x:c r="K106" s="13" t="str">
        <x:f>IF(J106="Hold","Hold",IF(J106="Conditional","Conditional",IF(E106&lt;='Sources'!$B$5,"Protect",IF(AND(E106&lt;='Sources'!$B$7,C106&gt;='Sources'!$B$6),"P1",IF(OR(E106&lt;='Sources'!$B$7,C106&gt;='Sources'!$B$8),"P2","P3")))))</x:f>
        <x:v>P2</x:v>
      </x:c>
      <x:c r="L106" s="16" t="n">
        <x:f>IF(J106="Hold","",MAX(0,E106-'Sources'!$B$5))</x:f>
        <x:v>10.64</x:v>
      </x:c>
      <x:c r="M106" s="13" t="str">
        <x:v>Use the main Mercedes page for broad repair, service, garage and specialist wording.</x:v>
      </x:c>
      <x:c r="N106" s="13" t="n">
        <x:v>103</x:v>
      </x:c>
    </x:row>
    <x:row r="107" ht="65" customHeight="1">
      <x:c r="A107" s="13" t="str">
        <x:v>mercedes independent service</x:v>
      </x:c>
      <x:c r="B107" s="17" t="n">
        <x:v>0</x:v>
      </x:c>
      <x:c r="C107" s="17" t="n">
        <x:v>11</x:v>
      </x:c>
      <x:c r="D107" s="18" t="n">
        <x:v>0</x:v>
      </x:c>
      <x:c r="E107" s="19" t="n">
        <x:v>17</x:v>
      </x:c>
      <x:c r="F107" s="13" t="str">
        <x:v>Scheduled service and maintenance</x:v>
      </x:c>
      <x:c r="G107" s="13" t="str">
        <x:v>HUB</x:v>
      </x:c>
      <x:c r="H107" s="13" t="str">
        <x:v>https://digitecme.com/brands/mercedes-benz-service-dubai</x:v>
      </x:c>
      <x:c r="I107" s="13" t="str">
        <x:v>Service A/B and minor/major scope</x:v>
      </x:c>
      <x:c r="J107" s="13" t="str">
        <x:v>Relevant</x:v>
      </x:c>
      <x:c r="K107" s="13" t="str">
        <x:f>IF(J107="Hold","Hold",IF(J107="Conditional","Conditional",IF(E107&lt;='Sources'!$B$5,"Protect",IF(AND(E107&lt;='Sources'!$B$7,C107&gt;='Sources'!$B$6),"P1",IF(OR(E107&lt;='Sources'!$B$7,C107&gt;='Sources'!$B$8),"P2","P3")))))</x:f>
        <x:v>P2</x:v>
      </x:c>
      <x:c r="L107" s="16" t="n">
        <x:f>IF(J107="Hold","",MAX(0,E107-'Sources'!$B$5))</x:f>
        <x:v>12</x:v>
      </x:c>
      <x:c r="M107" s="13" t="str">
        <x:v>Use one service booking destination; explain scope and link oil-only work and informational schedules separately.</x:v>
      </x:c>
      <x:c r="N107" s="13" t="n">
        <x:v>104</x:v>
      </x:c>
    </x:row>
    <x:row r="108" ht="65" customHeight="1">
      <x:c r="A108" s="13" t="str">
        <x:v>mercedes benz service</x:v>
      </x:c>
      <x:c r="B108" s="17" t="n">
        <x:v>0</x:v>
      </x:c>
      <x:c r="C108" s="17" t="n">
        <x:v>11</x:v>
      </x:c>
      <x:c r="D108" s="18" t="n">
        <x:v>0</x:v>
      </x:c>
      <x:c r="E108" s="19" t="n">
        <x:v>28.09</x:v>
      </x:c>
      <x:c r="F108" s="13" t="str">
        <x:v>Scheduled service and maintenance</x:v>
      </x:c>
      <x:c r="G108" s="13" t="str">
        <x:v>HUB</x:v>
      </x:c>
      <x:c r="H108" s="13" t="str">
        <x:v>https://digitecme.com/brands/mercedes-benz-service-dubai</x:v>
      </x:c>
      <x:c r="I108" s="13" t="str">
        <x:v>Service A/B and minor/major scope</x:v>
      </x:c>
      <x:c r="J108" s="13" t="str">
        <x:v>Relevant</x:v>
      </x:c>
      <x:c r="K108" s="13" t="str">
        <x:f>IF(J108="Hold","Hold",IF(J108="Conditional","Conditional",IF(E108&lt;='Sources'!$B$5,"Protect",IF(AND(E108&lt;='Sources'!$B$7,C108&gt;='Sources'!$B$6),"P1",IF(OR(E108&lt;='Sources'!$B$7,C108&gt;='Sources'!$B$8),"P2","P3")))))</x:f>
        <x:v>P3</x:v>
      </x:c>
      <x:c r="L108" s="16" t="n">
        <x:f>IF(J108="Hold","",MAX(0,E108-'Sources'!$B$5))</x:f>
        <x:v>23.09</x:v>
      </x:c>
      <x:c r="M108" s="13" t="str">
        <x:v>Use one service booking destination; explain scope and link oil-only work and informational schedules separately.</x:v>
      </x:c>
      <x:c r="N108" s="13" t="n">
        <x:v>105</x:v>
      </x:c>
    </x:row>
    <x:row r="109" ht="65" customHeight="1">
      <x:c r="A109" s="13" t="str">
        <x:v>gad mercedes tuning</x:v>
      </x:c>
      <x:c r="B109" s="17" t="n">
        <x:v>0</x:v>
      </x:c>
      <x:c r="C109" s="17" t="n">
        <x:v>10</x:v>
      </x:c>
      <x:c r="D109" s="18" t="n">
        <x:v>0</x:v>
      </x:c>
      <x:c r="E109" s="19" t="n">
        <x:v>7.9</x:v>
      </x:c>
      <x:c r="F109" s="13" t="str">
        <x:v>Performance tuning and GAD</x:v>
      </x:c>
      <x:c r="G109" s="13" t="str">
        <x:v>TUNE</x:v>
      </x:c>
      <x:c r="H109" s="13" t="str">
        <x:v>https://digitecme.com/tuning</x:v>
      </x:c>
      <x:c r="I109" s="13" t="str">
        <x:v>Mercedes-AMG tuning and verified projects</x:v>
      </x:c>
      <x:c r="J109" s="13" t="str">
        <x:v>Relevant</x:v>
      </x:c>
      <x:c r="K109" s="13" t="str">
        <x:f>IF(J109="Hold","Hold",IF(J109="Conditional","Conditional",IF(E109&lt;='Sources'!$B$5,"Protect",IF(AND(E109&lt;='Sources'!$B$7,C109&gt;='Sources'!$B$6),"P1",IF(OR(E109&lt;='Sources'!$B$7,C109&gt;='Sources'!$B$8),"P2","P3")))))</x:f>
        <x:v>P2</x:v>
      </x:c>
      <x:c r="L109" s="16" t="n">
        <x:f>IF(J109="Hold","",MAX(0,E109-'Sources'!$B$5))</x:f>
        <x:v>2.9000000000000004</x:v>
      </x:c>
      <x:c r="M109" s="13" t="str">
        <x:v>Use the Mercedes section of the existing tuning page and relevant project evidence.</x:v>
      </x:c>
      <x:c r="N109" s="13" t="n">
        <x:v>106</x:v>
      </x:c>
    </x:row>
    <x:row r="110" ht="65" customHeight="1">
      <x:c r="A110" s="13" t="str">
        <x:v>mercedes benz amg gt service dubai</x:v>
      </x:c>
      <x:c r="B110" s="17" t="n">
        <x:v>0</x:v>
      </x:c>
      <x:c r="C110" s="17" t="n">
        <x:v>10</x:v>
      </x:c>
      <x:c r="D110" s="18" t="n">
        <x:v>0</x:v>
      </x:c>
      <x:c r="E110" s="19" t="n">
        <x:v>13.7</x:v>
      </x:c>
      <x:c r="F110" s="13" t="str">
        <x:v>Other Mercedes model service</x:v>
      </x:c>
      <x:c r="G110" s="13" t="str">
        <x:v>HUB</x:v>
      </x:c>
      <x:c r="H110" s="13" t="str">
        <x:v>https://digitecme.com/brands/mercedes-benz-service-dubai</x:v>
      </x:c>
      <x:c r="I110" s="13" t="str">
        <x:v>Models serviced</x:v>
      </x:c>
      <x:c r="J110" s="13" t="str">
        <x:v>Relevant</x:v>
      </x:c>
      <x:c r="K110" s="13" t="str">
        <x:f>IF(J110="Hold","Hold",IF(J110="Conditional","Conditional",IF(E110&lt;='Sources'!$B$5,"Protect",IF(AND(E110&lt;='Sources'!$B$7,C110&gt;='Sources'!$B$6),"P1",IF(OR(E110&lt;='Sources'!$B$7,C110&gt;='Sources'!$B$8),"P2","P3")))))</x:f>
        <x:v>P2</x:v>
      </x:c>
      <x:c r="L110" s="16" t="n">
        <x:f>IF(J110="Hold","",MAX(0,E110-'Sources'!$B$5))</x:f>
        <x:v>8.7</x:v>
      </x:c>
      <x:c r="M110" s="13" t="str">
        <x:v>Use a confirmed model-family section on the hub initially. A dedicated family page needs service evidence and sustained demand; do not publish a thin page per variant.</x:v>
      </x:c>
      <x:c r="N110" s="13" t="n">
        <x:v>107</x:v>
      </x:c>
    </x:row>
    <x:row r="111" ht="65" customHeight="1">
      <x:c r="A111" s="13" t="str">
        <x:v>mercedes chip tuning</x:v>
      </x:c>
      <x:c r="B111" s="17" t="n">
        <x:v>0</x:v>
      </x:c>
      <x:c r="C111" s="17" t="n">
        <x:v>10</x:v>
      </x:c>
      <x:c r="D111" s="18" t="n">
        <x:v>0</x:v>
      </x:c>
      <x:c r="E111" s="19" t="n">
        <x:v>19.8</x:v>
      </x:c>
      <x:c r="F111" s="13" t="str">
        <x:v>Performance tuning and GAD</x:v>
      </x:c>
      <x:c r="G111" s="13" t="str">
        <x:v>TUNE</x:v>
      </x:c>
      <x:c r="H111" s="13" t="str">
        <x:v>https://digitecme.com/tuning</x:v>
      </x:c>
      <x:c r="I111" s="13" t="str">
        <x:v>Mercedes-AMG tuning and verified projects</x:v>
      </x:c>
      <x:c r="J111" s="13" t="str">
        <x:v>Relevant</x:v>
      </x:c>
      <x:c r="K111" s="13" t="str">
        <x:f>IF(J111="Hold","Hold",IF(J111="Conditional","Conditional",IF(E111&lt;='Sources'!$B$5,"Protect",IF(AND(E111&lt;='Sources'!$B$7,C111&gt;='Sources'!$B$6),"P1",IF(OR(E111&lt;='Sources'!$B$7,C111&gt;='Sources'!$B$8),"P2","P3")))))</x:f>
        <x:v>P2</x:v>
      </x:c>
      <x:c r="L111" s="16" t="n">
        <x:f>IF(J111="Hold","",MAX(0,E111-'Sources'!$B$5))</x:f>
        <x:v>14.8</x:v>
      </x:c>
      <x:c r="M111" s="13" t="str">
        <x:v>Use the Mercedes section of the existing tuning page and relevant project evidence.</x:v>
      </x:c>
      <x:c r="N111" s="13" t="n">
        <x:v>108</x:v>
      </x:c>
    </x:row>
    <x:row r="112" ht="65" customHeight="1">
      <x:c r="A112" s="13" t="str">
        <x:v>mercedes battery service</x:v>
      </x:c>
      <x:c r="B112" s="17" t="n">
        <x:v>0</x:v>
      </x:c>
      <x:c r="C112" s="17" t="n">
        <x:v>10</x:v>
      </x:c>
      <x:c r="D112" s="18" t="n">
        <x:v>0</x:v>
      </x:c>
      <x:c r="E112" s="19" t="n">
        <x:v>24.9</x:v>
      </x:c>
      <x:c r="F112" s="13" t="str">
        <x:v>Battery replacement</x:v>
      </x:c>
      <x:c r="G112" s="13" t="str">
        <x:v>BATTERY</x:v>
      </x:c>
      <x:c r="H112" s="13" t="str">
        <x:v>https://digitecme.com/services/mercedes-battery-replacement-dubai</x:v>
      </x:c>
      <x:c r="I112" s="13" t="str">
        <x:v>Battery testing, replacement and location</x:v>
      </x:c>
      <x:c r="J112" s="13" t="str">
        <x:v>Relevant</x:v>
      </x:c>
      <x:c r="K112" s="13" t="str">
        <x:f>IF(J112="Hold","Hold",IF(J112="Conditional","Conditional",IF(E112&lt;='Sources'!$B$5,"Protect",IF(AND(E112&lt;='Sources'!$B$7,C112&gt;='Sources'!$B$6),"P1",IF(OR(E112&lt;='Sources'!$B$7,C112&gt;='Sources'!$B$8),"P2","P3")))))</x:f>
        <x:v>P3</x:v>
      </x:c>
      <x:c r="L112" s="16" t="n">
        <x:f>IF(J112="Hold","",MAX(0,E112-'Sources'!$B$5))</x:f>
        <x:v>19.9</x:v>
      </x:c>
      <x:c r="M112" s="13" t="str">
        <x:v>Explain model-specific battery selection and supported installation checks.</x:v>
      </x:c>
      <x:c r="N112" s="13" t="n">
        <x:v>109</x:v>
      </x:c>
    </x:row>
    <x:row r="113" ht="65" customHeight="1">
      <x:c r="A113" s="13" t="str">
        <x:v>best mercedes repair shop near me</x:v>
      </x:c>
      <x:c r="B113" s="17" t="n">
        <x:v>0</x:v>
      </x:c>
      <x:c r="C113" s="17" t="n">
        <x:v>10</x:v>
      </x:c>
      <x:c r="D113" s="18" t="n">
        <x:v>0</x:v>
      </x:c>
      <x:c r="E113" s="19" t="n">
        <x:v>44.7</x:v>
      </x:c>
      <x:c r="F113" s="13" t="str">
        <x:v>General repair and workshop</x:v>
      </x:c>
      <x:c r="G113" s="13" t="str">
        <x:v>HUB</x:v>
      </x:c>
      <x:c r="H113" s="13" t="str">
        <x:v>https://digitecme.com/brands/mercedes-benz-service-dubai</x:v>
      </x:c>
      <x:c r="I113" s="13" t="str">
        <x:v>Workshop and booking</x:v>
      </x:c>
      <x:c r="J113" s="13" t="str">
        <x:v>Relevant</x:v>
      </x:c>
      <x:c r="K113" s="13" t="str">
        <x:f>IF(J113="Hold","Hold",IF(J113="Conditional","Conditional",IF(E113&lt;='Sources'!$B$5,"Protect",IF(AND(E113&lt;='Sources'!$B$7,C113&gt;='Sources'!$B$6),"P1",IF(OR(E113&lt;='Sources'!$B$7,C113&gt;='Sources'!$B$8),"P2","P3")))))</x:f>
        <x:v>P3</x:v>
      </x:c>
      <x:c r="L113" s="16" t="n">
        <x:f>IF(J113="Hold","",MAX(0,E113-'Sources'!$B$5))</x:f>
        <x:v>39.7</x:v>
      </x:c>
      <x:c r="M113" s="13" t="str">
        <x:v>Use the main Mercedes page for broad repair, service, garage and specialist wording. Include accurate Al Quoz location and Business Profile links; proximity varies by searcher.</x:v>
      </x:c>
      <x:c r="N113" s="13" t="n">
        <x:v>110</x:v>
      </x:c>
    </x:row>
    <x:row r="114" ht="65" customHeight="1">
      <x:c r="A114" s="13" t="str">
        <x:v>mercedes benz g63 amg service dubai</x:v>
      </x:c>
      <x:c r="B114" s="17" t="n">
        <x:v>0</x:v>
      </x:c>
      <x:c r="C114" s="17" t="n">
        <x:v>9</x:v>
      </x:c>
      <x:c r="D114" s="18" t="n">
        <x:v>0</x:v>
      </x:c>
      <x:c r="E114" s="19" t="n">
        <x:v>7.56</x:v>
      </x:c>
      <x:c r="F114" s="13" t="str">
        <x:v>G63 model service</x:v>
      </x:c>
      <x:c r="G114" s="13" t="str">
        <x:v>G63</x:v>
      </x:c>
      <x:c r="H114" s="13" t="str">
        <x:v>https://digitecme.com/blog/mercedes-g63-service-dubai-guide</x:v>
      </x:c>
      <x:c r="I114" s="13" t="str">
        <x:v>AMG G63 coverage</x:v>
      </x:c>
      <x:c r="J114" s="13" t="str">
        <x:v>Relevant</x:v>
      </x:c>
      <x:c r="K114" s="13" t="str">
        <x:f>IF(J114="Hold","Hold",IF(J114="Conditional","Conditional",IF(E114&lt;='Sources'!$B$5,"Protect",IF(AND(E114&lt;='Sources'!$B$7,C114&gt;='Sources'!$B$6),"P1",IF(OR(E114&lt;='Sources'!$B$7,C114&gt;='Sources'!$B$8),"P2","P3")))))</x:f>
        <x:v>P2</x:v>
      </x:c>
      <x:c r="L114" s="16" t="n">
        <x:f>IF(J114="Hold","",MAX(0,E114-'Sources'!$B$5))</x:f>
        <x:v>2.5599999999999996</x:v>
      </x:c>
      <x:c r="M114" s="13" t="str">
        <x:v>Retain the established G63 model URL.</x:v>
      </x:c>
      <x:c r="N114" s="13" t="n">
        <x:v>111</x:v>
      </x:c>
    </x:row>
    <x:row r="115" ht="65" customHeight="1">
      <x:c r="A115" s="13" t="str">
        <x:v>mercedes benz repairs</x:v>
      </x:c>
      <x:c r="B115" s="17" t="n">
        <x:v>0</x:v>
      </x:c>
      <x:c r="C115" s="17" t="n">
        <x:v>9</x:v>
      </x:c>
      <x:c r="D115" s="18" t="n">
        <x:v>0</x:v>
      </x:c>
      <x:c r="E115" s="19" t="n">
        <x:v>8.67</x:v>
      </x:c>
      <x:c r="F115" s="13" t="str">
        <x:v>General repair and workshop</x:v>
      </x:c>
      <x:c r="G115" s="13" t="str">
        <x:v>HUB</x:v>
      </x:c>
      <x:c r="H115" s="13" t="str">
        <x:v>https://digitecme.com/brands/mercedes-benz-service-dubai</x:v>
      </x:c>
      <x:c r="I115" s="13" t="str">
        <x:v>Workshop and booking</x:v>
      </x:c>
      <x:c r="J115" s="13" t="str">
        <x:v>Relevant</x:v>
      </x:c>
      <x:c r="K115" s="13" t="str">
        <x:f>IF(J115="Hold","Hold",IF(J115="Conditional","Conditional",IF(E115&lt;='Sources'!$B$5,"Protect",IF(AND(E115&lt;='Sources'!$B$7,C115&gt;='Sources'!$B$6),"P1",IF(OR(E115&lt;='Sources'!$B$7,C115&gt;='Sources'!$B$8),"P2","P3")))))</x:f>
        <x:v>P2</x:v>
      </x:c>
      <x:c r="L115" s="16" t="n">
        <x:f>IF(J115="Hold","",MAX(0,E115-'Sources'!$B$5))</x:f>
        <x:v>3.67</x:v>
      </x:c>
      <x:c r="M115" s="13" t="str">
        <x:v>Use the main Mercedes page for broad repair, service, garage and specialist wording.</x:v>
      </x:c>
      <x:c r="N115" s="13" t="n">
        <x:v>112</x:v>
      </x:c>
    </x:row>
    <x:row r="116" ht="65" customHeight="1">
      <x:c r="A116" s="13" t="str">
        <x:v>mercedes ecu tuning</x:v>
      </x:c>
      <x:c r="B116" s="17" t="n">
        <x:v>0</x:v>
      </x:c>
      <x:c r="C116" s="17" t="n">
        <x:v>9</x:v>
      </x:c>
      <x:c r="D116" s="18" t="n">
        <x:v>0</x:v>
      </x:c>
      <x:c r="E116" s="19" t="n">
        <x:v>16.78</x:v>
      </x:c>
      <x:c r="F116" s="13" t="str">
        <x:v>Performance tuning and GAD</x:v>
      </x:c>
      <x:c r="G116" s="13" t="str">
        <x:v>TUNE</x:v>
      </x:c>
      <x:c r="H116" s="13" t="str">
        <x:v>https://digitecme.com/tuning</x:v>
      </x:c>
      <x:c r="I116" s="13" t="str">
        <x:v>Mercedes-AMG tuning and verified projects</x:v>
      </x:c>
      <x:c r="J116" s="13" t="str">
        <x:v>Relevant</x:v>
      </x:c>
      <x:c r="K116" s="13" t="str">
        <x:f>IF(J116="Hold","Hold",IF(J116="Conditional","Conditional",IF(E116&lt;='Sources'!$B$5,"Protect",IF(AND(E116&lt;='Sources'!$B$7,C116&gt;='Sources'!$B$6),"P1",IF(OR(E116&lt;='Sources'!$B$7,C116&gt;='Sources'!$B$8),"P2","P3")))))</x:f>
        <x:v>P2</x:v>
      </x:c>
      <x:c r="L116" s="16" t="n">
        <x:f>IF(J116="Hold","",MAX(0,E116-'Sources'!$B$5))</x:f>
        <x:v>11.780000000000001</x:v>
      </x:c>
      <x:c r="M116" s="13" t="str">
        <x:v>Use the Mercedes section of the existing tuning page and relevant project evidence.</x:v>
      </x:c>
      <x:c r="N116" s="13" t="n">
        <x:v>113</x:v>
      </x:c>
    </x:row>
    <x:row r="117" ht="65" customHeight="1">
      <x:c r="A117" s="13" t="str">
        <x:v>mercedes transmission service</x:v>
      </x:c>
      <x:c r="B117" s="17" t="n">
        <x:v>0</x:v>
      </x:c>
      <x:c r="C117" s="17" t="n">
        <x:v>9</x:v>
      </x:c>
      <x:c r="D117" s="18" t="n">
        <x:v>0</x:v>
      </x:c>
      <x:c r="E117" s="19" t="n">
        <x:v>23</x:v>
      </x:c>
      <x:c r="F117" s="13" t="str">
        <x:v>Transmission and gearbox</x:v>
      </x:c>
      <x:c r="G117" s="13" t="str">
        <x:v>TRANS</x:v>
      </x:c>
      <x:c r="H117" s="13" t="str">
        <x:v>https://digitecme.com/services/mercedes-transmission-repair-dubai</x:v>
      </x:c>
      <x:c r="I117" s="13" t="str">
        <x:v>Gearbox service and fault diagnosis</x:v>
      </x:c>
      <x:c r="J117" s="13" t="str">
        <x:v>Relevant</x:v>
      </x:c>
      <x:c r="K117" s="13" t="str">
        <x:f>IF(J117="Hold","Hold",IF(J117="Conditional","Conditional",IF(E117&lt;='Sources'!$B$5,"Protect",IF(AND(E117&lt;='Sources'!$B$7,C117&gt;='Sources'!$B$6),"P1",IF(OR(E117&lt;='Sources'!$B$7,C117&gt;='Sources'!$B$8),"P2","P3")))))</x:f>
        <x:v>P3</x:v>
      </x:c>
      <x:c r="L117" s="16" t="n">
        <x:f>IF(J117="Hold","",MAX(0,E117-'Sources'!$B$5))</x:f>
        <x:v>18</x:v>
      </x:c>
      <x:c r="M117" s="13" t="str">
        <x:v>Match transmission repair, service and applicable clutch work to one transactional page.</x:v>
      </x:c>
      <x:c r="N117" s="13" t="n">
        <x:v>114</x:v>
      </x:c>
    </x:row>
    <x:row r="118" ht="65" customHeight="1">
      <x:c r="A118" s="13" t="str">
        <x:v>mercedes body work dubai</x:v>
      </x:c>
      <x:c r="B118" s="17" t="n">
        <x:v>0</x:v>
      </x:c>
      <x:c r="C118" s="17" t="n">
        <x:v>9</x:v>
      </x:c>
      <x:c r="D118" s="18" t="n">
        <x:v>0</x:v>
      </x:c>
      <x:c r="E118" s="19" t="n">
        <x:v>34.33</x:v>
      </x:c>
      <x:c r="F118" s="13" t="str">
        <x:v>Body repair</x:v>
      </x:c>
      <x:c r="G118" s="13" t="str">
        <x:v>BODY</x:v>
      </x:c>
      <x:c r="H118" s="13" t="str">
        <x:v>https://digitecme.com/services/mercedes-body-repair-dubai</x:v>
      </x:c>
      <x:c r="I118" s="13" t="str">
        <x:v>Body shop and paintwork scope</x:v>
      </x:c>
      <x:c r="J118" s="13" t="str">
        <x:v>Relevant</x:v>
      </x:c>
      <x:c r="K118" s="13" t="str">
        <x:f>IF(J118="Hold","Hold",IF(J118="Conditional","Conditional",IF(E118&lt;='Sources'!$B$5,"Protect",IF(AND(E118&lt;='Sources'!$B$7,C118&gt;='Sources'!$B$6),"P1",IF(OR(E118&lt;='Sources'!$B$7,C118&gt;='Sources'!$B$8),"P2","P3")))))</x:f>
        <x:v>P3</x:v>
      </x:c>
      <x:c r="L118" s="16" t="n">
        <x:f>IF(J118="Hold","",MAX(0,E118-'Sources'!$B$5))</x:f>
        <x:v>29.33</x:v>
      </x:c>
      <x:c r="M118" s="13" t="str">
        <x:v>Show original repair evidence and genuine workshop capability.</x:v>
      </x:c>
      <x:c r="N118" s="13" t="n">
        <x:v>115</x:v>
      </x:c>
    </x:row>
    <x:row r="119" ht="65" customHeight="1">
      <x:c r="A119" s="13" t="str">
        <x:v>mercedes benz e300 service dubai</x:v>
      </x:c>
      <x:c r="B119" s="17" t="n">
        <x:v>0</x:v>
      </x:c>
      <x:c r="C119" s="17" t="n">
        <x:v>8</x:v>
      </x:c>
      <x:c r="D119" s="18" t="n">
        <x:v>0</x:v>
      </x:c>
      <x:c r="E119" s="19" t="n">
        <x:v>1.88</x:v>
      </x:c>
      <x:c r="F119" s="13" t="str">
        <x:v>E-Class model service</x:v>
      </x:c>
      <x:c r="G119" s="13" t="str">
        <x:v>ECLASS</x:v>
      </x:c>
      <x:c r="H119" s="13" t="str">
        <x:v>https://digitecme.com/blog/mercedes-e-class-service-dubai-guide</x:v>
      </x:c>
      <x:c r="I119" s="13" t="str">
        <x:v>E-Class variants</x:v>
      </x:c>
      <x:c r="J119" s="13" t="str">
        <x:v>Relevant</x:v>
      </x:c>
      <x:c r="K119" s="13" t="str">
        <x:f>IF(J119="Hold","Hold",IF(J119="Conditional","Conditional",IF(E119&lt;='Sources'!$B$5,"Protect",IF(AND(E119&lt;='Sources'!$B$7,C119&gt;='Sources'!$B$6),"P1",IF(OR(E119&lt;='Sources'!$B$7,C119&gt;='Sources'!$B$8),"P2","P3")))))</x:f>
        <x:v>Protect</x:v>
      </x:c>
      <x:c r="L119" s="16" t="n">
        <x:f>IF(J119="Hold","",MAX(0,E119-'Sources'!$B$5))</x:f>
        <x:v>0</x:v>
      </x:c>
      <x:c r="M119" s="13" t="str">
        <x:v>Group relevant E-Class variants here; verify older E55 and coupe/cabriolet scope. E63 stays separate.</x:v>
      </x:c>
      <x:c r="N119" s="13" t="n">
        <x:v>116</x:v>
      </x:c>
    </x:row>
    <x:row r="120" ht="65" customHeight="1">
      <x:c r="A120" s="13" t="str">
        <x:v>mercedes benz g wagon service dubai</x:v>
      </x:c>
      <x:c r="B120" s="17" t="n">
        <x:v>0</x:v>
      </x:c>
      <x:c r="C120" s="17" t="n">
        <x:v>8</x:v>
      </x:c>
      <x:c r="D120" s="18" t="n">
        <x:v>0</x:v>
      </x:c>
      <x:c r="E120" s="19" t="n">
        <x:v>10.25</x:v>
      </x:c>
      <x:c r="F120" s="13" t="str">
        <x:v>G-Class model service</x:v>
      </x:c>
      <x:c r="G120" s="13" t="str">
        <x:v>GCLASS</x:v>
      </x:c>
      <x:c r="H120" s="13" t="str">
        <x:v>https://digitecme.com/mercedes/models/g-class-service-repair-dubai</x:v>
      </x:c>
      <x:c r="I120" s="13" t="str">
        <x:v>G-Class coverage</x:v>
      </x:c>
      <x:c r="J120" s="13" t="str">
        <x:v>Relevant</x:v>
      </x:c>
      <x:c r="K120" s="13" t="str">
        <x:f>IF(J120="Hold","Hold",IF(J120="Conditional","Conditional",IF(E120&lt;='Sources'!$B$5,"Protect",IF(AND(E120&lt;='Sources'!$B$7,C120&gt;='Sources'!$B$6),"P1",IF(OR(E120&lt;='Sources'!$B$7,C120&gt;='Sources'!$B$8),"P2","P3")))))</x:f>
        <x:v>P2</x:v>
      </x:c>
      <x:c r="L120" s="16" t="n">
        <x:f>IF(J120="Hold","",MAX(0,E120-'Sources'!$B$5))</x:f>
        <x:v>5.25</x:v>
      </x:c>
      <x:c r="M120" s="13" t="str">
        <x:v>Keep broad G-Class service separate from AMG G63.</x:v>
      </x:c>
      <x:c r="N120" s="13" t="n">
        <x:v>117</x:v>
      </x:c>
    </x:row>
    <x:row r="121" ht="65" customHeight="1">
      <x:c r="A121" s="13" t="str">
        <x:v>mercedes service centre</x:v>
      </x:c>
      <x:c r="B121" s="17" t="n">
        <x:v>0</x:v>
      </x:c>
      <x:c r="C121" s="17" t="n">
        <x:v>8</x:v>
      </x:c>
      <x:c r="D121" s="18" t="n">
        <x:v>0</x:v>
      </x:c>
      <x:c r="E121" s="19" t="n">
        <x:v>14.5</x:v>
      </x:c>
      <x:c r="F121" s="13" t="str">
        <x:v>Scheduled service and maintenance</x:v>
      </x:c>
      <x:c r="G121" s="13" t="str">
        <x:v>HUB</x:v>
      </x:c>
      <x:c r="H121" s="13" t="str">
        <x:v>https://digitecme.com/brands/mercedes-benz-service-dubai</x:v>
      </x:c>
      <x:c r="I121" s="13" t="str">
        <x:v>Service A/B and minor/major scope</x:v>
      </x:c>
      <x:c r="J121" s="13" t="str">
        <x:v>Relevant</x:v>
      </x:c>
      <x:c r="K121" s="13" t="str">
        <x:f>IF(J121="Hold","Hold",IF(J121="Conditional","Conditional",IF(E121&lt;='Sources'!$B$5,"Protect",IF(AND(E121&lt;='Sources'!$B$7,C121&gt;='Sources'!$B$6),"P1",IF(OR(E121&lt;='Sources'!$B$7,C121&gt;='Sources'!$B$8),"P2","P3")))))</x:f>
        <x:v>P2</x:v>
      </x:c>
      <x:c r="L121" s="16" t="n">
        <x:f>IF(J121="Hold","",MAX(0,E121-'Sources'!$B$5))</x:f>
        <x:v>9.5</x:v>
      </x:c>
      <x:c r="M121" s="13" t="str">
        <x:v>Use one service booking destination; explain scope and link oil-only work and informational schedules separately.</x:v>
      </x:c>
      <x:c r="N121" s="13" t="n">
        <x:v>118</x:v>
      </x:c>
    </x:row>
    <x:row r="122" ht="65" customHeight="1">
      <x:c r="A122" s="13" t="str">
        <x:v>mercedes benz e class coupe service dubai</x:v>
      </x:c>
      <x:c r="B122" s="17" t="n">
        <x:v>0</x:v>
      </x:c>
      <x:c r="C122" s="17" t="n">
        <x:v>8</x:v>
      </x:c>
      <x:c r="D122" s="18" t="n">
        <x:v>0</x:v>
      </x:c>
      <x:c r="E122" s="19" t="n">
        <x:v>19.38</x:v>
      </x:c>
      <x:c r="F122" s="13" t="str">
        <x:v>E-Class model service</x:v>
      </x:c>
      <x:c r="G122" s="13" t="str">
        <x:v>ECLASS</x:v>
      </x:c>
      <x:c r="H122" s="13" t="str">
        <x:v>https://digitecme.com/blog/mercedes-e-class-service-dubai-guide</x:v>
      </x:c>
      <x:c r="I122" s="13" t="str">
        <x:v>E-Class variants</x:v>
      </x:c>
      <x:c r="J122" s="13" t="str">
        <x:v>Relevant</x:v>
      </x:c>
      <x:c r="K122" s="13" t="str">
        <x:f>IF(J122="Hold","Hold",IF(J122="Conditional","Conditional",IF(E122&lt;='Sources'!$B$5,"Protect",IF(AND(E122&lt;='Sources'!$B$7,C122&gt;='Sources'!$B$6),"P1",IF(OR(E122&lt;='Sources'!$B$7,C122&gt;='Sources'!$B$8),"P2","P3")))))</x:f>
        <x:v>P2</x:v>
      </x:c>
      <x:c r="L122" s="16" t="n">
        <x:f>IF(J122="Hold","",MAX(0,E122-'Sources'!$B$5))</x:f>
        <x:v>14.379999999999999</x:v>
      </x:c>
      <x:c r="M122" s="13" t="str">
        <x:v>Group relevant E-Class variants here; verify older E55 and coupe/cabriolet scope. E63 stays separate.</x:v>
      </x:c>
      <x:c r="N122" s="13" t="n">
        <x:v>119</x:v>
      </x:c>
    </x:row>
    <x:row r="123" ht="65" customHeight="1">
      <x:c r="A123" s="13" t="str">
        <x:v>mercedes garage</x:v>
      </x:c>
      <x:c r="B123" s="17" t="n">
        <x:v>0</x:v>
      </x:c>
      <x:c r="C123" s="17" t="n">
        <x:v>8</x:v>
      </x:c>
      <x:c r="D123" s="18" t="n">
        <x:v>0</x:v>
      </x:c>
      <x:c r="E123" s="19" t="n">
        <x:v>35.38</x:v>
      </x:c>
      <x:c r="F123" s="13" t="str">
        <x:v>General repair and workshop</x:v>
      </x:c>
      <x:c r="G123" s="13" t="str">
        <x:v>HUB</x:v>
      </x:c>
      <x:c r="H123" s="13" t="str">
        <x:v>https://digitecme.com/brands/mercedes-benz-service-dubai</x:v>
      </x:c>
      <x:c r="I123" s="13" t="str">
        <x:v>Workshop and booking</x:v>
      </x:c>
      <x:c r="J123" s="13" t="str">
        <x:v>Relevant</x:v>
      </x:c>
      <x:c r="K123" s="13" t="str">
        <x:f>IF(J123="Hold","Hold",IF(J123="Conditional","Conditional",IF(E123&lt;='Sources'!$B$5,"Protect",IF(AND(E123&lt;='Sources'!$B$7,C123&gt;='Sources'!$B$6),"P1",IF(OR(E123&lt;='Sources'!$B$7,C123&gt;='Sources'!$B$8),"P2","P3")))))</x:f>
        <x:v>P3</x:v>
      </x:c>
      <x:c r="L123" s="16" t="n">
        <x:f>IF(J123="Hold","",MAX(0,E123-'Sources'!$B$5))</x:f>
        <x:v>30.380000000000003</x:v>
      </x:c>
      <x:c r="M123" s="13" t="str">
        <x:v>Use the main Mercedes page for broad repair, service, garage and specialist wording.</x:v>
      </x:c>
      <x:c r="N123" s="13" t="n">
        <x:v>120</x:v>
      </x:c>
    </x:row>
    <x:row r="124" ht="65" customHeight="1">
      <x:c r="A124" s="13" t="str">
        <x:v>best mercedes service near me</x:v>
      </x:c>
      <x:c r="B124" s="17" t="n">
        <x:v>0</x:v>
      </x:c>
      <x:c r="C124" s="17" t="n">
        <x:v>8</x:v>
      </x:c>
      <x:c r="D124" s="18" t="n">
        <x:v>0</x:v>
      </x:c>
      <x:c r="E124" s="19" t="n">
        <x:v>56.12</x:v>
      </x:c>
      <x:c r="F124" s="13" t="str">
        <x:v>Scheduled service and maintenance</x:v>
      </x:c>
      <x:c r="G124" s="13" t="str">
        <x:v>HUB</x:v>
      </x:c>
      <x:c r="H124" s="13" t="str">
        <x:v>https://digitecme.com/brands/mercedes-benz-service-dubai</x:v>
      </x:c>
      <x:c r="I124" s="13" t="str">
        <x:v>Service A/B and minor/major scope</x:v>
      </x:c>
      <x:c r="J124" s="13" t="str">
        <x:v>Relevant</x:v>
      </x:c>
      <x:c r="K124" s="13" t="str">
        <x:f>IF(J124="Hold","Hold",IF(J124="Conditional","Conditional",IF(E124&lt;='Sources'!$B$5,"Protect",IF(AND(E124&lt;='Sources'!$B$7,C124&gt;='Sources'!$B$6),"P1",IF(OR(E124&lt;='Sources'!$B$7,C124&gt;='Sources'!$B$8),"P2","P3")))))</x:f>
        <x:v>P3</x:v>
      </x:c>
      <x:c r="L124" s="16" t="n">
        <x:f>IF(J124="Hold","",MAX(0,E124-'Sources'!$B$5))</x:f>
        <x:v>51.12</x:v>
      </x:c>
      <x:c r="M124" s="13" t="str">
        <x:v>Use one service booking destination; explain scope and link oil-only work and informational schedules separately. Include accurate Al Quoz location and Business Profile links; proximity varies by searcher.</x:v>
      </x:c>
      <x:c r="N124" s="13" t="n">
        <x:v>121</x:v>
      </x:c>
    </x:row>
    <x:row r="125" ht="65" customHeight="1">
      <x:c r="A125" s="13" t="str">
        <x:v>mercedes benz s63 amg service dubai</x:v>
      </x:c>
      <x:c r="B125" s="17" t="n">
        <x:v>0</x:v>
      </x:c>
      <x:c r="C125" s="17" t="n">
        <x:v>7</x:v>
      </x:c>
      <x:c r="D125" s="18" t="n">
        <x:v>0</x:v>
      </x:c>
      <x:c r="E125" s="19" t="n">
        <x:v>3.57</x:v>
      </x:c>
      <x:c r="F125" s="13" t="str">
        <x:v>S63 model service</x:v>
      </x:c>
      <x:c r="G125" s="13" t="str">
        <x:v>S63</x:v>
      </x:c>
      <x:c r="H125" s="13" t="str">
        <x:v>https://digitecme.com/mercedes/models/s63-service-repair-dubai</x:v>
      </x:c>
      <x:c r="I125" s="13" t="str">
        <x:v>AMG S63 and coupe coverage</x:v>
      </x:c>
      <x:c r="J125" s="13" t="str">
        <x:v>Relevant</x:v>
      </x:c>
      <x:c r="K125" s="13" t="str">
        <x:f>IF(J125="Hold","Hold",IF(J125="Conditional","Conditional",IF(E125&lt;='Sources'!$B$5,"Protect",IF(AND(E125&lt;='Sources'!$B$7,C125&gt;='Sources'!$B$6),"P1",IF(OR(E125&lt;='Sources'!$B$7,C125&gt;='Sources'!$B$8),"P2","P3")))))</x:f>
        <x:v>Protect</x:v>
      </x:c>
      <x:c r="L125" s="16" t="n">
        <x:f>IF(J125="Hold","",MAX(0,E125-'Sources'!$B$5))</x:f>
        <x:v>0</x:v>
      </x:c>
      <x:c r="M125" s="13" t="str">
        <x:v>Preserve the S63-specific destination.</x:v>
      </x:c>
      <x:c r="N125" s="13" t="n">
        <x:v>122</x:v>
      </x:c>
    </x:row>
    <x:row r="126" ht="65" customHeight="1">
      <x:c r="A126" s="13" t="str">
        <x:v>mercedes benz s65 amg service dubai</x:v>
      </x:c>
      <x:c r="B126" s="17" t="n">
        <x:v>0</x:v>
      </x:c>
      <x:c r="C126" s="17" t="n">
        <x:v>7</x:v>
      </x:c>
      <x:c r="D126" s="18" t="n">
        <x:v>0</x:v>
      </x:c>
      <x:c r="E126" s="19" t="n">
        <x:v>3.71</x:v>
      </x:c>
      <x:c r="F126" s="13" t="str">
        <x:v>S-Class model service</x:v>
      </x:c>
      <x:c r="G126" s="13" t="str">
        <x:v>SCLASS</x:v>
      </x:c>
      <x:c r="H126" s="13" t="str">
        <x:v>https://digitecme.com/blog/mercedes-s-class-service-dubai-guide</x:v>
      </x:c>
      <x:c r="I126" s="13" t="str">
        <x:v>S-Class variants</x:v>
      </x:c>
      <x:c r="J126" s="13" t="str">
        <x:v>Relevant</x:v>
      </x:c>
      <x:c r="K126" s="13" t="str">
        <x:f>IF(J126="Hold","Hold",IF(J126="Conditional","Conditional",IF(E126&lt;='Sources'!$B$5,"Protect",IF(AND(E126&lt;='Sources'!$B$7,C126&gt;='Sources'!$B$6),"P1",IF(OR(E126&lt;='Sources'!$B$7,C126&gt;='Sources'!$B$8),"P2","P3")))))</x:f>
        <x:v>Protect</x:v>
      </x:c>
      <x:c r="L126" s="16" t="n">
        <x:f>IF(J126="Hold","",MAX(0,E126-'Sources'!$B$5))</x:f>
        <x:v>0</x:v>
      </x:c>
      <x:c r="M126" s="13" t="str">
        <x:v>S65 is a distinct V12 application; add only a confirmed section, not S63 engine copy.</x:v>
      </x:c>
      <x:c r="N126" s="13" t="n">
        <x:v>123</x:v>
      </x:c>
    </x:row>
    <x:row r="127" ht="65" customHeight="1">
      <x:c r="A127" s="13" t="str">
        <x:v>mercedes benz cls class service dubai</x:v>
      </x:c>
      <x:c r="B127" s="17" t="n">
        <x:v>0</x:v>
      </x:c>
      <x:c r="C127" s="17" t="n">
        <x:v>7</x:v>
      </x:c>
      <x:c r="D127" s="18" t="n">
        <x:v>0</x:v>
      </x:c>
      <x:c r="E127" s="19" t="n">
        <x:v>9.86</x:v>
      </x:c>
      <x:c r="F127" s="13" t="str">
        <x:v>Other Mercedes model service</x:v>
      </x:c>
      <x:c r="G127" s="13" t="str">
        <x:v>HUB</x:v>
      </x:c>
      <x:c r="H127" s="13" t="str">
        <x:v>https://digitecme.com/brands/mercedes-benz-service-dubai</x:v>
      </x:c>
      <x:c r="I127" s="13" t="str">
        <x:v>Models serviced</x:v>
      </x:c>
      <x:c r="J127" s="13" t="str">
        <x:v>Relevant</x:v>
      </x:c>
      <x:c r="K127" s="13" t="str">
        <x:f>IF(J127="Hold","Hold",IF(J127="Conditional","Conditional",IF(E127&lt;='Sources'!$B$5,"Protect",IF(AND(E127&lt;='Sources'!$B$7,C127&gt;='Sources'!$B$6),"P1",IF(OR(E127&lt;='Sources'!$B$7,C127&gt;='Sources'!$B$8),"P2","P3")))))</x:f>
        <x:v>P2</x:v>
      </x:c>
      <x:c r="L127" s="16" t="n">
        <x:f>IF(J127="Hold","",MAX(0,E127-'Sources'!$B$5))</x:f>
        <x:v>4.859999999999999</x:v>
      </x:c>
      <x:c r="M127" s="13" t="str">
        <x:v>Use a confirmed model-family section on the hub initially. A dedicated family page needs service evidence and sustained demand; do not publish a thin page per variant.</x:v>
      </x:c>
      <x:c r="N127" s="13" t="n">
        <x:v>124</x:v>
      </x:c>
    </x:row>
    <x:row r="128" ht="65" customHeight="1">
      <x:c r="A128" s="13" t="str">
        <x:v>mercedes benz sl65 amg service dubai</x:v>
      </x:c>
      <x:c r="B128" s="17" t="n">
        <x:v>0</x:v>
      </x:c>
      <x:c r="C128" s="17" t="n">
        <x:v>7</x:v>
      </x:c>
      <x:c r="D128" s="18" t="n">
        <x:v>0</x:v>
      </x:c>
      <x:c r="E128" s="19" t="n">
        <x:v>15.57</x:v>
      </x:c>
      <x:c r="F128" s="13" t="str">
        <x:v>Other Mercedes model service</x:v>
      </x:c>
      <x:c r="G128" s="13" t="str">
        <x:v>HUB</x:v>
      </x:c>
      <x:c r="H128" s="13" t="str">
        <x:v>https://digitecme.com/brands/mercedes-benz-service-dubai</x:v>
      </x:c>
      <x:c r="I128" s="13" t="str">
        <x:v>Models serviced</x:v>
      </x:c>
      <x:c r="J128" s="13" t="str">
        <x:v>Relevant</x:v>
      </x:c>
      <x:c r="K128" s="13" t="str">
        <x:f>IF(J128="Hold","Hold",IF(J128="Conditional","Conditional",IF(E128&lt;='Sources'!$B$5,"Protect",IF(AND(E128&lt;='Sources'!$B$7,C128&gt;='Sources'!$B$6),"P1",IF(OR(E128&lt;='Sources'!$B$7,C128&gt;='Sources'!$B$8),"P2","P3")))))</x:f>
        <x:v>P2</x:v>
      </x:c>
      <x:c r="L128" s="16" t="n">
        <x:f>IF(J128="Hold","",MAX(0,E128-'Sources'!$B$5))</x:f>
        <x:v>10.57</x:v>
      </x:c>
      <x:c r="M128" s="13" t="str">
        <x:v>Use a confirmed model-family section on the hub initially. A dedicated family page needs service evidence and sustained demand; do not publish a thin page per variant.</x:v>
      </x:c>
      <x:c r="N128" s="13" t="n">
        <x:v>125</x:v>
      </x:c>
    </x:row>
    <x:row r="129" ht="65" customHeight="1">
      <x:c r="A129" s="13" t="str">
        <x:v>mercedes benz c class coupe service dubai</x:v>
      </x:c>
      <x:c r="B129" s="17" t="n">
        <x:v>0</x:v>
      </x:c>
      <x:c r="C129" s="17" t="n">
        <x:v>7</x:v>
      </x:c>
      <x:c r="D129" s="18" t="n">
        <x:v>0</x:v>
      </x:c>
      <x:c r="E129" s="19" t="n">
        <x:v>16.14</x:v>
      </x:c>
      <x:c r="F129" s="13" t="str">
        <x:v>C-Class model service</x:v>
      </x:c>
      <x:c r="G129" s="13" t="str">
        <x:v>CCLASS</x:v>
      </x:c>
      <x:c r="H129" s="13" t="str">
        <x:v>https://digitecme.com/blog/mercedes-c-class-service-dubai-guide</x:v>
      </x:c>
      <x:c r="I129" s="13" t="str">
        <x:v>C-Class variants</x:v>
      </x:c>
      <x:c r="J129" s="13" t="str">
        <x:v>Relevant</x:v>
      </x:c>
      <x:c r="K129" s="13" t="str">
        <x:f>IF(J129="Hold","Hold",IF(J129="Conditional","Conditional",IF(E129&lt;='Sources'!$B$5,"Protect",IF(AND(E129&lt;='Sources'!$B$7,C129&gt;='Sources'!$B$6),"P1",IF(OR(E129&lt;='Sources'!$B$7,C129&gt;='Sources'!$B$8),"P2","P3")))))</x:f>
        <x:v>P2</x:v>
      </x:c>
      <x:c r="L129" s="16" t="n">
        <x:f>IF(J129="Hold","",MAX(0,E129-'Sources'!$B$5))</x:f>
        <x:v>11.14</x:v>
      </x:c>
      <x:c r="M129" s="13" t="str">
        <x:v>Add applicable C200/C240/C300/C43/coupe detail only when confirmed; C63 stays separate.</x:v>
      </x:c>
      <x:c r="N129" s="13" t="n">
        <x:v>126</x:v>
      </x:c>
    </x:row>
    <x:row r="130" ht="65" customHeight="1">
      <x:c r="A130" s="13" t="str">
        <x:v>mercedes service center near me</x:v>
      </x:c>
      <x:c r="B130" s="17" t="n">
        <x:v>0</x:v>
      </x:c>
      <x:c r="C130" s="17" t="n">
        <x:v>7</x:v>
      </x:c>
      <x:c r="D130" s="18" t="n">
        <x:v>0</x:v>
      </x:c>
      <x:c r="E130" s="19" t="n">
        <x:v>16.71</x:v>
      </x:c>
      <x:c r="F130" s="13" t="str">
        <x:v>Scheduled service and maintenance</x:v>
      </x:c>
      <x:c r="G130" s="13" t="str">
        <x:v>HUB</x:v>
      </x:c>
      <x:c r="H130" s="13" t="str">
        <x:v>https://digitecme.com/brands/mercedes-benz-service-dubai</x:v>
      </x:c>
      <x:c r="I130" s="13" t="str">
        <x:v>Service A/B and minor/major scope</x:v>
      </x:c>
      <x:c r="J130" s="13" t="str">
        <x:v>Relevant</x:v>
      </x:c>
      <x:c r="K130" s="13" t="str">
        <x:f>IF(J130="Hold","Hold",IF(J130="Conditional","Conditional",IF(E130&lt;='Sources'!$B$5,"Protect",IF(AND(E130&lt;='Sources'!$B$7,C130&gt;='Sources'!$B$6),"P1",IF(OR(E130&lt;='Sources'!$B$7,C130&gt;='Sources'!$B$8),"P2","P3")))))</x:f>
        <x:v>P2</x:v>
      </x:c>
      <x:c r="L130" s="16" t="n">
        <x:f>IF(J130="Hold","",MAX(0,E130-'Sources'!$B$5))</x:f>
        <x:v>11.71</x:v>
      </x:c>
      <x:c r="M130" s="13" t="str">
        <x:v>Use one service booking destination; explain scope and link oil-only work and informational schedules separately. Include accurate Al Quoz location and Business Profile links; proximity varies by searcher.</x:v>
      </x:c>
      <x:c r="N130" s="13" t="n">
        <x:v>127</x:v>
      </x:c>
    </x:row>
    <x:row r="131" ht="65" customHeight="1">
      <x:c r="A131" s="13" t="str">
        <x:v>mercedes benz glk class service dubai</x:v>
      </x:c>
      <x:c r="B131" s="17" t="n">
        <x:v>0</x:v>
      </x:c>
      <x:c r="C131" s="17" t="n">
        <x:v>7</x:v>
      </x:c>
      <x:c r="D131" s="18" t="n">
        <x:v>0</x:v>
      </x:c>
      <x:c r="E131" s="19" t="n">
        <x:v>17.86</x:v>
      </x:c>
      <x:c r="F131" s="13" t="str">
        <x:v>Other Mercedes model service</x:v>
      </x:c>
      <x:c r="G131" s="13" t="str">
        <x:v>HUB</x:v>
      </x:c>
      <x:c r="H131" s="13" t="str">
        <x:v>https://digitecme.com/brands/mercedes-benz-service-dubai</x:v>
      </x:c>
      <x:c r="I131" s="13" t="str">
        <x:v>Models serviced</x:v>
      </x:c>
      <x:c r="J131" s="13" t="str">
        <x:v>Relevant</x:v>
      </x:c>
      <x:c r="K131" s="13" t="str">
        <x:f>IF(J131="Hold","Hold",IF(J131="Conditional","Conditional",IF(E131&lt;='Sources'!$B$5,"Protect",IF(AND(E131&lt;='Sources'!$B$7,C131&gt;='Sources'!$B$6),"P1",IF(OR(E131&lt;='Sources'!$B$7,C131&gt;='Sources'!$B$8),"P2","P3")))))</x:f>
        <x:v>P2</x:v>
      </x:c>
      <x:c r="L131" s="16" t="n">
        <x:f>IF(J131="Hold","",MAX(0,E131-'Sources'!$B$5))</x:f>
        <x:v>12.86</x:v>
      </x:c>
      <x:c r="M131" s="13" t="str">
        <x:v>Use a confirmed model-family section on the hub initially. A dedicated family page needs service evidence and sustained demand; do not publish a thin page per variant.</x:v>
      </x:c>
      <x:c r="N131" s="13" t="n">
        <x:v>128</x:v>
      </x:c>
    </x:row>
    <x:row r="132" ht="65" customHeight="1">
      <x:c r="A132" s="13" t="str">
        <x:v>mercedes service centre dubai</x:v>
      </x:c>
      <x:c r="B132" s="17" t="n">
        <x:v>0</x:v>
      </x:c>
      <x:c r="C132" s="17" t="n">
        <x:v>7</x:v>
      </x:c>
      <x:c r="D132" s="18" t="n">
        <x:v>0</x:v>
      </x:c>
      <x:c r="E132" s="19" t="n">
        <x:v>19.29</x:v>
      </x:c>
      <x:c r="F132" s="13" t="str">
        <x:v>Scheduled service and maintenance</x:v>
      </x:c>
      <x:c r="G132" s="13" t="str">
        <x:v>HUB</x:v>
      </x:c>
      <x:c r="H132" s="13" t="str">
        <x:v>https://digitecme.com/brands/mercedes-benz-service-dubai</x:v>
      </x:c>
      <x:c r="I132" s="13" t="str">
        <x:v>Service A/B and minor/major scope</x:v>
      </x:c>
      <x:c r="J132" s="13" t="str">
        <x:v>Relevant</x:v>
      </x:c>
      <x:c r="K132" s="13" t="str">
        <x:f>IF(J132="Hold","Hold",IF(J132="Conditional","Conditional",IF(E132&lt;='Sources'!$B$5,"Protect",IF(AND(E132&lt;='Sources'!$B$7,C132&gt;='Sources'!$B$6),"P1",IF(OR(E132&lt;='Sources'!$B$7,C132&gt;='Sources'!$B$8),"P2","P3")))))</x:f>
        <x:v>P2</x:v>
      </x:c>
      <x:c r="L132" s="16" t="n">
        <x:f>IF(J132="Hold","",MAX(0,E132-'Sources'!$B$5))</x:f>
        <x:v>14.29</x:v>
      </x:c>
      <x:c r="M132" s="13" t="str">
        <x:v>Use one service booking destination; explain scope and link oil-only work and informational schedules separately.</x:v>
      </x:c>
      <x:c r="N132" s="13" t="n">
        <x:v>129</x:v>
      </x:c>
    </x:row>
    <x:row r="133" ht="65" customHeight="1">
      <x:c r="A133" s="13" t="str">
        <x:v>mercedes service repair</x:v>
      </x:c>
      <x:c r="B133" s="17" t="n">
        <x:v>0</x:v>
      </x:c>
      <x:c r="C133" s="17" t="n">
        <x:v>7</x:v>
      </x:c>
      <x:c r="D133" s="18" t="n">
        <x:v>0</x:v>
      </x:c>
      <x:c r="E133" s="19" t="n">
        <x:v>20.29</x:v>
      </x:c>
      <x:c r="F133" s="13" t="str">
        <x:v>Scheduled service and maintenance</x:v>
      </x:c>
      <x:c r="G133" s="13" t="str">
        <x:v>HUB</x:v>
      </x:c>
      <x:c r="H133" s="13" t="str">
        <x:v>https://digitecme.com/brands/mercedes-benz-service-dubai</x:v>
      </x:c>
      <x:c r="I133" s="13" t="str">
        <x:v>Service A/B and minor/major scope</x:v>
      </x:c>
      <x:c r="J133" s="13" t="str">
        <x:v>Relevant</x:v>
      </x:c>
      <x:c r="K133" s="13" t="str">
        <x:f>IF(J133="Hold","Hold",IF(J133="Conditional","Conditional",IF(E133&lt;='Sources'!$B$5,"Protect",IF(AND(E133&lt;='Sources'!$B$7,C133&gt;='Sources'!$B$6),"P1",IF(OR(E133&lt;='Sources'!$B$7,C133&gt;='Sources'!$B$8),"P2","P3")))))</x:f>
        <x:v>P3</x:v>
      </x:c>
      <x:c r="L133" s="16" t="n">
        <x:f>IF(J133="Hold","",MAX(0,E133-'Sources'!$B$5))</x:f>
        <x:v>15.29</x:v>
      </x:c>
      <x:c r="M133" s="13" t="str">
        <x:v>Use one service booking destination; explain scope and link oil-only work and informational schedules separately.</x:v>
      </x:c>
      <x:c r="N133" s="13" t="n">
        <x:v>130</x:v>
      </x:c>
    </x:row>
    <x:row r="134" ht="65" customHeight="1">
      <x:c r="A134" s="13" t="str">
        <x:v>mercedes ppf</x:v>
      </x:c>
      <x:c r="B134" s="17" t="n">
        <x:v>0</x:v>
      </x:c>
      <x:c r="C134" s="17" t="n">
        <x:v>7</x:v>
      </x:c>
      <x:c r="D134" s="18" t="n">
        <x:v>0</x:v>
      </x:c>
      <x:c r="E134" s="19" t="n">
        <x:v>31.14</x:v>
      </x:c>
      <x:c r="F134" s="13" t="str">
        <x:v>Paint protection</x:v>
      </x:c>
      <x:c r="G134" s="13" t="str">
        <x:v>PPF</x:v>
      </x:c>
      <x:c r="H134" s="13" t="str">
        <x:v>https://digitecme.com/services/paint-protection-film</x:v>
      </x:c>
      <x:c r="I134" s="13" t="str">
        <x:v>Mercedes PPF examples</x:v>
      </x:c>
      <x:c r="J134" s="13" t="str">
        <x:v>Relevant</x:v>
      </x:c>
      <x:c r="K134" s="13" t="str">
        <x:f>IF(J134="Hold","Hold",IF(J134="Conditional","Conditional",IF(E134&lt;='Sources'!$B$5,"Protect",IF(AND(E134&lt;='Sources'!$B$7,C134&gt;='Sources'!$B$6),"P1",IF(OR(E134&lt;='Sources'!$B$7,C134&gt;='Sources'!$B$8),"P2","P3")))))</x:f>
        <x:v>P3</x:v>
      </x:c>
      <x:c r="L134" s="16" t="n">
        <x:f>IF(J134="Hold","",MAX(0,E134-'Sources'!$B$5))</x:f>
        <x:v>26.14</x:v>
      </x:c>
      <x:c r="M134" s="13" t="str">
        <x:v>Use the existing PPF page with verified Mercedes examples.</x:v>
      </x:c>
      <x:c r="N134" s="13" t="n">
        <x:v>131</x:v>
      </x:c>
    </x:row>
    <x:row r="135" ht="65" customHeight="1">
      <x:c r="A135" s="13" t="str">
        <x:v>mercedes aftersales</x:v>
      </x:c>
      <x:c r="B135" s="17" t="n">
        <x:v>0</x:v>
      </x:c>
      <x:c r="C135" s="17" t="n">
        <x:v>7</x:v>
      </x:c>
      <x:c r="D135" s="18" t="n">
        <x:v>0</x:v>
      </x:c>
      <x:c r="E135" s="19" t="n">
        <x:v>32.14</x:v>
      </x:c>
      <x:c r="F135" s="13" t="str">
        <x:v>Scheduled service and maintenance</x:v>
      </x:c>
      <x:c r="G135" s="13" t="str">
        <x:v>HUB</x:v>
      </x:c>
      <x:c r="H135" s="13" t="str">
        <x:v>https://digitecme.com/brands/mercedes-benz-service-dubai</x:v>
      </x:c>
      <x:c r="I135" s="13" t="str">
        <x:v>Service A/B and minor/major scope</x:v>
      </x:c>
      <x:c r="J135" s="13" t="str">
        <x:v>Relevant</x:v>
      </x:c>
      <x:c r="K135" s="13" t="str">
        <x:f>IF(J135="Hold","Hold",IF(J135="Conditional","Conditional",IF(E135&lt;='Sources'!$B$5,"Protect",IF(AND(E135&lt;='Sources'!$B$7,C135&gt;='Sources'!$B$6),"P1",IF(OR(E135&lt;='Sources'!$B$7,C135&gt;='Sources'!$B$8),"P2","P3")))))</x:f>
        <x:v>P3</x:v>
      </x:c>
      <x:c r="L135" s="16" t="n">
        <x:f>IF(J135="Hold","",MAX(0,E135-'Sources'!$B$5))</x:f>
        <x:v>27.14</x:v>
      </x:c>
      <x:c r="M135" s="13" t="str">
        <x:v>Use one service booking destination; explain scope and link oil-only work and informational schedules separately.</x:v>
      </x:c>
      <x:c r="N135" s="13" t="n">
        <x:v>132</x:v>
      </x:c>
    </x:row>
    <x:row r="136" ht="65" customHeight="1">
      <x:c r="A136" s="13" t="str">
        <x:v>mercedes tuning companies</x:v>
      </x:c>
      <x:c r="B136" s="17" t="n">
        <x:v>0</x:v>
      </x:c>
      <x:c r="C136" s="17" t="n">
        <x:v>7</x:v>
      </x:c>
      <x:c r="D136" s="18" t="n">
        <x:v>0</x:v>
      </x:c>
      <x:c r="E136" s="19" t="n">
        <x:v>42.71</x:v>
      </x:c>
      <x:c r="F136" s="13" t="str">
        <x:v>Performance tuning and GAD</x:v>
      </x:c>
      <x:c r="G136" s="13" t="str">
        <x:v>TUNE</x:v>
      </x:c>
      <x:c r="H136" s="13" t="str">
        <x:v>https://digitecme.com/tuning</x:v>
      </x:c>
      <x:c r="I136" s="13" t="str">
        <x:v>Mercedes-AMG tuning and verified projects</x:v>
      </x:c>
      <x:c r="J136" s="13" t="str">
        <x:v>Relevant</x:v>
      </x:c>
      <x:c r="K136" s="13" t="str">
        <x:f>IF(J136="Hold","Hold",IF(J136="Conditional","Conditional",IF(E136&lt;='Sources'!$B$5,"Protect",IF(AND(E136&lt;='Sources'!$B$7,C136&gt;='Sources'!$B$6),"P1",IF(OR(E136&lt;='Sources'!$B$7,C136&gt;='Sources'!$B$8),"P2","P3")))))</x:f>
        <x:v>P3</x:v>
      </x:c>
      <x:c r="L136" s="16" t="n">
        <x:f>IF(J136="Hold","",MAX(0,E136-'Sources'!$B$5))</x:f>
        <x:v>37.71</x:v>
      </x:c>
      <x:c r="M136" s="13" t="str">
        <x:v>Use the Mercedes section of the existing tuning page and relevant project evidence.</x:v>
      </x:c>
      <x:c r="N136" s="13" t="n">
        <x:v>133</x:v>
      </x:c>
    </x:row>
    <x:row r="137" ht="65" customHeight="1">
      <x:c r="A137" s="13" t="str">
        <x:v>mercedes upgrades</x:v>
      </x:c>
      <x:c r="B137" s="17" t="n">
        <x:v>0</x:v>
      </x:c>
      <x:c r="C137" s="17" t="n">
        <x:v>7</x:v>
      </x:c>
      <x:c r="D137" s="18" t="n">
        <x:v>0</x:v>
      </x:c>
      <x:c r="E137" s="19" t="n">
        <x:v>52.29</x:v>
      </x:c>
      <x:c r="F137" s="13" t="str">
        <x:v>Performance tuning and GAD</x:v>
      </x:c>
      <x:c r="G137" s="13" t="str">
        <x:v>TUNE</x:v>
      </x:c>
      <x:c r="H137" s="13" t="str">
        <x:v>https://digitecme.com/tuning</x:v>
      </x:c>
      <x:c r="I137" s="13" t="str">
        <x:v>Mercedes-AMG tuning and verified projects</x:v>
      </x:c>
      <x:c r="J137" s="13" t="str">
        <x:v>Relevant</x:v>
      </x:c>
      <x:c r="K137" s="13" t="str">
        <x:f>IF(J137="Hold","Hold",IF(J137="Conditional","Conditional",IF(E137&lt;='Sources'!$B$5,"Protect",IF(AND(E137&lt;='Sources'!$B$7,C137&gt;='Sources'!$B$6),"P1",IF(OR(E137&lt;='Sources'!$B$7,C137&gt;='Sources'!$B$8),"P2","P3")))))</x:f>
        <x:v>P3</x:v>
      </x:c>
      <x:c r="L137" s="16" t="n">
        <x:f>IF(J137="Hold","",MAX(0,E137-'Sources'!$B$5))</x:f>
        <x:v>47.29</x:v>
      </x:c>
      <x:c r="M137" s="13" t="str">
        <x:v>Use the Mercedes section of the existing tuning page and relevant project evidence.</x:v>
      </x:c>
      <x:c r="N137" s="13" t="n">
        <x:v>134</x:v>
      </x:c>
    </x:row>
    <x:row r="138" ht="65" customHeight="1">
      <x:c r="A138" s="13" t="str">
        <x:v>mercedes repairs in dubai</x:v>
      </x:c>
      <x:c r="B138" s="17" t="n">
        <x:v>0</x:v>
      </x:c>
      <x:c r="C138" s="17" t="n">
        <x:v>6</x:v>
      </x:c>
      <x:c r="D138" s="18" t="n">
        <x:v>0</x:v>
      </x:c>
      <x:c r="E138" s="19" t="n">
        <x:v>2</x:v>
      </x:c>
      <x:c r="F138" s="13" t="str">
        <x:v>General repair and workshop</x:v>
      </x:c>
      <x:c r="G138" s="13" t="str">
        <x:v>HUB</x:v>
      </x:c>
      <x:c r="H138" s="13" t="str">
        <x:v>https://digitecme.com/brands/mercedes-benz-service-dubai</x:v>
      </x:c>
      <x:c r="I138" s="13" t="str">
        <x:v>Workshop and booking</x:v>
      </x:c>
      <x:c r="J138" s="13" t="str">
        <x:v>Relevant</x:v>
      </x:c>
      <x:c r="K138" s="13" t="str">
        <x:f>IF(J138="Hold","Hold",IF(J138="Conditional","Conditional",IF(E138&lt;='Sources'!$B$5,"Protect",IF(AND(E138&lt;='Sources'!$B$7,C138&gt;='Sources'!$B$6),"P1",IF(OR(E138&lt;='Sources'!$B$7,C138&gt;='Sources'!$B$8),"P2","P3")))))</x:f>
        <x:v>Protect</x:v>
      </x:c>
      <x:c r="L138" s="16" t="n">
        <x:f>IF(J138="Hold","",MAX(0,E138-'Sources'!$B$5))</x:f>
        <x:v>0</x:v>
      </x:c>
      <x:c r="M138" s="13" t="str">
        <x:v>Use the main Mercedes page for broad repair, service, garage and specialist wording.</x:v>
      </x:c>
      <x:c r="N138" s="13" t="n">
        <x:v>135</x:v>
      </x:c>
    </x:row>
    <x:row r="139" ht="65" customHeight="1">
      <x:c r="A139" s="13" t="str">
        <x:v>mercedes benz b class service dubai</x:v>
      </x:c>
      <x:c r="B139" s="17" t="n">
        <x:v>0</x:v>
      </x:c>
      <x:c r="C139" s="17" t="n">
        <x:v>6</x:v>
      </x:c>
      <x:c r="D139" s="18" t="n">
        <x:v>0</x:v>
      </x:c>
      <x:c r="E139" s="19" t="n">
        <x:v>2.67</x:v>
      </x:c>
      <x:c r="F139" s="13" t="str">
        <x:v>Other Mercedes model service</x:v>
      </x:c>
      <x:c r="G139" s="13" t="str">
        <x:v>HUB</x:v>
      </x:c>
      <x:c r="H139" s="13" t="str">
        <x:v>https://digitecme.com/brands/mercedes-benz-service-dubai</x:v>
      </x:c>
      <x:c r="I139" s="13" t="str">
        <x:v>Models serviced</x:v>
      </x:c>
      <x:c r="J139" s="13" t="str">
        <x:v>Relevant</x:v>
      </x:c>
      <x:c r="K139" s="13" t="str">
        <x:f>IF(J139="Hold","Hold",IF(J139="Conditional","Conditional",IF(E139&lt;='Sources'!$B$5,"Protect",IF(AND(E139&lt;='Sources'!$B$7,C139&gt;='Sources'!$B$6),"P1",IF(OR(E139&lt;='Sources'!$B$7,C139&gt;='Sources'!$B$8),"P2","P3")))))</x:f>
        <x:v>Protect</x:v>
      </x:c>
      <x:c r="L139" s="16" t="n">
        <x:f>IF(J139="Hold","",MAX(0,E139-'Sources'!$B$5))</x:f>
        <x:v>0</x:v>
      </x:c>
      <x:c r="M139" s="13" t="str">
        <x:v>Use a confirmed model-family section on the hub initially. A dedicated family page needs service evidence and sustained demand; do not publish a thin page per variant.</x:v>
      </x:c>
      <x:c r="N139" s="13" t="n">
        <x:v>136</x:v>
      </x:c>
    </x:row>
    <x:row r="140" ht="65" customHeight="1">
      <x:c r="A140" s="13" t="str">
        <x:v>mercedes benz g65 amg service dubai</x:v>
      </x:c>
      <x:c r="B140" s="17" t="n">
        <x:v>0</x:v>
      </x:c>
      <x:c r="C140" s="17" t="n">
        <x:v>6</x:v>
      </x:c>
      <x:c r="D140" s="18" t="n">
        <x:v>0</x:v>
      </x:c>
      <x:c r="E140" s="19" t="n">
        <x:v>3.17</x:v>
      </x:c>
      <x:c r="F140" s="13" t="str">
        <x:v>Other Mercedes model service</x:v>
      </x:c>
      <x:c r="G140" s="13" t="str">
        <x:v>HUB</x:v>
      </x:c>
      <x:c r="H140" s="13" t="str">
        <x:v>https://digitecme.com/brands/mercedes-benz-service-dubai</x:v>
      </x:c>
      <x:c r="I140" s="13" t="str">
        <x:v>Models serviced</x:v>
      </x:c>
      <x:c r="J140" s="13" t="str">
        <x:v>Conditional</x:v>
      </x:c>
      <x:c r="K140" s="13" t="str">
        <x:f>IF(J140="Hold","Hold",IF(J140="Conditional","Conditional",IF(E140&lt;='Sources'!$B$5,"Protect",IF(AND(E140&lt;='Sources'!$B$7,C140&gt;='Sources'!$B$6),"P1",IF(OR(E140&lt;='Sources'!$B$7,C140&gt;='Sources'!$B$8),"P2","P3")))))</x:f>
        <x:v>Conditional</x:v>
      </x:c>
      <x:c r="L140" s="16" t="n">
        <x:f>IF(J140="Hold","",MAX(0,E140-'Sources'!$B$5))</x:f>
        <x:v>0</x:v>
      </x:c>
      <x:c r="M140" s="13" t="str">
        <x:v>Use a confirmed model-family section on the hub initially. A dedicated family page needs service evidence and sustained demand; do not publish a thin page per variant. Confirm exact classic, rare-model or van workshop coverage before making landing-page claims.</x:v>
      </x:c>
      <x:c r="N140" s="13" t="n">
        <x:v>137</x:v>
      </x:c>
    </x:row>
    <x:row r="141" ht="65" customHeight="1">
      <x:c r="A141" s="13" t="str">
        <x:v>mercedes gad</x:v>
      </x:c>
      <x:c r="B141" s="17" t="n">
        <x:v>0</x:v>
      </x:c>
      <x:c r="C141" s="17" t="n">
        <x:v>6</x:v>
      </x:c>
      <x:c r="D141" s="18" t="n">
        <x:v>0</x:v>
      </x:c>
      <x:c r="E141" s="19" t="n">
        <x:v>4.67</x:v>
      </x:c>
      <x:c r="F141" s="13" t="str">
        <x:v>Performance tuning and GAD</x:v>
      </x:c>
      <x:c r="G141" s="13" t="str">
        <x:v>TUNE</x:v>
      </x:c>
      <x:c r="H141" s="13" t="str">
        <x:v>https://digitecme.com/tuning</x:v>
      </x:c>
      <x:c r="I141" s="13" t="str">
        <x:v>Mercedes-AMG tuning and verified projects</x:v>
      </x:c>
      <x:c r="J141" s="13" t="str">
        <x:v>Relevant</x:v>
      </x:c>
      <x:c r="K141" s="13" t="str">
        <x:f>IF(J141="Hold","Hold",IF(J141="Conditional","Conditional",IF(E141&lt;='Sources'!$B$5,"Protect",IF(AND(E141&lt;='Sources'!$B$7,C141&gt;='Sources'!$B$6),"P1",IF(OR(E141&lt;='Sources'!$B$7,C141&gt;='Sources'!$B$8),"P2","P3")))))</x:f>
        <x:v>Protect</x:v>
      </x:c>
      <x:c r="L141" s="16" t="n">
        <x:f>IF(J141="Hold","",MAX(0,E141-'Sources'!$B$5))</x:f>
        <x:v>0</x:v>
      </x:c>
      <x:c r="M141" s="13" t="str">
        <x:v>Use the Mercedes section of the existing tuning page and relevant project evidence.</x:v>
      </x:c>
      <x:c r="N141" s="13" t="n">
        <x:v>138</x:v>
      </x:c>
    </x:row>
    <x:row r="142" ht="65" customHeight="1">
      <x:c r="A142" s="13" t="str">
        <x:v>mercedes benz clk class service dubai</x:v>
      </x:c>
      <x:c r="B142" s="17" t="n">
        <x:v>0</x:v>
      </x:c>
      <x:c r="C142" s="17" t="n">
        <x:v>6</x:v>
      </x:c>
      <x:c r="D142" s="18" t="n">
        <x:v>0</x:v>
      </x:c>
      <x:c r="E142" s="19" t="n">
        <x:v>5.5</x:v>
      </x:c>
      <x:c r="F142" s="13" t="str">
        <x:v>Other Mercedes model service</x:v>
      </x:c>
      <x:c r="G142" s="13" t="str">
        <x:v>HUB</x:v>
      </x:c>
      <x:c r="H142" s="13" t="str">
        <x:v>https://digitecme.com/brands/mercedes-benz-service-dubai</x:v>
      </x:c>
      <x:c r="I142" s="13" t="str">
        <x:v>Models serviced</x:v>
      </x:c>
      <x:c r="J142" s="13" t="str">
        <x:v>Relevant</x:v>
      </x:c>
      <x:c r="K142" s="13" t="str">
        <x:f>IF(J142="Hold","Hold",IF(J142="Conditional","Conditional",IF(E142&lt;='Sources'!$B$5,"Protect",IF(AND(E142&lt;='Sources'!$B$7,C142&gt;='Sources'!$B$6),"P1",IF(OR(E142&lt;='Sources'!$B$7,C142&gt;='Sources'!$B$8),"P2","P3")))))</x:f>
        <x:v>P2</x:v>
      </x:c>
      <x:c r="L142" s="16" t="n">
        <x:f>IF(J142="Hold","",MAX(0,E142-'Sources'!$B$5))</x:f>
        <x:v>0.5</x:v>
      </x:c>
      <x:c r="M142" s="13" t="str">
        <x:v>Use a confirmed model-family section on the hub initially. A dedicated family page needs service evidence and sustained demand; do not publish a thin page per variant.</x:v>
      </x:c>
      <x:c r="N142" s="13" t="n">
        <x:v>139</x:v>
      </x:c>
    </x:row>
    <x:row r="143" ht="65" customHeight="1">
      <x:c r="A143" s="13" t="str">
        <x:v>mercedes benz dubai service center</x:v>
      </x:c>
      <x:c r="B143" s="17" t="n">
        <x:v>0</x:v>
      </x:c>
      <x:c r="C143" s="17" t="n">
        <x:v>6</x:v>
      </x:c>
      <x:c r="D143" s="18" t="n">
        <x:v>0</x:v>
      </x:c>
      <x:c r="E143" s="19" t="n">
        <x:v>10.33</x:v>
      </x:c>
      <x:c r="F143" s="13" t="str">
        <x:v>Scheduled service and maintenance</x:v>
      </x:c>
      <x:c r="G143" s="13" t="str">
        <x:v>HUB</x:v>
      </x:c>
      <x:c r="H143" s="13" t="str">
        <x:v>https://digitecme.com/brands/mercedes-benz-service-dubai</x:v>
      </x:c>
      <x:c r="I143" s="13" t="str">
        <x:v>Service A/B and minor/major scope</x:v>
      </x:c>
      <x:c r="J143" s="13" t="str">
        <x:v>Relevant</x:v>
      </x:c>
      <x:c r="K143" s="13" t="str">
        <x:f>IF(J143="Hold","Hold",IF(J143="Conditional","Conditional",IF(E143&lt;='Sources'!$B$5,"Protect",IF(AND(E143&lt;='Sources'!$B$7,C143&gt;='Sources'!$B$6),"P1",IF(OR(E143&lt;='Sources'!$B$7,C143&gt;='Sources'!$B$8),"P2","P3")))))</x:f>
        <x:v>P2</x:v>
      </x:c>
      <x:c r="L143" s="16" t="n">
        <x:f>IF(J143="Hold","",MAX(0,E143-'Sources'!$B$5))</x:f>
        <x:v>5.33</x:v>
      </x:c>
      <x:c r="M143" s="13" t="str">
        <x:v>Use one service booking destination; explain scope and link oil-only work and informational schedules separately.</x:v>
      </x:c>
      <x:c r="N143" s="13" t="n">
        <x:v>140</x:v>
      </x:c>
    </x:row>
    <x:row r="144" ht="65" customHeight="1">
      <x:c r="A144" s="13" t="str">
        <x:v>mercedes benz glc class coupe service dubai</x:v>
      </x:c>
      <x:c r="B144" s="17" t="n">
        <x:v>0</x:v>
      </x:c>
      <x:c r="C144" s="17" t="n">
        <x:v>6</x:v>
      </x:c>
      <x:c r="D144" s="18" t="n">
        <x:v>0</x:v>
      </x:c>
      <x:c r="E144" s="19" t="n">
        <x:v>14.5</x:v>
      </x:c>
      <x:c r="F144" s="13" t="str">
        <x:v>Other Mercedes model service</x:v>
      </x:c>
      <x:c r="G144" s="13" t="str">
        <x:v>HUB</x:v>
      </x:c>
      <x:c r="H144" s="13" t="str">
        <x:v>https://digitecme.com/brands/mercedes-benz-service-dubai</x:v>
      </x:c>
      <x:c r="I144" s="13" t="str">
        <x:v>Models serviced</x:v>
      </x:c>
      <x:c r="J144" s="13" t="str">
        <x:v>Relevant</x:v>
      </x:c>
      <x:c r="K144" s="13" t="str">
        <x:f>IF(J144="Hold","Hold",IF(J144="Conditional","Conditional",IF(E144&lt;='Sources'!$B$5,"Protect",IF(AND(E144&lt;='Sources'!$B$7,C144&gt;='Sources'!$B$6),"P1",IF(OR(E144&lt;='Sources'!$B$7,C144&gt;='Sources'!$B$8),"P2","P3")))))</x:f>
        <x:v>P2</x:v>
      </x:c>
      <x:c r="L144" s="16" t="n">
        <x:f>IF(J144="Hold","",MAX(0,E144-'Sources'!$B$5))</x:f>
        <x:v>9.5</x:v>
      </x:c>
      <x:c r="M144" s="13" t="str">
        <x:v>Use a confirmed model-family section on the hub initially. A dedicated family page needs service evidence and sustained demand; do not publish a thin page per variant.</x:v>
      </x:c>
      <x:c r="N144" s="13" t="n">
        <x:v>141</x:v>
      </x:c>
    </x:row>
    <x:row r="145" ht="65" customHeight="1">
      <x:c r="A145" s="13" t="str">
        <x:v>mercedes benz 560 service dubai</x:v>
      </x:c>
      <x:c r="B145" s="17" t="n">
        <x:v>0</x:v>
      </x:c>
      <x:c r="C145" s="17" t="n">
        <x:v>6</x:v>
      </x:c>
      <x:c r="D145" s="18" t="n">
        <x:v>0</x:v>
      </x:c>
      <x:c r="E145" s="19" t="n">
        <x:v>18</x:v>
      </x:c>
      <x:c r="F145" s="13" t="str">
        <x:v>Other Mercedes model service</x:v>
      </x:c>
      <x:c r="G145" s="13" t="str">
        <x:v>HUB</x:v>
      </x:c>
      <x:c r="H145" s="13" t="str">
        <x:v>https://digitecme.com/brands/mercedes-benz-service-dubai</x:v>
      </x:c>
      <x:c r="I145" s="13" t="str">
        <x:v>Models serviced</x:v>
      </x:c>
      <x:c r="J145" s="13" t="str">
        <x:v>Conditional</x:v>
      </x:c>
      <x:c r="K145" s="13" t="str">
        <x:f>IF(J145="Hold","Hold",IF(J145="Conditional","Conditional",IF(E145&lt;='Sources'!$B$5,"Protect",IF(AND(E145&lt;='Sources'!$B$7,C145&gt;='Sources'!$B$6),"P1",IF(OR(E145&lt;='Sources'!$B$7,C145&gt;='Sources'!$B$8),"P2","P3")))))</x:f>
        <x:v>Conditional</x:v>
      </x:c>
      <x:c r="L145" s="16" t="n">
        <x:f>IF(J145="Hold","",MAX(0,E145-'Sources'!$B$5))</x:f>
        <x:v>13</x:v>
      </x:c>
      <x:c r="M145" s="13" t="str">
        <x:v>Use a confirmed model-family section on the hub initially. A dedicated family page needs service evidence and sustained demand; do not publish a thin page per variant. Confirm exact classic, rare-model or van workshop coverage before making landing-page claims.</x:v>
      </x:c>
      <x:c r="N145" s="13" t="n">
        <x:v>142</x:v>
      </x:c>
    </x:row>
    <x:row r="146" ht="65" customHeight="1">
      <x:c r="A146" s="13" t="str">
        <x:v>mercedes benz a45 amg service dubai</x:v>
      </x:c>
      <x:c r="B146" s="17" t="n">
        <x:v>0</x:v>
      </x:c>
      <x:c r="C146" s="17" t="n">
        <x:v>6</x:v>
      </x:c>
      <x:c r="D146" s="18" t="n">
        <x:v>0</x:v>
      </x:c>
      <x:c r="E146" s="19" t="n">
        <x:v>18</x:v>
      </x:c>
      <x:c r="F146" s="13" t="str">
        <x:v>Other Mercedes model service</x:v>
      </x:c>
      <x:c r="G146" s="13" t="str">
        <x:v>HUB</x:v>
      </x:c>
      <x:c r="H146" s="13" t="str">
        <x:v>https://digitecme.com/brands/mercedes-benz-service-dubai</x:v>
      </x:c>
      <x:c r="I146" s="13" t="str">
        <x:v>Models serviced</x:v>
      </x:c>
      <x:c r="J146" s="13" t="str">
        <x:v>Relevant</x:v>
      </x:c>
      <x:c r="K146" s="13" t="str">
        <x:f>IF(J146="Hold","Hold",IF(J146="Conditional","Conditional",IF(E146&lt;='Sources'!$B$5,"Protect",IF(AND(E146&lt;='Sources'!$B$7,C146&gt;='Sources'!$B$6),"P1",IF(OR(E146&lt;='Sources'!$B$7,C146&gt;='Sources'!$B$8),"P2","P3")))))</x:f>
        <x:v>P2</x:v>
      </x:c>
      <x:c r="L146" s="16" t="n">
        <x:f>IF(J146="Hold","",MAX(0,E146-'Sources'!$B$5))</x:f>
        <x:v>13</x:v>
      </x:c>
      <x:c r="M146" s="13" t="str">
        <x:v>Use a confirmed model-family section on the hub initially. A dedicated family page needs service evidence and sustained demand; do not publish a thin page per variant.</x:v>
      </x:c>
      <x:c r="N146" s="13" t="n">
        <x:v>143</x:v>
      </x:c>
    </x:row>
    <x:row r="147" ht="65" customHeight="1">
      <x:c r="A147" s="13" t="str">
        <x:v>mercedes amg tuning</x:v>
      </x:c>
      <x:c r="B147" s="17" t="n">
        <x:v>0</x:v>
      </x:c>
      <x:c r="C147" s="17" t="n">
        <x:v>6</x:v>
      </x:c>
      <x:c r="D147" s="18" t="n">
        <x:v>0</x:v>
      </x:c>
      <x:c r="E147" s="19" t="n">
        <x:v>20</x:v>
      </x:c>
      <x:c r="F147" s="13" t="str">
        <x:v>Performance tuning and GAD</x:v>
      </x:c>
      <x:c r="G147" s="13" t="str">
        <x:v>TUNE</x:v>
      </x:c>
      <x:c r="H147" s="13" t="str">
        <x:v>https://digitecme.com/tuning</x:v>
      </x:c>
      <x:c r="I147" s="13" t="str">
        <x:v>Mercedes-AMG tuning and verified projects</x:v>
      </x:c>
      <x:c r="J147" s="13" t="str">
        <x:v>Relevant</x:v>
      </x:c>
      <x:c r="K147" s="13" t="str">
        <x:f>IF(J147="Hold","Hold",IF(J147="Conditional","Conditional",IF(E147&lt;='Sources'!$B$5,"Protect",IF(AND(E147&lt;='Sources'!$B$7,C147&gt;='Sources'!$B$6),"P1",IF(OR(E147&lt;='Sources'!$B$7,C147&gt;='Sources'!$B$8),"P2","P3")))))</x:f>
        <x:v>P2</x:v>
      </x:c>
      <x:c r="L147" s="16" t="n">
        <x:f>IF(J147="Hold","",MAX(0,E147-'Sources'!$B$5))</x:f>
        <x:v>15</x:v>
      </x:c>
      <x:c r="M147" s="13" t="str">
        <x:v>Use the Mercedes section of the existing tuning page and relevant project evidence.</x:v>
      </x:c>
      <x:c r="N147" s="13" t="n">
        <x:v>144</x:v>
      </x:c>
    </x:row>
    <x:row r="148" ht="65" customHeight="1">
      <x:c r="A148" s="13" t="str">
        <x:v>mercedes benz 240 service dubai</x:v>
      </x:c>
      <x:c r="B148" s="17" t="n">
        <x:v>0</x:v>
      </x:c>
      <x:c r="C148" s="17" t="n">
        <x:v>6</x:v>
      </x:c>
      <x:c r="D148" s="18" t="n">
        <x:v>0</x:v>
      </x:c>
      <x:c r="E148" s="19" t="n">
        <x:v>24.17</x:v>
      </x:c>
      <x:c r="F148" s="13" t="str">
        <x:v>Other Mercedes model service</x:v>
      </x:c>
      <x:c r="G148" s="13" t="str">
        <x:v>HUB</x:v>
      </x:c>
      <x:c r="H148" s="13" t="str">
        <x:v>https://digitecme.com/brands/mercedes-benz-service-dubai</x:v>
      </x:c>
      <x:c r="I148" s="13" t="str">
        <x:v>Models serviced</x:v>
      </x:c>
      <x:c r="J148" s="13" t="str">
        <x:v>Conditional</x:v>
      </x:c>
      <x:c r="K148" s="13" t="str">
        <x:f>IF(J148="Hold","Hold",IF(J148="Conditional","Conditional",IF(E148&lt;='Sources'!$B$5,"Protect",IF(AND(E148&lt;='Sources'!$B$7,C148&gt;='Sources'!$B$6),"P1",IF(OR(E148&lt;='Sources'!$B$7,C148&gt;='Sources'!$B$8),"P2","P3")))))</x:f>
        <x:v>Conditional</x:v>
      </x:c>
      <x:c r="L148" s="16" t="n">
        <x:f>IF(J148="Hold","",MAX(0,E148-'Sources'!$B$5))</x:f>
        <x:v>19.17</x:v>
      </x:c>
      <x:c r="M148" s="13" t="str">
        <x:v>Use a confirmed model-family section on the hub initially. A dedicated family page needs service evidence and sustained demand; do not publish a thin page per variant. Confirm exact classic, rare-model or van workshop coverage before making landing-page claims.</x:v>
      </x:c>
      <x:c r="N148" s="13" t="n">
        <x:v>145</x:v>
      </x:c>
    </x:row>
    <x:row r="149" ht="65" customHeight="1">
      <x:c r="A149" s="13" t="str">
        <x:v>mercedes oil change in dubai</x:v>
      </x:c>
      <x:c r="B149" s="17" t="n">
        <x:v>0</x:v>
      </x:c>
      <x:c r="C149" s="17" t="n">
        <x:v>6</x:v>
      </x:c>
      <x:c r="D149" s="18" t="n">
        <x:v>0</x:v>
      </x:c>
      <x:c r="E149" s="19" t="n">
        <x:v>24.33</x:v>
      </x:c>
      <x:c r="F149" s="13" t="str">
        <x:v>Oil change</x:v>
      </x:c>
      <x:c r="G149" s="13" t="str">
        <x:v>OIL</x:v>
      </x:c>
      <x:c r="H149" s="13" t="str">
        <x:v>https://digitecme.com/services/mercedes-oil-change-dubai</x:v>
      </x:c>
      <x:c r="I149" s="13" t="str">
        <x:v>Oil/filter scope and vehicle specification</x:v>
      </x:c>
      <x:c r="J149" s="13" t="str">
        <x:v>Relevant</x:v>
      </x:c>
      <x:c r="K149" s="13" t="str">
        <x:f>IF(J149="Hold","Hold",IF(J149="Conditional","Conditional",IF(E149&lt;='Sources'!$B$5,"Protect",IF(AND(E149&lt;='Sources'!$B$7,C149&gt;='Sources'!$B$6),"P1",IF(OR(E149&lt;='Sources'!$B$7,C149&gt;='Sources'!$B$8),"P2","P3")))))</x:f>
        <x:v>P3</x:v>
      </x:c>
      <x:c r="L149" s="16" t="n">
        <x:f>IF(J149="Hold","",MAX(0,E149-'Sources'!$B$5))</x:f>
        <x:v>19.33</x:v>
      </x:c>
      <x:c r="M149" s="13" t="str">
        <x:v>Keep oil-only intent here and broader Service A/B intent on the hub.</x:v>
      </x:c>
      <x:c r="N149" s="13" t="n">
        <x:v>146</x:v>
      </x:c>
    </x:row>
    <x:row r="150" ht="65" customHeight="1">
      <x:c r="A150" s="13" t="str">
        <x:v>mercedes benz repair near me</x:v>
      </x:c>
      <x:c r="B150" s="17" t="n">
        <x:v>0</x:v>
      </x:c>
      <x:c r="C150" s="17" t="n">
        <x:v>6</x:v>
      </x:c>
      <x:c r="D150" s="18" t="n">
        <x:v>0</x:v>
      </x:c>
      <x:c r="E150" s="19" t="n">
        <x:v>30.83</x:v>
      </x:c>
      <x:c r="F150" s="13" t="str">
        <x:v>General repair and workshop</x:v>
      </x:c>
      <x:c r="G150" s="13" t="str">
        <x:v>HUB</x:v>
      </x:c>
      <x:c r="H150" s="13" t="str">
        <x:v>https://digitecme.com/brands/mercedes-benz-service-dubai</x:v>
      </x:c>
      <x:c r="I150" s="13" t="str">
        <x:v>Workshop and booking</x:v>
      </x:c>
      <x:c r="J150" s="13" t="str">
        <x:v>Relevant</x:v>
      </x:c>
      <x:c r="K150" s="13" t="str">
        <x:f>IF(J150="Hold","Hold",IF(J150="Conditional","Conditional",IF(E150&lt;='Sources'!$B$5,"Protect",IF(AND(E150&lt;='Sources'!$B$7,C150&gt;='Sources'!$B$6),"P1",IF(OR(E150&lt;='Sources'!$B$7,C150&gt;='Sources'!$B$8),"P2","P3")))))</x:f>
        <x:v>P3</x:v>
      </x:c>
      <x:c r="L150" s="16" t="n">
        <x:f>IF(J150="Hold","",MAX(0,E150-'Sources'!$B$5))</x:f>
        <x:v>25.83</x:v>
      </x:c>
      <x:c r="M150" s="13" t="str">
        <x:v>Use the main Mercedes page for broad repair, service, garage and specialist wording. Include accurate Al Quoz location and Business Profile links; proximity varies by searcher.</x:v>
      </x:c>
      <x:c r="N150" s="13" t="n">
        <x:v>147</x:v>
      </x:c>
    </x:row>
    <x:row r="151" ht="65" customHeight="1">
      <x:c r="A151" s="13" t="str">
        <x:v>mercedes ecu</x:v>
      </x:c>
      <x:c r="B151" s="17" t="n">
        <x:v>0</x:v>
      </x:c>
      <x:c r="C151" s="17" t="n">
        <x:v>6</x:v>
      </x:c>
      <x:c r="D151" s="18" t="n">
        <x:v>0</x:v>
      </x:c>
      <x:c r="E151" s="19" t="n">
        <x:v>42.17</x:v>
      </x:c>
      <x:c r="F151" s="13" t="str">
        <x:v>Electrical and ECU faults</x:v>
      </x:c>
      <x:c r="G151" s="13" t="str">
        <x:v>ELEC</x:v>
      </x:c>
      <x:c r="H151" s="13" t="str">
        <x:v>https://digitecme.com/services/mercedes-electrical-repair-dubai</x:v>
      </x:c>
      <x:c r="I151" s="13" t="str">
        <x:v>Electrical testing and module assessment</x:v>
      </x:c>
      <x:c r="J151" s="13" t="str">
        <x:v>Relevant</x:v>
      </x:c>
      <x:c r="K151" s="13" t="str">
        <x:f>IF(J151="Hold","Hold",IF(J151="Conditional","Conditional",IF(E151&lt;='Sources'!$B$5,"Protect",IF(AND(E151&lt;='Sources'!$B$7,C151&gt;='Sources'!$B$6),"P1",IF(OR(E151&lt;='Sources'!$B$7,C151&gt;='Sources'!$B$8),"P2","P3")))))</x:f>
        <x:v>P3</x:v>
      </x:c>
      <x:c r="L151" s="16" t="n">
        <x:f>IF(J151="Hold","",MAX(0,E151-'Sources'!$B$5))</x:f>
        <x:v>37.17</x:v>
      </x:c>
      <x:c r="M151" s="13" t="str">
        <x:v>Distinguish hardware/electrical repair from module coding and ECU tuning.</x:v>
      </x:c>
      <x:c r="N151" s="13" t="n">
        <x:v>148</x:v>
      </x:c>
    </x:row>
    <x:row r="152" ht="65" customHeight="1">
      <x:c r="A152" s="13" t="str">
        <x:v>mercedes benz auto repair</x:v>
      </x:c>
      <x:c r="B152" s="17" t="n">
        <x:v>0</x:v>
      </x:c>
      <x:c r="C152" s="17" t="n">
        <x:v>6</x:v>
      </x:c>
      <x:c r="D152" s="18" t="n">
        <x:v>0</x:v>
      </x:c>
      <x:c r="E152" s="19" t="n">
        <x:v>49.17</x:v>
      </x:c>
      <x:c r="F152" s="13" t="str">
        <x:v>General repair and workshop</x:v>
      </x:c>
      <x:c r="G152" s="13" t="str">
        <x:v>HUB</x:v>
      </x:c>
      <x:c r="H152" s="13" t="str">
        <x:v>https://digitecme.com/brands/mercedes-benz-service-dubai</x:v>
      </x:c>
      <x:c r="I152" s="13" t="str">
        <x:v>Workshop and booking</x:v>
      </x:c>
      <x:c r="J152" s="13" t="str">
        <x:v>Relevant</x:v>
      </x:c>
      <x:c r="K152" s="13" t="str">
        <x:f>IF(J152="Hold","Hold",IF(J152="Conditional","Conditional",IF(E152&lt;='Sources'!$B$5,"Protect",IF(AND(E152&lt;='Sources'!$B$7,C152&gt;='Sources'!$B$6),"P1",IF(OR(E152&lt;='Sources'!$B$7,C152&gt;='Sources'!$B$8),"P2","P3")))))</x:f>
        <x:v>P3</x:v>
      </x:c>
      <x:c r="L152" s="16" t="n">
        <x:f>IF(J152="Hold","",MAX(0,E152-'Sources'!$B$5))</x:f>
        <x:v>44.17</x:v>
      </x:c>
      <x:c r="M152" s="13" t="str">
        <x:v>Use the main Mercedes page for broad repair, service, garage and specialist wording.</x:v>
      </x:c>
      <x:c r="N152" s="13" t="n">
        <x:v>149</x:v>
      </x:c>
    </x:row>
    <x:row r="153" ht="65" customHeight="1">
      <x:c r="A153" s="13" t="str">
        <x:v>mercedes bodyshop</x:v>
      </x:c>
      <x:c r="B153" s="17" t="n">
        <x:v>0</x:v>
      </x:c>
      <x:c r="C153" s="17" t="n">
        <x:v>6</x:v>
      </x:c>
      <x:c r="D153" s="18" t="n">
        <x:v>0</x:v>
      </x:c>
      <x:c r="E153" s="19" t="n">
        <x:v>50</x:v>
      </x:c>
      <x:c r="F153" s="13" t="str">
        <x:v>Body repair</x:v>
      </x:c>
      <x:c r="G153" s="13" t="str">
        <x:v>BODY</x:v>
      </x:c>
      <x:c r="H153" s="13" t="str">
        <x:v>https://digitecme.com/services/mercedes-body-repair-dubai</x:v>
      </x:c>
      <x:c r="I153" s="13" t="str">
        <x:v>Body shop and paintwork scope</x:v>
      </x:c>
      <x:c r="J153" s="13" t="str">
        <x:v>Relevant</x:v>
      </x:c>
      <x:c r="K153" s="13" t="str">
        <x:f>IF(J153="Hold","Hold",IF(J153="Conditional","Conditional",IF(E153&lt;='Sources'!$B$5,"Protect",IF(AND(E153&lt;='Sources'!$B$7,C153&gt;='Sources'!$B$6),"P1",IF(OR(E153&lt;='Sources'!$B$7,C153&gt;='Sources'!$B$8),"P2","P3")))))</x:f>
        <x:v>P3</x:v>
      </x:c>
      <x:c r="L153" s="16" t="n">
        <x:f>IF(J153="Hold","",MAX(0,E153-'Sources'!$B$5))</x:f>
        <x:v>45</x:v>
      </x:c>
      <x:c r="M153" s="13" t="str">
        <x:v>Show original repair evidence and genuine workshop capability.</x:v>
      </x:c>
      <x:c r="N153" s="13" t="n">
        <x:v>150</x:v>
      </x:c>
    </x:row>
    <x:row r="154" ht="65" customHeight="1">
      <x:c r="A154" s="13" t="str">
        <x:v>mercedes benz body shop</x:v>
      </x:c>
      <x:c r="B154" s="17" t="n">
        <x:v>0</x:v>
      </x:c>
      <x:c r="C154" s="17" t="n">
        <x:v>6</x:v>
      </x:c>
      <x:c r="D154" s="18" t="n">
        <x:v>0</x:v>
      </x:c>
      <x:c r="E154" s="19" t="n">
        <x:v>71.83</x:v>
      </x:c>
      <x:c r="F154" s="13" t="str">
        <x:v>Body repair</x:v>
      </x:c>
      <x:c r="G154" s="13" t="str">
        <x:v>BODY</x:v>
      </x:c>
      <x:c r="H154" s="13" t="str">
        <x:v>https://digitecme.com/services/mercedes-body-repair-dubai</x:v>
      </x:c>
      <x:c r="I154" s="13" t="str">
        <x:v>Body shop and paintwork scope</x:v>
      </x:c>
      <x:c r="J154" s="13" t="str">
        <x:v>Relevant</x:v>
      </x:c>
      <x:c r="K154" s="13" t="str">
        <x:f>IF(J154="Hold","Hold",IF(J154="Conditional","Conditional",IF(E154&lt;='Sources'!$B$5,"Protect",IF(AND(E154&lt;='Sources'!$B$7,C154&gt;='Sources'!$B$6),"P1",IF(OR(E154&lt;='Sources'!$B$7,C154&gt;='Sources'!$B$8),"P2","P3")))))</x:f>
        <x:v>P3</x:v>
      </x:c>
      <x:c r="L154" s="16" t="n">
        <x:f>IF(J154="Hold","",MAX(0,E154-'Sources'!$B$5))</x:f>
        <x:v>66.83</x:v>
      </x:c>
      <x:c r="M154" s="13" t="str">
        <x:v>Show original repair evidence and genuine workshop capability.</x:v>
      </x:c>
      <x:c r="N154" s="13" t="n">
        <x:v>151</x:v>
      </x:c>
    </x:row>
    <x:row r="155" ht="65" customHeight="1">
      <x:c r="A155" s="13" t="str">
        <x:v>mercedes benz e350 service dubai</x:v>
      </x:c>
      <x:c r="B155" s="17" t="n">
        <x:v>0</x:v>
      </x:c>
      <x:c r="C155" s="17" t="n">
        <x:v>5</x:v>
      </x:c>
      <x:c r="D155" s="18" t="n">
        <x:v>0</x:v>
      </x:c>
      <x:c r="E155" s="19" t="n">
        <x:v>2.4</x:v>
      </x:c>
      <x:c r="F155" s="13" t="str">
        <x:v>E-Class model service</x:v>
      </x:c>
      <x:c r="G155" s="13" t="str">
        <x:v>ECLASS</x:v>
      </x:c>
      <x:c r="H155" s="13" t="str">
        <x:v>https://digitecme.com/blog/mercedes-e-class-service-dubai-guide</x:v>
      </x:c>
      <x:c r="I155" s="13" t="str">
        <x:v>E-Class variants</x:v>
      </x:c>
      <x:c r="J155" s="13" t="str">
        <x:v>Relevant</x:v>
      </x:c>
      <x:c r="K155" s="13" t="str">
        <x:f>IF(J155="Hold","Hold",IF(J155="Conditional","Conditional",IF(E155&lt;='Sources'!$B$5,"Protect",IF(AND(E155&lt;='Sources'!$B$7,C155&gt;='Sources'!$B$6),"P1",IF(OR(E155&lt;='Sources'!$B$7,C155&gt;='Sources'!$B$8),"P2","P3")))))</x:f>
        <x:v>Protect</x:v>
      </x:c>
      <x:c r="L155" s="16" t="n">
        <x:f>IF(J155="Hold","",MAX(0,E155-'Sources'!$B$5))</x:f>
        <x:v>0</x:v>
      </x:c>
      <x:c r="M155" s="13" t="str">
        <x:v>Group relevant E-Class variants here; verify older E55 and coupe/cabriolet scope. E63 stays separate.</x:v>
      </x:c>
      <x:c r="N155" s="13" t="n">
        <x:v>152</x:v>
      </x:c>
    </x:row>
    <x:row r="156" ht="65" customHeight="1">
      <x:c r="A156" s="13" t="str">
        <x:v>mercedes benz e class service dubai</x:v>
      </x:c>
      <x:c r="B156" s="17" t="n">
        <x:v>0</x:v>
      </x:c>
      <x:c r="C156" s="17" t="n">
        <x:v>5</x:v>
      </x:c>
      <x:c r="D156" s="18" t="n">
        <x:v>0</x:v>
      </x:c>
      <x:c r="E156" s="19" t="n">
        <x:v>3</x:v>
      </x:c>
      <x:c r="F156" s="13" t="str">
        <x:v>E-Class model service</x:v>
      </x:c>
      <x:c r="G156" s="13" t="str">
        <x:v>ECLASS</x:v>
      </x:c>
      <x:c r="H156" s="13" t="str">
        <x:v>https://digitecme.com/blog/mercedes-e-class-service-dubai-guide</x:v>
      </x:c>
      <x:c r="I156" s="13" t="str">
        <x:v>E-Class variants</x:v>
      </x:c>
      <x:c r="J156" s="13" t="str">
        <x:v>Relevant</x:v>
      </x:c>
      <x:c r="K156" s="13" t="str">
        <x:f>IF(J156="Hold","Hold",IF(J156="Conditional","Conditional",IF(E156&lt;='Sources'!$B$5,"Protect",IF(AND(E156&lt;='Sources'!$B$7,C156&gt;='Sources'!$B$6),"P1",IF(OR(E156&lt;='Sources'!$B$7,C156&gt;='Sources'!$B$8),"P2","P3")))))</x:f>
        <x:v>Protect</x:v>
      </x:c>
      <x:c r="L156" s="16" t="n">
        <x:f>IF(J156="Hold","",MAX(0,E156-'Sources'!$B$5))</x:f>
        <x:v>0</x:v>
      </x:c>
      <x:c r="M156" s="13" t="str">
        <x:v>Group relevant E-Class variants here; verify older E55 and coupe/cabriolet scope. E63 stays separate.</x:v>
      </x:c>
      <x:c r="N156" s="13" t="n">
        <x:v>153</x:v>
      </x:c>
    </x:row>
    <x:row r="157" ht="65" customHeight="1">
      <x:c r="A157" s="13" t="str">
        <x:v>mercedes benz c class service dubai</x:v>
      </x:c>
      <x:c r="B157" s="17" t="n">
        <x:v>0</x:v>
      </x:c>
      <x:c r="C157" s="17" t="n">
        <x:v>5</x:v>
      </x:c>
      <x:c r="D157" s="18" t="n">
        <x:v>0</x:v>
      </x:c>
      <x:c r="E157" s="19" t="n">
        <x:v>3.6</x:v>
      </x:c>
      <x:c r="F157" s="13" t="str">
        <x:v>C-Class model service</x:v>
      </x:c>
      <x:c r="G157" s="13" t="str">
        <x:v>CCLASS</x:v>
      </x:c>
      <x:c r="H157" s="13" t="str">
        <x:v>https://digitecme.com/blog/mercedes-c-class-service-dubai-guide</x:v>
      </x:c>
      <x:c r="I157" s="13" t="str">
        <x:v>C-Class variants</x:v>
      </x:c>
      <x:c r="J157" s="13" t="str">
        <x:v>Relevant</x:v>
      </x:c>
      <x:c r="K157" s="13" t="str">
        <x:f>IF(J157="Hold","Hold",IF(J157="Conditional","Conditional",IF(E157&lt;='Sources'!$B$5,"Protect",IF(AND(E157&lt;='Sources'!$B$7,C157&gt;='Sources'!$B$6),"P1",IF(OR(E157&lt;='Sources'!$B$7,C157&gt;='Sources'!$B$8),"P2","P3")))))</x:f>
        <x:v>Protect</x:v>
      </x:c>
      <x:c r="L157" s="16" t="n">
        <x:f>IF(J157="Hold","",MAX(0,E157-'Sources'!$B$5))</x:f>
        <x:v>0</x:v>
      </x:c>
      <x:c r="M157" s="13" t="str">
        <x:v>Add applicable C200/C240/C300/C43/coupe detail only when confirmed; C63 stays separate.</x:v>
      </x:c>
      <x:c r="N157" s="13" t="n">
        <x:v>154</x:v>
      </x:c>
    </x:row>
    <x:row r="158" ht="65" customHeight="1">
      <x:c r="A158" s="13" t="str">
        <x:v>mercedes benz a class service dubai</x:v>
      </x:c>
      <x:c r="B158" s="17" t="n">
        <x:v>0</x:v>
      </x:c>
      <x:c r="C158" s="17" t="n">
        <x:v>5</x:v>
      </x:c>
      <x:c r="D158" s="18" t="n">
        <x:v>0</x:v>
      </x:c>
      <x:c r="E158" s="19" t="n">
        <x:v>3.8</x:v>
      </x:c>
      <x:c r="F158" s="13" t="str">
        <x:v>Other Mercedes model service</x:v>
      </x:c>
      <x:c r="G158" s="13" t="str">
        <x:v>HUB</x:v>
      </x:c>
      <x:c r="H158" s="13" t="str">
        <x:v>https://digitecme.com/brands/mercedes-benz-service-dubai</x:v>
      </x:c>
      <x:c r="I158" s="13" t="str">
        <x:v>Models serviced</x:v>
      </x:c>
      <x:c r="J158" s="13" t="str">
        <x:v>Relevant</x:v>
      </x:c>
      <x:c r="K158" s="13" t="str">
        <x:f>IF(J158="Hold","Hold",IF(J158="Conditional","Conditional",IF(E158&lt;='Sources'!$B$5,"Protect",IF(AND(E158&lt;='Sources'!$B$7,C158&gt;='Sources'!$B$6),"P1",IF(OR(E158&lt;='Sources'!$B$7,C158&gt;='Sources'!$B$8),"P2","P3")))))</x:f>
        <x:v>Protect</x:v>
      </x:c>
      <x:c r="L158" s="16" t="n">
        <x:f>IF(J158="Hold","",MAX(0,E158-'Sources'!$B$5))</x:f>
        <x:v>0</x:v>
      </x:c>
      <x:c r="M158" s="13" t="str">
        <x:v>Use a confirmed model-family section on the hub initially. A dedicated family page needs service evidence and sustained demand; do not publish a thin page per variant.</x:v>
      </x:c>
      <x:c r="N158" s="13" t="n">
        <x:v>155</x:v>
      </x:c>
    </x:row>
    <x:row r="159" ht="65" customHeight="1">
      <x:c r="A159" s="13" t="str">
        <x:v>mercedes benz e55 amg service dubai</x:v>
      </x:c>
      <x:c r="B159" s="17" t="n">
        <x:v>0</x:v>
      </x:c>
      <x:c r="C159" s="17" t="n">
        <x:v>5</x:v>
      </x:c>
      <x:c r="D159" s="18" t="n">
        <x:v>0</x:v>
      </x:c>
      <x:c r="E159" s="19" t="n">
        <x:v>3.8</x:v>
      </x:c>
      <x:c r="F159" s="13" t="str">
        <x:v>E-Class model service</x:v>
      </x:c>
      <x:c r="G159" s="13" t="str">
        <x:v>ECLASS</x:v>
      </x:c>
      <x:c r="H159" s="13" t="str">
        <x:v>https://digitecme.com/blog/mercedes-e-class-service-dubai-guide</x:v>
      </x:c>
      <x:c r="I159" s="13" t="str">
        <x:v>E-Class variants</x:v>
      </x:c>
      <x:c r="J159" s="13" t="str">
        <x:v>Relevant</x:v>
      </x:c>
      <x:c r="K159" s="13" t="str">
        <x:f>IF(J159="Hold","Hold",IF(J159="Conditional","Conditional",IF(E159&lt;='Sources'!$B$5,"Protect",IF(AND(E159&lt;='Sources'!$B$7,C159&gt;='Sources'!$B$6),"P1",IF(OR(E159&lt;='Sources'!$B$7,C159&gt;='Sources'!$B$8),"P2","P3")))))</x:f>
        <x:v>Protect</x:v>
      </x:c>
      <x:c r="L159" s="16" t="n">
        <x:f>IF(J159="Hold","",MAX(0,E159-'Sources'!$B$5))</x:f>
        <x:v>0</x:v>
      </x:c>
      <x:c r="M159" s="13" t="str">
        <x:v>Group relevant E-Class variants here; verify older E55 and coupe/cabriolet scope. E63 stays separate.</x:v>
      </x:c>
      <x:c r="N159" s="13" t="n">
        <x:v>156</x:v>
      </x:c>
    </x:row>
    <x:row r="160" ht="65" customHeight="1">
      <x:c r="A160" s="13" t="str">
        <x:v>mercedes benz cla class service dubai</x:v>
      </x:c>
      <x:c r="B160" s="17" t="n">
        <x:v>0</x:v>
      </x:c>
      <x:c r="C160" s="17" t="n">
        <x:v>5</x:v>
      </x:c>
      <x:c r="D160" s="18" t="n">
        <x:v>0</x:v>
      </x:c>
      <x:c r="E160" s="19" t="n">
        <x:v>6.2</x:v>
      </x:c>
      <x:c r="F160" s="13" t="str">
        <x:v>Other Mercedes model service</x:v>
      </x:c>
      <x:c r="G160" s="13" t="str">
        <x:v>HUB</x:v>
      </x:c>
      <x:c r="H160" s="13" t="str">
        <x:v>https://digitecme.com/brands/mercedes-benz-service-dubai</x:v>
      </x:c>
      <x:c r="I160" s="13" t="str">
        <x:v>Models serviced</x:v>
      </x:c>
      <x:c r="J160" s="13" t="str">
        <x:v>Relevant</x:v>
      </x:c>
      <x:c r="K160" s="13" t="str">
        <x:f>IF(J160="Hold","Hold",IF(J160="Conditional","Conditional",IF(E160&lt;='Sources'!$B$5,"Protect",IF(AND(E160&lt;='Sources'!$B$7,C160&gt;='Sources'!$B$6),"P1",IF(OR(E160&lt;='Sources'!$B$7,C160&gt;='Sources'!$B$8),"P2","P3")))))</x:f>
        <x:v>P2</x:v>
      </x:c>
      <x:c r="L160" s="16" t="n">
        <x:f>IF(J160="Hold","",MAX(0,E160-'Sources'!$B$5))</x:f>
        <x:v>1.2000000000000002</x:v>
      </x:c>
      <x:c r="M160" s="13" t="str">
        <x:v>Use a confirmed model-family section on the hub initially. A dedicated family page needs service evidence and sustained demand; do not publish a thin page per variant.</x:v>
      </x:c>
      <x:c r="N160" s="13" t="n">
        <x:v>157</x:v>
      </x:c>
    </x:row>
    <x:row r="161" ht="65" customHeight="1">
      <x:c r="A161" s="13" t="str">
        <x:v>mercedes a3 service</x:v>
      </x:c>
      <x:c r="B161" s="17" t="n">
        <x:v>0</x:v>
      </x:c>
      <x:c r="C161" s="17" t="n">
        <x:v>5</x:v>
      </x:c>
      <x:c r="D161" s="18" t="n">
        <x:v>0</x:v>
      </x:c>
      <x:c r="E161" s="19" t="n">
        <x:v>6.4</x:v>
      </x:c>
      <x:c r="F161" s="13" t="str">
        <x:v>Service schedule and ASSYST</x:v>
      </x:c>
      <x:c r="G161" s="13" t="str">
        <x:v>INTERVAL</x:v>
      </x:c>
      <x:c r="H161" s="13" t="str">
        <x:v>https://digitecme.com/blog/mercedes-service-intervals-dubai-heat</x:v>
      </x:c>
      <x:c r="I161" s="13" t="str">
        <x:v>Intervals and service display codes</x:v>
      </x:c>
      <x:c r="J161" s="13" t="str">
        <x:v>Relevant</x:v>
      </x:c>
      <x:c r="K161" s="13" t="str">
        <x:f>IF(J161="Hold","Hold",IF(J161="Conditional","Conditional",IF(E161&lt;='Sources'!$B$5,"Protect",IF(AND(E161&lt;='Sources'!$B$7,C161&gt;='Sources'!$B$6),"P1",IF(OR(E161&lt;='Sources'!$B$7,C161&gt;='Sources'!$B$8),"P2","P3")))))</x:f>
        <x:v>P2</x:v>
      </x:c>
      <x:c r="L161" s="16" t="n">
        <x:f>IF(J161="Hold","",MAX(0,E161-'Sources'!$B$5))</x:f>
        <x:v>1.4000000000000004</x:v>
      </x:c>
      <x:c r="M161" s="13" t="str">
        <x:v>Verify code meaning against the exact model; avoid universal code checklists.</x:v>
      </x:c>
      <x:c r="N161" s="13" t="n">
        <x:v>158</x:v>
      </x:c>
    </x:row>
    <x:row r="162" ht="65" customHeight="1">
      <x:c r="A162" s="13" t="str">
        <x:v>mercedes inspection</x:v>
      </x:c>
      <x:c r="B162" s="17" t="n">
        <x:v>0</x:v>
      </x:c>
      <x:c r="C162" s="17" t="n">
        <x:v>5</x:v>
      </x:c>
      <x:c r="D162" s="18" t="n">
        <x:v>0</x:v>
      </x:c>
      <x:c r="E162" s="19" t="n">
        <x:v>7.4</x:v>
      </x:c>
      <x:c r="F162" s="13" t="str">
        <x:v>Mercedes inspection</x:v>
      </x:c>
      <x:c r="G162" s="13" t="str">
        <x:v>HUB</x:v>
      </x:c>
      <x:c r="H162" s="13" t="str">
        <x:v>https://digitecme.com/brands/mercedes-benz-service-dubai</x:v>
      </x:c>
      <x:c r="I162" s="13" t="str">
        <x:v>Inspection scope</x:v>
      </x:c>
      <x:c r="J162" s="13" t="str">
        <x:v>Relevant</x:v>
      </x:c>
      <x:c r="K162" s="13" t="str">
        <x:f>IF(J162="Hold","Hold",IF(J162="Conditional","Conditional",IF(E162&lt;='Sources'!$B$5,"Protect",IF(AND(E162&lt;='Sources'!$B$7,C162&gt;='Sources'!$B$6),"P1",IF(OR(E162&lt;='Sources'!$B$7,C162&gt;='Sources'!$B$8),"P2","P3")))))</x:f>
        <x:v>P2</x:v>
      </x:c>
      <x:c r="L162" s="16" t="n">
        <x:f>IF(J162="Hold","",MAX(0,E162-'Sources'!$B$5))</x:f>
        <x:v>2.4000000000000004</x:v>
      </x:c>
      <x:c r="M162" s="13" t="str">
        <x:v>Use the hub inspection section and clarify general diagnosis versus a pre-purchase inspection before promising scope.</x:v>
      </x:c>
      <x:c r="N162" s="13" t="n">
        <x:v>159</x:v>
      </x:c>
    </x:row>
    <x:row r="163" ht="65" customHeight="1">
      <x:c r="A163" s="13" t="str">
        <x:v>mercedes benz cl class service dubai</x:v>
      </x:c>
      <x:c r="B163" s="17" t="n">
        <x:v>0</x:v>
      </x:c>
      <x:c r="C163" s="17" t="n">
        <x:v>5</x:v>
      </x:c>
      <x:c r="D163" s="18" t="n">
        <x:v>0</x:v>
      </x:c>
      <x:c r="E163" s="19" t="n">
        <x:v>8.4</x:v>
      </x:c>
      <x:c r="F163" s="13" t="str">
        <x:v>Other Mercedes model service</x:v>
      </x:c>
      <x:c r="G163" s="13" t="str">
        <x:v>HUB</x:v>
      </x:c>
      <x:c r="H163" s="13" t="str">
        <x:v>https://digitecme.com/brands/mercedes-benz-service-dubai</x:v>
      </x:c>
      <x:c r="I163" s="13" t="str">
        <x:v>Models serviced</x:v>
      </x:c>
      <x:c r="J163" s="13" t="str">
        <x:v>Relevant</x:v>
      </x:c>
      <x:c r="K163" s="13" t="str">
        <x:f>IF(J163="Hold","Hold",IF(J163="Conditional","Conditional",IF(E163&lt;='Sources'!$B$5,"Protect",IF(AND(E163&lt;='Sources'!$B$7,C163&gt;='Sources'!$B$6),"P1",IF(OR(E163&lt;='Sources'!$B$7,C163&gt;='Sources'!$B$8),"P2","P3")))))</x:f>
        <x:v>P2</x:v>
      </x:c>
      <x:c r="L163" s="16" t="n">
        <x:f>IF(J163="Hold","",MAX(0,E163-'Sources'!$B$5))</x:f>
        <x:v>3.4000000000000004</x:v>
      </x:c>
      <x:c r="M163" s="13" t="str">
        <x:v>Use a confirmed model-family section on the hub initially. A dedicated family page needs service evidence and sustained demand; do not publish a thin page per variant.</x:v>
      </x:c>
      <x:c r="N163" s="13" t="n">
        <x:v>160</x:v>
      </x:c>
    </x:row>
    <x:row r="164" ht="65" customHeight="1">
      <x:c r="A164" s="13" t="str">
        <x:v>mercedes benz glc63 amg service dubai</x:v>
      </x:c>
      <x:c r="B164" s="17" t="n">
        <x:v>0</x:v>
      </x:c>
      <x:c r="C164" s="17" t="n">
        <x:v>5</x:v>
      </x:c>
      <x:c r="D164" s="18" t="n">
        <x:v>0</x:v>
      </x:c>
      <x:c r="E164" s="19" t="n">
        <x:v>8.8</x:v>
      </x:c>
      <x:c r="F164" s="13" t="str">
        <x:v>Other Mercedes model service</x:v>
      </x:c>
      <x:c r="G164" s="13" t="str">
        <x:v>HUB</x:v>
      </x:c>
      <x:c r="H164" s="13" t="str">
        <x:v>https://digitecme.com/brands/mercedes-benz-service-dubai</x:v>
      </x:c>
      <x:c r="I164" s="13" t="str">
        <x:v>Models serviced</x:v>
      </x:c>
      <x:c r="J164" s="13" t="str">
        <x:v>Relevant</x:v>
      </x:c>
      <x:c r="K164" s="13" t="str">
        <x:f>IF(J164="Hold","Hold",IF(J164="Conditional","Conditional",IF(E164&lt;='Sources'!$B$5,"Protect",IF(AND(E164&lt;='Sources'!$B$7,C164&gt;='Sources'!$B$6),"P1",IF(OR(E164&lt;='Sources'!$B$7,C164&gt;='Sources'!$B$8),"P2","P3")))))</x:f>
        <x:v>P2</x:v>
      </x:c>
      <x:c r="L164" s="16" t="n">
        <x:f>IF(J164="Hold","",MAX(0,E164-'Sources'!$B$5))</x:f>
        <x:v>3.8000000000000007</x:v>
      </x:c>
      <x:c r="M164" s="13" t="str">
        <x:v>Use a confirmed model-family section on the hub initially. A dedicated family page needs service evidence and sustained demand; do not publish a thin page per variant.</x:v>
      </x:c>
      <x:c r="N164" s="13" t="n">
        <x:v>161</x:v>
      </x:c>
    </x:row>
    <x:row r="165" ht="65" customHeight="1">
      <x:c r="A165" s="13" t="str">
        <x:v>mercedes benz g class service dubai</x:v>
      </x:c>
      <x:c r="B165" s="17" t="n">
        <x:v>0</x:v>
      </x:c>
      <x:c r="C165" s="17" t="n">
        <x:v>5</x:v>
      </x:c>
      <x:c r="D165" s="18" t="n">
        <x:v>0</x:v>
      </x:c>
      <x:c r="E165" s="19" t="n">
        <x:v>9</x:v>
      </x:c>
      <x:c r="F165" s="13" t="str">
        <x:v>G-Class model service</x:v>
      </x:c>
      <x:c r="G165" s="13" t="str">
        <x:v>GCLASS</x:v>
      </x:c>
      <x:c r="H165" s="13" t="str">
        <x:v>https://digitecme.com/mercedes/models/g-class-service-repair-dubai</x:v>
      </x:c>
      <x:c r="I165" s="13" t="str">
        <x:v>G-Class coverage</x:v>
      </x:c>
      <x:c r="J165" s="13" t="str">
        <x:v>Relevant</x:v>
      </x:c>
      <x:c r="K165" s="13" t="str">
        <x:f>IF(J165="Hold","Hold",IF(J165="Conditional","Conditional",IF(E165&lt;='Sources'!$B$5,"Protect",IF(AND(E165&lt;='Sources'!$B$7,C165&gt;='Sources'!$B$6),"P1",IF(OR(E165&lt;='Sources'!$B$7,C165&gt;='Sources'!$B$8),"P2","P3")))))</x:f>
        <x:v>P2</x:v>
      </x:c>
      <x:c r="L165" s="16" t="n">
        <x:f>IF(J165="Hold","",MAX(0,E165-'Sources'!$B$5))</x:f>
        <x:v>4</x:v>
      </x:c>
      <x:c r="M165" s="13" t="str">
        <x:v>Keep broad G-Class service separate from AMG G63.</x:v>
      </x:c>
      <x:c r="N165" s="13" t="n">
        <x:v>162</x:v>
      </x:c>
    </x:row>
    <x:row r="166" ht="65" customHeight="1">
      <x:c r="A166" s="13" t="str">
        <x:v>mercedes benz m class service dubai</x:v>
      </x:c>
      <x:c r="B166" s="17" t="n">
        <x:v>0</x:v>
      </x:c>
      <x:c r="C166" s="17" t="n">
        <x:v>5</x:v>
      </x:c>
      <x:c r="D166" s="18" t="n">
        <x:v>0</x:v>
      </x:c>
      <x:c r="E166" s="19" t="n">
        <x:v>9.4</x:v>
      </x:c>
      <x:c r="F166" s="13" t="str">
        <x:v>GLE and ML model service</x:v>
      </x:c>
      <x:c r="G166" s="13" t="str">
        <x:v>GLE</x:v>
      </x:c>
      <x:c r="H166" s="13" t="str">
        <x:v>https://digitecme.com/mercedes/models/gle-service-repair-dubai</x:v>
      </x:c>
      <x:c r="I166" s="13" t="str">
        <x:v>GLE/ML variants</x:v>
      </x:c>
      <x:c r="J166" s="13" t="str">
        <x:v>Relevant</x:v>
      </x:c>
      <x:c r="K166" s="13" t="str">
        <x:f>IF(J166="Hold","Hold",IF(J166="Conditional","Conditional",IF(E166&lt;='Sources'!$B$5,"Protect",IF(AND(E166&lt;='Sources'!$B$7,C166&gt;='Sources'!$B$6),"P1",IF(OR(E166&lt;='Sources'!$B$7,C166&gt;='Sources'!$B$8),"P2","P3")))))</x:f>
        <x:v>P2</x:v>
      </x:c>
      <x:c r="L166" s="16" t="n">
        <x:f>IF(J166="Hold","",MAX(0,E166-'Sources'!$B$5))</x:f>
        <x:v>4.4</x:v>
      </x:c>
      <x:c r="M166" s="13" t="str">
        <x:v>Verify older ML/M-Class, coupe and AMG coverage and clearly distinguish generations.</x:v>
      </x:c>
      <x:c r="N166" s="13" t="n">
        <x:v>163</x:v>
      </x:c>
    </x:row>
    <x:row r="167" ht="65" customHeight="1">
      <x:c r="A167" s="13" t="str">
        <x:v>mercedes benz glc43 amg service dubai</x:v>
      </x:c>
      <x:c r="B167" s="17" t="n">
        <x:v>0</x:v>
      </x:c>
      <x:c r="C167" s="17" t="n">
        <x:v>5</x:v>
      </x:c>
      <x:c r="D167" s="18" t="n">
        <x:v>0</x:v>
      </x:c>
      <x:c r="E167" s="19" t="n">
        <x:v>9.8</x:v>
      </x:c>
      <x:c r="F167" s="13" t="str">
        <x:v>Other Mercedes model service</x:v>
      </x:c>
      <x:c r="G167" s="13" t="str">
        <x:v>HUB</x:v>
      </x:c>
      <x:c r="H167" s="13" t="str">
        <x:v>https://digitecme.com/brands/mercedes-benz-service-dubai</x:v>
      </x:c>
      <x:c r="I167" s="13" t="str">
        <x:v>Models serviced</x:v>
      </x:c>
      <x:c r="J167" s="13" t="str">
        <x:v>Relevant</x:v>
      </x:c>
      <x:c r="K167" s="13" t="str">
        <x:f>IF(J167="Hold","Hold",IF(J167="Conditional","Conditional",IF(E167&lt;='Sources'!$B$5,"Protect",IF(AND(E167&lt;='Sources'!$B$7,C167&gt;='Sources'!$B$6),"P1",IF(OR(E167&lt;='Sources'!$B$7,C167&gt;='Sources'!$B$8),"P2","P3")))))</x:f>
        <x:v>P2</x:v>
      </x:c>
      <x:c r="L167" s="16" t="n">
        <x:f>IF(J167="Hold","",MAX(0,E167-'Sources'!$B$5))</x:f>
        <x:v>4.800000000000001</x:v>
      </x:c>
      <x:c r="M167" s="13" t="str">
        <x:v>Use a confirmed model-family section on the hub initially. A dedicated family page needs service evidence and sustained demand; do not publish a thin page per variant.</x:v>
      </x:c>
      <x:c r="N167" s="13" t="n">
        <x:v>164</x:v>
      </x:c>
    </x:row>
    <x:row r="168" ht="65" customHeight="1">
      <x:c r="A168" s="13" t="str">
        <x:v>mercedes benz gls class service dubai</x:v>
      </x:c>
      <x:c r="B168" s="17" t="n">
        <x:v>0</x:v>
      </x:c>
      <x:c r="C168" s="17" t="n">
        <x:v>5</x:v>
      </x:c>
      <x:c r="D168" s="18" t="n">
        <x:v>0</x:v>
      </x:c>
      <x:c r="E168" s="19" t="n">
        <x:v>9.8</x:v>
      </x:c>
      <x:c r="F168" s="13" t="str">
        <x:v>GLS and GL model service</x:v>
      </x:c>
      <x:c r="G168" s="13" t="str">
        <x:v>GLS</x:v>
      </x:c>
      <x:c r="H168" s="13" t="str">
        <x:v>https://digitecme.com/mercedes/models/gls-service-repair-dubai</x:v>
      </x:c>
      <x:c r="I168" s="13" t="str">
        <x:v>GLS/GL variants</x:v>
      </x:c>
      <x:c r="J168" s="13" t="str">
        <x:v>Relevant</x:v>
      </x:c>
      <x:c r="K168" s="13" t="str">
        <x:f>IF(J168="Hold","Hold",IF(J168="Conditional","Conditional",IF(E168&lt;='Sources'!$B$5,"Protect",IF(AND(E168&lt;='Sources'!$B$7,C168&gt;='Sources'!$B$6),"P1",IF(OR(E168&lt;='Sources'!$B$7,C168&gt;='Sources'!$B$8),"P2","P3")))))</x:f>
        <x:v>P2</x:v>
      </x:c>
      <x:c r="L168" s="16" t="n">
        <x:f>IF(J168="Hold","",MAX(0,E168-'Sources'!$B$5))</x:f>
        <x:v>4.800000000000001</x:v>
      </x:c>
      <x:c r="M168" s="13" t="str">
        <x:v>Verify older GL and AMG coverage; do not assume identical systems.</x:v>
      </x:c>
      <x:c r="N168" s="13" t="n">
        <x:v>165</x:v>
      </x:c>
    </x:row>
    <x:row r="169" ht="65" customHeight="1">
      <x:c r="A169" s="13" t="str">
        <x:v>mercedes repair garage dubai</x:v>
      </x:c>
      <x:c r="B169" s="17" t="n">
        <x:v>0</x:v>
      </x:c>
      <x:c r="C169" s="17" t="n">
        <x:v>5</x:v>
      </x:c>
      <x:c r="D169" s="18" t="n">
        <x:v>0</x:v>
      </x:c>
      <x:c r="E169" s="19" t="n">
        <x:v>10</x:v>
      </x:c>
      <x:c r="F169" s="13" t="str">
        <x:v>General repair and workshop</x:v>
      </x:c>
      <x:c r="G169" s="13" t="str">
        <x:v>HUB</x:v>
      </x:c>
      <x:c r="H169" s="13" t="str">
        <x:v>https://digitecme.com/brands/mercedes-benz-service-dubai</x:v>
      </x:c>
      <x:c r="I169" s="13" t="str">
        <x:v>Workshop and booking</x:v>
      </x:c>
      <x:c r="J169" s="13" t="str">
        <x:v>Relevant</x:v>
      </x:c>
      <x:c r="K169" s="13" t="str">
        <x:f>IF(J169="Hold","Hold",IF(J169="Conditional","Conditional",IF(E169&lt;='Sources'!$B$5,"Protect",IF(AND(E169&lt;='Sources'!$B$7,C169&gt;='Sources'!$B$6),"P1",IF(OR(E169&lt;='Sources'!$B$7,C169&gt;='Sources'!$B$8),"P2","P3")))))</x:f>
        <x:v>P2</x:v>
      </x:c>
      <x:c r="L169" s="16" t="n">
        <x:f>IF(J169="Hold","",MAX(0,E169-'Sources'!$B$5))</x:f>
        <x:v>5</x:v>
      </x:c>
      <x:c r="M169" s="13" t="str">
        <x:v>Use the main Mercedes page for broad repair, service, garage and specialist wording.</x:v>
      </x:c>
      <x:c r="N169" s="13" t="n">
        <x:v>166</x:v>
      </x:c>
    </x:row>
    <x:row r="170" ht="65" customHeight="1">
      <x:c r="A170" s="13" t="str">
        <x:v>mercedes specialist near me</x:v>
      </x:c>
      <x:c r="B170" s="17" t="n">
        <x:v>0</x:v>
      </x:c>
      <x:c r="C170" s="17" t="n">
        <x:v>5</x:v>
      </x:c>
      <x:c r="D170" s="18" t="n">
        <x:v>0</x:v>
      </x:c>
      <x:c r="E170" s="19" t="n">
        <x:v>10</x:v>
      </x:c>
      <x:c r="F170" s="13" t="str">
        <x:v>General repair and workshop</x:v>
      </x:c>
      <x:c r="G170" s="13" t="str">
        <x:v>HUB</x:v>
      </x:c>
      <x:c r="H170" s="13" t="str">
        <x:v>https://digitecme.com/brands/mercedes-benz-service-dubai</x:v>
      </x:c>
      <x:c r="I170" s="13" t="str">
        <x:v>Workshop and booking</x:v>
      </x:c>
      <x:c r="J170" s="13" t="str">
        <x:v>Relevant</x:v>
      </x:c>
      <x:c r="K170" s="13" t="str">
        <x:f>IF(J170="Hold","Hold",IF(J170="Conditional","Conditional",IF(E170&lt;='Sources'!$B$5,"Protect",IF(AND(E170&lt;='Sources'!$B$7,C170&gt;='Sources'!$B$6),"P1",IF(OR(E170&lt;='Sources'!$B$7,C170&gt;='Sources'!$B$8),"P2","P3")))))</x:f>
        <x:v>P2</x:v>
      </x:c>
      <x:c r="L170" s="16" t="n">
        <x:f>IF(J170="Hold","",MAX(0,E170-'Sources'!$B$5))</x:f>
        <x:v>5</x:v>
      </x:c>
      <x:c r="M170" s="13" t="str">
        <x:v>Use the main Mercedes page for broad repair, service, garage and specialist wording. Include accurate Al Quoz location and Business Profile links; proximity varies by searcher.</x:v>
      </x:c>
      <x:c r="N170" s="13" t="n">
        <x:v>167</x:v>
      </x:c>
    </x:row>
    <x:row r="171" ht="65" customHeight="1">
      <x:c r="A171" s="13" t="str">
        <x:v>mercedes benz cls 63 amg service dubai</x:v>
      </x:c>
      <x:c r="B171" s="17" t="n">
        <x:v>0</x:v>
      </x:c>
      <x:c r="C171" s="17" t="n">
        <x:v>5</x:v>
      </x:c>
      <x:c r="D171" s="18" t="n">
        <x:v>0</x:v>
      </x:c>
      <x:c r="E171" s="19" t="n">
        <x:v>11.6</x:v>
      </x:c>
      <x:c r="F171" s="13" t="str">
        <x:v>Other Mercedes model service</x:v>
      </x:c>
      <x:c r="G171" s="13" t="str">
        <x:v>HUB</x:v>
      </x:c>
      <x:c r="H171" s="13" t="str">
        <x:v>https://digitecme.com/brands/mercedes-benz-service-dubai</x:v>
      </x:c>
      <x:c r="I171" s="13" t="str">
        <x:v>Models serviced</x:v>
      </x:c>
      <x:c r="J171" s="13" t="str">
        <x:v>Relevant</x:v>
      </x:c>
      <x:c r="K171" s="13" t="str">
        <x:f>IF(J171="Hold","Hold",IF(J171="Conditional","Conditional",IF(E171&lt;='Sources'!$B$5,"Protect",IF(AND(E171&lt;='Sources'!$B$7,C171&gt;='Sources'!$B$6),"P1",IF(OR(E171&lt;='Sources'!$B$7,C171&gt;='Sources'!$B$8),"P2","P3")))))</x:f>
        <x:v>P2</x:v>
      </x:c>
      <x:c r="L171" s="16" t="n">
        <x:f>IF(J171="Hold","",MAX(0,E171-'Sources'!$B$5))</x:f>
        <x:v>6.6</x:v>
      </x:c>
      <x:c r="M171" s="13" t="str">
        <x:v>Use a confirmed model-family section on the hub initially. A dedicated family page needs service evidence and sustained demand; do not publish a thin page per variant.</x:v>
      </x:c>
      <x:c r="N171" s="13" t="n">
        <x:v>168</x:v>
      </x:c>
    </x:row>
    <x:row r="172" ht="65" customHeight="1">
      <x:c r="A172" s="13" t="str">
        <x:v>mercedes benz 190 service dubai</x:v>
      </x:c>
      <x:c r="B172" s="17" t="n">
        <x:v>0</x:v>
      </x:c>
      <x:c r="C172" s="17" t="n">
        <x:v>5</x:v>
      </x:c>
      <x:c r="D172" s="18" t="n">
        <x:v>0</x:v>
      </x:c>
      <x:c r="E172" s="19" t="n">
        <x:v>14.2</x:v>
      </x:c>
      <x:c r="F172" s="13" t="str">
        <x:v>Other Mercedes model service</x:v>
      </x:c>
      <x:c r="G172" s="13" t="str">
        <x:v>HUB</x:v>
      </x:c>
      <x:c r="H172" s="13" t="str">
        <x:v>https://digitecme.com/brands/mercedes-benz-service-dubai</x:v>
      </x:c>
      <x:c r="I172" s="13" t="str">
        <x:v>Models serviced</x:v>
      </x:c>
      <x:c r="J172" s="13" t="str">
        <x:v>Conditional</x:v>
      </x:c>
      <x:c r="K172" s="13" t="str">
        <x:f>IF(J172="Hold","Hold",IF(J172="Conditional","Conditional",IF(E172&lt;='Sources'!$B$5,"Protect",IF(AND(E172&lt;='Sources'!$B$7,C172&gt;='Sources'!$B$6),"P1",IF(OR(E172&lt;='Sources'!$B$7,C172&gt;='Sources'!$B$8),"P2","P3")))))</x:f>
        <x:v>Conditional</x:v>
      </x:c>
      <x:c r="L172" s="16" t="n">
        <x:f>IF(J172="Hold","",MAX(0,E172-'Sources'!$B$5))</x:f>
        <x:v>9.2</x:v>
      </x:c>
      <x:c r="M172" s="13" t="str">
        <x:v>Use a confirmed model-family section on the hub initially. A dedicated family page needs service evidence and sustained demand; do not publish a thin page per variant. Confirm exact classic, rare-model or van workshop coverage before making landing-page claims.</x:v>
      </x:c>
      <x:c r="N172" s="13" t="n">
        <x:v>169</x:v>
      </x:c>
    </x:row>
    <x:row r="173" ht="65" customHeight="1">
      <x:c r="A173" s="13" t="str">
        <x:v>mercedes benz glc63 amg coupe service dubai</x:v>
      </x:c>
      <x:c r="B173" s="17" t="n">
        <x:v>0</x:v>
      </x:c>
      <x:c r="C173" s="17" t="n">
        <x:v>5</x:v>
      </x:c>
      <x:c r="D173" s="18" t="n">
        <x:v>0</x:v>
      </x:c>
      <x:c r="E173" s="19" t="n">
        <x:v>14.8</x:v>
      </x:c>
      <x:c r="F173" s="13" t="str">
        <x:v>Other Mercedes model service</x:v>
      </x:c>
      <x:c r="G173" s="13" t="str">
        <x:v>HUB</x:v>
      </x:c>
      <x:c r="H173" s="13" t="str">
        <x:v>https://digitecme.com/brands/mercedes-benz-service-dubai</x:v>
      </x:c>
      <x:c r="I173" s="13" t="str">
        <x:v>Models serviced</x:v>
      </x:c>
      <x:c r="J173" s="13" t="str">
        <x:v>Relevant</x:v>
      </x:c>
      <x:c r="K173" s="13" t="str">
        <x:f>IF(J173="Hold","Hold",IF(J173="Conditional","Conditional",IF(E173&lt;='Sources'!$B$5,"Protect",IF(AND(E173&lt;='Sources'!$B$7,C173&gt;='Sources'!$B$6),"P1",IF(OR(E173&lt;='Sources'!$B$7,C173&gt;='Sources'!$B$8),"P2","P3")))))</x:f>
        <x:v>P2</x:v>
      </x:c>
      <x:c r="L173" s="16" t="n">
        <x:f>IF(J173="Hold","",MAX(0,E173-'Sources'!$B$5))</x:f>
        <x:v>9.8</x:v>
      </x:c>
      <x:c r="M173" s="13" t="str">
        <x:v>Use a confirmed model-family section on the hub initially. A dedicated family page needs service evidence and sustained demand; do not publish a thin page per variant.</x:v>
      </x:c>
      <x:c r="N173" s="13" t="n">
        <x:v>170</x:v>
      </x:c>
    </x:row>
    <x:row r="174" ht="65" customHeight="1">
      <x:c r="A174" s="13" t="str">
        <x:v>mercedes benz s class coupe service dubai</x:v>
      </x:c>
      <x:c r="B174" s="17" t="n">
        <x:v>0</x:v>
      </x:c>
      <x:c r="C174" s="17" t="n">
        <x:v>5</x:v>
      </x:c>
      <x:c r="D174" s="18" t="n">
        <x:v>0</x:v>
      </x:c>
      <x:c r="E174" s="19" t="n">
        <x:v>16.4</x:v>
      </x:c>
      <x:c r="F174" s="13" t="str">
        <x:v>S-Class model service</x:v>
      </x:c>
      <x:c r="G174" s="13" t="str">
        <x:v>SCLASS</x:v>
      </x:c>
      <x:c r="H174" s="13" t="str">
        <x:v>https://digitecme.com/blog/mercedes-s-class-service-dubai-guide</x:v>
      </x:c>
      <x:c r="I174" s="13" t="str">
        <x:v>S-Class variants</x:v>
      </x:c>
      <x:c r="J174" s="13" t="str">
        <x:v>Relevant</x:v>
      </x:c>
      <x:c r="K174" s="13" t="str">
        <x:f>IF(J174="Hold","Hold",IF(J174="Conditional","Conditional",IF(E174&lt;='Sources'!$B$5,"Protect",IF(AND(E174&lt;='Sources'!$B$7,C174&gt;='Sources'!$B$6),"P1",IF(OR(E174&lt;='Sources'!$B$7,C174&gt;='Sources'!$B$8),"P2","P3")))))</x:f>
        <x:v>P2</x:v>
      </x:c>
      <x:c r="L174" s="16" t="n">
        <x:f>IF(J174="Hold","",MAX(0,E174-'Sources'!$B$5))</x:f>
        <x:v>11.399999999999999</x:v>
      </x:c>
      <x:c r="M174" s="13" t="str">
        <x:v>S65 is a distinct V12 application; add only a confirmed section, not S63 engine copy.</x:v>
      </x:c>
      <x:c r="N174" s="13" t="n">
        <x:v>171</x:v>
      </x:c>
    </x:row>
    <x:row r="175" ht="65" customHeight="1">
      <x:c r="A175" s="13" t="str">
        <x:v>mercedes benz viano service dubai</x:v>
      </x:c>
      <x:c r="B175" s="17" t="n">
        <x:v>0</x:v>
      </x:c>
      <x:c r="C175" s="17" t="n">
        <x:v>5</x:v>
      </x:c>
      <x:c r="D175" s="18" t="n">
        <x:v>0</x:v>
      </x:c>
      <x:c r="E175" s="19" t="n">
        <x:v>17.2</x:v>
      </x:c>
      <x:c r="F175" s="13" t="str">
        <x:v>Other Mercedes model service</x:v>
      </x:c>
      <x:c r="G175" s="13" t="str">
        <x:v>HUB</x:v>
      </x:c>
      <x:c r="H175" s="13" t="str">
        <x:v>https://digitecme.com/brands/mercedes-benz-service-dubai</x:v>
      </x:c>
      <x:c r="I175" s="13" t="str">
        <x:v>Models serviced</x:v>
      </x:c>
      <x:c r="J175" s="13" t="str">
        <x:v>Conditional</x:v>
      </x:c>
      <x:c r="K175" s="13" t="str">
        <x:f>IF(J175="Hold","Hold",IF(J175="Conditional","Conditional",IF(E175&lt;='Sources'!$B$5,"Protect",IF(AND(E175&lt;='Sources'!$B$7,C175&gt;='Sources'!$B$6),"P1",IF(OR(E175&lt;='Sources'!$B$7,C175&gt;='Sources'!$B$8),"P2","P3")))))</x:f>
        <x:v>Conditional</x:v>
      </x:c>
      <x:c r="L175" s="16" t="n">
        <x:f>IF(J175="Hold","",MAX(0,E175-'Sources'!$B$5))</x:f>
        <x:v>12.2</x:v>
      </x:c>
      <x:c r="M175" s="13" t="str">
        <x:v>Use a confirmed model-family section on the hub initially. A dedicated family page needs service evidence and sustained demand; do not publish a thin page per variant. Confirm exact classic, rare-model or van workshop coverage before making landing-page claims.</x:v>
      </x:c>
      <x:c r="N175" s="13" t="n">
        <x:v>172</x:v>
      </x:c>
    </x:row>
    <x:row r="176" ht="65" customHeight="1">
      <x:c r="A176" s="13" t="str">
        <x:v>mercedes benz 560sl service dubai</x:v>
      </x:c>
      <x:c r="B176" s="17" t="n">
        <x:v>0</x:v>
      </x:c>
      <x:c r="C176" s="17" t="n">
        <x:v>5</x:v>
      </x:c>
      <x:c r="D176" s="18" t="n">
        <x:v>0</x:v>
      </x:c>
      <x:c r="E176" s="19" t="n">
        <x:v>17.4</x:v>
      </x:c>
      <x:c r="F176" s="13" t="str">
        <x:v>Other Mercedes model service</x:v>
      </x:c>
      <x:c r="G176" s="13" t="str">
        <x:v>HUB</x:v>
      </x:c>
      <x:c r="H176" s="13" t="str">
        <x:v>https://digitecme.com/brands/mercedes-benz-service-dubai</x:v>
      </x:c>
      <x:c r="I176" s="13" t="str">
        <x:v>Models serviced</x:v>
      </x:c>
      <x:c r="J176" s="13" t="str">
        <x:v>Conditional</x:v>
      </x:c>
      <x:c r="K176" s="13" t="str">
        <x:f>IF(J176="Hold","Hold",IF(J176="Conditional","Conditional",IF(E176&lt;='Sources'!$B$5,"Protect",IF(AND(E176&lt;='Sources'!$B$7,C176&gt;='Sources'!$B$6),"P1",IF(OR(E176&lt;='Sources'!$B$7,C176&gt;='Sources'!$B$8),"P2","P3")))))</x:f>
        <x:v>Conditional</x:v>
      </x:c>
      <x:c r="L176" s="16" t="n">
        <x:f>IF(J176="Hold","",MAX(0,E176-'Sources'!$B$5))</x:f>
        <x:v>12.399999999999999</x:v>
      </x:c>
      <x:c r="M176" s="13" t="str">
        <x:v>Use a confirmed model-family section on the hub initially. A dedicated family page needs service evidence and sustained demand; do not publish a thin page per variant. Confirm exact classic, rare-model or van workshop coverage before making landing-page claims.</x:v>
      </x:c>
      <x:c r="N176" s="13" t="n">
        <x:v>173</x:v>
      </x:c>
    </x:row>
    <x:row r="177" ht="65" customHeight="1">
      <x:c r="A177" s="13" t="str">
        <x:v>mercedes benz 420 service dubai</x:v>
      </x:c>
      <x:c r="B177" s="17" t="n">
        <x:v>0</x:v>
      </x:c>
      <x:c r="C177" s="17" t="n">
        <x:v>5</x:v>
      </x:c>
      <x:c r="D177" s="18" t="n">
        <x:v>0</x:v>
      </x:c>
      <x:c r="E177" s="19" t="n">
        <x:v>18.2</x:v>
      </x:c>
      <x:c r="F177" s="13" t="str">
        <x:v>Other Mercedes model service</x:v>
      </x:c>
      <x:c r="G177" s="13" t="str">
        <x:v>HUB</x:v>
      </x:c>
      <x:c r="H177" s="13" t="str">
        <x:v>https://digitecme.com/brands/mercedes-benz-service-dubai</x:v>
      </x:c>
      <x:c r="I177" s="13" t="str">
        <x:v>Models serviced</x:v>
      </x:c>
      <x:c r="J177" s="13" t="str">
        <x:v>Conditional</x:v>
      </x:c>
      <x:c r="K177" s="13" t="str">
        <x:f>IF(J177="Hold","Hold",IF(J177="Conditional","Conditional",IF(E177&lt;='Sources'!$B$5,"Protect",IF(AND(E177&lt;='Sources'!$B$7,C177&gt;='Sources'!$B$6),"P1",IF(OR(E177&lt;='Sources'!$B$7,C177&gt;='Sources'!$B$8),"P2","P3")))))</x:f>
        <x:v>Conditional</x:v>
      </x:c>
      <x:c r="L177" s="16" t="n">
        <x:f>IF(J177="Hold","",MAX(0,E177-'Sources'!$B$5))</x:f>
        <x:v>13.2</x:v>
      </x:c>
      <x:c r="M177" s="13" t="str">
        <x:v>Use a confirmed model-family section on the hub initially. A dedicated family page needs service evidence and sustained demand; do not publish a thin page per variant. Confirm exact classic, rare-model or van workshop coverage before making landing-page claims.</x:v>
      </x:c>
      <x:c r="N177" s="13" t="n">
        <x:v>174</x:v>
      </x:c>
    </x:row>
    <x:row r="178" ht="65" customHeight="1">
      <x:c r="A178" s="13" t="str">
        <x:v>mercedes benz clc class service dubai</x:v>
      </x:c>
      <x:c r="B178" s="17" t="n">
        <x:v>0</x:v>
      </x:c>
      <x:c r="C178" s="17" t="n">
        <x:v>5</x:v>
      </x:c>
      <x:c r="D178" s="18" t="n">
        <x:v>0</x:v>
      </x:c>
      <x:c r="E178" s="19" t="n">
        <x:v>18.4</x:v>
      </x:c>
      <x:c r="F178" s="13" t="str">
        <x:v>Other Mercedes model service</x:v>
      </x:c>
      <x:c r="G178" s="13" t="str">
        <x:v>HUB</x:v>
      </x:c>
      <x:c r="H178" s="13" t="str">
        <x:v>https://digitecme.com/brands/mercedes-benz-service-dubai</x:v>
      </x:c>
      <x:c r="I178" s="13" t="str">
        <x:v>Models serviced</x:v>
      </x:c>
      <x:c r="J178" s="13" t="str">
        <x:v>Relevant</x:v>
      </x:c>
      <x:c r="K178" s="13" t="str">
        <x:f>IF(J178="Hold","Hold",IF(J178="Conditional","Conditional",IF(E178&lt;='Sources'!$B$5,"Protect",IF(AND(E178&lt;='Sources'!$B$7,C178&gt;='Sources'!$B$6),"P1",IF(OR(E178&lt;='Sources'!$B$7,C178&gt;='Sources'!$B$8),"P2","P3")))))</x:f>
        <x:v>P2</x:v>
      </x:c>
      <x:c r="L178" s="16" t="n">
        <x:f>IF(J178="Hold","",MAX(0,E178-'Sources'!$B$5))</x:f>
        <x:v>13.399999999999999</x:v>
      </x:c>
      <x:c r="M178" s="13" t="str">
        <x:v>Use a confirmed model-family section on the hub initially. A dedicated family page needs service evidence and sustained demand; do not publish a thin page per variant.</x:v>
      </x:c>
      <x:c r="N178" s="13" t="n">
        <x:v>175</x:v>
      </x:c>
    </x:row>
    <x:row r="179" ht="65" customHeight="1">
      <x:c r="A179" s="13" t="str">
        <x:v>mercedes benz 230 service dubai</x:v>
      </x:c>
      <x:c r="B179" s="17" t="n">
        <x:v>0</x:v>
      </x:c>
      <x:c r="C179" s="17" t="n">
        <x:v>5</x:v>
      </x:c>
      <x:c r="D179" s="18" t="n">
        <x:v>0</x:v>
      </x:c>
      <x:c r="E179" s="19" t="n">
        <x:v>19.2</x:v>
      </x:c>
      <x:c r="F179" s="13" t="str">
        <x:v>Other Mercedes model service</x:v>
      </x:c>
      <x:c r="G179" s="13" t="str">
        <x:v>HUB</x:v>
      </x:c>
      <x:c r="H179" s="13" t="str">
        <x:v>https://digitecme.com/brands/mercedes-benz-service-dubai</x:v>
      </x:c>
      <x:c r="I179" s="13" t="str">
        <x:v>Models serviced</x:v>
      </x:c>
      <x:c r="J179" s="13" t="str">
        <x:v>Conditional</x:v>
      </x:c>
      <x:c r="K179" s="13" t="str">
        <x:f>IF(J179="Hold","Hold",IF(J179="Conditional","Conditional",IF(E179&lt;='Sources'!$B$5,"Protect",IF(AND(E179&lt;='Sources'!$B$7,C179&gt;='Sources'!$B$6),"P1",IF(OR(E179&lt;='Sources'!$B$7,C179&gt;='Sources'!$B$8),"P2","P3")))))</x:f>
        <x:v>Conditional</x:v>
      </x:c>
      <x:c r="L179" s="16" t="n">
        <x:f>IF(J179="Hold","",MAX(0,E179-'Sources'!$B$5))</x:f>
        <x:v>14.2</x:v>
      </x:c>
      <x:c r="M179" s="13" t="str">
        <x:v>Use a confirmed model-family section on the hub initially. A dedicated family page needs service evidence and sustained demand; do not publish a thin page per variant. Confirm exact classic, rare-model or van workshop coverage before making landing-page claims.</x:v>
      </x:c>
      <x:c r="N179" s="13" t="n">
        <x:v>176</x:v>
      </x:c>
    </x:row>
    <x:row r="180" ht="65" customHeight="1">
      <x:c r="A180" s="13" t="str">
        <x:v>mercedes benz cla45 amg service dubai</x:v>
      </x:c>
      <x:c r="B180" s="17" t="n">
        <x:v>0</x:v>
      </x:c>
      <x:c r="C180" s="17" t="n">
        <x:v>5</x:v>
      </x:c>
      <x:c r="D180" s="18" t="n">
        <x:v>0</x:v>
      </x:c>
      <x:c r="E180" s="19" t="n">
        <x:v>20.2</x:v>
      </x:c>
      <x:c r="F180" s="13" t="str">
        <x:v>Other Mercedes model service</x:v>
      </x:c>
      <x:c r="G180" s="13" t="str">
        <x:v>HUB</x:v>
      </x:c>
      <x:c r="H180" s="13" t="str">
        <x:v>https://digitecme.com/brands/mercedes-benz-service-dubai</x:v>
      </x:c>
      <x:c r="I180" s="13" t="str">
        <x:v>Models serviced</x:v>
      </x:c>
      <x:c r="J180" s="13" t="str">
        <x:v>Relevant</x:v>
      </x:c>
      <x:c r="K180" s="13" t="str">
        <x:f>IF(J180="Hold","Hold",IF(J180="Conditional","Conditional",IF(E180&lt;='Sources'!$B$5,"Protect",IF(AND(E180&lt;='Sources'!$B$7,C180&gt;='Sources'!$B$6),"P1",IF(OR(E180&lt;='Sources'!$B$7,C180&gt;='Sources'!$B$8),"P2","P3")))))</x:f>
        <x:v>P3</x:v>
      </x:c>
      <x:c r="L180" s="16" t="n">
        <x:f>IF(J180="Hold","",MAX(0,E180-'Sources'!$B$5))</x:f>
        <x:v>15.2</x:v>
      </x:c>
      <x:c r="M180" s="13" t="str">
        <x:v>Use a confirmed model-family section on the hub initially. A dedicated family page needs service evidence and sustained demand; do not publish a thin page per variant.</x:v>
      </x:c>
      <x:c r="N180" s="13" t="n">
        <x:v>177</x:v>
      </x:c>
    </x:row>
    <x:row r="181" ht="65" customHeight="1">
      <x:c r="A181" s="13" t="str">
        <x:v>mercedes benz battery dubai</x:v>
      </x:c>
      <x:c r="B181" s="17" t="n">
        <x:v>0</x:v>
      </x:c>
      <x:c r="C181" s="17" t="n">
        <x:v>5</x:v>
      </x:c>
      <x:c r="D181" s="18" t="n">
        <x:v>0</x:v>
      </x:c>
      <x:c r="E181" s="19" t="n">
        <x:v>20.4</x:v>
      </x:c>
      <x:c r="F181" s="13" t="str">
        <x:v>Battery replacement</x:v>
      </x:c>
      <x:c r="G181" s="13" t="str">
        <x:v>BATTERY</x:v>
      </x:c>
      <x:c r="H181" s="13" t="str">
        <x:v>https://digitecme.com/services/mercedes-battery-replacement-dubai</x:v>
      </x:c>
      <x:c r="I181" s="13" t="str">
        <x:v>Battery testing, replacement and location</x:v>
      </x:c>
      <x:c r="J181" s="13" t="str">
        <x:v>Relevant</x:v>
      </x:c>
      <x:c r="K181" s="13" t="str">
        <x:f>IF(J181="Hold","Hold",IF(J181="Conditional","Conditional",IF(E181&lt;='Sources'!$B$5,"Protect",IF(AND(E181&lt;='Sources'!$B$7,C181&gt;='Sources'!$B$6),"P1",IF(OR(E181&lt;='Sources'!$B$7,C181&gt;='Sources'!$B$8),"P2","P3")))))</x:f>
        <x:v>P3</x:v>
      </x:c>
      <x:c r="L181" s="16" t="n">
        <x:f>IF(J181="Hold","",MAX(0,E181-'Sources'!$B$5))</x:f>
        <x:v>15.399999999999999</x:v>
      </x:c>
      <x:c r="M181" s="13" t="str">
        <x:v>Explain model-specific battery selection and supported installation checks.</x:v>
      </x:c>
      <x:c r="N181" s="13" t="n">
        <x:v>178</x:v>
      </x:c>
    </x:row>
    <x:row r="182" ht="65" customHeight="1">
      <x:c r="A182" s="13" t="str">
        <x:v>mercedes benz cls 500 service dubai</x:v>
      </x:c>
      <x:c r="B182" s="17" t="n">
        <x:v>0</x:v>
      </x:c>
      <x:c r="C182" s="17" t="n">
        <x:v>5</x:v>
      </x:c>
      <x:c r="D182" s="18" t="n">
        <x:v>0</x:v>
      </x:c>
      <x:c r="E182" s="19" t="n">
        <x:v>20.8</x:v>
      </x:c>
      <x:c r="F182" s="13" t="str">
        <x:v>Other Mercedes model service</x:v>
      </x:c>
      <x:c r="G182" s="13" t="str">
        <x:v>HUB</x:v>
      </x:c>
      <x:c r="H182" s="13" t="str">
        <x:v>https://digitecme.com/brands/mercedes-benz-service-dubai</x:v>
      </x:c>
      <x:c r="I182" s="13" t="str">
        <x:v>Models serviced</x:v>
      </x:c>
      <x:c r="J182" s="13" t="str">
        <x:v>Relevant</x:v>
      </x:c>
      <x:c r="K182" s="13" t="str">
        <x:f>IF(J182="Hold","Hold",IF(J182="Conditional","Conditional",IF(E182&lt;='Sources'!$B$5,"Protect",IF(AND(E182&lt;='Sources'!$B$7,C182&gt;='Sources'!$B$6),"P1",IF(OR(E182&lt;='Sources'!$B$7,C182&gt;='Sources'!$B$8),"P2","P3")))))</x:f>
        <x:v>P3</x:v>
      </x:c>
      <x:c r="L182" s="16" t="n">
        <x:f>IF(J182="Hold","",MAX(0,E182-'Sources'!$B$5))</x:f>
        <x:v>15.8</x:v>
      </x:c>
      <x:c r="M182" s="13" t="str">
        <x:v>Use a confirmed model-family section on the hub initially. A dedicated family page needs service evidence and sustained demand; do not publish a thin page per variant.</x:v>
      </x:c>
      <x:c r="N182" s="13" t="n">
        <x:v>179</x:v>
      </x:c>
    </x:row>
    <x:row r="183" ht="65" customHeight="1">
      <x:c r="A183" s="13" t="str">
        <x:v>إصلاح mercedes دبي</x:v>
      </x:c>
      <x:c r="B183" s="17" t="n">
        <x:v>0</x:v>
      </x:c>
      <x:c r="C183" s="17" t="n">
        <x:v>5</x:v>
      </x:c>
      <x:c r="D183" s="18" t="n">
        <x:v>0</x:v>
      </x:c>
      <x:c r="E183" s="19" t="n">
        <x:v>21.8</x:v>
      </x:c>
      <x:c r="F183" s="13" t="str">
        <x:v>Arabic repair</x:v>
      </x:c>
      <x:c r="G183" s="13" t="str">
        <x:v>AR</x:v>
      </x:c>
      <x:c r="H183" s="13" t="str">
        <x:v>https://digitecme.com/ar/brands/mercedes-benz-service-dubai</x:v>
      </x:c>
      <x:c r="I183" s="13" t="str">
        <x:v>Arabic repair and service</x:v>
      </x:c>
      <x:c r="J183" s="13" t="str">
        <x:v>Relevant</x:v>
      </x:c>
      <x:c r="K183" s="13" t="str">
        <x:f>IF(J183="Hold","Hold",IF(J183="Conditional","Conditional",IF(E183&lt;='Sources'!$B$5,"Protect",IF(AND(E183&lt;='Sources'!$B$7,C183&gt;='Sources'!$B$6),"P1",IF(OR(E183&lt;='Sources'!$B$7,C183&gt;='Sources'!$B$8),"P2","P3")))))</x:f>
        <x:v>P3</x:v>
      </x:c>
      <x:c r="L183" s="16" t="n">
        <x:f>IF(J183="Hold","",MAX(0,E183-'Sources'!$B$5))</x:f>
        <x:v>16.8</x:v>
      </x:c>
      <x:c r="M183" s="13" t="str">
        <x:v>Route mixed Arabic intent to the Arabic hub with native-reviewed copy.</x:v>
      </x:c>
      <x:c r="N183" s="13" t="n">
        <x:v>180</x:v>
      </x:c>
    </x:row>
    <x:row r="184" ht="65" customHeight="1">
      <x:c r="A184" s="13" t="str">
        <x:v>mercedes benz s class maybach service dubai</x:v>
      </x:c>
      <x:c r="B184" s="17" t="n">
        <x:v>0</x:v>
      </x:c>
      <x:c r="C184" s="17" t="n">
        <x:v>5</x:v>
      </x:c>
      <x:c r="D184" s="18" t="n">
        <x:v>0</x:v>
      </x:c>
      <x:c r="E184" s="19" t="n">
        <x:v>22</x:v>
      </x:c>
      <x:c r="F184" s="13" t="str">
        <x:v>Maybach model service</x:v>
      </x:c>
      <x:c r="G184" s="13" t="str">
        <x:v>MAYBACH</x:v>
      </x:c>
      <x:c r="H184" s="13" t="str">
        <x:v>https://digitecme.com/brands/maybach-service-dubai</x:v>
      </x:c>
      <x:c r="I184" s="13" t="str">
        <x:v>S-Class Maybach service</x:v>
      </x:c>
      <x:c r="J184" s="13" t="str">
        <x:v>Relevant</x:v>
      </x:c>
      <x:c r="K184" s="13" t="str">
        <x:f>IF(J184="Hold","Hold",IF(J184="Conditional","Conditional",IF(E184&lt;='Sources'!$B$5,"Protect",IF(AND(E184&lt;='Sources'!$B$7,C184&gt;='Sources'!$B$6),"P1",IF(OR(E184&lt;='Sources'!$B$7,C184&gt;='Sources'!$B$8),"P2","P3")))))</x:f>
        <x:v>P3</x:v>
      </x:c>
      <x:c r="L184" s="16" t="n">
        <x:f>IF(J184="Hold","",MAX(0,E184-'Sources'!$B$5))</x:f>
        <x:v>17</x:v>
      </x:c>
      <x:c r="M184" s="13" t="str">
        <x:v>Use the existing Maybach hub.</x:v>
      </x:c>
      <x:c r="N184" s="13" t="n">
        <x:v>181</x:v>
      </x:c>
    </x:row>
    <x:row r="185" ht="65" customHeight="1">
      <x:c r="A185" s="13" t="str">
        <x:v>mercedes benz e200 service dubai</x:v>
      </x:c>
      <x:c r="B185" s="17" t="n">
        <x:v>0</x:v>
      </x:c>
      <x:c r="C185" s="17" t="n">
        <x:v>4</x:v>
      </x:c>
      <x:c r="D185" s="18" t="n">
        <x:v>0</x:v>
      </x:c>
      <x:c r="E185" s="19" t="n">
        <x:v>2.25</x:v>
      </x:c>
      <x:c r="F185" s="13" t="str">
        <x:v>E-Class model service</x:v>
      </x:c>
      <x:c r="G185" s="13" t="str">
        <x:v>ECLASS</x:v>
      </x:c>
      <x:c r="H185" s="13" t="str">
        <x:v>https://digitecme.com/blog/mercedes-e-class-service-dubai-guide</x:v>
      </x:c>
      <x:c r="I185" s="13" t="str">
        <x:v>E-Class variants</x:v>
      </x:c>
      <x:c r="J185" s="13" t="str">
        <x:v>Relevant</x:v>
      </x:c>
      <x:c r="K185" s="13" t="str">
        <x:f>IF(J185="Hold","Hold",IF(J185="Conditional","Conditional",IF(E185&lt;='Sources'!$B$5,"Protect",IF(AND(E185&lt;='Sources'!$B$7,C185&gt;='Sources'!$B$6),"P1",IF(OR(E185&lt;='Sources'!$B$7,C185&gt;='Sources'!$B$8),"P2","P3")))))</x:f>
        <x:v>Protect</x:v>
      </x:c>
      <x:c r="L185" s="16" t="n">
        <x:f>IF(J185="Hold","",MAX(0,E185-'Sources'!$B$5))</x:f>
        <x:v>0</x:v>
      </x:c>
      <x:c r="M185" s="13" t="str">
        <x:v>Group relevant E-Class variants here; verify older E55 and coupe/cabriolet scope. E63 stays separate.</x:v>
      </x:c>
      <x:c r="N185" s="13" t="n">
        <x:v>182</x:v>
      </x:c>
    </x:row>
    <x:row r="186" ht="65" customHeight="1">
      <x:c r="A186" s="13" t="str">
        <x:v>mercedes service repair in dubai</x:v>
      </x:c>
      <x:c r="B186" s="17" t="n">
        <x:v>0</x:v>
      </x:c>
      <x:c r="C186" s="17" t="n">
        <x:v>4</x:v>
      </x:c>
      <x:c r="D186" s="18" t="n">
        <x:v>0</x:v>
      </x:c>
      <x:c r="E186" s="19" t="n">
        <x:v>2.25</x:v>
      </x:c>
      <x:c r="F186" s="13" t="str">
        <x:v>Scheduled service and maintenance</x:v>
      </x:c>
      <x:c r="G186" s="13" t="str">
        <x:v>HUB</x:v>
      </x:c>
      <x:c r="H186" s="13" t="str">
        <x:v>https://digitecme.com/brands/mercedes-benz-service-dubai</x:v>
      </x:c>
      <x:c r="I186" s="13" t="str">
        <x:v>Service A/B and minor/major scope</x:v>
      </x:c>
      <x:c r="J186" s="13" t="str">
        <x:v>Relevant</x:v>
      </x:c>
      <x:c r="K186" s="13" t="str">
        <x:f>IF(J186="Hold","Hold",IF(J186="Conditional","Conditional",IF(E186&lt;='Sources'!$B$5,"Protect",IF(AND(E186&lt;='Sources'!$B$7,C186&gt;='Sources'!$B$6),"P1",IF(OR(E186&lt;='Sources'!$B$7,C186&gt;='Sources'!$B$8),"P2","P3")))))</x:f>
        <x:v>Protect</x:v>
      </x:c>
      <x:c r="L186" s="16" t="n">
        <x:f>IF(J186="Hold","",MAX(0,E186-'Sources'!$B$5))</x:f>
        <x:v>0</x:v>
      </x:c>
      <x:c r="M186" s="13" t="str">
        <x:v>Use one service booking destination; explain scope and link oil-only work and informational schedules separately.</x:v>
      </x:c>
      <x:c r="N186" s="13" t="n">
        <x:v>183</x:v>
      </x:c>
    </x:row>
    <x:row r="187" ht="65" customHeight="1">
      <x:c r="A187" s="13" t="str">
        <x:v>mercedes benz c63 amg service dubai</x:v>
      </x:c>
      <x:c r="B187" s="17" t="n">
        <x:v>0</x:v>
      </x:c>
      <x:c r="C187" s="17" t="n">
        <x:v>4</x:v>
      </x:c>
      <x:c r="D187" s="18" t="n">
        <x:v>0</x:v>
      </x:c>
      <x:c r="E187" s="19" t="n">
        <x:v>5.25</x:v>
      </x:c>
      <x:c r="F187" s="13" t="str">
        <x:v>C63 model service</x:v>
      </x:c>
      <x:c r="G187" s="13" t="str">
        <x:v>C63</x:v>
      </x:c>
      <x:c r="H187" s="13" t="str">
        <x:v>https://digitecme.com/mercedes/models/c63-service-repair-dubai</x:v>
      </x:c>
      <x:c r="I187" s="13" t="str">
        <x:v>AMG C63 and coupe coverage</x:v>
      </x:c>
      <x:c r="J187" s="13" t="str">
        <x:v>Relevant</x:v>
      </x:c>
      <x:c r="K187" s="13" t="str">
        <x:f>IF(J187="Hold","Hold",IF(J187="Conditional","Conditional",IF(E187&lt;='Sources'!$B$5,"Protect",IF(AND(E187&lt;='Sources'!$B$7,C187&gt;='Sources'!$B$6),"P1",IF(OR(E187&lt;='Sources'!$B$7,C187&gt;='Sources'!$B$8),"P2","P3")))))</x:f>
        <x:v>P2</x:v>
      </x:c>
      <x:c r="L187" s="16" t="n">
        <x:f>IF(J187="Hold","",MAX(0,E187-'Sources'!$B$5))</x:f>
        <x:v>0.25</x:v>
      </x:c>
      <x:c r="M187" s="13" t="str">
        <x:v>Check exact generation and body style before adding scope.</x:v>
      </x:c>
      <x:c r="N187" s="13" t="n">
        <x:v>184</x:v>
      </x:c>
    </x:row>
    <x:row r="188" ht="65" customHeight="1">
      <x:c r="A188" s="13" t="str">
        <x:v>mercedes benz c300 service dubai</x:v>
      </x:c>
      <x:c r="B188" s="17" t="n">
        <x:v>0</x:v>
      </x:c>
      <x:c r="C188" s="17" t="n">
        <x:v>4</x:v>
      </x:c>
      <x:c r="D188" s="18" t="n">
        <x:v>0</x:v>
      </x:c>
      <x:c r="E188" s="19" t="n">
        <x:v>6.5</x:v>
      </x:c>
      <x:c r="F188" s="13" t="str">
        <x:v>C-Class model service</x:v>
      </x:c>
      <x:c r="G188" s="13" t="str">
        <x:v>CCLASS</x:v>
      </x:c>
      <x:c r="H188" s="13" t="str">
        <x:v>https://digitecme.com/blog/mercedes-c-class-service-dubai-guide</x:v>
      </x:c>
      <x:c r="I188" s="13" t="str">
        <x:v>C-Class variants</x:v>
      </x:c>
      <x:c r="J188" s="13" t="str">
        <x:v>Relevant</x:v>
      </x:c>
      <x:c r="K188" s="13" t="str">
        <x:f>IF(J188="Hold","Hold",IF(J188="Conditional","Conditional",IF(E188&lt;='Sources'!$B$5,"Protect",IF(AND(E188&lt;='Sources'!$B$7,C188&gt;='Sources'!$B$6),"P1",IF(OR(E188&lt;='Sources'!$B$7,C188&gt;='Sources'!$B$8),"P2","P3")))))</x:f>
        <x:v>P2</x:v>
      </x:c>
      <x:c r="L188" s="16" t="n">
        <x:f>IF(J188="Hold","",MAX(0,E188-'Sources'!$B$5))</x:f>
        <x:v>1.5</x:v>
      </x:c>
      <x:c r="M188" s="13" t="str">
        <x:v>Add applicable C200/C240/C300/C43/coupe detail only when confirmed; C63 stays separate.</x:v>
      </x:c>
      <x:c r="N188" s="13" t="n">
        <x:v>185</x:v>
      </x:c>
    </x:row>
    <x:row r="189" ht="65" customHeight="1">
      <x:c r="A189" s="13" t="str">
        <x:v>ac mercedes benz</x:v>
      </x:c>
      <x:c r="B189" s="17" t="n">
        <x:v>0</x:v>
      </x:c>
      <x:c r="C189" s="17" t="n">
        <x:v>4</x:v>
      </x:c>
      <x:c r="D189" s="18" t="n">
        <x:v>0</x:v>
      </x:c>
      <x:c r="E189" s="19" t="n">
        <x:v>6.75</x:v>
      </x:c>
      <x:c r="F189" s="13" t="str">
        <x:v>AC repair</x:v>
      </x:c>
      <x:c r="G189" s="13" t="str">
        <x:v>AC</x:v>
      </x:c>
      <x:c r="H189" s="13" t="str">
        <x:v>https://digitecme.com/services/mercedes-ac-repair-dubai</x:v>
      </x:c>
      <x:c r="I189" s="13" t="str">
        <x:v>AC diagnosis, recharge and repair</x:v>
      </x:c>
      <x:c r="J189" s="13" t="str">
        <x:v>Relevant</x:v>
      </x:c>
      <x:c r="K189" s="13" t="str">
        <x:f>IF(J189="Hold","Hold",IF(J189="Conditional","Conditional",IF(E189&lt;='Sources'!$B$5,"Protect",IF(AND(E189&lt;='Sources'!$B$7,C189&gt;='Sources'!$B$6),"P1",IF(OR(E189&lt;='Sources'!$B$7,C189&gt;='Sources'!$B$8),"P2","P3")))))</x:f>
        <x:v>P2</x:v>
      </x:c>
      <x:c r="L189" s="16" t="n">
        <x:f>IF(J189="Hold","",MAX(0,E189-'Sources'!$B$5))</x:f>
        <x:v>1.75</x:v>
      </x:c>
      <x:c r="M189" s="13" t="str">
        <x:v>Use AC and air conditioning as natural wording on the same page.</x:v>
      </x:c>
      <x:c r="N189" s="13" t="n">
        <x:v>186</x:v>
      </x:c>
    </x:row>
    <x:row r="190" ht="65" customHeight="1">
      <x:c r="A190" s="13" t="str">
        <x:v>mercedes car specialist dubai</x:v>
      </x:c>
      <x:c r="B190" s="17" t="n">
        <x:v>0</x:v>
      </x:c>
      <x:c r="C190" s="17" t="n">
        <x:v>4</x:v>
      </x:c>
      <x:c r="D190" s="18" t="n">
        <x:v>0</x:v>
      </x:c>
      <x:c r="E190" s="19" t="n">
        <x:v>7.25</x:v>
      </x:c>
      <x:c r="F190" s="13" t="str">
        <x:v>General repair and workshop</x:v>
      </x:c>
      <x:c r="G190" s="13" t="str">
        <x:v>HUB</x:v>
      </x:c>
      <x:c r="H190" s="13" t="str">
        <x:v>https://digitecme.com/brands/mercedes-benz-service-dubai</x:v>
      </x:c>
      <x:c r="I190" s="13" t="str">
        <x:v>Workshop and booking</x:v>
      </x:c>
      <x:c r="J190" s="13" t="str">
        <x:v>Relevant</x:v>
      </x:c>
      <x:c r="K190" s="13" t="str">
        <x:f>IF(J190="Hold","Hold",IF(J190="Conditional","Conditional",IF(E190&lt;='Sources'!$B$5,"Protect",IF(AND(E190&lt;='Sources'!$B$7,C190&gt;='Sources'!$B$6),"P1",IF(OR(E190&lt;='Sources'!$B$7,C190&gt;='Sources'!$B$8),"P2","P3")))))</x:f>
        <x:v>P2</x:v>
      </x:c>
      <x:c r="L190" s="16" t="n">
        <x:f>IF(J190="Hold","",MAX(0,E190-'Sources'!$B$5))</x:f>
        <x:v>2.25</x:v>
      </x:c>
      <x:c r="M190" s="13" t="str">
        <x:v>Use the main Mercedes page for broad repair, service, garage and specialist wording.</x:v>
      </x:c>
      <x:c r="N190" s="13" t="n">
        <x:v>187</x:v>
      </x:c>
    </x:row>
    <x:row r="191" ht="65" customHeight="1">
      <x:c r="A191" s="13" t="str">
        <x:v>mercedes benz specialist near me</x:v>
      </x:c>
      <x:c r="B191" s="17" t="n">
        <x:v>0</x:v>
      </x:c>
      <x:c r="C191" s="17" t="n">
        <x:v>4</x:v>
      </x:c>
      <x:c r="D191" s="18" t="n">
        <x:v>0</x:v>
      </x:c>
      <x:c r="E191" s="19" t="n">
        <x:v>7.5</x:v>
      </x:c>
      <x:c r="F191" s="13" t="str">
        <x:v>General repair and workshop</x:v>
      </x:c>
      <x:c r="G191" s="13" t="str">
        <x:v>HUB</x:v>
      </x:c>
      <x:c r="H191" s="13" t="str">
        <x:v>https://digitecme.com/brands/mercedes-benz-service-dubai</x:v>
      </x:c>
      <x:c r="I191" s="13" t="str">
        <x:v>Workshop and booking</x:v>
      </x:c>
      <x:c r="J191" s="13" t="str">
        <x:v>Relevant</x:v>
      </x:c>
      <x:c r="K191" s="13" t="str">
        <x:f>IF(J191="Hold","Hold",IF(J191="Conditional","Conditional",IF(E191&lt;='Sources'!$B$5,"Protect",IF(AND(E191&lt;='Sources'!$B$7,C191&gt;='Sources'!$B$6),"P1",IF(OR(E191&lt;='Sources'!$B$7,C191&gt;='Sources'!$B$8),"P2","P3")))))</x:f>
        <x:v>P2</x:v>
      </x:c>
      <x:c r="L191" s="16" t="n">
        <x:f>IF(J191="Hold","",MAX(0,E191-'Sources'!$B$5))</x:f>
        <x:v>2.5</x:v>
      </x:c>
      <x:c r="M191" s="13" t="str">
        <x:v>Use the main Mercedes page for broad repair, service, garage and specialist wording. Include accurate Al Quoz location and Business Profile links; proximity varies by searcher.</x:v>
      </x:c>
      <x:c r="N191" s="13" t="n">
        <x:v>188</x:v>
      </x:c>
    </x:row>
    <x:row r="192" ht="65" customHeight="1">
      <x:c r="A192" s="13" t="str">
        <x:v>mercedes benz gle class service dubai</x:v>
      </x:c>
      <x:c r="B192" s="17" t="n">
        <x:v>0</x:v>
      </x:c>
      <x:c r="C192" s="17" t="n">
        <x:v>4</x:v>
      </x:c>
      <x:c r="D192" s="18" t="n">
        <x:v>0</x:v>
      </x:c>
      <x:c r="E192" s="19" t="n">
        <x:v>8.5</x:v>
      </x:c>
      <x:c r="F192" s="13" t="str">
        <x:v>GLE and ML model service</x:v>
      </x:c>
      <x:c r="G192" s="13" t="str">
        <x:v>GLE</x:v>
      </x:c>
      <x:c r="H192" s="13" t="str">
        <x:v>https://digitecme.com/mercedes/models/gle-service-repair-dubai</x:v>
      </x:c>
      <x:c r="I192" s="13" t="str">
        <x:v>GLE/ML variants</x:v>
      </x:c>
      <x:c r="J192" s="13" t="str">
        <x:v>Relevant</x:v>
      </x:c>
      <x:c r="K192" s="13" t="str">
        <x:f>IF(J192="Hold","Hold",IF(J192="Conditional","Conditional",IF(E192&lt;='Sources'!$B$5,"Protect",IF(AND(E192&lt;='Sources'!$B$7,C192&gt;='Sources'!$B$6),"P1",IF(OR(E192&lt;='Sources'!$B$7,C192&gt;='Sources'!$B$8),"P2","P3")))))</x:f>
        <x:v>P2</x:v>
      </x:c>
      <x:c r="L192" s="16" t="n">
        <x:f>IF(J192="Hold","",MAX(0,E192-'Sources'!$B$5))</x:f>
        <x:v>3.5</x:v>
      </x:c>
      <x:c r="M192" s="13" t="str">
        <x:v>Verify older ML/M-Class, coupe and AMG coverage and clearly distinguish generations.</x:v>
      </x:c>
      <x:c r="N192" s="13" t="n">
        <x:v>189</x:v>
      </x:c>
    </x:row>
    <x:row r="193" ht="65" customHeight="1">
      <x:c r="A193" s="13" t="str">
        <x:v>mercedes benz 600 service dubai</x:v>
      </x:c>
      <x:c r="B193" s="17" t="n">
        <x:v>0</x:v>
      </x:c>
      <x:c r="C193" s="17" t="n">
        <x:v>4</x:v>
      </x:c>
      <x:c r="D193" s="18" t="n">
        <x:v>0</x:v>
      </x:c>
      <x:c r="E193" s="19" t="n">
        <x:v>9.5</x:v>
      </x:c>
      <x:c r="F193" s="13" t="str">
        <x:v>Other Mercedes model service</x:v>
      </x:c>
      <x:c r="G193" s="13" t="str">
        <x:v>HUB</x:v>
      </x:c>
      <x:c r="H193" s="13" t="str">
        <x:v>https://digitecme.com/brands/mercedes-benz-service-dubai</x:v>
      </x:c>
      <x:c r="I193" s="13" t="str">
        <x:v>Models serviced</x:v>
      </x:c>
      <x:c r="J193" s="13" t="str">
        <x:v>Conditional</x:v>
      </x:c>
      <x:c r="K193" s="13" t="str">
        <x:f>IF(J193="Hold","Hold",IF(J193="Conditional","Conditional",IF(E193&lt;='Sources'!$B$5,"Protect",IF(AND(E193&lt;='Sources'!$B$7,C193&gt;='Sources'!$B$6),"P1",IF(OR(E193&lt;='Sources'!$B$7,C193&gt;='Sources'!$B$8),"P2","P3")))))</x:f>
        <x:v>Conditional</x:v>
      </x:c>
      <x:c r="L193" s="16" t="n">
        <x:f>IF(J193="Hold","",MAX(0,E193-'Sources'!$B$5))</x:f>
        <x:v>4.5</x:v>
      </x:c>
      <x:c r="M193" s="13" t="str">
        <x:v>Use a confirmed model-family section on the hub initially. A dedicated family page needs service evidence and sustained demand; do not publish a thin page per variant. Confirm exact classic, rare-model or van workshop coverage before making landing-page claims.</x:v>
      </x:c>
      <x:c r="N193" s="13" t="n">
        <x:v>190</x:v>
      </x:c>
    </x:row>
    <x:row r="194" ht="65" customHeight="1">
      <x:c r="A194" s="13" t="str">
        <x:v>mercedes benz sl class service dubai</x:v>
      </x:c>
      <x:c r="B194" s="17" t="n">
        <x:v>0</x:v>
      </x:c>
      <x:c r="C194" s="17" t="n">
        <x:v>4</x:v>
      </x:c>
      <x:c r="D194" s="18" t="n">
        <x:v>0</x:v>
      </x:c>
      <x:c r="E194" s="19" t="n">
        <x:v>9.5</x:v>
      </x:c>
      <x:c r="F194" s="13" t="str">
        <x:v>Other Mercedes model service</x:v>
      </x:c>
      <x:c r="G194" s="13" t="str">
        <x:v>HUB</x:v>
      </x:c>
      <x:c r="H194" s="13" t="str">
        <x:v>https://digitecme.com/brands/mercedes-benz-service-dubai</x:v>
      </x:c>
      <x:c r="I194" s="13" t="str">
        <x:v>Models serviced</x:v>
      </x:c>
      <x:c r="J194" s="13" t="str">
        <x:v>Relevant</x:v>
      </x:c>
      <x:c r="K194" s="13" t="str">
        <x:f>IF(J194="Hold","Hold",IF(J194="Conditional","Conditional",IF(E194&lt;='Sources'!$B$5,"Protect",IF(AND(E194&lt;='Sources'!$B$7,C194&gt;='Sources'!$B$6),"P1",IF(OR(E194&lt;='Sources'!$B$7,C194&gt;='Sources'!$B$8),"P2","P3")))))</x:f>
        <x:v>P2</x:v>
      </x:c>
      <x:c r="L194" s="16" t="n">
        <x:f>IF(J194="Hold","",MAX(0,E194-'Sources'!$B$5))</x:f>
        <x:v>4.5</x:v>
      </x:c>
      <x:c r="M194" s="13" t="str">
        <x:v>Use a confirmed model-family section on the hub initially. A dedicated family page needs service evidence and sustained demand; do not publish a thin page per variant.</x:v>
      </x:c>
      <x:c r="N194" s="13" t="n">
        <x:v>191</x:v>
      </x:c>
    </x:row>
    <x:row r="195" ht="65" customHeight="1">
      <x:c r="A195" s="13" t="str">
        <x:v>mercedes diagnostic service</x:v>
      </x:c>
      <x:c r="B195" s="17" t="n">
        <x:v>0</x:v>
      </x:c>
      <x:c r="C195" s="17" t="n">
        <x:v>4</x:v>
      </x:c>
      <x:c r="D195" s="18" t="n">
        <x:v>0</x:v>
      </x:c>
      <x:c r="E195" s="19" t="n">
        <x:v>10</x:v>
      </x:c>
      <x:c r="F195" s="13" t="str">
        <x:v>Diagnostics and coding</x:v>
      </x:c>
      <x:c r="G195" s="13" t="str">
        <x:v>DIAG</x:v>
      </x:c>
      <x:c r="H195" s="13" t="str">
        <x:v>https://digitecme.com/services/mercedes-diagnostics-dubai</x:v>
      </x:c>
      <x:c r="I195" s="13" t="str">
        <x:v>Diagnostic process</x:v>
      </x:c>
      <x:c r="J195" s="13" t="str">
        <x:v>Relevant</x:v>
      </x:c>
      <x:c r="K195" s="13" t="str">
        <x:f>IF(J195="Hold","Hold",IF(J195="Conditional","Conditional",IF(E195&lt;='Sources'!$B$5,"Protect",IF(AND(E195&lt;='Sources'!$B$7,C195&gt;='Sources'!$B$6),"P1",IF(OR(E195&lt;='Sources'!$B$7,C195&gt;='Sources'!$B$8),"P2","P3")))))</x:f>
        <x:v>P2</x:v>
      </x:c>
      <x:c r="L195" s="16" t="n">
        <x:f>IF(J195="Hold","",MAX(0,E195-'Sources'!$B$5))</x:f>
        <x:v>5</x:v>
      </x:c>
      <x:c r="M195" s="13" t="str">
        <x:v>Match supported vehicle/module functions; do not create a page per fault code.</x:v>
      </x:c>
      <x:c r="N195" s="13" t="n">
        <x:v>192</x:v>
      </x:c>
    </x:row>
    <x:row r="196" ht="65" customHeight="1">
      <x:c r="A196" s="13" t="str">
        <x:v>mercedes benz gls63 amg service dubai</x:v>
      </x:c>
      <x:c r="B196" s="17" t="n">
        <x:v>0</x:v>
      </x:c>
      <x:c r="C196" s="17" t="n">
        <x:v>4</x:v>
      </x:c>
      <x:c r="D196" s="18" t="n">
        <x:v>0</x:v>
      </x:c>
      <x:c r="E196" s="19" t="n">
        <x:v>10.5</x:v>
      </x:c>
      <x:c r="F196" s="13" t="str">
        <x:v>GLS and GL model service</x:v>
      </x:c>
      <x:c r="G196" s="13" t="str">
        <x:v>GLS</x:v>
      </x:c>
      <x:c r="H196" s="13" t="str">
        <x:v>https://digitecme.com/mercedes/models/gls-service-repair-dubai</x:v>
      </x:c>
      <x:c r="I196" s="13" t="str">
        <x:v>GLS/GL variants</x:v>
      </x:c>
      <x:c r="J196" s="13" t="str">
        <x:v>Relevant</x:v>
      </x:c>
      <x:c r="K196" s="13" t="str">
        <x:f>IF(J196="Hold","Hold",IF(J196="Conditional","Conditional",IF(E196&lt;='Sources'!$B$5,"Protect",IF(AND(E196&lt;='Sources'!$B$7,C196&gt;='Sources'!$B$6),"P1",IF(OR(E196&lt;='Sources'!$B$7,C196&gt;='Sources'!$B$8),"P2","P3")))))</x:f>
        <x:v>P2</x:v>
      </x:c>
      <x:c r="L196" s="16" t="n">
        <x:f>IF(J196="Hold","",MAX(0,E196-'Sources'!$B$5))</x:f>
        <x:v>5.5</x:v>
      </x:c>
      <x:c r="M196" s="13" t="str">
        <x:v>Verify older GL and AMG coverage; do not assume identical systems.</x:v>
      </x:c>
      <x:c r="N196" s="13" t="n">
        <x:v>193</x:v>
      </x:c>
    </x:row>
    <x:row r="197" ht="65" customHeight="1">
      <x:c r="A197" s="13" t="str">
        <x:v>mercedes benz gla class service dubai</x:v>
      </x:c>
      <x:c r="B197" s="17" t="n">
        <x:v>0</x:v>
      </x:c>
      <x:c r="C197" s="17" t="n">
        <x:v>4</x:v>
      </x:c>
      <x:c r="D197" s="18" t="n">
        <x:v>0</x:v>
      </x:c>
      <x:c r="E197" s="19" t="n">
        <x:v>11.5</x:v>
      </x:c>
      <x:c r="F197" s="13" t="str">
        <x:v>Other Mercedes model service</x:v>
      </x:c>
      <x:c r="G197" s="13" t="str">
        <x:v>HUB</x:v>
      </x:c>
      <x:c r="H197" s="13" t="str">
        <x:v>https://digitecme.com/brands/mercedes-benz-service-dubai</x:v>
      </x:c>
      <x:c r="I197" s="13" t="str">
        <x:v>Models serviced</x:v>
      </x:c>
      <x:c r="J197" s="13" t="str">
        <x:v>Relevant</x:v>
      </x:c>
      <x:c r="K197" s="13" t="str">
        <x:f>IF(J197="Hold","Hold",IF(J197="Conditional","Conditional",IF(E197&lt;='Sources'!$B$5,"Protect",IF(AND(E197&lt;='Sources'!$B$7,C197&gt;='Sources'!$B$6),"P1",IF(OR(E197&lt;='Sources'!$B$7,C197&gt;='Sources'!$B$8),"P2","P3")))))</x:f>
        <x:v>P2</x:v>
      </x:c>
      <x:c r="L197" s="16" t="n">
        <x:f>IF(J197="Hold","",MAX(0,E197-'Sources'!$B$5))</x:f>
        <x:v>6.5</x:v>
      </x:c>
      <x:c r="M197" s="13" t="str">
        <x:v>Use a confirmed model-family section on the hub initially. A dedicated family page needs service evidence and sustained demand; do not publish a thin page per variant.</x:v>
      </x:c>
      <x:c r="N197" s="13" t="n">
        <x:v>194</x:v>
      </x:c>
    </x:row>
    <x:row r="198" ht="65" customHeight="1">
      <x:c r="A198" s="13" t="str">
        <x:v>mercedes benz c200 service dubai</x:v>
      </x:c>
      <x:c r="B198" s="17" t="n">
        <x:v>0</x:v>
      </x:c>
      <x:c r="C198" s="17" t="n">
        <x:v>4</x:v>
      </x:c>
      <x:c r="D198" s="18" t="n">
        <x:v>0</x:v>
      </x:c>
      <x:c r="E198" s="19" t="n">
        <x:v>11.75</x:v>
      </x:c>
      <x:c r="F198" s="13" t="str">
        <x:v>C-Class model service</x:v>
      </x:c>
      <x:c r="G198" s="13" t="str">
        <x:v>CCLASS</x:v>
      </x:c>
      <x:c r="H198" s="13" t="str">
        <x:v>https://digitecme.com/blog/mercedes-c-class-service-dubai-guide</x:v>
      </x:c>
      <x:c r="I198" s="13" t="str">
        <x:v>C-Class variants</x:v>
      </x:c>
      <x:c r="J198" s="13" t="str">
        <x:v>Relevant</x:v>
      </x:c>
      <x:c r="K198" s="13" t="str">
        <x:f>IF(J198="Hold","Hold",IF(J198="Conditional","Conditional",IF(E198&lt;='Sources'!$B$5,"Protect",IF(AND(E198&lt;='Sources'!$B$7,C198&gt;='Sources'!$B$6),"P1",IF(OR(E198&lt;='Sources'!$B$7,C198&gt;='Sources'!$B$8),"P2","P3")))))</x:f>
        <x:v>P2</x:v>
      </x:c>
      <x:c r="L198" s="16" t="n">
        <x:f>IF(J198="Hold","",MAX(0,E198-'Sources'!$B$5))</x:f>
        <x:v>6.75</x:v>
      </x:c>
      <x:c r="M198" s="13" t="str">
        <x:v>Add applicable C200/C240/C300/C43/coupe detail only when confirmed; C63 stays separate.</x:v>
      </x:c>
      <x:c r="N198" s="13" t="n">
        <x:v>195</x:v>
      </x:c>
    </x:row>
    <x:row r="199" ht="65" customHeight="1">
      <x:c r="A199" s="13" t="str">
        <x:v>mercedes benz cls shooting brake service dubai</x:v>
      </x:c>
      <x:c r="B199" s="17" t="n">
        <x:v>0</x:v>
      </x:c>
      <x:c r="C199" s="17" t="n">
        <x:v>4</x:v>
      </x:c>
      <x:c r="D199" s="18" t="n">
        <x:v>0</x:v>
      </x:c>
      <x:c r="E199" s="19" t="n">
        <x:v>11.75</x:v>
      </x:c>
      <x:c r="F199" s="13" t="str">
        <x:v>Other Mercedes model service</x:v>
      </x:c>
      <x:c r="G199" s="13" t="str">
        <x:v>HUB</x:v>
      </x:c>
      <x:c r="H199" s="13" t="str">
        <x:v>https://digitecme.com/brands/mercedes-benz-service-dubai</x:v>
      </x:c>
      <x:c r="I199" s="13" t="str">
        <x:v>Models serviced</x:v>
      </x:c>
      <x:c r="J199" s="13" t="str">
        <x:v>Relevant</x:v>
      </x:c>
      <x:c r="K199" s="13" t="str">
        <x:f>IF(J199="Hold","Hold",IF(J199="Conditional","Conditional",IF(E199&lt;='Sources'!$B$5,"Protect",IF(AND(E199&lt;='Sources'!$B$7,C199&gt;='Sources'!$B$6),"P1",IF(OR(E199&lt;='Sources'!$B$7,C199&gt;='Sources'!$B$8),"P2","P3")))))</x:f>
        <x:v>P2</x:v>
      </x:c>
      <x:c r="L199" s="16" t="n">
        <x:f>IF(J199="Hold","",MAX(0,E199-'Sources'!$B$5))</x:f>
        <x:v>6.75</x:v>
      </x:c>
      <x:c r="M199" s="13" t="str">
        <x:v>Use a confirmed model-family section on the hub initially. A dedicated family page needs service evidence and sustained demand; do not publish a thin page per variant.</x:v>
      </x:c>
      <x:c r="N199" s="13" t="n">
        <x:v>196</x:v>
      </x:c>
    </x:row>
    <x:row r="200" ht="65" customHeight="1">
      <x:c r="A200" s="13" t="str">
        <x:v>mercedes benz 320 service dubai</x:v>
      </x:c>
      <x:c r="B200" s="17" t="n">
        <x:v>0</x:v>
      </x:c>
      <x:c r="C200" s="17" t="n">
        <x:v>4</x:v>
      </x:c>
      <x:c r="D200" s="18" t="n">
        <x:v>0</x:v>
      </x:c>
      <x:c r="E200" s="19" t="n">
        <x:v>13.5</x:v>
      </x:c>
      <x:c r="F200" s="13" t="str">
        <x:v>Other Mercedes model service</x:v>
      </x:c>
      <x:c r="G200" s="13" t="str">
        <x:v>HUB</x:v>
      </x:c>
      <x:c r="H200" s="13" t="str">
        <x:v>https://digitecme.com/brands/mercedes-benz-service-dubai</x:v>
      </x:c>
      <x:c r="I200" s="13" t="str">
        <x:v>Models serviced</x:v>
      </x:c>
      <x:c r="J200" s="13" t="str">
        <x:v>Conditional</x:v>
      </x:c>
      <x:c r="K200" s="13" t="str">
        <x:f>IF(J200="Hold","Hold",IF(J200="Conditional","Conditional",IF(E200&lt;='Sources'!$B$5,"Protect",IF(AND(E200&lt;='Sources'!$B$7,C200&gt;='Sources'!$B$6),"P1",IF(OR(E200&lt;='Sources'!$B$7,C200&gt;='Sources'!$B$8),"P2","P3")))))</x:f>
        <x:v>Conditional</x:v>
      </x:c>
      <x:c r="L200" s="16" t="n">
        <x:f>IF(J200="Hold","",MAX(0,E200-'Sources'!$B$5))</x:f>
        <x:v>8.5</x:v>
      </x:c>
      <x:c r="M200" s="13" t="str">
        <x:v>Use a confirmed model-family section on the hub initially. A dedicated family page needs service evidence and sustained demand; do not publish a thin page per variant. Confirm exact classic, rare-model or van workshop coverage before making landing-page claims.</x:v>
      </x:c>
      <x:c r="N200" s="13" t="n">
        <x:v>197</x:v>
      </x:c>
    </x:row>
    <x:row r="201" ht="65" customHeight="1">
      <x:c r="A201" s="13" t="str">
        <x:v>mercedes benz 260 service dubai</x:v>
      </x:c>
      <x:c r="B201" s="17" t="n">
        <x:v>0</x:v>
      </x:c>
      <x:c r="C201" s="17" t="n">
        <x:v>4</x:v>
      </x:c>
      <x:c r="D201" s="18" t="n">
        <x:v>0</x:v>
      </x:c>
      <x:c r="E201" s="19" t="n">
        <x:v>14.5</x:v>
      </x:c>
      <x:c r="F201" s="13" t="str">
        <x:v>Other Mercedes model service</x:v>
      </x:c>
      <x:c r="G201" s="13" t="str">
        <x:v>HUB</x:v>
      </x:c>
      <x:c r="H201" s="13" t="str">
        <x:v>https://digitecme.com/brands/mercedes-benz-service-dubai</x:v>
      </x:c>
      <x:c r="I201" s="13" t="str">
        <x:v>Models serviced</x:v>
      </x:c>
      <x:c r="J201" s="13" t="str">
        <x:v>Conditional</x:v>
      </x:c>
      <x:c r="K201" s="13" t="str">
        <x:f>IF(J201="Hold","Hold",IF(J201="Conditional","Conditional",IF(E201&lt;='Sources'!$B$5,"Protect",IF(AND(E201&lt;='Sources'!$B$7,C201&gt;='Sources'!$B$6),"P1",IF(OR(E201&lt;='Sources'!$B$7,C201&gt;='Sources'!$B$8),"P2","P3")))))</x:f>
        <x:v>Conditional</x:v>
      </x:c>
      <x:c r="L201" s="16" t="n">
        <x:f>IF(J201="Hold","",MAX(0,E201-'Sources'!$B$5))</x:f>
        <x:v>9.5</x:v>
      </x:c>
      <x:c r="M201" s="13" t="str">
        <x:v>Use a confirmed model-family section on the hub initially. A dedicated family page needs service evidence and sustained demand; do not publish a thin page per variant. Confirm exact classic, rare-model or van workshop coverage before making landing-page claims.</x:v>
      </x:c>
      <x:c r="N201" s="13" t="n">
        <x:v>198</x:v>
      </x:c>
    </x:row>
    <x:row r="202" ht="65" customHeight="1">
      <x:c r="A202" s="13" t="str">
        <x:v>mercedes servicing dubai</x:v>
      </x:c>
      <x:c r="B202" s="17" t="n">
        <x:v>0</x:v>
      </x:c>
      <x:c r="C202" s="17" t="n">
        <x:v>4</x:v>
      </x:c>
      <x:c r="D202" s="18" t="n">
        <x:v>0</x:v>
      </x:c>
      <x:c r="E202" s="19" t="n">
        <x:v>14.5</x:v>
      </x:c>
      <x:c r="F202" s="13" t="str">
        <x:v>Scheduled service and maintenance</x:v>
      </x:c>
      <x:c r="G202" s="13" t="str">
        <x:v>HUB</x:v>
      </x:c>
      <x:c r="H202" s="13" t="str">
        <x:v>https://digitecme.com/brands/mercedes-benz-service-dubai</x:v>
      </x:c>
      <x:c r="I202" s="13" t="str">
        <x:v>Service A/B and minor/major scope</x:v>
      </x:c>
      <x:c r="J202" s="13" t="str">
        <x:v>Relevant</x:v>
      </x:c>
      <x:c r="K202" s="13" t="str">
        <x:f>IF(J202="Hold","Hold",IF(J202="Conditional","Conditional",IF(E202&lt;='Sources'!$B$5,"Protect",IF(AND(E202&lt;='Sources'!$B$7,C202&gt;='Sources'!$B$6),"P1",IF(OR(E202&lt;='Sources'!$B$7,C202&gt;='Sources'!$B$8),"P2","P3")))))</x:f>
        <x:v>P2</x:v>
      </x:c>
      <x:c r="L202" s="16" t="n">
        <x:f>IF(J202="Hold","",MAX(0,E202-'Sources'!$B$5))</x:f>
        <x:v>9.5</x:v>
      </x:c>
      <x:c r="M202" s="13" t="str">
        <x:v>Use one service booking destination; explain scope and link oil-only work and informational schedules separately.</x:v>
      </x:c>
      <x:c r="N202" s="13" t="n">
        <x:v>199</x:v>
      </x:c>
    </x:row>
    <x:row r="203" ht="65" customHeight="1">
      <x:c r="A203" s="13" t="str">
        <x:v>mercedes benz ml63 amg service dubai</x:v>
      </x:c>
      <x:c r="B203" s="17" t="n">
        <x:v>0</x:v>
      </x:c>
      <x:c r="C203" s="17" t="n">
        <x:v>4</x:v>
      </x:c>
      <x:c r="D203" s="18" t="n">
        <x:v>0</x:v>
      </x:c>
      <x:c r="E203" s="19" t="n">
        <x:v>15.75</x:v>
      </x:c>
      <x:c r="F203" s="13" t="str">
        <x:v>GLE and ML model service</x:v>
      </x:c>
      <x:c r="G203" s="13" t="str">
        <x:v>GLE</x:v>
      </x:c>
      <x:c r="H203" s="13" t="str">
        <x:v>https://digitecme.com/mercedes/models/gle-service-repair-dubai</x:v>
      </x:c>
      <x:c r="I203" s="13" t="str">
        <x:v>GLE/ML variants</x:v>
      </x:c>
      <x:c r="J203" s="13" t="str">
        <x:v>Relevant</x:v>
      </x:c>
      <x:c r="K203" s="13" t="str">
        <x:f>IF(J203="Hold","Hold",IF(J203="Conditional","Conditional",IF(E203&lt;='Sources'!$B$5,"Protect",IF(AND(E203&lt;='Sources'!$B$7,C203&gt;='Sources'!$B$6),"P1",IF(OR(E203&lt;='Sources'!$B$7,C203&gt;='Sources'!$B$8),"P2","P3")))))</x:f>
        <x:v>P2</x:v>
      </x:c>
      <x:c r="L203" s="16" t="n">
        <x:f>IF(J203="Hold","",MAX(0,E203-'Sources'!$B$5))</x:f>
        <x:v>10.75</x:v>
      </x:c>
      <x:c r="M203" s="13" t="str">
        <x:v>Verify older ML/M-Class, coupe and AMG coverage and clearly distinguish generations.</x:v>
      </x:c>
      <x:c r="N203" s="13" t="n">
        <x:v>200</x:v>
      </x:c>
    </x:row>
    <x:row r="204" ht="65" customHeight="1">
      <x:c r="A204" s="13" t="str">
        <x:v>mercedes benz citan service dubai</x:v>
      </x:c>
      <x:c r="B204" s="17" t="n">
        <x:v>0</x:v>
      </x:c>
      <x:c r="C204" s="17" t="n">
        <x:v>4</x:v>
      </x:c>
      <x:c r="D204" s="18" t="n">
        <x:v>0</x:v>
      </x:c>
      <x:c r="E204" s="19" t="n">
        <x:v>17</x:v>
      </x:c>
      <x:c r="F204" s="13" t="str">
        <x:v>Other Mercedes model service</x:v>
      </x:c>
      <x:c r="G204" s="13" t="str">
        <x:v>HUB</x:v>
      </x:c>
      <x:c r="H204" s="13" t="str">
        <x:v>https://digitecme.com/brands/mercedes-benz-service-dubai</x:v>
      </x:c>
      <x:c r="I204" s="13" t="str">
        <x:v>Models serviced</x:v>
      </x:c>
      <x:c r="J204" s="13" t="str">
        <x:v>Conditional</x:v>
      </x:c>
      <x:c r="K204" s="13" t="str">
        <x:f>IF(J204="Hold","Hold",IF(J204="Conditional","Conditional",IF(E204&lt;='Sources'!$B$5,"Protect",IF(AND(E204&lt;='Sources'!$B$7,C204&gt;='Sources'!$B$6),"P1",IF(OR(E204&lt;='Sources'!$B$7,C204&gt;='Sources'!$B$8),"P2","P3")))))</x:f>
        <x:v>Conditional</x:v>
      </x:c>
      <x:c r="L204" s="16" t="n">
        <x:f>IF(J204="Hold","",MAX(0,E204-'Sources'!$B$5))</x:f>
        <x:v>12</x:v>
      </x:c>
      <x:c r="M204" s="13" t="str">
        <x:v>Use a confirmed model-family section on the hub initially. A dedicated family page needs service evidence and sustained demand; do not publish a thin page per variant. Confirm exact classic, rare-model or van workshop coverage before making landing-page claims.</x:v>
      </x:c>
      <x:c r="N204" s="13" t="n">
        <x:v>201</x:v>
      </x:c>
    </x:row>
    <x:row r="205" ht="65" customHeight="1">
      <x:c r="A205" s="13" t="str">
        <x:v>mercedes benz glc43 amg coupe service dubai</x:v>
      </x:c>
      <x:c r="B205" s="17" t="n">
        <x:v>0</x:v>
      </x:c>
      <x:c r="C205" s="17" t="n">
        <x:v>4</x:v>
      </x:c>
      <x:c r="D205" s="18" t="n">
        <x:v>0</x:v>
      </x:c>
      <x:c r="E205" s="19" t="n">
        <x:v>17.25</x:v>
      </x:c>
      <x:c r="F205" s="13" t="str">
        <x:v>Other Mercedes model service</x:v>
      </x:c>
      <x:c r="G205" s="13" t="str">
        <x:v>HUB</x:v>
      </x:c>
      <x:c r="H205" s="13" t="str">
        <x:v>https://digitecme.com/brands/mercedes-benz-service-dubai</x:v>
      </x:c>
      <x:c r="I205" s="13" t="str">
        <x:v>Models serviced</x:v>
      </x:c>
      <x:c r="J205" s="13" t="str">
        <x:v>Relevant</x:v>
      </x:c>
      <x:c r="K205" s="13" t="str">
        <x:f>IF(J205="Hold","Hold",IF(J205="Conditional","Conditional",IF(E205&lt;='Sources'!$B$5,"Protect",IF(AND(E205&lt;='Sources'!$B$7,C205&gt;='Sources'!$B$6),"P1",IF(OR(E205&lt;='Sources'!$B$7,C205&gt;='Sources'!$B$8),"P2","P3")))))</x:f>
        <x:v>P2</x:v>
      </x:c>
      <x:c r="L205" s="16" t="n">
        <x:f>IF(J205="Hold","",MAX(0,E205-'Sources'!$B$5))</x:f>
        <x:v>12.25</x:v>
      </x:c>
      <x:c r="M205" s="13" t="str">
        <x:v>Use a confirmed model-family section on the hub initially. A dedicated family page needs service evidence and sustained demand; do not publish a thin page per variant.</x:v>
      </x:c>
      <x:c r="N205" s="13" t="n">
        <x:v>202</x:v>
      </x:c>
    </x:row>
    <x:row r="206" ht="65" customHeight="1">
      <x:c r="A206" s="13" t="str">
        <x:v>mercedes benz c63 amg coupe service dubai</x:v>
      </x:c>
      <x:c r="B206" s="17" t="n">
        <x:v>0</x:v>
      </x:c>
      <x:c r="C206" s="17" t="n">
        <x:v>4</x:v>
      </x:c>
      <x:c r="D206" s="18" t="n">
        <x:v>0</x:v>
      </x:c>
      <x:c r="E206" s="19" t="n">
        <x:v>18.75</x:v>
      </x:c>
      <x:c r="F206" s="13" t="str">
        <x:v>C63 model service</x:v>
      </x:c>
      <x:c r="G206" s="13" t="str">
        <x:v>C63</x:v>
      </x:c>
      <x:c r="H206" s="13" t="str">
        <x:v>https://digitecme.com/mercedes/models/c63-service-repair-dubai</x:v>
      </x:c>
      <x:c r="I206" s="13" t="str">
        <x:v>AMG C63 and coupe coverage</x:v>
      </x:c>
      <x:c r="J206" s="13" t="str">
        <x:v>Relevant</x:v>
      </x:c>
      <x:c r="K206" s="13" t="str">
        <x:f>IF(J206="Hold","Hold",IF(J206="Conditional","Conditional",IF(E206&lt;='Sources'!$B$5,"Protect",IF(AND(E206&lt;='Sources'!$B$7,C206&gt;='Sources'!$B$6),"P1",IF(OR(E206&lt;='Sources'!$B$7,C206&gt;='Sources'!$B$8),"P2","P3")))))</x:f>
        <x:v>P2</x:v>
      </x:c>
      <x:c r="L206" s="16" t="n">
        <x:f>IF(J206="Hold","",MAX(0,E206-'Sources'!$B$5))</x:f>
        <x:v>13.75</x:v>
      </x:c>
      <x:c r="M206" s="13" t="str">
        <x:v>Check exact generation and body style before adding scope.</x:v>
      </x:c>
      <x:c r="N206" s="13" t="n">
        <x:v>203</x:v>
      </x:c>
    </x:row>
    <x:row r="207" ht="65" customHeight="1">
      <x:c r="A207" s="13" t="str">
        <x:v>mercedes benz s63 amg coupe service dubai</x:v>
      </x:c>
      <x:c r="B207" s="17" t="n">
        <x:v>0</x:v>
      </x:c>
      <x:c r="C207" s="17" t="n">
        <x:v>4</x:v>
      </x:c>
      <x:c r="D207" s="18" t="n">
        <x:v>0</x:v>
      </x:c>
      <x:c r="E207" s="19" t="n">
        <x:v>19</x:v>
      </x:c>
      <x:c r="F207" s="13" t="str">
        <x:v>S63 model service</x:v>
      </x:c>
      <x:c r="G207" s="13" t="str">
        <x:v>S63</x:v>
      </x:c>
      <x:c r="H207" s="13" t="str">
        <x:v>https://digitecme.com/mercedes/models/s63-service-repair-dubai</x:v>
      </x:c>
      <x:c r="I207" s="13" t="str">
        <x:v>AMG S63 and coupe coverage</x:v>
      </x:c>
      <x:c r="J207" s="13" t="str">
        <x:v>Relevant</x:v>
      </x:c>
      <x:c r="K207" s="13" t="str">
        <x:f>IF(J207="Hold","Hold",IF(J207="Conditional","Conditional",IF(E207&lt;='Sources'!$B$5,"Protect",IF(AND(E207&lt;='Sources'!$B$7,C207&gt;='Sources'!$B$6),"P1",IF(OR(E207&lt;='Sources'!$B$7,C207&gt;='Sources'!$B$8),"P2","P3")))))</x:f>
        <x:v>P2</x:v>
      </x:c>
      <x:c r="L207" s="16" t="n">
        <x:f>IF(J207="Hold","",MAX(0,E207-'Sources'!$B$5))</x:f>
        <x:v>14</x:v>
      </x:c>
      <x:c r="M207" s="13" t="str">
        <x:v>Preserve the S63-specific destination.</x:v>
      </x:c>
      <x:c r="N207" s="13" t="n">
        <x:v>204</x:v>
      </x:c>
    </x:row>
    <x:row r="208" ht="65" customHeight="1">
      <x:c r="A208" s="13" t="str">
        <x:v>mercedes benz s65 amg coupe service dubai</x:v>
      </x:c>
      <x:c r="B208" s="17" t="n">
        <x:v>0</x:v>
      </x:c>
      <x:c r="C208" s="17" t="n">
        <x:v>4</x:v>
      </x:c>
      <x:c r="D208" s="18" t="n">
        <x:v>0</x:v>
      </x:c>
      <x:c r="E208" s="19" t="n">
        <x:v>19</x:v>
      </x:c>
      <x:c r="F208" s="13" t="str">
        <x:v>S-Class model service</x:v>
      </x:c>
      <x:c r="G208" s="13" t="str">
        <x:v>SCLASS</x:v>
      </x:c>
      <x:c r="H208" s="13" t="str">
        <x:v>https://digitecme.com/blog/mercedes-s-class-service-dubai-guide</x:v>
      </x:c>
      <x:c r="I208" s="13" t="str">
        <x:v>S-Class variants</x:v>
      </x:c>
      <x:c r="J208" s="13" t="str">
        <x:v>Relevant</x:v>
      </x:c>
      <x:c r="K208" s="13" t="str">
        <x:f>IF(J208="Hold","Hold",IF(J208="Conditional","Conditional",IF(E208&lt;='Sources'!$B$5,"Protect",IF(AND(E208&lt;='Sources'!$B$7,C208&gt;='Sources'!$B$6),"P1",IF(OR(E208&lt;='Sources'!$B$7,C208&gt;='Sources'!$B$8),"P2","P3")))))</x:f>
        <x:v>P2</x:v>
      </x:c>
      <x:c r="L208" s="16" t="n">
        <x:f>IF(J208="Hold","",MAX(0,E208-'Sources'!$B$5))</x:f>
        <x:v>14</x:v>
      </x:c>
      <x:c r="M208" s="13" t="str">
        <x:v>S65 is a distinct V12 application; add only a confirmed section, not S63 engine copy.</x:v>
      </x:c>
      <x:c r="N208" s="13" t="n">
        <x:v>205</x:v>
      </x:c>
    </x:row>
    <x:row r="209" ht="65" customHeight="1">
      <x:c r="A209" s="13" t="str">
        <x:v>mercedes benz 380 service dubai</x:v>
      </x:c>
      <x:c r="B209" s="17" t="n">
        <x:v>0</x:v>
      </x:c>
      <x:c r="C209" s="17" t="n">
        <x:v>4</x:v>
      </x:c>
      <x:c r="D209" s="18" t="n">
        <x:v>0</x:v>
      </x:c>
      <x:c r="E209" s="19" t="n">
        <x:v>19.75</x:v>
      </x:c>
      <x:c r="F209" s="13" t="str">
        <x:v>Other Mercedes model service</x:v>
      </x:c>
      <x:c r="G209" s="13" t="str">
        <x:v>HUB</x:v>
      </x:c>
      <x:c r="H209" s="13" t="str">
        <x:v>https://digitecme.com/brands/mercedes-benz-service-dubai</x:v>
      </x:c>
      <x:c r="I209" s="13" t="str">
        <x:v>Models serviced</x:v>
      </x:c>
      <x:c r="J209" s="13" t="str">
        <x:v>Conditional</x:v>
      </x:c>
      <x:c r="K209" s="13" t="str">
        <x:f>IF(J209="Hold","Hold",IF(J209="Conditional","Conditional",IF(E209&lt;='Sources'!$B$5,"Protect",IF(AND(E209&lt;='Sources'!$B$7,C209&gt;='Sources'!$B$6),"P1",IF(OR(E209&lt;='Sources'!$B$7,C209&gt;='Sources'!$B$8),"P2","P3")))))</x:f>
        <x:v>Conditional</x:v>
      </x:c>
      <x:c r="L209" s="16" t="n">
        <x:f>IF(J209="Hold","",MAX(0,E209-'Sources'!$B$5))</x:f>
        <x:v>14.75</x:v>
      </x:c>
      <x:c r="M209" s="13" t="str">
        <x:v>Use a confirmed model-family section on the hub initially. A dedicated family page needs service evidence and sustained demand; do not publish a thin page per variant. Confirm exact classic, rare-model or van workshop coverage before making landing-page claims.</x:v>
      </x:c>
      <x:c r="N209" s="13" t="n">
        <x:v>206</x:v>
      </x:c>
    </x:row>
    <x:row r="210" ht="65" customHeight="1">
      <x:c r="A210" s="13" t="str">
        <x:v>mercedes benz service near me</x:v>
      </x:c>
      <x:c r="B210" s="17" t="n">
        <x:v>0</x:v>
      </x:c>
      <x:c r="C210" s="17" t="n">
        <x:v>4</x:v>
      </x:c>
      <x:c r="D210" s="18" t="n">
        <x:v>0</x:v>
      </x:c>
      <x:c r="E210" s="19" t="n">
        <x:v>20.25</x:v>
      </x:c>
      <x:c r="F210" s="13" t="str">
        <x:v>Scheduled service and maintenance</x:v>
      </x:c>
      <x:c r="G210" s="13" t="str">
        <x:v>HUB</x:v>
      </x:c>
      <x:c r="H210" s="13" t="str">
        <x:v>https://digitecme.com/brands/mercedes-benz-service-dubai</x:v>
      </x:c>
      <x:c r="I210" s="13" t="str">
        <x:v>Service A/B and minor/major scope</x:v>
      </x:c>
      <x:c r="J210" s="13" t="str">
        <x:v>Relevant</x:v>
      </x:c>
      <x:c r="K210" s="13" t="str">
        <x:f>IF(J210="Hold","Hold",IF(J210="Conditional","Conditional",IF(E210&lt;='Sources'!$B$5,"Protect",IF(AND(E210&lt;='Sources'!$B$7,C210&gt;='Sources'!$B$6),"P1",IF(OR(E210&lt;='Sources'!$B$7,C210&gt;='Sources'!$B$8),"P2","P3")))))</x:f>
        <x:v>P3</x:v>
      </x:c>
      <x:c r="L210" s="16" t="n">
        <x:f>IF(J210="Hold","",MAX(0,E210-'Sources'!$B$5))</x:f>
        <x:v>15.25</x:v>
      </x:c>
      <x:c r="M210" s="13" t="str">
        <x:v>Use one service booking destination; explain scope and link oil-only work and informational schedules separately. Include accurate Al Quoz location and Business Profile links; proximity varies by searcher.</x:v>
      </x:c>
      <x:c r="N210" s="13" t="n">
        <x:v>207</x:v>
      </x:c>
    </x:row>
    <x:row r="211" ht="65" customHeight="1">
      <x:c r="A211" s="13" t="str">
        <x:v>mercedes benz sls amg service dubai</x:v>
      </x:c>
      <x:c r="B211" s="17" t="n">
        <x:v>0</x:v>
      </x:c>
      <x:c r="C211" s="17" t="n">
        <x:v>4</x:v>
      </x:c>
      <x:c r="D211" s="18" t="n">
        <x:v>0</x:v>
      </x:c>
      <x:c r="E211" s="19" t="n">
        <x:v>20.5</x:v>
      </x:c>
      <x:c r="F211" s="13" t="str">
        <x:v>Other Mercedes model service</x:v>
      </x:c>
      <x:c r="G211" s="13" t="str">
        <x:v>HUB</x:v>
      </x:c>
      <x:c r="H211" s="13" t="str">
        <x:v>https://digitecme.com/brands/mercedes-benz-service-dubai</x:v>
      </x:c>
      <x:c r="I211" s="13" t="str">
        <x:v>Models serviced</x:v>
      </x:c>
      <x:c r="J211" s="13" t="str">
        <x:v>Conditional</x:v>
      </x:c>
      <x:c r="K211" s="13" t="str">
        <x:f>IF(J211="Hold","Hold",IF(J211="Conditional","Conditional",IF(E211&lt;='Sources'!$B$5,"Protect",IF(AND(E211&lt;='Sources'!$B$7,C211&gt;='Sources'!$B$6),"P1",IF(OR(E211&lt;='Sources'!$B$7,C211&gt;='Sources'!$B$8),"P2","P3")))))</x:f>
        <x:v>Conditional</x:v>
      </x:c>
      <x:c r="L211" s="16" t="n">
        <x:f>IF(J211="Hold","",MAX(0,E211-'Sources'!$B$5))</x:f>
        <x:v>15.5</x:v>
      </x:c>
      <x:c r="M211" s="13" t="str">
        <x:v>Use a confirmed model-family section on the hub initially. A dedicated family page needs service evidence and sustained demand; do not publish a thin page per variant. Confirm exact classic, rare-model or van workshop coverage before making landing-page claims.</x:v>
      </x:c>
      <x:c r="N211" s="13" t="n">
        <x:v>208</x:v>
      </x:c>
    </x:row>
    <x:row r="212" ht="65" customHeight="1">
      <x:c r="A212" s="13" t="str">
        <x:v>repair mercedes</x:v>
      </x:c>
      <x:c r="B212" s="17" t="n">
        <x:v>0</x:v>
      </x:c>
      <x:c r="C212" s="17" t="n">
        <x:v>4</x:v>
      </x:c>
      <x:c r="D212" s="18" t="n">
        <x:v>0</x:v>
      </x:c>
      <x:c r="E212" s="19" t="n">
        <x:v>20.5</x:v>
      </x:c>
      <x:c r="F212" s="13" t="str">
        <x:v>General repair and workshop</x:v>
      </x:c>
      <x:c r="G212" s="13" t="str">
        <x:v>HUB</x:v>
      </x:c>
      <x:c r="H212" s="13" t="str">
        <x:v>https://digitecme.com/brands/mercedes-benz-service-dubai</x:v>
      </x:c>
      <x:c r="I212" s="13" t="str">
        <x:v>Workshop and booking</x:v>
      </x:c>
      <x:c r="J212" s="13" t="str">
        <x:v>Relevant</x:v>
      </x:c>
      <x:c r="K212" s="13" t="str">
        <x:f>IF(J212="Hold","Hold",IF(J212="Conditional","Conditional",IF(E212&lt;='Sources'!$B$5,"Protect",IF(AND(E212&lt;='Sources'!$B$7,C212&gt;='Sources'!$B$6),"P1",IF(OR(E212&lt;='Sources'!$B$7,C212&gt;='Sources'!$B$8),"P2","P3")))))</x:f>
        <x:v>P3</x:v>
      </x:c>
      <x:c r="L212" s="16" t="n">
        <x:f>IF(J212="Hold","",MAX(0,E212-'Sources'!$B$5))</x:f>
        <x:v>15.5</x:v>
      </x:c>
      <x:c r="M212" s="13" t="str">
        <x:v>Use the main Mercedes page for broad repair, service, garage and specialist wording.</x:v>
      </x:c>
      <x:c r="N212" s="13" t="n">
        <x:v>209</x:v>
      </x:c>
    </x:row>
    <x:row r="213" ht="65" customHeight="1">
      <x:c r="A213" s="13" t="str">
        <x:v>mercedes benz 450 service dubai</x:v>
      </x:c>
      <x:c r="B213" s="17" t="n">
        <x:v>0</x:v>
      </x:c>
      <x:c r="C213" s="17" t="n">
        <x:v>4</x:v>
      </x:c>
      <x:c r="D213" s="18" t="n">
        <x:v>0</x:v>
      </x:c>
      <x:c r="E213" s="19" t="n">
        <x:v>21.5</x:v>
      </x:c>
      <x:c r="F213" s="13" t="str">
        <x:v>Other Mercedes model service</x:v>
      </x:c>
      <x:c r="G213" s="13" t="str">
        <x:v>HUB</x:v>
      </x:c>
      <x:c r="H213" s="13" t="str">
        <x:v>https://digitecme.com/brands/mercedes-benz-service-dubai</x:v>
      </x:c>
      <x:c r="I213" s="13" t="str">
        <x:v>Models serviced</x:v>
      </x:c>
      <x:c r="J213" s="13" t="str">
        <x:v>Conditional</x:v>
      </x:c>
      <x:c r="K213" s="13" t="str">
        <x:f>IF(J213="Hold","Hold",IF(J213="Conditional","Conditional",IF(E213&lt;='Sources'!$B$5,"Protect",IF(AND(E213&lt;='Sources'!$B$7,C213&gt;='Sources'!$B$6),"P1",IF(OR(E213&lt;='Sources'!$B$7,C213&gt;='Sources'!$B$8),"P2","P3")))))</x:f>
        <x:v>Conditional</x:v>
      </x:c>
      <x:c r="L213" s="16" t="n">
        <x:f>IF(J213="Hold","",MAX(0,E213-'Sources'!$B$5))</x:f>
        <x:v>16.5</x:v>
      </x:c>
      <x:c r="M213" s="13" t="str">
        <x:v>Use a confirmed model-family section on the hub initially. A dedicated family page needs service evidence and sustained demand; do not publish a thin page per variant. Confirm exact classic, rare-model or van workshop coverage before making landing-page claims.</x:v>
      </x:c>
      <x:c r="N213" s="13" t="n">
        <x:v>210</x:v>
      </x:c>
    </x:row>
    <x:row r="214" ht="65" customHeight="1">
      <x:c r="A214" s="13" t="str">
        <x:v>mercedes benz cls 350 service dubai</x:v>
      </x:c>
      <x:c r="B214" s="17" t="n">
        <x:v>0</x:v>
      </x:c>
      <x:c r="C214" s="17" t="n">
        <x:v>4</x:v>
      </x:c>
      <x:c r="D214" s="18" t="n">
        <x:v>0</x:v>
      </x:c>
      <x:c r="E214" s="19" t="n">
        <x:v>21.75</x:v>
      </x:c>
      <x:c r="F214" s="13" t="str">
        <x:v>Other Mercedes model service</x:v>
      </x:c>
      <x:c r="G214" s="13" t="str">
        <x:v>HUB</x:v>
      </x:c>
      <x:c r="H214" s="13" t="str">
        <x:v>https://digitecme.com/brands/mercedes-benz-service-dubai</x:v>
      </x:c>
      <x:c r="I214" s="13" t="str">
        <x:v>Models serviced</x:v>
      </x:c>
      <x:c r="J214" s="13" t="str">
        <x:v>Relevant</x:v>
      </x:c>
      <x:c r="K214" s="13" t="str">
        <x:f>IF(J214="Hold","Hold",IF(J214="Conditional","Conditional",IF(E214&lt;='Sources'!$B$5,"Protect",IF(AND(E214&lt;='Sources'!$B$7,C214&gt;='Sources'!$B$6),"P1",IF(OR(E214&lt;='Sources'!$B$7,C214&gt;='Sources'!$B$8),"P2","P3")))))</x:f>
        <x:v>P3</x:v>
      </x:c>
      <x:c r="L214" s="16" t="n">
        <x:f>IF(J214="Hold","",MAX(0,E214-'Sources'!$B$5))</x:f>
        <x:v>16.75</x:v>
      </x:c>
      <x:c r="M214" s="13" t="str">
        <x:v>Use a confirmed model-family section on the hub initially. A dedicated family page needs service evidence and sustained demand; do not publish a thin page per variant.</x:v>
      </x:c>
      <x:c r="N214" s="13" t="n">
        <x:v>211</x:v>
      </x:c>
    </x:row>
    <x:row r="215" ht="65" customHeight="1">
      <x:c r="A215" s="13" t="str">
        <x:v>mercedes benz gle63 amg coupe service dubai</x:v>
      </x:c>
      <x:c r="B215" s="17" t="n">
        <x:v>0</x:v>
      </x:c>
      <x:c r="C215" s="17" t="n">
        <x:v>4</x:v>
      </x:c>
      <x:c r="D215" s="18" t="n">
        <x:v>0</x:v>
      </x:c>
      <x:c r="E215" s="19" t="n">
        <x:v>23.5</x:v>
      </x:c>
      <x:c r="F215" s="13" t="str">
        <x:v>GLE and ML model service</x:v>
      </x:c>
      <x:c r="G215" s="13" t="str">
        <x:v>GLE</x:v>
      </x:c>
      <x:c r="H215" s="13" t="str">
        <x:v>https://digitecme.com/mercedes/models/gle-service-repair-dubai</x:v>
      </x:c>
      <x:c r="I215" s="13" t="str">
        <x:v>GLE/ML variants</x:v>
      </x:c>
      <x:c r="J215" s="13" t="str">
        <x:v>Relevant</x:v>
      </x:c>
      <x:c r="K215" s="13" t="str">
        <x:f>IF(J215="Hold","Hold",IF(J215="Conditional","Conditional",IF(E215&lt;='Sources'!$B$5,"Protect",IF(AND(E215&lt;='Sources'!$B$7,C215&gt;='Sources'!$B$6),"P1",IF(OR(E215&lt;='Sources'!$B$7,C215&gt;='Sources'!$B$8),"P2","P3")))))</x:f>
        <x:v>P3</x:v>
      </x:c>
      <x:c r="L215" s="16" t="n">
        <x:f>IF(J215="Hold","",MAX(0,E215-'Sources'!$B$5))</x:f>
        <x:v>18.5</x:v>
      </x:c>
      <x:c r="M215" s="13" t="str">
        <x:v>Verify older ML/M-Class, coupe and AMG coverage and clearly distinguish generations.</x:v>
      </x:c>
      <x:c r="N215" s="13" t="n">
        <x:v>212</x:v>
      </x:c>
    </x:row>
    <x:row r="216" ht="65" customHeight="1">
      <x:c r="A216" s="13" t="str">
        <x:v>mercedes benz repair shop</x:v>
      </x:c>
      <x:c r="B216" s="17" t="n">
        <x:v>0</x:v>
      </x:c>
      <x:c r="C216" s="17" t="n">
        <x:v>4</x:v>
      </x:c>
      <x:c r="D216" s="18" t="n">
        <x:v>0</x:v>
      </x:c>
      <x:c r="E216" s="19" t="n">
        <x:v>33.25</x:v>
      </x:c>
      <x:c r="F216" s="13" t="str">
        <x:v>General repair and workshop</x:v>
      </x:c>
      <x:c r="G216" s="13" t="str">
        <x:v>HUB</x:v>
      </x:c>
      <x:c r="H216" s="13" t="str">
        <x:v>https://digitecme.com/brands/mercedes-benz-service-dubai</x:v>
      </x:c>
      <x:c r="I216" s="13" t="str">
        <x:v>Workshop and booking</x:v>
      </x:c>
      <x:c r="J216" s="13" t="str">
        <x:v>Relevant</x:v>
      </x:c>
      <x:c r="K216" s="13" t="str">
        <x:f>IF(J216="Hold","Hold",IF(J216="Conditional","Conditional",IF(E216&lt;='Sources'!$B$5,"Protect",IF(AND(E216&lt;='Sources'!$B$7,C216&gt;='Sources'!$B$6),"P1",IF(OR(E216&lt;='Sources'!$B$7,C216&gt;='Sources'!$B$8),"P2","P3")))))</x:f>
        <x:v>P3</x:v>
      </x:c>
      <x:c r="L216" s="16" t="n">
        <x:f>IF(J216="Hold","",MAX(0,E216-'Sources'!$B$5))</x:f>
        <x:v>28.25</x:v>
      </x:c>
      <x:c r="M216" s="13" t="str">
        <x:v>Use the main Mercedes page for broad repair, service, garage and specialist wording.</x:v>
      </x:c>
      <x:c r="N216" s="13" t="n">
        <x:v>213</x:v>
      </x:c>
    </x:row>
    <x:row r="217" ht="65" customHeight="1">
      <x:c r="A217" s="13" t="str">
        <x:v>mercedes benz ecu tuning</x:v>
      </x:c>
      <x:c r="B217" s="17" t="n">
        <x:v>0</x:v>
      </x:c>
      <x:c r="C217" s="17" t="n">
        <x:v>4</x:v>
      </x:c>
      <x:c r="D217" s="18" t="n">
        <x:v>0</x:v>
      </x:c>
      <x:c r="E217" s="19" t="n">
        <x:v>36.25</x:v>
      </x:c>
      <x:c r="F217" s="13" t="str">
        <x:v>Performance tuning and GAD</x:v>
      </x:c>
      <x:c r="G217" s="13" t="str">
        <x:v>TUNE</x:v>
      </x:c>
      <x:c r="H217" s="13" t="str">
        <x:v>https://digitecme.com/tuning</x:v>
      </x:c>
      <x:c r="I217" s="13" t="str">
        <x:v>Mercedes-AMG tuning and verified projects</x:v>
      </x:c>
      <x:c r="J217" s="13" t="str">
        <x:v>Relevant</x:v>
      </x:c>
      <x:c r="K217" s="13" t="str">
        <x:f>IF(J217="Hold","Hold",IF(J217="Conditional","Conditional",IF(E217&lt;='Sources'!$B$5,"Protect",IF(AND(E217&lt;='Sources'!$B$7,C217&gt;='Sources'!$B$6),"P1",IF(OR(E217&lt;='Sources'!$B$7,C217&gt;='Sources'!$B$8),"P2","P3")))))</x:f>
        <x:v>P3</x:v>
      </x:c>
      <x:c r="L217" s="16" t="n">
        <x:f>IF(J217="Hold","",MAX(0,E217-'Sources'!$B$5))</x:f>
        <x:v>31.25</x:v>
      </x:c>
      <x:c r="M217" s="13" t="str">
        <x:v>Use the Mercedes section of the existing tuning page and relevant project evidence.</x:v>
      </x:c>
      <x:c r="N217" s="13" t="n">
        <x:v>214</x:v>
      </x:c>
    </x:row>
    <x:row r="218" ht="65" customHeight="1">
      <x:c r="A218" s="13" t="str">
        <x:v>mercedes air conditioning</x:v>
      </x:c>
      <x:c r="B218" s="17" t="n">
        <x:v>0</x:v>
      </x:c>
      <x:c r="C218" s="17" t="n">
        <x:v>4</x:v>
      </x:c>
      <x:c r="D218" s="18" t="n">
        <x:v>0</x:v>
      </x:c>
      <x:c r="E218" s="19" t="n">
        <x:v>40</x:v>
      </x:c>
      <x:c r="F218" s="13" t="str">
        <x:v>AC repair</x:v>
      </x:c>
      <x:c r="G218" s="13" t="str">
        <x:v>AC</x:v>
      </x:c>
      <x:c r="H218" s="13" t="str">
        <x:v>https://digitecme.com/services/mercedes-ac-repair-dubai</x:v>
      </x:c>
      <x:c r="I218" s="13" t="str">
        <x:v>AC diagnosis, recharge and repair</x:v>
      </x:c>
      <x:c r="J218" s="13" t="str">
        <x:v>Relevant</x:v>
      </x:c>
      <x:c r="K218" s="13" t="str">
        <x:f>IF(J218="Hold","Hold",IF(J218="Conditional","Conditional",IF(E218&lt;='Sources'!$B$5,"Protect",IF(AND(E218&lt;='Sources'!$B$7,C218&gt;='Sources'!$B$6),"P1",IF(OR(E218&lt;='Sources'!$B$7,C218&gt;='Sources'!$B$8),"P2","P3")))))</x:f>
        <x:v>P3</x:v>
      </x:c>
      <x:c r="L218" s="16" t="n">
        <x:f>IF(J218="Hold","",MAX(0,E218-'Sources'!$B$5))</x:f>
        <x:v>35</x:v>
      </x:c>
      <x:c r="M218" s="13" t="str">
        <x:v>Use AC and air conditioning as natural wording on the same page.</x:v>
      </x:c>
      <x:c r="N218" s="13" t="n">
        <x:v>215</x:v>
      </x:c>
    </x:row>
    <x:row r="219" ht="65" customHeight="1">
      <x:c r="A219" s="13" t="str">
        <x:v>mercedes benz auto repair near me</x:v>
      </x:c>
      <x:c r="B219" s="17" t="n">
        <x:v>0</x:v>
      </x:c>
      <x:c r="C219" s="17" t="n">
        <x:v>4</x:v>
      </x:c>
      <x:c r="D219" s="18" t="n">
        <x:v>0</x:v>
      </x:c>
      <x:c r="E219" s="19" t="n">
        <x:v>41</x:v>
      </x:c>
      <x:c r="F219" s="13" t="str">
        <x:v>General repair and workshop</x:v>
      </x:c>
      <x:c r="G219" s="13" t="str">
        <x:v>HUB</x:v>
      </x:c>
      <x:c r="H219" s="13" t="str">
        <x:v>https://digitecme.com/brands/mercedes-benz-service-dubai</x:v>
      </x:c>
      <x:c r="I219" s="13" t="str">
        <x:v>Workshop and booking</x:v>
      </x:c>
      <x:c r="J219" s="13" t="str">
        <x:v>Relevant</x:v>
      </x:c>
      <x:c r="K219" s="13" t="str">
        <x:f>IF(J219="Hold","Hold",IF(J219="Conditional","Conditional",IF(E219&lt;='Sources'!$B$5,"Protect",IF(AND(E219&lt;='Sources'!$B$7,C219&gt;='Sources'!$B$6),"P1",IF(OR(E219&lt;='Sources'!$B$7,C219&gt;='Sources'!$B$8),"P2","P3")))))</x:f>
        <x:v>P3</x:v>
      </x:c>
      <x:c r="L219" s="16" t="n">
        <x:f>IF(J219="Hold","",MAX(0,E219-'Sources'!$B$5))</x:f>
        <x:v>36</x:v>
      </x:c>
      <x:c r="M219" s="13" t="str">
        <x:v>Use the main Mercedes page for broad repair, service, garage and specialist wording. Include accurate Al Quoz location and Business Profile links; proximity varies by searcher.</x:v>
      </x:c>
      <x:c r="N219" s="13" t="n">
        <x:v>216</x:v>
      </x:c>
    </x:row>
    <x:row r="220" ht="65" customHeight="1">
      <x:c r="A220" s="13" t="str">
        <x:v>mercedes auto body shop</x:v>
      </x:c>
      <x:c r="B220" s="17" t="n">
        <x:v>0</x:v>
      </x:c>
      <x:c r="C220" s="17" t="n">
        <x:v>4</x:v>
      </x:c>
      <x:c r="D220" s="18" t="n">
        <x:v>0</x:v>
      </x:c>
      <x:c r="E220" s="19" t="n">
        <x:v>54</x:v>
      </x:c>
      <x:c r="F220" s="13" t="str">
        <x:v>Body repair</x:v>
      </x:c>
      <x:c r="G220" s="13" t="str">
        <x:v>BODY</x:v>
      </x:c>
      <x:c r="H220" s="13" t="str">
        <x:v>https://digitecme.com/services/mercedes-body-repair-dubai</x:v>
      </x:c>
      <x:c r="I220" s="13" t="str">
        <x:v>Body shop and paintwork scope</x:v>
      </x:c>
      <x:c r="J220" s="13" t="str">
        <x:v>Relevant</x:v>
      </x:c>
      <x:c r="K220" s="13" t="str">
        <x:f>IF(J220="Hold","Hold",IF(J220="Conditional","Conditional",IF(E220&lt;='Sources'!$B$5,"Protect",IF(AND(E220&lt;='Sources'!$B$7,C220&gt;='Sources'!$B$6),"P1",IF(OR(E220&lt;='Sources'!$B$7,C220&gt;='Sources'!$B$8),"P2","P3")))))</x:f>
        <x:v>P3</x:v>
      </x:c>
      <x:c r="L220" s="16" t="n">
        <x:f>IF(J220="Hold","",MAX(0,E220-'Sources'!$B$5))</x:f>
        <x:v>49</x:v>
      </x:c>
      <x:c r="M220" s="13" t="str">
        <x:v>Show original repair evidence and genuine workshop capability.</x:v>
      </x:c>
      <x:c r="N220" s="13" t="n">
        <x:v>217</x:v>
      </x:c>
    </x:row>
    <x:row r="221" ht="65" customHeight="1">
      <x:c r="A221" s="13" t="str">
        <x:v>mercedes benz auto body shop</x:v>
      </x:c>
      <x:c r="B221" s="17" t="n">
        <x:v>0</x:v>
      </x:c>
      <x:c r="C221" s="17" t="n">
        <x:v>4</x:v>
      </x:c>
      <x:c r="D221" s="18" t="n">
        <x:v>0</x:v>
      </x:c>
      <x:c r="E221" s="19" t="n">
        <x:v>60.5</x:v>
      </x:c>
      <x:c r="F221" s="13" t="str">
        <x:v>Body repair</x:v>
      </x:c>
      <x:c r="G221" s="13" t="str">
        <x:v>BODY</x:v>
      </x:c>
      <x:c r="H221" s="13" t="str">
        <x:v>https://digitecme.com/services/mercedes-body-repair-dubai</x:v>
      </x:c>
      <x:c r="I221" s="13" t="str">
        <x:v>Body shop and paintwork scope</x:v>
      </x:c>
      <x:c r="J221" s="13" t="str">
        <x:v>Relevant</x:v>
      </x:c>
      <x:c r="K221" s="13" t="str">
        <x:f>IF(J221="Hold","Hold",IF(J221="Conditional","Conditional",IF(E221&lt;='Sources'!$B$5,"Protect",IF(AND(E221&lt;='Sources'!$B$7,C221&gt;='Sources'!$B$6),"P1",IF(OR(E221&lt;='Sources'!$B$7,C221&gt;='Sources'!$B$8),"P2","P3")))))</x:f>
        <x:v>P3</x:v>
      </x:c>
      <x:c r="L221" s="16" t="n">
        <x:f>IF(J221="Hold","",MAX(0,E221-'Sources'!$B$5))</x:f>
        <x:v>55.5</x:v>
      </x:c>
      <x:c r="M221" s="13" t="str">
        <x:v>Show original repair evidence and genuine workshop capability.</x:v>
      </x:c>
      <x:c r="N221" s="13" t="n">
        <x:v>218</x:v>
      </x:c>
    </x:row>
    <x:row r="222" ht="65" customHeight="1">
      <x:c r="A222" s="13" t="str">
        <x:v>mercedes modification companies</x:v>
      </x:c>
      <x:c r="B222" s="17" t="n">
        <x:v>0</x:v>
      </x:c>
      <x:c r="C222" s="17" t="n">
        <x:v>3</x:v>
      </x:c>
      <x:c r="D222" s="18" t="n">
        <x:v>0</x:v>
      </x:c>
      <x:c r="E222" s="19" t="n">
        <x:v>2</x:v>
      </x:c>
      <x:c r="F222" s="13" t="str">
        <x:v>Performance tuning and GAD</x:v>
      </x:c>
      <x:c r="G222" s="13" t="str">
        <x:v>TUNE</x:v>
      </x:c>
      <x:c r="H222" s="13" t="str">
        <x:v>https://digitecme.com/tuning</x:v>
      </x:c>
      <x:c r="I222" s="13" t="str">
        <x:v>Mercedes-AMG tuning and verified projects</x:v>
      </x:c>
      <x:c r="J222" s="13" t="str">
        <x:v>Relevant</x:v>
      </x:c>
      <x:c r="K222" s="13" t="str">
        <x:f>IF(J222="Hold","Hold",IF(J222="Conditional","Conditional",IF(E222&lt;='Sources'!$B$5,"Protect",IF(AND(E222&lt;='Sources'!$B$7,C222&gt;='Sources'!$B$6),"P1",IF(OR(E222&lt;='Sources'!$B$7,C222&gt;='Sources'!$B$8),"P2","P3")))))</x:f>
        <x:v>Protect</x:v>
      </x:c>
      <x:c r="L222" s="16" t="n">
        <x:f>IF(J222="Hold","",MAX(0,E222-'Sources'!$B$5))</x:f>
        <x:v>0</x:v>
      </x:c>
      <x:c r="M222" s="13" t="str">
        <x:v>Use the Mercedes section of the existing tuning page and relevant project evidence.</x:v>
      </x:c>
      <x:c r="N222" s="13" t="n">
        <x:v>219</x:v>
      </x:c>
    </x:row>
    <x:row r="223" ht="65" customHeight="1">
      <x:c r="A223" s="13" t="str">
        <x:v>mercedes benz s class service dubai</x:v>
      </x:c>
      <x:c r="B223" s="17" t="n">
        <x:v>0</x:v>
      </x:c>
      <x:c r="C223" s="17" t="n">
        <x:v>3</x:v>
      </x:c>
      <x:c r="D223" s="18" t="n">
        <x:v>0</x:v>
      </x:c>
      <x:c r="E223" s="19" t="n">
        <x:v>3.33</x:v>
      </x:c>
      <x:c r="F223" s="13" t="str">
        <x:v>S-Class model service</x:v>
      </x:c>
      <x:c r="G223" s="13" t="str">
        <x:v>SCLASS</x:v>
      </x:c>
      <x:c r="H223" s="13" t="str">
        <x:v>https://digitecme.com/blog/mercedes-s-class-service-dubai-guide</x:v>
      </x:c>
      <x:c r="I223" s="13" t="str">
        <x:v>S-Class variants</x:v>
      </x:c>
      <x:c r="J223" s="13" t="str">
        <x:v>Relevant</x:v>
      </x:c>
      <x:c r="K223" s="13" t="str">
        <x:f>IF(J223="Hold","Hold",IF(J223="Conditional","Conditional",IF(E223&lt;='Sources'!$B$5,"Protect",IF(AND(E223&lt;='Sources'!$B$7,C223&gt;='Sources'!$B$6),"P1",IF(OR(E223&lt;='Sources'!$B$7,C223&gt;='Sources'!$B$8),"P2","P3")))))</x:f>
        <x:v>Protect</x:v>
      </x:c>
      <x:c r="L223" s="16" t="n">
        <x:f>IF(J223="Hold","",MAX(0,E223-'Sources'!$B$5))</x:f>
        <x:v>0</x:v>
      </x:c>
      <x:c r="M223" s="13" t="str">
        <x:v>S65 is a distinct V12 application; add only a confirmed section, not S63 engine copy.</x:v>
      </x:c>
      <x:c r="N223" s="13" t="n">
        <x:v>220</x:v>
      </x:c>
    </x:row>
    <x:row r="224" ht="65" customHeight="1">
      <x:c r="A224" s="13" t="str">
        <x:v>mercedes benz e63 amg service dubai</x:v>
      </x:c>
      <x:c r="B224" s="17" t="n">
        <x:v>0</x:v>
      </x:c>
      <x:c r="C224" s="17" t="n">
        <x:v>3</x:v>
      </x:c>
      <x:c r="D224" s="18" t="n">
        <x:v>0</x:v>
      </x:c>
      <x:c r="E224" s="19" t="n">
        <x:v>4.67</x:v>
      </x:c>
      <x:c r="F224" s="13" t="str">
        <x:v>E63 model service</x:v>
      </x:c>
      <x:c r="G224" s="13" t="str">
        <x:v>E63</x:v>
      </x:c>
      <x:c r="H224" s="13" t="str">
        <x:v>https://digitecme.com/mercedes/models/e63-service-repair-dubai</x:v>
      </x:c>
      <x:c r="I224" s="13" t="str">
        <x:v>AMG E63 coverage</x:v>
      </x:c>
      <x:c r="J224" s="13" t="str">
        <x:v>Relevant</x:v>
      </x:c>
      <x:c r="K224" s="13" t="str">
        <x:f>IF(J224="Hold","Hold",IF(J224="Conditional","Conditional",IF(E224&lt;='Sources'!$B$5,"Protect",IF(AND(E224&lt;='Sources'!$B$7,C224&gt;='Sources'!$B$6),"P1",IF(OR(E224&lt;='Sources'!$B$7,C224&gt;='Sources'!$B$8),"P2","P3")))))</x:f>
        <x:v>Protect</x:v>
      </x:c>
      <x:c r="L224" s="16" t="n">
        <x:f>IF(J224="Hold","",MAX(0,E224-'Sources'!$B$5))</x:f>
        <x:v>0</x:v>
      </x:c>
      <x:c r="M224" s="13" t="str">
        <x:v>Keep the model page and protect existing visibility.</x:v>
      </x:c>
      <x:c r="N224" s="13" t="n">
        <x:v>221</x:v>
      </x:c>
    </x:row>
    <x:row r="225" ht="65" customHeight="1">
      <x:c r="A225" s="13" t="str">
        <x:v>mercedes ac repair near me</x:v>
      </x:c>
      <x:c r="B225" s="17" t="n">
        <x:v>0</x:v>
      </x:c>
      <x:c r="C225" s="17" t="n">
        <x:v>3</x:v>
      </x:c>
      <x:c r="D225" s="18" t="n">
        <x:v>0</x:v>
      </x:c>
      <x:c r="E225" s="19" t="n">
        <x:v>6</x:v>
      </x:c>
      <x:c r="F225" s="13" t="str">
        <x:v>AC repair</x:v>
      </x:c>
      <x:c r="G225" s="13" t="str">
        <x:v>AC</x:v>
      </x:c>
      <x:c r="H225" s="13" t="str">
        <x:v>https://digitecme.com/services/mercedes-ac-repair-dubai</x:v>
      </x:c>
      <x:c r="I225" s="13" t="str">
        <x:v>AC diagnosis, recharge and repair</x:v>
      </x:c>
      <x:c r="J225" s="13" t="str">
        <x:v>Relevant</x:v>
      </x:c>
      <x:c r="K225" s="13" t="str">
        <x:f>IF(J225="Hold","Hold",IF(J225="Conditional","Conditional",IF(E225&lt;='Sources'!$B$5,"Protect",IF(AND(E225&lt;='Sources'!$B$7,C225&gt;='Sources'!$B$6),"P1",IF(OR(E225&lt;='Sources'!$B$7,C225&gt;='Sources'!$B$8),"P2","P3")))))</x:f>
        <x:v>P2</x:v>
      </x:c>
      <x:c r="L225" s="16" t="n">
        <x:f>IF(J225="Hold","",MAX(0,E225-'Sources'!$B$5))</x:f>
        <x:v>1</x:v>
      </x:c>
      <x:c r="M225" s="13" t="str">
        <x:v>Use AC and air conditioning as natural wording on the same page. Include accurate Al Quoz location and Business Profile links; proximity varies by searcher.</x:v>
      </x:c>
      <x:c r="N225" s="13" t="n">
        <x:v>222</x:v>
      </x:c>
    </x:row>
    <x:row r="226" ht="65" customHeight="1">
      <x:c r="A226" s="13" t="str">
        <x:v>mercedes benz c240 service dubai</x:v>
      </x:c>
      <x:c r="B226" s="17" t="n">
        <x:v>0</x:v>
      </x:c>
      <x:c r="C226" s="17" t="n">
        <x:v>3</x:v>
      </x:c>
      <x:c r="D226" s="18" t="n">
        <x:v>0</x:v>
      </x:c>
      <x:c r="E226" s="19" t="n">
        <x:v>7.67</x:v>
      </x:c>
      <x:c r="F226" s="13" t="str">
        <x:v>C-Class model service</x:v>
      </x:c>
      <x:c r="G226" s="13" t="str">
        <x:v>CCLASS</x:v>
      </x:c>
      <x:c r="H226" s="13" t="str">
        <x:v>https://digitecme.com/blog/mercedes-c-class-service-dubai-guide</x:v>
      </x:c>
      <x:c r="I226" s="13" t="str">
        <x:v>C-Class variants</x:v>
      </x:c>
      <x:c r="J226" s="13" t="str">
        <x:v>Relevant</x:v>
      </x:c>
      <x:c r="K226" s="13" t="str">
        <x:f>IF(J226="Hold","Hold",IF(J226="Conditional","Conditional",IF(E226&lt;='Sources'!$B$5,"Protect",IF(AND(E226&lt;='Sources'!$B$7,C226&gt;='Sources'!$B$6),"P1",IF(OR(E226&lt;='Sources'!$B$7,C226&gt;='Sources'!$B$8),"P2","P3")))))</x:f>
        <x:v>P2</x:v>
      </x:c>
      <x:c r="L226" s="16" t="n">
        <x:f>IF(J226="Hold","",MAX(0,E226-'Sources'!$B$5))</x:f>
        <x:v>2.67</x:v>
      </x:c>
      <x:c r="M226" s="13" t="str">
        <x:v>Add applicable C200/C240/C300/C43/coupe detail only when confirmed; C63 stays separate.</x:v>
      </x:c>
      <x:c r="N226" s="13" t="n">
        <x:v>223</x:v>
      </x:c>
    </x:row>
    <x:row r="227" ht="65" customHeight="1">
      <x:c r="A227" s="13" t="str">
        <x:v>mercedes service schedule</x:v>
      </x:c>
      <x:c r="B227" s="17" t="n">
        <x:v>0</x:v>
      </x:c>
      <x:c r="C227" s="17" t="n">
        <x:v>3</x:v>
      </x:c>
      <x:c r="D227" s="18" t="n">
        <x:v>0</x:v>
      </x:c>
      <x:c r="E227" s="19" t="n">
        <x:v>8</x:v>
      </x:c>
      <x:c r="F227" s="13" t="str">
        <x:v>Service schedule and ASSYST</x:v>
      </x:c>
      <x:c r="G227" s="13" t="str">
        <x:v>INTERVAL</x:v>
      </x:c>
      <x:c r="H227" s="13" t="str">
        <x:v>https://digitecme.com/blog/mercedes-service-intervals-dubai-heat</x:v>
      </x:c>
      <x:c r="I227" s="13" t="str">
        <x:v>Intervals and service display codes</x:v>
      </x:c>
      <x:c r="J227" s="13" t="str">
        <x:v>Relevant</x:v>
      </x:c>
      <x:c r="K227" s="13" t="str">
        <x:f>IF(J227="Hold","Hold",IF(J227="Conditional","Conditional",IF(E227&lt;='Sources'!$B$5,"Protect",IF(AND(E227&lt;='Sources'!$B$7,C227&gt;='Sources'!$B$6),"P1",IF(OR(E227&lt;='Sources'!$B$7,C227&gt;='Sources'!$B$8),"P2","P3")))))</x:f>
        <x:v>P2</x:v>
      </x:c>
      <x:c r="L227" s="16" t="n">
        <x:f>IF(J227="Hold","",MAX(0,E227-'Sources'!$B$5))</x:f>
        <x:v>3</x:v>
      </x:c>
      <x:c r="M227" s="13" t="str">
        <x:v>Verify code meaning against the exact model; avoid universal code checklists.</x:v>
      </x:c>
      <x:c r="N227" s="13" t="n">
        <x:v>224</x:v>
      </x:c>
    </x:row>
    <x:row r="228" ht="65" customHeight="1">
      <x:c r="A228" s="13" t="str">
        <x:v>mercedes benz electrical repair</x:v>
      </x:c>
      <x:c r="B228" s="17" t="n">
        <x:v>0</x:v>
      </x:c>
      <x:c r="C228" s="17" t="n">
        <x:v>3</x:v>
      </x:c>
      <x:c r="D228" s="18" t="n">
        <x:v>0</x:v>
      </x:c>
      <x:c r="E228" s="19" t="n">
        <x:v>9.67</x:v>
      </x:c>
      <x:c r="F228" s="13" t="str">
        <x:v>Electrical and ECU faults</x:v>
      </x:c>
      <x:c r="G228" s="13" t="str">
        <x:v>ELEC</x:v>
      </x:c>
      <x:c r="H228" s="13" t="str">
        <x:v>https://digitecme.com/services/mercedes-electrical-repair-dubai</x:v>
      </x:c>
      <x:c r="I228" s="13" t="str">
        <x:v>Electrical testing and module assessment</x:v>
      </x:c>
      <x:c r="J228" s="13" t="str">
        <x:v>Relevant</x:v>
      </x:c>
      <x:c r="K228" s="13" t="str">
        <x:f>IF(J228="Hold","Hold",IF(J228="Conditional","Conditional",IF(E228&lt;='Sources'!$B$5,"Protect",IF(AND(E228&lt;='Sources'!$B$7,C228&gt;='Sources'!$B$6),"P1",IF(OR(E228&lt;='Sources'!$B$7,C228&gt;='Sources'!$B$8),"P2","P3")))))</x:f>
        <x:v>P2</x:v>
      </x:c>
      <x:c r="L228" s="16" t="n">
        <x:f>IF(J228="Hold","",MAX(0,E228-'Sources'!$B$5))</x:f>
        <x:v>4.67</x:v>
      </x:c>
      <x:c r="M228" s="13" t="str">
        <x:v>Distinguish hardware/electrical repair from module coding and ECU tuning.</x:v>
      </x:c>
      <x:c r="N228" s="13" t="n">
        <x:v>225</x:v>
      </x:c>
    </x:row>
    <x:row r="229" ht="65" customHeight="1">
      <x:c r="A229" s="13" t="str">
        <x:v>mercedes benz v class service dubai</x:v>
      </x:c>
      <x:c r="B229" s="17" t="n">
        <x:v>0</x:v>
      </x:c>
      <x:c r="C229" s="17" t="n">
        <x:v>3</x:v>
      </x:c>
      <x:c r="D229" s="18" t="n">
        <x:v>0</x:v>
      </x:c>
      <x:c r="E229" s="19" t="n">
        <x:v>10</x:v>
      </x:c>
      <x:c r="F229" s="13" t="str">
        <x:v>Other Mercedes model service</x:v>
      </x:c>
      <x:c r="G229" s="13" t="str">
        <x:v>HUB</x:v>
      </x:c>
      <x:c r="H229" s="13" t="str">
        <x:v>https://digitecme.com/brands/mercedes-benz-service-dubai</x:v>
      </x:c>
      <x:c r="I229" s="13" t="str">
        <x:v>Models serviced</x:v>
      </x:c>
      <x:c r="J229" s="13" t="str">
        <x:v>Conditional</x:v>
      </x:c>
      <x:c r="K229" s="13" t="str">
        <x:f>IF(J229="Hold","Hold",IF(J229="Conditional","Conditional",IF(E229&lt;='Sources'!$B$5,"Protect",IF(AND(E229&lt;='Sources'!$B$7,C229&gt;='Sources'!$B$6),"P1",IF(OR(E229&lt;='Sources'!$B$7,C229&gt;='Sources'!$B$8),"P2","P3")))))</x:f>
        <x:v>Conditional</x:v>
      </x:c>
      <x:c r="L229" s="16" t="n">
        <x:f>IF(J229="Hold","",MAX(0,E229-'Sources'!$B$5))</x:f>
        <x:v>5</x:v>
      </x:c>
      <x:c r="M229" s="13" t="str">
        <x:v>Use a confirmed model-family section on the hub initially. A dedicated family page needs service evidence and sustained demand; do not publish a thin page per variant. Confirm exact classic, rare-model or van workshop coverage before making landing-page claims.</x:v>
      </x:c>
      <x:c r="N229" s="13" t="n">
        <x:v>226</x:v>
      </x:c>
    </x:row>
    <x:row r="230" ht="65" customHeight="1">
      <x:c r="A230" s="13" t="str">
        <x:v>oil change mercedes</x:v>
      </x:c>
      <x:c r="B230" s="17" t="n">
        <x:v>0</x:v>
      </x:c>
      <x:c r="C230" s="17" t="n">
        <x:v>3</x:v>
      </x:c>
      <x:c r="D230" s="18" t="n">
        <x:v>0</x:v>
      </x:c>
      <x:c r="E230" s="19" t="n">
        <x:v>10</x:v>
      </x:c>
      <x:c r="F230" s="13" t="str">
        <x:v>Oil change</x:v>
      </x:c>
      <x:c r="G230" s="13" t="str">
        <x:v>OIL</x:v>
      </x:c>
      <x:c r="H230" s="13" t="str">
        <x:v>https://digitecme.com/services/mercedes-oil-change-dubai</x:v>
      </x:c>
      <x:c r="I230" s="13" t="str">
        <x:v>Oil/filter scope and vehicle specification</x:v>
      </x:c>
      <x:c r="J230" s="13" t="str">
        <x:v>Relevant</x:v>
      </x:c>
      <x:c r="K230" s="13" t="str">
        <x:f>IF(J230="Hold","Hold",IF(J230="Conditional","Conditional",IF(E230&lt;='Sources'!$B$5,"Protect",IF(AND(E230&lt;='Sources'!$B$7,C230&gt;='Sources'!$B$6),"P1",IF(OR(E230&lt;='Sources'!$B$7,C230&gt;='Sources'!$B$8),"P2","P3")))))</x:f>
        <x:v>P2</x:v>
      </x:c>
      <x:c r="L230" s="16" t="n">
        <x:f>IF(J230="Hold","",MAX(0,E230-'Sources'!$B$5))</x:f>
        <x:v>5</x:v>
      </x:c>
      <x:c r="M230" s="13" t="str">
        <x:v>Keep oil-only intent here and broader Service A/B intent on the hub.</x:v>
      </x:c>
      <x:c r="N230" s="13" t="n">
        <x:v>227</x:v>
      </x:c>
    </x:row>
    <x:row r="231" ht="65" customHeight="1">
      <x:c r="A231" s="13" t="str">
        <x:v>mercedes benz slc class service dubai</x:v>
      </x:c>
      <x:c r="B231" s="17" t="n">
        <x:v>0</x:v>
      </x:c>
      <x:c r="C231" s="17" t="n">
        <x:v>3</x:v>
      </x:c>
      <x:c r="D231" s="18" t="n">
        <x:v>0</x:v>
      </x:c>
      <x:c r="E231" s="19" t="n">
        <x:v>11.33</x:v>
      </x:c>
      <x:c r="F231" s="13" t="str">
        <x:v>Other Mercedes model service</x:v>
      </x:c>
      <x:c r="G231" s="13" t="str">
        <x:v>HUB</x:v>
      </x:c>
      <x:c r="H231" s="13" t="str">
        <x:v>https://digitecme.com/brands/mercedes-benz-service-dubai</x:v>
      </x:c>
      <x:c r="I231" s="13" t="str">
        <x:v>Models serviced</x:v>
      </x:c>
      <x:c r="J231" s="13" t="str">
        <x:v>Relevant</x:v>
      </x:c>
      <x:c r="K231" s="13" t="str">
        <x:f>IF(J231="Hold","Hold",IF(J231="Conditional","Conditional",IF(E231&lt;='Sources'!$B$5,"Protect",IF(AND(E231&lt;='Sources'!$B$7,C231&gt;='Sources'!$B$6),"P1",IF(OR(E231&lt;='Sources'!$B$7,C231&gt;='Sources'!$B$8),"P2","P3")))))</x:f>
        <x:v>P2</x:v>
      </x:c>
      <x:c r="L231" s="16" t="n">
        <x:f>IF(J231="Hold","",MAX(0,E231-'Sources'!$B$5))</x:f>
        <x:v>6.33</x:v>
      </x:c>
      <x:c r="M231" s="13" t="str">
        <x:v>Use a confirmed model-family section on the hub initially. A dedicated family page needs service evidence and sustained demand; do not publish a thin page per variant.</x:v>
      </x:c>
      <x:c r="N231" s="13" t="n">
        <x:v>228</x:v>
      </x:c>
    </x:row>
    <x:row r="232" ht="65" customHeight="1">
      <x:c r="A232" s="13" t="str">
        <x:v>bmw x4 engine repair abu dhabi mercedes oil change dubai</x:v>
      </x:c>
      <x:c r="B232" s="17" t="n">
        <x:v>0</x:v>
      </x:c>
      <x:c r="C232" s="17" t="n">
        <x:v>3</x:v>
      </x:c>
      <x:c r="D232" s="18" t="n">
        <x:v>0</x:v>
      </x:c>
      <x:c r="E232" s="19" t="n">
        <x:v>12.67</x:v>
      </x:c>
      <x:c r="F232" s="13" t="str">
        <x:v>Oil change</x:v>
      </x:c>
      <x:c r="G232" s="13" t="str">
        <x:v>OIL</x:v>
      </x:c>
      <x:c r="H232" s="13" t="str">
        <x:v>https://digitecme.com/services/mercedes-oil-change-dubai</x:v>
      </x:c>
      <x:c r="I232" s="13" t="str">
        <x:v>Oil/filter scope and vehicle specification</x:v>
      </x:c>
      <x:c r="J232" s="13" t="str">
        <x:v>Hold</x:v>
      </x:c>
      <x:c r="K232" s="13" t="str">
        <x:f>IF(J232="Hold","Hold",IF(J232="Conditional","Conditional",IF(E232&lt;='Sources'!$B$5,"Protect",IF(AND(E232&lt;='Sources'!$B$7,C232&gt;='Sources'!$B$6),"P1",IF(OR(E232&lt;='Sources'!$B$7,C232&gt;='Sources'!$B$8),"P2","P3")))))</x:f>
        <x:v>Hold</x:v>
      </x:c>
      <x:c r="L232" s="16" t="str">
        <x:f>IF(J232="Hold","",MAX(0,E232-'Sources'!$B$5))</x:f>
      </x:c>
      <x:c r="M232" s="13" t="str">
        <x:v>Mixed-brand, mixed-location query. Preserve it in the baseline but do not write an exact-match landing page; oil page is a related alternative.</x:v>
      </x:c>
      <x:c r="N232" s="13" t="n">
        <x:v>229</x:v>
      </x:c>
    </x:row>
    <x:row r="233" ht="65" customHeight="1">
      <x:c r="A233" s="13" t="str">
        <x:v>mercedes benz 300 service dubai</x:v>
      </x:c>
      <x:c r="B233" s="17" t="n">
        <x:v>0</x:v>
      </x:c>
      <x:c r="C233" s="17" t="n">
        <x:v>3</x:v>
      </x:c>
      <x:c r="D233" s="18" t="n">
        <x:v>0</x:v>
      </x:c>
      <x:c r="E233" s="19" t="n">
        <x:v>14</x:v>
      </x:c>
      <x:c r="F233" s="13" t="str">
        <x:v>Other Mercedes model service</x:v>
      </x:c>
      <x:c r="G233" s="13" t="str">
        <x:v>HUB</x:v>
      </x:c>
      <x:c r="H233" s="13" t="str">
        <x:v>https://digitecme.com/brands/mercedes-benz-service-dubai</x:v>
      </x:c>
      <x:c r="I233" s="13" t="str">
        <x:v>Models serviced</x:v>
      </x:c>
      <x:c r="J233" s="13" t="str">
        <x:v>Conditional</x:v>
      </x:c>
      <x:c r="K233" s="13" t="str">
        <x:f>IF(J233="Hold","Hold",IF(J233="Conditional","Conditional",IF(E233&lt;='Sources'!$B$5,"Protect",IF(AND(E233&lt;='Sources'!$B$7,C233&gt;='Sources'!$B$6),"P1",IF(OR(E233&lt;='Sources'!$B$7,C233&gt;='Sources'!$B$8),"P2","P3")))))</x:f>
        <x:v>Conditional</x:v>
      </x:c>
      <x:c r="L233" s="16" t="n">
        <x:f>IF(J233="Hold","",MAX(0,E233-'Sources'!$B$5))</x:f>
        <x:v>9</x:v>
      </x:c>
      <x:c r="M233" s="13" t="str">
        <x:v>Use a confirmed model-family section on the hub initially. A dedicated family page needs service evidence and sustained demand; do not publish a thin page per variant. Confirm exact classic, rare-model or van workshop coverage before making landing-page claims.</x:v>
      </x:c>
      <x:c r="N233" s="13" t="n">
        <x:v>230</x:v>
      </x:c>
    </x:row>
    <x:row r="234" ht="65" customHeight="1">
      <x:c r="A234" s="13" t="str">
        <x:v>mercedes benz r class service dubai</x:v>
      </x:c>
      <x:c r="B234" s="17" t="n">
        <x:v>0</x:v>
      </x:c>
      <x:c r="C234" s="17" t="n">
        <x:v>3</x:v>
      </x:c>
      <x:c r="D234" s="18" t="n">
        <x:v>0</x:v>
      </x:c>
      <x:c r="E234" s="19" t="n">
        <x:v>16.33</x:v>
      </x:c>
      <x:c r="F234" s="13" t="str">
        <x:v>Other Mercedes model service</x:v>
      </x:c>
      <x:c r="G234" s="13" t="str">
        <x:v>HUB</x:v>
      </x:c>
      <x:c r="H234" s="13" t="str">
        <x:v>https://digitecme.com/brands/mercedes-benz-service-dubai</x:v>
      </x:c>
      <x:c r="I234" s="13" t="str">
        <x:v>Models serviced</x:v>
      </x:c>
      <x:c r="J234" s="13" t="str">
        <x:v>Relevant</x:v>
      </x:c>
      <x:c r="K234" s="13" t="str">
        <x:f>IF(J234="Hold","Hold",IF(J234="Conditional","Conditional",IF(E234&lt;='Sources'!$B$5,"Protect",IF(AND(E234&lt;='Sources'!$B$7,C234&gt;='Sources'!$B$6),"P1",IF(OR(E234&lt;='Sources'!$B$7,C234&gt;='Sources'!$B$8),"P2","P3")))))</x:f>
        <x:v>P2</x:v>
      </x:c>
      <x:c r="L234" s="16" t="n">
        <x:f>IF(J234="Hold","",MAX(0,E234-'Sources'!$B$5))</x:f>
        <x:v>11.329999999999998</x:v>
      </x:c>
      <x:c r="M234" s="13" t="str">
        <x:v>Use a confirmed model-family section on the hub initially. A dedicated family page needs service evidence and sustained demand; do not publish a thin page per variant.</x:v>
      </x:c>
      <x:c r="N234" s="13" t="n">
        <x:v>231</x:v>
      </x:c>
    </x:row>
    <x:row r="235" ht="65" customHeight="1">
      <x:c r="A235" s="13" t="str">
        <x:v>mercedes benz vito service dubai</x:v>
      </x:c>
      <x:c r="B235" s="17" t="n">
        <x:v>0</x:v>
      </x:c>
      <x:c r="C235" s="17" t="n">
        <x:v>3</x:v>
      </x:c>
      <x:c r="D235" s="18" t="n">
        <x:v>0</x:v>
      </x:c>
      <x:c r="E235" s="19" t="n">
        <x:v>16.33</x:v>
      </x:c>
      <x:c r="F235" s="13" t="str">
        <x:v>Other Mercedes model service</x:v>
      </x:c>
      <x:c r="G235" s="13" t="str">
        <x:v>HUB</x:v>
      </x:c>
      <x:c r="H235" s="13" t="str">
        <x:v>https://digitecme.com/brands/mercedes-benz-service-dubai</x:v>
      </x:c>
      <x:c r="I235" s="13" t="str">
        <x:v>Models serviced</x:v>
      </x:c>
      <x:c r="J235" s="13" t="str">
        <x:v>Conditional</x:v>
      </x:c>
      <x:c r="K235" s="13" t="str">
        <x:f>IF(J235="Hold","Hold",IF(J235="Conditional","Conditional",IF(E235&lt;='Sources'!$B$5,"Protect",IF(AND(E235&lt;='Sources'!$B$7,C235&gt;='Sources'!$B$6),"P1",IF(OR(E235&lt;='Sources'!$B$7,C235&gt;='Sources'!$B$8),"P2","P3")))))</x:f>
        <x:v>Conditional</x:v>
      </x:c>
      <x:c r="L235" s="16" t="n">
        <x:f>IF(J235="Hold","",MAX(0,E235-'Sources'!$B$5))</x:f>
        <x:v>11.329999999999998</x:v>
      </x:c>
      <x:c r="M235" s="13" t="str">
        <x:v>Use a confirmed model-family section on the hub initially. A dedicated family page needs service evidence and sustained demand; do not publish a thin page per variant. Confirm exact classic, rare-model or van workshop coverage before making landing-page claims.</x:v>
      </x:c>
      <x:c r="N235" s="13" t="n">
        <x:v>232</x:v>
      </x:c>
    </x:row>
    <x:row r="236" ht="65" customHeight="1">
      <x:c r="A236" s="13" t="str">
        <x:v>mercedes benz gle class coupe service dubai</x:v>
      </x:c>
      <x:c r="B236" s="17" t="n">
        <x:v>0</x:v>
      </x:c>
      <x:c r="C236" s="17" t="n">
        <x:v>3</x:v>
      </x:c>
      <x:c r="D236" s="18" t="n">
        <x:v>0</x:v>
      </x:c>
      <x:c r="E236" s="19" t="n">
        <x:v>19.33</x:v>
      </x:c>
      <x:c r="F236" s="13" t="str">
        <x:v>GLE and ML model service</x:v>
      </x:c>
      <x:c r="G236" s="13" t="str">
        <x:v>GLE</x:v>
      </x:c>
      <x:c r="H236" s="13" t="str">
        <x:v>https://digitecme.com/mercedes/models/gle-service-repair-dubai</x:v>
      </x:c>
      <x:c r="I236" s="13" t="str">
        <x:v>GLE/ML variants</x:v>
      </x:c>
      <x:c r="J236" s="13" t="str">
        <x:v>Relevant</x:v>
      </x:c>
      <x:c r="K236" s="13" t="str">
        <x:f>IF(J236="Hold","Hold",IF(J236="Conditional","Conditional",IF(E236&lt;='Sources'!$B$5,"Protect",IF(AND(E236&lt;='Sources'!$B$7,C236&gt;='Sources'!$B$6),"P1",IF(OR(E236&lt;='Sources'!$B$7,C236&gt;='Sources'!$B$8),"P2","P3")))))</x:f>
        <x:v>P2</x:v>
      </x:c>
      <x:c r="L236" s="16" t="n">
        <x:f>IF(J236="Hold","",MAX(0,E236-'Sources'!$B$5))</x:f>
        <x:v>14.329999999999998</x:v>
      </x:c>
      <x:c r="M236" s="13" t="str">
        <x:v>Verify older ML/M-Class, coupe and AMG coverage and clearly distinguish generations.</x:v>
      </x:c>
      <x:c r="N236" s="13" t="n">
        <x:v>233</x:v>
      </x:c>
    </x:row>
    <x:row r="237" ht="65" customHeight="1">
      <x:c r="A237" s="13" t="str">
        <x:v>mercedes mechanics</x:v>
      </x:c>
      <x:c r="B237" s="17" t="n">
        <x:v>0</x:v>
      </x:c>
      <x:c r="C237" s="17" t="n">
        <x:v>3</x:v>
      </x:c>
      <x:c r="D237" s="18" t="n">
        <x:v>0</x:v>
      </x:c>
      <x:c r="E237" s="19" t="n">
        <x:v>24.33</x:v>
      </x:c>
      <x:c r="F237" s="13" t="str">
        <x:v>General repair and workshop</x:v>
      </x:c>
      <x:c r="G237" s="13" t="str">
        <x:v>HUB</x:v>
      </x:c>
      <x:c r="H237" s="13" t="str">
        <x:v>https://digitecme.com/brands/mercedes-benz-service-dubai</x:v>
      </x:c>
      <x:c r="I237" s="13" t="str">
        <x:v>Workshop and booking</x:v>
      </x:c>
      <x:c r="J237" s="13" t="str">
        <x:v>Relevant</x:v>
      </x:c>
      <x:c r="K237" s="13" t="str">
        <x:f>IF(J237="Hold","Hold",IF(J237="Conditional","Conditional",IF(E237&lt;='Sources'!$B$5,"Protect",IF(AND(E237&lt;='Sources'!$B$7,C237&gt;='Sources'!$B$6),"P1",IF(OR(E237&lt;='Sources'!$B$7,C237&gt;='Sources'!$B$8),"P2","P3")))))</x:f>
        <x:v>P3</x:v>
      </x:c>
      <x:c r="L237" s="16" t="n">
        <x:f>IF(J237="Hold","",MAX(0,E237-'Sources'!$B$5))</x:f>
        <x:v>19.33</x:v>
      </x:c>
      <x:c r="M237" s="13" t="str">
        <x:v>Use the main Mercedes page for broad repair, service, garage and specialist wording.</x:v>
      </x:c>
      <x:c r="N237" s="13" t="n">
        <x:v>234</x:v>
      </x:c>
    </x:row>
    <x:row r="238" ht="65" customHeight="1">
      <x:c r="A238" s="13" t="str">
        <x:v>mercedes service center dubai contact number</x:v>
      </x:c>
      <x:c r="B238" s="17" t="n">
        <x:v>0</x:v>
      </x:c>
      <x:c r="C238" s="17" t="n">
        <x:v>3</x:v>
      </x:c>
      <x:c r="D238" s="18" t="n">
        <x:v>0</x:v>
      </x:c>
      <x:c r="E238" s="19" t="n">
        <x:v>25.33</x:v>
      </x:c>
      <x:c r="F238" s="13" t="str">
        <x:v>Scheduled service and maintenance</x:v>
      </x:c>
      <x:c r="G238" s="13" t="str">
        <x:v>HUB</x:v>
      </x:c>
      <x:c r="H238" s="13" t="str">
        <x:v>https://digitecme.com/brands/mercedes-benz-service-dubai</x:v>
      </x:c>
      <x:c r="I238" s="13" t="str">
        <x:v>Service A/B and minor/major scope</x:v>
      </x:c>
      <x:c r="J238" s="13" t="str">
        <x:v>Relevant</x:v>
      </x:c>
      <x:c r="K238" s="13" t="str">
        <x:f>IF(J238="Hold","Hold",IF(J238="Conditional","Conditional",IF(E238&lt;='Sources'!$B$5,"Protect",IF(AND(E238&lt;='Sources'!$B$7,C238&gt;='Sources'!$B$6),"P1",IF(OR(E238&lt;='Sources'!$B$7,C238&gt;='Sources'!$B$8),"P2","P3")))))</x:f>
        <x:v>P3</x:v>
      </x:c>
      <x:c r="L238" s="16" t="n">
        <x:f>IF(J238="Hold","",MAX(0,E238-'Sources'!$B$5))</x:f>
        <x:v>20.33</x:v>
      </x:c>
      <x:c r="M238" s="13" t="str">
        <x:v>Use one service booking destination; explain scope and link oil-only work and informational schedules separately.</x:v>
      </x:c>
      <x:c r="N238" s="13" t="n">
        <x:v>235</x:v>
      </x:c>
    </x:row>
    <x:row r="239" ht="65" customHeight="1">
      <x:c r="A239" s="13" t="str">
        <x:v>mercedes benz 280 sl service dubai</x:v>
      </x:c>
      <x:c r="B239" s="17" t="n">
        <x:v>0</x:v>
      </x:c>
      <x:c r="C239" s="17" t="n">
        <x:v>3</x:v>
      </x:c>
      <x:c r="D239" s="18" t="n">
        <x:v>0</x:v>
      </x:c>
      <x:c r="E239" s="19" t="n">
        <x:v>25.67</x:v>
      </x:c>
      <x:c r="F239" s="13" t="str">
        <x:v>Other Mercedes model service</x:v>
      </x:c>
      <x:c r="G239" s="13" t="str">
        <x:v>HUB</x:v>
      </x:c>
      <x:c r="H239" s="13" t="str">
        <x:v>https://digitecme.com/brands/mercedes-benz-service-dubai</x:v>
      </x:c>
      <x:c r="I239" s="13" t="str">
        <x:v>Models serviced</x:v>
      </x:c>
      <x:c r="J239" s="13" t="str">
        <x:v>Conditional</x:v>
      </x:c>
      <x:c r="K239" s="13" t="str">
        <x:f>IF(J239="Hold","Hold",IF(J239="Conditional","Conditional",IF(E239&lt;='Sources'!$B$5,"Protect",IF(AND(E239&lt;='Sources'!$B$7,C239&gt;='Sources'!$B$6),"P1",IF(OR(E239&lt;='Sources'!$B$7,C239&gt;='Sources'!$B$8),"P2","P3")))))</x:f>
        <x:v>Conditional</x:v>
      </x:c>
      <x:c r="L239" s="16" t="n">
        <x:f>IF(J239="Hold","",MAX(0,E239-'Sources'!$B$5))</x:f>
        <x:v>20.67</x:v>
      </x:c>
      <x:c r="M239" s="13" t="str">
        <x:v>Use a confirmed model-family section on the hub initially. A dedicated family page needs service evidence and sustained demand; do not publish a thin page per variant. Confirm exact classic, rare-model or van workshop coverage before making landing-page claims.</x:v>
      </x:c>
      <x:c r="N239" s="13" t="n">
        <x:v>236</x:v>
      </x:c>
    </x:row>
    <x:row r="240" ht="65" customHeight="1">
      <x:c r="A240" s="13" t="str">
        <x:v>mercedes benz slk class service dubai</x:v>
      </x:c>
      <x:c r="B240" s="17" t="n">
        <x:v>0</x:v>
      </x:c>
      <x:c r="C240" s="17" t="n">
        <x:v>3</x:v>
      </x:c>
      <x:c r="D240" s="18" t="n">
        <x:v>0</x:v>
      </x:c>
      <x:c r="E240" s="19" t="n">
        <x:v>29.67</x:v>
      </x:c>
      <x:c r="F240" s="13" t="str">
        <x:v>Other Mercedes model service</x:v>
      </x:c>
      <x:c r="G240" s="13" t="str">
        <x:v>HUB</x:v>
      </x:c>
      <x:c r="H240" s="13" t="str">
        <x:v>https://digitecme.com/brands/mercedes-benz-service-dubai</x:v>
      </x:c>
      <x:c r="I240" s="13" t="str">
        <x:v>Models serviced</x:v>
      </x:c>
      <x:c r="J240" s="13" t="str">
        <x:v>Relevant</x:v>
      </x:c>
      <x:c r="K240" s="13" t="str">
        <x:f>IF(J240="Hold","Hold",IF(J240="Conditional","Conditional",IF(E240&lt;='Sources'!$B$5,"Protect",IF(AND(E240&lt;='Sources'!$B$7,C240&gt;='Sources'!$B$6),"P1",IF(OR(E240&lt;='Sources'!$B$7,C240&gt;='Sources'!$B$8),"P2","P3")))))</x:f>
        <x:v>P3</x:v>
      </x:c>
      <x:c r="L240" s="16" t="n">
        <x:f>IF(J240="Hold","",MAX(0,E240-'Sources'!$B$5))</x:f>
        <x:v>24.67</x:v>
      </x:c>
      <x:c r="M240" s="13" t="str">
        <x:v>Use a confirmed model-family section on the hub initially. A dedicated family page needs service evidence and sustained demand; do not publish a thin page per variant.</x:v>
      </x:c>
      <x:c r="N240" s="13" t="n">
        <x:v>237</x:v>
      </x:c>
    </x:row>
    <x:row r="241" ht="65" customHeight="1">
      <x:c r="A241" s="13" t="str">
        <x:v>mercedes gearbox repair</x:v>
      </x:c>
      <x:c r="B241" s="17" t="n">
        <x:v>0</x:v>
      </x:c>
      <x:c r="C241" s="17" t="n">
        <x:v>3</x:v>
      </x:c>
      <x:c r="D241" s="18" t="n">
        <x:v>0</x:v>
      </x:c>
      <x:c r="E241" s="19" t="n">
        <x:v>48.33</x:v>
      </x:c>
      <x:c r="F241" s="13" t="str">
        <x:v>Transmission and gearbox</x:v>
      </x:c>
      <x:c r="G241" s="13" t="str">
        <x:v>TRANS</x:v>
      </x:c>
      <x:c r="H241" s="13" t="str">
        <x:v>https://digitecme.com/services/mercedes-transmission-repair-dubai</x:v>
      </x:c>
      <x:c r="I241" s="13" t="str">
        <x:v>Gearbox service and fault diagnosis</x:v>
      </x:c>
      <x:c r="J241" s="13" t="str">
        <x:v>Relevant</x:v>
      </x:c>
      <x:c r="K241" s="13" t="str">
        <x:f>IF(J241="Hold","Hold",IF(J241="Conditional","Conditional",IF(E241&lt;='Sources'!$B$5,"Protect",IF(AND(E241&lt;='Sources'!$B$7,C241&gt;='Sources'!$B$6),"P1",IF(OR(E241&lt;='Sources'!$B$7,C241&gt;='Sources'!$B$8),"P2","P3")))))</x:f>
        <x:v>P3</x:v>
      </x:c>
      <x:c r="L241" s="16" t="n">
        <x:f>IF(J241="Hold","",MAX(0,E241-'Sources'!$B$5))</x:f>
        <x:v>43.33</x:v>
      </x:c>
      <x:c r="M241" s="13" t="str">
        <x:v>Match transmission repair, service and applicable clutch work to one transactional page.</x:v>
      </x:c>
      <x:c r="N241" s="13" t="n">
        <x:v>238</x:v>
      </x:c>
    </x:row>
    <x:row r="242" ht="65" customHeight="1">
      <x:c r="A242" s="13" t="str">
        <x:v>mercedes coding specialist</x:v>
      </x:c>
      <x:c r="B242" s="17" t="n">
        <x:v>0</x:v>
      </x:c>
      <x:c r="C242" s="17" t="n">
        <x:v>2</x:v>
      </x:c>
      <x:c r="D242" s="18" t="n">
        <x:v>0</x:v>
      </x:c>
      <x:c r="E242" s="19" t="n">
        <x:v>1</x:v>
      </x:c>
      <x:c r="F242" s="13" t="str">
        <x:v>Diagnostics and coding</x:v>
      </x:c>
      <x:c r="G242" s="13" t="str">
        <x:v>DIAG</x:v>
      </x:c>
      <x:c r="H242" s="13" t="str">
        <x:v>https://digitecme.com/services/mercedes-diagnostics-dubai</x:v>
      </x:c>
      <x:c r="I242" s="13" t="str">
        <x:v>Coding/programming</x:v>
      </x:c>
      <x:c r="J242" s="13" t="str">
        <x:v>Relevant</x:v>
      </x:c>
      <x:c r="K242" s="13" t="str">
        <x:f>IF(J242="Hold","Hold",IF(J242="Conditional","Conditional",IF(E242&lt;='Sources'!$B$5,"Protect",IF(AND(E242&lt;='Sources'!$B$7,C242&gt;='Sources'!$B$6),"P1",IF(OR(E242&lt;='Sources'!$B$7,C242&gt;='Sources'!$B$8),"P2","P3")))))</x:f>
        <x:v>Protect</x:v>
      </x:c>
      <x:c r="L242" s="16" t="n">
        <x:f>IF(J242="Hold","",MAX(0,E242-'Sources'!$B$5))</x:f>
        <x:v>0</x:v>
      </x:c>
      <x:c r="M242" s="13" t="str">
        <x:v>Match supported vehicle/module functions; do not create a page per fault code.</x:v>
      </x:c>
      <x:c r="N242" s="13" t="n">
        <x:v>239</x:v>
      </x:c>
    </x:row>
    <x:row r="243" ht="65" customHeight="1">
      <x:c r="A243" s="13" t="str">
        <x:v>mercedes doctor</x:v>
      </x:c>
      <x:c r="B243" s="17" t="n">
        <x:v>0</x:v>
      </x:c>
      <x:c r="C243" s="17" t="n">
        <x:v>2</x:v>
      </x:c>
      <x:c r="D243" s="18" t="n">
        <x:v>0</x:v>
      </x:c>
      <x:c r="E243" s="19" t="n">
        <x:v>1</x:v>
      </x:c>
      <x:c r="F243" s="13" t="str">
        <x:v>General repair and workshop</x:v>
      </x:c>
      <x:c r="G243" s="13" t="str">
        <x:v>HUB</x:v>
      </x:c>
      <x:c r="H243" s="13" t="str">
        <x:v>https://digitecme.com/brands/mercedes-benz-service-dubai</x:v>
      </x:c>
      <x:c r="I243" s="13" t="str">
        <x:v>Workshop and booking</x:v>
      </x:c>
      <x:c r="J243" s="13" t="str">
        <x:v>Hold</x:v>
      </x:c>
      <x:c r="K243" s="13" t="str">
        <x:f>IF(J243="Hold","Hold",IF(J243="Conditional","Conditional",IF(E243&lt;='Sources'!$B$5,"Protect",IF(AND(E243&lt;='Sources'!$B$7,C243&gt;='Sources'!$B$6),"P1",IF(OR(E243&lt;='Sources'!$B$7,C243&gt;='Sources'!$B$8),"P2","P3")))))</x:f>
        <x:v>Hold</x:v>
      </x:c>
      <x:c r="L243" s="16" t="str">
        <x:f>IF(J243="Hold","",MAX(0,E243-'Sources'!$B$5))</x:f>
      </x:c>
      <x:c r="M243" s="13" t="str">
        <x:v>Ambiguous possible named-business query with two impressions. Check the search results before targeting; hub is a related alternative.</x:v>
      </x:c>
      <x:c r="N243" s="13" t="n">
        <x:v>240</x:v>
      </x:c>
    </x:row>
    <x:row r="244" ht="65" customHeight="1">
      <x:c r="A244" s="13" t="str">
        <x:v>mercedes performance shop</x:v>
      </x:c>
      <x:c r="B244" s="17" t="n">
        <x:v>0</x:v>
      </x:c>
      <x:c r="C244" s="17" t="n">
        <x:v>2</x:v>
      </x:c>
      <x:c r="D244" s="18" t="n">
        <x:v>0</x:v>
      </x:c>
      <x:c r="E244" s="19" t="n">
        <x:v>2</x:v>
      </x:c>
      <x:c r="F244" s="13" t="str">
        <x:v>Performance tuning and GAD</x:v>
      </x:c>
      <x:c r="G244" s="13" t="str">
        <x:v>TUNE</x:v>
      </x:c>
      <x:c r="H244" s="13" t="str">
        <x:v>https://digitecme.com/tuning</x:v>
      </x:c>
      <x:c r="I244" s="13" t="str">
        <x:v>Mercedes-AMG tuning and verified projects</x:v>
      </x:c>
      <x:c r="J244" s="13" t="str">
        <x:v>Relevant</x:v>
      </x:c>
      <x:c r="K244" s="13" t="str">
        <x:f>IF(J244="Hold","Hold",IF(J244="Conditional","Conditional",IF(E244&lt;='Sources'!$B$5,"Protect",IF(AND(E244&lt;='Sources'!$B$7,C244&gt;='Sources'!$B$6),"P1",IF(OR(E244&lt;='Sources'!$B$7,C244&gt;='Sources'!$B$8),"P2","P3")))))</x:f>
        <x:v>Protect</x:v>
      </x:c>
      <x:c r="L244" s="16" t="n">
        <x:f>IF(J244="Hold","",MAX(0,E244-'Sources'!$B$5))</x:f>
        <x:v>0</x:v>
      </x:c>
      <x:c r="M244" s="13" t="str">
        <x:v>Use the Mercedes section of the existing tuning page and relevant project evidence.</x:v>
      </x:c>
      <x:c r="N244" s="13" t="n">
        <x:v>241</x:v>
      </x:c>
    </x:row>
    <x:row r="245" ht="65" customHeight="1">
      <x:c r="A245" s="13" t="str">
        <x:v>mercedes benz 220 service dubai</x:v>
      </x:c>
      <x:c r="B245" s="17" t="n">
        <x:v>0</x:v>
      </x:c>
      <x:c r="C245" s="17" t="n">
        <x:v>2</x:v>
      </x:c>
      <x:c r="D245" s="18" t="n">
        <x:v>0</x:v>
      </x:c>
      <x:c r="E245" s="19" t="n">
        <x:v>4</x:v>
      </x:c>
      <x:c r="F245" s="13" t="str">
        <x:v>Other Mercedes model service</x:v>
      </x:c>
      <x:c r="G245" s="13" t="str">
        <x:v>HUB</x:v>
      </x:c>
      <x:c r="H245" s="13" t="str">
        <x:v>https://digitecme.com/brands/mercedes-benz-service-dubai</x:v>
      </x:c>
      <x:c r="I245" s="13" t="str">
        <x:v>Models serviced</x:v>
      </x:c>
      <x:c r="J245" s="13" t="str">
        <x:v>Conditional</x:v>
      </x:c>
      <x:c r="K245" s="13" t="str">
        <x:f>IF(J245="Hold","Hold",IF(J245="Conditional","Conditional",IF(E245&lt;='Sources'!$B$5,"Protect",IF(AND(E245&lt;='Sources'!$B$7,C245&gt;='Sources'!$B$6),"P1",IF(OR(E245&lt;='Sources'!$B$7,C245&gt;='Sources'!$B$8),"P2","P3")))))</x:f>
        <x:v>Conditional</x:v>
      </x:c>
      <x:c r="L245" s="16" t="n">
        <x:f>IF(J245="Hold","",MAX(0,E245-'Sources'!$B$5))</x:f>
        <x:v>0</x:v>
      </x:c>
      <x:c r="M245" s="13" t="str">
        <x:v>Use a confirmed model-family section on the hub initially. A dedicated family page needs service evidence and sustained demand; do not publish a thin page per variant. Confirm exact classic, rare-model or van workshop coverage before making landing-page claims.</x:v>
      </x:c>
      <x:c r="N245" s="13" t="n">
        <x:v>242</x:v>
      </x:c>
    </x:row>
    <x:row r="246" ht="65" customHeight="1">
      <x:c r="A246" s="13" t="str">
        <x:v>mercedes coding</x:v>
      </x:c>
      <x:c r="B246" s="17" t="n">
        <x:v>0</x:v>
      </x:c>
      <x:c r="C246" s="17" t="n">
        <x:v>2</x:v>
      </x:c>
      <x:c r="D246" s="18" t="n">
        <x:v>0</x:v>
      </x:c>
      <x:c r="E246" s="19" t="n">
        <x:v>4</x:v>
      </x:c>
      <x:c r="F246" s="13" t="str">
        <x:v>Diagnostics and coding</x:v>
      </x:c>
      <x:c r="G246" s="13" t="str">
        <x:v>DIAG</x:v>
      </x:c>
      <x:c r="H246" s="13" t="str">
        <x:v>https://digitecme.com/services/mercedes-diagnostics-dubai</x:v>
      </x:c>
      <x:c r="I246" s="13" t="str">
        <x:v>Coding/programming</x:v>
      </x:c>
      <x:c r="J246" s="13" t="str">
        <x:v>Relevant</x:v>
      </x:c>
      <x:c r="K246" s="13" t="str">
        <x:f>IF(J246="Hold","Hold",IF(J246="Conditional","Conditional",IF(E246&lt;='Sources'!$B$5,"Protect",IF(AND(E246&lt;='Sources'!$B$7,C246&gt;='Sources'!$B$6),"P1",IF(OR(E246&lt;='Sources'!$B$7,C246&gt;='Sources'!$B$8),"P2","P3")))))</x:f>
        <x:v>Protect</x:v>
      </x:c>
      <x:c r="L246" s="16" t="n">
        <x:f>IF(J246="Hold","",MAX(0,E246-'Sources'!$B$5))</x:f>
        <x:v>0</x:v>
      </x:c>
      <x:c r="M246" s="13" t="str">
        <x:v>Match supported vehicle/module functions; do not create a page per fault code.</x:v>
      </x:c>
      <x:c r="N246" s="13" t="n">
        <x:v>243</x:v>
      </x:c>
    </x:row>
    <x:row r="247" ht="65" customHeight="1">
      <x:c r="A247" s="13" t="str">
        <x:v>49. i'm worried about long-term reliability — is mercedes-benz a safe 
choice in the gulf?</x:v>
      </x:c>
      <x:c r="B247" s="17" t="n">
        <x:v>0</x:v>
      </x:c>
      <x:c r="C247" s="17" t="n">
        <x:v>2</x:v>
      </x:c>
      <x:c r="D247" s="18" t="n">
        <x:v>0</x:v>
      </x:c>
      <x:c r="E247" s="19" t="n">
        <x:v>5</x:v>
      </x:c>
      <x:c r="F247" s="13" t="str">
        <x:v>Ownership and reliability</x:v>
      </x:c>
      <x:c r="G247" s="13" t="str">
        <x:v>OWNERSHIP</x:v>
      </x:c>
      <x:c r="H247" s="13" t="str">
        <x:v>https://digitecme.com/blog/mercedes-benz-maintenance-guide-dubai</x:v>
      </x:c>
      <x:c r="I247" s="13" t="str">
        <x:v>Gulf ownership considerations</x:v>
      </x:c>
      <x:c r="J247" s="13" t="str">
        <x:v>Relevant</x:v>
      </x:c>
      <x:c r="K247" s="13" t="str">
        <x:f>IF(J247="Hold","Hold",IF(J247="Conditional","Conditional",IF(E247&lt;='Sources'!$B$5,"Protect",IF(AND(E247&lt;='Sources'!$B$7,C247&gt;='Sources'!$B$6),"P1",IF(OR(E247&lt;='Sources'!$B$7,C247&gt;='Sources'!$B$8),"P2","P3")))))</x:f>
        <x:v>Protect</x:v>
      </x:c>
      <x:c r="L247" s="16" t="n">
        <x:f>IF(J247="Hold","",MAX(0,E247-'Sources'!$B$5))</x:f>
        <x:v>0</x:v>
      </x:c>
      <x:c r="M247" s="13" t="str">
        <x:v>Retain original query text; address the underlying ownership question naturally.</x:v>
      </x:c>
      <x:c r="N247" s="13" t="n">
        <x:v>244</x:v>
      </x:c>
    </x:row>
    <x:row r="248" ht="65" customHeight="1">
      <x:c r="A248" s="13" t="str">
        <x:v>oil change for mercedes near me</x:v>
      </x:c>
      <x:c r="B248" s="17" t="n">
        <x:v>0</x:v>
      </x:c>
      <x:c r="C248" s="17" t="n">
        <x:v>2</x:v>
      </x:c>
      <x:c r="D248" s="18" t="n">
        <x:v>0</x:v>
      </x:c>
      <x:c r="E248" s="19" t="n">
        <x:v>7.5</x:v>
      </x:c>
      <x:c r="F248" s="13" t="str">
        <x:v>Oil change</x:v>
      </x:c>
      <x:c r="G248" s="13" t="str">
        <x:v>OIL</x:v>
      </x:c>
      <x:c r="H248" s="13" t="str">
        <x:v>https://digitecme.com/services/mercedes-oil-change-dubai</x:v>
      </x:c>
      <x:c r="I248" s="13" t="str">
        <x:v>Oil/filter scope and vehicle specification</x:v>
      </x:c>
      <x:c r="J248" s="13" t="str">
        <x:v>Relevant</x:v>
      </x:c>
      <x:c r="K248" s="13" t="str">
        <x:f>IF(J248="Hold","Hold",IF(J248="Conditional","Conditional",IF(E248&lt;='Sources'!$B$5,"Protect",IF(AND(E248&lt;='Sources'!$B$7,C248&gt;='Sources'!$B$6),"P1",IF(OR(E248&lt;='Sources'!$B$7,C248&gt;='Sources'!$B$8),"P2","P3")))))</x:f>
        <x:v>P2</x:v>
      </x:c>
      <x:c r="L248" s="16" t="n">
        <x:f>IF(J248="Hold","",MAX(0,E248-'Sources'!$B$5))</x:f>
        <x:v>2.5</x:v>
      </x:c>
      <x:c r="M248" s="13" t="str">
        <x:v>Keep oil-only intent here and broader Service A/B intent on the hub. Include accurate Al Quoz location and Business Profile links; proximity varies by searcher.</x:v>
      </x:c>
      <x:c r="N248" s="13" t="n">
        <x:v>245</x:v>
      </x:c>
    </x:row>
    <x:row r="249" ht="65" customHeight="1">
      <x:c r="A249" s="13" t="str">
        <x:v>mercedes benz gad motors</x:v>
      </x:c>
      <x:c r="B249" s="17" t="n">
        <x:v>0</x:v>
      </x:c>
      <x:c r="C249" s="17" t="n">
        <x:v>2</x:v>
      </x:c>
      <x:c r="D249" s="18" t="n">
        <x:v>0</x:v>
      </x:c>
      <x:c r="E249" s="19" t="n">
        <x:v>8</x:v>
      </x:c>
      <x:c r="F249" s="13" t="str">
        <x:v>Performance tuning and GAD</x:v>
      </x:c>
      <x:c r="G249" s="13" t="str">
        <x:v>TUNE</x:v>
      </x:c>
      <x:c r="H249" s="13" t="str">
        <x:v>https://digitecme.com/tuning</x:v>
      </x:c>
      <x:c r="I249" s="13" t="str">
        <x:v>Mercedes-AMG tuning and verified projects</x:v>
      </x:c>
      <x:c r="J249" s="13" t="str">
        <x:v>Relevant</x:v>
      </x:c>
      <x:c r="K249" s="13" t="str">
        <x:f>IF(J249="Hold","Hold",IF(J249="Conditional","Conditional",IF(E249&lt;='Sources'!$B$5,"Protect",IF(AND(E249&lt;='Sources'!$B$7,C249&gt;='Sources'!$B$6),"P1",IF(OR(E249&lt;='Sources'!$B$7,C249&gt;='Sources'!$B$8),"P2","P3")))))</x:f>
        <x:v>P2</x:v>
      </x:c>
      <x:c r="L249" s="16" t="n">
        <x:f>IF(J249="Hold","",MAX(0,E249-'Sources'!$B$5))</x:f>
        <x:v>3</x:v>
      </x:c>
      <x:c r="M249" s="13" t="str">
        <x:v>Use the Mercedes section of the existing tuning page and relevant project evidence.</x:v>
      </x:c>
      <x:c r="N249" s="13" t="n">
        <x:v>246</x:v>
      </x:c>
    </x:row>
    <x:row r="250" ht="65" customHeight="1">
      <x:c r="A250" s="13" t="str">
        <x:v>mercedes workshop al quoz</x:v>
      </x:c>
      <x:c r="B250" s="17" t="n">
        <x:v>0</x:v>
      </x:c>
      <x:c r="C250" s="17" t="n">
        <x:v>2</x:v>
      </x:c>
      <x:c r="D250" s="18" t="n">
        <x:v>0</x:v>
      </x:c>
      <x:c r="E250" s="19" t="n">
        <x:v>8</x:v>
      </x:c>
      <x:c r="F250" s="13" t="str">
        <x:v>General repair and workshop</x:v>
      </x:c>
      <x:c r="G250" s="13" t="str">
        <x:v>HUB</x:v>
      </x:c>
      <x:c r="H250" s="13" t="str">
        <x:v>https://digitecme.com/brands/mercedes-benz-service-dubai</x:v>
      </x:c>
      <x:c r="I250" s="13" t="str">
        <x:v>Workshop and booking</x:v>
      </x:c>
      <x:c r="J250" s="13" t="str">
        <x:v>Relevant</x:v>
      </x:c>
      <x:c r="K250" s="13" t="str">
        <x:f>IF(J250="Hold","Hold",IF(J250="Conditional","Conditional",IF(E250&lt;='Sources'!$B$5,"Protect",IF(AND(E250&lt;='Sources'!$B$7,C250&gt;='Sources'!$B$6),"P1",IF(OR(E250&lt;='Sources'!$B$7,C250&gt;='Sources'!$B$8),"P2","P3")))))</x:f>
        <x:v>P2</x:v>
      </x:c>
      <x:c r="L250" s="16" t="n">
        <x:f>IF(J250="Hold","",MAX(0,E250-'Sources'!$B$5))</x:f>
        <x:v>3</x:v>
      </x:c>
      <x:c r="M250" s="13" t="str">
        <x:v>Use the main Mercedes page for broad repair, service, garage and specialist wording.</x:v>
      </x:c>
      <x:c r="N250" s="13" t="n">
        <x:v>247</x:v>
      </x:c>
    </x:row>
    <x:row r="251" ht="65" customHeight="1">
      <x:c r="A251" s="13" t="str">
        <x:v>mercedes gad motor</x:v>
      </x:c>
      <x:c r="B251" s="17" t="n">
        <x:v>0</x:v>
      </x:c>
      <x:c r="C251" s="17" t="n">
        <x:v>2</x:v>
      </x:c>
      <x:c r="D251" s="18" t="n">
        <x:v>0</x:v>
      </x:c>
      <x:c r="E251" s="19" t="n">
        <x:v>8.5</x:v>
      </x:c>
      <x:c r="F251" s="13" t="str">
        <x:v>Performance tuning and GAD</x:v>
      </x:c>
      <x:c r="G251" s="13" t="str">
        <x:v>TUNE</x:v>
      </x:c>
      <x:c r="H251" s="13" t="str">
        <x:v>https://digitecme.com/tuning</x:v>
      </x:c>
      <x:c r="I251" s="13" t="str">
        <x:v>Mercedes-AMG tuning and verified projects</x:v>
      </x:c>
      <x:c r="J251" s="13" t="str">
        <x:v>Relevant</x:v>
      </x:c>
      <x:c r="K251" s="13" t="str">
        <x:f>IF(J251="Hold","Hold",IF(J251="Conditional","Conditional",IF(E251&lt;='Sources'!$B$5,"Protect",IF(AND(E251&lt;='Sources'!$B$7,C251&gt;='Sources'!$B$6),"P1",IF(OR(E251&lt;='Sources'!$B$7,C251&gt;='Sources'!$B$8),"P2","P3")))))</x:f>
        <x:v>P2</x:v>
      </x:c>
      <x:c r="L251" s="16" t="n">
        <x:f>IF(J251="Hold","",MAX(0,E251-'Sources'!$B$5))</x:f>
        <x:v>3.5</x:v>
      </x:c>
      <x:c r="M251" s="13" t="str">
        <x:v>Use the Mercedes section of the existing tuning page and relevant project evidence.</x:v>
      </x:c>
      <x:c r="N251" s="13" t="n">
        <x:v>248</x:v>
      </x:c>
    </x:row>
    <x:row r="252" ht="65" customHeight="1">
      <x:c r="A252" s="13" t="str">
        <x:v>mercedes benz 250 service dubai</x:v>
      </x:c>
      <x:c r="B252" s="17" t="n">
        <x:v>0</x:v>
      </x:c>
      <x:c r="C252" s="17" t="n">
        <x:v>2</x:v>
      </x:c>
      <x:c r="D252" s="18" t="n">
        <x:v>0</x:v>
      </x:c>
      <x:c r="E252" s="19" t="n">
        <x:v>9</x:v>
      </x:c>
      <x:c r="F252" s="13" t="str">
        <x:v>Other Mercedes model service</x:v>
      </x:c>
      <x:c r="G252" s="13" t="str">
        <x:v>HUB</x:v>
      </x:c>
      <x:c r="H252" s="13" t="str">
        <x:v>https://digitecme.com/brands/mercedes-benz-service-dubai</x:v>
      </x:c>
      <x:c r="I252" s="13" t="str">
        <x:v>Models serviced</x:v>
      </x:c>
      <x:c r="J252" s="13" t="str">
        <x:v>Conditional</x:v>
      </x:c>
      <x:c r="K252" s="13" t="str">
        <x:f>IF(J252="Hold","Hold",IF(J252="Conditional","Conditional",IF(E252&lt;='Sources'!$B$5,"Protect",IF(AND(E252&lt;='Sources'!$B$7,C252&gt;='Sources'!$B$6),"P1",IF(OR(E252&lt;='Sources'!$B$7,C252&gt;='Sources'!$B$8),"P2","P3")))))</x:f>
        <x:v>Conditional</x:v>
      </x:c>
      <x:c r="L252" s="16" t="n">
        <x:f>IF(J252="Hold","",MAX(0,E252-'Sources'!$B$5))</x:f>
        <x:v>4</x:v>
      </x:c>
      <x:c r="M252" s="13" t="str">
        <x:v>Use a confirmed model-family section on the hub initially. A dedicated family page needs service evidence and sustained demand; do not publish a thin page per variant. Confirm exact classic, rare-model or van workshop coverage before making landing-page claims.</x:v>
      </x:c>
      <x:c r="N252" s="13" t="n">
        <x:v>249</x:v>
      </x:c>
    </x:row>
    <x:row r="253" ht="65" customHeight="1">
      <x:c r="A253" s="13" t="str">
        <x:v>mercedes benz e class cabriolet service dubai</x:v>
      </x:c>
      <x:c r="B253" s="17" t="n">
        <x:v>0</x:v>
      </x:c>
      <x:c r="C253" s="17" t="n">
        <x:v>2</x:v>
      </x:c>
      <x:c r="D253" s="18" t="n">
        <x:v>0</x:v>
      </x:c>
      <x:c r="E253" s="19" t="n">
        <x:v>13</x:v>
      </x:c>
      <x:c r="F253" s="13" t="str">
        <x:v>E-Class model service</x:v>
      </x:c>
      <x:c r="G253" s="13" t="str">
        <x:v>ECLASS</x:v>
      </x:c>
      <x:c r="H253" s="13" t="str">
        <x:v>https://digitecme.com/blog/mercedes-e-class-service-dubai-guide</x:v>
      </x:c>
      <x:c r="I253" s="13" t="str">
        <x:v>E-Class variants</x:v>
      </x:c>
      <x:c r="J253" s="13" t="str">
        <x:v>Relevant</x:v>
      </x:c>
      <x:c r="K253" s="13" t="str">
        <x:f>IF(J253="Hold","Hold",IF(J253="Conditional","Conditional",IF(E253&lt;='Sources'!$B$5,"Protect",IF(AND(E253&lt;='Sources'!$B$7,C253&gt;='Sources'!$B$6),"P1",IF(OR(E253&lt;='Sources'!$B$7,C253&gt;='Sources'!$B$8),"P2","P3")))))</x:f>
        <x:v>P2</x:v>
      </x:c>
      <x:c r="L253" s="16" t="n">
        <x:f>IF(J253="Hold","",MAX(0,E253-'Sources'!$B$5))</x:f>
        <x:v>8</x:v>
      </x:c>
      <x:c r="M253" s="13" t="str">
        <x:v>Group relevant E-Class variants here; verify older E55 and coupe/cabriolet scope. E63 stays separate.</x:v>
      </x:c>
      <x:c r="N253" s="13" t="n">
        <x:v>250</x:v>
      </x:c>
    </x:row>
    <x:row r="254" ht="65" customHeight="1">
      <x:c r="A254" s="13" t="str">
        <x:v>mercedes benz c43 amg service dubai</x:v>
      </x:c>
      <x:c r="B254" s="17" t="n">
        <x:v>0</x:v>
      </x:c>
      <x:c r="C254" s="17" t="n">
        <x:v>2</x:v>
      </x:c>
      <x:c r="D254" s="18" t="n">
        <x:v>0</x:v>
      </x:c>
      <x:c r="E254" s="19" t="n">
        <x:v>13.5</x:v>
      </x:c>
      <x:c r="F254" s="13" t="str">
        <x:v>C-Class model service</x:v>
      </x:c>
      <x:c r="G254" s="13" t="str">
        <x:v>CCLASS</x:v>
      </x:c>
      <x:c r="H254" s="13" t="str">
        <x:v>https://digitecme.com/blog/mercedes-c-class-service-dubai-guide</x:v>
      </x:c>
      <x:c r="I254" s="13" t="str">
        <x:v>C-Class variants</x:v>
      </x:c>
      <x:c r="J254" s="13" t="str">
        <x:v>Relevant</x:v>
      </x:c>
      <x:c r="K254" s="13" t="str">
        <x:f>IF(J254="Hold","Hold",IF(J254="Conditional","Conditional",IF(E254&lt;='Sources'!$B$5,"Protect",IF(AND(E254&lt;='Sources'!$B$7,C254&gt;='Sources'!$B$6),"P1",IF(OR(E254&lt;='Sources'!$B$7,C254&gt;='Sources'!$B$8),"P2","P3")))))</x:f>
        <x:v>P2</x:v>
      </x:c>
      <x:c r="L254" s="16" t="n">
        <x:f>IF(J254="Hold","",MAX(0,E254-'Sources'!$B$5))</x:f>
        <x:v>8.5</x:v>
      </x:c>
      <x:c r="M254" s="13" t="str">
        <x:v>Add applicable C200/C240/C300/C43/coupe detail only when confirmed; C63 stays separate.</x:v>
      </x:c>
      <x:c r="N254" s="13" t="n">
        <x:v>251</x:v>
      </x:c>
    </x:row>
    <x:row r="255" ht="65" customHeight="1">
      <x:c r="A255" s="13" t="str">
        <x:v>mercedes benz service centers near me</x:v>
      </x:c>
      <x:c r="B255" s="17" t="n">
        <x:v>0</x:v>
      </x:c>
      <x:c r="C255" s="17" t="n">
        <x:v>2</x:v>
      </x:c>
      <x:c r="D255" s="18" t="n">
        <x:v>0</x:v>
      </x:c>
      <x:c r="E255" s="19" t="n">
        <x:v>14</x:v>
      </x:c>
      <x:c r="F255" s="13" t="str">
        <x:v>Scheduled service and maintenance</x:v>
      </x:c>
      <x:c r="G255" s="13" t="str">
        <x:v>HUB</x:v>
      </x:c>
      <x:c r="H255" s="13" t="str">
        <x:v>https://digitecme.com/brands/mercedes-benz-service-dubai</x:v>
      </x:c>
      <x:c r="I255" s="13" t="str">
        <x:v>Service A/B and minor/major scope</x:v>
      </x:c>
      <x:c r="J255" s="13" t="str">
        <x:v>Relevant</x:v>
      </x:c>
      <x:c r="K255" s="13" t="str">
        <x:f>IF(J255="Hold","Hold",IF(J255="Conditional","Conditional",IF(E255&lt;='Sources'!$B$5,"Protect",IF(AND(E255&lt;='Sources'!$B$7,C255&gt;='Sources'!$B$6),"P1",IF(OR(E255&lt;='Sources'!$B$7,C255&gt;='Sources'!$B$8),"P2","P3")))))</x:f>
        <x:v>P2</x:v>
      </x:c>
      <x:c r="L255" s="16" t="n">
        <x:f>IF(J255="Hold","",MAX(0,E255-'Sources'!$B$5))</x:f>
        <x:v>9</x:v>
      </x:c>
      <x:c r="M255" s="13" t="str">
        <x:v>Use one service booking destination; explain scope and link oil-only work and informational schedules separately. Include accurate Al Quoz location and Business Profile links; proximity varies by searcher.</x:v>
      </x:c>
      <x:c r="N255" s="13" t="n">
        <x:v>252</x:v>
      </x:c>
    </x:row>
    <x:row r="256" ht="65" customHeight="1">
      <x:c r="A256" s="13" t="str">
        <x:v>mercedes benz oil filter abu dhabi</x:v>
      </x:c>
      <x:c r="B256" s="17" t="n">
        <x:v>0</x:v>
      </x:c>
      <x:c r="C256" s="17" t="n">
        <x:v>2</x:v>
      </x:c>
      <x:c r="D256" s="18" t="n">
        <x:v>0</x:v>
      </x:c>
      <x:c r="E256" s="19" t="n">
        <x:v>14.5</x:v>
      </x:c>
      <x:c r="F256" s="13" t="str">
        <x:v>Oil change</x:v>
      </x:c>
      <x:c r="G256" s="13" t="str">
        <x:v>OIL</x:v>
      </x:c>
      <x:c r="H256" s="13" t="str">
        <x:v>https://digitecme.com/services/mercedes-oil-change-dubai</x:v>
      </x:c>
      <x:c r="I256" s="13" t="str">
        <x:v>Oil/filter scope and vehicle specification</x:v>
      </x:c>
      <x:c r="J256" s="13" t="str">
        <x:v>Hold</x:v>
      </x:c>
      <x:c r="K256" s="13" t="str">
        <x:f>IF(J256="Hold","Hold",IF(J256="Conditional","Conditional",IF(E256&lt;='Sources'!$B$5,"Protect",IF(AND(E256&lt;='Sources'!$B$7,C256&gt;='Sources'!$B$6),"P1",IF(OR(E256&lt;='Sources'!$B$7,C256&gt;='Sources'!$B$8),"P2","P3")))))</x:f>
        <x:v>Hold</x:v>
      </x:c>
      <x:c r="L256" s="16" t="str">
        <x:f>IF(J256="Hold","",MAX(0,E256-'Sources'!$B$5))</x:f>
      </x:c>
      <x:c r="M256" s="13" t="str">
        <x:v>Outside the verified Al Quoz location. Do not imply an Abu Dhabi branch; confirm real service-area support before targeting. URL is a related alternative only.</x:v>
      </x:c>
      <x:c r="N256" s="13" t="n">
        <x:v>253</x:v>
      </x:c>
    </x:row>
    <x:row r="257" ht="65" customHeight="1">
      <x:c r="A257" s="13" t="str">
        <x:v>mercedes car repair near me</x:v>
      </x:c>
      <x:c r="B257" s="17" t="n">
        <x:v>0</x:v>
      </x:c>
      <x:c r="C257" s="17" t="n">
        <x:v>2</x:v>
      </x:c>
      <x:c r="D257" s="18" t="n">
        <x:v>0</x:v>
      </x:c>
      <x:c r="E257" s="19" t="n">
        <x:v>15.5</x:v>
      </x:c>
      <x:c r="F257" s="13" t="str">
        <x:v>General repair and workshop</x:v>
      </x:c>
      <x:c r="G257" s="13" t="str">
        <x:v>HUB</x:v>
      </x:c>
      <x:c r="H257" s="13" t="str">
        <x:v>https://digitecme.com/brands/mercedes-benz-service-dubai</x:v>
      </x:c>
      <x:c r="I257" s="13" t="str">
        <x:v>Workshop and booking</x:v>
      </x:c>
      <x:c r="J257" s="13" t="str">
        <x:v>Relevant</x:v>
      </x:c>
      <x:c r="K257" s="13" t="str">
        <x:f>IF(J257="Hold","Hold",IF(J257="Conditional","Conditional",IF(E257&lt;='Sources'!$B$5,"Protect",IF(AND(E257&lt;='Sources'!$B$7,C257&gt;='Sources'!$B$6),"P1",IF(OR(E257&lt;='Sources'!$B$7,C257&gt;='Sources'!$B$8),"P2","P3")))))</x:f>
        <x:v>P2</x:v>
      </x:c>
      <x:c r="L257" s="16" t="n">
        <x:f>IF(J257="Hold","",MAX(0,E257-'Sources'!$B$5))</x:f>
        <x:v>10.5</x:v>
      </x:c>
      <x:c r="M257" s="13" t="str">
        <x:v>Use the main Mercedes page for broad repair, service, garage and specialist wording. Include accurate Al Quoz location and Business Profile links; proximity varies by searcher.</x:v>
      </x:c>
      <x:c r="N257" s="13" t="n">
        <x:v>254</x:v>
      </x:c>
    </x:row>
    <x:row r="258" ht="65" customHeight="1">
      <x:c r="A258" s="13" t="str">
        <x:v>mercedes benz e43 amg service dubai</x:v>
      </x:c>
      <x:c r="B258" s="17" t="n">
        <x:v>0</x:v>
      </x:c>
      <x:c r="C258" s="17" t="n">
        <x:v>2</x:v>
      </x:c>
      <x:c r="D258" s="18" t="n">
        <x:v>0</x:v>
      </x:c>
      <x:c r="E258" s="19" t="n">
        <x:v>16</x:v>
      </x:c>
      <x:c r="F258" s="13" t="str">
        <x:v>E-Class model service</x:v>
      </x:c>
      <x:c r="G258" s="13" t="str">
        <x:v>ECLASS</x:v>
      </x:c>
      <x:c r="H258" s="13" t="str">
        <x:v>https://digitecme.com/blog/mercedes-e-class-service-dubai-guide</x:v>
      </x:c>
      <x:c r="I258" s="13" t="str">
        <x:v>E-Class variants</x:v>
      </x:c>
      <x:c r="J258" s="13" t="str">
        <x:v>Relevant</x:v>
      </x:c>
      <x:c r="K258" s="13" t="str">
        <x:f>IF(J258="Hold","Hold",IF(J258="Conditional","Conditional",IF(E258&lt;='Sources'!$B$5,"Protect",IF(AND(E258&lt;='Sources'!$B$7,C258&gt;='Sources'!$B$6),"P1",IF(OR(E258&lt;='Sources'!$B$7,C258&gt;='Sources'!$B$8),"P2","P3")))))</x:f>
        <x:v>P2</x:v>
      </x:c>
      <x:c r="L258" s="16" t="n">
        <x:f>IF(J258="Hold","",MAX(0,E258-'Sources'!$B$5))</x:f>
        <x:v>11</x:v>
      </x:c>
      <x:c r="M258" s="13" t="str">
        <x:v>Group relevant E-Class variants here; verify older E55 and coupe/cabriolet scope. E63 stays separate.</x:v>
      </x:c>
      <x:c r="N258" s="13" t="n">
        <x:v>255</x:v>
      </x:c>
    </x:row>
    <x:row r="259" ht="65" customHeight="1">
      <x:c r="A259" s="13" t="str">
        <x:v>mercedes-benz repair</x:v>
      </x:c>
      <x:c r="B259" s="17" t="n">
        <x:v>0</x:v>
      </x:c>
      <x:c r="C259" s="17" t="n">
        <x:v>2</x:v>
      </x:c>
      <x:c r="D259" s="18" t="n">
        <x:v>0</x:v>
      </x:c>
      <x:c r="E259" s="19" t="n">
        <x:v>16</x:v>
      </x:c>
      <x:c r="F259" s="13" t="str">
        <x:v>General repair and workshop</x:v>
      </x:c>
      <x:c r="G259" s="13" t="str">
        <x:v>HUB</x:v>
      </x:c>
      <x:c r="H259" s="13" t="str">
        <x:v>https://digitecme.com/brands/mercedes-benz-service-dubai</x:v>
      </x:c>
      <x:c r="I259" s="13" t="str">
        <x:v>Workshop and booking</x:v>
      </x:c>
      <x:c r="J259" s="13" t="str">
        <x:v>Relevant</x:v>
      </x:c>
      <x:c r="K259" s="13" t="str">
        <x:f>IF(J259="Hold","Hold",IF(J259="Conditional","Conditional",IF(E259&lt;='Sources'!$B$5,"Protect",IF(AND(E259&lt;='Sources'!$B$7,C259&gt;='Sources'!$B$6),"P1",IF(OR(E259&lt;='Sources'!$B$7,C259&gt;='Sources'!$B$8),"P2","P3")))))</x:f>
        <x:v>P2</x:v>
      </x:c>
      <x:c r="L259" s="16" t="n">
        <x:f>IF(J259="Hold","",MAX(0,E259-'Sources'!$B$5))</x:f>
        <x:v>11</x:v>
      </x:c>
      <x:c r="M259" s="13" t="str">
        <x:v>Use the main Mercedes page for broad repair, service, garage and specialist wording.</x:v>
      </x:c>
      <x:c r="N259" s="13" t="n">
        <x:v>256</x:v>
      </x:c>
    </x:row>
    <x:row r="260" ht="65" customHeight="1">
      <x:c r="A260" s="13" t="str">
        <x:v>mercedes benz 280 service dubai</x:v>
      </x:c>
      <x:c r="B260" s="17" t="n">
        <x:v>0</x:v>
      </x:c>
      <x:c r="C260" s="17" t="n">
        <x:v>2</x:v>
      </x:c>
      <x:c r="D260" s="18" t="n">
        <x:v>0</x:v>
      </x:c>
      <x:c r="E260" s="19" t="n">
        <x:v>16.5</x:v>
      </x:c>
      <x:c r="F260" s="13" t="str">
        <x:v>Other Mercedes model service</x:v>
      </x:c>
      <x:c r="G260" s="13" t="str">
        <x:v>HUB</x:v>
      </x:c>
      <x:c r="H260" s="13" t="str">
        <x:v>https://digitecme.com/brands/mercedes-benz-service-dubai</x:v>
      </x:c>
      <x:c r="I260" s="13" t="str">
        <x:v>Models serviced</x:v>
      </x:c>
      <x:c r="J260" s="13" t="str">
        <x:v>Conditional</x:v>
      </x:c>
      <x:c r="K260" s="13" t="str">
        <x:f>IF(J260="Hold","Hold",IF(J260="Conditional","Conditional",IF(E260&lt;='Sources'!$B$5,"Protect",IF(AND(E260&lt;='Sources'!$B$7,C260&gt;='Sources'!$B$6),"P1",IF(OR(E260&lt;='Sources'!$B$7,C260&gt;='Sources'!$B$8),"P2","P3")))))</x:f>
        <x:v>Conditional</x:v>
      </x:c>
      <x:c r="L260" s="16" t="n">
        <x:f>IF(J260="Hold","",MAX(0,E260-'Sources'!$B$5))</x:f>
        <x:v>11.5</x:v>
      </x:c>
      <x:c r="M260" s="13" t="str">
        <x:v>Use a confirmed model-family section on the hub initially. A dedicated family page needs service evidence and sustained demand; do not publish a thin page per variant. Confirm exact classic, rare-model or van workshop coverage before making landing-page claims.</x:v>
      </x:c>
      <x:c r="N260" s="13" t="n">
        <x:v>257</x:v>
      </x:c>
    </x:row>
    <x:row r="261" ht="65" customHeight="1">
      <x:c r="A261" s="13" t="str">
        <x:v>mercedes benz gl class service dubai</x:v>
      </x:c>
      <x:c r="B261" s="17" t="n">
        <x:v>0</x:v>
      </x:c>
      <x:c r="C261" s="17" t="n">
        <x:v>2</x:v>
      </x:c>
      <x:c r="D261" s="18" t="n">
        <x:v>0</x:v>
      </x:c>
      <x:c r="E261" s="19" t="n">
        <x:v>18</x:v>
      </x:c>
      <x:c r="F261" s="13" t="str">
        <x:v>GLS and GL model service</x:v>
      </x:c>
      <x:c r="G261" s="13" t="str">
        <x:v>GLS</x:v>
      </x:c>
      <x:c r="H261" s="13" t="str">
        <x:v>https://digitecme.com/mercedes/models/gls-service-repair-dubai</x:v>
      </x:c>
      <x:c r="I261" s="13" t="str">
        <x:v>GLS/GL variants</x:v>
      </x:c>
      <x:c r="J261" s="13" t="str">
        <x:v>Relevant</x:v>
      </x:c>
      <x:c r="K261" s="13" t="str">
        <x:f>IF(J261="Hold","Hold",IF(J261="Conditional","Conditional",IF(E261&lt;='Sources'!$B$5,"Protect",IF(AND(E261&lt;='Sources'!$B$7,C261&gt;='Sources'!$B$6),"P1",IF(OR(E261&lt;='Sources'!$B$7,C261&gt;='Sources'!$B$8),"P2","P3")))))</x:f>
        <x:v>P2</x:v>
      </x:c>
      <x:c r="L261" s="16" t="n">
        <x:f>IF(J261="Hold","",MAX(0,E261-'Sources'!$B$5))</x:f>
        <x:v>13</x:v>
      </x:c>
      <x:c r="M261" s="13" t="str">
        <x:v>Verify older GL and AMG coverage; do not assume identical systems.</x:v>
      </x:c>
      <x:c r="N261" s="13" t="n">
        <x:v>258</x:v>
      </x:c>
    </x:row>
    <x:row r="262" ht="65" customHeight="1">
      <x:c r="A262" s="13" t="str">
        <x:v>mercedes benz 250 sl service dubai</x:v>
      </x:c>
      <x:c r="B262" s="17" t="n">
        <x:v>0</x:v>
      </x:c>
      <x:c r="C262" s="17" t="n">
        <x:v>2</x:v>
      </x:c>
      <x:c r="D262" s="18" t="n">
        <x:v>0</x:v>
      </x:c>
      <x:c r="E262" s="19" t="n">
        <x:v>19</x:v>
      </x:c>
      <x:c r="F262" s="13" t="str">
        <x:v>Other Mercedes model service</x:v>
      </x:c>
      <x:c r="G262" s="13" t="str">
        <x:v>HUB</x:v>
      </x:c>
      <x:c r="H262" s="13" t="str">
        <x:v>https://digitecme.com/brands/mercedes-benz-service-dubai</x:v>
      </x:c>
      <x:c r="I262" s="13" t="str">
        <x:v>Models serviced</x:v>
      </x:c>
      <x:c r="J262" s="13" t="str">
        <x:v>Conditional</x:v>
      </x:c>
      <x:c r="K262" s="13" t="str">
        <x:f>IF(J262="Hold","Hold",IF(J262="Conditional","Conditional",IF(E262&lt;='Sources'!$B$5,"Protect",IF(AND(E262&lt;='Sources'!$B$7,C262&gt;='Sources'!$B$6),"P1",IF(OR(E262&lt;='Sources'!$B$7,C262&gt;='Sources'!$B$8),"P2","P3")))))</x:f>
        <x:v>Conditional</x:v>
      </x:c>
      <x:c r="L262" s="16" t="n">
        <x:f>IF(J262="Hold","",MAX(0,E262-'Sources'!$B$5))</x:f>
        <x:v>14</x:v>
      </x:c>
      <x:c r="M262" s="13" t="str">
        <x:v>Use a confirmed model-family section on the hub initially. A dedicated family page needs service evidence and sustained demand; do not publish a thin page per variant. Confirm exact classic, rare-model or van workshop coverage before making landing-page claims.</x:v>
      </x:c>
      <x:c r="N262" s="13" t="n">
        <x:v>259</x:v>
      </x:c>
    </x:row>
    <x:row r="263" ht="65" customHeight="1">
      <x:c r="A263" s="13" t="str">
        <x:v>mercedes benz gle63 amg service dubai</x:v>
      </x:c>
      <x:c r="B263" s="17" t="n">
        <x:v>0</x:v>
      </x:c>
      <x:c r="C263" s="17" t="n">
        <x:v>2</x:v>
      </x:c>
      <x:c r="D263" s="18" t="n">
        <x:v>0</x:v>
      </x:c>
      <x:c r="E263" s="19" t="n">
        <x:v>20.5</x:v>
      </x:c>
      <x:c r="F263" s="13" t="str">
        <x:v>GLE and ML model service</x:v>
      </x:c>
      <x:c r="G263" s="13" t="str">
        <x:v>GLE</x:v>
      </x:c>
      <x:c r="H263" s="13" t="str">
        <x:v>https://digitecme.com/mercedes/models/gle-service-repair-dubai</x:v>
      </x:c>
      <x:c r="I263" s="13" t="str">
        <x:v>GLE/ML variants</x:v>
      </x:c>
      <x:c r="J263" s="13" t="str">
        <x:v>Relevant</x:v>
      </x:c>
      <x:c r="K263" s="13" t="str">
        <x:f>IF(J263="Hold","Hold",IF(J263="Conditional","Conditional",IF(E263&lt;='Sources'!$B$5,"Protect",IF(AND(E263&lt;='Sources'!$B$7,C263&gt;='Sources'!$B$6),"P1",IF(OR(E263&lt;='Sources'!$B$7,C263&gt;='Sources'!$B$8),"P2","P3")))))</x:f>
        <x:v>P3</x:v>
      </x:c>
      <x:c r="L263" s="16" t="n">
        <x:f>IF(J263="Hold","",MAX(0,E263-'Sources'!$B$5))</x:f>
        <x:v>15.5</x:v>
      </x:c>
      <x:c r="M263" s="13" t="str">
        <x:v>Verify older ML/M-Class, coupe and AMG coverage and clearly distinguish generations.</x:v>
      </x:c>
      <x:c r="N263" s="13" t="n">
        <x:v>260</x:v>
      </x:c>
    </x:row>
    <x:row r="264" ht="65" customHeight="1">
      <x:c r="A264" s="13" t="str">
        <x:v>mercedes ac service</x:v>
      </x:c>
      <x:c r="B264" s="17" t="n">
        <x:v>0</x:v>
      </x:c>
      <x:c r="C264" s="17" t="n">
        <x:v>2</x:v>
      </x:c>
      <x:c r="D264" s="18" t="n">
        <x:v>0</x:v>
      </x:c>
      <x:c r="E264" s="19" t="n">
        <x:v>21</x:v>
      </x:c>
      <x:c r="F264" s="13" t="str">
        <x:v>AC repair</x:v>
      </x:c>
      <x:c r="G264" s="13" t="str">
        <x:v>AC</x:v>
      </x:c>
      <x:c r="H264" s="13" t="str">
        <x:v>https://digitecme.com/services/mercedes-ac-repair-dubai</x:v>
      </x:c>
      <x:c r="I264" s="13" t="str">
        <x:v>AC diagnosis, recharge and repair</x:v>
      </x:c>
      <x:c r="J264" s="13" t="str">
        <x:v>Relevant</x:v>
      </x:c>
      <x:c r="K264" s="13" t="str">
        <x:f>IF(J264="Hold","Hold",IF(J264="Conditional","Conditional",IF(E264&lt;='Sources'!$B$5,"Protect",IF(AND(E264&lt;='Sources'!$B$7,C264&gt;='Sources'!$B$6),"P1",IF(OR(E264&lt;='Sources'!$B$7,C264&gt;='Sources'!$B$8),"P2","P3")))))</x:f>
        <x:v>P3</x:v>
      </x:c>
      <x:c r="L264" s="16" t="n">
        <x:f>IF(J264="Hold","",MAX(0,E264-'Sources'!$B$5))</x:f>
        <x:v>16</x:v>
      </x:c>
      <x:c r="M264" s="13" t="str">
        <x:v>Use AC and air conditioning as natural wording on the same page.</x:v>
      </x:c>
      <x:c r="N264" s="13" t="n">
        <x:v>261</x:v>
      </x:c>
    </x:row>
    <x:row r="265" ht="65" customHeight="1">
      <x:c r="A265" s="13" t="str">
        <x:v>mercedes benz car service</x:v>
      </x:c>
      <x:c r="B265" s="17" t="n">
        <x:v>0</x:v>
      </x:c>
      <x:c r="C265" s="17" t="n">
        <x:v>2</x:v>
      </x:c>
      <x:c r="D265" s="18" t="n">
        <x:v>0</x:v>
      </x:c>
      <x:c r="E265" s="19" t="n">
        <x:v>23.5</x:v>
      </x:c>
      <x:c r="F265" s="13" t="str">
        <x:v>Scheduled service and maintenance</x:v>
      </x:c>
      <x:c r="G265" s="13" t="str">
        <x:v>HUB</x:v>
      </x:c>
      <x:c r="H265" s="13" t="str">
        <x:v>https://digitecme.com/brands/mercedes-benz-service-dubai</x:v>
      </x:c>
      <x:c r="I265" s="13" t="str">
        <x:v>Service A/B and minor/major scope</x:v>
      </x:c>
      <x:c r="J265" s="13" t="str">
        <x:v>Relevant</x:v>
      </x:c>
      <x:c r="K265" s="13" t="str">
        <x:f>IF(J265="Hold","Hold",IF(J265="Conditional","Conditional",IF(E265&lt;='Sources'!$B$5,"Protect",IF(AND(E265&lt;='Sources'!$B$7,C265&gt;='Sources'!$B$6),"P1",IF(OR(E265&lt;='Sources'!$B$7,C265&gt;='Sources'!$B$8),"P2","P3")))))</x:f>
        <x:v>P3</x:v>
      </x:c>
      <x:c r="L265" s="16" t="n">
        <x:f>IF(J265="Hold","",MAX(0,E265-'Sources'!$B$5))</x:f>
        <x:v>18.5</x:v>
      </x:c>
      <x:c r="M265" s="13" t="str">
        <x:v>Use one service booking destination; explain scope and link oil-only work and informational schedules separately.</x:v>
      </x:c>
      <x:c r="N265" s="13" t="n">
        <x:v>262</x:v>
      </x:c>
    </x:row>
    <x:row r="266" ht="65" customHeight="1">
      <x:c r="A266" s="13" t="str">
        <x:v>mercedes chip tuning specialist</x:v>
      </x:c>
      <x:c r="B266" s="17" t="n">
        <x:v>0</x:v>
      </x:c>
      <x:c r="C266" s="17" t="n">
        <x:v>2</x:v>
      </x:c>
      <x:c r="D266" s="18" t="n">
        <x:v>0</x:v>
      </x:c>
      <x:c r="E266" s="19" t="n">
        <x:v>26</x:v>
      </x:c>
      <x:c r="F266" s="13" t="str">
        <x:v>Performance tuning and GAD</x:v>
      </x:c>
      <x:c r="G266" s="13" t="str">
        <x:v>TUNE</x:v>
      </x:c>
      <x:c r="H266" s="13" t="str">
        <x:v>https://digitecme.com/tuning</x:v>
      </x:c>
      <x:c r="I266" s="13" t="str">
        <x:v>Mercedes-AMG tuning and verified projects</x:v>
      </x:c>
      <x:c r="J266" s="13" t="str">
        <x:v>Relevant</x:v>
      </x:c>
      <x:c r="K266" s="13" t="str">
        <x:f>IF(J266="Hold","Hold",IF(J266="Conditional","Conditional",IF(E266&lt;='Sources'!$B$5,"Protect",IF(AND(E266&lt;='Sources'!$B$7,C266&gt;='Sources'!$B$6),"P1",IF(OR(E266&lt;='Sources'!$B$7,C266&gt;='Sources'!$B$8),"P2","P3")))))</x:f>
        <x:v>P3</x:v>
      </x:c>
      <x:c r="L266" s="16" t="n">
        <x:f>IF(J266="Hold","",MAX(0,E266-'Sources'!$B$5))</x:f>
        <x:v>21</x:v>
      </x:c>
      <x:c r="M266" s="13" t="str">
        <x:v>Use the Mercedes section of the existing tuning page and relevant project evidence.</x:v>
      </x:c>
      <x:c r="N266" s="13" t="n">
        <x:v>263</x:v>
      </x:c>
    </x:row>
    <x:row r="267" ht="65" customHeight="1">
      <x:c r="A267" s="13" t="str">
        <x:v>mercedes benz 230 sl service dubai</x:v>
      </x:c>
      <x:c r="B267" s="17" t="n">
        <x:v>0</x:v>
      </x:c>
      <x:c r="C267" s="17" t="n">
        <x:v>2</x:v>
      </x:c>
      <x:c r="D267" s="18" t="n">
        <x:v>0</x:v>
      </x:c>
      <x:c r="E267" s="19" t="n">
        <x:v>26.5</x:v>
      </x:c>
      <x:c r="F267" s="13" t="str">
        <x:v>Other Mercedes model service</x:v>
      </x:c>
      <x:c r="G267" s="13" t="str">
        <x:v>HUB</x:v>
      </x:c>
      <x:c r="H267" s="13" t="str">
        <x:v>https://digitecme.com/brands/mercedes-benz-service-dubai</x:v>
      </x:c>
      <x:c r="I267" s="13" t="str">
        <x:v>Models serviced</x:v>
      </x:c>
      <x:c r="J267" s="13" t="str">
        <x:v>Conditional</x:v>
      </x:c>
      <x:c r="K267" s="13" t="str">
        <x:f>IF(J267="Hold","Hold",IF(J267="Conditional","Conditional",IF(E267&lt;='Sources'!$B$5,"Protect",IF(AND(E267&lt;='Sources'!$B$7,C267&gt;='Sources'!$B$6),"P1",IF(OR(E267&lt;='Sources'!$B$7,C267&gt;='Sources'!$B$8),"P2","P3")))))</x:f>
        <x:v>Conditional</x:v>
      </x:c>
      <x:c r="L267" s="16" t="n">
        <x:f>IF(J267="Hold","",MAX(0,E267-'Sources'!$B$5))</x:f>
        <x:v>21.5</x:v>
      </x:c>
      <x:c r="M267" s="13" t="str">
        <x:v>Use a confirmed model-family section on the hub initially. A dedicated family page needs service evidence and sustained demand; do not publish a thin page per variant. Confirm exact classic, rare-model or van workshop coverage before making landing-page claims.</x:v>
      </x:c>
      <x:c r="N267" s="13" t="n">
        <x:v>264</x:v>
      </x:c>
    </x:row>
    <x:row r="268" ht="65" customHeight="1">
      <x:c r="A268" s="13" t="str">
        <x:v>mercedes auto service</x:v>
      </x:c>
      <x:c r="B268" s="17" t="n">
        <x:v>0</x:v>
      </x:c>
      <x:c r="C268" s="17" t="n">
        <x:v>2</x:v>
      </x:c>
      <x:c r="D268" s="18" t="n">
        <x:v>0</x:v>
      </x:c>
      <x:c r="E268" s="19" t="n">
        <x:v>27.5</x:v>
      </x:c>
      <x:c r="F268" s="13" t="str">
        <x:v>Scheduled service and maintenance</x:v>
      </x:c>
      <x:c r="G268" s="13" t="str">
        <x:v>HUB</x:v>
      </x:c>
      <x:c r="H268" s="13" t="str">
        <x:v>https://digitecme.com/brands/mercedes-benz-service-dubai</x:v>
      </x:c>
      <x:c r="I268" s="13" t="str">
        <x:v>Service A/B and minor/major scope</x:v>
      </x:c>
      <x:c r="J268" s="13" t="str">
        <x:v>Relevant</x:v>
      </x:c>
      <x:c r="K268" s="13" t="str">
        <x:f>IF(J268="Hold","Hold",IF(J268="Conditional","Conditional",IF(E268&lt;='Sources'!$B$5,"Protect",IF(AND(E268&lt;='Sources'!$B$7,C268&gt;='Sources'!$B$6),"P1",IF(OR(E268&lt;='Sources'!$B$7,C268&gt;='Sources'!$B$8),"P2","P3")))))</x:f>
        <x:v>P3</x:v>
      </x:c>
      <x:c r="L268" s="16" t="n">
        <x:f>IF(J268="Hold","",MAX(0,E268-'Sources'!$B$5))</x:f>
        <x:v>22.5</x:v>
      </x:c>
      <x:c r="M268" s="13" t="str">
        <x:v>Use one service booking destination; explain scope and link oil-only work and informational schedules separately.</x:v>
      </x:c>
      <x:c r="N268" s="13" t="n">
        <x:v>265</x:v>
      </x:c>
    </x:row>
    <x:row r="269" ht="65" customHeight="1">
      <x:c r="A269" s="13" t="str">
        <x:v>mercedes car service cost dubai</x:v>
      </x:c>
      <x:c r="B269" s="17" t="n">
        <x:v>0</x:v>
      </x:c>
      <x:c r="C269" s="17" t="n">
        <x:v>2</x:v>
      </x:c>
      <x:c r="D269" s="18" t="n">
        <x:v>0</x:v>
      </x:c>
      <x:c r="E269" s="19" t="n">
        <x:v>28</x:v>
      </x:c>
      <x:c r="F269" s="13" t="str">
        <x:v>Service costs</x:v>
      </x:c>
      <x:c r="G269" s="13" t="str">
        <x:v>COST</x:v>
      </x:c>
      <x:c r="H269" s="13" t="str">
        <x:v>https://digitecme.com/blog/mercedes-service-cost-dubai-guide</x:v>
      </x:c>
      <x:c r="I269" s="13" t="str">
        <x:v>Quote factors and approved examples</x:v>
      </x:c>
      <x:c r="J269" s="13" t="str">
        <x:v>Relevant</x:v>
      </x:c>
      <x:c r="K269" s="13" t="str">
        <x:f>IF(J269="Hold","Hold",IF(J269="Conditional","Conditional",IF(E269&lt;='Sources'!$B$5,"Protect",IF(AND(E269&lt;='Sources'!$B$7,C269&gt;='Sources'!$B$6),"P1",IF(OR(E269&lt;='Sources'!$B$7,C269&gt;='Sources'!$B$8),"P2","P3")))))</x:f>
        <x:v>P3</x:v>
      </x:c>
      <x:c r="L269" s="16" t="n">
        <x:f>IF(J269="Hold","",MAX(0,E269-'Sources'!$B$5))</x:f>
        <x:v>23</x:v>
      </x:c>
      <x:c r="M269" s="13" t="str">
        <x:v>Answer costs in the guide and link service bookings to the hub.</x:v>
      </x:c>
      <x:c r="N269" s="13" t="n">
        <x:v>266</x:v>
      </x:c>
    </x:row>
    <x:row r="270" ht="65" customHeight="1">
      <x:c r="A270" s="13" t="str">
        <x:v>mercedes mechanic dubai</x:v>
      </x:c>
      <x:c r="B270" s="17" t="n">
        <x:v>0</x:v>
      </x:c>
      <x:c r="C270" s="17" t="n">
        <x:v>2</x:v>
      </x:c>
      <x:c r="D270" s="18" t="n">
        <x:v>0</x:v>
      </x:c>
      <x:c r="E270" s="19" t="n">
        <x:v>31.5</x:v>
      </x:c>
      <x:c r="F270" s="13" t="str">
        <x:v>General repair and workshop</x:v>
      </x:c>
      <x:c r="G270" s="13" t="str">
        <x:v>HUB</x:v>
      </x:c>
      <x:c r="H270" s="13" t="str">
        <x:v>https://digitecme.com/brands/mercedes-benz-service-dubai</x:v>
      </x:c>
      <x:c r="I270" s="13" t="str">
        <x:v>Workshop and booking</x:v>
      </x:c>
      <x:c r="J270" s="13" t="str">
        <x:v>Relevant</x:v>
      </x:c>
      <x:c r="K270" s="13" t="str">
        <x:f>IF(J270="Hold","Hold",IF(J270="Conditional","Conditional",IF(E270&lt;='Sources'!$B$5,"Protect",IF(AND(E270&lt;='Sources'!$B$7,C270&gt;='Sources'!$B$6),"P1",IF(OR(E270&lt;='Sources'!$B$7,C270&gt;='Sources'!$B$8),"P2","P3")))))</x:f>
        <x:v>P3</x:v>
      </x:c>
      <x:c r="L270" s="16" t="n">
        <x:f>IF(J270="Hold","",MAX(0,E270-'Sources'!$B$5))</x:f>
        <x:v>26.5</x:v>
      </x:c>
      <x:c r="M270" s="13" t="str">
        <x:v>Use the main Mercedes page for broad repair, service, garage and specialist wording.</x:v>
      </x:c>
      <x:c r="N270" s="13" t="n">
        <x:v>267</x:v>
      </x:c>
    </x:row>
    <x:row r="271" ht="65" customHeight="1">
      <x:c r="A271" s="13" t="str">
        <x:v>mercedes benz auto repair shop near me</x:v>
      </x:c>
      <x:c r="B271" s="17" t="n">
        <x:v>0</x:v>
      </x:c>
      <x:c r="C271" s="17" t="n">
        <x:v>2</x:v>
      </x:c>
      <x:c r="D271" s="18" t="n">
        <x:v>0</x:v>
      </x:c>
      <x:c r="E271" s="19" t="n">
        <x:v>32.5</x:v>
      </x:c>
      <x:c r="F271" s="13" t="str">
        <x:v>General repair and workshop</x:v>
      </x:c>
      <x:c r="G271" s="13" t="str">
        <x:v>HUB</x:v>
      </x:c>
      <x:c r="H271" s="13" t="str">
        <x:v>https://digitecme.com/brands/mercedes-benz-service-dubai</x:v>
      </x:c>
      <x:c r="I271" s="13" t="str">
        <x:v>Workshop and booking</x:v>
      </x:c>
      <x:c r="J271" s="13" t="str">
        <x:v>Relevant</x:v>
      </x:c>
      <x:c r="K271" s="13" t="str">
        <x:f>IF(J271="Hold","Hold",IF(J271="Conditional","Conditional",IF(E271&lt;='Sources'!$B$5,"Protect",IF(AND(E271&lt;='Sources'!$B$7,C271&gt;='Sources'!$B$6),"P1",IF(OR(E271&lt;='Sources'!$B$7,C271&gt;='Sources'!$B$8),"P2","P3")))))</x:f>
        <x:v>P3</x:v>
      </x:c>
      <x:c r="L271" s="16" t="n">
        <x:f>IF(J271="Hold","",MAX(0,E271-'Sources'!$B$5))</x:f>
        <x:v>27.5</x:v>
      </x:c>
      <x:c r="M271" s="13" t="str">
        <x:v>Use the main Mercedes page for broad repair, service, garage and specialist wording. Include accurate Al Quoz location and Business Profile links; proximity varies by searcher.</x:v>
      </x:c>
      <x:c r="N271" s="13" t="n">
        <x:v>268</x:v>
      </x:c>
    </x:row>
    <x:row r="272" ht="65" customHeight="1">
      <x:c r="A272" s="13" t="str">
        <x:v>mercedes gearbox supplier uae</x:v>
      </x:c>
      <x:c r="B272" s="17" t="n">
        <x:v>0</x:v>
      </x:c>
      <x:c r="C272" s="17" t="n">
        <x:v>2</x:v>
      </x:c>
      <x:c r="D272" s="18" t="n">
        <x:v>0</x:v>
      </x:c>
      <x:c r="E272" s="19" t="n">
        <x:v>32.5</x:v>
      </x:c>
      <x:c r="F272" s="13" t="str">
        <x:v>Transmission and gearbox</x:v>
      </x:c>
      <x:c r="G272" s="13" t="str">
        <x:v>TRANS</x:v>
      </x:c>
      <x:c r="H272" s="13" t="str">
        <x:v>https://digitecme.com/services/mercedes-transmission-repair-dubai</x:v>
      </x:c>
      <x:c r="I272" s="13" t="str">
        <x:v>Gearbox service and fault diagnosis</x:v>
      </x:c>
      <x:c r="J272" s="13" t="str">
        <x:v>Hold</x:v>
      </x:c>
      <x:c r="K272" s="13" t="str">
        <x:f>IF(J272="Hold","Hold",IF(J272="Conditional","Conditional",IF(E272&lt;='Sources'!$B$5,"Protect",IF(AND(E272&lt;='Sources'!$B$7,C272&gt;='Sources'!$B$6),"P1",IF(OR(E272&lt;='Sources'!$B$7,C272&gt;='Sources'!$B$8),"P2","P3")))))</x:f>
        <x:v>Hold</x:v>
      </x:c>
      <x:c r="L272" s="16" t="str">
        <x:f>IF(J272="Hold","",MAX(0,E272-'Sources'!$B$5))</x:f>
      </x:c>
      <x:c r="M272" s="13" t="str">
        <x:v>Product, tool or service capability is not established by this export/site review. Confirm an actual matching offering before targeting; URL is a related alternative only.</x:v>
      </x:c>
      <x:c r="N272" s="13" t="n">
        <x:v>269</x:v>
      </x:c>
    </x:row>
    <x:row r="273" ht="65" customHeight="1">
      <x:c r="A273" s="13" t="str">
        <x:v>mercedes battery replacement in dubai</x:v>
      </x:c>
      <x:c r="B273" s="17" t="n">
        <x:v>0</x:v>
      </x:c>
      <x:c r="C273" s="17" t="n">
        <x:v>2</x:v>
      </x:c>
      <x:c r="D273" s="18" t="n">
        <x:v>0</x:v>
      </x:c>
      <x:c r="E273" s="19" t="n">
        <x:v>39</x:v>
      </x:c>
      <x:c r="F273" s="13" t="str">
        <x:v>Battery replacement</x:v>
      </x:c>
      <x:c r="G273" s="13" t="str">
        <x:v>BATTERY</x:v>
      </x:c>
      <x:c r="H273" s="13" t="str">
        <x:v>https://digitecme.com/services/mercedes-battery-replacement-dubai</x:v>
      </x:c>
      <x:c r="I273" s="13" t="str">
        <x:v>Battery testing, replacement and location</x:v>
      </x:c>
      <x:c r="J273" s="13" t="str">
        <x:v>Relevant</x:v>
      </x:c>
      <x:c r="K273" s="13" t="str">
        <x:f>IF(J273="Hold","Hold",IF(J273="Conditional","Conditional",IF(E273&lt;='Sources'!$B$5,"Protect",IF(AND(E273&lt;='Sources'!$B$7,C273&gt;='Sources'!$B$6),"P1",IF(OR(E273&lt;='Sources'!$B$7,C273&gt;='Sources'!$B$8),"P2","P3")))))</x:f>
        <x:v>P3</x:v>
      </x:c>
      <x:c r="L273" s="16" t="n">
        <x:f>IF(J273="Hold","",MAX(0,E273-'Sources'!$B$5))</x:f>
        <x:v>34</x:v>
      </x:c>
      <x:c r="M273" s="13" t="str">
        <x:v>Explain model-specific battery selection and supported installation checks.</x:v>
      </x:c>
      <x:c r="N273" s="13" t="n">
        <x:v>270</x:v>
      </x:c>
    </x:row>
    <x:row r="274" ht="65" customHeight="1">
      <x:c r="A274" s="13" t="str">
        <x:v>best mercedes service center near me</x:v>
      </x:c>
      <x:c r="B274" s="17" t="n">
        <x:v>0</x:v>
      </x:c>
      <x:c r="C274" s="17" t="n">
        <x:v>2</x:v>
      </x:c>
      <x:c r="D274" s="18" t="n">
        <x:v>0</x:v>
      </x:c>
      <x:c r="E274" s="19" t="n">
        <x:v>71</x:v>
      </x:c>
      <x:c r="F274" s="13" t="str">
        <x:v>Scheduled service and maintenance</x:v>
      </x:c>
      <x:c r="G274" s="13" t="str">
        <x:v>HUB</x:v>
      </x:c>
      <x:c r="H274" s="13" t="str">
        <x:v>https://digitecme.com/brands/mercedes-benz-service-dubai</x:v>
      </x:c>
      <x:c r="I274" s="13" t="str">
        <x:v>Service A/B and minor/major scope</x:v>
      </x:c>
      <x:c r="J274" s="13" t="str">
        <x:v>Relevant</x:v>
      </x:c>
      <x:c r="K274" s="13" t="str">
        <x:f>IF(J274="Hold","Hold",IF(J274="Conditional","Conditional",IF(E274&lt;='Sources'!$B$5,"Protect",IF(AND(E274&lt;='Sources'!$B$7,C274&gt;='Sources'!$B$6),"P1",IF(OR(E274&lt;='Sources'!$B$7,C274&gt;='Sources'!$B$8),"P2","P3")))))</x:f>
        <x:v>P3</x:v>
      </x:c>
      <x:c r="L274" s="16" t="n">
        <x:f>IF(J274="Hold","",MAX(0,E274-'Sources'!$B$5))</x:f>
        <x:v>66</x:v>
      </x:c>
      <x:c r="M274" s="13" t="str">
        <x:v>Use one service booking destination; explain scope and link oil-only work and informational schedules separately. Include accurate Al Quoz location and Business Profile links; proximity varies by searcher.</x:v>
      </x:c>
      <x:c r="N274" s="13" t="n">
        <x:v>271</x:v>
      </x:c>
    </x:row>
    <x:row r="275" ht="65" customHeight="1">
      <x:c r="A275" s="13" t="str">
        <x:v>mercedes performance</x:v>
      </x:c>
      <x:c r="B275" s="17" t="n">
        <x:v>0</x:v>
      </x:c>
      <x:c r="C275" s="17" t="n">
        <x:v>1</x:v>
      </x:c>
      <x:c r="D275" s="18" t="n">
        <x:v>0</x:v>
      </x:c>
      <x:c r="E275" s="19" t="n">
        <x:v>1</x:v>
      </x:c>
      <x:c r="F275" s="13" t="str">
        <x:v>Performance tuning and GAD</x:v>
      </x:c>
      <x:c r="G275" s="13" t="str">
        <x:v>TUNE</x:v>
      </x:c>
      <x:c r="H275" s="13" t="str">
        <x:v>https://digitecme.com/tuning</x:v>
      </x:c>
      <x:c r="I275" s="13" t="str">
        <x:v>Mercedes-AMG tuning and verified projects</x:v>
      </x:c>
      <x:c r="J275" s="13" t="str">
        <x:v>Relevant</x:v>
      </x:c>
      <x:c r="K275" s="13" t="str">
        <x:f>IF(J275="Hold","Hold",IF(J275="Conditional","Conditional",IF(E275&lt;='Sources'!$B$5,"Protect",IF(AND(E275&lt;='Sources'!$B$7,C275&gt;='Sources'!$B$6),"P1",IF(OR(E275&lt;='Sources'!$B$7,C275&gt;='Sources'!$B$8),"P2","P3")))))</x:f>
        <x:v>Protect</x:v>
      </x:c>
      <x:c r="L275" s="16" t="n">
        <x:f>IF(J275="Hold","",MAX(0,E275-'Sources'!$B$5))</x:f>
        <x:v>0</x:v>
      </x:c>
      <x:c r="M275" s="13" t="str">
        <x:v>Use the Mercedes section of the existing tuning page and relevant project evidence.</x:v>
      </x:c>
      <x:c r="N275" s="13" t="n">
        <x:v>272</x:v>
      </x:c>
    </x:row>
    <x:row r="276" ht="65" customHeight="1">
      <x:c r="A276" s="13" t="str">
        <x:v>mercedes service center sheikh zayed road</x:v>
      </x:c>
      <x:c r="B276" s="17" t="n">
        <x:v>0</x:v>
      </x:c>
      <x:c r="C276" s="17" t="n">
        <x:v>1</x:v>
      </x:c>
      <x:c r="D276" s="18" t="n">
        <x:v>0</x:v>
      </x:c>
      <x:c r="E276" s="19" t="n">
        <x:v>1</x:v>
      </x:c>
      <x:c r="F276" s="13" t="str">
        <x:v>Scheduled service and maintenance</x:v>
      </x:c>
      <x:c r="G276" s="13" t="str">
        <x:v>HUB</x:v>
      </x:c>
      <x:c r="H276" s="13" t="str">
        <x:v>https://digitecme.com/brands/mercedes-benz-service-dubai</x:v>
      </x:c>
      <x:c r="I276" s="13" t="str">
        <x:v>Service A/B and minor/major scope</x:v>
      </x:c>
      <x:c r="J276" s="13" t="str">
        <x:v>Relevant</x:v>
      </x:c>
      <x:c r="K276" s="13" t="str">
        <x:f>IF(J276="Hold","Hold",IF(J276="Conditional","Conditional",IF(E276&lt;='Sources'!$B$5,"Protect",IF(AND(E276&lt;='Sources'!$B$7,C276&gt;='Sources'!$B$6),"P1",IF(OR(E276&lt;='Sources'!$B$7,C276&gt;='Sources'!$B$8),"P2","P3")))))</x:f>
        <x:v>Protect</x:v>
      </x:c>
      <x:c r="L276" s="16" t="n">
        <x:f>IF(J276="Hold","",MAX(0,E276-'Sources'!$B$5))</x:f>
        <x:v>0</x:v>
      </x:c>
      <x:c r="M276" s="13" t="str">
        <x:v>Use one service booking destination; explain scope and link oil-only work and informational schedules separately.</x:v>
      </x:c>
      <x:c r="N276" s="13" t="n">
        <x:v>273</x:v>
      </x:c>
    </x:row>
    <x:row r="277" ht="65" customHeight="1">
      <x:c r="A277" s="13" t="str">
        <x:v>mercedes star diagnostic near me</x:v>
      </x:c>
      <x:c r="B277" s="17" t="n">
        <x:v>0</x:v>
      </x:c>
      <x:c r="C277" s="17" t="n">
        <x:v>1</x:v>
      </x:c>
      <x:c r="D277" s="18" t="n">
        <x:v>0</x:v>
      </x:c>
      <x:c r="E277" s="19" t="n">
        <x:v>1</x:v>
      </x:c>
      <x:c r="F277" s="13" t="str">
        <x:v>Diagnostics and coding</x:v>
      </x:c>
      <x:c r="G277" s="13" t="str">
        <x:v>DIAG</x:v>
      </x:c>
      <x:c r="H277" s="13" t="str">
        <x:v>https://digitecme.com/services/mercedes-diagnostics-dubai</x:v>
      </x:c>
      <x:c r="I277" s="13" t="str">
        <x:v>Diagnostic process</x:v>
      </x:c>
      <x:c r="J277" s="13" t="str">
        <x:v>Relevant</x:v>
      </x:c>
      <x:c r="K277" s="13" t="str">
        <x:f>IF(J277="Hold","Hold",IF(J277="Conditional","Conditional",IF(E277&lt;='Sources'!$B$5,"Protect",IF(AND(E277&lt;='Sources'!$B$7,C277&gt;='Sources'!$B$6),"P1",IF(OR(E277&lt;='Sources'!$B$7,C277&gt;='Sources'!$B$8),"P2","P3")))))</x:f>
        <x:v>Protect</x:v>
      </x:c>
      <x:c r="L277" s="16" t="n">
        <x:f>IF(J277="Hold","",MAX(0,E277-'Sources'!$B$5))</x:f>
        <x:v>0</x:v>
      </x:c>
      <x:c r="M277" s="13" t="str">
        <x:v>Match supported vehicle/module functions; do not create a page per fault code. Include accurate Al Quoz location and Business Profile links; proximity varies by searcher.</x:v>
      </x:c>
      <x:c r="N277" s="13" t="n">
        <x:v>274</x:v>
      </x:c>
    </x:row>
    <x:row r="278" ht="65" customHeight="1">
      <x:c r="A278" s="13" t="str">
        <x:v>mercedes-benz u014787</x:v>
      </x:c>
      <x:c r="B278" s="17" t="n">
        <x:v>0</x:v>
      </x:c>
      <x:c r="C278" s="17" t="n">
        <x:v>1</x:v>
      </x:c>
      <x:c r="D278" s="18" t="n">
        <x:v>0</x:v>
      </x:c>
      <x:c r="E278" s="19" t="n">
        <x:v>1</x:v>
      </x:c>
      <x:c r="F278" s="13" t="str">
        <x:v>Diagnostics and coding</x:v>
      </x:c>
      <x:c r="G278" s="13" t="str">
        <x:v>DIAG</x:v>
      </x:c>
      <x:c r="H278" s="13" t="str">
        <x:v>https://digitecme.com/services/mercedes-diagnostics-dubai</x:v>
      </x:c>
      <x:c r="I278" s="13" t="str">
        <x:v>Diagnostic process</x:v>
      </x:c>
      <x:c r="J278" s="13" t="str">
        <x:v>Relevant</x:v>
      </x:c>
      <x:c r="K278" s="13" t="str">
        <x:f>IF(J278="Hold","Hold",IF(J278="Conditional","Conditional",IF(E278&lt;='Sources'!$B$5,"Protect",IF(AND(E278&lt;='Sources'!$B$7,C278&gt;='Sources'!$B$6),"P1",IF(OR(E278&lt;='Sources'!$B$7,C278&gt;='Sources'!$B$8),"P2","P3")))))</x:f>
        <x:v>Protect</x:v>
      </x:c>
      <x:c r="L278" s="16" t="n">
        <x:f>IF(J278="Hold","",MAX(0,E278-'Sources'!$B$5))</x:f>
        <x:v>0</x:v>
      </x:c>
      <x:c r="M278" s="13" t="str">
        <x:v>Match supported vehicle/module functions; do not create a page per fault code.</x:v>
      </x:c>
      <x:c r="N278" s="13" t="n">
        <x:v>275</x:v>
      </x:c>
    </x:row>
    <x:row r="279" ht="65" customHeight="1">
      <x:c r="A279" s="13" t="str">
        <x:v>service ah mercedes</x:v>
      </x:c>
      <x:c r="B279" s="17" t="n">
        <x:v>0</x:v>
      </x:c>
      <x:c r="C279" s="17" t="n">
        <x:v>1</x:v>
      </x:c>
      <x:c r="D279" s="18" t="n">
        <x:v>0</x:v>
      </x:c>
      <x:c r="E279" s="19" t="n">
        <x:v>1</x:v>
      </x:c>
      <x:c r="F279" s="13" t="str">
        <x:v>Service schedule and ASSYST</x:v>
      </x:c>
      <x:c r="G279" s="13" t="str">
        <x:v>INTERVAL</x:v>
      </x:c>
      <x:c r="H279" s="13" t="str">
        <x:v>https://digitecme.com/blog/mercedes-service-intervals-dubai-heat</x:v>
      </x:c>
      <x:c r="I279" s="13" t="str">
        <x:v>Intervals and service display codes</x:v>
      </x:c>
      <x:c r="J279" s="13" t="str">
        <x:v>Relevant</x:v>
      </x:c>
      <x:c r="K279" s="13" t="str">
        <x:f>IF(J279="Hold","Hold",IF(J279="Conditional","Conditional",IF(E279&lt;='Sources'!$B$5,"Protect",IF(AND(E279&lt;='Sources'!$B$7,C279&gt;='Sources'!$B$6),"P1",IF(OR(E279&lt;='Sources'!$B$7,C279&gt;='Sources'!$B$8),"P2","P3")))))</x:f>
        <x:v>Protect</x:v>
      </x:c>
      <x:c r="L279" s="16" t="n">
        <x:f>IF(J279="Hold","",MAX(0,E279-'Sources'!$B$5))</x:f>
        <x:v>0</x:v>
      </x:c>
      <x:c r="M279" s="13" t="str">
        <x:v>Verify code meaning against the exact model; avoid universal code checklists.</x:v>
      </x:c>
      <x:c r="N279" s="13" t="n">
        <x:v>276</x:v>
      </x:c>
    </x:row>
    <x:row r="280" ht="65" customHeight="1">
      <x:c r="A280" s="13" t="str">
        <x:v>mercedes gad motors for sale</x:v>
      </x:c>
      <x:c r="B280" s="17" t="n">
        <x:v>0</x:v>
      </x:c>
      <x:c r="C280" s="17" t="n">
        <x:v>1</x:v>
      </x:c>
      <x:c r="D280" s="18" t="n">
        <x:v>0</x:v>
      </x:c>
      <x:c r="E280" s="19" t="n">
        <x:v>2</x:v>
      </x:c>
      <x:c r="F280" s="13" t="str">
        <x:v>Performance tuning and GAD</x:v>
      </x:c>
      <x:c r="G280" s="13" t="str">
        <x:v>TUNE</x:v>
      </x:c>
      <x:c r="H280" s="13" t="str">
        <x:v>https://digitecme.com/tuning</x:v>
      </x:c>
      <x:c r="I280" s="13" t="str">
        <x:v>Mercedes-AMG tuning and verified projects</x:v>
      </x:c>
      <x:c r="J280" s="13" t="str">
        <x:v>Hold</x:v>
      </x:c>
      <x:c r="K280" s="13" t="str">
        <x:f>IF(J280="Hold","Hold",IF(J280="Conditional","Conditional",IF(E280&lt;='Sources'!$B$5,"Protect",IF(AND(E280&lt;='Sources'!$B$7,C280&gt;='Sources'!$B$6),"P1",IF(OR(E280&lt;='Sources'!$B$7,C280&gt;='Sources'!$B$8),"P2","P3")))))</x:f>
        <x:v>Hold</x:v>
      </x:c>
      <x:c r="L280" s="16" t="str">
        <x:f>IF(J280="Hold","",MAX(0,E280-'Sources'!$B$5))</x:f>
      </x:c>
      <x:c r="M280" s="13" t="str">
        <x:v>Product, tool or service capability is not established by this export/site review. Confirm an actual matching offering before targeting; URL is a related alternative only.</x:v>
      </x:c>
      <x:c r="N280" s="13" t="n">
        <x:v>277</x:v>
      </x:c>
    </x:row>
    <x:row r="281" ht="65" customHeight="1">
      <x:c r="A281" s="13" t="str">
        <x:v>mercedes-benz u105cff</x:v>
      </x:c>
      <x:c r="B281" s="17" t="n">
        <x:v>0</x:v>
      </x:c>
      <x:c r="C281" s="17" t="n">
        <x:v>1</x:v>
      </x:c>
      <x:c r="D281" s="18" t="n">
        <x:v>0</x:v>
      </x:c>
      <x:c r="E281" s="19" t="n">
        <x:v>2</x:v>
      </x:c>
      <x:c r="F281" s="13" t="str">
        <x:v>Diagnostics and coding</x:v>
      </x:c>
      <x:c r="G281" s="13" t="str">
        <x:v>DIAG</x:v>
      </x:c>
      <x:c r="H281" s="13" t="str">
        <x:v>https://digitecme.com/services/mercedes-diagnostics-dubai</x:v>
      </x:c>
      <x:c r="I281" s="13" t="str">
        <x:v>Diagnostic process</x:v>
      </x:c>
      <x:c r="J281" s="13" t="str">
        <x:v>Relevant</x:v>
      </x:c>
      <x:c r="K281" s="13" t="str">
        <x:f>IF(J281="Hold","Hold",IF(J281="Conditional","Conditional",IF(E281&lt;='Sources'!$B$5,"Protect",IF(AND(E281&lt;='Sources'!$B$7,C281&gt;='Sources'!$B$6),"P1",IF(OR(E281&lt;='Sources'!$B$7,C281&gt;='Sources'!$B$8),"P2","P3")))))</x:f>
        <x:v>Protect</x:v>
      </x:c>
      <x:c r="L281" s="16" t="n">
        <x:f>IF(J281="Hold","",MAX(0,E281-'Sources'!$B$5))</x:f>
        <x:v>0</x:v>
      </x:c>
      <x:c r="M281" s="13" t="str">
        <x:v>Match supported vehicle/module functions; do not create a page per fault code.</x:v>
      </x:c>
      <x:c r="N281" s="13" t="n">
        <x:v>278</x:v>
      </x:c>
    </x:row>
    <x:row r="282" ht="65" customHeight="1">
      <x:c r="A282" s="13" t="str">
        <x:v>stage 1 mercedes tuning</x:v>
      </x:c>
      <x:c r="B282" s="17" t="n">
        <x:v>0</x:v>
      </x:c>
      <x:c r="C282" s="17" t="n">
        <x:v>1</x:v>
      </x:c>
      <x:c r="D282" s="18" t="n">
        <x:v>0</x:v>
      </x:c>
      <x:c r="E282" s="19" t="n">
        <x:v>3</x:v>
      </x:c>
      <x:c r="F282" s="13" t="str">
        <x:v>Performance tuning and GAD</x:v>
      </x:c>
      <x:c r="G282" s="13" t="str">
        <x:v>TUNE</x:v>
      </x:c>
      <x:c r="H282" s="13" t="str">
        <x:v>https://digitecme.com/tuning</x:v>
      </x:c>
      <x:c r="I282" s="13" t="str">
        <x:v>Mercedes-AMG tuning and verified projects</x:v>
      </x:c>
      <x:c r="J282" s="13" t="str">
        <x:v>Relevant</x:v>
      </x:c>
      <x:c r="K282" s="13" t="str">
        <x:f>IF(J282="Hold","Hold",IF(J282="Conditional","Conditional",IF(E282&lt;='Sources'!$B$5,"Protect",IF(AND(E282&lt;='Sources'!$B$7,C282&gt;='Sources'!$B$6),"P1",IF(OR(E282&lt;='Sources'!$B$7,C282&gt;='Sources'!$B$8),"P2","P3")))))</x:f>
        <x:v>Protect</x:v>
      </x:c>
      <x:c r="L282" s="16" t="n">
        <x:f>IF(J282="Hold","",MAX(0,E282-'Sources'!$B$5))</x:f>
        <x:v>0</x:v>
      </x:c>
      <x:c r="M282" s="13" t="str">
        <x:v>Use the Mercedes section of the existing tuning page and relevant project evidence.</x:v>
      </x:c>
      <x:c r="N282" s="13" t="n">
        <x:v>279</x:v>
      </x:c>
    </x:row>
    <x:row r="283" ht="65" customHeight="1">
      <x:c r="A283" s="13" t="str">
        <x:v>mercedes ecu repair</x:v>
      </x:c>
      <x:c r="B283" s="17" t="n">
        <x:v>0</x:v>
      </x:c>
      <x:c r="C283" s="17" t="n">
        <x:v>1</x:v>
      </x:c>
      <x:c r="D283" s="18" t="n">
        <x:v>0</x:v>
      </x:c>
      <x:c r="E283" s="19" t="n">
        <x:v>4</x:v>
      </x:c>
      <x:c r="F283" s="13" t="str">
        <x:v>Electrical and ECU faults</x:v>
      </x:c>
      <x:c r="G283" s="13" t="str">
        <x:v>ELEC</x:v>
      </x:c>
      <x:c r="H283" s="13" t="str">
        <x:v>https://digitecme.com/services/mercedes-electrical-repair-dubai</x:v>
      </x:c>
      <x:c r="I283" s="13" t="str">
        <x:v>Electrical testing and module assessment</x:v>
      </x:c>
      <x:c r="J283" s="13" t="str">
        <x:v>Relevant</x:v>
      </x:c>
      <x:c r="K283" s="13" t="str">
        <x:f>IF(J283="Hold","Hold",IF(J283="Conditional","Conditional",IF(E283&lt;='Sources'!$B$5,"Protect",IF(AND(E283&lt;='Sources'!$B$7,C283&gt;='Sources'!$B$6),"P1",IF(OR(E283&lt;='Sources'!$B$7,C283&gt;='Sources'!$B$8),"P2","P3")))))</x:f>
        <x:v>Protect</x:v>
      </x:c>
      <x:c r="L283" s="16" t="n">
        <x:f>IF(J283="Hold","",MAX(0,E283-'Sources'!$B$5))</x:f>
        <x:v>0</x:v>
      </x:c>
      <x:c r="M283" s="13" t="str">
        <x:v>Distinguish hardware/electrical repair from module coding and ECU tuning.</x:v>
      </x:c>
      <x:c r="N283" s="13" t="n">
        <x:v>280</x:v>
      </x:c>
    </x:row>
    <x:row r="284" ht="65" customHeight="1">
      <x:c r="A284" s="13" t="str">
        <x:v>mercedes performance cars</x:v>
      </x:c>
      <x:c r="B284" s="17" t="n">
        <x:v>0</x:v>
      </x:c>
      <x:c r="C284" s="17" t="n">
        <x:v>1</x:v>
      </x:c>
      <x:c r="D284" s="18" t="n">
        <x:v>0</x:v>
      </x:c>
      <x:c r="E284" s="19" t="n">
        <x:v>4</x:v>
      </x:c>
      <x:c r="F284" s="13" t="str">
        <x:v>Performance tuning and GAD</x:v>
      </x:c>
      <x:c r="G284" s="13" t="str">
        <x:v>TUNE</x:v>
      </x:c>
      <x:c r="H284" s="13" t="str">
        <x:v>https://digitecme.com/tuning</x:v>
      </x:c>
      <x:c r="I284" s="13" t="str">
        <x:v>Mercedes-AMG tuning and verified projects</x:v>
      </x:c>
      <x:c r="J284" s="13" t="str">
        <x:v>Hold</x:v>
      </x:c>
      <x:c r="K284" s="13" t="str">
        <x:f>IF(J284="Hold","Hold",IF(J284="Conditional","Conditional",IF(E284&lt;='Sources'!$B$5,"Protect",IF(AND(E284&lt;='Sources'!$B$7,C284&gt;='Sources'!$B$6),"P1",IF(OR(E284&lt;='Sources'!$B$7,C284&gt;='Sources'!$B$8),"P2","P3")))))</x:f>
        <x:v>Hold</x:v>
      </x:c>
      <x:c r="L284" s="16" t="str">
        <x:f>IF(J284="Hold","",MAX(0,E284-'Sources'!$B$5))</x:f>
      </x:c>
      <x:c r="M284" s="13" t="str">
        <x:v>Product, tool or service capability is not established by this export/site review. Confirm an actual matching offering before targeting; URL is a related alternative only.</x:v>
      </x:c>
      <x:c r="N284" s="13" t="n">
        <x:v>281</x:v>
      </x:c>
    </x:row>
    <x:row r="285" ht="65" customHeight="1">
      <x:c r="A285" s="13" t="str">
        <x:v>mercedes star service</x:v>
      </x:c>
      <x:c r="B285" s="17" t="n">
        <x:v>0</x:v>
      </x:c>
      <x:c r="C285" s="17" t="n">
        <x:v>1</x:v>
      </x:c>
      <x:c r="D285" s="18" t="n">
        <x:v>0</x:v>
      </x:c>
      <x:c r="E285" s="19" t="n">
        <x:v>4</x:v>
      </x:c>
      <x:c r="F285" s="13" t="str">
        <x:v>Diagnostics and coding</x:v>
      </x:c>
      <x:c r="G285" s="13" t="str">
        <x:v>DIAG</x:v>
      </x:c>
      <x:c r="H285" s="13" t="str">
        <x:v>https://digitecme.com/services/mercedes-diagnostics-dubai</x:v>
      </x:c>
      <x:c r="I285" s="13" t="str">
        <x:v>Diagnostic process</x:v>
      </x:c>
      <x:c r="J285" s="13" t="str">
        <x:v>Relevant</x:v>
      </x:c>
      <x:c r="K285" s="13" t="str">
        <x:f>IF(J285="Hold","Hold",IF(J285="Conditional","Conditional",IF(E285&lt;='Sources'!$B$5,"Protect",IF(AND(E285&lt;='Sources'!$B$7,C285&gt;='Sources'!$B$6),"P1",IF(OR(E285&lt;='Sources'!$B$7,C285&gt;='Sources'!$B$8),"P2","P3")))))</x:f>
        <x:v>Protect</x:v>
      </x:c>
      <x:c r="L285" s="16" t="n">
        <x:f>IF(J285="Hold","",MAX(0,E285-'Sources'!$B$5))</x:f>
        <x:v>0</x:v>
      </x:c>
      <x:c r="M285" s="13" t="str">
        <x:v>Match supported vehicle/module functions; do not create a page per fault code.</x:v>
      </x:c>
      <x:c r="N285" s="13" t="n">
        <x:v>282</x:v>
      </x:c>
    </x:row>
    <x:row r="286" ht="65" customHeight="1">
      <x:c r="A286" s="13" t="str">
        <x:v>mercedes a service abu dhabi</x:v>
      </x:c>
      <x:c r="B286" s="17" t="n">
        <x:v>0</x:v>
      </x:c>
      <x:c r="C286" s="17" t="n">
        <x:v>1</x:v>
      </x:c>
      <x:c r="D286" s="18" t="n">
        <x:v>0</x:v>
      </x:c>
      <x:c r="E286" s="19" t="n">
        <x:v>5</x:v>
      </x:c>
      <x:c r="F286" s="13" t="str">
        <x:v>Scheduled service and maintenance</x:v>
      </x:c>
      <x:c r="G286" s="13" t="str">
        <x:v>HUB</x:v>
      </x:c>
      <x:c r="H286" s="13" t="str">
        <x:v>https://digitecme.com/brands/mercedes-benz-service-dubai</x:v>
      </x:c>
      <x:c r="I286" s="13" t="str">
        <x:v>Service A/B and minor/major scope</x:v>
      </x:c>
      <x:c r="J286" s="13" t="str">
        <x:v>Hold</x:v>
      </x:c>
      <x:c r="K286" s="13" t="str">
        <x:f>IF(J286="Hold","Hold",IF(J286="Conditional","Conditional",IF(E286&lt;='Sources'!$B$5,"Protect",IF(AND(E286&lt;='Sources'!$B$7,C286&gt;='Sources'!$B$6),"P1",IF(OR(E286&lt;='Sources'!$B$7,C286&gt;='Sources'!$B$8),"P2","P3")))))</x:f>
        <x:v>Hold</x:v>
      </x:c>
      <x:c r="L286" s="16" t="str">
        <x:f>IF(J286="Hold","",MAX(0,E286-'Sources'!$B$5))</x:f>
      </x:c>
      <x:c r="M286" s="13" t="str">
        <x:v>Outside the verified Al Quoz location. Do not imply an Abu Dhabi branch; confirm real service-area support before targeting. URL is a related alternative only.</x:v>
      </x:c>
      <x:c r="N286" s="13" t="n">
        <x:v>283</x:v>
      </x:c>
    </x:row>
    <x:row r="287" ht="65" customHeight="1">
      <x:c r="A287" s="13" t="str">
        <x:v>mercedes benz diagnostic</x:v>
      </x:c>
      <x:c r="B287" s="17" t="n">
        <x:v>0</x:v>
      </x:c>
      <x:c r="C287" s="17" t="n">
        <x:v>1</x:v>
      </x:c>
      <x:c r="D287" s="18" t="n">
        <x:v>0</x:v>
      </x:c>
      <x:c r="E287" s="19" t="n">
        <x:v>5</x:v>
      </x:c>
      <x:c r="F287" s="13" t="str">
        <x:v>Diagnostics and coding</x:v>
      </x:c>
      <x:c r="G287" s="13" t="str">
        <x:v>DIAG</x:v>
      </x:c>
      <x:c r="H287" s="13" t="str">
        <x:v>https://digitecme.com/services/mercedes-diagnostics-dubai</x:v>
      </x:c>
      <x:c r="I287" s="13" t="str">
        <x:v>Diagnostic process</x:v>
      </x:c>
      <x:c r="J287" s="13" t="str">
        <x:v>Relevant</x:v>
      </x:c>
      <x:c r="K287" s="13" t="str">
        <x:f>IF(J287="Hold","Hold",IF(J287="Conditional","Conditional",IF(E287&lt;='Sources'!$B$5,"Protect",IF(AND(E287&lt;='Sources'!$B$7,C287&gt;='Sources'!$B$6),"P1",IF(OR(E287&lt;='Sources'!$B$7,C287&gt;='Sources'!$B$8),"P2","P3")))))</x:f>
        <x:v>Protect</x:v>
      </x:c>
      <x:c r="L287" s="16" t="n">
        <x:f>IF(J287="Hold","",MAX(0,E287-'Sources'!$B$5))</x:f>
        <x:v>0</x:v>
      </x:c>
      <x:c r="M287" s="13" t="str">
        <x:v>Match supported vehicle/module functions; do not create a page per fault code.</x:v>
      </x:c>
      <x:c r="N287" s="13" t="n">
        <x:v>284</x:v>
      </x:c>
    </x:row>
    <x:row r="288" ht="65" customHeight="1">
      <x:c r="A288" s="13" t="str">
        <x:v>mercedes brake repair near me</x:v>
      </x:c>
      <x:c r="B288" s="17" t="n">
        <x:v>0</x:v>
      </x:c>
      <x:c r="C288" s="17" t="n">
        <x:v>1</x:v>
      </x:c>
      <x:c r="D288" s="18" t="n">
        <x:v>0</x:v>
      </x:c>
      <x:c r="E288" s="19" t="n">
        <x:v>5</x:v>
      </x:c>
      <x:c r="F288" s="13" t="str">
        <x:v>Brake service and repair</x:v>
      </x:c>
      <x:c r="G288" s="13" t="str">
        <x:v>BRAKES</x:v>
      </x:c>
      <x:c r="H288" s="13" t="str">
        <x:v>https://digitecme.com/services/mercedes-brake-repair-dubai</x:v>
      </x:c>
      <x:c r="I288" s="13" t="str">
        <x:v>Pads, discs and inspection</x:v>
      </x:c>
      <x:c r="J288" s="13" t="str">
        <x:v>Relevant</x:v>
      </x:c>
      <x:c r="K288" s="13" t="str">
        <x:f>IF(J288="Hold","Hold",IF(J288="Conditional","Conditional",IF(E288&lt;='Sources'!$B$5,"Protect",IF(AND(E288&lt;='Sources'!$B$7,C288&gt;='Sources'!$B$6),"P1",IF(OR(E288&lt;='Sources'!$B$7,C288&gt;='Sources'!$B$8),"P2","P3")))))</x:f>
        <x:v>Protect</x:v>
      </x:c>
      <x:c r="L288" s="16" t="n">
        <x:f>IF(J288="Hold","",MAX(0,E288-'Sources'!$B$5))</x:f>
        <x:v>0</x:v>
      </x:c>
      <x:c r="M288" s="13" t="str">
        <x:v>Use brake service and repair naturally on the same page. Include accurate Al Quoz location and Business Profile links; proximity varies by searcher.</x:v>
      </x:c>
      <x:c r="N288" s="13" t="n">
        <x:v>285</x:v>
      </x:c>
    </x:row>
    <x:row r="289" ht="65" customHeight="1">
      <x:c r="A289" s="13" t="str">
        <x:v>mercedes benz maintenance</x:v>
      </x:c>
      <x:c r="B289" s="17" t="n">
        <x:v>0</x:v>
      </x:c>
      <x:c r="C289" s="17" t="n">
        <x:v>1</x:v>
      </x:c>
      <x:c r="D289" s="18" t="n">
        <x:v>0</x:v>
      </x:c>
      <x:c r="E289" s="19" t="n">
        <x:v>6</x:v>
      </x:c>
      <x:c r="F289" s="13" t="str">
        <x:v>Scheduled service and maintenance</x:v>
      </x:c>
      <x:c r="G289" s="13" t="str">
        <x:v>HUB</x:v>
      </x:c>
      <x:c r="H289" s="13" t="str">
        <x:v>https://digitecme.com/brands/mercedes-benz-service-dubai</x:v>
      </x:c>
      <x:c r="I289" s="13" t="str">
        <x:v>Service A/B and minor/major scope</x:v>
      </x:c>
      <x:c r="J289" s="13" t="str">
        <x:v>Relevant</x:v>
      </x:c>
      <x:c r="K289" s="13" t="str">
        <x:f>IF(J289="Hold","Hold",IF(J289="Conditional","Conditional",IF(E289&lt;='Sources'!$B$5,"Protect",IF(AND(E289&lt;='Sources'!$B$7,C289&gt;='Sources'!$B$6),"P1",IF(OR(E289&lt;='Sources'!$B$7,C289&gt;='Sources'!$B$8),"P2","P3")))))</x:f>
        <x:v>P2</x:v>
      </x:c>
      <x:c r="L289" s="16" t="n">
        <x:f>IF(J289="Hold","",MAX(0,E289-'Sources'!$B$5))</x:f>
        <x:v>1</x:v>
      </x:c>
      <x:c r="M289" s="13" t="str">
        <x:v>Use one service booking destination; explain scope and link oil-only work and informational schedules separately.</x:v>
      </x:c>
      <x:c r="N289" s="13" t="n">
        <x:v>286</x:v>
      </x:c>
    </x:row>
    <x:row r="290" ht="65" customHeight="1">
      <x:c r="A290" s="13" t="str">
        <x:v>mercedes programming</x:v>
      </x:c>
      <x:c r="B290" s="17" t="n">
        <x:v>0</x:v>
      </x:c>
      <x:c r="C290" s="17" t="n">
        <x:v>1</x:v>
      </x:c>
      <x:c r="D290" s="18" t="n">
        <x:v>0</x:v>
      </x:c>
      <x:c r="E290" s="19" t="n">
        <x:v>6</x:v>
      </x:c>
      <x:c r="F290" s="13" t="str">
        <x:v>Diagnostics and coding</x:v>
      </x:c>
      <x:c r="G290" s="13" t="str">
        <x:v>DIAG</x:v>
      </x:c>
      <x:c r="H290" s="13" t="str">
        <x:v>https://digitecme.com/services/mercedes-diagnostics-dubai</x:v>
      </x:c>
      <x:c r="I290" s="13" t="str">
        <x:v>Coding/programming</x:v>
      </x:c>
      <x:c r="J290" s="13" t="str">
        <x:v>Relevant</x:v>
      </x:c>
      <x:c r="K290" s="13" t="str">
        <x:f>IF(J290="Hold","Hold",IF(J290="Conditional","Conditional",IF(E290&lt;='Sources'!$B$5,"Protect",IF(AND(E290&lt;='Sources'!$B$7,C290&gt;='Sources'!$B$6),"P1",IF(OR(E290&lt;='Sources'!$B$7,C290&gt;='Sources'!$B$8),"P2","P3")))))</x:f>
        <x:v>P2</x:v>
      </x:c>
      <x:c r="L290" s="16" t="n">
        <x:f>IF(J290="Hold","",MAX(0,E290-'Sources'!$B$5))</x:f>
        <x:v>1</x:v>
      </x:c>
      <x:c r="M290" s="13" t="str">
        <x:v>Match supported vehicle/module functions; do not create a page per fault code.</x:v>
      </x:c>
      <x:c r="N290" s="13" t="n">
        <x:v>287</x:v>
      </x:c>
    </x:row>
    <x:row r="291" ht="65" customHeight="1">
      <x:c r="A291" s="13" t="str">
        <x:v>mercedes benz diagnostics</x:v>
      </x:c>
      <x:c r="B291" s="17" t="n">
        <x:v>0</x:v>
      </x:c>
      <x:c r="C291" s="17" t="n">
        <x:v>1</x:v>
      </x:c>
      <x:c r="D291" s="18" t="n">
        <x:v>0</x:v>
      </x:c>
      <x:c r="E291" s="19" t="n">
        <x:v>7</x:v>
      </x:c>
      <x:c r="F291" s="13" t="str">
        <x:v>Diagnostics and coding</x:v>
      </x:c>
      <x:c r="G291" s="13" t="str">
        <x:v>DIAG</x:v>
      </x:c>
      <x:c r="H291" s="13" t="str">
        <x:v>https://digitecme.com/services/mercedes-diagnostics-dubai</x:v>
      </x:c>
      <x:c r="I291" s="13" t="str">
        <x:v>Diagnostic process</x:v>
      </x:c>
      <x:c r="J291" s="13" t="str">
        <x:v>Relevant</x:v>
      </x:c>
      <x:c r="K291" s="13" t="str">
        <x:f>IF(J291="Hold","Hold",IF(J291="Conditional","Conditional",IF(E291&lt;='Sources'!$B$5,"Protect",IF(AND(E291&lt;='Sources'!$B$7,C291&gt;='Sources'!$B$6),"P1",IF(OR(E291&lt;='Sources'!$B$7,C291&gt;='Sources'!$B$8),"P2","P3")))))</x:f>
        <x:v>P2</x:v>
      </x:c>
      <x:c r="L291" s="16" t="n">
        <x:f>IF(J291="Hold","",MAX(0,E291-'Sources'!$B$5))</x:f>
        <x:v>2</x:v>
      </x:c>
      <x:c r="M291" s="13" t="str">
        <x:v>Match supported vehicle/module functions; do not create a page per fault code.</x:v>
      </x:c>
      <x:c r="N291" s="13" t="n">
        <x:v>288</x:v>
      </x:c>
    </x:row>
    <x:row r="292" ht="65" customHeight="1">
      <x:c r="A292" s="13" t="str">
        <x:v>mercedes collision repair</x:v>
      </x:c>
      <x:c r="B292" s="17" t="n">
        <x:v>0</x:v>
      </x:c>
      <x:c r="C292" s="17" t="n">
        <x:v>1</x:v>
      </x:c>
      <x:c r="D292" s="18" t="n">
        <x:v>0</x:v>
      </x:c>
      <x:c r="E292" s="19" t="n">
        <x:v>7</x:v>
      </x:c>
      <x:c r="F292" s="13" t="str">
        <x:v>Body repair</x:v>
      </x:c>
      <x:c r="G292" s="13" t="str">
        <x:v>BODY</x:v>
      </x:c>
      <x:c r="H292" s="13" t="str">
        <x:v>https://digitecme.com/services/mercedes-body-repair-dubai</x:v>
      </x:c>
      <x:c r="I292" s="13" t="str">
        <x:v>Body shop and paintwork scope</x:v>
      </x:c>
      <x:c r="J292" s="13" t="str">
        <x:v>Relevant</x:v>
      </x:c>
      <x:c r="K292" s="13" t="str">
        <x:f>IF(J292="Hold","Hold",IF(J292="Conditional","Conditional",IF(E292&lt;='Sources'!$B$5,"Protect",IF(AND(E292&lt;='Sources'!$B$7,C292&gt;='Sources'!$B$6),"P1",IF(OR(E292&lt;='Sources'!$B$7,C292&gt;='Sources'!$B$8),"P2","P3")))))</x:f>
        <x:v>P2</x:v>
      </x:c>
      <x:c r="L292" s="16" t="n">
        <x:f>IF(J292="Hold","",MAX(0,E292-'Sources'!$B$5))</x:f>
        <x:v>2</x:v>
      </x:c>
      <x:c r="M292" s="13" t="str">
        <x:v>Show original repair evidence and genuine workshop capability.</x:v>
      </x:c>
      <x:c r="N292" s="13" t="n">
        <x:v>289</x:v>
      </x:c>
    </x:row>
    <x:row r="293" ht="65" customHeight="1">
      <x:c r="A293" s="13" t="str">
        <x:v>mercedes engine oil change</x:v>
      </x:c>
      <x:c r="B293" s="17" t="n">
        <x:v>0</x:v>
      </x:c>
      <x:c r="C293" s="17" t="n">
        <x:v>1</x:v>
      </x:c>
      <x:c r="D293" s="18" t="n">
        <x:v>0</x:v>
      </x:c>
      <x:c r="E293" s="19" t="n">
        <x:v>7</x:v>
      </x:c>
      <x:c r="F293" s="13" t="str">
        <x:v>Oil change</x:v>
      </x:c>
      <x:c r="G293" s="13" t="str">
        <x:v>OIL</x:v>
      </x:c>
      <x:c r="H293" s="13" t="str">
        <x:v>https://digitecme.com/services/mercedes-oil-change-dubai</x:v>
      </x:c>
      <x:c r="I293" s="13" t="str">
        <x:v>Oil/filter scope and vehicle specification</x:v>
      </x:c>
      <x:c r="J293" s="13" t="str">
        <x:v>Relevant</x:v>
      </x:c>
      <x:c r="K293" s="13" t="str">
        <x:f>IF(J293="Hold","Hold",IF(J293="Conditional","Conditional",IF(E293&lt;='Sources'!$B$5,"Protect",IF(AND(E293&lt;='Sources'!$B$7,C293&gt;='Sources'!$B$6),"P1",IF(OR(E293&lt;='Sources'!$B$7,C293&gt;='Sources'!$B$8),"P2","P3")))))</x:f>
        <x:v>P2</x:v>
      </x:c>
      <x:c r="L293" s="16" t="n">
        <x:f>IF(J293="Hold","",MAX(0,E293-'Sources'!$B$5))</x:f>
        <x:v>2</x:v>
      </x:c>
      <x:c r="M293" s="13" t="str">
        <x:v>Keep oil-only intent here and broader Service A/B intent on the hub.</x:v>
      </x:c>
      <x:c r="N293" s="13" t="n">
        <x:v>290</x:v>
      </x:c>
    </x:row>
    <x:row r="294" ht="65" customHeight="1">
      <x:c r="A294" s="13" t="str">
        <x:v>air conditioning repair mercedes</x:v>
      </x:c>
      <x:c r="B294" s="17" t="n">
        <x:v>0</x:v>
      </x:c>
      <x:c r="C294" s="17" t="n">
        <x:v>1</x:v>
      </x:c>
      <x:c r="D294" s="18" t="n">
        <x:v>0</x:v>
      </x:c>
      <x:c r="E294" s="19" t="n">
        <x:v>8</x:v>
      </x:c>
      <x:c r="F294" s="13" t="str">
        <x:v>AC repair</x:v>
      </x:c>
      <x:c r="G294" s="13" t="str">
        <x:v>AC</x:v>
      </x:c>
      <x:c r="H294" s="13" t="str">
        <x:v>https://digitecme.com/services/mercedes-ac-repair-dubai</x:v>
      </x:c>
      <x:c r="I294" s="13" t="str">
        <x:v>AC diagnosis, recharge and repair</x:v>
      </x:c>
      <x:c r="J294" s="13" t="str">
        <x:v>Relevant</x:v>
      </x:c>
      <x:c r="K294" s="13" t="str">
        <x:f>IF(J294="Hold","Hold",IF(J294="Conditional","Conditional",IF(E294&lt;='Sources'!$B$5,"Protect",IF(AND(E294&lt;='Sources'!$B$7,C294&gt;='Sources'!$B$6),"P1",IF(OR(E294&lt;='Sources'!$B$7,C294&gt;='Sources'!$B$8),"P2","P3")))))</x:f>
        <x:v>P2</x:v>
      </x:c>
      <x:c r="L294" s="16" t="n">
        <x:f>IF(J294="Hold","",MAX(0,E294-'Sources'!$B$5))</x:f>
        <x:v>3</x:v>
      </x:c>
      <x:c r="M294" s="13" t="str">
        <x:v>Use AC and air conditioning as natural wording on the same page.</x:v>
      </x:c>
      <x:c r="N294" s="13" t="n">
        <x:v>291</x:v>
      </x:c>
    </x:row>
    <x:row r="295" ht="65" customHeight="1">
      <x:c r="A295" s="13" t="str">
        <x:v>mercedes amg repair</x:v>
      </x:c>
      <x:c r="B295" s="17" t="n">
        <x:v>0</x:v>
      </x:c>
      <x:c r="C295" s="17" t="n">
        <x:v>1</x:v>
      </x:c>
      <x:c r="D295" s="18" t="n">
        <x:v>0</x:v>
      </x:c>
      <x:c r="E295" s="19" t="n">
        <x:v>8</x:v>
      </x:c>
      <x:c r="F295" s="13" t="str">
        <x:v>General repair and workshop</x:v>
      </x:c>
      <x:c r="G295" s="13" t="str">
        <x:v>HUB</x:v>
      </x:c>
      <x:c r="H295" s="13" t="str">
        <x:v>https://digitecme.com/brands/mercedes-benz-service-dubai</x:v>
      </x:c>
      <x:c r="I295" s="13" t="str">
        <x:v>Workshop and booking</x:v>
      </x:c>
      <x:c r="J295" s="13" t="str">
        <x:v>Relevant</x:v>
      </x:c>
      <x:c r="K295" s="13" t="str">
        <x:f>IF(J295="Hold","Hold",IF(J295="Conditional","Conditional",IF(E295&lt;='Sources'!$B$5,"Protect",IF(AND(E295&lt;='Sources'!$B$7,C295&gt;='Sources'!$B$6),"P1",IF(OR(E295&lt;='Sources'!$B$7,C295&gt;='Sources'!$B$8),"P2","P3")))))</x:f>
        <x:v>P2</x:v>
      </x:c>
      <x:c r="L295" s="16" t="n">
        <x:f>IF(J295="Hold","",MAX(0,E295-'Sources'!$B$5))</x:f>
        <x:v>3</x:v>
      </x:c>
      <x:c r="M295" s="13" t="str">
        <x:v>Use the main Mercedes page for broad repair, service, garage and specialist wording.</x:v>
      </x:c>
      <x:c r="N295" s="13" t="n">
        <x:v>292</x:v>
      </x:c>
    </x:row>
    <x:row r="296" ht="65" customHeight="1">
      <x:c r="A296" s="13" t="str">
        <x:v>mercedes amg service</x:v>
      </x:c>
      <x:c r="B296" s="17" t="n">
        <x:v>0</x:v>
      </x:c>
      <x:c r="C296" s="17" t="n">
        <x:v>1</x:v>
      </x:c>
      <x:c r="D296" s="18" t="n">
        <x:v>0</x:v>
      </x:c>
      <x:c r="E296" s="19" t="n">
        <x:v>8</x:v>
      </x:c>
      <x:c r="F296" s="13" t="str">
        <x:v>Scheduled service and maintenance</x:v>
      </x:c>
      <x:c r="G296" s="13" t="str">
        <x:v>HUB</x:v>
      </x:c>
      <x:c r="H296" s="13" t="str">
        <x:v>https://digitecme.com/brands/mercedes-benz-service-dubai</x:v>
      </x:c>
      <x:c r="I296" s="13" t="str">
        <x:v>Service A/B and minor/major scope</x:v>
      </x:c>
      <x:c r="J296" s="13" t="str">
        <x:v>Relevant</x:v>
      </x:c>
      <x:c r="K296" s="13" t="str">
        <x:f>IF(J296="Hold","Hold",IF(J296="Conditional","Conditional",IF(E296&lt;='Sources'!$B$5,"Protect",IF(AND(E296&lt;='Sources'!$B$7,C296&gt;='Sources'!$B$6),"P1",IF(OR(E296&lt;='Sources'!$B$7,C296&gt;='Sources'!$B$8),"P2","P3")))))</x:f>
        <x:v>P2</x:v>
      </x:c>
      <x:c r="L296" s="16" t="n">
        <x:f>IF(J296="Hold","",MAX(0,E296-'Sources'!$B$5))</x:f>
        <x:v>3</x:v>
      </x:c>
      <x:c r="M296" s="13" t="str">
        <x:v>Use one service booking destination; explain scope and link oil-only work and informational schedules separately.</x:v>
      </x:c>
      <x:c r="N296" s="13" t="n">
        <x:v>293</x:v>
      </x:c>
    </x:row>
    <x:row r="297" ht="65" customHeight="1">
      <x:c r="A297" s="13" t="str">
        <x:v>mercedes benz workshop al quoz</x:v>
      </x:c>
      <x:c r="B297" s="17" t="n">
        <x:v>0</x:v>
      </x:c>
      <x:c r="C297" s="17" t="n">
        <x:v>1</x:v>
      </x:c>
      <x:c r="D297" s="18" t="n">
        <x:v>0</x:v>
      </x:c>
      <x:c r="E297" s="19" t="n">
        <x:v>8</x:v>
      </x:c>
      <x:c r="F297" s="13" t="str">
        <x:v>General repair and workshop</x:v>
      </x:c>
      <x:c r="G297" s="13" t="str">
        <x:v>HUB</x:v>
      </x:c>
      <x:c r="H297" s="13" t="str">
        <x:v>https://digitecme.com/brands/mercedes-benz-service-dubai</x:v>
      </x:c>
      <x:c r="I297" s="13" t="str">
        <x:v>Workshop and booking</x:v>
      </x:c>
      <x:c r="J297" s="13" t="str">
        <x:v>Relevant</x:v>
      </x:c>
      <x:c r="K297" s="13" t="str">
        <x:f>IF(J297="Hold","Hold",IF(J297="Conditional","Conditional",IF(E297&lt;='Sources'!$B$5,"Protect",IF(AND(E297&lt;='Sources'!$B$7,C297&gt;='Sources'!$B$6),"P1",IF(OR(E297&lt;='Sources'!$B$7,C297&gt;='Sources'!$B$8),"P2","P3")))))</x:f>
        <x:v>P2</x:v>
      </x:c>
      <x:c r="L297" s="16" t="n">
        <x:f>IF(J297="Hold","",MAX(0,E297-'Sources'!$B$5))</x:f>
        <x:v>3</x:v>
      </x:c>
      <x:c r="M297" s="13" t="str">
        <x:v>Use the main Mercedes page for broad repair, service, garage and specialist wording.</x:v>
      </x:c>
      <x:c r="N297" s="13" t="n">
        <x:v>294</x:v>
      </x:c>
    </x:row>
    <x:row r="298" ht="65" customHeight="1">
      <x:c r="A298" s="13" t="str">
        <x:v>mercedes electrician near me</x:v>
      </x:c>
      <x:c r="B298" s="17" t="n">
        <x:v>0</x:v>
      </x:c>
      <x:c r="C298" s="17" t="n">
        <x:v>1</x:v>
      </x:c>
      <x:c r="D298" s="18" t="n">
        <x:v>0</x:v>
      </x:c>
      <x:c r="E298" s="19" t="n">
        <x:v>8</x:v>
      </x:c>
      <x:c r="F298" s="13" t="str">
        <x:v>Electrical and ECU faults</x:v>
      </x:c>
      <x:c r="G298" s="13" t="str">
        <x:v>ELEC</x:v>
      </x:c>
      <x:c r="H298" s="13" t="str">
        <x:v>https://digitecme.com/services/mercedes-electrical-repair-dubai</x:v>
      </x:c>
      <x:c r="I298" s="13" t="str">
        <x:v>Electrical testing and module assessment</x:v>
      </x:c>
      <x:c r="J298" s="13" t="str">
        <x:v>Relevant</x:v>
      </x:c>
      <x:c r="K298" s="13" t="str">
        <x:f>IF(J298="Hold","Hold",IF(J298="Conditional","Conditional",IF(E298&lt;='Sources'!$B$5,"Protect",IF(AND(E298&lt;='Sources'!$B$7,C298&gt;='Sources'!$B$6),"P1",IF(OR(E298&lt;='Sources'!$B$7,C298&gt;='Sources'!$B$8),"P2","P3")))))</x:f>
        <x:v>P2</x:v>
      </x:c>
      <x:c r="L298" s="16" t="n">
        <x:f>IF(J298="Hold","",MAX(0,E298-'Sources'!$B$5))</x:f>
        <x:v>3</x:v>
      </x:c>
      <x:c r="M298" s="13" t="str">
        <x:v>Distinguish hardware/electrical repair from module coding and ECU tuning. Include accurate Al Quoz location and Business Profile links; proximity varies by searcher.</x:v>
      </x:c>
      <x:c r="N298" s="13" t="n">
        <x:v>295</x:v>
      </x:c>
    </x:row>
    <x:row r="299" ht="65" customHeight="1">
      <x:c r="A299" s="13" t="str">
        <x:v>mercedes workshops</x:v>
      </x:c>
      <x:c r="B299" s="17" t="n">
        <x:v>0</x:v>
      </x:c>
      <x:c r="C299" s="17" t="n">
        <x:v>1</x:v>
      </x:c>
      <x:c r="D299" s="18" t="n">
        <x:v>0</x:v>
      </x:c>
      <x:c r="E299" s="19" t="n">
        <x:v>8</x:v>
      </x:c>
      <x:c r="F299" s="13" t="str">
        <x:v>General repair and workshop</x:v>
      </x:c>
      <x:c r="G299" s="13" t="str">
        <x:v>HUB</x:v>
      </x:c>
      <x:c r="H299" s="13" t="str">
        <x:v>https://digitecme.com/brands/mercedes-benz-service-dubai</x:v>
      </x:c>
      <x:c r="I299" s="13" t="str">
        <x:v>Workshop and booking</x:v>
      </x:c>
      <x:c r="J299" s="13" t="str">
        <x:v>Relevant</x:v>
      </x:c>
      <x:c r="K299" s="13" t="str">
        <x:f>IF(J299="Hold","Hold",IF(J299="Conditional","Conditional",IF(E299&lt;='Sources'!$B$5,"Protect",IF(AND(E299&lt;='Sources'!$B$7,C299&gt;='Sources'!$B$6),"P1",IF(OR(E299&lt;='Sources'!$B$7,C299&gt;='Sources'!$B$8),"P2","P3")))))</x:f>
        <x:v>P2</x:v>
      </x:c>
      <x:c r="L299" s="16" t="n">
        <x:f>IF(J299="Hold","",MAX(0,E299-'Sources'!$B$5))</x:f>
        <x:v>3</x:v>
      </x:c>
      <x:c r="M299" s="13" t="str">
        <x:v>Use the main Mercedes page for broad repair, service, garage and specialist wording.</x:v>
      </x:c>
      <x:c r="N299" s="13" t="n">
        <x:v>296</x:v>
      </x:c>
    </x:row>
    <x:row r="300" ht="65" customHeight="1">
      <x:c r="A300" s="13" t="str">
        <x:v>mercedes-benz specialist near me</x:v>
      </x:c>
      <x:c r="B300" s="17" t="n">
        <x:v>0</x:v>
      </x:c>
      <x:c r="C300" s="17" t="n">
        <x:v>1</x:v>
      </x:c>
      <x:c r="D300" s="18" t="n">
        <x:v>0</x:v>
      </x:c>
      <x:c r="E300" s="19" t="n">
        <x:v>8</x:v>
      </x:c>
      <x:c r="F300" s="13" t="str">
        <x:v>General repair and workshop</x:v>
      </x:c>
      <x:c r="G300" s="13" t="str">
        <x:v>HUB</x:v>
      </x:c>
      <x:c r="H300" s="13" t="str">
        <x:v>https://digitecme.com/brands/mercedes-benz-service-dubai</x:v>
      </x:c>
      <x:c r="I300" s="13" t="str">
        <x:v>Workshop and booking</x:v>
      </x:c>
      <x:c r="J300" s="13" t="str">
        <x:v>Relevant</x:v>
      </x:c>
      <x:c r="K300" s="13" t="str">
        <x:f>IF(J300="Hold","Hold",IF(J300="Conditional","Conditional",IF(E300&lt;='Sources'!$B$5,"Protect",IF(AND(E300&lt;='Sources'!$B$7,C300&gt;='Sources'!$B$6),"P1",IF(OR(E300&lt;='Sources'!$B$7,C300&gt;='Sources'!$B$8),"P2","P3")))))</x:f>
        <x:v>P2</x:v>
      </x:c>
      <x:c r="L300" s="16" t="n">
        <x:f>IF(J300="Hold","",MAX(0,E300-'Sources'!$B$5))</x:f>
        <x:v>3</x:v>
      </x:c>
      <x:c r="M300" s="13" t="str">
        <x:v>Use the main Mercedes page for broad repair, service, garage and specialist wording. Include accurate Al Quoz location and Business Profile links; proximity varies by searcher.</x:v>
      </x:c>
      <x:c r="N300" s="13" t="n">
        <x:v>297</x:v>
      </x:c>
    </x:row>
    <x:row r="301" ht="65" customHeight="1">
      <x:c r="A301" s="13" t="str">
        <x:v>mercedes al quoz service centre</x:v>
      </x:c>
      <x:c r="B301" s="17" t="n">
        <x:v>0</x:v>
      </x:c>
      <x:c r="C301" s="17" t="n">
        <x:v>1</x:v>
      </x:c>
      <x:c r="D301" s="18" t="n">
        <x:v>0</x:v>
      </x:c>
      <x:c r="E301" s="19" t="n">
        <x:v>9</x:v>
      </x:c>
      <x:c r="F301" s="13" t="str">
        <x:v>Scheduled service and maintenance</x:v>
      </x:c>
      <x:c r="G301" s="13" t="str">
        <x:v>HUB</x:v>
      </x:c>
      <x:c r="H301" s="13" t="str">
        <x:v>https://digitecme.com/brands/mercedes-benz-service-dubai</x:v>
      </x:c>
      <x:c r="I301" s="13" t="str">
        <x:v>Service A/B and minor/major scope</x:v>
      </x:c>
      <x:c r="J301" s="13" t="str">
        <x:v>Relevant</x:v>
      </x:c>
      <x:c r="K301" s="13" t="str">
        <x:f>IF(J301="Hold","Hold",IF(J301="Conditional","Conditional",IF(E301&lt;='Sources'!$B$5,"Protect",IF(AND(E301&lt;='Sources'!$B$7,C301&gt;='Sources'!$B$6),"P1",IF(OR(E301&lt;='Sources'!$B$7,C301&gt;='Sources'!$B$8),"P2","P3")))))</x:f>
        <x:v>P2</x:v>
      </x:c>
      <x:c r="L301" s="16" t="n">
        <x:f>IF(J301="Hold","",MAX(0,E301-'Sources'!$B$5))</x:f>
        <x:v>4</x:v>
      </x:c>
      <x:c r="M301" s="13" t="str">
        <x:v>Use one service booking destination; explain scope and link oil-only work and informational schedules separately.</x:v>
      </x:c>
      <x:c r="N301" s="13" t="n">
        <x:v>298</x:v>
      </x:c>
    </x:row>
    <x:row r="302" ht="65" customHeight="1">
      <x:c r="A302" s="13" t="str">
        <x:v>mercedes programming near me</x:v>
      </x:c>
      <x:c r="B302" s="17" t="n">
        <x:v>0</x:v>
      </x:c>
      <x:c r="C302" s="17" t="n">
        <x:v>1</x:v>
      </x:c>
      <x:c r="D302" s="18" t="n">
        <x:v>0</x:v>
      </x:c>
      <x:c r="E302" s="19" t="n">
        <x:v>9</x:v>
      </x:c>
      <x:c r="F302" s="13" t="str">
        <x:v>Diagnostics and coding</x:v>
      </x:c>
      <x:c r="G302" s="13" t="str">
        <x:v>DIAG</x:v>
      </x:c>
      <x:c r="H302" s="13" t="str">
        <x:v>https://digitecme.com/services/mercedes-diagnostics-dubai</x:v>
      </x:c>
      <x:c r="I302" s="13" t="str">
        <x:v>Coding/programming</x:v>
      </x:c>
      <x:c r="J302" s="13" t="str">
        <x:v>Relevant</x:v>
      </x:c>
      <x:c r="K302" s="13" t="str">
        <x:f>IF(J302="Hold","Hold",IF(J302="Conditional","Conditional",IF(E302&lt;='Sources'!$B$5,"Protect",IF(AND(E302&lt;='Sources'!$B$7,C302&gt;='Sources'!$B$6),"P1",IF(OR(E302&lt;='Sources'!$B$7,C302&gt;='Sources'!$B$8),"P2","P3")))))</x:f>
        <x:v>P2</x:v>
      </x:c>
      <x:c r="L302" s="16" t="n">
        <x:f>IF(J302="Hold","",MAX(0,E302-'Sources'!$B$5))</x:f>
        <x:v>4</x:v>
      </x:c>
      <x:c r="M302" s="13" t="str">
        <x:v>Match supported vehicle/module functions; do not create a page per fault code. Include accurate Al Quoz location and Business Profile links; proximity varies by searcher.</x:v>
      </x:c>
      <x:c r="N302" s="13" t="n">
        <x:v>299</x:v>
      </x:c>
    </x:row>
    <x:row r="303" ht="65" customHeight="1">
      <x:c r="A303" s="13" t="str">
        <x:v>mercedes servise</x:v>
      </x:c>
      <x:c r="B303" s="17" t="n">
        <x:v>0</x:v>
      </x:c>
      <x:c r="C303" s="17" t="n">
        <x:v>1</x:v>
      </x:c>
      <x:c r="D303" s="18" t="n">
        <x:v>0</x:v>
      </x:c>
      <x:c r="E303" s="19" t="n">
        <x:v>9</x:v>
      </x:c>
      <x:c r="F303" s="13" t="str">
        <x:v>Scheduled service and maintenance</x:v>
      </x:c>
      <x:c r="G303" s="13" t="str">
        <x:v>HUB</x:v>
      </x:c>
      <x:c r="H303" s="13" t="str">
        <x:v>https://digitecme.com/brands/mercedes-benz-service-dubai</x:v>
      </x:c>
      <x:c r="I303" s="13" t="str">
        <x:v>Service A/B and minor/major scope</x:v>
      </x:c>
      <x:c r="J303" s="13" t="str">
        <x:v>Relevant</x:v>
      </x:c>
      <x:c r="K303" s="13" t="str">
        <x:f>IF(J303="Hold","Hold",IF(J303="Conditional","Conditional",IF(E303&lt;='Sources'!$B$5,"Protect",IF(AND(E303&lt;='Sources'!$B$7,C303&gt;='Sources'!$B$6),"P1",IF(OR(E303&lt;='Sources'!$B$7,C303&gt;='Sources'!$B$8),"P2","P3")))))</x:f>
        <x:v>P2</x:v>
      </x:c>
      <x:c r="L303" s="16" t="n">
        <x:f>IF(J303="Hold","",MAX(0,E303-'Sources'!$B$5))</x:f>
        <x:v>4</x:v>
      </x:c>
      <x:c r="M303" s="13" t="str">
        <x:v>Use one service booking destination; explain scope and link oil-only work and informational schedules separately.</x:v>
      </x:c>
      <x:c r="N303" s="13" t="n">
        <x:v>300</x:v>
      </x:c>
    </x:row>
    <x:row r="304" ht="65" customHeight="1">
      <x:c r="A304" s="13" t="str">
        <x:v>ac repair mercedes</x:v>
      </x:c>
      <x:c r="B304" s="17" t="n">
        <x:v>0</x:v>
      </x:c>
      <x:c r="C304" s="17" t="n">
        <x:v>1</x:v>
      </x:c>
      <x:c r="D304" s="18" t="n">
        <x:v>0</x:v>
      </x:c>
      <x:c r="E304" s="19" t="n">
        <x:v>10</x:v>
      </x:c>
      <x:c r="F304" s="13" t="str">
        <x:v>AC repair</x:v>
      </x:c>
      <x:c r="G304" s="13" t="str">
        <x:v>AC</x:v>
      </x:c>
      <x:c r="H304" s="13" t="str">
        <x:v>https://digitecme.com/services/mercedes-ac-repair-dubai</x:v>
      </x:c>
      <x:c r="I304" s="13" t="str">
        <x:v>AC diagnosis, recharge and repair</x:v>
      </x:c>
      <x:c r="J304" s="13" t="str">
        <x:v>Relevant</x:v>
      </x:c>
      <x:c r="K304" s="13" t="str">
        <x:f>IF(J304="Hold","Hold",IF(J304="Conditional","Conditional",IF(E304&lt;='Sources'!$B$5,"Protect",IF(AND(E304&lt;='Sources'!$B$7,C304&gt;='Sources'!$B$6),"P1",IF(OR(E304&lt;='Sources'!$B$7,C304&gt;='Sources'!$B$8),"P2","P3")))))</x:f>
        <x:v>P2</x:v>
      </x:c>
      <x:c r="L304" s="16" t="n">
        <x:f>IF(J304="Hold","",MAX(0,E304-'Sources'!$B$5))</x:f>
        <x:v>5</x:v>
      </x:c>
      <x:c r="M304" s="13" t="str">
        <x:v>Use AC and air conditioning as natural wording on the same page.</x:v>
      </x:c>
      <x:c r="N304" s="13" t="n">
        <x:v>301</x:v>
      </x:c>
    </x:row>
    <x:row r="305" ht="65" customHeight="1">
      <x:c r="A305" s="13" t="str">
        <x:v>book mercedes service</x:v>
      </x:c>
      <x:c r="B305" s="17" t="n">
        <x:v>0</x:v>
      </x:c>
      <x:c r="C305" s="17" t="n">
        <x:v>1</x:v>
      </x:c>
      <x:c r="D305" s="18" t="n">
        <x:v>0</x:v>
      </x:c>
      <x:c r="E305" s="19" t="n">
        <x:v>10</x:v>
      </x:c>
      <x:c r="F305" s="13" t="str">
        <x:v>Scheduled service and maintenance</x:v>
      </x:c>
      <x:c r="G305" s="13" t="str">
        <x:v>HUB</x:v>
      </x:c>
      <x:c r="H305" s="13" t="str">
        <x:v>https://digitecme.com/brands/mercedes-benz-service-dubai</x:v>
      </x:c>
      <x:c r="I305" s="13" t="str">
        <x:v>Service A/B and minor/major scope</x:v>
      </x:c>
      <x:c r="J305" s="13" t="str">
        <x:v>Relevant</x:v>
      </x:c>
      <x:c r="K305" s="13" t="str">
        <x:f>IF(J305="Hold","Hold",IF(J305="Conditional","Conditional",IF(E305&lt;='Sources'!$B$5,"Protect",IF(AND(E305&lt;='Sources'!$B$7,C305&gt;='Sources'!$B$6),"P1",IF(OR(E305&lt;='Sources'!$B$7,C305&gt;='Sources'!$B$8),"P2","P3")))))</x:f>
        <x:v>P2</x:v>
      </x:c>
      <x:c r="L305" s="16" t="n">
        <x:f>IF(J305="Hold","",MAX(0,E305-'Sources'!$B$5))</x:f>
        <x:v>5</x:v>
      </x:c>
      <x:c r="M305" s="13" t="str">
        <x:v>Use one service booking destination; explain scope and link oil-only work and informational schedules separately.</x:v>
      </x:c>
      <x:c r="N305" s="13" t="n">
        <x:v>302</x:v>
      </x:c>
    </x:row>
    <x:row r="306" ht="65" customHeight="1">
      <x:c r="A306" s="13" t="str">
        <x:v>mercedes benz coding near me</x:v>
      </x:c>
      <x:c r="B306" s="17" t="n">
        <x:v>0</x:v>
      </x:c>
      <x:c r="C306" s="17" t="n">
        <x:v>1</x:v>
      </x:c>
      <x:c r="D306" s="18" t="n">
        <x:v>0</x:v>
      </x:c>
      <x:c r="E306" s="19" t="n">
        <x:v>10</x:v>
      </x:c>
      <x:c r="F306" s="13" t="str">
        <x:v>Diagnostics and coding</x:v>
      </x:c>
      <x:c r="G306" s="13" t="str">
        <x:v>DIAG</x:v>
      </x:c>
      <x:c r="H306" s="13" t="str">
        <x:v>https://digitecme.com/services/mercedes-diagnostics-dubai</x:v>
      </x:c>
      <x:c r="I306" s="13" t="str">
        <x:v>Coding/programming</x:v>
      </x:c>
      <x:c r="J306" s="13" t="str">
        <x:v>Relevant</x:v>
      </x:c>
      <x:c r="K306" s="13" t="str">
        <x:f>IF(J306="Hold","Hold",IF(J306="Conditional","Conditional",IF(E306&lt;='Sources'!$B$5,"Protect",IF(AND(E306&lt;='Sources'!$B$7,C306&gt;='Sources'!$B$6),"P1",IF(OR(E306&lt;='Sources'!$B$7,C306&gt;='Sources'!$B$8),"P2","P3")))))</x:f>
        <x:v>P2</x:v>
      </x:c>
      <x:c r="L306" s="16" t="n">
        <x:f>IF(J306="Hold","",MAX(0,E306-'Sources'!$B$5))</x:f>
        <x:v>5</x:v>
      </x:c>
      <x:c r="M306" s="13" t="str">
        <x:v>Match supported vehicle/module functions; do not create a page per fault code. Include accurate Al Quoz location and Business Profile links; proximity varies by searcher.</x:v>
      </x:c>
      <x:c r="N306" s="13" t="n">
        <x:v>303</x:v>
      </x:c>
    </x:row>
    <x:row r="307" ht="65" customHeight="1">
      <x:c r="A307" s="13" t="str">
        <x:v>mercedes benz garage near me</x:v>
      </x:c>
      <x:c r="B307" s="17" t="n">
        <x:v>0</x:v>
      </x:c>
      <x:c r="C307" s="17" t="n">
        <x:v>1</x:v>
      </x:c>
      <x:c r="D307" s="18" t="n">
        <x:v>0</x:v>
      </x:c>
      <x:c r="E307" s="19" t="n">
        <x:v>10</x:v>
      </x:c>
      <x:c r="F307" s="13" t="str">
        <x:v>General repair and workshop</x:v>
      </x:c>
      <x:c r="G307" s="13" t="str">
        <x:v>HUB</x:v>
      </x:c>
      <x:c r="H307" s="13" t="str">
        <x:v>https://digitecme.com/brands/mercedes-benz-service-dubai</x:v>
      </x:c>
      <x:c r="I307" s="13" t="str">
        <x:v>Workshop and booking</x:v>
      </x:c>
      <x:c r="J307" s="13" t="str">
        <x:v>Relevant</x:v>
      </x:c>
      <x:c r="K307" s="13" t="str">
        <x:f>IF(J307="Hold","Hold",IF(J307="Conditional","Conditional",IF(E307&lt;='Sources'!$B$5,"Protect",IF(AND(E307&lt;='Sources'!$B$7,C307&gt;='Sources'!$B$6),"P1",IF(OR(E307&lt;='Sources'!$B$7,C307&gt;='Sources'!$B$8),"P2","P3")))))</x:f>
        <x:v>P2</x:v>
      </x:c>
      <x:c r="L307" s="16" t="n">
        <x:f>IF(J307="Hold","",MAX(0,E307-'Sources'!$B$5))</x:f>
        <x:v>5</x:v>
      </x:c>
      <x:c r="M307" s="13" t="str">
        <x:v>Use the main Mercedes page for broad repair, service, garage and specialist wording. Include accurate Al Quoz location and Business Profile links; proximity varies by searcher.</x:v>
      </x:c>
      <x:c r="N307" s="13" t="n">
        <x:v>304</x:v>
      </x:c>
    </x:row>
    <x:row r="308" ht="65" customHeight="1">
      <x:c r="A308" s="13" t="str">
        <x:v>mercedes coding near me</x:v>
      </x:c>
      <x:c r="B308" s="17" t="n">
        <x:v>0</x:v>
      </x:c>
      <x:c r="C308" s="17" t="n">
        <x:v>1</x:v>
      </x:c>
      <x:c r="D308" s="18" t="n">
        <x:v>0</x:v>
      </x:c>
      <x:c r="E308" s="19" t="n">
        <x:v>10</x:v>
      </x:c>
      <x:c r="F308" s="13" t="str">
        <x:v>Diagnostics and coding</x:v>
      </x:c>
      <x:c r="G308" s="13" t="str">
        <x:v>DIAG</x:v>
      </x:c>
      <x:c r="H308" s="13" t="str">
        <x:v>https://digitecme.com/services/mercedes-diagnostics-dubai</x:v>
      </x:c>
      <x:c r="I308" s="13" t="str">
        <x:v>Coding/programming</x:v>
      </x:c>
      <x:c r="J308" s="13" t="str">
        <x:v>Relevant</x:v>
      </x:c>
      <x:c r="K308" s="13" t="str">
        <x:f>IF(J308="Hold","Hold",IF(J308="Conditional","Conditional",IF(E308&lt;='Sources'!$B$5,"Protect",IF(AND(E308&lt;='Sources'!$B$7,C308&gt;='Sources'!$B$6),"P1",IF(OR(E308&lt;='Sources'!$B$7,C308&gt;='Sources'!$B$8),"P2","P3")))))</x:f>
        <x:v>P2</x:v>
      </x:c>
      <x:c r="L308" s="16" t="n">
        <x:f>IF(J308="Hold","",MAX(0,E308-'Sources'!$B$5))</x:f>
        <x:v>5</x:v>
      </x:c>
      <x:c r="M308" s="13" t="str">
        <x:v>Match supported vehicle/module functions; do not create a page per fault code. Include accurate Al Quoz location and Business Profile links; proximity varies by searcher.</x:v>
      </x:c>
      <x:c r="N308" s="13" t="n">
        <x:v>305</x:v>
      </x:c>
    </x:row>
    <x:row r="309" ht="65" customHeight="1">
      <x:c r="A309" s="13" t="str">
        <x:v>mercedes major service</x:v>
      </x:c>
      <x:c r="B309" s="17" t="n">
        <x:v>0</x:v>
      </x:c>
      <x:c r="C309" s="17" t="n">
        <x:v>1</x:v>
      </x:c>
      <x:c r="D309" s="18" t="n">
        <x:v>0</x:v>
      </x:c>
      <x:c r="E309" s="19" t="n">
        <x:v>10</x:v>
      </x:c>
      <x:c r="F309" s="13" t="str">
        <x:v>Scheduled service and maintenance</x:v>
      </x:c>
      <x:c r="G309" s="13" t="str">
        <x:v>HUB</x:v>
      </x:c>
      <x:c r="H309" s="13" t="str">
        <x:v>https://digitecme.com/brands/mercedes-benz-service-dubai</x:v>
      </x:c>
      <x:c r="I309" s="13" t="str">
        <x:v>Service A/B and minor/major scope</x:v>
      </x:c>
      <x:c r="J309" s="13" t="str">
        <x:v>Relevant</x:v>
      </x:c>
      <x:c r="K309" s="13" t="str">
        <x:f>IF(J309="Hold","Hold",IF(J309="Conditional","Conditional",IF(E309&lt;='Sources'!$B$5,"Protect",IF(AND(E309&lt;='Sources'!$B$7,C309&gt;='Sources'!$B$6),"P1",IF(OR(E309&lt;='Sources'!$B$7,C309&gt;='Sources'!$B$8),"P2","P3")))))</x:f>
        <x:v>P2</x:v>
      </x:c>
      <x:c r="L309" s="16" t="n">
        <x:f>IF(J309="Hold","",MAX(0,E309-'Sources'!$B$5))</x:f>
        <x:v>5</x:v>
      </x:c>
      <x:c r="M309" s="13" t="str">
        <x:v>Use one service booking destination; explain scope and link oil-only work and informational schedules separately.</x:v>
      </x:c>
      <x:c r="N309" s="13" t="n">
        <x:v>306</x:v>
      </x:c>
    </x:row>
    <x:row r="310" ht="65" customHeight="1">
      <x:c r="A310" s="13" t="str">
        <x:v>mercedes tuner shop</x:v>
      </x:c>
      <x:c r="B310" s="17" t="n">
        <x:v>0</x:v>
      </x:c>
      <x:c r="C310" s="17" t="n">
        <x:v>1</x:v>
      </x:c>
      <x:c r="D310" s="18" t="n">
        <x:v>0</x:v>
      </x:c>
      <x:c r="E310" s="19" t="n">
        <x:v>10</x:v>
      </x:c>
      <x:c r="F310" s="13" t="str">
        <x:v>Performance tuning and GAD</x:v>
      </x:c>
      <x:c r="G310" s="13" t="str">
        <x:v>TUNE</x:v>
      </x:c>
      <x:c r="H310" s="13" t="str">
        <x:v>https://digitecme.com/tuning</x:v>
      </x:c>
      <x:c r="I310" s="13" t="str">
        <x:v>Mercedes-AMG tuning and verified projects</x:v>
      </x:c>
      <x:c r="J310" s="13" t="str">
        <x:v>Relevant</x:v>
      </x:c>
      <x:c r="K310" s="13" t="str">
        <x:f>IF(J310="Hold","Hold",IF(J310="Conditional","Conditional",IF(E310&lt;='Sources'!$B$5,"Protect",IF(AND(E310&lt;='Sources'!$B$7,C310&gt;='Sources'!$B$6),"P1",IF(OR(E310&lt;='Sources'!$B$7,C310&gt;='Sources'!$B$8),"P2","P3")))))</x:f>
        <x:v>P2</x:v>
      </x:c>
      <x:c r="L310" s="16" t="n">
        <x:f>IF(J310="Hold","",MAX(0,E310-'Sources'!$B$5))</x:f>
        <x:v>5</x:v>
      </x:c>
      <x:c r="M310" s="13" t="str">
        <x:v>Use the Mercedes section of the existing tuning page and relevant project evidence.</x:v>
      </x:c>
      <x:c r="N310" s="13" t="n">
        <x:v>307</x:v>
      </x:c>
    </x:row>
    <x:row r="311" ht="65" customHeight="1">
      <x:c r="A311" s="13" t="str">
        <x:v>oil change for mercedes</x:v>
      </x:c>
      <x:c r="B311" s="17" t="n">
        <x:v>0</x:v>
      </x:c>
      <x:c r="C311" s="17" t="n">
        <x:v>1</x:v>
      </x:c>
      <x:c r="D311" s="18" t="n">
        <x:v>0</x:v>
      </x:c>
      <x:c r="E311" s="19" t="n">
        <x:v>10</x:v>
      </x:c>
      <x:c r="F311" s="13" t="str">
        <x:v>Oil change</x:v>
      </x:c>
      <x:c r="G311" s="13" t="str">
        <x:v>OIL</x:v>
      </x:c>
      <x:c r="H311" s="13" t="str">
        <x:v>https://digitecme.com/services/mercedes-oil-change-dubai</x:v>
      </x:c>
      <x:c r="I311" s="13" t="str">
        <x:v>Oil/filter scope and vehicle specification</x:v>
      </x:c>
      <x:c r="J311" s="13" t="str">
        <x:v>Relevant</x:v>
      </x:c>
      <x:c r="K311" s="13" t="str">
        <x:f>IF(J311="Hold","Hold",IF(J311="Conditional","Conditional",IF(E311&lt;='Sources'!$B$5,"Protect",IF(AND(E311&lt;='Sources'!$B$7,C311&gt;='Sources'!$B$6),"P1",IF(OR(E311&lt;='Sources'!$B$7,C311&gt;='Sources'!$B$8),"P2","P3")))))</x:f>
        <x:v>P2</x:v>
      </x:c>
      <x:c r="L311" s="16" t="n">
        <x:f>IF(J311="Hold","",MAX(0,E311-'Sources'!$B$5))</x:f>
        <x:v>5</x:v>
      </x:c>
      <x:c r="M311" s="13" t="str">
        <x:v>Keep oil-only intent here and broader Service A/B intent on the hub.</x:v>
      </x:c>
      <x:c r="N311" s="13" t="n">
        <x:v>308</x:v>
      </x:c>
    </x:row>
    <x:row r="312" ht="65" customHeight="1">
      <x:c r="A312" s="13" t="str">
        <x:v>mercedes benz auto mechanic</x:v>
      </x:c>
      <x:c r="B312" s="17" t="n">
        <x:v>0</x:v>
      </x:c>
      <x:c r="C312" s="17" t="n">
        <x:v>1</x:v>
      </x:c>
      <x:c r="D312" s="18" t="n">
        <x:v>0</x:v>
      </x:c>
      <x:c r="E312" s="19" t="n">
        <x:v>11</x:v>
      </x:c>
      <x:c r="F312" s="13" t="str">
        <x:v>General repair and workshop</x:v>
      </x:c>
      <x:c r="G312" s="13" t="str">
        <x:v>HUB</x:v>
      </x:c>
      <x:c r="H312" s="13" t="str">
        <x:v>https://digitecme.com/brands/mercedes-benz-service-dubai</x:v>
      </x:c>
      <x:c r="I312" s="13" t="str">
        <x:v>Workshop and booking</x:v>
      </x:c>
      <x:c r="J312" s="13" t="str">
        <x:v>Relevant</x:v>
      </x:c>
      <x:c r="K312" s="13" t="str">
        <x:f>IF(J312="Hold","Hold",IF(J312="Conditional","Conditional",IF(E312&lt;='Sources'!$B$5,"Protect",IF(AND(E312&lt;='Sources'!$B$7,C312&gt;='Sources'!$B$6),"P1",IF(OR(E312&lt;='Sources'!$B$7,C312&gt;='Sources'!$B$8),"P2","P3")))))</x:f>
        <x:v>P2</x:v>
      </x:c>
      <x:c r="L312" s="16" t="n">
        <x:f>IF(J312="Hold","",MAX(0,E312-'Sources'!$B$5))</x:f>
        <x:v>6</x:v>
      </x:c>
      <x:c r="M312" s="13" t="str">
        <x:v>Use the main Mercedes page for broad repair, service, garage and specialist wording.</x:v>
      </x:c>
      <x:c r="N312" s="13" t="n">
        <x:v>309</x:v>
      </x:c>
    </x:row>
    <x:row r="313" ht="65" customHeight="1">
      <x:c r="A313" s="13" t="str">
        <x:v>mercedes benz glc class service dubai</x:v>
      </x:c>
      <x:c r="B313" s="17" t="n">
        <x:v>0</x:v>
      </x:c>
      <x:c r="C313" s="17" t="n">
        <x:v>1</x:v>
      </x:c>
      <x:c r="D313" s="18" t="n">
        <x:v>0</x:v>
      </x:c>
      <x:c r="E313" s="19" t="n">
        <x:v>11</x:v>
      </x:c>
      <x:c r="F313" s="13" t="str">
        <x:v>Other Mercedes model service</x:v>
      </x:c>
      <x:c r="G313" s="13" t="str">
        <x:v>HUB</x:v>
      </x:c>
      <x:c r="H313" s="13" t="str">
        <x:v>https://digitecme.com/brands/mercedes-benz-service-dubai</x:v>
      </x:c>
      <x:c r="I313" s="13" t="str">
        <x:v>Models serviced</x:v>
      </x:c>
      <x:c r="J313" s="13" t="str">
        <x:v>Relevant</x:v>
      </x:c>
      <x:c r="K313" s="13" t="str">
        <x:f>IF(J313="Hold","Hold",IF(J313="Conditional","Conditional",IF(E313&lt;='Sources'!$B$5,"Protect",IF(AND(E313&lt;='Sources'!$B$7,C313&gt;='Sources'!$B$6),"P1",IF(OR(E313&lt;='Sources'!$B$7,C313&gt;='Sources'!$B$8),"P2","P3")))))</x:f>
        <x:v>P2</x:v>
      </x:c>
      <x:c r="L313" s="16" t="n">
        <x:f>IF(J313="Hold","",MAX(0,E313-'Sources'!$B$5))</x:f>
        <x:v>6</x:v>
      </x:c>
      <x:c r="M313" s="13" t="str">
        <x:v>Use a confirmed model-family section on the hub initially. A dedicated family page needs service evidence and sustained demand; do not publish a thin page per variant.</x:v>
      </x:c>
      <x:c r="N313" s="13" t="n">
        <x:v>310</x:v>
      </x:c>
    </x:row>
    <x:row r="314" ht="65" customHeight="1">
      <x:c r="A314" s="13" t="str">
        <x:v>service mercedes</x:v>
      </x:c>
      <x:c r="B314" s="17" t="n">
        <x:v>0</x:v>
      </x:c>
      <x:c r="C314" s="17" t="n">
        <x:v>1</x:v>
      </x:c>
      <x:c r="D314" s="18" t="n">
        <x:v>0</x:v>
      </x:c>
      <x:c r="E314" s="19" t="n">
        <x:v>11</x:v>
      </x:c>
      <x:c r="F314" s="13" t="str">
        <x:v>Scheduled service and maintenance</x:v>
      </x:c>
      <x:c r="G314" s="13" t="str">
        <x:v>HUB</x:v>
      </x:c>
      <x:c r="H314" s="13" t="str">
        <x:v>https://digitecme.com/brands/mercedes-benz-service-dubai</x:v>
      </x:c>
      <x:c r="I314" s="13" t="str">
        <x:v>Service A/B and minor/major scope</x:v>
      </x:c>
      <x:c r="J314" s="13" t="str">
        <x:v>Relevant</x:v>
      </x:c>
      <x:c r="K314" s="13" t="str">
        <x:f>IF(J314="Hold","Hold",IF(J314="Conditional","Conditional",IF(E314&lt;='Sources'!$B$5,"Protect",IF(AND(E314&lt;='Sources'!$B$7,C314&gt;='Sources'!$B$6),"P1",IF(OR(E314&lt;='Sources'!$B$7,C314&gt;='Sources'!$B$8),"P2","P3")))))</x:f>
        <x:v>P2</x:v>
      </x:c>
      <x:c r="L314" s="16" t="n">
        <x:f>IF(J314="Hold","",MAX(0,E314-'Sources'!$B$5))</x:f>
        <x:v>6</x:v>
      </x:c>
      <x:c r="M314" s="13" t="str">
        <x:v>Use one service booking destination; explain scope and link oil-only work and informational schedules separately.</x:v>
      </x:c>
      <x:c r="N314" s="13" t="n">
        <x:v>311</x:v>
      </x:c>
    </x:row>
    <x:row r="315" ht="65" customHeight="1">
      <x:c r="A315" s="13" t="str">
        <x:v>mercedes benz slr mclaren service dubai</x:v>
      </x:c>
      <x:c r="B315" s="17" t="n">
        <x:v>0</x:v>
      </x:c>
      <x:c r="C315" s="17" t="n">
        <x:v>1</x:v>
      </x:c>
      <x:c r="D315" s="18" t="n">
        <x:v>0</x:v>
      </x:c>
      <x:c r="E315" s="19" t="n">
        <x:v>12</x:v>
      </x:c>
      <x:c r="F315" s="13" t="str">
        <x:v>Other Mercedes model service</x:v>
      </x:c>
      <x:c r="G315" s="13" t="str">
        <x:v>HUB</x:v>
      </x:c>
      <x:c r="H315" s="13" t="str">
        <x:v>https://digitecme.com/brands/mercedes-benz-service-dubai</x:v>
      </x:c>
      <x:c r="I315" s="13" t="str">
        <x:v>Models serviced</x:v>
      </x:c>
      <x:c r="J315" s="13" t="str">
        <x:v>Conditional</x:v>
      </x:c>
      <x:c r="K315" s="13" t="str">
        <x:f>IF(J315="Hold","Hold",IF(J315="Conditional","Conditional",IF(E315&lt;='Sources'!$B$5,"Protect",IF(AND(E315&lt;='Sources'!$B$7,C315&gt;='Sources'!$B$6),"P1",IF(OR(E315&lt;='Sources'!$B$7,C315&gt;='Sources'!$B$8),"P2","P3")))))</x:f>
        <x:v>Conditional</x:v>
      </x:c>
      <x:c r="L315" s="16" t="n">
        <x:f>IF(J315="Hold","",MAX(0,E315-'Sources'!$B$5))</x:f>
        <x:v>7</x:v>
      </x:c>
      <x:c r="M315" s="13" t="str">
        <x:v>Use a confirmed model-family section on the hub initially. A dedicated family page needs service evidence and sustained demand; do not publish a thin page per variant. Confirm exact classic, rare-model or van workshop coverage before making landing-page claims.</x:v>
      </x:c>
      <x:c r="N315" s="13" t="n">
        <x:v>312</x:v>
      </x:c>
    </x:row>
    <x:row r="316" ht="65" customHeight="1">
      <x:c r="A316" s="13" t="str">
        <x:v>mercedes electrical specialist near me</x:v>
      </x:c>
      <x:c r="B316" s="17" t="n">
        <x:v>0</x:v>
      </x:c>
      <x:c r="C316" s="17" t="n">
        <x:v>1</x:v>
      </x:c>
      <x:c r="D316" s="18" t="n">
        <x:v>0</x:v>
      </x:c>
      <x:c r="E316" s="19" t="n">
        <x:v>12</x:v>
      </x:c>
      <x:c r="F316" s="13" t="str">
        <x:v>Electrical and ECU faults</x:v>
      </x:c>
      <x:c r="G316" s="13" t="str">
        <x:v>ELEC</x:v>
      </x:c>
      <x:c r="H316" s="13" t="str">
        <x:v>https://digitecme.com/services/mercedes-electrical-repair-dubai</x:v>
      </x:c>
      <x:c r="I316" s="13" t="str">
        <x:v>Electrical testing and module assessment</x:v>
      </x:c>
      <x:c r="J316" s="13" t="str">
        <x:v>Relevant</x:v>
      </x:c>
      <x:c r="K316" s="13" t="str">
        <x:f>IF(J316="Hold","Hold",IF(J316="Conditional","Conditional",IF(E316&lt;='Sources'!$B$5,"Protect",IF(AND(E316&lt;='Sources'!$B$7,C316&gt;='Sources'!$B$6),"P1",IF(OR(E316&lt;='Sources'!$B$7,C316&gt;='Sources'!$B$8),"P2","P3")))))</x:f>
        <x:v>P2</x:v>
      </x:c>
      <x:c r="L316" s="16" t="n">
        <x:f>IF(J316="Hold","",MAX(0,E316-'Sources'!$B$5))</x:f>
        <x:v>7</x:v>
      </x:c>
      <x:c r="M316" s="13" t="str">
        <x:v>Distinguish hardware/electrical repair from module coding and ECU tuning. Include accurate Al Quoz location and Business Profile links; proximity varies by searcher.</x:v>
      </x:c>
      <x:c r="N316" s="13" t="n">
        <x:v>313</x:v>
      </x:c>
    </x:row>
    <x:row r="317" ht="65" customHeight="1">
      <x:c r="A317" s="13" t="str">
        <x:v>mercedes g63 brabus 2025 chip tuning</x:v>
      </x:c>
      <x:c r="B317" s="17" t="n">
        <x:v>0</x:v>
      </x:c>
      <x:c r="C317" s="17" t="n">
        <x:v>1</x:v>
      </x:c>
      <x:c r="D317" s="18" t="n">
        <x:v>0</x:v>
      </x:c>
      <x:c r="E317" s="19" t="n">
        <x:v>12</x:v>
      </x:c>
      <x:c r="F317" s="13" t="str">
        <x:v>Performance tuning and GAD</x:v>
      </x:c>
      <x:c r="G317" s="13" t="str">
        <x:v>TUNE</x:v>
      </x:c>
      <x:c r="H317" s="13" t="str">
        <x:v>https://digitecme.com/tuning</x:v>
      </x:c>
      <x:c r="I317" s="13" t="str">
        <x:v>Mercedes-AMG tuning and verified projects</x:v>
      </x:c>
      <x:c r="J317" s="13" t="str">
        <x:v>Relevant</x:v>
      </x:c>
      <x:c r="K317" s="13" t="str">
        <x:f>IF(J317="Hold","Hold",IF(J317="Conditional","Conditional",IF(E317&lt;='Sources'!$B$5,"Protect",IF(AND(E317&lt;='Sources'!$B$7,C317&gt;='Sources'!$B$6),"P1",IF(OR(E317&lt;='Sources'!$B$7,C317&gt;='Sources'!$B$8),"P2","P3")))))</x:f>
        <x:v>P2</x:v>
      </x:c>
      <x:c r="L317" s="16" t="n">
        <x:f>IF(J317="Hold","",MAX(0,E317-'Sources'!$B$5))</x:f>
        <x:v>7</x:v>
      </x:c>
      <x:c r="M317" s="13" t="str">
        <x:v>Use the Mercedes section of the existing tuning page and relevant project evidence.</x:v>
      </x:c>
      <x:c r="N317" s="13" t="n">
        <x:v>314</x:v>
      </x:c>
    </x:row>
    <x:row r="318" ht="65" customHeight="1">
      <x:c r="A318" s="13" t="str">
        <x:v>mercedes service center al quoz</x:v>
      </x:c>
      <x:c r="B318" s="17" t="n">
        <x:v>0</x:v>
      </x:c>
      <x:c r="C318" s="17" t="n">
        <x:v>1</x:v>
      </x:c>
      <x:c r="D318" s="18" t="n">
        <x:v>0</x:v>
      </x:c>
      <x:c r="E318" s="19" t="n">
        <x:v>12</x:v>
      </x:c>
      <x:c r="F318" s="13" t="str">
        <x:v>Scheduled service and maintenance</x:v>
      </x:c>
      <x:c r="G318" s="13" t="str">
        <x:v>HUB</x:v>
      </x:c>
      <x:c r="H318" s="13" t="str">
        <x:v>https://digitecme.com/brands/mercedes-benz-service-dubai</x:v>
      </x:c>
      <x:c r="I318" s="13" t="str">
        <x:v>Service A/B and minor/major scope</x:v>
      </x:c>
      <x:c r="J318" s="13" t="str">
        <x:v>Relevant</x:v>
      </x:c>
      <x:c r="K318" s="13" t="str">
        <x:f>IF(J318="Hold","Hold",IF(J318="Conditional","Conditional",IF(E318&lt;='Sources'!$B$5,"Protect",IF(AND(E318&lt;='Sources'!$B$7,C318&gt;='Sources'!$B$6),"P1",IF(OR(E318&lt;='Sources'!$B$7,C318&gt;='Sources'!$B$8),"P2","P3")))))</x:f>
        <x:v>P2</x:v>
      </x:c>
      <x:c r="L318" s="16" t="n">
        <x:f>IF(J318="Hold","",MAX(0,E318-'Sources'!$B$5))</x:f>
        <x:v>7</x:v>
      </x:c>
      <x:c r="M318" s="13" t="str">
        <x:v>Use one service booking destination; explain scope and link oil-only work and informational schedules separately.</x:v>
      </x:c>
      <x:c r="N318" s="13" t="n">
        <x:v>315</x:v>
      </x:c>
    </x:row>
    <x:row r="319" ht="65" customHeight="1">
      <x:c r="A319" s="13" t="str">
        <x:v>mercedes repair garage near me</x:v>
      </x:c>
      <x:c r="B319" s="17" t="n">
        <x:v>0</x:v>
      </x:c>
      <x:c r="C319" s="17" t="n">
        <x:v>1</x:v>
      </x:c>
      <x:c r="D319" s="18" t="n">
        <x:v>0</x:v>
      </x:c>
      <x:c r="E319" s="19" t="n">
        <x:v>13</x:v>
      </x:c>
      <x:c r="F319" s="13" t="str">
        <x:v>General repair and workshop</x:v>
      </x:c>
      <x:c r="G319" s="13" t="str">
        <x:v>HUB</x:v>
      </x:c>
      <x:c r="H319" s="13" t="str">
        <x:v>https://digitecme.com/brands/mercedes-benz-service-dubai</x:v>
      </x:c>
      <x:c r="I319" s="13" t="str">
        <x:v>Workshop and booking</x:v>
      </x:c>
      <x:c r="J319" s="13" t="str">
        <x:v>Relevant</x:v>
      </x:c>
      <x:c r="K319" s="13" t="str">
        <x:f>IF(J319="Hold","Hold",IF(J319="Conditional","Conditional",IF(E319&lt;='Sources'!$B$5,"Protect",IF(AND(E319&lt;='Sources'!$B$7,C319&gt;='Sources'!$B$6),"P1",IF(OR(E319&lt;='Sources'!$B$7,C319&gt;='Sources'!$B$8),"P2","P3")))))</x:f>
        <x:v>P2</x:v>
      </x:c>
      <x:c r="L319" s="16" t="n">
        <x:f>IF(J319="Hold","",MAX(0,E319-'Sources'!$B$5))</x:f>
        <x:v>8</x:v>
      </x:c>
      <x:c r="M319" s="13" t="str">
        <x:v>Use the main Mercedes page for broad repair, service, garage and specialist wording. Include accurate Al Quoz location and Business Profile links; proximity varies by searcher.</x:v>
      </x:c>
      <x:c r="N319" s="13" t="n">
        <x:v>316</x:v>
      </x:c>
    </x:row>
    <x:row r="320" ht="65" customHeight="1">
      <x:c r="A320" s="13" t="str">
        <x:v>mercedes body kit specialists</x:v>
      </x:c>
      <x:c r="B320" s="17" t="n">
        <x:v>0</x:v>
      </x:c>
      <x:c r="C320" s="17" t="n">
        <x:v>1</x:v>
      </x:c>
      <x:c r="D320" s="18" t="n">
        <x:v>0</x:v>
      </x:c>
      <x:c r="E320" s="19" t="n">
        <x:v>14</x:v>
      </x:c>
      <x:c r="F320" s="13" t="str">
        <x:v>Performance tuning and GAD</x:v>
      </x:c>
      <x:c r="G320" s="13" t="str">
        <x:v>TUNE</x:v>
      </x:c>
      <x:c r="H320" s="13" t="str">
        <x:v>https://digitecme.com/tuning</x:v>
      </x:c>
      <x:c r="I320" s="13" t="str">
        <x:v>Mercedes-AMG tuning and verified projects</x:v>
      </x:c>
      <x:c r="J320" s="13" t="str">
        <x:v>Relevant</x:v>
      </x:c>
      <x:c r="K320" s="13" t="str">
        <x:f>IF(J320="Hold","Hold",IF(J320="Conditional","Conditional",IF(E320&lt;='Sources'!$B$5,"Protect",IF(AND(E320&lt;='Sources'!$B$7,C320&gt;='Sources'!$B$6),"P1",IF(OR(E320&lt;='Sources'!$B$7,C320&gt;='Sources'!$B$8),"P2","P3")))))</x:f>
        <x:v>P2</x:v>
      </x:c>
      <x:c r="L320" s="16" t="n">
        <x:f>IF(J320="Hold","",MAX(0,E320-'Sources'!$B$5))</x:f>
        <x:v>9</x:v>
      </x:c>
      <x:c r="M320" s="13" t="str">
        <x:v>Use the Mercedes section of the existing tuning page and relevant project evidence.</x:v>
      </x:c>
      <x:c r="N320" s="13" t="n">
        <x:v>317</x:v>
      </x:c>
    </x:row>
    <x:row r="321" ht="65" customHeight="1">
      <x:c r="A321" s="13" t="str">
        <x:v>mercedes car service near me</x:v>
      </x:c>
      <x:c r="B321" s="17" t="n">
        <x:v>0</x:v>
      </x:c>
      <x:c r="C321" s="17" t="n">
        <x:v>1</x:v>
      </x:c>
      <x:c r="D321" s="18" t="n">
        <x:v>0</x:v>
      </x:c>
      <x:c r="E321" s="19" t="n">
        <x:v>22</x:v>
      </x:c>
      <x:c r="F321" s="13" t="str">
        <x:v>Scheduled service and maintenance</x:v>
      </x:c>
      <x:c r="G321" s="13" t="str">
        <x:v>HUB</x:v>
      </x:c>
      <x:c r="H321" s="13" t="str">
        <x:v>https://digitecme.com/brands/mercedes-benz-service-dubai</x:v>
      </x:c>
      <x:c r="I321" s="13" t="str">
        <x:v>Service A/B and minor/major scope</x:v>
      </x:c>
      <x:c r="J321" s="13" t="str">
        <x:v>Relevant</x:v>
      </x:c>
      <x:c r="K321" s="13" t="str">
        <x:f>IF(J321="Hold","Hold",IF(J321="Conditional","Conditional",IF(E321&lt;='Sources'!$B$5,"Protect",IF(AND(E321&lt;='Sources'!$B$7,C321&gt;='Sources'!$B$6),"P1",IF(OR(E321&lt;='Sources'!$B$7,C321&gt;='Sources'!$B$8),"P2","P3")))))</x:f>
        <x:v>P3</x:v>
      </x:c>
      <x:c r="L321" s="16" t="n">
        <x:f>IF(J321="Hold","",MAX(0,E321-'Sources'!$B$5))</x:f>
        <x:v>17</x:v>
      </x:c>
      <x:c r="M321" s="13" t="str">
        <x:v>Use one service booking destination; explain scope and link oil-only work and informational schedules separately. Include accurate Al Quoz location and Business Profile links; proximity varies by searcher.</x:v>
      </x:c>
      <x:c r="N321" s="13" t="n">
        <x:v>318</x:v>
      </x:c>
    </x:row>
    <x:row r="322" ht="65" customHeight="1">
      <x:c r="A322" s="13" t="str">
        <x:v>mercedes benz servicing near me</x:v>
      </x:c>
      <x:c r="B322" s="17" t="n">
        <x:v>0</x:v>
      </x:c>
      <x:c r="C322" s="17" t="n">
        <x:v>1</x:v>
      </x:c>
      <x:c r="D322" s="18" t="n">
        <x:v>0</x:v>
      </x:c>
      <x:c r="E322" s="19" t="n">
        <x:v>26</x:v>
      </x:c>
      <x:c r="F322" s="13" t="str">
        <x:v>Scheduled service and maintenance</x:v>
      </x:c>
      <x:c r="G322" s="13" t="str">
        <x:v>HUB</x:v>
      </x:c>
      <x:c r="H322" s="13" t="str">
        <x:v>https://digitecme.com/brands/mercedes-benz-service-dubai</x:v>
      </x:c>
      <x:c r="I322" s="13" t="str">
        <x:v>Service A/B and minor/major scope</x:v>
      </x:c>
      <x:c r="J322" s="13" t="str">
        <x:v>Relevant</x:v>
      </x:c>
      <x:c r="K322" s="13" t="str">
        <x:f>IF(J322="Hold","Hold",IF(J322="Conditional","Conditional",IF(E322&lt;='Sources'!$B$5,"Protect",IF(AND(E322&lt;='Sources'!$B$7,C322&gt;='Sources'!$B$6),"P1",IF(OR(E322&lt;='Sources'!$B$7,C322&gt;='Sources'!$B$8),"P2","P3")))))</x:f>
        <x:v>P3</x:v>
      </x:c>
      <x:c r="L322" s="16" t="n">
        <x:f>IF(J322="Hold","",MAX(0,E322-'Sources'!$B$5))</x:f>
        <x:v>21</x:v>
      </x:c>
      <x:c r="M322" s="13" t="str">
        <x:v>Use one service booking destination; explain scope and link oil-only work and informational schedules separately. Include accurate Al Quoz location and Business Profile links; proximity varies by searcher.</x:v>
      </x:c>
      <x:c r="N322" s="13" t="n">
        <x:v>319</x:v>
      </x:c>
    </x:row>
    <x:row r="323" ht="65" customHeight="1">
      <x:c r="A323" s="13" t="str">
        <x:v>mercedes servicing near me</x:v>
      </x:c>
      <x:c r="B323" s="17" t="n">
        <x:v>0</x:v>
      </x:c>
      <x:c r="C323" s="17" t="n">
        <x:v>1</x:v>
      </x:c>
      <x:c r="D323" s="18" t="n">
        <x:v>0</x:v>
      </x:c>
      <x:c r="E323" s="19" t="n">
        <x:v>26</x:v>
      </x:c>
      <x:c r="F323" s="13" t="str">
        <x:v>Scheduled service and maintenance</x:v>
      </x:c>
      <x:c r="G323" s="13" t="str">
        <x:v>HUB</x:v>
      </x:c>
      <x:c r="H323" s="13" t="str">
        <x:v>https://digitecme.com/brands/mercedes-benz-service-dubai</x:v>
      </x:c>
      <x:c r="I323" s="13" t="str">
        <x:v>Service A/B and minor/major scope</x:v>
      </x:c>
      <x:c r="J323" s="13" t="str">
        <x:v>Relevant</x:v>
      </x:c>
      <x:c r="K323" s="13" t="str">
        <x:f>IF(J323="Hold","Hold",IF(J323="Conditional","Conditional",IF(E323&lt;='Sources'!$B$5,"Protect",IF(AND(E323&lt;='Sources'!$B$7,C323&gt;='Sources'!$B$6),"P1",IF(OR(E323&lt;='Sources'!$B$7,C323&gt;='Sources'!$B$8),"P2","P3")))))</x:f>
        <x:v>P3</x:v>
      </x:c>
      <x:c r="L323" s="16" t="n">
        <x:f>IF(J323="Hold","",MAX(0,E323-'Sources'!$B$5))</x:f>
        <x:v>21</x:v>
      </x:c>
      <x:c r="M323" s="13" t="str">
        <x:v>Use one service booking destination; explain scope and link oil-only work and informational schedules separately. Include accurate Al Quoz location and Business Profile links; proximity varies by searcher.</x:v>
      </x:c>
      <x:c r="N323" s="13" t="n">
        <x:v>320</x:v>
      </x:c>
    </x:row>
    <x:row r="324" ht="65" customHeight="1">
      <x:c r="A324" s="13" t="str">
        <x:v>mercedes oil</x:v>
      </x:c>
      <x:c r="B324" s="17" t="n">
        <x:v>0</x:v>
      </x:c>
      <x:c r="C324" s="17" t="n">
        <x:v>1</x:v>
      </x:c>
      <x:c r="D324" s="18" t="n">
        <x:v>0</x:v>
      </x:c>
      <x:c r="E324" s="19" t="n">
        <x:v>27</x:v>
      </x:c>
      <x:c r="F324" s="13" t="str">
        <x:v>Oil change</x:v>
      </x:c>
      <x:c r="G324" s="13" t="str">
        <x:v>OIL</x:v>
      </x:c>
      <x:c r="H324" s="13" t="str">
        <x:v>https://digitecme.com/services/mercedes-oil-change-dubai</x:v>
      </x:c>
      <x:c r="I324" s="13" t="str">
        <x:v>Oil/filter scope and vehicle specification</x:v>
      </x:c>
      <x:c r="J324" s="13" t="str">
        <x:v>Relevant</x:v>
      </x:c>
      <x:c r="K324" s="13" t="str">
        <x:f>IF(J324="Hold","Hold",IF(J324="Conditional","Conditional",IF(E324&lt;='Sources'!$B$5,"Protect",IF(AND(E324&lt;='Sources'!$B$7,C324&gt;='Sources'!$B$6),"P1",IF(OR(E324&lt;='Sources'!$B$7,C324&gt;='Sources'!$B$8),"P2","P3")))))</x:f>
        <x:v>P3</x:v>
      </x:c>
      <x:c r="L324" s="16" t="n">
        <x:f>IF(J324="Hold","",MAX(0,E324-'Sources'!$B$5))</x:f>
        <x:v>22</x:v>
      </x:c>
      <x:c r="M324" s="13" t="str">
        <x:v>Keep oil-only intent here and broader Service A/B intent on the hub.</x:v>
      </x:c>
      <x:c r="N324" s="13" t="n">
        <x:v>321</x:v>
      </x:c>
    </x:row>
    <x:row r="325" ht="65" customHeight="1">
      <x:c r="A325" s="13" t="str">
        <x:v>mercedes-benz service</x:v>
      </x:c>
      <x:c r="B325" s="17" t="n">
        <x:v>0</x:v>
      </x:c>
      <x:c r="C325" s="17" t="n">
        <x:v>1</x:v>
      </x:c>
      <x:c r="D325" s="18" t="n">
        <x:v>0</x:v>
      </x:c>
      <x:c r="E325" s="19" t="n">
        <x:v>27</x:v>
      </x:c>
      <x:c r="F325" s="13" t="str">
        <x:v>Scheduled service and maintenance</x:v>
      </x:c>
      <x:c r="G325" s="13" t="str">
        <x:v>HUB</x:v>
      </x:c>
      <x:c r="H325" s="13" t="str">
        <x:v>https://digitecme.com/brands/mercedes-benz-service-dubai</x:v>
      </x:c>
      <x:c r="I325" s="13" t="str">
        <x:v>Service A/B and minor/major scope</x:v>
      </x:c>
      <x:c r="J325" s="13" t="str">
        <x:v>Relevant</x:v>
      </x:c>
      <x:c r="K325" s="13" t="str">
        <x:f>IF(J325="Hold","Hold",IF(J325="Conditional","Conditional",IF(E325&lt;='Sources'!$B$5,"Protect",IF(AND(E325&lt;='Sources'!$B$7,C325&gt;='Sources'!$B$6),"P1",IF(OR(E325&lt;='Sources'!$B$7,C325&gt;='Sources'!$B$8),"P2","P3")))))</x:f>
        <x:v>P3</x:v>
      </x:c>
      <x:c r="L325" s="16" t="n">
        <x:f>IF(J325="Hold","",MAX(0,E325-'Sources'!$B$5))</x:f>
        <x:v>22</x:v>
      </x:c>
      <x:c r="M325" s="13" t="str">
        <x:v>Use one service booking destination; explain scope and link oil-only work and informational schedules separately.</x:v>
      </x:c>
      <x:c r="N325" s="13" t="n">
        <x:v>322</x:v>
      </x:c>
    </x:row>
    <x:row r="326" ht="65" customHeight="1">
      <x:c r="A326" s="13" t="str">
        <x:v>mercedes clutch replacement dubai</x:v>
      </x:c>
      <x:c r="B326" s="17" t="n">
        <x:v>0</x:v>
      </x:c>
      <x:c r="C326" s="17" t="n">
        <x:v>1</x:v>
      </x:c>
      <x:c r="D326" s="18" t="n">
        <x:v>0</x:v>
      </x:c>
      <x:c r="E326" s="19" t="n">
        <x:v>28</x:v>
      </x:c>
      <x:c r="F326" s="13" t="str">
        <x:v>Transmission and gearbox</x:v>
      </x:c>
      <x:c r="G326" s="13" t="str">
        <x:v>TRANS</x:v>
      </x:c>
      <x:c r="H326" s="13" t="str">
        <x:v>https://digitecme.com/services/mercedes-transmission-repair-dubai</x:v>
      </x:c>
      <x:c r="I326" s="13" t="str">
        <x:v>Gearbox service and fault diagnosis</x:v>
      </x:c>
      <x:c r="J326" s="13" t="str">
        <x:v>Relevant</x:v>
      </x:c>
      <x:c r="K326" s="13" t="str">
        <x:f>IF(J326="Hold","Hold",IF(J326="Conditional","Conditional",IF(E326&lt;='Sources'!$B$5,"Protect",IF(AND(E326&lt;='Sources'!$B$7,C326&gt;='Sources'!$B$6),"P1",IF(OR(E326&lt;='Sources'!$B$7,C326&gt;='Sources'!$B$8),"P2","P3")))))</x:f>
        <x:v>P3</x:v>
      </x:c>
      <x:c r="L326" s="16" t="n">
        <x:f>IF(J326="Hold","",MAX(0,E326-'Sources'!$B$5))</x:f>
        <x:v>23</x:v>
      </x:c>
      <x:c r="M326" s="13" t="str">
        <x:v>Match transmission repair, service and applicable clutch work to one transactional page.</x:v>
      </x:c>
      <x:c r="N326" s="13" t="n">
        <x:v>323</x:v>
      </x:c>
    </x:row>
    <x:row r="327" ht="65" customHeight="1">
      <x:c r="A327" s="13" t="str">
        <x:v>mercedes battery replacement</x:v>
      </x:c>
      <x:c r="B327" s="17" t="n">
        <x:v>0</x:v>
      </x:c>
      <x:c r="C327" s="17" t="n">
        <x:v>1</x:v>
      </x:c>
      <x:c r="D327" s="18" t="n">
        <x:v>0</x:v>
      </x:c>
      <x:c r="E327" s="19" t="n">
        <x:v>29</x:v>
      </x:c>
      <x:c r="F327" s="13" t="str">
        <x:v>Battery replacement</x:v>
      </x:c>
      <x:c r="G327" s="13" t="str">
        <x:v>BATTERY</x:v>
      </x:c>
      <x:c r="H327" s="13" t="str">
        <x:v>https://digitecme.com/services/mercedes-battery-replacement-dubai</x:v>
      </x:c>
      <x:c r="I327" s="13" t="str">
        <x:v>Battery testing, replacement and location</x:v>
      </x:c>
      <x:c r="J327" s="13" t="str">
        <x:v>Relevant</x:v>
      </x:c>
      <x:c r="K327" s="13" t="str">
        <x:f>IF(J327="Hold","Hold",IF(J327="Conditional","Conditional",IF(E327&lt;='Sources'!$B$5,"Protect",IF(AND(E327&lt;='Sources'!$B$7,C327&gt;='Sources'!$B$6),"P1",IF(OR(E327&lt;='Sources'!$B$7,C327&gt;='Sources'!$B$8),"P2","P3")))))</x:f>
        <x:v>P3</x:v>
      </x:c>
      <x:c r="L327" s="16" t="n">
        <x:f>IF(J327="Hold","",MAX(0,E327-'Sources'!$B$5))</x:f>
        <x:v>24</x:v>
      </x:c>
      <x:c r="M327" s="13" t="str">
        <x:v>Explain model-specific battery selection and supported installation checks.</x:v>
      </x:c>
      <x:c r="N327" s="13" t="n">
        <x:v>324</x:v>
      </x:c>
    </x:row>
    <x:row r="328" ht="65" customHeight="1">
      <x:c r="A328" s="13" t="str">
        <x:v>mercedes benz sls amg roadster service dubai</x:v>
      </x:c>
      <x:c r="B328" s="17" t="n">
        <x:v>0</x:v>
      </x:c>
      <x:c r="C328" s="17" t="n">
        <x:v>1</x:v>
      </x:c>
      <x:c r="D328" s="18" t="n">
        <x:v>0</x:v>
      </x:c>
      <x:c r="E328" s="19" t="n">
        <x:v>29</x:v>
      </x:c>
      <x:c r="F328" s="13" t="str">
        <x:v>Other Mercedes model service</x:v>
      </x:c>
      <x:c r="G328" s="13" t="str">
        <x:v>HUB</x:v>
      </x:c>
      <x:c r="H328" s="13" t="str">
        <x:v>https://digitecme.com/brands/mercedes-benz-service-dubai</x:v>
      </x:c>
      <x:c r="I328" s="13" t="str">
        <x:v>Models serviced</x:v>
      </x:c>
      <x:c r="J328" s="13" t="str">
        <x:v>Conditional</x:v>
      </x:c>
      <x:c r="K328" s="13" t="str">
        <x:f>IF(J328="Hold","Hold",IF(J328="Conditional","Conditional",IF(E328&lt;='Sources'!$B$5,"Protect",IF(AND(E328&lt;='Sources'!$B$7,C328&gt;='Sources'!$B$6),"P1",IF(OR(E328&lt;='Sources'!$B$7,C328&gt;='Sources'!$B$8),"P2","P3")))))</x:f>
        <x:v>Conditional</x:v>
      </x:c>
      <x:c r="L328" s="16" t="n">
        <x:f>IF(J328="Hold","",MAX(0,E328-'Sources'!$B$5))</x:f>
        <x:v>24</x:v>
      </x:c>
      <x:c r="M328" s="13" t="str">
        <x:v>Use a confirmed model-family section on the hub initially. A dedicated family page needs service evidence and sustained demand; do not publish a thin page per variant. Confirm exact classic, rare-model or van workshop coverage before making landing-page claims.</x:v>
      </x:c>
      <x:c r="N328" s="13" t="n">
        <x:v>325</x:v>
      </x:c>
    </x:row>
    <x:row r="329" ht="65" customHeight="1">
      <x:c r="A329" s="13" t="str">
        <x:v>mercedes repair services</x:v>
      </x:c>
      <x:c r="B329" s="17" t="n">
        <x:v>0</x:v>
      </x:c>
      <x:c r="C329" s="17" t="n">
        <x:v>1</x:v>
      </x:c>
      <x:c r="D329" s="18" t="n">
        <x:v>0</x:v>
      </x:c>
      <x:c r="E329" s="19" t="n">
        <x:v>29</x:v>
      </x:c>
      <x:c r="F329" s="13" t="str">
        <x:v>Scheduled service and maintenance</x:v>
      </x:c>
      <x:c r="G329" s="13" t="str">
        <x:v>HUB</x:v>
      </x:c>
      <x:c r="H329" s="13" t="str">
        <x:v>https://digitecme.com/brands/mercedes-benz-service-dubai</x:v>
      </x:c>
      <x:c r="I329" s="13" t="str">
        <x:v>Service A/B and minor/major scope</x:v>
      </x:c>
      <x:c r="J329" s="13" t="str">
        <x:v>Relevant</x:v>
      </x:c>
      <x:c r="K329" s="13" t="str">
        <x:f>IF(J329="Hold","Hold",IF(J329="Conditional","Conditional",IF(E329&lt;='Sources'!$B$5,"Protect",IF(AND(E329&lt;='Sources'!$B$7,C329&gt;='Sources'!$B$6),"P1",IF(OR(E329&lt;='Sources'!$B$7,C329&gt;='Sources'!$B$8),"P2","P3")))))</x:f>
        <x:v>P3</x:v>
      </x:c>
      <x:c r="L329" s="16" t="n">
        <x:f>IF(J329="Hold","",MAX(0,E329-'Sources'!$B$5))</x:f>
        <x:v>24</x:v>
      </x:c>
      <x:c r="M329" s="13" t="str">
        <x:v>Use one service booking destination; explain scope and link oil-only work and informational schedules separately.</x:v>
      </x:c>
      <x:c r="N329" s="13" t="n">
        <x:v>326</x:v>
      </x:c>
    </x:row>
    <x:row r="330" ht="65" customHeight="1">
      <x:c r="A330" s="13" t="str">
        <x:v>best mercedes repair</x:v>
      </x:c>
      <x:c r="B330" s="17" t="n">
        <x:v>0</x:v>
      </x:c>
      <x:c r="C330" s="17" t="n">
        <x:v>1</x:v>
      </x:c>
      <x:c r="D330" s="18" t="n">
        <x:v>0</x:v>
      </x:c>
      <x:c r="E330" s="19" t="n">
        <x:v>30</x:v>
      </x:c>
      <x:c r="F330" s="13" t="str">
        <x:v>General repair and workshop</x:v>
      </x:c>
      <x:c r="G330" s="13" t="str">
        <x:v>HUB</x:v>
      </x:c>
      <x:c r="H330" s="13" t="str">
        <x:v>https://digitecme.com/brands/mercedes-benz-service-dubai</x:v>
      </x:c>
      <x:c r="I330" s="13" t="str">
        <x:v>Workshop and booking</x:v>
      </x:c>
      <x:c r="J330" s="13" t="str">
        <x:v>Relevant</x:v>
      </x:c>
      <x:c r="K330" s="13" t="str">
        <x:f>IF(J330="Hold","Hold",IF(J330="Conditional","Conditional",IF(E330&lt;='Sources'!$B$5,"Protect",IF(AND(E330&lt;='Sources'!$B$7,C330&gt;='Sources'!$B$6),"P1",IF(OR(E330&lt;='Sources'!$B$7,C330&gt;='Sources'!$B$8),"P2","P3")))))</x:f>
        <x:v>P3</x:v>
      </x:c>
      <x:c r="L330" s="16" t="n">
        <x:f>IF(J330="Hold","",MAX(0,E330-'Sources'!$B$5))</x:f>
        <x:v>25</x:v>
      </x:c>
      <x:c r="M330" s="13" t="str">
        <x:v>Use the main Mercedes page for broad repair, service, garage and specialist wording.</x:v>
      </x:c>
      <x:c r="N330" s="13" t="n">
        <x:v>327</x:v>
      </x:c>
    </x:row>
    <x:row r="331" ht="65" customHeight="1">
      <x:c r="A331" s="13" t="str">
        <x:v>service mercedes benz</x:v>
      </x:c>
      <x:c r="B331" s="17" t="n">
        <x:v>0</x:v>
      </x:c>
      <x:c r="C331" s="17" t="n">
        <x:v>1</x:v>
      </x:c>
      <x:c r="D331" s="18" t="n">
        <x:v>0</x:v>
      </x:c>
      <x:c r="E331" s="19" t="n">
        <x:v>30</x:v>
      </x:c>
      <x:c r="F331" s="13" t="str">
        <x:v>Scheduled service and maintenance</x:v>
      </x:c>
      <x:c r="G331" s="13" t="str">
        <x:v>HUB</x:v>
      </x:c>
      <x:c r="H331" s="13" t="str">
        <x:v>https://digitecme.com/brands/mercedes-benz-service-dubai</x:v>
      </x:c>
      <x:c r="I331" s="13" t="str">
        <x:v>Service A/B and minor/major scope</x:v>
      </x:c>
      <x:c r="J331" s="13" t="str">
        <x:v>Relevant</x:v>
      </x:c>
      <x:c r="K331" s="13" t="str">
        <x:f>IF(J331="Hold","Hold",IF(J331="Conditional","Conditional",IF(E331&lt;='Sources'!$B$5,"Protect",IF(AND(E331&lt;='Sources'!$B$7,C331&gt;='Sources'!$B$6),"P1",IF(OR(E331&lt;='Sources'!$B$7,C331&gt;='Sources'!$B$8),"P2","P3")))))</x:f>
        <x:v>P3</x:v>
      </x:c>
      <x:c r="L331" s="16" t="n">
        <x:f>IF(J331="Hold","",MAX(0,E331-'Sources'!$B$5))</x:f>
        <x:v>25</x:v>
      </x:c>
      <x:c r="M331" s="13" t="str">
        <x:v>Use one service booking destination; explain scope and link oil-only work and informational schedules separately.</x:v>
      </x:c>
      <x:c r="N331" s="13" t="n">
        <x:v>328</x:v>
      </x:c>
    </x:row>
    <x:row r="332" ht="65" customHeight="1">
      <x:c r="A332" s="13" t="str">
        <x:v>mercedes benz brake service</x:v>
      </x:c>
      <x:c r="B332" s="17" t="n">
        <x:v>0</x:v>
      </x:c>
      <x:c r="C332" s="17" t="n">
        <x:v>1</x:v>
      </x:c>
      <x:c r="D332" s="18" t="n">
        <x:v>0</x:v>
      </x:c>
      <x:c r="E332" s="19" t="n">
        <x:v>31</x:v>
      </x:c>
      <x:c r="F332" s="13" t="str">
        <x:v>Brake service and repair</x:v>
      </x:c>
      <x:c r="G332" s="13" t="str">
        <x:v>BRAKES</x:v>
      </x:c>
      <x:c r="H332" s="13" t="str">
        <x:v>https://digitecme.com/services/mercedes-brake-repair-dubai</x:v>
      </x:c>
      <x:c r="I332" s="13" t="str">
        <x:v>Pads, discs and inspection</x:v>
      </x:c>
      <x:c r="J332" s="13" t="str">
        <x:v>Relevant</x:v>
      </x:c>
      <x:c r="K332" s="13" t="str">
        <x:f>IF(J332="Hold","Hold",IF(J332="Conditional","Conditional",IF(E332&lt;='Sources'!$B$5,"Protect",IF(AND(E332&lt;='Sources'!$B$7,C332&gt;='Sources'!$B$6),"P1",IF(OR(E332&lt;='Sources'!$B$7,C332&gt;='Sources'!$B$8),"P2","P3")))))</x:f>
        <x:v>P3</x:v>
      </x:c>
      <x:c r="L332" s="16" t="n">
        <x:f>IF(J332="Hold","",MAX(0,E332-'Sources'!$B$5))</x:f>
        <x:v>26</x:v>
      </x:c>
      <x:c r="M332" s="13" t="str">
        <x:v>Use brake service and repair naturally on the same page.</x:v>
      </x:c>
      <x:c r="N332" s="13" t="n">
        <x:v>329</x:v>
      </x:c>
    </x:row>
    <x:row r="333" ht="65" customHeight="1">
      <x:c r="A333" s="13" t="str">
        <x:v>mercedes diagnostics</x:v>
      </x:c>
      <x:c r="B333" s="17" t="n">
        <x:v>0</x:v>
      </x:c>
      <x:c r="C333" s="17" t="n">
        <x:v>1</x:v>
      </x:c>
      <x:c r="D333" s="18" t="n">
        <x:v>0</x:v>
      </x:c>
      <x:c r="E333" s="19" t="n">
        <x:v>34</x:v>
      </x:c>
      <x:c r="F333" s="13" t="str">
        <x:v>Diagnostics and coding</x:v>
      </x:c>
      <x:c r="G333" s="13" t="str">
        <x:v>DIAG</x:v>
      </x:c>
      <x:c r="H333" s="13" t="str">
        <x:v>https://digitecme.com/services/mercedes-diagnostics-dubai</x:v>
      </x:c>
      <x:c r="I333" s="13" t="str">
        <x:v>Diagnostic process</x:v>
      </x:c>
      <x:c r="J333" s="13" t="str">
        <x:v>Relevant</x:v>
      </x:c>
      <x:c r="K333" s="13" t="str">
        <x:f>IF(J333="Hold","Hold",IF(J333="Conditional","Conditional",IF(E333&lt;='Sources'!$B$5,"Protect",IF(AND(E333&lt;='Sources'!$B$7,C333&gt;='Sources'!$B$6),"P1",IF(OR(E333&lt;='Sources'!$B$7,C333&gt;='Sources'!$B$8),"P2","P3")))))</x:f>
        <x:v>P3</x:v>
      </x:c>
      <x:c r="L333" s="16" t="n">
        <x:f>IF(J333="Hold","",MAX(0,E333-'Sources'!$B$5))</x:f>
        <x:v>29</x:v>
      </x:c>
      <x:c r="M333" s="13" t="str">
        <x:v>Match supported vehicle/module functions; do not create a page per fault code.</x:v>
      </x:c>
      <x:c r="N333" s="13" t="n">
        <x:v>330</x:v>
      </x:c>
    </x:row>
    <x:row r="334" ht="65" customHeight="1">
      <x:c r="A334" s="13" t="str">
        <x:v>mercedes engine service</x:v>
      </x:c>
      <x:c r="B334" s="17" t="n">
        <x:v>0</x:v>
      </x:c>
      <x:c r="C334" s="17" t="n">
        <x:v>1</x:v>
      </x:c>
      <x:c r="D334" s="18" t="n">
        <x:v>0</x:v>
      </x:c>
      <x:c r="E334" s="19" t="n">
        <x:v>34</x:v>
      </x:c>
      <x:c r="F334" s="13" t="str">
        <x:v>Engine repair</x:v>
      </x:c>
      <x:c r="G334" s="13" t="str">
        <x:v>ENGINE</x:v>
      </x:c>
      <x:c r="H334" s="13" t="str">
        <x:v>https://digitecme.com/services/mercedes-mechanical-repair-dubai</x:v>
      </x:c>
      <x:c r="I334" s="13" t="str">
        <x:v>Engine diagnosis and mechanical repair</x:v>
      </x:c>
      <x:c r="J334" s="13" t="str">
        <x:v>Relevant</x:v>
      </x:c>
      <x:c r="K334" s="13" t="str">
        <x:f>IF(J334="Hold","Hold",IF(J334="Conditional","Conditional",IF(E334&lt;='Sources'!$B$5,"Protect",IF(AND(E334&lt;='Sources'!$B$7,C334&gt;='Sources'!$B$6),"P1",IF(OR(E334&lt;='Sources'!$B$7,C334&gt;='Sources'!$B$8),"P2","P3")))))</x:f>
        <x:v>P3</x:v>
      </x:c>
      <x:c r="L334" s="16" t="n">
        <x:f>IF(J334="Hold","",MAX(0,E334-'Sources'!$B$5))</x:f>
        <x:v>29</x:v>
      </x:c>
      <x:c r="M334" s="13" t="str">
        <x:v>Make engine repair prominent on the existing mechanical URL; avoid another competing URL.</x:v>
      </x:c>
      <x:c r="N334" s="13" t="n">
        <x:v>331</x:v>
      </x:c>
    </x:row>
    <x:row r="335" ht="65" customHeight="1">
      <x:c r="A335" s="13" t="str">
        <x:v>mercedes mechanic near me</x:v>
      </x:c>
      <x:c r="B335" s="17" t="n">
        <x:v>0</x:v>
      </x:c>
      <x:c r="C335" s="17" t="n">
        <x:v>1</x:v>
      </x:c>
      <x:c r="D335" s="18" t="n">
        <x:v>0</x:v>
      </x:c>
      <x:c r="E335" s="19" t="n">
        <x:v>36</x:v>
      </x:c>
      <x:c r="F335" s="13" t="str">
        <x:v>General repair and workshop</x:v>
      </x:c>
      <x:c r="G335" s="13" t="str">
        <x:v>HUB</x:v>
      </x:c>
      <x:c r="H335" s="13" t="str">
        <x:v>https://digitecme.com/brands/mercedes-benz-service-dubai</x:v>
      </x:c>
      <x:c r="I335" s="13" t="str">
        <x:v>Workshop and booking</x:v>
      </x:c>
      <x:c r="J335" s="13" t="str">
        <x:v>Relevant</x:v>
      </x:c>
      <x:c r="K335" s="13" t="str">
        <x:f>IF(J335="Hold","Hold",IF(J335="Conditional","Conditional",IF(E335&lt;='Sources'!$B$5,"Protect",IF(AND(E335&lt;='Sources'!$B$7,C335&gt;='Sources'!$B$6),"P1",IF(OR(E335&lt;='Sources'!$B$7,C335&gt;='Sources'!$B$8),"P2","P3")))))</x:f>
        <x:v>P3</x:v>
      </x:c>
      <x:c r="L335" s="16" t="n">
        <x:f>IF(J335="Hold","",MAX(0,E335-'Sources'!$B$5))</x:f>
        <x:v>31</x:v>
      </x:c>
      <x:c r="M335" s="13" t="str">
        <x:v>Use the main Mercedes page for broad repair, service, garage and specialist wording. Include accurate Al Quoz location and Business Profile links; proximity varies by searcher.</x:v>
      </x:c>
      <x:c r="N335" s="13" t="n">
        <x:v>332</x:v>
      </x:c>
    </x:row>
    <x:row r="336" ht="65" customHeight="1">
      <x:c r="A336" s="13" t="str">
        <x:v>mercedes-benz workshop dubai</x:v>
      </x:c>
      <x:c r="B336" s="17" t="n">
        <x:v>0</x:v>
      </x:c>
      <x:c r="C336" s="17" t="n">
        <x:v>1</x:v>
      </x:c>
      <x:c r="D336" s="18" t="n">
        <x:v>0</x:v>
      </x:c>
      <x:c r="E336" s="19" t="n">
        <x:v>36</x:v>
      </x:c>
      <x:c r="F336" s="13" t="str">
        <x:v>General repair and workshop</x:v>
      </x:c>
      <x:c r="G336" s="13" t="str">
        <x:v>HUB</x:v>
      </x:c>
      <x:c r="H336" s="13" t="str">
        <x:v>https://digitecme.com/brands/mercedes-benz-service-dubai</x:v>
      </x:c>
      <x:c r="I336" s="13" t="str">
        <x:v>Workshop and booking</x:v>
      </x:c>
      <x:c r="J336" s="13" t="str">
        <x:v>Relevant</x:v>
      </x:c>
      <x:c r="K336" s="13" t="str">
        <x:f>IF(J336="Hold","Hold",IF(J336="Conditional","Conditional",IF(E336&lt;='Sources'!$B$5,"Protect",IF(AND(E336&lt;='Sources'!$B$7,C336&gt;='Sources'!$B$6),"P1",IF(OR(E336&lt;='Sources'!$B$7,C336&gt;='Sources'!$B$8),"P2","P3")))))</x:f>
        <x:v>P3</x:v>
      </x:c>
      <x:c r="L336" s="16" t="n">
        <x:f>IF(J336="Hold","",MAX(0,E336-'Sources'!$B$5))</x:f>
        <x:v>31</x:v>
      </x:c>
      <x:c r="M336" s="13" t="str">
        <x:v>Use the main Mercedes page for broad repair, service, garage and specialist wording.</x:v>
      </x:c>
      <x:c r="N336" s="13" t="n">
        <x:v>333</x:v>
      </x:c>
    </x:row>
    <x:row r="337" ht="65" customHeight="1">
      <x:c r="A337" s="13" t="str">
        <x:v>mercedes diagnostics abu dhabi</x:v>
      </x:c>
      <x:c r="B337" s="17" t="n">
        <x:v>0</x:v>
      </x:c>
      <x:c r="C337" s="17" t="n">
        <x:v>1</x:v>
      </x:c>
      <x:c r="D337" s="18" t="n">
        <x:v>0</x:v>
      </x:c>
      <x:c r="E337" s="19" t="n">
        <x:v>37</x:v>
      </x:c>
      <x:c r="F337" s="13" t="str">
        <x:v>Diagnostics and coding</x:v>
      </x:c>
      <x:c r="G337" s="13" t="str">
        <x:v>DIAG</x:v>
      </x:c>
      <x:c r="H337" s="13" t="str">
        <x:v>https://digitecme.com/services/mercedes-diagnostics-dubai</x:v>
      </x:c>
      <x:c r="I337" s="13" t="str">
        <x:v>Diagnostic process</x:v>
      </x:c>
      <x:c r="J337" s="13" t="str">
        <x:v>Hold</x:v>
      </x:c>
      <x:c r="K337" s="13" t="str">
        <x:f>IF(J337="Hold","Hold",IF(J337="Conditional","Conditional",IF(E337&lt;='Sources'!$B$5,"Protect",IF(AND(E337&lt;='Sources'!$B$7,C337&gt;='Sources'!$B$6),"P1",IF(OR(E337&lt;='Sources'!$B$7,C337&gt;='Sources'!$B$8),"P2","P3")))))</x:f>
        <x:v>Hold</x:v>
      </x:c>
      <x:c r="L337" s="16" t="str">
        <x:f>IF(J337="Hold","",MAX(0,E337-'Sources'!$B$5))</x:f>
      </x:c>
      <x:c r="M337" s="13" t="str">
        <x:v>Outside the verified Al Quoz location. Do not imply an Abu Dhabi branch; confirm real service-area support before targeting. URL is a related alternative only.</x:v>
      </x:c>
      <x:c r="N337" s="13" t="n">
        <x:v>334</x:v>
      </x:c>
    </x:row>
    <x:row r="338" ht="65" customHeight="1">
      <x:c r="A338" s="13" t="str">
        <x:v>mercedes specialist abu dhabi</x:v>
      </x:c>
      <x:c r="B338" s="17" t="n">
        <x:v>0</x:v>
      </x:c>
      <x:c r="C338" s="17" t="n">
        <x:v>1</x:v>
      </x:c>
      <x:c r="D338" s="18" t="n">
        <x:v>0</x:v>
      </x:c>
      <x:c r="E338" s="19" t="n">
        <x:v>38</x:v>
      </x:c>
      <x:c r="F338" s="13" t="str">
        <x:v>General repair and workshop</x:v>
      </x:c>
      <x:c r="G338" s="13" t="str">
        <x:v>HUB</x:v>
      </x:c>
      <x:c r="H338" s="13" t="str">
        <x:v>https://digitecme.com/brands/mercedes-benz-service-dubai</x:v>
      </x:c>
      <x:c r="I338" s="13" t="str">
        <x:v>Workshop and booking</x:v>
      </x:c>
      <x:c r="J338" s="13" t="str">
        <x:v>Hold</x:v>
      </x:c>
      <x:c r="K338" s="13" t="str">
        <x:f>IF(J338="Hold","Hold",IF(J338="Conditional","Conditional",IF(E338&lt;='Sources'!$B$5,"Protect",IF(AND(E338&lt;='Sources'!$B$7,C338&gt;='Sources'!$B$6),"P1",IF(OR(E338&lt;='Sources'!$B$7,C338&gt;='Sources'!$B$8),"P2","P3")))))</x:f>
        <x:v>Hold</x:v>
      </x:c>
      <x:c r="L338" s="16" t="str">
        <x:f>IF(J338="Hold","",MAX(0,E338-'Sources'!$B$5))</x:f>
      </x:c>
      <x:c r="M338" s="13" t="str">
        <x:v>Outside the verified Al Quoz location. Do not imply an Abu Dhabi branch; confirm real service-area support before targeting. URL is a related alternative only.</x:v>
      </x:c>
      <x:c r="N338" s="13" t="n">
        <x:v>335</x:v>
      </x:c>
    </x:row>
    <x:row r="339" ht="65" customHeight="1">
      <x:c r="A339" s="13" t="str">
        <x:v>garage mercedes</x:v>
      </x:c>
      <x:c r="B339" s="17" t="n">
        <x:v>0</x:v>
      </x:c>
      <x:c r="C339" s="17" t="n">
        <x:v>1</x:v>
      </x:c>
      <x:c r="D339" s="18" t="n">
        <x:v>0</x:v>
      </x:c>
      <x:c r="E339" s="19" t="n">
        <x:v>43</x:v>
      </x:c>
      <x:c r="F339" s="13" t="str">
        <x:v>General repair and workshop</x:v>
      </x:c>
      <x:c r="G339" s="13" t="str">
        <x:v>HUB</x:v>
      </x:c>
      <x:c r="H339" s="13" t="str">
        <x:v>https://digitecme.com/brands/mercedes-benz-service-dubai</x:v>
      </x:c>
      <x:c r="I339" s="13" t="str">
        <x:v>Workshop and booking</x:v>
      </x:c>
      <x:c r="J339" s="13" t="str">
        <x:v>Relevant</x:v>
      </x:c>
      <x:c r="K339" s="13" t="str">
        <x:f>IF(J339="Hold","Hold",IF(J339="Conditional","Conditional",IF(E339&lt;='Sources'!$B$5,"Protect",IF(AND(E339&lt;='Sources'!$B$7,C339&gt;='Sources'!$B$6),"P1",IF(OR(E339&lt;='Sources'!$B$7,C339&gt;='Sources'!$B$8),"P2","P3")))))</x:f>
        <x:v>P3</x:v>
      </x:c>
      <x:c r="L339" s="16" t="n">
        <x:f>IF(J339="Hold","",MAX(0,E339-'Sources'!$B$5))</x:f>
        <x:v>38</x:v>
      </x:c>
      <x:c r="M339" s="13" t="str">
        <x:v>Use the main Mercedes page for broad repair, service, garage and specialist wording.</x:v>
      </x:c>
      <x:c r="N339" s="13" t="n">
        <x:v>336</x:v>
      </x:c>
    </x:row>
    <x:row r="340" ht="65" customHeight="1">
      <x:c r="A340" s="13" t="str">
        <x:v>mercedes body parts</x:v>
      </x:c>
      <x:c r="B340" s="17" t="n">
        <x:v>0</x:v>
      </x:c>
      <x:c r="C340" s="17" t="n">
        <x:v>1</x:v>
      </x:c>
      <x:c r="D340" s="18" t="n">
        <x:v>0</x:v>
      </x:c>
      <x:c r="E340" s="19" t="n">
        <x:v>45</x:v>
      </x:c>
      <x:c r="F340" s="13" t="str">
        <x:v>Body repair</x:v>
      </x:c>
      <x:c r="G340" s="13" t="str">
        <x:v>BODY</x:v>
      </x:c>
      <x:c r="H340" s="13" t="str">
        <x:v>https://digitecme.com/services/mercedes-body-repair-dubai</x:v>
      </x:c>
      <x:c r="I340" s="13" t="str">
        <x:v>Body shop and paintwork scope</x:v>
      </x:c>
      <x:c r="J340" s="13" t="str">
        <x:v>Hold</x:v>
      </x:c>
      <x:c r="K340" s="13" t="str">
        <x:f>IF(J340="Hold","Hold",IF(J340="Conditional","Conditional",IF(E340&lt;='Sources'!$B$5,"Protect",IF(AND(E340&lt;='Sources'!$B$7,C340&gt;='Sources'!$B$6),"P1",IF(OR(E340&lt;='Sources'!$B$7,C340&gt;='Sources'!$B$8),"P2","P3")))))</x:f>
        <x:v>Hold</x:v>
      </x:c>
      <x:c r="L340" s="16" t="str">
        <x:f>IF(J340="Hold","",MAX(0,E340-'Sources'!$B$5))</x:f>
      </x:c>
      <x:c r="M340" s="13" t="str">
        <x:v>Product, tool or service capability is not established by this export/site review. Confirm an actual matching offering before targeting; URL is a related alternative only.</x:v>
      </x:c>
      <x:c r="N340" s="13" t="n">
        <x:v>337</x:v>
      </x:c>
    </x:row>
    <x:row r="341" ht="65" customHeight="1">
      <x:c r="A341" s="13" t="str">
        <x:v>mercedes a9 service</x:v>
      </x:c>
      <x:c r="B341" s="17" t="n">
        <x:v>0</x:v>
      </x:c>
      <x:c r="C341" s="17" t="n">
        <x:v>1</x:v>
      </x:c>
      <x:c r="D341" s="18" t="n">
        <x:v>0</x:v>
      </x:c>
      <x:c r="E341" s="19" t="n">
        <x:v>47</x:v>
      </x:c>
      <x:c r="F341" s="13" t="str">
        <x:v>Service schedule and ASSYST</x:v>
      </x:c>
      <x:c r="G341" s="13" t="str">
        <x:v>INTERVAL</x:v>
      </x:c>
      <x:c r="H341" s="13" t="str">
        <x:v>https://digitecme.com/blog/mercedes-service-intervals-dubai-heat</x:v>
      </x:c>
      <x:c r="I341" s="13" t="str">
        <x:v>Intervals and service display codes</x:v>
      </x:c>
      <x:c r="J341" s="13" t="str">
        <x:v>Relevant</x:v>
      </x:c>
      <x:c r="K341" s="13" t="str">
        <x:f>IF(J341="Hold","Hold",IF(J341="Conditional","Conditional",IF(E341&lt;='Sources'!$B$5,"Protect",IF(AND(E341&lt;='Sources'!$B$7,C341&gt;='Sources'!$B$6),"P1",IF(OR(E341&lt;='Sources'!$B$7,C341&gt;='Sources'!$B$8),"P2","P3")))))</x:f>
        <x:v>P3</x:v>
      </x:c>
      <x:c r="L341" s="16" t="n">
        <x:f>IF(J341="Hold","",MAX(0,E341-'Sources'!$B$5))</x:f>
        <x:v>42</x:v>
      </x:c>
      <x:c r="M341" s="13" t="str">
        <x:v>Verify code meaning against the exact model; avoid universal code checklists.</x:v>
      </x:c>
      <x:c r="N341" s="13" t="n">
        <x:v>338</x:v>
      </x:c>
    </x:row>
    <x:row r="342" ht="65" customHeight="1">
      <x:c r="A342" s="13" t="str">
        <x:v>mercedes roadside assistance dubai</x:v>
      </x:c>
      <x:c r="B342" s="17" t="n">
        <x:v>0</x:v>
      </x:c>
      <x:c r="C342" s="17" t="n">
        <x:v>1</x:v>
      </x:c>
      <x:c r="D342" s="18" t="n">
        <x:v>0</x:v>
      </x:c>
      <x:c r="E342" s="19" t="n">
        <x:v>47</x:v>
      </x:c>
      <x:c r="F342" s="13" t="str">
        <x:v>General repair and workshop</x:v>
      </x:c>
      <x:c r="G342" s="13" t="str">
        <x:v>HUB</x:v>
      </x:c>
      <x:c r="H342" s="13" t="str">
        <x:v>https://digitecme.com/brands/mercedes-benz-service-dubai</x:v>
      </x:c>
      <x:c r="I342" s="13" t="str">
        <x:v>Workshop and booking</x:v>
      </x:c>
      <x:c r="J342" s="13" t="str">
        <x:v>Hold</x:v>
      </x:c>
      <x:c r="K342" s="13" t="str">
        <x:f>IF(J342="Hold","Hold",IF(J342="Conditional","Conditional",IF(E342&lt;='Sources'!$B$5,"Protect",IF(AND(E342&lt;='Sources'!$B$7,C342&gt;='Sources'!$B$6),"P1",IF(OR(E342&lt;='Sources'!$B$7,C342&gt;='Sources'!$B$8),"P2","P3")))))</x:f>
        <x:v>Hold</x:v>
      </x:c>
      <x:c r="L342" s="16" t="str">
        <x:f>IF(J342="Hold","",MAX(0,E342-'Sources'!$B$5))</x:f>
      </x:c>
      <x:c r="M342" s="13" t="str">
        <x:v>Product, tool or service capability is not established by this export/site review. Confirm an actual matching offering before targeting; URL is a related alternative only.</x:v>
      </x:c>
      <x:c r="N342" s="13" t="n">
        <x:v>339</x:v>
      </x:c>
    </x:row>
    <x:row r="343" ht="65" customHeight="1">
      <x:c r="A343" s="13" t="str">
        <x:v>mercedes service appointment</x:v>
      </x:c>
      <x:c r="B343" s="17" t="n">
        <x:v>0</x:v>
      </x:c>
      <x:c r="C343" s="17" t="n">
        <x:v>1</x:v>
      </x:c>
      <x:c r="D343" s="18" t="n">
        <x:v>0</x:v>
      </x:c>
      <x:c r="E343" s="19" t="n">
        <x:v>49</x:v>
      </x:c>
      <x:c r="F343" s="13" t="str">
        <x:v>Scheduled service and maintenance</x:v>
      </x:c>
      <x:c r="G343" s="13" t="str">
        <x:v>HUB</x:v>
      </x:c>
      <x:c r="H343" s="13" t="str">
        <x:v>https://digitecme.com/brands/mercedes-benz-service-dubai</x:v>
      </x:c>
      <x:c r="I343" s="13" t="str">
        <x:v>Service A/B and minor/major scope</x:v>
      </x:c>
      <x:c r="J343" s="13" t="str">
        <x:v>Relevant</x:v>
      </x:c>
      <x:c r="K343" s="13" t="str">
        <x:f>IF(J343="Hold","Hold",IF(J343="Conditional","Conditional",IF(E343&lt;='Sources'!$B$5,"Protect",IF(AND(E343&lt;='Sources'!$B$7,C343&gt;='Sources'!$B$6),"P1",IF(OR(E343&lt;='Sources'!$B$7,C343&gt;='Sources'!$B$8),"P2","P3")))))</x:f>
        <x:v>P3</x:v>
      </x:c>
      <x:c r="L343" s="16" t="n">
        <x:f>IF(J343="Hold","",MAX(0,E343-'Sources'!$B$5))</x:f>
        <x:v>44</x:v>
      </x:c>
      <x:c r="M343" s="13" t="str">
        <x:v>Use one service booking destination; explain scope and link oil-only work and informational schedules separately.</x:v>
      </x:c>
      <x:c r="N343" s="13" t="n">
        <x:v>340</x:v>
      </x:c>
    </x:row>
    <x:row r="344" ht="65" customHeight="1">
      <x:c r="A344" s="13" t="str">
        <x:v>mercedes benz change oil</x:v>
      </x:c>
      <x:c r="B344" s="17" t="n">
        <x:v>0</x:v>
      </x:c>
      <x:c r="C344" s="17" t="n">
        <x:v>1</x:v>
      </x:c>
      <x:c r="D344" s="18" t="n">
        <x:v>0</x:v>
      </x:c>
      <x:c r="E344" s="19" t="n">
        <x:v>52</x:v>
      </x:c>
      <x:c r="F344" s="13" t="str">
        <x:v>Oil change</x:v>
      </x:c>
      <x:c r="G344" s="13" t="str">
        <x:v>OIL</x:v>
      </x:c>
      <x:c r="H344" s="13" t="str">
        <x:v>https://digitecme.com/services/mercedes-oil-change-dubai</x:v>
      </x:c>
      <x:c r="I344" s="13" t="str">
        <x:v>Oil/filter scope and vehicle specification</x:v>
      </x:c>
      <x:c r="J344" s="13" t="str">
        <x:v>Relevant</x:v>
      </x:c>
      <x:c r="K344" s="13" t="str">
        <x:f>IF(J344="Hold","Hold",IF(J344="Conditional","Conditional",IF(E344&lt;='Sources'!$B$5,"Protect",IF(AND(E344&lt;='Sources'!$B$7,C344&gt;='Sources'!$B$6),"P1",IF(OR(E344&lt;='Sources'!$B$7,C344&gt;='Sources'!$B$8),"P2","P3")))))</x:f>
        <x:v>P3</x:v>
      </x:c>
      <x:c r="L344" s="16" t="n">
        <x:f>IF(J344="Hold","",MAX(0,E344-'Sources'!$B$5))</x:f>
        <x:v>47</x:v>
      </x:c>
      <x:c r="M344" s="13" t="str">
        <x:v>Keep oil-only intent here and broader Service A/B intent on the hub.</x:v>
      </x:c>
      <x:c r="N344" s="13" t="n">
        <x:v>341</x:v>
      </x:c>
    </x:row>
    <x:row r="345" ht="65" customHeight="1">
      <x:c r="A345" s="13" t="str">
        <x:v>mercedes service a near me</x:v>
      </x:c>
      <x:c r="B345" s="17" t="n">
        <x:v>0</x:v>
      </x:c>
      <x:c r="C345" s="17" t="n">
        <x:v>1</x:v>
      </x:c>
      <x:c r="D345" s="18" t="n">
        <x:v>0</x:v>
      </x:c>
      <x:c r="E345" s="19" t="n">
        <x:v>52</x:v>
      </x:c>
      <x:c r="F345" s="13" t="str">
        <x:v>Scheduled service and maintenance</x:v>
      </x:c>
      <x:c r="G345" s="13" t="str">
        <x:v>HUB</x:v>
      </x:c>
      <x:c r="H345" s="13" t="str">
        <x:v>https://digitecme.com/brands/mercedes-benz-service-dubai</x:v>
      </x:c>
      <x:c r="I345" s="13" t="str">
        <x:v>Service A/B and minor/major scope</x:v>
      </x:c>
      <x:c r="J345" s="13" t="str">
        <x:v>Relevant</x:v>
      </x:c>
      <x:c r="K345" s="13" t="str">
        <x:f>IF(J345="Hold","Hold",IF(J345="Conditional","Conditional",IF(E345&lt;='Sources'!$B$5,"Protect",IF(AND(E345&lt;='Sources'!$B$7,C345&gt;='Sources'!$B$6),"P1",IF(OR(E345&lt;='Sources'!$B$7,C345&gt;='Sources'!$B$8),"P2","P3")))))</x:f>
        <x:v>P3</x:v>
      </x:c>
      <x:c r="L345" s="16" t="n">
        <x:f>IF(J345="Hold","",MAX(0,E345-'Sources'!$B$5))</x:f>
        <x:v>47</x:v>
      </x:c>
      <x:c r="M345" s="13" t="str">
        <x:v>Use one service booking destination; explain scope and link oil-only work and informational schedules separately. Include accurate Al Quoz location and Business Profile links; proximity varies by searcher.</x:v>
      </x:c>
      <x:c r="N345" s="13" t="n">
        <x:v>342</x:v>
      </x:c>
    </x:row>
    <x:row r="346" ht="65" customHeight="1">
      <x:c r="A346" s="13" t="str">
        <x:v>certified mercedes service near me</x:v>
      </x:c>
      <x:c r="B346" s="17" t="n">
        <x:v>0</x:v>
      </x:c>
      <x:c r="C346" s="17" t="n">
        <x:v>1</x:v>
      </x:c>
      <x:c r="D346" s="18" t="n">
        <x:v>0</x:v>
      </x:c>
      <x:c r="E346" s="19" t="n">
        <x:v>57</x:v>
      </x:c>
      <x:c r="F346" s="13" t="str">
        <x:v>Scheduled service and maintenance</x:v>
      </x:c>
      <x:c r="G346" s="13" t="str">
        <x:v>HUB</x:v>
      </x:c>
      <x:c r="H346" s="13" t="str">
        <x:v>https://digitecme.com/brands/mercedes-benz-service-dubai</x:v>
      </x:c>
      <x:c r="I346" s="13" t="str">
        <x:v>Service A/B and minor/major scope</x:v>
      </x:c>
      <x:c r="J346" s="13" t="str">
        <x:v>Hold</x:v>
      </x:c>
      <x:c r="K346" s="13" t="str">
        <x:f>IF(J346="Hold","Hold",IF(J346="Conditional","Conditional",IF(E346&lt;='Sources'!$B$5,"Protect",IF(AND(E346&lt;='Sources'!$B$7,C346&gt;='Sources'!$B$6),"P1",IF(OR(E346&lt;='Sources'!$B$7,C346&gt;='Sources'!$B$8),"P2","P3")))))</x:f>
        <x:v>Hold</x:v>
      </x:c>
      <x:c r="L346" s="16" t="str">
        <x:f>IF(J346="Hold","",MAX(0,E346-'Sources'!$B$5))</x:f>
      </x:c>
      <x:c r="M346" s="13" t="str">
        <x:v>Official/dealer or certification intent. Digi-Tec is positioned as independent; do not optimize by implying unverified authorization. URL is a related alternative only.</x:v>
      </x:c>
      <x:c r="N346" s="13" t="n">
        <x:v>343</x:v>
      </x:c>
    </x:row>
    <x:row r="347" ht="65" customHeight="1">
      <x:c r="A347" s="13" t="str">
        <x:v>mercedes benz mechanic</x:v>
      </x:c>
      <x:c r="B347" s="17" t="n">
        <x:v>0</x:v>
      </x:c>
      <x:c r="C347" s="17" t="n">
        <x:v>1</x:v>
      </x:c>
      <x:c r="D347" s="18" t="n">
        <x:v>0</x:v>
      </x:c>
      <x:c r="E347" s="19" t="n">
        <x:v>58</x:v>
      </x:c>
      <x:c r="F347" s="13" t="str">
        <x:v>General repair and workshop</x:v>
      </x:c>
      <x:c r="G347" s="13" t="str">
        <x:v>HUB</x:v>
      </x:c>
      <x:c r="H347" s="13" t="str">
        <x:v>https://digitecme.com/brands/mercedes-benz-service-dubai</x:v>
      </x:c>
      <x:c r="I347" s="13" t="str">
        <x:v>Workshop and booking</x:v>
      </x:c>
      <x:c r="J347" s="13" t="str">
        <x:v>Relevant</x:v>
      </x:c>
      <x:c r="K347" s="13" t="str">
        <x:f>IF(J347="Hold","Hold",IF(J347="Conditional","Conditional",IF(E347&lt;='Sources'!$B$5,"Protect",IF(AND(E347&lt;='Sources'!$B$7,C347&gt;='Sources'!$B$6),"P1",IF(OR(E347&lt;='Sources'!$B$7,C347&gt;='Sources'!$B$8),"P2","P3")))))</x:f>
        <x:v>P3</x:v>
      </x:c>
      <x:c r="L347" s="16" t="n">
        <x:f>IF(J347="Hold","",MAX(0,E347-'Sources'!$B$5))</x:f>
        <x:v>53</x:v>
      </x:c>
      <x:c r="M347" s="13" t="str">
        <x:v>Use the main Mercedes page for broad repair, service, garage and specialist wording.</x:v>
      </x:c>
      <x:c r="N347" s="13" t="n">
        <x:v>344</x:v>
      </x:c>
    </x:row>
    <x:row r="348" ht="65" customHeight="1">
      <x:c r="A348" s="13" t="str">
        <x:v>mercedes service centers near me</x:v>
      </x:c>
      <x:c r="B348" s="17" t="n">
        <x:v>0</x:v>
      </x:c>
      <x:c r="C348" s="17" t="n">
        <x:v>1</x:v>
      </x:c>
      <x:c r="D348" s="18" t="n">
        <x:v>0</x:v>
      </x:c>
      <x:c r="E348" s="19" t="n">
        <x:v>59</x:v>
      </x:c>
      <x:c r="F348" s="13" t="str">
        <x:v>Scheduled service and maintenance</x:v>
      </x:c>
      <x:c r="G348" s="13" t="str">
        <x:v>HUB</x:v>
      </x:c>
      <x:c r="H348" s="13" t="str">
        <x:v>https://digitecme.com/brands/mercedes-benz-service-dubai</x:v>
      </x:c>
      <x:c r="I348" s="13" t="str">
        <x:v>Service A/B and minor/major scope</x:v>
      </x:c>
      <x:c r="J348" s="13" t="str">
        <x:v>Relevant</x:v>
      </x:c>
      <x:c r="K348" s="13" t="str">
        <x:f>IF(J348="Hold","Hold",IF(J348="Conditional","Conditional",IF(E348&lt;='Sources'!$B$5,"Protect",IF(AND(E348&lt;='Sources'!$B$7,C348&gt;='Sources'!$B$6),"P1",IF(OR(E348&lt;='Sources'!$B$7,C348&gt;='Sources'!$B$8),"P2","P3")))))</x:f>
        <x:v>P3</x:v>
      </x:c>
      <x:c r="L348" s="16" t="n">
        <x:f>IF(J348="Hold","",MAX(0,E348-'Sources'!$B$5))</x:f>
        <x:v>54</x:v>
      </x:c>
      <x:c r="M348" s="13" t="str">
        <x:v>Use one service booking destination; explain scope and link oil-only work and informational schedules separately. Include accurate Al Quoz location and Business Profile links; proximity varies by searcher.</x:v>
      </x:c>
      <x:c r="N348" s="13" t="n">
        <x:v>345</x:v>
      </x:c>
    </x:row>
    <x:row r="349" ht="65" customHeight="1">
      <x:c r="A349" s="13" t="str">
        <x:v>where can i get my mercedes serviced near me</x:v>
      </x:c>
      <x:c r="B349" s="17" t="n">
        <x:v>0</x:v>
      </x:c>
      <x:c r="C349" s="17" t="n">
        <x:v>1</x:v>
      </x:c>
      <x:c r="D349" s="18" t="n">
        <x:v>0</x:v>
      </x:c>
      <x:c r="E349" s="19" t="n">
        <x:v>59</x:v>
      </x:c>
      <x:c r="F349" s="13" t="str">
        <x:v>Scheduled service and maintenance</x:v>
      </x:c>
      <x:c r="G349" s="13" t="str">
        <x:v>HUB</x:v>
      </x:c>
      <x:c r="H349" s="13" t="str">
        <x:v>https://digitecme.com/brands/mercedes-benz-service-dubai</x:v>
      </x:c>
      <x:c r="I349" s="13" t="str">
        <x:v>Service A/B and minor/major scope</x:v>
      </x:c>
      <x:c r="J349" s="13" t="str">
        <x:v>Relevant</x:v>
      </x:c>
      <x:c r="K349" s="13" t="str">
        <x:f>IF(J349="Hold","Hold",IF(J349="Conditional","Conditional",IF(E349&lt;='Sources'!$B$5,"Protect",IF(AND(E349&lt;='Sources'!$B$7,C349&gt;='Sources'!$B$6),"P1",IF(OR(E349&lt;='Sources'!$B$7,C349&gt;='Sources'!$B$8),"P2","P3")))))</x:f>
        <x:v>P3</x:v>
      </x:c>
      <x:c r="L349" s="16" t="n">
        <x:f>IF(J349="Hold","",MAX(0,E349-'Sources'!$B$5))</x:f>
        <x:v>54</x:v>
      </x:c>
      <x:c r="M349" s="13" t="str">
        <x:v>Use one service booking destination; explain scope and link oil-only work and informational schedules separately. Include accurate Al Quoz location and Business Profile links; proximity varies by searcher.</x:v>
      </x:c>
      <x:c r="N349" s="13" t="n">
        <x:v>346</x:v>
      </x:c>
    </x:row>
    <x:row r="350" ht="65" customHeight="1">
      <x:c r="A350" s="13" t="str">
        <x:v>mercedes service contract</x:v>
      </x:c>
      <x:c r="B350" s="17" t="n">
        <x:v>0</x:v>
      </x:c>
      <x:c r="C350" s="17" t="n">
        <x:v>1</x:v>
      </x:c>
      <x:c r="D350" s="18" t="n">
        <x:v>0</x:v>
      </x:c>
      <x:c r="E350" s="19" t="n">
        <x:v>61</x:v>
      </x:c>
      <x:c r="F350" s="13" t="str">
        <x:v>Scheduled service and maintenance</x:v>
      </x:c>
      <x:c r="G350" s="13" t="str">
        <x:v>HUB</x:v>
      </x:c>
      <x:c r="H350" s="13" t="str">
        <x:v>https://digitecme.com/brands/mercedes-benz-service-dubai</x:v>
      </x:c>
      <x:c r="I350" s="13" t="str">
        <x:v>Service A/B and minor/major scope</x:v>
      </x:c>
      <x:c r="J350" s="13" t="str">
        <x:v>Hold</x:v>
      </x:c>
      <x:c r="K350" s="13" t="str">
        <x:f>IF(J350="Hold","Hold",IF(J350="Conditional","Conditional",IF(E350&lt;='Sources'!$B$5,"Protect",IF(AND(E350&lt;='Sources'!$B$7,C350&gt;='Sources'!$B$6),"P1",IF(OR(E350&lt;='Sources'!$B$7,C350&gt;='Sources'!$B$8),"P2","P3")))))</x:f>
        <x:v>Hold</x:v>
      </x:c>
      <x:c r="L350" s="16" t="str">
        <x:f>IF(J350="Hold","",MAX(0,E350-'Sources'!$B$5))</x:f>
      </x:c>
      <x:c r="M350" s="13" t="str">
        <x:v>Product, tool or service capability is not established by this export/site review. Confirm an actual matching offering before targeting; URL is a related alternative only.</x:v>
      </x:c>
      <x:c r="N350" s="13" t="n">
        <x:v>347</x:v>
      </x:c>
    </x:row>
    <x:row r="351" ht="65" customHeight="1">
      <x:c r="A351" s="13" t="str">
        <x:v>mercedes benz car repair</x:v>
      </x:c>
      <x:c r="B351" s="17" t="n">
        <x:v>0</x:v>
      </x:c>
      <x:c r="C351" s="17" t="n">
        <x:v>1</x:v>
      </x:c>
      <x:c r="D351" s="18" t="n">
        <x:v>0</x:v>
      </x:c>
      <x:c r="E351" s="19" t="n">
        <x:v>62</x:v>
      </x:c>
      <x:c r="F351" s="13" t="str">
        <x:v>General repair and workshop</x:v>
      </x:c>
      <x:c r="G351" s="13" t="str">
        <x:v>HUB</x:v>
      </x:c>
      <x:c r="H351" s="13" t="str">
        <x:v>https://digitecme.com/brands/mercedes-benz-service-dubai</x:v>
      </x:c>
      <x:c r="I351" s="13" t="str">
        <x:v>Workshop and booking</x:v>
      </x:c>
      <x:c r="J351" s="13" t="str">
        <x:v>Relevant</x:v>
      </x:c>
      <x:c r="K351" s="13" t="str">
        <x:f>IF(J351="Hold","Hold",IF(J351="Conditional","Conditional",IF(E351&lt;='Sources'!$B$5,"Protect",IF(AND(E351&lt;='Sources'!$B$7,C351&gt;='Sources'!$B$6),"P1",IF(OR(E351&lt;='Sources'!$B$7,C351&gt;='Sources'!$B$8),"P2","P3")))))</x:f>
        <x:v>P3</x:v>
      </x:c>
      <x:c r="L351" s="16" t="n">
        <x:f>IF(J351="Hold","",MAX(0,E351-'Sources'!$B$5))</x:f>
        <x:v>57</x:v>
      </x:c>
      <x:c r="M351" s="13" t="str">
        <x:v>Use the main Mercedes page for broad repair, service, garage and specialist wording.</x:v>
      </x:c>
      <x:c r="N351" s="13" t="n">
        <x:v>348</x:v>
      </x:c>
    </x:row>
    <x:row r="352" ht="65" customHeight="1">
      <x:c r="A352" s="13" t="str">
        <x:v>mercedes vin decoder dubai</x:v>
      </x:c>
      <x:c r="B352" s="17" t="n">
        <x:v>0</x:v>
      </x:c>
      <x:c r="C352" s="17" t="n">
        <x:v>1</x:v>
      </x:c>
      <x:c r="D352" s="18" t="n">
        <x:v>0</x:v>
      </x:c>
      <x:c r="E352" s="19" t="n">
        <x:v>65</x:v>
      </x:c>
      <x:c r="F352" s="13" t="str">
        <x:v>General repair and workshop</x:v>
      </x:c>
      <x:c r="G352" s="13" t="str">
        <x:v>HUB</x:v>
      </x:c>
      <x:c r="H352" s="13" t="str">
        <x:v>https://digitecme.com/brands/mercedes-benz-service-dubai</x:v>
      </x:c>
      <x:c r="I352" s="13" t="str">
        <x:v>Workshop and booking</x:v>
      </x:c>
      <x:c r="J352" s="13" t="str">
        <x:v>Hold</x:v>
      </x:c>
      <x:c r="K352" s="13" t="str">
        <x:f>IF(J352="Hold","Hold",IF(J352="Conditional","Conditional",IF(E352&lt;='Sources'!$B$5,"Protect",IF(AND(E352&lt;='Sources'!$B$7,C352&gt;='Sources'!$B$6),"P1",IF(OR(E352&lt;='Sources'!$B$7,C352&gt;='Sources'!$B$8),"P2","P3")))))</x:f>
        <x:v>Hold</x:v>
      </x:c>
      <x:c r="L352" s="16" t="str">
        <x:f>IF(J352="Hold","",MAX(0,E352-'Sources'!$B$5))</x:f>
      </x:c>
      <x:c r="M352" s="13" t="str">
        <x:v>Product, tool or service capability is not established by this export/site review. Confirm an actual matching offering before targeting; URL is a related alternative only.</x:v>
      </x:c>
      <x:c r="N352" s="13" t="n">
        <x:v>349</x:v>
      </x:c>
    </x:row>
    <x:row r="353" ht="65" customHeight="1">
      <x:c r="A353" s="13" t="str">
        <x:v>approved mercedes service centres near me</x:v>
      </x:c>
      <x:c r="B353" s="17" t="n">
        <x:v>0</x:v>
      </x:c>
      <x:c r="C353" s="17" t="n">
        <x:v>1</x:v>
      </x:c>
      <x:c r="D353" s="18" t="n">
        <x:v>0</x:v>
      </x:c>
      <x:c r="E353" s="19" t="n">
        <x:v>66</x:v>
      </x:c>
      <x:c r="F353" s="13" t="str">
        <x:v>Scheduled service and maintenance</x:v>
      </x:c>
      <x:c r="G353" s="13" t="str">
        <x:v>HUB</x:v>
      </x:c>
      <x:c r="H353" s="13" t="str">
        <x:v>https://digitecme.com/brands/mercedes-benz-service-dubai</x:v>
      </x:c>
      <x:c r="I353" s="13" t="str">
        <x:v>Service A/B and minor/major scope</x:v>
      </x:c>
      <x:c r="J353" s="13" t="str">
        <x:v>Hold</x:v>
      </x:c>
      <x:c r="K353" s="13" t="str">
        <x:f>IF(J353="Hold","Hold",IF(J353="Conditional","Conditional",IF(E353&lt;='Sources'!$B$5,"Protect",IF(AND(E353&lt;='Sources'!$B$7,C353&gt;='Sources'!$B$6),"P1",IF(OR(E353&lt;='Sources'!$B$7,C353&gt;='Sources'!$B$8),"P2","P3")))))</x:f>
        <x:v>Hold</x:v>
      </x:c>
      <x:c r="L353" s="16" t="str">
        <x:f>IF(J353="Hold","",MAX(0,E353-'Sources'!$B$5))</x:f>
      </x:c>
      <x:c r="M353" s="13" t="str">
        <x:v>Official/dealer or certification intent. Digi-Tec is positioned as independent; do not optimize by implying unverified authorization. URL is a related alternative only.</x:v>
      </x:c>
      <x:c r="N353" s="13" t="n">
        <x:v>350</x:v>
      </x:c>
    </x:row>
    <x:row r="354" ht="65" customHeight="1">
      <x:c r="A354" s="13" t="str">
        <x:v>body shop for mercedes</x:v>
      </x:c>
      <x:c r="B354" s="17" t="n">
        <x:v>0</x:v>
      </x:c>
      <x:c r="C354" s="17" t="n">
        <x:v>1</x:v>
      </x:c>
      <x:c r="D354" s="18" t="n">
        <x:v>0</x:v>
      </x:c>
      <x:c r="E354" s="19" t="n">
        <x:v>67</x:v>
      </x:c>
      <x:c r="F354" s="13" t="str">
        <x:v>Body repair</x:v>
      </x:c>
      <x:c r="G354" s="13" t="str">
        <x:v>BODY</x:v>
      </x:c>
      <x:c r="H354" s="13" t="str">
        <x:v>https://digitecme.com/services/mercedes-body-repair-dubai</x:v>
      </x:c>
      <x:c r="I354" s="13" t="str">
        <x:v>Body shop and paintwork scope</x:v>
      </x:c>
      <x:c r="J354" s="13" t="str">
        <x:v>Relevant</x:v>
      </x:c>
      <x:c r="K354" s="13" t="str">
        <x:f>IF(J354="Hold","Hold",IF(J354="Conditional","Conditional",IF(E354&lt;='Sources'!$B$5,"Protect",IF(AND(E354&lt;='Sources'!$B$7,C354&gt;='Sources'!$B$6),"P1",IF(OR(E354&lt;='Sources'!$B$7,C354&gt;='Sources'!$B$8),"P2","P3")))))</x:f>
        <x:v>P3</x:v>
      </x:c>
      <x:c r="L354" s="16" t="n">
        <x:f>IF(J354="Hold","",MAX(0,E354-'Sources'!$B$5))</x:f>
        <x:v>62</x:v>
      </x:c>
      <x:c r="M354" s="13" t="str">
        <x:v>Show original repair evidence and genuine workshop capability.</x:v>
      </x:c>
      <x:c r="N354" s="13" t="n">
        <x:v>351</x:v>
      </x:c>
    </x:row>
    <x:row r="355" ht="65" customHeight="1">
      <x:c r="A355" s="13" t="str">
        <x:v>best mercedes repair near me</x:v>
      </x:c>
      <x:c r="B355" s="17" t="n">
        <x:v>0</x:v>
      </x:c>
      <x:c r="C355" s="17" t="n">
        <x:v>1</x:v>
      </x:c>
      <x:c r="D355" s="18" t="n">
        <x:v>0</x:v>
      </x:c>
      <x:c r="E355" s="19" t="n">
        <x:v>75</x:v>
      </x:c>
      <x:c r="F355" s="13" t="str">
        <x:v>General repair and workshop</x:v>
      </x:c>
      <x:c r="G355" s="13" t="str">
        <x:v>HUB</x:v>
      </x:c>
      <x:c r="H355" s="13" t="str">
        <x:v>https://digitecme.com/brands/mercedes-benz-service-dubai</x:v>
      </x:c>
      <x:c r="I355" s="13" t="str">
        <x:v>Workshop and booking</x:v>
      </x:c>
      <x:c r="J355" s="13" t="str">
        <x:v>Relevant</x:v>
      </x:c>
      <x:c r="K355" s="13" t="str">
        <x:f>IF(J355="Hold","Hold",IF(J355="Conditional","Conditional",IF(E355&lt;='Sources'!$B$5,"Protect",IF(AND(E355&lt;='Sources'!$B$7,C355&gt;='Sources'!$B$6),"P1",IF(OR(E355&lt;='Sources'!$B$7,C355&gt;='Sources'!$B$8),"P2","P3")))))</x:f>
        <x:v>P3</x:v>
      </x:c>
      <x:c r="L355" s="16" t="n">
        <x:f>IF(J355="Hold","",MAX(0,E355-'Sources'!$B$5))</x:f>
        <x:v>70</x:v>
      </x:c>
      <x:c r="M355" s="13" t="str">
        <x:v>Use the main Mercedes page for broad repair, service, garage and specialist wording. Include accurate Al Quoz location and Business Profile links; proximity varies by searcher.</x:v>
      </x:c>
      <x:c r="N355" s="13" t="n">
        <x:v>352</x:v>
      </x:c>
    </x:row>
    <x:row r="356" ht="65" customHeight="1">
      <x:c r="A356" s="13" t="str">
        <x:v>who fix mercedes benz near me</x:v>
      </x:c>
      <x:c r="B356" s="17" t="n">
        <x:v>0</x:v>
      </x:c>
      <x:c r="C356" s="17" t="n">
        <x:v>1</x:v>
      </x:c>
      <x:c r="D356" s="18" t="n">
        <x:v>0</x:v>
      </x:c>
      <x:c r="E356" s="19" t="n">
        <x:v>85</x:v>
      </x:c>
      <x:c r="F356" s="13" t="str">
        <x:v>General repair and workshop</x:v>
      </x:c>
      <x:c r="G356" s="13" t="str">
        <x:v>HUB</x:v>
      </x:c>
      <x:c r="H356" s="13" t="str">
        <x:v>https://digitecme.com/brands/mercedes-benz-service-dubai</x:v>
      </x:c>
      <x:c r="I356" s="13" t="str">
        <x:v>Workshop and booking</x:v>
      </x:c>
      <x:c r="J356" s="13" t="str">
        <x:v>Relevant</x:v>
      </x:c>
      <x:c r="K356" s="13" t="str">
        <x:f>IF(J356="Hold","Hold",IF(J356="Conditional","Conditional",IF(E356&lt;='Sources'!$B$5,"Protect",IF(AND(E356&lt;='Sources'!$B$7,C356&gt;='Sources'!$B$6),"P1",IF(OR(E356&lt;='Sources'!$B$7,C356&gt;='Sources'!$B$8),"P2","P3")))))</x:f>
        <x:v>P3</x:v>
      </x:c>
      <x:c r="L356" s="16" t="n">
        <x:f>IF(J356="Hold","",MAX(0,E356-'Sources'!$B$5))</x:f>
        <x:v>80</x:v>
      </x:c>
      <x:c r="M356" s="13" t="str">
        <x:v>Use the main Mercedes page for broad repair, service, garage and specialist wording. Include accurate Al Quoz location and Business Profile links; proximity varies by searcher.</x:v>
      </x:c>
      <x:c r="N356" s="13" t="n">
        <x:v>353</x:v>
      </x:c>
    </x:row>
    <x:row r="357" ht="65" customHeight="1">
      <x:c r="A357" s="13" t="str">
        <x:v>service dedicat mercedes</x:v>
      </x:c>
      <x:c r="B357" s="17" t="n">
        <x:v>0</x:v>
      </x:c>
      <x:c r="C357" s="17" t="n">
        <x:v>1</x:v>
      </x:c>
      <x:c r="D357" s="18" t="n">
        <x:v>0</x:v>
      </x:c>
      <x:c r="E357" s="19" t="n">
        <x:v>97</x:v>
      </x:c>
      <x:c r="F357" s="13" t="str">
        <x:v>Scheduled service and maintenance</x:v>
      </x:c>
      <x:c r="G357" s="13" t="str">
        <x:v>HUB</x:v>
      </x:c>
      <x:c r="H357" s="13" t="str">
        <x:v>https://digitecme.com/brands/mercedes-benz-service-dubai</x:v>
      </x:c>
      <x:c r="I357" s="13" t="str">
        <x:v>Service A/B and minor/major scope</x:v>
      </x:c>
      <x:c r="J357" s="13" t="str">
        <x:v>Relevant</x:v>
      </x:c>
      <x:c r="K357" s="13" t="str">
        <x:f>IF(J357="Hold","Hold",IF(J357="Conditional","Conditional",IF(E357&lt;='Sources'!$B$5,"Protect",IF(AND(E357&lt;='Sources'!$B$7,C357&gt;='Sources'!$B$6),"P1",IF(OR(E357&lt;='Sources'!$B$7,C357&gt;='Sources'!$B$8),"P2","P3")))))</x:f>
        <x:v>P3</x:v>
      </x:c>
      <x:c r="L357" s="16" t="n">
        <x:f>IF(J357="Hold","",MAX(0,E357-'Sources'!$B$5))</x:f>
        <x:v>92</x:v>
      </x:c>
      <x:c r="M357" s="13" t="str">
        <x:v>Use one service booking destination; explain scope and link oil-only work and informational schedules separately.</x:v>
      </x:c>
      <x:c r="N357" s="13" t="n">
        <x:v>354</x:v>
      </x:c>
    </x:row>
  </x:sheetData>
  <x:conditionalFormatting sqref="E5:E357">
    <x:cfRule type="cellIs" dxfId="0" priority="1" operator="lessThanOrEqual">
      <x:formula>5</x:formula>
    </x:cfRule>
  </x:conditionalFormatting>
  <x:conditionalFormatting sqref="J5:J357">
    <x:cfRule type="containsText" dxfId="1" priority="2" operator="containsText" text="Conditional"/>
  </x:conditionalFormatting>
  <x:pageMargins left="0.7" right="0.7" top="0.75" bottom="0.75" header="0.3" footer="0.3"/>
  <x:tableParts count="1">
    <x:tablePart xmlns:r="http://schemas.openxmlformats.org/officeDocument/2006/relationships" r:id="Rd9d41e197da241b8"/>
  </x:tableParts>
</x:worksheet>
</file>

<file path=xl/worksheets/sheet3.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3" hidden="0" customWidth="1"/>
    <x:col min="2" max="2" width="40" hidden="0" customWidth="1"/>
    <x:col min="3" max="3" width="17" hidden="0" customWidth="1"/>
    <x:col min="4" max="4" width="15" hidden="0" customWidth="1"/>
    <x:col min="5" max="5" width="17" hidden="0" customWidth="1"/>
    <x:col min="6" max="6" width="16" hidden="0" customWidth="1"/>
    <x:col min="7" max="7" width="19" hidden="0" customWidth="1"/>
    <x:col min="8" max="8" width="72" hidden="0" customWidth="1"/>
    <x:col min="9" max="9" width="40" hidden="0" customWidth="1"/>
  </x:cols>
  <x:sheetData>
    <x:row r="1" ht="30" customHeight="1">
      <x:c r="A1" s="3" t="str">
        <x:v>Mercedes page priorities</x:v>
      </x:c>
      <x:c r="B1" s="2"/>
      <x:c r="C1" s="2"/>
      <x:c r="D1" s="2"/>
      <x:c r="E1" s="2"/>
      <x:c r="F1" s="2"/>
      <x:c r="G1" s="2"/>
      <x:c r="H1" s="2"/>
      <x:c r="I1" s="2"/>
    </x:row>
    <x:row r="2" ht="25" customHeight="1">
      <x:c r="A2" s="5" t="str">
        <x:v>31 destinations and briefs | Metrics aggregate assigned queries, not measured traffic to these pages</x:v>
      </x:c>
      <x:c r="B2" s="4"/>
      <x:c r="C2" s="4"/>
      <x:c r="D2" s="4"/>
      <x:c r="E2" s="4"/>
      <x:c r="F2" s="4"/>
      <x:c r="G2" s="4"/>
      <x:c r="H2" s="4"/>
      <x:c r="I2" s="4"/>
    </x:row>
    <x:row r="3">
      <x:c r="A3" s="2"/>
      <x:c r="B3" s="2"/>
      <x:c r="C3" s="2"/>
      <x:c r="D3" s="2"/>
      <x:c r="E3" s="2"/>
      <x:c r="F3" s="2"/>
      <x:c r="G3" s="2"/>
      <x:c r="H3" s="2"/>
      <x:c r="I3" s="2"/>
    </x:row>
    <x:row r="4" ht="34" customHeight="1">
      <x:c r="A4" s="10" t="str">
        <x:v>Page ID</x:v>
      </x:c>
      <x:c r="B4" s="11" t="str">
        <x:v>Page / topic</x:v>
      </x:c>
      <x:c r="C4" s="11" t="str">
        <x:v>Page priority</x:v>
      </x:c>
      <x:c r="D4" s="11" t="str">
        <x:v>Mapped queries</x:v>
      </x:c>
      <x:c r="E4" s="11" t="str">
        <x:v>Mapped impressions</x:v>
      </x:c>
      <x:c r="F4" s="11" t="str">
        <x:v>Mapped clicks</x:v>
      </x:c>
      <x:c r="G4" s="11" t="str">
        <x:v>Weighted query position</x:v>
      </x:c>
      <x:c r="H4" s="11" t="str">
        <x:v>Recommended URL</x:v>
      </x:c>
      <x:c r="I4" s="12" t="str">
        <x:v>Page status</x:v>
      </x:c>
    </x:row>
    <x:row r="5" ht="48" customHeight="1">
      <x:c r="A5" s="13" t="str">
        <x:v>HUB</x:v>
      </x:c>
      <x:c r="B5" s="13" t="str">
        <x:v>Mercedes repair, service and workshop</x:v>
      </x:c>
      <x:c r="C5" s="13" t="str">
        <x:v>P1</x:v>
      </x:c>
      <x:c r="D5" s="14" t="n">
        <x:f>COUNTIF('Query map'!$G$5:$G$357,A5)</x:f>
        <x:v>192</x:v>
      </x:c>
      <x:c r="E5" s="14" t="n">
        <x:f>SUMIF('Query map'!$G$5:$G$357,A5,'Query map'!$C$5:$C$357)</x:f>
        <x:v>7374</x:v>
      </x:c>
      <x:c r="F5" s="14" t="n">
        <x:f>SUMIF('Query map'!$G$5:$G$357,A5,'Query map'!$B$5:$B$357)</x:f>
        <x:v>15</x:v>
      </x:c>
      <x:c r="G5" s="16" t="n">
        <x:f>IF(E5=0,"",SUMPRODUCT(('Query map'!$G$5:$G$357=A5)*'Query map'!$C$5:$C$357*'Query map'!$E$5:$E$357)/E5)</x:f>
        <x:v>16.432318958502847</x:v>
      </x:c>
      <x:c r="H5" s="13" t="str">
        <x:v>https://digitecme.com/brands/mercedes-benz-service-dubai</x:v>
      </x:c>
      <x:c r="I5" s="13" t="str">
        <x:v>Existing page</x:v>
      </x:c>
    </x:row>
    <x:row r="6" ht="48" customHeight="1">
      <x:c r="A6" s="13" t="str">
        <x:v>ENGINE</x:v>
      </x:c>
      <x:c r="B6" s="13" t="str">
        <x:v>Engine repair</x:v>
      </x:c>
      <x:c r="C6" s="13" t="str">
        <x:v>P1</x:v>
      </x:c>
      <x:c r="D6" s="14" t="n">
        <x:f>COUNTIF('Query map'!$G$5:$G$357,A6)</x:f>
        <x:v>3</x:v>
      </x:c>
      <x:c r="E6" s="14" t="n">
        <x:f>SUMIF('Query map'!$G$5:$G$357,A6,'Query map'!$C$5:$C$357)</x:f>
        <x:v>406</x:v>
      </x:c>
      <x:c r="F6" s="14" t="n">
        <x:f>SUMIF('Query map'!$G$5:$G$357,A6,'Query map'!$B$5:$B$357)</x:f>
        <x:v>0</x:v>
      </x:c>
      <x:c r="G6" s="16" t="n">
        <x:f>IF(E6=0,"",SUMPRODUCT(('Query map'!$G$5:$G$357=A6)*'Query map'!$C$5:$C$357*'Query map'!$E$5:$E$357)/E6)</x:f>
        <x:v>38.92485221674877</x:v>
      </x:c>
      <x:c r="H6" s="13" t="str">
        <x:v>https://digitecme.com/services/mercedes-mechanical-repair-dubai</x:v>
      </x:c>
      <x:c r="I6" s="13" t="str">
        <x:v>Existing page</x:v>
      </x:c>
    </x:row>
    <x:row r="7" ht="48" customHeight="1">
      <x:c r="A7" s="13" t="str">
        <x:v>SUSP</x:v>
      </x:c>
      <x:c r="B7" s="13" t="str">
        <x:v>Suspension and AIRMATIC</x:v>
      </x:c>
      <x:c r="C7" s="13" t="str">
        <x:v>P1</x:v>
      </x:c>
      <x:c r="D7" s="14" t="n">
        <x:f>COUNTIF('Query map'!$G$5:$G$357,A7)</x:f>
        <x:v>2</x:v>
      </x:c>
      <x:c r="E7" s="14" t="n">
        <x:f>SUMIF('Query map'!$G$5:$G$357,A7,'Query map'!$C$5:$C$357)</x:f>
        <x:v>363</x:v>
      </x:c>
      <x:c r="F7" s="14" t="n">
        <x:f>SUMIF('Query map'!$G$5:$G$357,A7,'Query map'!$B$5:$B$357)</x:f>
        <x:v>0</x:v>
      </x:c>
      <x:c r="G7" s="16" t="n">
        <x:f>IF(E7=0,"",SUMPRODUCT(('Query map'!$G$5:$G$357=A7)*'Query map'!$C$5:$C$357*'Query map'!$E$5:$E$357)/E7)</x:f>
        <x:v>20.679944903581266</x:v>
      </x:c>
      <x:c r="H7" s="13" t="str">
        <x:v>https://digitecme.com/services/mercedes-suspension-repair-dubai</x:v>
      </x:c>
      <x:c r="I7" s="13" t="str">
        <x:v>Existing page</x:v>
      </x:c>
    </x:row>
    <x:row r="8" ht="48" customHeight="1">
      <x:c r="A8" s="13" t="str">
        <x:v>OIL</x:v>
      </x:c>
      <x:c r="B8" s="13" t="str">
        <x:v>Oil change</x:v>
      </x:c>
      <x:c r="C8" s="13" t="str">
        <x:v>P1</x:v>
      </x:c>
      <x:c r="D8" s="14" t="n">
        <x:f>COUNTIF('Query map'!$G$5:$G$357,A8)</x:f>
        <x:v>13</x:v>
      </x:c>
      <x:c r="E8" s="14" t="n">
        <x:f>SUMIF('Query map'!$G$5:$G$357,A8,'Query map'!$C$5:$C$357)</x:f>
        <x:v>345</x:v>
      </x:c>
      <x:c r="F8" s="14" t="n">
        <x:f>SUMIF('Query map'!$G$5:$G$357,A8,'Query map'!$B$5:$B$357)</x:f>
        <x:v>0</x:v>
      </x:c>
      <x:c r="G8" s="16" t="n">
        <x:f>IF(E8=0,"",SUMPRODUCT(('Query map'!$G$5:$G$357=A8)*'Query map'!$C$5:$C$357*'Query map'!$E$5:$E$357)/E8)</x:f>
        <x:v>19.207797101449273</x:v>
      </x:c>
      <x:c r="H8" s="13" t="str">
        <x:v>https://digitecme.com/services/mercedes-oil-change-dubai</x:v>
      </x:c>
      <x:c r="I8" s="13" t="str">
        <x:v>Existing page</x:v>
      </x:c>
    </x:row>
    <x:row r="9" ht="48" customHeight="1">
      <x:c r="A9" s="13" t="str">
        <x:v>TRANS</x:v>
      </x:c>
      <x:c r="B9" s="13" t="str">
        <x:v>Transmission and gearbox</x:v>
      </x:c>
      <x:c r="C9" s="13" t="str">
        <x:v>P1</x:v>
      </x:c>
      <x:c r="D9" s="14" t="n">
        <x:f>COUNTIF('Query map'!$G$5:$G$357,A9)</x:f>
        <x:v>8</x:v>
      </x:c>
      <x:c r="E9" s="14" t="n">
        <x:f>SUMIF('Query map'!$G$5:$G$357,A9,'Query map'!$C$5:$C$357)</x:f>
        <x:v>297</x:v>
      </x:c>
      <x:c r="F9" s="14" t="n">
        <x:f>SUMIF('Query map'!$G$5:$G$357,A9,'Query map'!$B$5:$B$357)</x:f>
        <x:v>2</x:v>
      </x:c>
      <x:c r="G9" s="16" t="n">
        <x:f>IF(E9=0,"",SUMPRODUCT(('Query map'!$G$5:$G$357=A9)*'Query map'!$C$5:$C$357*'Query map'!$E$5:$E$357)/E9)</x:f>
        <x:v>31.4213468013468</x:v>
      </x:c>
      <x:c r="H9" s="13" t="str">
        <x:v>https://digitecme.com/services/mercedes-transmission-repair-dubai</x:v>
      </x:c>
      <x:c r="I9" s="13" t="str">
        <x:v>Existing page</x:v>
      </x:c>
    </x:row>
    <x:row r="10" ht="48" customHeight="1">
      <x:c r="A10" s="13" t="str">
        <x:v>TUNE</x:v>
      </x:c>
      <x:c r="B10" s="13" t="str">
        <x:v>Mercedes and GAD tuning</x:v>
      </x:c>
      <x:c r="C10" s="13" t="str">
        <x:v>P1</x:v>
      </x:c>
      <x:c r="D10" s="14" t="n">
        <x:f>COUNTIF('Query map'!$G$5:$G$357,A10)</x:f>
        <x:v>28</x:v>
      </x:c>
      <x:c r="E10" s="14" t="n">
        <x:f>SUMIF('Query map'!$G$5:$G$357,A10,'Query map'!$C$5:$C$357)</x:f>
        <x:v>279</x:v>
      </x:c>
      <x:c r="F10" s="14" t="n">
        <x:f>SUMIF('Query map'!$G$5:$G$357,A10,'Query map'!$B$5:$B$357)</x:f>
        <x:v>1</x:v>
      </x:c>
      <x:c r="G10" s="16" t="n">
        <x:f>IF(E10=0,"",SUMPRODUCT(('Query map'!$G$5:$G$357=A10)*'Query map'!$C$5:$C$357*'Query map'!$E$5:$E$357)/E10)</x:f>
        <x:v>12.73548387096774</x:v>
      </x:c>
      <x:c r="H10" s="13" t="str">
        <x:v>https://digitecme.com/tuning</x:v>
      </x:c>
      <x:c r="I10" s="13" t="str">
        <x:v>Existing page</x:v>
      </x:c>
    </x:row>
    <x:row r="11" ht="48" customHeight="1">
      <x:c r="A11" s="13" t="str">
        <x:v>AC</x:v>
      </x:c>
      <x:c r="B11" s="13" t="str">
        <x:v>Air-conditioning repair</x:v>
      </x:c>
      <x:c r="C11" s="13" t="str">
        <x:v>P1</x:v>
      </x:c>
      <x:c r="D11" s="14" t="n">
        <x:f>COUNTIF('Query map'!$G$5:$G$357,A11)</x:f>
        <x:v>11</x:v>
      </x:c>
      <x:c r="E11" s="14" t="n">
        <x:f>SUMIF('Query map'!$G$5:$G$357,A11,'Query map'!$C$5:$C$357)</x:f>
        <x:v>238</x:v>
      </x:c>
      <x:c r="F11" s="14" t="n">
        <x:f>SUMIF('Query map'!$G$5:$G$357,A11,'Query map'!$B$5:$B$357)</x:f>
        <x:v>1</x:v>
      </x:c>
      <x:c r="G11" s="16" t="n">
        <x:f>IF(E11=0,"",SUMPRODUCT(('Query map'!$G$5:$G$357=A11)*'Query map'!$C$5:$C$357*'Query map'!$E$5:$E$357)/E11)</x:f>
        <x:v>22.25126050420168</x:v>
      </x:c>
      <x:c r="H11" s="13" t="str">
        <x:v>https://digitecme.com/services/mercedes-ac-repair-dubai</x:v>
      </x:c>
      <x:c r="I11" s="13" t="str">
        <x:v>Existing page</x:v>
      </x:c>
    </x:row>
    <x:row r="12" ht="48" customHeight="1">
      <x:c r="A12" s="13" t="str">
        <x:v>BATTERY</x:v>
      </x:c>
      <x:c r="B12" s="13" t="str">
        <x:v>Battery replacement</x:v>
      </x:c>
      <x:c r="C12" s="13" t="str">
        <x:v>P1</x:v>
      </x:c>
      <x:c r="D12" s="14" t="n">
        <x:f>COUNTIF('Query map'!$G$5:$G$357,A12)</x:f>
        <x:v>6</x:v>
      </x:c>
      <x:c r="E12" s="14" t="n">
        <x:f>SUMIF('Query map'!$G$5:$G$357,A12,'Query map'!$C$5:$C$357)</x:f>
        <x:v>155</x:v>
      </x:c>
      <x:c r="F12" s="14" t="n">
        <x:f>SUMIF('Query map'!$G$5:$G$357,A12,'Query map'!$B$5:$B$357)</x:f>
        <x:v>0</x:v>
      </x:c>
      <x:c r="G12" s="16" t="n">
        <x:f>IF(E12=0,"",SUMPRODUCT(('Query map'!$G$5:$G$357=A12)*'Query map'!$C$5:$C$357*'Query map'!$E$5:$E$357)/E12)</x:f>
        <x:v>20.168129032258065</x:v>
      </x:c>
      <x:c r="H12" s="13" t="str">
        <x:v>https://digitecme.com/services/mercedes-battery-replacement-dubai</x:v>
      </x:c>
      <x:c r="I12" s="13" t="str">
        <x:v>Existing page</x:v>
      </x:c>
    </x:row>
    <x:row r="13" ht="48" customHeight="1">
      <x:c r="A13" s="13" t="str">
        <x:v>BRAKES</x:v>
      </x:c>
      <x:c r="B13" s="13" t="str">
        <x:v>Brake repair and service</x:v>
      </x:c>
      <x:c r="C13" s="13" t="str">
        <x:v>P1</x:v>
      </x:c>
      <x:c r="D13" s="14" t="n">
        <x:f>COUNTIF('Query map'!$G$5:$G$357,A13)</x:f>
        <x:v>5</x:v>
      </x:c>
      <x:c r="E13" s="14" t="n">
        <x:f>SUMIF('Query map'!$G$5:$G$357,A13,'Query map'!$C$5:$C$357)</x:f>
        <x:v>119</x:v>
      </x:c>
      <x:c r="F13" s="14" t="n">
        <x:f>SUMIF('Query map'!$G$5:$G$357,A13,'Query map'!$B$5:$B$357)</x:f>
        <x:v>0</x:v>
      </x:c>
      <x:c r="G13" s="16" t="n">
        <x:f>IF(E13=0,"",SUMPRODUCT(('Query map'!$G$5:$G$357=A13)*'Query map'!$C$5:$C$357*'Query map'!$E$5:$E$357)/E13)</x:f>
        <x:v>33.571680672268904</x:v>
      </x:c>
      <x:c r="H13" s="13" t="str">
        <x:v>https://digitecme.com/services/mercedes-brake-repair-dubai</x:v>
      </x:c>
      <x:c r="I13" s="13" t="str">
        <x:v>Existing page</x:v>
      </x:c>
    </x:row>
    <x:row r="14" ht="48" customHeight="1">
      <x:c r="A14" s="13" t="str">
        <x:v>DIAG</x:v>
      </x:c>
      <x:c r="B14" s="13" t="str">
        <x:v>Diagnostics, coding and programming</x:v>
      </x:c>
      <x:c r="C14" s="13" t="str">
        <x:v>P2</x:v>
      </x:c>
      <x:c r="D14" s="14" t="n">
        <x:f>COUNTIF('Query map'!$G$5:$G$357,A14)</x:f>
        <x:v>17</x:v>
      </x:c>
      <x:c r="E14" s="14" t="n">
        <x:f>SUMIF('Query map'!$G$5:$G$357,A14,'Query map'!$C$5:$C$357)</x:f>
        <x:v>226</x:v>
      </x:c>
      <x:c r="F14" s="14" t="n">
        <x:f>SUMIF('Query map'!$G$5:$G$357,A14,'Query map'!$B$5:$B$357)</x:f>
        <x:v>0</x:v>
      </x:c>
      <x:c r="G14" s="16" t="n">
        <x:f>IF(E14=0,"",SUMPRODUCT(('Query map'!$G$5:$G$357=A14)*'Query map'!$C$5:$C$357*'Query map'!$E$5:$E$357)/E14)</x:f>
        <x:v>42.42026548672566</x:v>
      </x:c>
      <x:c r="H14" s="13" t="str">
        <x:v>https://digitecme.com/services/mercedes-diagnostics-dubai</x:v>
      </x:c>
      <x:c r="I14" s="13" t="str">
        <x:v>Existing page</x:v>
      </x:c>
    </x:row>
    <x:row r="15" ht="48" customHeight="1">
      <x:c r="A15" s="13" t="str">
        <x:v>BODY</x:v>
      </x:c>
      <x:c r="B15" s="13" t="str">
        <x:v>Body repair and body shop</x:v>
      </x:c>
      <x:c r="C15" s="13" t="str">
        <x:v>P2</x:v>
      </x:c>
      <x:c r="D15" s="14" t="n">
        <x:f>COUNTIF('Query map'!$G$5:$G$357,A15)</x:f>
        <x:v>13</x:v>
      </x:c>
      <x:c r="E15" s="14" t="n">
        <x:f>SUMIF('Query map'!$G$5:$G$357,A15,'Query map'!$C$5:$C$357)</x:f>
        <x:v>165</x:v>
      </x:c>
      <x:c r="F15" s="14" t="n">
        <x:f>SUMIF('Query map'!$G$5:$G$357,A15,'Query map'!$B$5:$B$357)</x:f>
        <x:v>0</x:v>
      </x:c>
      <x:c r="G15" s="16" t="n">
        <x:f>IF(E15=0,"",SUMPRODUCT(('Query map'!$G$5:$G$357=A15)*'Query map'!$C$5:$C$357*'Query map'!$E$5:$E$357)/E15)</x:f>
        <x:v>39.07303030303031</x:v>
      </x:c>
      <x:c r="H15" s="13" t="str">
        <x:v>https://digitecme.com/services/mercedes-body-repair-dubai</x:v>
      </x:c>
      <x:c r="I15" s="13" t="str">
        <x:v>Existing page</x:v>
      </x:c>
    </x:row>
    <x:row r="16" ht="48" customHeight="1">
      <x:c r="A16" s="13" t="str">
        <x:v>ELEC</x:v>
      </x:c>
      <x:c r="B16" s="13" t="str">
        <x:v>Electrical and ECU fault repair</x:v>
      </x:c>
      <x:c r="C16" s="13" t="str">
        <x:v>P2</x:v>
      </x:c>
      <x:c r="D16" s="14" t="n">
        <x:f>COUNTIF('Query map'!$G$5:$G$357,A16)</x:f>
        <x:v>6</x:v>
      </x:c>
      <x:c r="E16" s="14" t="n">
        <x:f>SUMIF('Query map'!$G$5:$G$357,A16,'Query map'!$C$5:$C$357)</x:f>
        <x:v>32</x:v>
      </x:c>
      <x:c r="F16" s="14" t="n">
        <x:f>SUMIF('Query map'!$G$5:$G$357,A16,'Query map'!$B$5:$B$357)</x:f>
        <x:v>0</x:v>
      </x:c>
      <x:c r="G16" s="16" t="n">
        <x:f>IF(E16=0,"",SUMPRODUCT(('Query map'!$G$5:$G$357=A16)*'Query map'!$C$5:$C$357*'Query map'!$E$5:$E$357)/E16)</x:f>
        <x:v>24.6884375</x:v>
      </x:c>
      <x:c r="H16" s="13" t="str">
        <x:v>https://digitecme.com/services/mercedes-electrical-repair-dubai</x:v>
      </x:c>
      <x:c r="I16" s="13" t="str">
        <x:v>Existing page</x:v>
      </x:c>
    </x:row>
    <x:row r="17" ht="48" customHeight="1">
      <x:c r="A17" s="13" t="str">
        <x:v>CCLASS</x:v>
      </x:c>
      <x:c r="B17" s="13" t="str">
        <x:v>Mercedes C-Class</x:v>
      </x:c>
      <x:c r="C17" s="13" t="str">
        <x:v>P2</x:v>
      </x:c>
      <x:c r="D17" s="14" t="n">
        <x:f>COUNTIF('Query map'!$G$5:$G$357,A17)</x:f>
        <x:v>6</x:v>
      </x:c>
      <x:c r="E17" s="14" t="n">
        <x:f>SUMIF('Query map'!$G$5:$G$357,A17,'Query map'!$C$5:$C$357)</x:f>
        <x:v>25</x:v>
      </x:c>
      <x:c r="F17" s="14" t="n">
        <x:f>SUMIF('Query map'!$G$5:$G$357,A17,'Query map'!$B$5:$B$357)</x:f>
        <x:v>0</x:v>
      </x:c>
      <x:c r="G17" s="16" t="n">
        <x:f>IF(E17=0,"",SUMPRODUCT(('Query map'!$G$5:$G$357=A17)*'Query map'!$C$5:$C$357*'Query map'!$E$5:$E$357)/E17)</x:f>
        <x:v>10.159600000000001</x:v>
      </x:c>
      <x:c r="H17" s="13" t="str">
        <x:v>https://digitecme.com/blog/mercedes-c-class-service-dubai-guide</x:v>
      </x:c>
      <x:c r="I17" s="13" t="str">
        <x:v>Existing page</x:v>
      </x:c>
    </x:row>
    <x:row r="18" ht="48" customHeight="1">
      <x:c r="A18" s="13" t="str">
        <x:v>GLE</x:v>
      </x:c>
      <x:c r="B18" s="13" t="str">
        <x:v>Mercedes GLE</x:v>
      </x:c>
      <x:c r="C18" s="13" t="str">
        <x:v>P2</x:v>
      </x:c>
      <x:c r="D18" s="14" t="n">
        <x:f>COUNTIF('Query map'!$G$5:$G$357,A18)</x:f>
        <x:v>6</x:v>
      </x:c>
      <x:c r="E18" s="14" t="n">
        <x:f>SUMIF('Query map'!$G$5:$G$357,A18,'Query map'!$C$5:$C$357)</x:f>
        <x:v>22</x:v>
      </x:c>
      <x:c r="F18" s="14" t="n">
        <x:f>SUMIF('Query map'!$G$5:$G$357,A18,'Query map'!$B$5:$B$357)</x:f>
        <x:v>0</x:v>
      </x:c>
      <x:c r="G18" s="16" t="n">
        <x:f>IF(E18=0,"",SUMPRODUCT(('Query map'!$G$5:$G$357=A18)*'Query map'!$C$5:$C$357*'Query map'!$E$5:$E$357)/E18)</x:f>
        <x:v>15.317727272727273</x:v>
      </x:c>
      <x:c r="H18" s="13" t="str">
        <x:v>https://digitecme.com/mercedes/models/gle-service-repair-dubai</x:v>
      </x:c>
      <x:c r="I18" s="13" t="str">
        <x:v>Existing page</x:v>
      </x:c>
    </x:row>
    <x:row r="19" ht="48" customHeight="1">
      <x:c r="A19" s="13" t="str">
        <x:v>STEER</x:v>
      </x:c>
      <x:c r="B19" s="13" t="str">
        <x:v>Steering repair</x:v>
      </x:c>
      <x:c r="C19" s="13" t="str">
        <x:v>P2</x:v>
      </x:c>
      <x:c r="D19" s="14" t="n">
        <x:f>COUNTIF('Query map'!$G$5:$G$357,A19)</x:f>
        <x:v>1</x:v>
      </x:c>
      <x:c r="E19" s="14" t="n">
        <x:f>SUMIF('Query map'!$G$5:$G$357,A19,'Query map'!$C$5:$C$357)</x:f>
        <x:v>18</x:v>
      </x:c>
      <x:c r="F19" s="14" t="n">
        <x:f>SUMIF('Query map'!$G$5:$G$357,A19,'Query map'!$B$5:$B$357)</x:f>
        <x:v>0</x:v>
      </x:c>
      <x:c r="G19" s="16" t="n">
        <x:f>IF(E19=0,"",SUMPRODUCT(('Query map'!$G$5:$G$357=A19)*'Query map'!$C$5:$C$357*'Query map'!$E$5:$E$357)/E19)</x:f>
        <x:v>9.72</x:v>
      </x:c>
      <x:c r="H19" s="13" t="str">
        <x:v>https://digitecme.com/services/mercedes-steering-repair-dubai</x:v>
      </x:c>
      <x:c r="I19" s="13" t="str">
        <x:v>Existing page</x:v>
      </x:c>
    </x:row>
    <x:row r="20" ht="48" customHeight="1">
      <x:c r="A20" s="13" t="str">
        <x:v>EXHAUST</x:v>
      </x:c>
      <x:c r="B20" s="13" t="str">
        <x:v>Exhaust repair</x:v>
      </x:c>
      <x:c r="C20" s="13" t="str">
        <x:v>P2</x:v>
      </x:c>
      <x:c r="D20" s="14" t="n">
        <x:f>COUNTIF('Query map'!$G$5:$G$357,A20)</x:f>
        <x:v>1</x:v>
      </x:c>
      <x:c r="E20" s="14" t="n">
        <x:f>SUMIF('Query map'!$G$5:$G$357,A20,'Query map'!$C$5:$C$357)</x:f>
        <x:v>14</x:v>
      </x:c>
      <x:c r="F20" s="14" t="n">
        <x:f>SUMIF('Query map'!$G$5:$G$357,A20,'Query map'!$B$5:$B$357)</x:f>
        <x:v>0</x:v>
      </x:c>
      <x:c r="G20" s="16" t="n">
        <x:f>IF(E20=0,"",SUMPRODUCT(('Query map'!$G$5:$G$357=A20)*'Query map'!$C$5:$C$357*'Query map'!$E$5:$E$357)/E20)</x:f>
        <x:v>6.5</x:v>
      </x:c>
      <x:c r="H20" s="13" t="str">
        <x:v>https://digitecme.com/services/mercedes-exhaust-repair-dubai</x:v>
      </x:c>
      <x:c r="I20" s="13" t="str">
        <x:v>Existing page</x:v>
      </x:c>
    </x:row>
    <x:row r="21" ht="48" customHeight="1">
      <x:c r="A21" s="13" t="str">
        <x:v>GCLASS</x:v>
      </x:c>
      <x:c r="B21" s="13" t="str">
        <x:v>Mercedes G-Class</x:v>
      </x:c>
      <x:c r="C21" s="13" t="str">
        <x:v>P2</x:v>
      </x:c>
      <x:c r="D21" s="14" t="n">
        <x:f>COUNTIF('Query map'!$G$5:$G$357,A21)</x:f>
        <x:v>2</x:v>
      </x:c>
      <x:c r="E21" s="14" t="n">
        <x:f>SUMIF('Query map'!$G$5:$G$357,A21,'Query map'!$C$5:$C$357)</x:f>
        <x:v>13</x:v>
      </x:c>
      <x:c r="F21" s="14" t="n">
        <x:f>SUMIF('Query map'!$G$5:$G$357,A21,'Query map'!$B$5:$B$357)</x:f>
        <x:v>0</x:v>
      </x:c>
      <x:c r="G21" s="16" t="n">
        <x:f>IF(E21=0,"",SUMPRODUCT(('Query map'!$G$5:$G$357=A21)*'Query map'!$C$5:$C$357*'Query map'!$E$5:$E$357)/E21)</x:f>
        <x:v>9.76923076923077</x:v>
      </x:c>
      <x:c r="H21" s="13" t="str">
        <x:v>https://digitecme.com/mercedes/models/g-class-service-repair-dubai</x:v>
      </x:c>
      <x:c r="I21" s="13" t="str">
        <x:v>Existing page</x:v>
      </x:c>
    </x:row>
    <x:row r="22" ht="48" customHeight="1">
      <x:c r="A22" s="13" t="str">
        <x:v>GLS</x:v>
      </x:c>
      <x:c r="B22" s="13" t="str">
        <x:v>Mercedes GLS</x:v>
      </x:c>
      <x:c r="C22" s="13" t="str">
        <x:v>P2</x:v>
      </x:c>
      <x:c r="D22" s="14" t="n">
        <x:f>COUNTIF('Query map'!$G$5:$G$357,A22)</x:f>
        <x:v>3</x:v>
      </x:c>
      <x:c r="E22" s="14" t="n">
        <x:f>SUMIF('Query map'!$G$5:$G$357,A22,'Query map'!$C$5:$C$357)</x:f>
        <x:v>11</x:v>
      </x:c>
      <x:c r="F22" s="14" t="n">
        <x:f>SUMIF('Query map'!$G$5:$G$357,A22,'Query map'!$B$5:$B$357)</x:f>
        <x:v>0</x:v>
      </x:c>
      <x:c r="G22" s="16" t="n">
        <x:f>IF(E22=0,"",SUMPRODUCT(('Query map'!$G$5:$G$357=A22)*'Query map'!$C$5:$C$357*'Query map'!$E$5:$E$357)/E22)</x:f>
        <x:v>11.545454545454545</x:v>
      </x:c>
      <x:c r="H22" s="13" t="str">
        <x:v>https://digitecme.com/mercedes/models/gls-service-repair-dubai</x:v>
      </x:c>
      <x:c r="I22" s="13" t="str">
        <x:v>Existing page</x:v>
      </x:c>
    </x:row>
    <x:row r="23" ht="48" customHeight="1">
      <x:c r="A23" s="13" t="str">
        <x:v>G63</x:v>
      </x:c>
      <x:c r="B23" s="13" t="str">
        <x:v>Mercedes-AMG G63</x:v>
      </x:c>
      <x:c r="C23" s="13" t="str">
        <x:v>P2</x:v>
      </x:c>
      <x:c r="D23" s="14" t="n">
        <x:f>COUNTIF('Query map'!$G$5:$G$357,A23)</x:f>
        <x:v>1</x:v>
      </x:c>
      <x:c r="E23" s="14" t="n">
        <x:f>SUMIF('Query map'!$G$5:$G$357,A23,'Query map'!$C$5:$C$357)</x:f>
        <x:v>9</x:v>
      </x:c>
      <x:c r="F23" s="14" t="n">
        <x:f>SUMIF('Query map'!$G$5:$G$357,A23,'Query map'!$B$5:$B$357)</x:f>
        <x:v>0</x:v>
      </x:c>
      <x:c r="G23" s="16" t="n">
        <x:f>IF(E23=0,"",SUMPRODUCT(('Query map'!$G$5:$G$357=A23)*'Query map'!$C$5:$C$357*'Query map'!$E$5:$E$357)/E23)</x:f>
        <x:v>7.559999999999999</x:v>
      </x:c>
      <x:c r="H23" s="13" t="str">
        <x:v>https://digitecme.com/blog/mercedes-g63-service-dubai-guide</x:v>
      </x:c>
      <x:c r="I23" s="13" t="str">
        <x:v>Existing page</x:v>
      </x:c>
    </x:row>
    <x:row r="24" ht="48" customHeight="1">
      <x:c r="A24" s="13" t="str">
        <x:v>C63</x:v>
      </x:c>
      <x:c r="B24" s="13" t="str">
        <x:v>Mercedes-AMG C63</x:v>
      </x:c>
      <x:c r="C24" s="13" t="str">
        <x:v>P2</x:v>
      </x:c>
      <x:c r="D24" s="14" t="n">
        <x:f>COUNTIF('Query map'!$G$5:$G$357,A24)</x:f>
        <x:v>2</x:v>
      </x:c>
      <x:c r="E24" s="14" t="n">
        <x:f>SUMIF('Query map'!$G$5:$G$357,A24,'Query map'!$C$5:$C$357)</x:f>
        <x:v>8</x:v>
      </x:c>
      <x:c r="F24" s="14" t="n">
        <x:f>SUMIF('Query map'!$G$5:$G$357,A24,'Query map'!$B$5:$B$357)</x:f>
        <x:v>0</x:v>
      </x:c>
      <x:c r="G24" s="16" t="n">
        <x:f>IF(E24=0,"",SUMPRODUCT(('Query map'!$G$5:$G$357=A24)*'Query map'!$C$5:$C$357*'Query map'!$E$5:$E$357)/E24)</x:f>
        <x:v>12</x:v>
      </x:c>
      <x:c r="H24" s="13" t="str">
        <x:v>https://digitecme.com/mercedes/models/c63-service-repair-dubai</x:v>
      </x:c>
      <x:c r="I24" s="13" t="str">
        <x:v>Existing page</x:v>
      </x:c>
    </x:row>
    <x:row r="25" ht="48" customHeight="1">
      <x:c r="A25" s="13" t="str">
        <x:v>ECLASS</x:v>
      </x:c>
      <x:c r="B25" s="13" t="str">
        <x:v>Mercedes E-Class</x:v>
      </x:c>
      <x:c r="C25" s="13" t="str">
        <x:v>Protect</x:v>
      </x:c>
      <x:c r="D25" s="14" t="n">
        <x:f>COUNTIF('Query map'!$G$5:$G$357,A25)</x:f>
        <x:v>8</x:v>
      </x:c>
      <x:c r="E25" s="14" t="n">
        <x:f>SUMIF('Query map'!$G$5:$G$357,A25,'Query map'!$C$5:$C$357)</x:f>
        <x:v>39</x:v>
      </x:c>
      <x:c r="F25" s="14" t="n">
        <x:f>SUMIF('Query map'!$G$5:$G$357,A25,'Query map'!$B$5:$B$357)</x:f>
        <x:v>0</x:v>
      </x:c>
      <x:c r="G25" s="16" t="n">
        <x:f>IF(E25=0,"",SUMPRODUCT(('Query map'!$G$5:$G$357=A25)*'Query map'!$C$5:$C$357*'Query map'!$E$5:$E$357)/E25)</x:f>
        <x:v>7.258461538461538</x:v>
      </x:c>
      <x:c r="H25" s="13" t="str">
        <x:v>https://digitecme.com/blog/mercedes-e-class-service-dubai-guide</x:v>
      </x:c>
      <x:c r="I25" s="13" t="str">
        <x:v>Existing page</x:v>
      </x:c>
    </x:row>
    <x:row r="26" ht="48" customHeight="1">
      <x:c r="A26" s="13" t="str">
        <x:v>SCLASS</x:v>
      </x:c>
      <x:c r="B26" s="13" t="str">
        <x:v>Mercedes S-Class</x:v>
      </x:c>
      <x:c r="C26" s="13" t="str">
        <x:v>Protect</x:v>
      </x:c>
      <x:c r="D26" s="14" t="n">
        <x:f>COUNTIF('Query map'!$G$5:$G$357,A26)</x:f>
        <x:v>4</x:v>
      </x:c>
      <x:c r="E26" s="14" t="n">
        <x:f>SUMIF('Query map'!$G$5:$G$357,A26,'Query map'!$C$5:$C$357)</x:f>
        <x:v>19</x:v>
      </x:c>
      <x:c r="F26" s="14" t="n">
        <x:f>SUMIF('Query map'!$G$5:$G$357,A26,'Query map'!$B$5:$B$357)</x:f>
        <x:v>0</x:v>
      </x:c>
      <x:c r="G26" s="16" t="n">
        <x:f>IF(E26=0,"",SUMPRODUCT(('Query map'!$G$5:$G$357=A26)*'Query map'!$C$5:$C$357*'Query map'!$E$5:$E$357)/E26)</x:f>
        <x:v>10.208421052631579</x:v>
      </x:c>
      <x:c r="H26" s="13" t="str">
        <x:v>https://digitecme.com/blog/mercedes-s-class-service-dubai-guide</x:v>
      </x:c>
      <x:c r="I26" s="13" t="str">
        <x:v>Existing page</x:v>
      </x:c>
    </x:row>
    <x:row r="27" ht="48" customHeight="1">
      <x:c r="A27" s="13" t="str">
        <x:v>S63</x:v>
      </x:c>
      <x:c r="B27" s="13" t="str">
        <x:v>Mercedes-AMG S63</x:v>
      </x:c>
      <x:c r="C27" s="13" t="str">
        <x:v>Protect</x:v>
      </x:c>
      <x:c r="D27" s="14" t="n">
        <x:f>COUNTIF('Query map'!$G$5:$G$357,A27)</x:f>
        <x:v>2</x:v>
      </x:c>
      <x:c r="E27" s="14" t="n">
        <x:f>SUMIF('Query map'!$G$5:$G$357,A27,'Query map'!$C$5:$C$357)</x:f>
        <x:v>11</x:v>
      </x:c>
      <x:c r="F27" s="14" t="n">
        <x:f>SUMIF('Query map'!$G$5:$G$357,A27,'Query map'!$B$5:$B$357)</x:f>
        <x:v>0</x:v>
      </x:c>
      <x:c r="G27" s="16" t="n">
        <x:f>IF(E27=0,"",SUMPRODUCT(('Query map'!$G$5:$G$357=A27)*'Query map'!$C$5:$C$357*'Query map'!$E$5:$E$357)/E27)</x:f>
        <x:v>9.18090909090909</x:v>
      </x:c>
      <x:c r="H27" s="13" t="str">
        <x:v>https://digitecme.com/mercedes/models/s63-service-repair-dubai</x:v>
      </x:c>
      <x:c r="I27" s="13" t="str">
        <x:v>Existing page</x:v>
      </x:c>
    </x:row>
    <x:row r="28" ht="48" customHeight="1">
      <x:c r="A28" s="13" t="str">
        <x:v>E63</x:v>
      </x:c>
      <x:c r="B28" s="13" t="str">
        <x:v>Mercedes-AMG E63</x:v>
      </x:c>
      <x:c r="C28" s="13" t="str">
        <x:v>Protect</x:v>
      </x:c>
      <x:c r="D28" s="14" t="n">
        <x:f>COUNTIF('Query map'!$G$5:$G$357,A28)</x:f>
        <x:v>1</x:v>
      </x:c>
      <x:c r="E28" s="14" t="n">
        <x:f>SUMIF('Query map'!$G$5:$G$357,A28,'Query map'!$C$5:$C$357)</x:f>
        <x:v>3</x:v>
      </x:c>
      <x:c r="F28" s="14" t="n">
        <x:f>SUMIF('Query map'!$G$5:$G$357,A28,'Query map'!$B$5:$B$357)</x:f>
        <x:v>0</x:v>
      </x:c>
      <x:c r="G28" s="16" t="n">
        <x:f>IF(E28=0,"",SUMPRODUCT(('Query map'!$G$5:$G$357=A28)*'Query map'!$C$5:$C$357*'Query map'!$E$5:$E$357)/E28)</x:f>
        <x:v>4.67</x:v>
      </x:c>
      <x:c r="H28" s="13" t="str">
        <x:v>https://digitecme.com/mercedes/models/e63-service-repair-dubai</x:v>
      </x:c>
      <x:c r="I28" s="13" t="str">
        <x:v>Existing page</x:v>
      </x:c>
    </x:row>
    <x:row r="29" ht="48" customHeight="1">
      <x:c r="A29" s="13" t="str">
        <x:v>INTERVAL</x:v>
      </x:c>
      <x:c r="B29" s="13" t="str">
        <x:v>Service schedule and codes</x:v>
      </x:c>
      <x:c r="C29" s="13" t="str">
        <x:v>P3</x:v>
      </x:c>
      <x:c r="D29" s="14" t="n">
        <x:f>COUNTIF('Query map'!$G$5:$G$357,A29)</x:f>
        <x:v>4</x:v>
      </x:c>
      <x:c r="E29" s="14" t="n">
        <x:f>SUMIF('Query map'!$G$5:$G$357,A29,'Query map'!$C$5:$C$357)</x:f>
        <x:v>10</x:v>
      </x:c>
      <x:c r="F29" s="14" t="n">
        <x:f>SUMIF('Query map'!$G$5:$G$357,A29,'Query map'!$B$5:$B$357)</x:f>
        <x:v>0</x:v>
      </x:c>
      <x:c r="G29" s="16" t="n">
        <x:f>IF(E29=0,"",SUMPRODUCT(('Query map'!$G$5:$G$357=A29)*'Query map'!$C$5:$C$357*'Query map'!$E$5:$E$357)/E29)</x:f>
        <x:v>10.4</x:v>
      </x:c>
      <x:c r="H29" s="13" t="str">
        <x:v>https://digitecme.com/blog/mercedes-service-intervals-dubai-heat</x:v>
      </x:c>
      <x:c r="I29" s="13" t="str">
        <x:v>Existing page</x:v>
      </x:c>
    </x:row>
    <x:row r="30" ht="48" customHeight="1">
      <x:c r="A30" s="13" t="str">
        <x:v>PPF</x:v>
      </x:c>
      <x:c r="B30" s="13" t="str">
        <x:v>Mercedes paint protection</x:v>
      </x:c>
      <x:c r="C30" s="13" t="str">
        <x:v>P3</x:v>
      </x:c>
      <x:c r="D30" s="14" t="n">
        <x:f>COUNTIF('Query map'!$G$5:$G$357,A30)</x:f>
        <x:v>1</x:v>
      </x:c>
      <x:c r="E30" s="14" t="n">
        <x:f>SUMIF('Query map'!$G$5:$G$357,A30,'Query map'!$C$5:$C$357)</x:f>
        <x:v>7</x:v>
      </x:c>
      <x:c r="F30" s="14" t="n">
        <x:f>SUMIF('Query map'!$G$5:$G$357,A30,'Query map'!$B$5:$B$357)</x:f>
        <x:v>0</x:v>
      </x:c>
      <x:c r="G30" s="16" t="n">
        <x:f>IF(E30=0,"",SUMPRODUCT(('Query map'!$G$5:$G$357=A30)*'Query map'!$C$5:$C$357*'Query map'!$E$5:$E$357)/E30)</x:f>
        <x:v>31.140000000000004</x:v>
      </x:c>
      <x:c r="H30" s="13" t="str">
        <x:v>https://digitecme.com/services/paint-protection-film</x:v>
      </x:c>
      <x:c r="I30" s="13" t="str">
        <x:v>Existing page</x:v>
      </x:c>
    </x:row>
    <x:row r="31" ht="48" customHeight="1">
      <x:c r="A31" s="13" t="str">
        <x:v>MAYBACH</x:v>
      </x:c>
      <x:c r="B31" s="13" t="str">
        <x:v>Mercedes-Maybach</x:v>
      </x:c>
      <x:c r="C31" s="13" t="str">
        <x:v>P3</x:v>
      </x:c>
      <x:c r="D31" s="14" t="n">
        <x:f>COUNTIF('Query map'!$G$5:$G$357,A31)</x:f>
        <x:v>1</x:v>
      </x:c>
      <x:c r="E31" s="14" t="n">
        <x:f>SUMIF('Query map'!$G$5:$G$357,A31,'Query map'!$C$5:$C$357)</x:f>
        <x:v>5</x:v>
      </x:c>
      <x:c r="F31" s="14" t="n">
        <x:f>SUMIF('Query map'!$G$5:$G$357,A31,'Query map'!$B$5:$B$357)</x:f>
        <x:v>0</x:v>
      </x:c>
      <x:c r="G31" s="16" t="n">
        <x:f>IF(E31=0,"",SUMPRODUCT(('Query map'!$G$5:$G$357=A31)*'Query map'!$C$5:$C$357*'Query map'!$E$5:$E$357)/E31)</x:f>
        <x:v>22</x:v>
      </x:c>
      <x:c r="H31" s="13" t="str">
        <x:v>https://digitecme.com/brands/maybach-service-dubai</x:v>
      </x:c>
      <x:c r="I31" s="13" t="str">
        <x:v>Existing page</x:v>
      </x:c>
    </x:row>
    <x:row r="32" ht="48" customHeight="1">
      <x:c r="A32" s="13" t="str">
        <x:v>AR</x:v>
      </x:c>
      <x:c r="B32" s="13" t="str">
        <x:v>Arabic Mercedes repair</x:v>
      </x:c>
      <x:c r="C32" s="13" t="str">
        <x:v>P3</x:v>
      </x:c>
      <x:c r="D32" s="14" t="n">
        <x:f>COUNTIF('Query map'!$G$5:$G$357,A32)</x:f>
        <x:v>1</x:v>
      </x:c>
      <x:c r="E32" s="14" t="n">
        <x:f>SUMIF('Query map'!$G$5:$G$357,A32,'Query map'!$C$5:$C$357)</x:f>
        <x:v>5</x:v>
      </x:c>
      <x:c r="F32" s="14" t="n">
        <x:f>SUMIF('Query map'!$G$5:$G$357,A32,'Query map'!$B$5:$B$357)</x:f>
        <x:v>0</x:v>
      </x:c>
      <x:c r="G32" s="16" t="n">
        <x:f>IF(E32=0,"",SUMPRODUCT(('Query map'!$G$5:$G$357=A32)*'Query map'!$C$5:$C$357*'Query map'!$E$5:$E$357)/E32)</x:f>
        <x:v>21.8</x:v>
      </x:c>
      <x:c r="H32" s="13" t="str">
        <x:v>https://digitecme.com/ar/brands/mercedes-benz-service-dubai</x:v>
      </x:c>
      <x:c r="I32" s="13" t="str">
        <x:v>Existing page</x:v>
      </x:c>
    </x:row>
    <x:row r="33" ht="48" customHeight="1">
      <x:c r="A33" s="13" t="str">
        <x:v>COST</x:v>
      </x:c>
      <x:c r="B33" s="13" t="str">
        <x:v>Service cost guide</x:v>
      </x:c>
      <x:c r="C33" s="13" t="str">
        <x:v>P3</x:v>
      </x:c>
      <x:c r="D33" s="14" t="n">
        <x:f>COUNTIF('Query map'!$G$5:$G$357,A33)</x:f>
        <x:v>1</x:v>
      </x:c>
      <x:c r="E33" s="14" t="n">
        <x:f>SUMIF('Query map'!$G$5:$G$357,A33,'Query map'!$C$5:$C$357)</x:f>
        <x:v>2</x:v>
      </x:c>
      <x:c r="F33" s="14" t="n">
        <x:f>SUMIF('Query map'!$G$5:$G$357,A33,'Query map'!$B$5:$B$357)</x:f>
        <x:v>0</x:v>
      </x:c>
      <x:c r="G33" s="16" t="n">
        <x:f>IF(E33=0,"",SUMPRODUCT(('Query map'!$G$5:$G$357=A33)*'Query map'!$C$5:$C$357*'Query map'!$E$5:$E$357)/E33)</x:f>
        <x:v>28</x:v>
      </x:c>
      <x:c r="H33" s="13" t="str">
        <x:v>https://digitecme.com/blog/mercedes-service-cost-dubai-guide</x:v>
      </x:c>
      <x:c r="I33" s="13" t="str">
        <x:v>Existing page</x:v>
      </x:c>
    </x:row>
    <x:row r="34" ht="48" customHeight="1">
      <x:c r="A34" s="13" t="str">
        <x:v>OWNERSHIP</x:v>
      </x:c>
      <x:c r="B34" s="13" t="str">
        <x:v>Ownership and Gulf reliability</x:v>
      </x:c>
      <x:c r="C34" s="13" t="str">
        <x:v>P3</x:v>
      </x:c>
      <x:c r="D34" s="14" t="n">
        <x:f>COUNTIF('Query map'!$G$5:$G$357,A34)</x:f>
        <x:v>1</x:v>
      </x:c>
      <x:c r="E34" s="14" t="n">
        <x:f>SUMIF('Query map'!$G$5:$G$357,A34,'Query map'!$C$5:$C$357)</x:f>
        <x:v>2</x:v>
      </x:c>
      <x:c r="F34" s="14" t="n">
        <x:f>SUMIF('Query map'!$G$5:$G$357,A34,'Query map'!$B$5:$B$357)</x:f>
        <x:v>0</x:v>
      </x:c>
      <x:c r="G34" s="16" t="n">
        <x:f>IF(E34=0,"",SUMPRODUCT(('Query map'!$G$5:$G$357=A34)*'Query map'!$C$5:$C$357*'Query map'!$E$5:$E$357)/E34)</x:f>
        <x:v>5</x:v>
      </x:c>
      <x:c r="H34" s="13" t="str">
        <x:v>https://digitecme.com/blog/mercedes-benz-maintenance-guide-dubai</x:v>
      </x:c>
      <x:c r="I34" s="13" t="str">
        <x:v>Existing page</x:v>
      </x:c>
    </x:row>
    <x:row r="35" ht="48" customHeight="1">
      <x:c r="A35" s="13" t="str">
        <x:v>AUDIO</x:v>
      </x:c>
      <x:c r="B35" s="13" t="str">
        <x:v>Audio and stereo upgrades</x:v>
      </x:c>
      <x:c r="C35" s="13" t="str">
        <x:v>Conditional</x:v>
      </x:c>
      <x:c r="D35" s="14" t="n">
        <x:f>COUNTIF('Query map'!$G$5:$G$357,A35)</x:f>
        <x:v>3</x:v>
      </x:c>
      <x:c r="E35" s="14" t="n">
        <x:f>SUMIF('Query map'!$G$5:$G$357,A35,'Query map'!$C$5:$C$357)</x:f>
        <x:v>375</x:v>
      </x:c>
      <x:c r="F35" s="14" t="n">
        <x:f>SUMIF('Query map'!$G$5:$G$357,A35,'Query map'!$B$5:$B$357)</x:f>
        <x:v>0</x:v>
      </x:c>
      <x:c r="G35" s="16" t="n">
        <x:f>IF(E35=0,"",SUMPRODUCT(('Query map'!$G$5:$G$357=A35)*'Query map'!$C$5:$C$357*'Query map'!$E$5:$E$357)/E35)</x:f>
        <x:v>57.83210666666667</x:v>
      </x:c>
      <x:c r="H35" s="13" t="str">
        <x:v>https://digitecme.com/services/mercedes-audio-upgrade-dubai</x:v>
      </x:c>
      <x:c r="I35" s="13" t="str">
        <x:v>Proposed only if service confirmed</x:v>
      </x:c>
    </x:row>
  </x:sheetData>
  <x:pageMargins left="0.7" right="0.7" top="0.75" bottom="0.75" header="0.3" footer="0.3"/>
  <x:tableParts count="1">
    <x:tablePart xmlns:r="http://schemas.openxmlformats.org/officeDocument/2006/relationships" r:id="R7f4451678f224caf"/>
  </x:tableParts>
</x:worksheet>
</file>

<file path=xl/worksheets/sheet4.xml><?xml version="1.0" encoding="utf-8"?>
<x:worksheet xmlns:x="http://schemas.openxmlformats.org/spreadsheetml/2006/main">
  <x:sheetViews>
    <x:sheetView showGridLines="0" workbookViewId="0"/>
  </x:sheetViews>
  <x:sheetFormatPr defaultRowHeight="15"/>
  <x:cols>
    <x:col min="1" max="1" width="25" hidden="0" customWidth="1"/>
    <x:col min="2" max="2" width="125" hidden="0" customWidth="1"/>
  </x:cols>
  <x:sheetData>
    <x:row r="1" ht="30" customHeight="1">
      <x:c r="A1" s="3" t="str">
        <x:v>Mercedes page content briefs</x:v>
      </x:c>
      <x:c r="B1" s="2"/>
    </x:row>
    <x:row r="2" ht="25" customHeight="1">
      <x:c r="A2" s="5" t="str">
        <x:v>Proposed changes for review | Existing URLs retained except the conditional audio page | Nothing implemented</x:v>
      </x:c>
      <x:c r="B2" s="4"/>
    </x:row>
    <x:row r="3">
      <x:c r="A3" s="2"/>
      <x:c r="B3" s="2"/>
    </x:row>
    <x:row r="4" ht="30" customHeight="1">
      <x:c r="A4" s="20" t="str">
        <x:v>HUB</x:v>
      </x:c>
      <x:c r="B4" s="20" t="str">
        <x:v>Mercedes repair, service and workshop</x:v>
      </x:c>
    </x:row>
    <x:row r="5" ht="32" customHeight="1">
      <x:c r="A5" s="21" t="str">
        <x:v>Target URL</x:v>
      </x:c>
      <x:c r="B5" s="13" t="str">
        <x:v>https://digitecme.com/brands/mercedes-benz-service-dubai</x:v>
      </x:c>
    </x:row>
    <x:row r="6" ht="34" customHeight="1">
      <x:c r="A6" s="21" t="str">
        <x:v>Current live title</x:v>
      </x:c>
      <x:c r="B6" s="13" t="str">
        <x:v>Mercedes Repair &amp; Service Dubai | Digi-Tec Specialists</x:v>
      </x:c>
    </x:row>
    <x:row r="7" ht="34" customHeight="1">
      <x:c r="A7" s="21" t="str">
        <x:v>Suggested title</x:v>
      </x:c>
      <x:c r="B7" s="13" t="str">
        <x:v>Mercedes Repair &amp; Service Dubai | Digi-Tec Specialists</x:v>
      </x:c>
    </x:row>
    <x:row r="8" ht="34" customHeight="1">
      <x:c r="A8" s="21" t="str">
        <x:v>Suggested H1</x:v>
      </x:c>
      <x:c r="B8" s="13" t="str">
        <x:v>Mercedes-Benz Repair &amp; Service Dubai</x:v>
      </x:c>
    </x:row>
    <x:row r="9" ht="110" customHeight="1">
      <x:c r="A9" s="21" t="str">
        <x:v>Content changes</x:v>
      </x:c>
      <x:c r="B9" s="13" t="str">
        <x:v>Keep the existing title, H1 and URL. Repair the legacy URL routing first. Retain Service A/B and workshop process sections. Add a useful minor/major service comparison with inclusions, exclusions and quote inputs; add verified model coverage for the long-tail families without separate pages for every variant. Make workshop directions, phone, hours and booking easy to find. Publish real repair evidence with customer permission.</x:v>
      </x:c>
    </x:row>
    <x:row r="10" ht="90" customHeight="1">
      <x:c r="A10" s="21" t="str">
        <x:v>Internal links</x:v>
      </x:c>
      <x:c r="B10" s="13" t="str">
        <x:v>Link to engine, suspension, transmission, oil, AC, battery, diagnostics and model pages with service-specific anchors. These pages link back to this hub.</x:v>
      </x:c>
    </x:row>
    <x:row r="11" ht="70" customHeight="1">
      <x:c r="A11" s="21" t="str">
        <x:v>Evidence / conditions</x:v>
      </x:c>
      <x:c r="B11" s="13" t="str">
        <x:v>Existing page already has substantial content and real workshop imagery; inspect the last 28 days before rewriting. Generic repair/service/garage terms share this primary destination.</x:v>
      </x:c>
    </x:row>
    <x:row r="12" ht="65" customHeight="1">
      <x:c r="A12" s="21" t="str">
        <x:v>Example queries</x:v>
      </x:c>
      <x:c r="B12" s="13" t="str">
        <x:v>mercedes repair dubai; mercedes repair; mercedes service dubai; mercedes workshop dubai</x:v>
      </x:c>
    </x:row>
    <x:row r="13">
      <x:c r="A13" s="2"/>
      <x:c r="B13" s="2"/>
    </x:row>
    <x:row r="14" ht="30" customHeight="1">
      <x:c r="A14" s="20" t="str">
        <x:v>ENGINE</x:v>
      </x:c>
      <x:c r="B14" s="20" t="str">
        <x:v>Engine repair</x:v>
      </x:c>
    </x:row>
    <x:row r="15" ht="32" customHeight="1">
      <x:c r="A15" s="21" t="str">
        <x:v>Target URL</x:v>
      </x:c>
      <x:c r="B15" s="13" t="str">
        <x:v>https://digitecme.com/services/mercedes-mechanical-repair-dubai</x:v>
      </x:c>
    </x:row>
    <x:row r="16" ht="34" customHeight="1">
      <x:c r="A16" s="21" t="str">
        <x:v>Current live title</x:v>
      </x:c>
      <x:c r="B16" s="13" t="str">
        <x:v>Mercedes-Benz Mechanical Repair Dubai | Digi-Tec</x:v>
      </x:c>
    </x:row>
    <x:row r="17" ht="34" customHeight="1">
      <x:c r="A17" s="21" t="str">
        <x:v>Suggested title</x:v>
      </x:c>
      <x:c r="B17" s="13" t="str">
        <x:v>Mercedes Engine &amp; Mechanical Repair Dubai | Digi-Tec</x:v>
      </x:c>
    </x:row>
    <x:row r="18" ht="34" customHeight="1">
      <x:c r="A18" s="21" t="str">
        <x:v>Suggested H1</x:v>
      </x:c>
      <x:c r="B18" s="13" t="str">
        <x:v>Mercedes Engine &amp; Mechanical Repair in Dubai</x:v>
      </x:c>
    </x:row>
    <x:row r="19" ht="110" customHeight="1">
      <x:c r="A19" s="21" t="str">
        <x:v>Content changes</x:v>
      </x:c>
      <x:c r="B19" s="13" t="str">
        <x:v>Lead with engine diagnosis, overheating, leaks, misfires, mounts and repair-versus-replacement assessment. Match engine-family examples to real jobs and include a documented engine repair. Reduce broad gearbox targeting; link gearbox enquiries to the transmission page.</x:v>
      </x:c>
    </x:row>
    <x:row r="20" ht="90" customHeight="1">
      <x:c r="A20" s="21" t="str">
        <x:v>Internal links</x:v>
      </x:c>
      <x:c r="B20" s="13" t="str">
        <x:v>https://digitecme.com/mercedes/problems/oil-leak
https://digitecme.com/mercedes/problems/engine-overheating</x:v>
      </x:c>
    </x:row>
    <x:row r="21" ht="70" customHeight="1">
      <x:c r="A21" s="21" t="str">
        <x:v>Evidence / conditions</x:v>
      </x:c>
      <x:c r="B21" s="13" t="str">
        <x:v>Live title says Mechanical Repair while the two engine-repair queries account for 405 impressions.</x:v>
      </x:c>
    </x:row>
    <x:row r="22" ht="65" customHeight="1">
      <x:c r="A22" s="21" t="str">
        <x:v>Example queries</x:v>
      </x:c>
      <x:c r="B22" s="13" t="str">
        <x:v>mercedes engine repair; mercedes engine repair dubai; mercedes engine service</x:v>
      </x:c>
    </x:row>
    <x:row r="23">
      <x:c r="A23" s="2"/>
      <x:c r="B23" s="2"/>
    </x:row>
    <x:row r="24" ht="30" customHeight="1">
      <x:c r="A24" s="20" t="str">
        <x:v>SUSP</x:v>
      </x:c>
      <x:c r="B24" s="20" t="str">
        <x:v>Suspension and AIRMATIC</x:v>
      </x:c>
    </x:row>
    <x:row r="25" ht="32" customHeight="1">
      <x:c r="A25" s="21" t="str">
        <x:v>Target URL</x:v>
      </x:c>
      <x:c r="B25" s="13" t="str">
        <x:v>https://digitecme.com/services/mercedes-suspension-repair-dubai</x:v>
      </x:c>
    </x:row>
    <x:row r="26" ht="34" customHeight="1">
      <x:c r="A26" s="21" t="str">
        <x:v>Current live title</x:v>
      </x:c>
      <x:c r="B26" s="13" t="str">
        <x:v>Mercedes-Benz Suspension Repair Dubai | Digi-Tec</x:v>
      </x:c>
    </x:row>
    <x:row r="27" ht="34" customHeight="1">
      <x:c r="A27" s="21" t="str">
        <x:v>Suggested title</x:v>
      </x:c>
      <x:c r="B27" s="13" t="str">
        <x:v>Mercedes Suspension &amp; AIRMATIC Repair Dubai | Digi-Tec</x:v>
      </x:c>
    </x:row>
    <x:row r="28" ht="34" customHeight="1">
      <x:c r="A28" s="21" t="str">
        <x:v>Suggested H1</x:v>
      </x:c>
      <x:c r="B28" s="13" t="str">
        <x:v>Mercedes Suspension &amp; AIRMATIC Repair in Dubai</x:v>
      </x:c>
    </x:row>
    <x:row r="29" ht="110" customHeight="1">
      <x:c r="A29" s="21" t="str">
        <x:v>Content changes</x:v>
      </x:c>
      <x:c r="B29" s="13" t="str">
        <x:v>Explain the leak/pressure/ride-height diagnostic process, compressor and valve-block checks, coil versus air systems and what an estimate includes. Add a real before/after ride-height repair record. Keep symptom guides informational.</x:v>
      </x:c>
    </x:row>
    <x:row r="30" ht="90" customHeight="1">
      <x:c r="A30" s="21" t="str">
        <x:v>Internal links</x:v>
      </x:c>
      <x:c r="B30" s="13" t="str">
        <x:v>https://digitecme.com/mercedes/problems/airmatic-malfunction
https://digitecme.com/mercedes/problems/suspension-dropping-overnight</x:v>
      </x:c>
    </x:row>
    <x:row r="31" ht="70" customHeight="1">
      <x:c r="A31" s="21" t="str">
        <x:v>Evidence / conditions</x:v>
      </x:c>
      <x:c r="B31" s="13" t="str">
        <x:v>Two suspension queries account for 363 impressions; generic and legacy suspension URLs also appear in the export.</x:v>
      </x:c>
    </x:row>
    <x:row r="32" ht="65" customHeight="1">
      <x:c r="A32" s="21" t="str">
        <x:v>Example queries</x:v>
      </x:c>
      <x:c r="B32" s="13" t="str">
        <x:v>mercedes suspension repair dubai; mercedes suspension repair</x:v>
      </x:c>
    </x:row>
    <x:row r="33">
      <x:c r="A33" s="2"/>
      <x:c r="B33" s="2"/>
    </x:row>
    <x:row r="34" ht="30" customHeight="1">
      <x:c r="A34" s="20" t="str">
        <x:v>OIL</x:v>
      </x:c>
      <x:c r="B34" s="20" t="str">
        <x:v>Oil change</x:v>
      </x:c>
    </x:row>
    <x:row r="35" ht="32" customHeight="1">
      <x:c r="A35" s="21" t="str">
        <x:v>Target URL</x:v>
      </x:c>
      <x:c r="B35" s="13" t="str">
        <x:v>https://digitecme.com/services/mercedes-oil-change-dubai</x:v>
      </x:c>
    </x:row>
    <x:row r="36" ht="34" customHeight="1">
      <x:c r="A36" s="21" t="str">
        <x:v>Current live title</x:v>
      </x:c>
      <x:c r="B36" s="13" t="str">
        <x:v>Mercedes-Benz Oil Change Dubai | Digi-Tec</x:v>
      </x:c>
    </x:row>
    <x:row r="37" ht="34" customHeight="1">
      <x:c r="A37" s="21" t="str">
        <x:v>Suggested title</x:v>
      </x:c>
      <x:c r="B37" s="13" t="str">
        <x:v>Mercedes Oil Change Dubai | Service &amp; Filter | Digi-Tec</x:v>
      </x:c>
    </x:row>
    <x:row r="38" ht="34" customHeight="1">
      <x:c r="A38" s="21" t="str">
        <x:v>Suggested H1</x:v>
      </x:c>
      <x:c r="B38" s="13" t="str">
        <x:v>Mercedes Oil Change in Dubai</x:v>
      </x:c>
    </x:row>
    <x:row r="39" ht="110" customHeight="1">
      <x:c r="A39" s="21" t="str">
        <x:v>Content changes</x:v>
      </x:c>
      <x:c r="B39" s="13" t="str">
        <x:v>Show oil/filter scope, how the VIN determines oil approval and quantity, service-reset checks and quote factors. Keep full Service A/B booking intent on the hub. Add genuine oil-service photos and a sample itemized scope.</x:v>
      </x:c>
    </x:row>
    <x:row r="40" ht="90" customHeight="1">
      <x:c r="A40" s="21" t="str">
        <x:v>Internal links</x:v>
      </x:c>
      <x:c r="B40" s="13" t="str">
        <x:v>https://digitecme.com/blog/best-oil-change-dubai-mercedes
https://digitecme.com/blog/oil-specification-guide-dubai-luxury</x:v>
      </x:c>
    </x:row>
    <x:row r="41" ht="70" customHeight="1">
      <x:c r="A41" s="21" t="str">
        <x:v>Evidence / conditions</x:v>
      </x:c>
      <x:c r="B41" s="13" t="str">
        <x:v>Retain current URL; slash version already has a canonical to the non-slash version, but a permanent redirect can consolidate access.</x:v>
      </x:c>
    </x:row>
    <x:row r="42" ht="65" customHeight="1">
      <x:c r="A42" s="21" t="str">
        <x:v>Example queries</x:v>
      </x:c>
      <x:c r="B42" s="13" t="str">
        <x:v>mercedes oil change dubai; mercedes oil change; mercedes benz oil change; mercedes oil change near me</x:v>
      </x:c>
    </x:row>
    <x:row r="43">
      <x:c r="A43" s="2"/>
      <x:c r="B43" s="2"/>
    </x:row>
    <x:row r="44" ht="30" customHeight="1">
      <x:c r="A44" s="20" t="str">
        <x:v>TRANS</x:v>
      </x:c>
      <x:c r="B44" s="20" t="str">
        <x:v>Transmission and gearbox</x:v>
      </x:c>
    </x:row>
    <x:row r="45" ht="32" customHeight="1">
      <x:c r="A45" s="21" t="str">
        <x:v>Target URL</x:v>
      </x:c>
      <x:c r="B45" s="13" t="str">
        <x:v>https://digitecme.com/services/mercedes-transmission-repair-dubai</x:v>
      </x:c>
    </x:row>
    <x:row r="46" ht="34" customHeight="1">
      <x:c r="A46" s="21" t="str">
        <x:v>Current live title</x:v>
      </x:c>
      <x:c r="B46" s="13" t="str">
        <x:v>Mercedes-Benz Transmission Repair Dubai | Digi-Tec</x:v>
      </x:c>
    </x:row>
    <x:row r="47" ht="34" customHeight="1">
      <x:c r="A47" s="21" t="str">
        <x:v>Suggested title</x:v>
      </x:c>
      <x:c r="B47" s="13" t="str">
        <x:v>Mercedes Transmission &amp; Gearbox Repair Dubai | Digi-Tec</x:v>
      </x:c>
    </x:row>
    <x:row r="48" ht="34" customHeight="1">
      <x:c r="A48" s="21" t="str">
        <x:v>Suggested H1</x:v>
      </x:c>
      <x:c r="B48" s="13" t="str">
        <x:v>Mercedes Transmission &amp; Gearbox Repair in Dubai</x:v>
      </x:c>
    </x:row>
    <x:row r="49" ht="110" customHeight="1">
      <x:c r="A49" s="21" t="str">
        <x:v>Content changes</x:v>
      </x:c>
      <x:c r="B49" s="13" t="str">
        <x:v>Explain how fluid service differs from fault diagnosis, valve-body work, internal repair and replacement. Use 7G/9G/AMG terms where supported, identify the exact gearbox before quoting and add a documented repair with post-repair checks.</x:v>
      </x:c>
    </x:row>
    <x:row r="50" ht="90" customHeight="1">
      <x:c r="A50" s="21" t="str">
        <x:v>Internal links</x:v>
      </x:c>
      <x:c r="B50" s="13" t="str">
        <x:v>https://digitecme.com/mercedes/problems/gearbox-jerking
https://digitecme.com/mercedes/problems/transmission-slipping
https://digitecme.com/blog/transmission-service-7g-9g-dubai</x:v>
      </x:c>
    </x:row>
    <x:row r="51" ht="70" customHeight="1">
      <x:c r="A51" s="21" t="str">
        <x:v>Evidence / conditions</x:v>
      </x:c>
      <x:c r="B51" s="13" t="str">
        <x:v>Use one transactional URL for transmission, gearbox service and applicable clutch work. No generic fluid approval for all gearboxes.</x:v>
      </x:c>
    </x:row>
    <x:row r="52" ht="65" customHeight="1">
      <x:c r="A52" s="21" t="str">
        <x:v>Example queries</x:v>
      </x:c>
      <x:c r="B52" s="13" t="str">
        <x:v>mercedes transmission repair dubai; mercedes transmission repair; mercedes benz transmission repair; mercedes gearbox service</x:v>
      </x:c>
    </x:row>
    <x:row r="53">
      <x:c r="A53" s="2"/>
      <x:c r="B53" s="2"/>
    </x:row>
    <x:row r="54" ht="30" customHeight="1">
      <x:c r="A54" s="20" t="str">
        <x:v>TUNE</x:v>
      </x:c>
      <x:c r="B54" s="20" t="str">
        <x:v>Mercedes and GAD tuning</x:v>
      </x:c>
    </x:row>
    <x:row r="55" ht="32" customHeight="1">
      <x:c r="A55" s="21" t="str">
        <x:v>Target URL</x:v>
      </x:c>
      <x:c r="B55" s="13" t="str">
        <x:v>https://digitecme.com/tuning</x:v>
      </x:c>
    </x:row>
    <x:row r="56" ht="34" customHeight="1">
      <x:c r="A56" s="21" t="str">
        <x:v>Current live title</x:v>
      </x:c>
      <x:c r="B56" s="13" t="str">
        <x:v>Performance Tuning Dubai | ECU &amp; Hardware Projects | Digi-Tec</x:v>
      </x:c>
    </x:row>
    <x:row r="57" ht="34" customHeight="1">
      <x:c r="A57" s="21" t="str">
        <x:v>Suggested title</x:v>
      </x:c>
      <x:c r="B57" s="13" t="str">
        <x:v>Performance Tuning Dubai | ECU &amp; Hardware Projects | Digi-Tec</x:v>
      </x:c>
    </x:row>
    <x:row r="58" ht="34" customHeight="1">
      <x:c r="A58" s="21" t="str">
        <x:v>Suggested H1</x:v>
      </x:c>
      <x:c r="B58" s="13" t="str">
        <x:v>GAD Motors Performance Tuning</x:v>
      </x:c>
    </x:row>
    <x:row r="59" ht="110" customHeight="1">
      <x:c r="A59" s="21" t="str">
        <x:v>Content changes</x:v>
      </x:c>
      <x:c r="B59" s="13" t="str">
        <x:v>Keep the shared tuning page and configurator. Add a visible Mercedes-AMG section covering ECU tuning, supported stages, vehicle assessment, hardware dependencies and real GAD projects. Clearly separate coding/diagnostics from performance tuning. Use verified results and relationship wording; do not promise fixed gains on all cars.</x:v>
      </x:c>
    </x:row>
    <x:row r="60" ht="90" customHeight="1">
      <x:c r="A60" s="21" t="str">
        <x:v>Internal links</x:v>
      </x:c>
      <x:c r="B60" s="13" t="str">
        <x:v>https://digitecme.com/blog/gad-tuning-explained
https://digitecme.com/blog/mercedes-amg-gt-tuning-dubai
https://digitecme.com/blog/mercedes-amg-gt-black-series-1300hp-build-dubai
https://digitecme.com/blog/g63-to-brabus-g800-conversion-dubai</x:v>
      </x:c>
    </x:row>
    <x:row r="61" ht="70" customHeight="1">
      <x:c r="A61" s="21" t="str">
        <x:v>Evidence / conditions</x:v>
      </x:c>
      <x:c r="B61" s="13" t="str">
        <x:v>GAD queries are close to the target and existing project pages support them. Generic tuning queries may have international intent.</x:v>
      </x:c>
    </x:row>
    <x:row r="62" ht="65" customHeight="1">
      <x:c r="A62" s="21" t="str">
        <x:v>Example queries</x:v>
      </x:c>
      <x:c r="B62" s="13" t="str">
        <x:v>gad mercedes; mercedes gad motors; gad motors mercedes; mercedes tuning</x:v>
      </x:c>
    </x:row>
    <x:row r="63">
      <x:c r="A63" s="2"/>
      <x:c r="B63" s="2"/>
    </x:row>
    <x:row r="64" ht="30" customHeight="1">
      <x:c r="A64" s="20" t="str">
        <x:v>AC</x:v>
      </x:c>
      <x:c r="B64" s="20" t="str">
        <x:v>Air-conditioning repair</x:v>
      </x:c>
    </x:row>
    <x:row r="65" ht="32" customHeight="1">
      <x:c r="A65" s="21" t="str">
        <x:v>Target URL</x:v>
      </x:c>
      <x:c r="B65" s="13" t="str">
        <x:v>https://digitecme.com/services/mercedes-ac-repair-dubai</x:v>
      </x:c>
    </x:row>
    <x:row r="66" ht="34" customHeight="1">
      <x:c r="A66" s="21" t="str">
        <x:v>Current live title</x:v>
      </x:c>
      <x:c r="B66" s="13" t="str">
        <x:v>Mercedes-Benz AC Repair Dubai | Digi-Tec</x:v>
      </x:c>
    </x:row>
    <x:row r="67" ht="34" customHeight="1">
      <x:c r="A67" s="21" t="str">
        <x:v>Suggested title</x:v>
      </x:c>
      <x:c r="B67" s="13" t="str">
        <x:v>Mercedes AC Repair Dubai | Air Conditioning | Digi-Tec</x:v>
      </x:c>
    </x:row>
    <x:row r="68" ht="34" customHeight="1">
      <x:c r="A68" s="21" t="str">
        <x:v>Suggested H1</x:v>
      </x:c>
      <x:c r="B68" s="13" t="str">
        <x:v>Mercedes AC &amp; Air Conditioning Repair in Dubai</x:v>
      </x:c>
    </x:row>
    <x:row r="69" ht="110" customHeight="1">
      <x:c r="A69" s="21" t="str">
        <x:v>Content changes</x:v>
      </x:c>
      <x:c r="B69" s="13" t="str">
        <x:v>Answer weak cooling, uneven cabin temperature, leak diagnosis, recharge versus repair, compressor/evaporator work and quote factors. Identify refrigerant from the vehicle. Add a real diagnostic case and measured output checks; remove unverified universal failure claims.</x:v>
      </x:c>
    </x:row>
    <x:row r="70" ht="90" customHeight="1">
      <x:c r="A70" s="21" t="str">
        <x:v>Internal links</x:v>
      </x:c>
      <x:c r="B70" s="13" t="str">
        <x:v>https://digitecme.com/mercedes/problems/ac-not-cooling</x:v>
      </x:c>
    </x:row>
    <x:row r="71" ht="70" customHeight="1">
      <x:c r="A71" s="21" t="str">
        <x:v>Evidence / conditions</x:v>
      </x:c>
      <x:c r="B71" s="13" t="str">
        <x:v>Retain the Mercedes-specific page and strengthen links from the generic AC page; do not redirect the useful multi-brand page.</x:v>
      </x:c>
    </x:row>
    <x:row r="72" ht="65" customHeight="1">
      <x:c r="A72" s="21" t="str">
        <x:v>Example queries</x:v>
      </x:c>
      <x:c r="B72" s="13" t="str">
        <x:v>mercedes ac repair; mercedes ac repair dubai; mercedes benz ac repair; mercedes air conditioning repair</x:v>
      </x:c>
    </x:row>
    <x:row r="73">
      <x:c r="A73" s="2"/>
      <x:c r="B73" s="2"/>
    </x:row>
    <x:row r="74" ht="30" customHeight="1">
      <x:c r="A74" s="20" t="str">
        <x:v>BATTERY</x:v>
      </x:c>
      <x:c r="B74" s="20" t="str">
        <x:v>Battery replacement</x:v>
      </x:c>
    </x:row>
    <x:row r="75" ht="32" customHeight="1">
      <x:c r="A75" s="21" t="str">
        <x:v>Target URL</x:v>
      </x:c>
      <x:c r="B75" s="13" t="str">
        <x:v>https://digitecme.com/services/mercedes-battery-replacement-dubai</x:v>
      </x:c>
    </x:row>
    <x:row r="76" ht="34" customHeight="1">
      <x:c r="A76" s="21" t="str">
        <x:v>Current live title</x:v>
      </x:c>
      <x:c r="B76" s="13" t="str">
        <x:v>Mercedes-Benz Battery Replacement Dubai | Digi-Tec</x:v>
      </x:c>
    </x:row>
    <x:row r="77" ht="34" customHeight="1">
      <x:c r="A77" s="21" t="str">
        <x:v>Suggested title</x:v>
      </x:c>
      <x:c r="B77" s="13" t="str">
        <x:v>Mercedes Battery Replacement Dubai | Digi-Tec</x:v>
      </x:c>
    </x:row>
    <x:row r="78" ht="34" customHeight="1">
      <x:c r="A78" s="21" t="str">
        <x:v>Suggested H1</x:v>
      </x:c>
      <x:c r="B78" s="13" t="str">
        <x:v>Mercedes Battery Testing &amp; Replacement in Dubai</x:v>
      </x:c>
    </x:row>
    <x:row r="79" ht="110" customHeight="1">
      <x:c r="A79" s="21" t="str">
        <x:v>Content changes</x:v>
      </x:c>
      <x:c r="B79" s="13" t="str">
        <x:v>Explain battery versus charging-fault diagnosis, VIN-based battery selection, supported adaptation and installation checks. Distinguish main, auxiliary and 48V systems. State actual booking location and availability rather than implying mobile service.</x:v>
      </x:c>
    </x:row>
    <x:row r="80" ht="90" customHeight="1">
      <x:c r="A80" s="21" t="str">
        <x:v>Internal links</x:v>
      </x:c>
      <x:c r="B80" s="13" t="str">
        <x:v>https://digitecme.com/mercedes/problems/battery-warning
https://digitecme.com/mercedes/problems/wont-start</x:v>
      </x:c>
    </x:row>
    <x:row r="81" ht="70" customHeight="1">
      <x:c r="A81" s="21" t="str">
        <x:v>Evidence / conditions</x:v>
      </x:c>
      <x:c r="B81" s="13" t="str">
        <x:v>Battery replacement near me averages 9.08 on 36 impressions; the Dubai term has 101 impressions at 23.18.</x:v>
      </x:c>
    </x:row>
    <x:row r="82" ht="65" customHeight="1">
      <x:c r="A82" s="21" t="str">
        <x:v>Example queries</x:v>
      </x:c>
      <x:c r="B82" s="13" t="str">
        <x:v>mercedes battery replacement dubai; mercedes battery replacement near me; mercedes battery service; mercedes benz battery dubai</x:v>
      </x:c>
    </x:row>
    <x:row r="83">
      <x:c r="A83" s="2"/>
      <x:c r="B83" s="2"/>
    </x:row>
    <x:row r="84" ht="30" customHeight="1">
      <x:c r="A84" s="20" t="str">
        <x:v>BRAKES</x:v>
      </x:c>
      <x:c r="B84" s="20" t="str">
        <x:v>Brake repair and service</x:v>
      </x:c>
    </x:row>
    <x:row r="85" ht="32" customHeight="1">
      <x:c r="A85" s="21" t="str">
        <x:v>Target URL</x:v>
      </x:c>
      <x:c r="B85" s="13" t="str">
        <x:v>https://digitecme.com/services/mercedes-brake-repair-dubai</x:v>
      </x:c>
    </x:row>
    <x:row r="86" ht="34" customHeight="1">
      <x:c r="A86" s="21" t="str">
        <x:v>Current live title</x:v>
      </x:c>
      <x:c r="B86" s="13" t="str">
        <x:v>Mercedes-Benz Brake Repair Dubai | Digi-Tec</x:v>
      </x:c>
    </x:row>
    <x:row r="87" ht="34" customHeight="1">
      <x:c r="A87" s="21" t="str">
        <x:v>Suggested title</x:v>
      </x:c>
      <x:c r="B87" s="13" t="str">
        <x:v>Mercedes Brake Repair &amp; Service Dubai | Digi-Tec</x:v>
      </x:c>
    </x:row>
    <x:row r="88" ht="34" customHeight="1">
      <x:c r="A88" s="21" t="str">
        <x:v>Suggested H1</x:v>
      </x:c>
      <x:c r="B88" s="13" t="str">
        <x:v>Mercedes Brake Repair &amp; Service in Dubai</x:v>
      </x:c>
    </x:row>
    <x:row r="89" ht="110" customHeight="1">
      <x:c r="A89" s="21" t="str">
        <x:v>Content changes</x:v>
      </x:c>
      <x:c r="B89" s="13" t="str">
        <x:v>Make pad/disc measurements, warning sensors, fluid checks, AMG specification and estimate inclusions clear. Add a real inspection record and verification after repair. Use the same page for brake service and repair variants.</x:v>
      </x:c>
    </x:row>
    <x:row r="90" ht="90" customHeight="1">
      <x:c r="A90" s="21" t="str">
        <x:v>Internal links</x:v>
      </x:c>
      <x:c r="B90" s="13" t="str">
        <x:v>https://digitecme.com/blog/brake-repair-dubai</x:v>
      </x:c>
    </x:row>
    <x:row r="91" ht="70" customHeight="1">
      <x:c r="A91" s="21" t="str">
        <x:v>Evidence / conditions</x:v>
      </x:c>
      <x:c r="B91" s="13" t="str">
        <x:v>Brake repair Dubai is at 9.64, while brake service Dubai is at 31.35; verify query-page data before attributing the difference.</x:v>
      </x:c>
    </x:row>
    <x:row r="92" ht="65" customHeight="1">
      <x:c r="A92" s="21" t="str">
        <x:v>Example queries</x:v>
      </x:c>
      <x:c r="B92" s="13" t="str">
        <x:v>mercedes brake service dubai; mercedes brake repair; mercedes brake repair dubai; mercedes brake repair near me</x:v>
      </x:c>
    </x:row>
    <x:row r="93">
      <x:c r="A93" s="2"/>
      <x:c r="B93" s="2"/>
    </x:row>
    <x:row r="94" ht="30" customHeight="1">
      <x:c r="A94" s="20" t="str">
        <x:v>DIAG</x:v>
      </x:c>
      <x:c r="B94" s="20" t="str">
        <x:v>Diagnostics, coding and programming</x:v>
      </x:c>
    </x:row>
    <x:row r="95" ht="32" customHeight="1">
      <x:c r="A95" s="21" t="str">
        <x:v>Target URL</x:v>
      </x:c>
      <x:c r="B95" s="13" t="str">
        <x:v>https://digitecme.com/services/mercedes-diagnostics-dubai</x:v>
      </x:c>
    </x:row>
    <x:row r="96" ht="34" customHeight="1">
      <x:c r="A96" s="21" t="str">
        <x:v>Current live title</x:v>
      </x:c>
      <x:c r="B96" s="13" t="str">
        <x:v>Mercedes-Benz Engine Diagnostics Dubai | Digi-Tec</x:v>
      </x:c>
    </x:row>
    <x:row r="97" ht="34" customHeight="1">
      <x:c r="A97" s="21" t="str">
        <x:v>Suggested title</x:v>
      </x:c>
      <x:c r="B97" s="13" t="str">
        <x:v>Mercedes Diagnostics &amp; Coding Dubai | Digi-Tec</x:v>
      </x:c>
    </x:row>
    <x:row r="98" ht="34" customHeight="1">
      <x:c r="A98" s="21" t="str">
        <x:v>Suggested H1</x:v>
      </x:c>
      <x:c r="B98" s="13" t="str">
        <x:v>Mercedes Diagnostics, Coding &amp; Programming in Dubai</x:v>
      </x:c>
    </x:row>
    <x:row r="99" ht="110" customHeight="1">
      <x:c r="A99" s="21" t="str">
        <x:v>Content changes</x:v>
      </x:c>
      <x:c r="B99" s="13" t="str">
        <x:v>Create distinct sections for diagnostic scanning, supported module coding and programming. Explain eligibility checks, required VIN/module details, authorization where relevant, fault reports and post-programming tests. Use real supported examples. Link hardware faults to electrical repair.</x:v>
      </x:c>
    </x:row>
    <x:row r="100" ht="90" customHeight="1">
      <x:c r="A100" s="21" t="str">
        <x:v>Internal links</x:v>
      </x:c>
      <x:c r="B100" s="13" t="str">
        <x:v>https://digitecme.com/mercedes/problems/check-engine-light
https://digitecme.com/mercedes/problems/wont-start
https://digitecme.com/services/mercedes-electrical-repair-dubai</x:v>
      </x:c>
    </x:row>
    <x:row r="101" ht="70" customHeight="1">
      <x:c r="A101" s="21" t="str">
        <x:v>Evidence / conditions</x:v>
      </x:c>
      <x:c r="B101" s="13" t="str">
        <x:v>Coding service has 180 impressions at 51.60. Current live title is Engine Diagnostics, so supported coding deserves clearer coverage. No separate coding URL initially.</x:v>
      </x:c>
    </x:row>
    <x:row r="102" ht="65" customHeight="1">
      <x:c r="A102" s="21" t="str">
        <x:v>Example queries</x:v>
      </x:c>
      <x:c r="B102" s="13" t="str">
        <x:v>mercedes coding service; mercedes diagnostic dubai; mercedes diagnostic service; mercedes coding specialist</x:v>
      </x:c>
    </x:row>
    <x:row r="103">
      <x:c r="A103" s="2"/>
      <x:c r="B103" s="2"/>
    </x:row>
    <x:row r="104" ht="30" customHeight="1">
      <x:c r="A104" s="20" t="str">
        <x:v>BODY</x:v>
      </x:c>
      <x:c r="B104" s="20" t="str">
        <x:v>Body repair and body shop</x:v>
      </x:c>
    </x:row>
    <x:row r="105" ht="32" customHeight="1">
      <x:c r="A105" s="21" t="str">
        <x:v>Target URL</x:v>
      </x:c>
      <x:c r="B105" s="13" t="str">
        <x:v>https://digitecme.com/services/mercedes-body-repair-dubai</x:v>
      </x:c>
    </x:row>
    <x:row r="106" ht="34" customHeight="1">
      <x:c r="A106" s="21" t="str">
        <x:v>Current live title</x:v>
      </x:c>
      <x:c r="B106" s="13" t="str">
        <x:v>Mercedes-Benz Body Repair Dubai | Digi-Tec</x:v>
      </x:c>
    </x:row>
    <x:row r="107" ht="34" customHeight="1">
      <x:c r="A107" s="21" t="str">
        <x:v>Suggested title</x:v>
      </x:c>
      <x:c r="B107" s="13" t="str">
        <x:v>Mercedes Body Repair &amp; Body Shop Dubai | Digi-Tec</x:v>
      </x:c>
    </x:row>
    <x:row r="108" ht="34" customHeight="1">
      <x:c r="A108" s="21" t="str">
        <x:v>Suggested H1</x:v>
      </x:c>
      <x:c r="B108" s="13" t="str">
        <x:v>Mercedes Body Repair &amp; Paintwork in Dubai</x:v>
      </x:c>
    </x:row>
    <x:row r="109" ht="110" customHeight="1">
      <x:c r="A109" s="21" t="str">
        <x:v>Content changes</x:v>
      </x:c>
      <x:c r="B109" s="13" t="str">
        <x:v>Explain inspected dent, bumper, panel and paintwork scope with original before/after work. State quote inputs, exclusions and any subcontracted work accurately. Keep body kits and performance conversion enquiries on the project/tuning route.</x:v>
      </x:c>
    </x:row>
    <x:row r="110" ht="90" customHeight="1">
      <x:c r="A110" s="21" t="str">
        <x:v>Internal links</x:v>
      </x:c>
      <x:c r="B110" s="13" t="str">
        <x:v>https://digitecme.com/services/car-body-repair-dubai</x:v>
      </x:c>
    </x:row>
    <x:row r="111" ht="70" customHeight="1">
      <x:c r="A111" s="21" t="str">
        <x:v>Evidence / conditions</x:v>
      </x:c>
      <x:c r="B111" s="13" t="str">
        <x:v>Do not claim Mercedes-authorized status, insurer approval or certification without evidence.</x:v>
      </x:c>
    </x:row>
    <x:row r="112" ht="65" customHeight="1">
      <x:c r="A112" s="21" t="str">
        <x:v>Example queries</x:v>
      </x:c>
      <x:c r="B112" s="13" t="str">
        <x:v>mercedes body repair dubai; mercedes body repair; mercedes body shop; mercedes body shop dubai</x:v>
      </x:c>
    </x:row>
    <x:row r="113">
      <x:c r="A113" s="2"/>
      <x:c r="B113" s="2"/>
    </x:row>
    <x:row r="114" ht="30" customHeight="1">
      <x:c r="A114" s="20" t="str">
        <x:v>ELEC</x:v>
      </x:c>
      <x:c r="B114" s="20" t="str">
        <x:v>Electrical and ECU fault repair</x:v>
      </x:c>
    </x:row>
    <x:row r="115" ht="32" customHeight="1">
      <x:c r="A115" s="21" t="str">
        <x:v>Target URL</x:v>
      </x:c>
      <x:c r="B115" s="13" t="str">
        <x:v>https://digitecme.com/services/mercedes-electrical-repair-dubai</x:v>
      </x:c>
    </x:row>
    <x:row r="116" ht="34" customHeight="1">
      <x:c r="A116" s="21" t="str">
        <x:v>Current live title</x:v>
      </x:c>
      <x:c r="B116" s="13" t="str">
        <x:v>Mercedes-Benz Electrical Repair Dubai | Digi-Tec</x:v>
      </x:c>
    </x:row>
    <x:row r="117" ht="34" customHeight="1">
      <x:c r="A117" s="21" t="str">
        <x:v>Suggested title</x:v>
      </x:c>
      <x:c r="B117" s="13" t="str">
        <x:v>Mercedes Electrical &amp; ECU Fault Repair Dubai | Digi-Tec</x:v>
      </x:c>
    </x:row>
    <x:row r="118" ht="34" customHeight="1">
      <x:c r="A118" s="21" t="str">
        <x:v>Suggested H1</x:v>
      </x:c>
      <x:c r="B118" s="13" t="str">
        <x:v>Mercedes Electrical Fault Diagnosis &amp; Repair in Dubai</x:v>
      </x:c>
    </x:row>
    <x:row r="119" ht="110" customHeight="1">
      <x:c r="A119" s="21" t="str">
        <x:v>Content changes</x:v>
      </x:c>
      <x:c r="B119" s="13" t="str">
        <x:v>Separate wiring, voltage, network and SAM faults from coding requests. For ECU repair terms, explain supported diagnosis and repair/replacement decisions without promising all modules can be repaired. Add one real electrical fault example.</x:v>
      </x:c>
    </x:row>
    <x:row r="120" ht="90" customHeight="1">
      <x:c r="A120" s="21" t="str">
        <x:v>Internal links</x:v>
      </x:c>
      <x:c r="B120" s="13" t="str">
        <x:v>https://digitecme.com/services/mercedes-diagnostics-dubai
https://digitecme.com/mercedes/problems/battery-warning</x:v>
      </x:c>
    </x:row>
    <x:row r="121" ht="70" customHeight="1">
      <x:c r="A121" s="21" t="str">
        <x:v>Evidence / conditions</x:v>
      </x:c>
      <x:c r="B121" s="13" t="str">
        <x:v>Preserve vehicle compatibility conditions and avoid duplicating the diagnostics page.</x:v>
      </x:c>
    </x:row>
    <x:row r="122" ht="65" customHeight="1">
      <x:c r="A122" s="21" t="str">
        <x:v>Example queries</x:v>
      </x:c>
      <x:c r="B122" s="13" t="str">
        <x:v>mercedes electrical repair; mercedes ecu; mercedes benz electrical repair; mercedes ecu repair</x:v>
      </x:c>
    </x:row>
    <x:row r="123">
      <x:c r="A123" s="2"/>
      <x:c r="B123" s="2"/>
    </x:row>
    <x:row r="124" ht="30" customHeight="1">
      <x:c r="A124" s="20" t="str">
        <x:v>CCLASS</x:v>
      </x:c>
      <x:c r="B124" s="20" t="str">
        <x:v>Mercedes C-Class</x:v>
      </x:c>
    </x:row>
    <x:row r="125" ht="32" customHeight="1">
      <x:c r="A125" s="21" t="str">
        <x:v>Target URL</x:v>
      </x:c>
      <x:c r="B125" s="13" t="str">
        <x:v>https://digitecme.com/blog/mercedes-c-class-service-dubai-guide</x:v>
      </x:c>
    </x:row>
    <x:row r="126" ht="34" customHeight="1">
      <x:c r="A126" s="21" t="str">
        <x:v>Current live title</x:v>
      </x:c>
      <x:c r="B126" s="13" t="str">
        <x:v>Mercedes C-Class Service &amp; Repair Dubai | Digi-Tec</x:v>
      </x:c>
    </x:row>
    <x:row r="127" ht="34" customHeight="1">
      <x:c r="A127" s="21" t="str">
        <x:v>Suggested title</x:v>
      </x:c>
      <x:c r="B127" s="13" t="str">
        <x:v>Mercedes C-Class Service &amp; Repair Dubai | Digi-Tec</x:v>
      </x:c>
    </x:row>
    <x:row r="128" ht="34" customHeight="1">
      <x:c r="A128" s="21" t="str">
        <x:v>Suggested H1</x:v>
      </x:c>
      <x:c r="B128" s="13" t="str">
        <x:v>Mercedes C-Class Service &amp; Repair Dubai</x:v>
      </x:c>
    </x:row>
    <x:row r="129" ht="110" customHeight="1">
      <x:c r="A129" s="21" t="str">
        <x:v>Content changes</x:v>
      </x:c>
      <x:c r="B129" s="13" t="str">
        <x:v>Keep the existing canonical URL and model-specific content. Check query-to-page data and index status before rewriting. Add only verified variant coverage, a real model repair example, service scope and relevant system links. Preserve AMG versus base-model distinctions; do not copy a generic model template.</x:v>
      </x:c>
    </x:row>
    <x:row r="130" ht="90" customHeight="1">
      <x:c r="A130" s="21" t="str">
        <x:v>Internal links</x:v>
      </x:c>
      <x:c r="B130" s="13" t="str">
        <x:v>https://digitecme.com/brands/mercedes-benz-service-dubai
https://digitecme.com/services/mercedes-mechanical-repair-dubai
https://digitecme.com/services/mercedes-suspension-repair-dubai
https://digitecme.com/services/mercedes-transmission-repair-dubai</x:v>
      </x:c>
    </x:row>
    <x:row r="131" ht="70" customHeight="1">
      <x:c r="A131" s="21" t="str">
        <x:v>Evidence / conditions</x:v>
      </x:c>
      <x:c r="B131" s="13" t="str">
        <x:v>Model queries often have fewer than 10 impressions. A top-five query average does not establish that this model page is the ranking URL.</x:v>
      </x:c>
    </x:row>
    <x:row r="132" ht="65" customHeight="1">
      <x:c r="A132" s="21" t="str">
        <x:v>Example queries</x:v>
      </x:c>
      <x:c r="B132" s="13" t="str">
        <x:v>mercedes benz c class coupe service dubai; mercedes benz c class service dubai; mercedes benz c300 service dubai; mercedes benz c200 service dubai</x:v>
      </x:c>
    </x:row>
    <x:row r="133">
      <x:c r="A133" s="2"/>
      <x:c r="B133" s="2"/>
    </x:row>
    <x:row r="134" ht="30" customHeight="1">
      <x:c r="A134" s="20" t="str">
        <x:v>GLE</x:v>
      </x:c>
      <x:c r="B134" s="20" t="str">
        <x:v>Mercedes GLE</x:v>
      </x:c>
    </x:row>
    <x:row r="135" ht="32" customHeight="1">
      <x:c r="A135" s="21" t="str">
        <x:v>Target URL</x:v>
      </x:c>
      <x:c r="B135" s="13" t="str">
        <x:v>https://digitecme.com/mercedes/models/gle-service-repair-dubai</x:v>
      </x:c>
    </x:row>
    <x:row r="136" ht="34" customHeight="1">
      <x:c r="A136" s="21" t="str">
        <x:v>Current live title</x:v>
      </x:c>
      <x:c r="B136" s="13" t="str">
        <x:v>Mercedes GLE Service &amp; Repair Dubai | Digi-Tec</x:v>
      </x:c>
    </x:row>
    <x:row r="137" ht="34" customHeight="1">
      <x:c r="A137" s="21" t="str">
        <x:v>Suggested title</x:v>
      </x:c>
      <x:c r="B137" s="13" t="str">
        <x:v>Mercedes GLE Service &amp; Repair Dubai | Digi-Tec</x:v>
      </x:c>
    </x:row>
    <x:row r="138" ht="34" customHeight="1">
      <x:c r="A138" s="21" t="str">
        <x:v>Suggested H1</x:v>
      </x:c>
      <x:c r="B138" s="13" t="str">
        <x:v>Mercedes GLE Service &amp; Repair Dubai</x:v>
      </x:c>
    </x:row>
    <x:row r="139" ht="110" customHeight="1">
      <x:c r="A139" s="21" t="str">
        <x:v>Content changes</x:v>
      </x:c>
      <x:c r="B139" s="13" t="str">
        <x:v>Keep the existing canonical URL and model-specific content. Check query-to-page data and index status before rewriting. Add only verified variant coverage, a real model repair example, service scope and relevant system links. Preserve AMG versus base-model distinctions; do not copy a generic model template.</x:v>
      </x:c>
    </x:row>
    <x:row r="140" ht="90" customHeight="1">
      <x:c r="A140" s="21" t="str">
        <x:v>Internal links</x:v>
      </x:c>
      <x:c r="B140" s="13" t="str">
        <x:v>https://digitecme.com/brands/mercedes-benz-service-dubai
https://digitecme.com/services/mercedes-mechanical-repair-dubai
https://digitecme.com/services/mercedes-suspension-repair-dubai
https://digitecme.com/services/mercedes-transmission-repair-dubai</x:v>
      </x:c>
    </x:row>
    <x:row r="141" ht="70" customHeight="1">
      <x:c r="A141" s="21" t="str">
        <x:v>Evidence / conditions</x:v>
      </x:c>
      <x:c r="B141" s="13" t="str">
        <x:v>Model queries often have fewer than 10 impressions. A top-five query average does not establish that this model page is the ranking URL.</x:v>
      </x:c>
    </x:row>
    <x:row r="142" ht="65" customHeight="1">
      <x:c r="A142" s="21" t="str">
        <x:v>Example queries</x:v>
      </x:c>
      <x:c r="B142" s="13" t="str">
        <x:v>mercedes benz m class service dubai; mercedes benz gle class service dubai; mercedes benz ml63 amg service dubai; mercedes benz gle63 amg coupe service dubai</x:v>
      </x:c>
    </x:row>
    <x:row r="143">
      <x:c r="A143" s="2"/>
      <x:c r="B143" s="2"/>
    </x:row>
    <x:row r="144" ht="30" customHeight="1">
      <x:c r="A144" s="20" t="str">
        <x:v>STEER</x:v>
      </x:c>
      <x:c r="B144" s="20" t="str">
        <x:v>Steering repair</x:v>
      </x:c>
    </x:row>
    <x:row r="145" ht="32" customHeight="1">
      <x:c r="A145" s="21" t="str">
        <x:v>Target URL</x:v>
      </x:c>
      <x:c r="B145" s="13" t="str">
        <x:v>https://digitecme.com/services/mercedes-steering-repair-dubai</x:v>
      </x:c>
    </x:row>
    <x:row r="146" ht="34" customHeight="1">
      <x:c r="A146" s="21" t="str">
        <x:v>Current live title</x:v>
      </x:c>
      <x:c r="B146" s="13" t="str">
        <x:v>Mercedes-Benz Steering Repair Dubai | Digi-Tec</x:v>
      </x:c>
    </x:row>
    <x:row r="147" ht="34" customHeight="1">
      <x:c r="A147" s="21" t="str">
        <x:v>Suggested title</x:v>
      </x:c>
      <x:c r="B147" s="13" t="str">
        <x:v>Mercedes Steering Repair Dubai | Digi-Tec</x:v>
      </x:c>
    </x:row>
    <x:row r="148" ht="34" customHeight="1">
      <x:c r="A148" s="21" t="str">
        <x:v>Suggested H1</x:v>
      </x:c>
      <x:c r="B148" s="13" t="str">
        <x:v>Mercedes Steering Repair in Dubai</x:v>
      </x:c>
    </x:row>
    <x:row r="149" ht="110" customHeight="1">
      <x:c r="A149" s="21" t="str">
        <x:v>Content changes</x:v>
      </x:c>
      <x:c r="B149" s="13" t="str">
        <x:v>Clarify rack, EPS and hydraulic diagnosis, inspection before replacement, supported calibration and alignment checks. Add model-specific evidence when available.</x:v>
      </x:c>
    </x:row>
    <x:row r="150" ht="90" customHeight="1">
      <x:c r="A150" s="21" t="str">
        <x:v>Internal links</x:v>
      </x:c>
      <x:c r="B150" s="13" t="str">
        <x:v>https://digitecme.com/brands/mercedes-benz-service-dubai</x:v>
      </x:c>
    </x:row>
    <x:row r="151" ht="70" customHeight="1">
      <x:c r="A151" s="21" t="str">
        <x:v>Evidence / conditions</x:v>
      </x:c>
      <x:c r="B151" s="13" t="str">
        <x:v>The main steering query is already close at 9.72 on 18 impressions; prioritize contextual links before a large rewrite.</x:v>
      </x:c>
    </x:row>
    <x:row r="152" ht="65" customHeight="1">
      <x:c r="A152" s="21" t="str">
        <x:v>Example queries</x:v>
      </x:c>
      <x:c r="B152" s="13" t="str">
        <x:v>mercedes steering repair</x:v>
      </x:c>
    </x:row>
    <x:row r="153">
      <x:c r="A153" s="2"/>
      <x:c r="B153" s="2"/>
    </x:row>
    <x:row r="154" ht="30" customHeight="1">
      <x:c r="A154" s="20" t="str">
        <x:v>EXHAUST</x:v>
      </x:c>
      <x:c r="B154" s="20" t="str">
        <x:v>Exhaust repair</x:v>
      </x:c>
    </x:row>
    <x:row r="155" ht="32" customHeight="1">
      <x:c r="A155" s="21" t="str">
        <x:v>Target URL</x:v>
      </x:c>
      <x:c r="B155" s="13" t="str">
        <x:v>https://digitecme.com/services/mercedes-exhaust-repair-dubai</x:v>
      </x:c>
    </x:row>
    <x:row r="156" ht="34" customHeight="1">
      <x:c r="A156" s="21" t="str">
        <x:v>Current live title</x:v>
      </x:c>
      <x:c r="B156" s="13" t="str">
        <x:v>Mercedes-Benz Exhaust Repair Dubai | Digi-Tec</x:v>
      </x:c>
    </x:row>
    <x:row r="157" ht="34" customHeight="1">
      <x:c r="A157" s="21" t="str">
        <x:v>Suggested title</x:v>
      </x:c>
      <x:c r="B157" s="13" t="str">
        <x:v>Mercedes Exhaust Repair Dubai | Digi-Tec</x:v>
      </x:c>
    </x:row>
    <x:row r="158" ht="34" customHeight="1">
      <x:c r="A158" s="21" t="str">
        <x:v>Suggested H1</x:v>
      </x:c>
      <x:c r="B158" s="13" t="str">
        <x:v>Mercedes Exhaust Repair in Dubai</x:v>
      </x:c>
    </x:row>
    <x:row r="159" ht="110" customHeight="1">
      <x:c r="A159" s="21" t="str">
        <x:v>Content changes</x:v>
      </x:c>
      <x:c r="B159" s="13" t="str">
        <x:v>Explain leak, mounting, noise and sensor diagnosis plus approved repair options. Distinguish repair from tuning hardware and show a real inspected repair.</x:v>
      </x:c>
    </x:row>
    <x:row r="160" ht="90" customHeight="1">
      <x:c r="A160" s="21" t="str">
        <x:v>Internal links</x:v>
      </x:c>
      <x:c r="B160" s="13" t="str">
        <x:v>https://digitecme.com/tuning</x:v>
      </x:c>
    </x:row>
    <x:row r="161" ht="70" customHeight="1">
      <x:c r="A161" s="21" t="str">
        <x:v>Evidence / conditions</x:v>
      </x:c>
      <x:c r="B161" s="13" t="str">
        <x:v>The query averages 6.50 on 14 impressions. Improve the existing page without creating another exhaust URL.</x:v>
      </x:c>
    </x:row>
    <x:row r="162" ht="65" customHeight="1">
      <x:c r="A162" s="21" t="str">
        <x:v>Example queries</x:v>
      </x:c>
      <x:c r="B162" s="13" t="str">
        <x:v>mercedes exhaust repair</x:v>
      </x:c>
    </x:row>
    <x:row r="163">
      <x:c r="A163" s="2"/>
      <x:c r="B163" s="2"/>
    </x:row>
    <x:row r="164" ht="30" customHeight="1">
      <x:c r="A164" s="20" t="str">
        <x:v>GCLASS</x:v>
      </x:c>
      <x:c r="B164" s="20" t="str">
        <x:v>Mercedes G-Class</x:v>
      </x:c>
    </x:row>
    <x:row r="165" ht="32" customHeight="1">
      <x:c r="A165" s="21" t="str">
        <x:v>Target URL</x:v>
      </x:c>
      <x:c r="B165" s="13" t="str">
        <x:v>https://digitecme.com/mercedes/models/g-class-service-repair-dubai</x:v>
      </x:c>
    </x:row>
    <x:row r="166" ht="34" customHeight="1">
      <x:c r="A166" s="21" t="str">
        <x:v>Current live title</x:v>
      </x:c>
      <x:c r="B166" s="13" t="str">
        <x:v>Mercedes G-Class Service &amp; Repair Dubai | Digi-Tec</x:v>
      </x:c>
    </x:row>
    <x:row r="167" ht="34" customHeight="1">
      <x:c r="A167" s="21" t="str">
        <x:v>Suggested title</x:v>
      </x:c>
      <x:c r="B167" s="13" t="str">
        <x:v>Mercedes G-Class Service &amp; Repair Dubai | Digi-Tec</x:v>
      </x:c>
    </x:row>
    <x:row r="168" ht="34" customHeight="1">
      <x:c r="A168" s="21" t="str">
        <x:v>Suggested H1</x:v>
      </x:c>
      <x:c r="B168" s="13" t="str">
        <x:v>Mercedes G-Class Service &amp; Repair Dubai</x:v>
      </x:c>
    </x:row>
    <x:row r="169" ht="110" customHeight="1">
      <x:c r="A169" s="21" t="str">
        <x:v>Content changes</x:v>
      </x:c>
      <x:c r="B169" s="13" t="str">
        <x:v>Keep the existing canonical URL and model-specific content. Check query-to-page data and index status before rewriting. Add only verified variant coverage, a real model repair example, service scope and relevant system links. Preserve AMG versus base-model distinctions; do not copy a generic model template.</x:v>
      </x:c>
    </x:row>
    <x:row r="170" ht="90" customHeight="1">
      <x:c r="A170" s="21" t="str">
        <x:v>Internal links</x:v>
      </x:c>
      <x:c r="B170" s="13" t="str">
        <x:v>https://digitecme.com/brands/mercedes-benz-service-dubai
https://digitecme.com/services/mercedes-mechanical-repair-dubai
https://digitecme.com/services/mercedes-suspension-repair-dubai
https://digitecme.com/services/mercedes-transmission-repair-dubai</x:v>
      </x:c>
    </x:row>
    <x:row r="171" ht="70" customHeight="1">
      <x:c r="A171" s="21" t="str">
        <x:v>Evidence / conditions</x:v>
      </x:c>
      <x:c r="B171" s="13" t="str">
        <x:v>Model queries often have fewer than 10 impressions. A top-five query average does not establish that this model page is the ranking URL.</x:v>
      </x:c>
    </x:row>
    <x:row r="172" ht="65" customHeight="1">
      <x:c r="A172" s="21" t="str">
        <x:v>Example queries</x:v>
      </x:c>
      <x:c r="B172" s="13" t="str">
        <x:v>mercedes benz g wagon service dubai; mercedes benz g class service dubai</x:v>
      </x:c>
    </x:row>
    <x:row r="173">
      <x:c r="A173" s="2"/>
      <x:c r="B173" s="2"/>
    </x:row>
    <x:row r="174" ht="30" customHeight="1">
      <x:c r="A174" s="20" t="str">
        <x:v>GLS</x:v>
      </x:c>
      <x:c r="B174" s="20" t="str">
        <x:v>Mercedes GLS</x:v>
      </x:c>
    </x:row>
    <x:row r="175" ht="32" customHeight="1">
      <x:c r="A175" s="21" t="str">
        <x:v>Target URL</x:v>
      </x:c>
      <x:c r="B175" s="13" t="str">
        <x:v>https://digitecme.com/mercedes/models/gls-service-repair-dubai</x:v>
      </x:c>
    </x:row>
    <x:row r="176" ht="34" customHeight="1">
      <x:c r="A176" s="21" t="str">
        <x:v>Current live title</x:v>
      </x:c>
      <x:c r="B176" s="13" t="str">
        <x:v>Mercedes GLS Service &amp; Repair Dubai | Digi-Tec</x:v>
      </x:c>
    </x:row>
    <x:row r="177" ht="34" customHeight="1">
      <x:c r="A177" s="21" t="str">
        <x:v>Suggested title</x:v>
      </x:c>
      <x:c r="B177" s="13" t="str">
        <x:v>Mercedes GLS Service &amp; Repair Dubai | Digi-Tec</x:v>
      </x:c>
    </x:row>
    <x:row r="178" ht="34" customHeight="1">
      <x:c r="A178" s="21" t="str">
        <x:v>Suggested H1</x:v>
      </x:c>
      <x:c r="B178" s="13" t="str">
        <x:v>Mercedes GLS Service &amp; Repair Dubai</x:v>
      </x:c>
    </x:row>
    <x:row r="179" ht="110" customHeight="1">
      <x:c r="A179" s="21" t="str">
        <x:v>Content changes</x:v>
      </x:c>
      <x:c r="B179" s="13" t="str">
        <x:v>Keep the existing canonical URL and model-specific content. Check query-to-page data and index status before rewriting. Add only verified variant coverage, a real model repair example, service scope and relevant system links. Preserve AMG versus base-model distinctions; do not copy a generic model template.</x:v>
      </x:c>
    </x:row>
    <x:row r="180" ht="90" customHeight="1">
      <x:c r="A180" s="21" t="str">
        <x:v>Internal links</x:v>
      </x:c>
      <x:c r="B180" s="13" t="str">
        <x:v>https://digitecme.com/brands/mercedes-benz-service-dubai
https://digitecme.com/services/mercedes-mechanical-repair-dubai
https://digitecme.com/services/mercedes-suspension-repair-dubai
https://digitecme.com/services/mercedes-transmission-repair-dubai</x:v>
      </x:c>
    </x:row>
    <x:row r="181" ht="70" customHeight="1">
      <x:c r="A181" s="21" t="str">
        <x:v>Evidence / conditions</x:v>
      </x:c>
      <x:c r="B181" s="13" t="str">
        <x:v>Model queries often have fewer than 10 impressions. A top-five query average does not establish that this model page is the ranking URL.</x:v>
      </x:c>
    </x:row>
    <x:row r="182" ht="65" customHeight="1">
      <x:c r="A182" s="21" t="str">
        <x:v>Example queries</x:v>
      </x:c>
      <x:c r="B182" s="13" t="str">
        <x:v>mercedes benz gls class service dubai; mercedes benz gls63 amg service dubai; mercedes benz gl class service dubai</x:v>
      </x:c>
    </x:row>
    <x:row r="183">
      <x:c r="A183" s="2"/>
      <x:c r="B183" s="2"/>
    </x:row>
    <x:row r="184" ht="30" customHeight="1">
      <x:c r="A184" s="20" t="str">
        <x:v>G63</x:v>
      </x:c>
      <x:c r="B184" s="20" t="str">
        <x:v>Mercedes-AMG G63</x:v>
      </x:c>
    </x:row>
    <x:row r="185" ht="32" customHeight="1">
      <x:c r="A185" s="21" t="str">
        <x:v>Target URL</x:v>
      </x:c>
      <x:c r="B185" s="13" t="str">
        <x:v>https://digitecme.com/blog/mercedes-g63-service-dubai-guide</x:v>
      </x:c>
    </x:row>
    <x:row r="186" ht="34" customHeight="1">
      <x:c r="A186" s="21" t="str">
        <x:v>Current live title</x:v>
      </x:c>
      <x:c r="B186" s="13" t="str">
        <x:v>Mercedes-AMG G63 Service &amp; Repair Dubai | Digi-Tec</x:v>
      </x:c>
    </x:row>
    <x:row r="187" ht="34" customHeight="1">
      <x:c r="A187" s="21" t="str">
        <x:v>Suggested title</x:v>
      </x:c>
      <x:c r="B187" s="13" t="str">
        <x:v>Mercedes-AMG G63 Service &amp; Repair Dubai | Digi-Tec</x:v>
      </x:c>
    </x:row>
    <x:row r="188" ht="34" customHeight="1">
      <x:c r="A188" s="21" t="str">
        <x:v>Suggested H1</x:v>
      </x:c>
      <x:c r="B188" s="13" t="str">
        <x:v>Mercedes-AMG G63 Service &amp; Repair Dubai</x:v>
      </x:c>
    </x:row>
    <x:row r="189" ht="110" customHeight="1">
      <x:c r="A189" s="21" t="str">
        <x:v>Content changes</x:v>
      </x:c>
      <x:c r="B189" s="13" t="str">
        <x:v>Keep the existing canonical URL and model-specific content. Check query-to-page data and index status before rewriting. Add only verified variant coverage, a real model repair example, service scope and relevant system links. Preserve AMG versus base-model distinctions; do not copy a generic model template.</x:v>
      </x:c>
    </x:row>
    <x:row r="190" ht="90" customHeight="1">
      <x:c r="A190" s="21" t="str">
        <x:v>Internal links</x:v>
      </x:c>
      <x:c r="B190" s="13" t="str">
        <x:v>https://digitecme.com/brands/mercedes-benz-service-dubai
https://digitecme.com/services/mercedes-mechanical-repair-dubai
https://digitecme.com/services/mercedes-suspension-repair-dubai
https://digitecme.com/services/mercedes-transmission-repair-dubai</x:v>
      </x:c>
    </x:row>
    <x:row r="191" ht="70" customHeight="1">
      <x:c r="A191" s="21" t="str">
        <x:v>Evidence / conditions</x:v>
      </x:c>
      <x:c r="B191" s="13" t="str">
        <x:v>Model queries often have fewer than 10 impressions. A top-five query average does not establish that this model page is the ranking URL.</x:v>
      </x:c>
    </x:row>
    <x:row r="192" ht="65" customHeight="1">
      <x:c r="A192" s="21" t="str">
        <x:v>Example queries</x:v>
      </x:c>
      <x:c r="B192" s="13" t="str">
        <x:v>mercedes benz g63 amg service dubai</x:v>
      </x:c>
    </x:row>
    <x:row r="193">
      <x:c r="A193" s="2"/>
      <x:c r="B193" s="2"/>
    </x:row>
    <x:row r="194" ht="30" customHeight="1">
      <x:c r="A194" s="20" t="str">
        <x:v>C63</x:v>
      </x:c>
      <x:c r="B194" s="20" t="str">
        <x:v>Mercedes-AMG C63</x:v>
      </x:c>
    </x:row>
    <x:row r="195" ht="32" customHeight="1">
      <x:c r="A195" s="21" t="str">
        <x:v>Target URL</x:v>
      </x:c>
      <x:c r="B195" s="13" t="str">
        <x:v>https://digitecme.com/mercedes/models/c63-service-repair-dubai</x:v>
      </x:c>
    </x:row>
    <x:row r="196" ht="34" customHeight="1">
      <x:c r="A196" s="21" t="str">
        <x:v>Current live title</x:v>
      </x:c>
      <x:c r="B196" s="13" t="str">
        <x:v>Mercedes-AMG C63 Service &amp; Repair Dubai | Digi-Tec</x:v>
      </x:c>
    </x:row>
    <x:row r="197" ht="34" customHeight="1">
      <x:c r="A197" s="21" t="str">
        <x:v>Suggested title</x:v>
      </x:c>
      <x:c r="B197" s="13" t="str">
        <x:v>Mercedes-AMG C63 Service &amp; Repair Dubai | Digi-Tec</x:v>
      </x:c>
    </x:row>
    <x:row r="198" ht="34" customHeight="1">
      <x:c r="A198" s="21" t="str">
        <x:v>Suggested H1</x:v>
      </x:c>
      <x:c r="B198" s="13" t="str">
        <x:v>Mercedes-AMG C63 Service &amp; Repair Dubai</x:v>
      </x:c>
    </x:row>
    <x:row r="199" ht="110" customHeight="1">
      <x:c r="A199" s="21" t="str">
        <x:v>Content changes</x:v>
      </x:c>
      <x:c r="B199" s="13" t="str">
        <x:v>Keep the existing canonical URL and model-specific content. Check query-to-page data and index status before rewriting. Add only verified variant coverage, a real model repair example, service scope and relevant system links. Preserve AMG versus base-model distinctions; do not copy a generic model template.</x:v>
      </x:c>
    </x:row>
    <x:row r="200" ht="90" customHeight="1">
      <x:c r="A200" s="21" t="str">
        <x:v>Internal links</x:v>
      </x:c>
      <x:c r="B200" s="13" t="str">
        <x:v>https://digitecme.com/brands/mercedes-benz-service-dubai
https://digitecme.com/services/mercedes-mechanical-repair-dubai
https://digitecme.com/services/mercedes-suspension-repair-dubai
https://digitecme.com/services/mercedes-transmission-repair-dubai</x:v>
      </x:c>
    </x:row>
    <x:row r="201" ht="70" customHeight="1">
      <x:c r="A201" s="21" t="str">
        <x:v>Evidence / conditions</x:v>
      </x:c>
      <x:c r="B201" s="13" t="str">
        <x:v>Model queries often have fewer than 10 impressions. A top-five query average does not establish that this model page is the ranking URL.</x:v>
      </x:c>
    </x:row>
    <x:row r="202" ht="65" customHeight="1">
      <x:c r="A202" s="21" t="str">
        <x:v>Example queries</x:v>
      </x:c>
      <x:c r="B202" s="13" t="str">
        <x:v>mercedes benz c63 amg service dubai; mercedes benz c63 amg coupe service dubai</x:v>
      </x:c>
    </x:row>
    <x:row r="203">
      <x:c r="A203" s="2"/>
      <x:c r="B203" s="2"/>
    </x:row>
    <x:row r="204" ht="30" customHeight="1">
      <x:c r="A204" s="20" t="str">
        <x:v>ECLASS</x:v>
      </x:c>
      <x:c r="B204" s="20" t="str">
        <x:v>Mercedes E-Class</x:v>
      </x:c>
    </x:row>
    <x:row r="205" ht="32" customHeight="1">
      <x:c r="A205" s="21" t="str">
        <x:v>Target URL</x:v>
      </x:c>
      <x:c r="B205" s="13" t="str">
        <x:v>https://digitecme.com/blog/mercedes-e-class-service-dubai-guide</x:v>
      </x:c>
    </x:row>
    <x:row r="206" ht="34" customHeight="1">
      <x:c r="A206" s="21" t="str">
        <x:v>Current live title</x:v>
      </x:c>
      <x:c r="B206" s="13" t="str">
        <x:v>Mercedes E-Class Service &amp; Repair Dubai | Digi-Tec</x:v>
      </x:c>
    </x:row>
    <x:row r="207" ht="34" customHeight="1">
      <x:c r="A207" s="21" t="str">
        <x:v>Suggested title</x:v>
      </x:c>
      <x:c r="B207" s="13" t="str">
        <x:v>Mercedes E-Class Service &amp; Repair Dubai | Digi-Tec</x:v>
      </x:c>
    </x:row>
    <x:row r="208" ht="34" customHeight="1">
      <x:c r="A208" s="21" t="str">
        <x:v>Suggested H1</x:v>
      </x:c>
      <x:c r="B208" s="13" t="str">
        <x:v>Mercedes E-Class Service &amp; Repair Dubai</x:v>
      </x:c>
    </x:row>
    <x:row r="209" ht="110" customHeight="1">
      <x:c r="A209" s="21" t="str">
        <x:v>Content changes</x:v>
      </x:c>
      <x:c r="B209" s="13" t="str">
        <x:v>Keep the existing canonical URL and model-specific content. Check query-to-page data and index status before rewriting. Add only verified variant coverage, a real model repair example, service scope and relevant system links. Preserve AMG versus base-model distinctions; do not copy a generic model template.</x:v>
      </x:c>
    </x:row>
    <x:row r="210" ht="90" customHeight="1">
      <x:c r="A210" s="21" t="str">
        <x:v>Internal links</x:v>
      </x:c>
      <x:c r="B210" s="13" t="str">
        <x:v>https://digitecme.com/brands/mercedes-benz-service-dubai
https://digitecme.com/services/mercedes-mechanical-repair-dubai
https://digitecme.com/services/mercedes-suspension-repair-dubai
https://digitecme.com/services/mercedes-transmission-repair-dubai</x:v>
      </x:c>
    </x:row>
    <x:row r="211" ht="70" customHeight="1">
      <x:c r="A211" s="21" t="str">
        <x:v>Evidence / conditions</x:v>
      </x:c>
      <x:c r="B211" s="13" t="str">
        <x:v>Model queries often have fewer than 10 impressions. A top-five query average does not establish that this model page is the ranking URL.</x:v>
      </x:c>
    </x:row>
    <x:row r="212" ht="65" customHeight="1">
      <x:c r="A212" s="21" t="str">
        <x:v>Example queries</x:v>
      </x:c>
      <x:c r="B212" s="13" t="str">
        <x:v>mercedes benz e300 service dubai; mercedes benz e class coupe service dubai; mercedes benz e350 service dubai; mercedes benz e class service dubai</x:v>
      </x:c>
    </x:row>
    <x:row r="213">
      <x:c r="A213" s="2"/>
      <x:c r="B213" s="2"/>
    </x:row>
    <x:row r="214" ht="30" customHeight="1">
      <x:c r="A214" s="20" t="str">
        <x:v>SCLASS</x:v>
      </x:c>
      <x:c r="B214" s="20" t="str">
        <x:v>Mercedes S-Class</x:v>
      </x:c>
    </x:row>
    <x:row r="215" ht="32" customHeight="1">
      <x:c r="A215" s="21" t="str">
        <x:v>Target URL</x:v>
      </x:c>
      <x:c r="B215" s="13" t="str">
        <x:v>https://digitecme.com/blog/mercedes-s-class-service-dubai-guide</x:v>
      </x:c>
    </x:row>
    <x:row r="216" ht="34" customHeight="1">
      <x:c r="A216" s="21" t="str">
        <x:v>Current live title</x:v>
      </x:c>
      <x:c r="B216" s="13" t="str">
        <x:v>Mercedes S-Class Service &amp; Repair Dubai | Digi-Tec</x:v>
      </x:c>
    </x:row>
    <x:row r="217" ht="34" customHeight="1">
      <x:c r="A217" s="21" t="str">
        <x:v>Suggested title</x:v>
      </x:c>
      <x:c r="B217" s="13" t="str">
        <x:v>Mercedes S-Class Service &amp; Repair Dubai | Digi-Tec</x:v>
      </x:c>
    </x:row>
    <x:row r="218" ht="34" customHeight="1">
      <x:c r="A218" s="21" t="str">
        <x:v>Suggested H1</x:v>
      </x:c>
      <x:c r="B218" s="13" t="str">
        <x:v>Mercedes S-Class Service &amp; Repair Dubai</x:v>
      </x:c>
    </x:row>
    <x:row r="219" ht="110" customHeight="1">
      <x:c r="A219" s="21" t="str">
        <x:v>Content changes</x:v>
      </x:c>
      <x:c r="B219" s="13" t="str">
        <x:v>Keep the existing canonical URL and model-specific content. Check query-to-page data and index status before rewriting. Add only verified variant coverage, a real model repair example, service scope and relevant system links. Preserve AMG versus base-model distinctions; do not copy a generic model template.</x:v>
      </x:c>
    </x:row>
    <x:row r="220" ht="90" customHeight="1">
      <x:c r="A220" s="21" t="str">
        <x:v>Internal links</x:v>
      </x:c>
      <x:c r="B220" s="13" t="str">
        <x:v>https://digitecme.com/brands/mercedes-benz-service-dubai
https://digitecme.com/services/mercedes-mechanical-repair-dubai
https://digitecme.com/services/mercedes-suspension-repair-dubai
https://digitecme.com/services/mercedes-transmission-repair-dubai</x:v>
      </x:c>
    </x:row>
    <x:row r="221" ht="70" customHeight="1">
      <x:c r="A221" s="21" t="str">
        <x:v>Evidence / conditions</x:v>
      </x:c>
      <x:c r="B221" s="13" t="str">
        <x:v>Model queries often have fewer than 10 impressions. A top-five query average does not establish that this model page is the ranking URL.</x:v>
      </x:c>
    </x:row>
    <x:row r="222" ht="65" customHeight="1">
      <x:c r="A222" s="21" t="str">
        <x:v>Example queries</x:v>
      </x:c>
      <x:c r="B222" s="13" t="str">
        <x:v>mercedes benz s65 amg service dubai; mercedes benz s class coupe service dubai; mercedes benz s65 amg coupe service dubai; mercedes benz s class service dubai</x:v>
      </x:c>
    </x:row>
    <x:row r="223">
      <x:c r="A223" s="2"/>
      <x:c r="B223" s="2"/>
    </x:row>
    <x:row r="224" ht="30" customHeight="1">
      <x:c r="A224" s="20" t="str">
        <x:v>S63</x:v>
      </x:c>
      <x:c r="B224" s="20" t="str">
        <x:v>Mercedes-AMG S63</x:v>
      </x:c>
    </x:row>
    <x:row r="225" ht="32" customHeight="1">
      <x:c r="A225" s="21" t="str">
        <x:v>Target URL</x:v>
      </x:c>
      <x:c r="B225" s="13" t="str">
        <x:v>https://digitecme.com/mercedes/models/s63-service-repair-dubai</x:v>
      </x:c>
    </x:row>
    <x:row r="226" ht="34" customHeight="1">
      <x:c r="A226" s="21" t="str">
        <x:v>Current live title</x:v>
      </x:c>
      <x:c r="B226" s="13" t="str">
        <x:v>Mercedes-AMG S63 Service &amp; Repair Dubai | Digi-Tec</x:v>
      </x:c>
    </x:row>
    <x:row r="227" ht="34" customHeight="1">
      <x:c r="A227" s="21" t="str">
        <x:v>Suggested title</x:v>
      </x:c>
      <x:c r="B227" s="13" t="str">
        <x:v>Mercedes-AMG S63 Service &amp; Repair Dubai | Digi-Tec</x:v>
      </x:c>
    </x:row>
    <x:row r="228" ht="34" customHeight="1">
      <x:c r="A228" s="21" t="str">
        <x:v>Suggested H1</x:v>
      </x:c>
      <x:c r="B228" s="13" t="str">
        <x:v>Mercedes-AMG S63 Service &amp; Repair Dubai</x:v>
      </x:c>
    </x:row>
    <x:row r="229" ht="110" customHeight="1">
      <x:c r="A229" s="21" t="str">
        <x:v>Content changes</x:v>
      </x:c>
      <x:c r="B229" s="13" t="str">
        <x:v>Keep the existing canonical URL and model-specific content. Check query-to-page data and index status before rewriting. Add only verified variant coverage, a real model repair example, service scope and relevant system links. Preserve AMG versus base-model distinctions; do not copy a generic model template.</x:v>
      </x:c>
    </x:row>
    <x:row r="230" ht="90" customHeight="1">
      <x:c r="A230" s="21" t="str">
        <x:v>Internal links</x:v>
      </x:c>
      <x:c r="B230" s="13" t="str">
        <x:v>https://digitecme.com/brands/mercedes-benz-service-dubai
https://digitecme.com/services/mercedes-mechanical-repair-dubai
https://digitecme.com/services/mercedes-suspension-repair-dubai
https://digitecme.com/services/mercedes-transmission-repair-dubai</x:v>
      </x:c>
    </x:row>
    <x:row r="231" ht="70" customHeight="1">
      <x:c r="A231" s="21" t="str">
        <x:v>Evidence / conditions</x:v>
      </x:c>
      <x:c r="B231" s="13" t="str">
        <x:v>Model queries often have fewer than 10 impressions. A top-five query average does not establish that this model page is the ranking URL.</x:v>
      </x:c>
    </x:row>
    <x:row r="232" ht="65" customHeight="1">
      <x:c r="A232" s="21" t="str">
        <x:v>Example queries</x:v>
      </x:c>
      <x:c r="B232" s="13" t="str">
        <x:v>mercedes benz s63 amg service dubai; mercedes benz s63 amg coupe service dubai</x:v>
      </x:c>
    </x:row>
    <x:row r="233">
      <x:c r="A233" s="2"/>
      <x:c r="B233" s="2"/>
    </x:row>
    <x:row r="234" ht="30" customHeight="1">
      <x:c r="A234" s="20" t="str">
        <x:v>E63</x:v>
      </x:c>
      <x:c r="B234" s="20" t="str">
        <x:v>Mercedes-AMG E63</x:v>
      </x:c>
    </x:row>
    <x:row r="235" ht="32" customHeight="1">
      <x:c r="A235" s="21" t="str">
        <x:v>Target URL</x:v>
      </x:c>
      <x:c r="B235" s="13" t="str">
        <x:v>https://digitecme.com/mercedes/models/e63-service-repair-dubai</x:v>
      </x:c>
    </x:row>
    <x:row r="236" ht="34" customHeight="1">
      <x:c r="A236" s="21" t="str">
        <x:v>Current live title</x:v>
      </x:c>
      <x:c r="B236" s="13" t="str">
        <x:v>Mercedes-AMG E63 Service &amp; Repair Dubai | Digi-Tec</x:v>
      </x:c>
    </x:row>
    <x:row r="237" ht="34" customHeight="1">
      <x:c r="A237" s="21" t="str">
        <x:v>Suggested title</x:v>
      </x:c>
      <x:c r="B237" s="13" t="str">
        <x:v>Mercedes-AMG E63 Service &amp; Repair Dubai | Digi-Tec</x:v>
      </x:c>
    </x:row>
    <x:row r="238" ht="34" customHeight="1">
      <x:c r="A238" s="21" t="str">
        <x:v>Suggested H1</x:v>
      </x:c>
      <x:c r="B238" s="13" t="str">
        <x:v>Mercedes-AMG E63 Service &amp; Repair Dubai</x:v>
      </x:c>
    </x:row>
    <x:row r="239" ht="110" customHeight="1">
      <x:c r="A239" s="21" t="str">
        <x:v>Content changes</x:v>
      </x:c>
      <x:c r="B239" s="13" t="str">
        <x:v>Keep the existing canonical URL and model-specific content. Check query-to-page data and index status before rewriting. Add only verified variant coverage, a real model repair example, service scope and relevant system links. Preserve AMG versus base-model distinctions; do not copy a generic model template.</x:v>
      </x:c>
    </x:row>
    <x:row r="240" ht="90" customHeight="1">
      <x:c r="A240" s="21" t="str">
        <x:v>Internal links</x:v>
      </x:c>
      <x:c r="B240" s="13" t="str">
        <x:v>https://digitecme.com/brands/mercedes-benz-service-dubai
https://digitecme.com/services/mercedes-mechanical-repair-dubai
https://digitecme.com/services/mercedes-suspension-repair-dubai
https://digitecme.com/services/mercedes-transmission-repair-dubai</x:v>
      </x:c>
    </x:row>
    <x:row r="241" ht="70" customHeight="1">
      <x:c r="A241" s="21" t="str">
        <x:v>Evidence / conditions</x:v>
      </x:c>
      <x:c r="B241" s="13" t="str">
        <x:v>Model queries often have fewer than 10 impressions. A top-five query average does not establish that this model page is the ranking URL.</x:v>
      </x:c>
    </x:row>
    <x:row r="242" ht="65" customHeight="1">
      <x:c r="A242" s="21" t="str">
        <x:v>Example queries</x:v>
      </x:c>
      <x:c r="B242" s="13" t="str">
        <x:v>mercedes benz e63 amg service dubai</x:v>
      </x:c>
    </x:row>
    <x:row r="243">
      <x:c r="A243" s="2"/>
      <x:c r="B243" s="2"/>
    </x:row>
    <x:row r="244" ht="30" customHeight="1">
      <x:c r="A244" s="20" t="str">
        <x:v>INTERVAL</x:v>
      </x:c>
      <x:c r="B244" s="20" t="str">
        <x:v>Service schedule and codes</x:v>
      </x:c>
    </x:row>
    <x:row r="245" ht="32" customHeight="1">
      <x:c r="A245" s="21" t="str">
        <x:v>Target URL</x:v>
      </x:c>
      <x:c r="B245" s="13" t="str">
        <x:v>https://digitecme.com/blog/mercedes-service-intervals-dubai-heat</x:v>
      </x:c>
    </x:row>
    <x:row r="246" ht="34" customHeight="1">
      <x:c r="A246" s="21" t="str">
        <x:v>Current live title</x:v>
      </x:c>
      <x:c r="B246" s="13" t="str">
        <x:v>Mercedes Service Intervals Dubai | Digitec Performance</x:v>
      </x:c>
    </x:row>
    <x:row r="247" ht="34" customHeight="1">
      <x:c r="A247" s="21" t="str">
        <x:v>Suggested title</x:v>
      </x:c>
      <x:c r="B247" s="13" t="str">
        <x:v>Mercedes Service Intervals &amp; ASSYST Dubai | Digi-Tec</x:v>
      </x:c>
    </x:row>
    <x:row r="248" ht="34" customHeight="1">
      <x:c r="A248" s="21" t="str">
        <x:v>Suggested H1</x:v>
      </x:c>
      <x:c r="B248" s="13" t="str">
        <x:v>Mercedes Service Intervals &amp; ASSYST in Dubai</x:v>
      </x:c>
    </x:row>
    <x:row r="249" ht="110" customHeight="1">
      <x:c r="A249" s="21" t="str">
        <x:v>Content changes</x:v>
      </x:c>
      <x:c r="B249" s="13" t="str">
        <x:v>Explain schedule selection from VIN, model year, service history and ASSYST. Add a concise service-code section for A3/A9/AH only after technical review. Do not present one fixed interval or code checklist for every car.</x:v>
      </x:c>
    </x:row>
    <x:row r="250" ht="90" customHeight="1">
      <x:c r="A250" s="21" t="str">
        <x:v>Internal links</x:v>
      </x:c>
      <x:c r="B250" s="13" t="str">
        <x:v>https://digitecme.com/brands/mercedes-benz-service-dubai
https://digitecme.com/blog/mercedes-service-cost-dubai-guide</x:v>
      </x:c>
    </x:row>
    <x:row r="251" ht="70" customHeight="1">
      <x:c r="A251" s="21" t="str">
        <x:v>Evidence / conditions</x:v>
      </x:c>
      <x:c r="B251" s="13" t="str">
        <x:v>Very small query samples; keep this guide informational.</x:v>
      </x:c>
    </x:row>
    <x:row r="252" ht="65" customHeight="1">
      <x:c r="A252" s="21" t="str">
        <x:v>Example queries</x:v>
      </x:c>
      <x:c r="B252" s="13" t="str">
        <x:v>mercedes a3 service; mercedes service schedule; service ah mercedes; mercedes a9 service</x:v>
      </x:c>
    </x:row>
    <x:row r="253">
      <x:c r="A253" s="2"/>
      <x:c r="B253" s="2"/>
    </x:row>
    <x:row r="254" ht="30" customHeight="1">
      <x:c r="A254" s="20" t="str">
        <x:v>PPF</x:v>
      </x:c>
      <x:c r="B254" s="20" t="str">
        <x:v>Mercedes paint protection</x:v>
      </x:c>
    </x:row>
    <x:row r="255" ht="32" customHeight="1">
      <x:c r="A255" s="21" t="str">
        <x:v>Target URL</x:v>
      </x:c>
      <x:c r="B255" s="13" t="str">
        <x:v>https://digitecme.com/services/paint-protection-film</x:v>
      </x:c>
    </x:row>
    <x:row r="256" ht="34" customHeight="1">
      <x:c r="A256" s="21" t="str">
        <x:v>Current live title</x:v>
      </x:c>
      <x:c r="B256" s="13" t="str">
        <x:v>PPF Dubai | Paint Protection Film for Cars | DIGI-TEC</x:v>
      </x:c>
    </x:row>
    <x:row r="257" ht="34" customHeight="1">
      <x:c r="A257" s="21" t="str">
        <x:v>Suggested title</x:v>
      </x:c>
      <x:c r="B257" s="13" t="str">
        <x:v>PPF Dubai | Paint Protection Film for Cars | DIGI-TEC</x:v>
      </x:c>
    </x:row>
    <x:row r="258" ht="34" customHeight="1">
      <x:c r="A258" s="21" t="str">
        <x:v>Suggested H1</x:v>
      </x:c>
      <x:c r="B258" s="13" t="str">
        <x:v>Paint Protection Film (PPF) Dubai</x:v>
      </x:c>
    </x:row>
    <x:row r="259" ht="110" customHeight="1">
      <x:c r="A259" s="21" t="str">
        <x:v>Content changes</x:v>
      </x:c>
      <x:c r="B259" s="13" t="str">
        <x:v>Keep the existing PPF page. Add a Mercedes project only when original work and package details are available. Link from bodywork and the Mercedes hub as relevant.</x:v>
      </x:c>
    </x:row>
    <x:row r="260" ht="90" customHeight="1">
      <x:c r="A260" s="21" t="str">
        <x:v>Internal links</x:v>
      </x:c>
      <x:c r="B260" s="13" t="str">
        <x:v>https://digitecme.com/brands/mercedes-benz-service-dubai
https://digitecme.com/services/mercedes-body-repair-dubai</x:v>
      </x:c>
    </x:row>
    <x:row r="261" ht="70" customHeight="1">
      <x:c r="A261" s="21" t="str">
        <x:v>Evidence / conditions</x:v>
      </x:c>
      <x:c r="B261" s="13" t="str">
        <x:v>Seven impressions; no separate Mercedes PPF page justified by this export alone.</x:v>
      </x:c>
    </x:row>
    <x:row r="262" ht="65" customHeight="1">
      <x:c r="A262" s="21" t="str">
        <x:v>Example queries</x:v>
      </x:c>
      <x:c r="B262" s="13" t="str">
        <x:v>mercedes ppf</x:v>
      </x:c>
    </x:row>
    <x:row r="263">
      <x:c r="A263" s="2"/>
      <x:c r="B263" s="2"/>
    </x:row>
    <x:row r="264" ht="30" customHeight="1">
      <x:c r="A264" s="20" t="str">
        <x:v>MAYBACH</x:v>
      </x:c>
      <x:c r="B264" s="20" t="str">
        <x:v>Mercedes-Maybach</x:v>
      </x:c>
    </x:row>
    <x:row r="265" ht="32" customHeight="1">
      <x:c r="A265" s="21" t="str">
        <x:v>Target URL</x:v>
      </x:c>
      <x:c r="B265" s="13" t="str">
        <x:v>https://digitecme.com/brands/maybach-service-dubai</x:v>
      </x:c>
    </x:row>
    <x:row r="266" ht="34" customHeight="1">
      <x:c r="A266" s="21" t="str">
        <x:v>Current live title</x:v>
      </x:c>
      <x:c r="B266" s="13" t="str">
        <x:v>Not checked</x:v>
      </x:c>
    </x:row>
    <x:row r="267" ht="34" customHeight="1">
      <x:c r="A267" s="21" t="str">
        <x:v>Suggested title</x:v>
      </x:c>
      <x:c r="B267" s="13" t="str">
        <x:v>Maybach Repair &amp; Service Dubai | Digi-Tec</x:v>
      </x:c>
    </x:row>
    <x:row r="268" ht="34" customHeight="1">
      <x:c r="A268" s="21" t="str">
        <x:v>Suggested H1</x:v>
      </x:c>
      <x:c r="B268" s="13" t="str">
        <x:v>Maybach Repair &amp; Service in Dubai</x:v>
      </x:c>
    </x:row>
    <x:row r="269" ht="110" customHeight="1">
      <x:c r="A269" s="21" t="str">
        <x:v>Content changes</x:v>
      </x:c>
      <x:c r="B269" s="13" t="str">
        <x:v>Keep S-Class Maybach intent on the dedicated Maybach hub and add relevant links from Mercedes S-Class content. Preserve Maybach-specific evidence and supported scope.</x:v>
      </x:c>
    </x:row>
    <x:row r="270" ht="90" customHeight="1">
      <x:c r="A270" s="21" t="str">
        <x:v>Internal links</x:v>
      </x:c>
      <x:c r="B270" s="13" t="str">
        <x:v>https://digitecme.com/brands/mercedes-benz-service-dubai
https://digitecme.com/blog/mercedes-s-class-service-dubai-guide</x:v>
      </x:c>
    </x:row>
    <x:row r="271" ht="70" customHeight="1">
      <x:c r="A271" s="21" t="str">
        <x:v>Evidence / conditions</x:v>
      </x:c>
      <x:c r="B271" s="13" t="str">
        <x:v>One query has five impressions; refresh joint query-page data before investing in an expansion.</x:v>
      </x:c>
    </x:row>
    <x:row r="272" ht="65" customHeight="1">
      <x:c r="A272" s="21" t="str">
        <x:v>Example queries</x:v>
      </x:c>
      <x:c r="B272" s="13" t="str">
        <x:v>mercedes benz s class maybach service dubai</x:v>
      </x:c>
    </x:row>
    <x:row r="273">
      <x:c r="A273" s="2"/>
      <x:c r="B273" s="2"/>
    </x:row>
    <x:row r="274" ht="30" customHeight="1">
      <x:c r="A274" s="20" t="str">
        <x:v>AR</x:v>
      </x:c>
      <x:c r="B274" s="20" t="str">
        <x:v>Arabic Mercedes repair</x:v>
      </x:c>
    </x:row>
    <x:row r="275" ht="32" customHeight="1">
      <x:c r="A275" s="21" t="str">
        <x:v>Target URL</x:v>
      </x:c>
      <x:c r="B275" s="13" t="str">
        <x:v>https://digitecme.com/ar/brands/mercedes-benz-service-dubai</x:v>
      </x:c>
    </x:row>
    <x:row r="276" ht="34" customHeight="1">
      <x:c r="A276" s="21" t="str">
        <x:v>Current live title</x:v>
      </x:c>
      <x:c r="B276" s="13" t="str">
        <x:v>إصلاح وصيانة Mercedes-Benz في دبي | مركز ديجي-تك</x:v>
      </x:c>
    </x:row>
    <x:row r="277" ht="34" customHeight="1">
      <x:c r="A277" s="21" t="str">
        <x:v>Suggested title</x:v>
      </x:c>
      <x:c r="B277" s="13" t="str">
        <x:v>إصلاح وصيانة مرسيدس في دبي | ديجي-تك</x:v>
      </x:c>
    </x:row>
    <x:row r="278" ht="34" customHeight="1">
      <x:c r="A278" s="21" t="str">
        <x:v>Suggested H1</x:v>
      </x:c>
      <x:c r="B278" s="13" t="str">
        <x:v>إصلاح وصيانة مرسيدس بنز في دبي</x:v>
      </x:c>
    </x:row>
    <x:row r="279" ht="110" customHeight="1">
      <x:c r="A279" s="21" t="str">
        <x:v>Content changes</x:v>
      </x:c>
      <x:c r="B279" s="13" t="str">
        <x:v>Use natural Arabic brand wording after native-language review. Keep Arabic content, canonical and reciprocal language links accurate. Support the same confirmed workshop and booking details as English.</x:v>
      </x:c>
    </x:row>
    <x:row r="280" ht="90" customHeight="1">
      <x:c r="A280" s="21" t="str">
        <x:v>Internal links</x:v>
      </x:c>
      <x:c r="B280" s="13" t="str">
        <x:v>https://digitecme.com/brands/mercedes-benz-service-dubai</x:v>
      </x:c>
    </x:row>
    <x:row r="281" ht="70" customHeight="1">
      <x:c r="A281" s="21" t="str">
        <x:v>Evidence / conditions</x:v>
      </x:c>
      <x:c r="B281" s="13" t="str">
        <x:v>One mixed Arabic/English query has five impressions. Proposed Arabic metadata requires language review.</x:v>
      </x:c>
    </x:row>
    <x:row r="282" ht="65" customHeight="1">
      <x:c r="A282" s="21" t="str">
        <x:v>Example queries</x:v>
      </x:c>
      <x:c r="B282" s="13" t="str">
        <x:v>إصلاح mercedes دبي</x:v>
      </x:c>
    </x:row>
    <x:row r="283">
      <x:c r="A283" s="2"/>
      <x:c r="B283" s="2"/>
    </x:row>
    <x:row r="284" ht="30" customHeight="1">
      <x:c r="A284" s="20" t="str">
        <x:v>COST</x:v>
      </x:c>
      <x:c r="B284" s="20" t="str">
        <x:v>Service cost guide</x:v>
      </x:c>
    </x:row>
    <x:row r="285" ht="32" customHeight="1">
      <x:c r="A285" s="21" t="str">
        <x:v>Target URL</x:v>
      </x:c>
      <x:c r="B285" s="13" t="str">
        <x:v>https://digitecme.com/blog/mercedes-service-cost-dubai-guide</x:v>
      </x:c>
    </x:row>
    <x:row r="286" ht="34" customHeight="1">
      <x:c r="A286" s="21" t="str">
        <x:v>Current live title</x:v>
      </x:c>
      <x:c r="B286" s="13" t="str">
        <x:v>Mercedes Service Dubai | Intervals, Scope and Cost Factors</x:v>
      </x:c>
    </x:row>
    <x:row r="287" ht="34" customHeight="1">
      <x:c r="A287" s="21" t="str">
        <x:v>Suggested title</x:v>
      </x:c>
      <x:c r="B287" s="13" t="str">
        <x:v>Mercedes Service Cost Dubai | A &amp; B Scope | Digi-Tec</x:v>
      </x:c>
    </x:row>
    <x:row r="288" ht="34" customHeight="1">
      <x:c r="A288" s="21" t="str">
        <x:v>Suggested H1</x:v>
      </x:c>
      <x:c r="B288" s="13" t="str">
        <x:v>Mercedes Service Cost in Dubai: Service A &amp; B Scope</x:v>
      </x:c>
    </x:row>
    <x:row r="289" ht="110" customHeight="1">
      <x:c r="A289" s="21" t="str">
        <x:v>Content changes</x:v>
      </x:c>
      <x:c r="B289" s="13" t="str">
        <x:v>Retain the guide URL; refocus title/H1 on cost and scope rather than broad service booking. Add real priced examples only if workshop-approved, dated and explicit about VAT, included work and vehicle assumptions. Otherwise explain quote factors clearly.</x:v>
      </x:c>
    </x:row>
    <x:row r="290" ht="90" customHeight="1">
      <x:c r="A290" s="21" t="str">
        <x:v>Internal links</x:v>
      </x:c>
      <x:c r="B290" s="13" t="str">
        <x:v>https://digitecme.com/brands/mercedes-benz-service-dubai
https://digitecme.com/services/mercedes-oil-change-dubai</x:v>
      </x:c>
    </x:row>
    <x:row r="291" ht="70" customHeight="1">
      <x:c r="A291" s="21" t="str">
        <x:v>Evidence / conditions</x:v>
      </x:c>
      <x:c r="B291" s="13" t="str">
        <x:v>Current live title begins Mercedes Service Dubai and overlaps the commercial hub. Confirm overlap in joint data before considering any consolidation.</x:v>
      </x:c>
    </x:row>
    <x:row r="292" ht="65" customHeight="1">
      <x:c r="A292" s="21" t="str">
        <x:v>Example queries</x:v>
      </x:c>
      <x:c r="B292" s="13" t="str">
        <x:v>mercedes car service cost dubai</x:v>
      </x:c>
    </x:row>
    <x:row r="293">
      <x:c r="A293" s="2"/>
      <x:c r="B293" s="2"/>
    </x:row>
    <x:row r="294" ht="30" customHeight="1">
      <x:c r="A294" s="20" t="str">
        <x:v>OWNERSHIP</x:v>
      </x:c>
      <x:c r="B294" s="20" t="str">
        <x:v>Ownership and Gulf reliability</x:v>
      </x:c>
    </x:row>
    <x:row r="295" ht="32" customHeight="1">
      <x:c r="A295" s="21" t="str">
        <x:v>Target URL</x:v>
      </x:c>
      <x:c r="B295" s="13" t="str">
        <x:v>https://digitecme.com/blog/mercedes-benz-maintenance-guide-dubai</x:v>
      </x:c>
    </x:row>
    <x:row r="296" ht="34" customHeight="1">
      <x:c r="A296" s="21" t="str">
        <x:v>Current live title</x:v>
      </x:c>
      <x:c r="B296" s="13" t="str">
        <x:v>Mercedes-Benz Maintenance Dubai | DIGI-TEC</x:v>
      </x:c>
    </x:row>
    <x:row r="297" ht="34" customHeight="1">
      <x:c r="A297" s="21" t="str">
        <x:v>Suggested title</x:v>
      </x:c>
      <x:c r="B297" s="13" t="str">
        <x:v>Mercedes-Benz Maintenance Dubai | DIGI-TEC</x:v>
      </x:c>
    </x:row>
    <x:row r="298" ht="34" customHeight="1">
      <x:c r="A298" s="21" t="str">
        <x:v>Suggested H1</x:v>
      </x:c>
      <x:c r="B298" s="13" t="str">
        <x:v>Mercedes-Benz Maintenance Guide for Dubai Owners</x:v>
      </x:c>
    </x:row>
    <x:row r="299" ht="110" customHeight="1">
      <x:c r="A299" s="21" t="str">
        <x:v>Content changes</x:v>
      </x:c>
      <x:c r="B299" s="13" t="str">
        <x:v>Answer Gulf ownership concerns with documented maintenance considerations, history, inspection and model-dependent cost factors. Explain that reliability varies with condition and maintenance; avoid unsupported universal claims.</x:v>
      </x:c>
    </x:row>
    <x:row r="300" ht="90" customHeight="1">
      <x:c r="A300" s="21" t="str">
        <x:v>Internal links</x:v>
      </x:c>
      <x:c r="B300" s="13" t="str">
        <x:v>https://digitecme.com/brands/mercedes-benz-service-dubai
https://digitecme.com/blog/pre-purchase-inspection-dubai-guide</x:v>
      </x:c>
    </x:row>
    <x:row r="301" ht="70" customHeight="1">
      <x:c r="A301" s="21" t="str">
        <x:v>Evidence / conditions</x:v>
      </x:c>
      <x:c r="B301" s="13" t="str">
        <x:v>The long reliability question is a two-impression informational query, not a reason for a new landing page.</x:v>
      </x:c>
    </x:row>
    <x:row r="302" ht="65" customHeight="1">
      <x:c r="A302" s="21" t="str">
        <x:v>Example queries</x:v>
      </x:c>
      <x:c r="B302" s="13" t="str">
        <x:v>49. i'm worried about long-term reliability — is mercedes-benz a safe 
choice in the gulf?</x:v>
      </x:c>
    </x:row>
    <x:row r="303">
      <x:c r="A303" s="2"/>
      <x:c r="B303" s="2"/>
    </x:row>
    <x:row r="304" ht="30" customHeight="1">
      <x:c r="A304" s="20" t="str">
        <x:v>AUDIO</x:v>
      </x:c>
      <x:c r="B304" s="20" t="str">
        <x:v>Audio and stereo upgrades</x:v>
      </x:c>
    </x:row>
    <x:row r="305" ht="32" customHeight="1">
      <x:c r="A305" s="21" t="str">
        <x:v>Target URL</x:v>
      </x:c>
      <x:c r="B305" s="13" t="str">
        <x:v>https://digitecme.com/services/mercedes-audio-upgrade-dubai</x:v>
      </x:c>
    </x:row>
    <x:row r="306" ht="34" customHeight="1">
      <x:c r="A306" s="21" t="str">
        <x:v>Current live title</x:v>
      </x:c>
      <x:c r="B306" s="13" t="str">
        <x:v>Not checked</x:v>
      </x:c>
    </x:row>
    <x:row r="307" ht="34" customHeight="1">
      <x:c r="A307" s="21" t="str">
        <x:v>Suggested title</x:v>
      </x:c>
      <x:c r="B307" s="13" t="str">
        <x:v>Mercedes Audio &amp; Stereo Upgrades Dubai | Digi-Tec</x:v>
      </x:c>
    </x:row>
    <x:row r="308" ht="34" customHeight="1">
      <x:c r="A308" s="21" t="str">
        <x:v>Suggested H1</x:v>
      </x:c>
      <x:c r="B308" s="13" t="str">
        <x:v>Mercedes Audio &amp; Stereo Upgrades in Dubai</x:v>
      </x:c>
    </x:row>
    <x:row r="309" ht="110" customHeight="1">
      <x:c r="A309" s="21" t="str">
        <x:v>Content changes</x:v>
      </x:c>
      <x:c r="B309" s="13" t="str">
        <x:v>Create one dedicated page only after confirming this is a service Digi-Tec offers. Explain supported COMAND/MBUX and amplifier/speaker configurations, E-Class compatibility, factory-feature retention, installation scope and actual examples. Do not treat existing head-unit repair copy as proof of upgrade capability.</x:v>
      </x:c>
    </x:row>
    <x:row r="310" ht="90" customHeight="1">
      <x:c r="A310" s="21" t="str">
        <x:v>Internal links</x:v>
      </x:c>
      <x:c r="B310" s="13" t="str">
        <x:v>https://digitecme.com/services/mercedes-electrical-repair-dubai
https://digitecme.com/blog/mercedes-e-class-service-dubai-guide</x:v>
      </x:c>
    </x:row>
    <x:row r="311" ht="70" customHeight="1">
      <x:c r="A311" s="21" t="str">
        <x:v>Evidence / conditions</x:v>
      </x:c>
      <x:c r="B311" s="13" t="str">
        <x:v>Three audio upgrade queries total 375 impressions with average positions 55.81, 58.62 and 60.87. This is a service-coverage decision, not a quick ranking gain.</x:v>
      </x:c>
    </x:row>
    <x:row r="312" ht="65" customHeight="1">
      <x:c r="A312" s="21" t="str">
        <x:v>Example queries</x:v>
      </x:c>
      <x:c r="B312" s="13" t="str">
        <x:v>mercedes stereo upgrade in dubai; mercedes e class audio upgrade in dubai; mercedes sound system upgrade in dubai</x:v>
      </x:c>
    </x:row>
    <x:row r="313">
      <x:c r="A313" s="2"/>
      <x:c r="B313" s="2"/>
    </x:row>
    <x:row r="314">
      <x:c r="A314" s="2"/>
      <x:c r="B314" s="2"/>
    </x:row>
  </x:sheetData>
  <x:pageMargins left="0.7" right="0.7" top="0.75" bottom="0.75" header="0.3" footer="0.3"/>
</x:worksheet>
</file>

<file path=xl/worksheets/sheet5.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02" hidden="0" customWidth="1"/>
    <x:col min="2" max="2" width="13" hidden="0" customWidth="1"/>
    <x:col min="3" max="3" width="15" hidden="0" customWidth="1"/>
    <x:col min="4" max="4" width="15" hidden="0" customWidth="1"/>
    <x:col min="5" max="5" width="18" hidden="0" customWidth="1"/>
  </x:cols>
  <x:sheetData>
    <x:row r="1" ht="30" customHeight="1">
      <x:c r="A1" s="3" t="str">
        <x:v>Search Console page baseline</x:v>
      </x:c>
      <x:c r="B1" s="2"/>
      <x:c r="C1" s="2"/>
      <x:c r="D1" s="2"/>
      <x:c r="E1" s="2"/>
    </x:row>
    <x:row r="2" ht="25" customHeight="1">
      <x:c r="A2" s="5" t="str">
        <x:v>All 61 exported page rows | Separate from the query table; these rows cannot establish query-to-page relationships</x:v>
      </x:c>
      <x:c r="B2" s="4"/>
      <x:c r="C2" s="4"/>
      <x:c r="D2" s="4"/>
      <x:c r="E2" s="4"/>
    </x:row>
    <x:row r="3">
      <x:c r="A3" s="2"/>
      <x:c r="B3" s="2"/>
      <x:c r="C3" s="2"/>
      <x:c r="D3" s="2"/>
      <x:c r="E3" s="2"/>
    </x:row>
    <x:row r="4" ht="34" customHeight="1">
      <x:c r="A4" s="10" t="str">
        <x:v>Exact exported page URL</x:v>
      </x:c>
      <x:c r="B4" s="11" t="str">
        <x:v>Clicks</x:v>
      </x:c>
      <x:c r="C4" s="11" t="str">
        <x:v>Impressions</x:v>
      </x:c>
      <x:c r="D4" s="11" t="str">
        <x:v>Exported CTR</x:v>
      </x:c>
      <x:c r="E4" s="12" t="str">
        <x:v>Average position</x:v>
      </x:c>
    </x:row>
    <x:row r="5" ht="33" customHeight="1">
      <x:c r="A5" s="13" t="str">
        <x:v>https://digitecme.com/brands/mercedes-benz-service-dubai</x:v>
      </x:c>
      <x:c r="B5" s="14" t="n">
        <x:v>13</x:v>
      </x:c>
      <x:c r="C5" s="14" t="n">
        <x:v>3828</x:v>
      </x:c>
      <x:c r="D5" s="15" t="n">
        <x:v>0.0034000000000000002</x:v>
      </x:c>
      <x:c r="E5" s="16" t="n">
        <x:v>13.27</x:v>
      </x:c>
    </x:row>
    <x:row r="6" ht="33" customHeight="1">
      <x:c r="A6" s="13" t="str">
        <x:v>https://digitecme.com/services/mercedes-repair-dubai</x:v>
      </x:c>
      <x:c r="B6" s="14" t="n">
        <x:v>4</x:v>
      </x:c>
      <x:c r="C6" s="14" t="n">
        <x:v>4625</x:v>
      </x:c>
      <x:c r="D6" s="15" t="n">
        <x:v>0.0009</x:v>
      </x:c>
      <x:c r="E6" s="16" t="n">
        <x:v>23.39</x:v>
      </x:c>
    </x:row>
    <x:row r="7" ht="33" customHeight="1">
      <x:c r="A7" s="13" t="str">
        <x:v>https://digitecme.com/tuning</x:v>
      </x:c>
      <x:c r="B7" s="14" t="n">
        <x:v>1</x:v>
      </x:c>
      <x:c r="C7" s="14" t="n">
        <x:v>533</x:v>
      </x:c>
      <x:c r="D7" s="15" t="n">
        <x:v>0.0019</x:v>
      </x:c>
      <x:c r="E7" s="16" t="n">
        <x:v>44.51</x:v>
      </x:c>
    </x:row>
    <x:row r="8" ht="33" customHeight="1">
      <x:c r="A8" s="13" t="str">
        <x:v>https://digitecme.com/</x:v>
      </x:c>
      <x:c r="B8" s="14" t="n">
        <x:v>1</x:v>
      </x:c>
      <x:c r="C8" s="14" t="n">
        <x:v>73</x:v>
      </x:c>
      <x:c r="D8" s="15" t="n">
        <x:v>0.0137</x:v>
      </x:c>
      <x:c r="E8" s="16" t="n">
        <x:v>35.58</x:v>
      </x:c>
    </x:row>
    <x:row r="9" ht="33" customHeight="1">
      <x:c r="A9" s="13" t="str">
        <x:v>https://digitecme.com/services/suspension-repair-dubai</x:v>
      </x:c>
      <x:c r="B9" s="14" t="n">
        <x:v>0</x:v>
      </x:c>
      <x:c r="C9" s="14" t="n">
        <x:v>217</x:v>
      </x:c>
      <x:c r="D9" s="15" t="n">
        <x:v>0</x:v>
      </x:c>
      <x:c r="E9" s="16" t="n">
        <x:v>25.09</x:v>
      </x:c>
    </x:row>
    <x:row r="10" ht="33" customHeight="1">
      <x:c r="A10" s="13" t="str">
        <x:v>https://digitecme.com/services/mercedes-repair-dubai/</x:v>
      </x:c>
      <x:c r="B10" s="14" t="n">
        <x:v>0</x:v>
      </x:c>
      <x:c r="C10" s="14" t="n">
        <x:v>169</x:v>
      </x:c>
      <x:c r="D10" s="15" t="n">
        <x:v>0</x:v>
      </x:c>
      <x:c r="E10" s="16" t="n">
        <x:v>22.08</x:v>
      </x:c>
    </x:row>
    <x:row r="11" ht="33" customHeight="1">
      <x:c r="A11" s="13" t="str">
        <x:v>https://digitecme.com/services/mercedes-oil-change-dubai/</x:v>
      </x:c>
      <x:c r="B11" s="14" t="n">
        <x:v>0</x:v>
      </x:c>
      <x:c r="C11" s="14" t="n">
        <x:v>167</x:v>
      </x:c>
      <x:c r="D11" s="15" t="n">
        <x:v>0</x:v>
      </x:c>
      <x:c r="E11" s="16" t="n">
        <x:v>28.51</x:v>
      </x:c>
    </x:row>
    <x:row r="12" ht="33" customHeight="1">
      <x:c r="A12" s="13" t="str">
        <x:v>https://digitecme.com/services/oil-change-dubai</x:v>
      </x:c>
      <x:c r="B12" s="14" t="n">
        <x:v>0</x:v>
      </x:c>
      <x:c r="C12" s="14" t="n">
        <x:v>167</x:v>
      </x:c>
      <x:c r="D12" s="15" t="n">
        <x:v>0</x:v>
      </x:c>
      <x:c r="E12" s="16" t="n">
        <x:v>29.23</x:v>
      </x:c>
    </x:row>
    <x:row r="13" ht="33" customHeight="1">
      <x:c r="A13" s="13" t="str">
        <x:v>https://digitecme.com/services/car-ac-repair-dubai</x:v>
      </x:c>
      <x:c r="B13" s="14" t="n">
        <x:v>0</x:v>
      </x:c>
      <x:c r="C13" s="14" t="n">
        <x:v>134</x:v>
      </x:c>
      <x:c r="D13" s="15" t="n">
        <x:v>0</x:v>
      </x:c>
      <x:c r="E13" s="16" t="n">
        <x:v>21.22</x:v>
      </x:c>
    </x:row>
    <x:row r="14" ht="33" customHeight="1">
      <x:c r="A14" s="13" t="str">
        <x:v>https://digitecme.com/best-mercedes-workshop-dubai</x:v>
      </x:c>
      <x:c r="B14" s="14" t="n">
        <x:v>0</x:v>
      </x:c>
      <x:c r="C14" s="14" t="n">
        <x:v>104</x:v>
      </x:c>
      <x:c r="D14" s="15" t="n">
        <x:v>0</x:v>
      </x:c>
      <x:c r="E14" s="16" t="n">
        <x:v>15.83</x:v>
      </x:c>
    </x:row>
    <x:row r="15" ht="33" customHeight="1">
      <x:c r="A15" s="13" t="str">
        <x:v>https://digitecme.com/services/mercedes-ac-repair-dubai/</x:v>
      </x:c>
      <x:c r="B15" s="14" t="n">
        <x:v>0</x:v>
      </x:c>
      <x:c r="C15" s="14" t="n">
        <x:v>92</x:v>
      </x:c>
      <x:c r="D15" s="15" t="n">
        <x:v>0</x:v>
      </x:c>
      <x:c r="E15" s="16" t="n">
        <x:v>26.08</x:v>
      </x:c>
    </x:row>
    <x:row r="16" ht="33" customHeight="1">
      <x:c r="A16" s="13" t="str">
        <x:v>https://digitecme.com/services/car-diagnostics-dubai</x:v>
      </x:c>
      <x:c r="B16" s="14" t="n">
        <x:v>0</x:v>
      </x:c>
      <x:c r="C16" s="14" t="n">
        <x:v>90</x:v>
      </x:c>
      <x:c r="D16" s="15" t="n">
        <x:v>0</x:v>
      </x:c>
      <x:c r="E16" s="16" t="n">
        <x:v>57.53</x:v>
      </x:c>
    </x:row>
    <x:row r="17" ht="33" customHeight="1">
      <x:c r="A17" s="13" t="str">
        <x:v>https://digitecme.com/services/battery-replacement-dubai</x:v>
      </x:c>
      <x:c r="B17" s="14" t="n">
        <x:v>0</x:v>
      </x:c>
      <x:c r="C17" s="14" t="n">
        <x:v>88</x:v>
      </x:c>
      <x:c r="D17" s="15" t="n">
        <x:v>0</x:v>
      </x:c>
      <x:c r="E17" s="16" t="n">
        <x:v>22.92</x:v>
      </x:c>
    </x:row>
    <x:row r="18" ht="33" customHeight="1">
      <x:c r="A18" s="13" t="str">
        <x:v>https://digitecme.com/blog/gad-tuning-explained</x:v>
      </x:c>
      <x:c r="B18" s="14" t="n">
        <x:v>0</x:v>
      </x:c>
      <x:c r="C18" s="14" t="n">
        <x:v>75</x:v>
      </x:c>
      <x:c r="D18" s="15" t="n">
        <x:v>0</x:v>
      </x:c>
      <x:c r="E18" s="16" t="n">
        <x:v>8.07</x:v>
      </x:c>
    </x:row>
    <x:row r="19" ht="33" customHeight="1">
      <x:c r="A19" s="13" t="str">
        <x:v>https://digitecme.com/services/mercedes-body-repair-dubai/</x:v>
      </x:c>
      <x:c r="B19" s="14" t="n">
        <x:v>0</x:v>
      </x:c>
      <x:c r="C19" s="14" t="n">
        <x:v>71</x:v>
      </x:c>
      <x:c r="D19" s="15" t="n">
        <x:v>0</x:v>
      </x:c>
      <x:c r="E19" s="16" t="n">
        <x:v>40.46</x:v>
      </x:c>
    </x:row>
    <x:row r="20" ht="33" customHeight="1">
      <x:c r="A20" s="13" t="str">
        <x:v>https://digitecme.com/services/brake-repair-dubai</x:v>
      </x:c>
      <x:c r="B20" s="14" t="n">
        <x:v>0</x:v>
      </x:c>
      <x:c r="C20" s="14" t="n">
        <x:v>67</x:v>
      </x:c>
      <x:c r="D20" s="15" t="n">
        <x:v>0</x:v>
      </x:c>
      <x:c r="E20" s="16" t="n">
        <x:v>58.31</x:v>
      </x:c>
    </x:row>
    <x:row r="21" ht="33" customHeight="1">
      <x:c r="A21" s="13" t="str">
        <x:v>https://digitecme.com/services/mercedes-battery-replacement-dubai</x:v>
      </x:c>
      <x:c r="B21" s="14" t="n">
        <x:v>0</x:v>
      </x:c>
      <x:c r="C21" s="14" t="n">
        <x:v>66</x:v>
      </x:c>
      <x:c r="D21" s="15" t="n">
        <x:v>0</x:v>
      </x:c>
      <x:c r="E21" s="16" t="n">
        <x:v>17.68</x:v>
      </x:c>
    </x:row>
    <x:row r="22" ht="33" customHeight="1">
      <x:c r="A22" s="13" t="str">
        <x:v>https://digitecme.com/services/transmission-repair-dubai</x:v>
      </x:c>
      <x:c r="B22" s="14" t="n">
        <x:v>0</x:v>
      </x:c>
      <x:c r="C22" s="14" t="n">
        <x:v>64</x:v>
      </x:c>
      <x:c r="D22" s="15" t="n">
        <x:v>0</x:v>
      </x:c>
      <x:c r="E22" s="16" t="n">
        <x:v>47.17</x:v>
      </x:c>
    </x:row>
    <x:row r="23" ht="33" customHeight="1">
      <x:c r="A23" s="13" t="str">
        <x:v>https://digitecme.com/services/performance-tuning-dubai/</x:v>
      </x:c>
      <x:c r="B23" s="14" t="n">
        <x:v>0</x:v>
      </x:c>
      <x:c r="C23" s="14" t="n">
        <x:v>41</x:v>
      </x:c>
      <x:c r="D23" s="15" t="n">
        <x:v>0</x:v>
      </x:c>
      <x:c r="E23" s="16" t="n">
        <x:v>43.88</x:v>
      </x:c>
    </x:row>
    <x:row r="24" ht="33" customHeight="1">
      <x:c r="A24" s="13" t="str">
        <x:v>https://digitecme.com/blog/best-oil-change-dubai-mercedes</x:v>
      </x:c>
      <x:c r="B24" s="14" t="n">
        <x:v>0</x:v>
      </x:c>
      <x:c r="C24" s="14" t="n">
        <x:v>36</x:v>
      </x:c>
      <x:c r="D24" s="15" t="n">
        <x:v>0</x:v>
      </x:c>
      <x:c r="E24" s="16" t="n">
        <x:v>10.42</x:v>
      </x:c>
    </x:row>
    <x:row r="25" ht="33" customHeight="1">
      <x:c r="A25" s="13" t="str">
        <x:v>https://digitecme.com/services/mercedes-mechanical-repair-dubai</x:v>
      </x:c>
      <x:c r="B25" s="14" t="n">
        <x:v>0</x:v>
      </x:c>
      <x:c r="C25" s="14" t="n">
        <x:v>36</x:v>
      </x:c>
      <x:c r="D25" s="15" t="n">
        <x:v>0</x:v>
      </x:c>
      <x:c r="E25" s="16" t="n">
        <x:v>75.36</x:v>
      </x:c>
    </x:row>
    <x:row r="26" ht="33" customHeight="1">
      <x:c r="A26" s="13" t="str">
        <x:v>https://digitecme.com/blog/best-car-workshop-dubai</x:v>
      </x:c>
      <x:c r="B26" s="14" t="n">
        <x:v>0</x:v>
      </x:c>
      <x:c r="C26" s="14" t="n">
        <x:v>25</x:v>
      </x:c>
      <x:c r="D26" s="15" t="n">
        <x:v>0</x:v>
      </x:c>
      <x:c r="E26" s="16" t="n">
        <x:v>35.64</x:v>
      </x:c>
    </x:row>
    <x:row r="27" ht="33" customHeight="1">
      <x:c r="A27" s="13" t="str">
        <x:v>https://digitecme.com/blog/mercedes-benz-maintenance-guide-dubai</x:v>
      </x:c>
      <x:c r="B27" s="14" t="n">
        <x:v>0</x:v>
      </x:c>
      <x:c r="C27" s="14" t="n">
        <x:v>22</x:v>
      </x:c>
      <x:c r="D27" s="15" t="n">
        <x:v>0</x:v>
      </x:c>
      <x:c r="E27" s="16" t="n">
        <x:v>11.05</x:v>
      </x:c>
    </x:row>
    <x:row r="28" ht="33" customHeight="1">
      <x:c r="A28" s="13" t="str">
        <x:v>https://digitecme.com/brands/maybach-service-dubai/body-repair</x:v>
      </x:c>
      <x:c r="B28" s="14" t="n">
        <x:v>0</x:v>
      </x:c>
      <x:c r="C28" s="14" t="n">
        <x:v>22</x:v>
      </x:c>
      <x:c r="D28" s="15" t="n">
        <x:v>0</x:v>
      </x:c>
      <x:c r="E28" s="16" t="n">
        <x:v>21.45</x:v>
      </x:c>
    </x:row>
    <x:row r="29" ht="33" customHeight="1">
      <x:c r="A29" s="13" t="str">
        <x:v>https://digitecme.com/services/mercedes-suspension-repair-dubai/</x:v>
      </x:c>
      <x:c r="B29" s="14" t="n">
        <x:v>0</x:v>
      </x:c>
      <x:c r="C29" s="14" t="n">
        <x:v>18</x:v>
      </x:c>
      <x:c r="D29" s="15" t="n">
        <x:v>0</x:v>
      </x:c>
      <x:c r="E29" s="16" t="n">
        <x:v>41.06</x:v>
      </x:c>
    </x:row>
    <x:row r="30" ht="33" customHeight="1">
      <x:c r="A30" s="13" t="str">
        <x:v>https://digitecme.com/services/steering-repair-dubai</x:v>
      </x:c>
      <x:c r="B30" s="14" t="n">
        <x:v>0</x:v>
      </x:c>
      <x:c r="C30" s="14" t="n">
        <x:v>16</x:v>
      </x:c>
      <x:c r="D30" s="15" t="n">
        <x:v>0</x:v>
      </x:c>
      <x:c r="E30" s="16" t="n">
        <x:v>12.38</x:v>
      </x:c>
    </x:row>
    <x:row r="31" ht="33" customHeight="1">
      <x:c r="A31" s="13" t="str">
        <x:v>https://digitecme.com/blog/mercedes-amg-gt-tuning-dubai</x:v>
      </x:c>
      <x:c r="B31" s="14" t="n">
        <x:v>0</x:v>
      </x:c>
      <x:c r="C31" s="14" t="n">
        <x:v>15</x:v>
      </x:c>
      <x:c r="D31" s="15" t="n">
        <x:v>0</x:v>
      </x:c>
      <x:c r="E31" s="16" t="n">
        <x:v>14.27</x:v>
      </x:c>
    </x:row>
    <x:row r="32" ht="33" customHeight="1">
      <x:c r="A32" s="13" t="str">
        <x:v>https://digitecme.com/brands/maybach-service-dubai/transmission-repair</x:v>
      </x:c>
      <x:c r="B32" s="14" t="n">
        <x:v>0</x:v>
      </x:c>
      <x:c r="C32" s="14" t="n">
        <x:v>15</x:v>
      </x:c>
      <x:c r="D32" s="15" t="n">
        <x:v>0</x:v>
      </x:c>
      <x:c r="E32" s="16" t="n">
        <x:v>47.6</x:v>
      </x:c>
    </x:row>
    <x:row r="33" ht="33" customHeight="1">
      <x:c r="A33" s="13" t="str">
        <x:v>https://digitecme.com/services/mercedes-diagnostics-dubai</x:v>
      </x:c>
      <x:c r="B33" s="14" t="n">
        <x:v>0</x:v>
      </x:c>
      <x:c r="C33" s="14" t="n">
        <x:v>14</x:v>
      </x:c>
      <x:c r="D33" s="15" t="n">
        <x:v>0</x:v>
      </x:c>
      <x:c r="E33" s="16" t="n">
        <x:v>90.64</x:v>
      </x:c>
    </x:row>
    <x:row r="34" ht="33" customHeight="1">
      <x:c r="A34" s="13" t="str">
        <x:v>https://digitecme.com/services/exhaust-repair-dubai</x:v>
      </x:c>
      <x:c r="B34" s="14" t="n">
        <x:v>0</x:v>
      </x:c>
      <x:c r="C34" s="14" t="n">
        <x:v>13</x:v>
      </x:c>
      <x:c r="D34" s="15" t="n">
        <x:v>0</x:v>
      </x:c>
      <x:c r="E34" s="16" t="n">
        <x:v>12.46</x:v>
      </x:c>
    </x:row>
    <x:row r="35" ht="33" customHeight="1">
      <x:c r="A35" s="13" t="str">
        <x:v>https://digitecme.com/services/mercedes-transmission-repair-dubai</x:v>
      </x:c>
      <x:c r="B35" s="14" t="n">
        <x:v>0</x:v>
      </x:c>
      <x:c r="C35" s="14" t="n">
        <x:v>13</x:v>
      </x:c>
      <x:c r="D35" s="15" t="n">
        <x:v>0</x:v>
      </x:c>
      <x:c r="E35" s="16" t="n">
        <x:v>45.92</x:v>
      </x:c>
    </x:row>
    <x:row r="36" ht="33" customHeight="1">
      <x:c r="A36" s="13" t="str">
        <x:v>https://digitecme.com/services/mercedes-repair</x:v>
      </x:c>
      <x:c r="B36" s="14" t="n">
        <x:v>0</x:v>
      </x:c>
      <x:c r="C36" s="14" t="n">
        <x:v>13</x:v>
      </x:c>
      <x:c r="D36" s="15" t="n">
        <x:v>0</x:v>
      </x:c>
      <x:c r="E36" s="16" t="n">
        <x:v>74.23</x:v>
      </x:c>
    </x:row>
    <x:row r="37" ht="33" customHeight="1">
      <x:c r="A37" s="13" t="str">
        <x:v>https://digitecme.com/services/car-body-repair-dubai</x:v>
      </x:c>
      <x:c r="B37" s="14" t="n">
        <x:v>0</x:v>
      </x:c>
      <x:c r="C37" s="14" t="n">
        <x:v>11</x:v>
      </x:c>
      <x:c r="D37" s="15" t="n">
        <x:v>0</x:v>
      </x:c>
      <x:c r="E37" s="16" t="n">
        <x:v>86.27</x:v>
      </x:c>
    </x:row>
    <x:row r="38" ht="33" customHeight="1">
      <x:c r="A38" s="13" t="str">
        <x:v>https://www.digitecme.com/</x:v>
      </x:c>
      <x:c r="B38" s="14" t="n">
        <x:v>0</x:v>
      </x:c>
      <x:c r="C38" s="14" t="n">
        <x:v>10</x:v>
      </x:c>
      <x:c r="D38" s="15" t="n">
        <x:v>0</x:v>
      </x:c>
      <x:c r="E38" s="16" t="n">
        <x:v>10.7</x:v>
      </x:c>
    </x:row>
    <x:row r="39" ht="33" customHeight="1">
      <x:c r="A39" s="13" t="str">
        <x:v>https://digitecme.com/services/mercedes-transmission-repair-dubai/</x:v>
      </x:c>
      <x:c r="B39" s="14" t="n">
        <x:v>0</x:v>
      </x:c>
      <x:c r="C39" s="14" t="n">
        <x:v>10</x:v>
      </x:c>
      <x:c r="D39" s="15" t="n">
        <x:v>0</x:v>
      </x:c>
      <x:c r="E39" s="16" t="n">
        <x:v>30.1</x:v>
      </x:c>
    </x:row>
    <x:row r="40" ht="33" customHeight="1">
      <x:c r="A40" s="13" t="str">
        <x:v>https://digitecme.com/services/mercedes-brake-repair-dubai</x:v>
      </x:c>
      <x:c r="B40" s="14" t="n">
        <x:v>0</x:v>
      </x:c>
      <x:c r="C40" s="14" t="n">
        <x:v>8</x:v>
      </x:c>
      <x:c r="D40" s="15" t="n">
        <x:v>0</x:v>
      </x:c>
      <x:c r="E40" s="16" t="n">
        <x:v>28.88</x:v>
      </x:c>
    </x:row>
    <x:row r="41" ht="33" customHeight="1">
      <x:c r="A41" s="13" t="str">
        <x:v>https://digitecme.com/vrx</x:v>
      </x:c>
      <x:c r="B41" s="14" t="n">
        <x:v>0</x:v>
      </x:c>
      <x:c r="C41" s="14" t="n">
        <x:v>7</x:v>
      </x:c>
      <x:c r="D41" s="15" t="n">
        <x:v>0</x:v>
      </x:c>
      <x:c r="E41" s="16" t="n">
        <x:v>8.57</x:v>
      </x:c>
    </x:row>
    <x:row r="42" ht="33" customHeight="1">
      <x:c r="A42" s="13" t="str">
        <x:v>https://digitecme.com/services/paint-protection-film</x:v>
      </x:c>
      <x:c r="B42" s="14" t="n">
        <x:v>0</x:v>
      </x:c>
      <x:c r="C42" s="14" t="n">
        <x:v>7</x:v>
      </x:c>
      <x:c r="D42" s="15" t="n">
        <x:v>0</x:v>
      </x:c>
      <x:c r="E42" s="16" t="n">
        <x:v>31.14</x:v>
      </x:c>
    </x:row>
    <x:row r="43" ht="33" customHeight="1">
      <x:c r="A43" s="13" t="str">
        <x:v>https://digitecme.com/blog/mercedes-service-intervals-dubai-heat</x:v>
      </x:c>
      <x:c r="B43" s="14" t="n">
        <x:v>0</x:v>
      </x:c>
      <x:c r="C43" s="14" t="n">
        <x:v>6</x:v>
      </x:c>
      <x:c r="D43" s="15" t="n">
        <x:v>0</x:v>
      </x:c>
      <x:c r="E43" s="16" t="n">
        <x:v>5.83</x:v>
      </x:c>
    </x:row>
    <x:row r="44" ht="33" customHeight="1">
      <x:c r="A44" s="13" t="str">
        <x:v>https://digitecme.com/brands/maybach-service-dubai/exhaust-repair</x:v>
      </x:c>
      <x:c r="B44" s="14" t="n">
        <x:v>0</x:v>
      </x:c>
      <x:c r="C44" s="14" t="n">
        <x:v>6</x:v>
      </x:c>
      <x:c r="D44" s="15" t="n">
        <x:v>0</x:v>
      </x:c>
      <x:c r="E44" s="16" t="n">
        <x:v>5.83</x:v>
      </x:c>
    </x:row>
    <x:row r="45" ht="33" customHeight="1">
      <x:c r="A45" s="13" t="str">
        <x:v>https://digitecme.com/brands/maybach-service-dubai/brake-repair</x:v>
      </x:c>
      <x:c r="B45" s="14" t="n">
        <x:v>0</x:v>
      </x:c>
      <x:c r="C45" s="14" t="n">
        <x:v>6</x:v>
      </x:c>
      <x:c r="D45" s="15" t="n">
        <x:v>0</x:v>
      </x:c>
      <x:c r="E45" s="16" t="n">
        <x:v>43.83</x:v>
      </x:c>
    </x:row>
    <x:row r="46" ht="33" customHeight="1">
      <x:c r="A46" s="13" t="str">
        <x:v>https://digitecme.com/services/mercedes-ac-repair-dubai</x:v>
      </x:c>
      <x:c r="B46" s="14" t="n">
        <x:v>0</x:v>
      </x:c>
      <x:c r="C46" s="14" t="n">
        <x:v>5</x:v>
      </x:c>
      <x:c r="D46" s="15" t="n">
        <x:v>0</x:v>
      </x:c>
      <x:c r="E46" s="16" t="n">
        <x:v>16.2</x:v>
      </x:c>
    </x:row>
    <x:row r="47" ht="33" customHeight="1">
      <x:c r="A47" s="13" t="str">
        <x:v>https://digitecme.com/brands/maybach-service-dubai</x:v>
      </x:c>
      <x:c r="B47" s="14" t="n">
        <x:v>0</x:v>
      </x:c>
      <x:c r="C47" s="14" t="n">
        <x:v>5</x:v>
      </x:c>
      <x:c r="D47" s="15" t="n">
        <x:v>0</x:v>
      </x:c>
      <x:c r="E47" s="16" t="n">
        <x:v>22</x:v>
      </x:c>
    </x:row>
    <x:row r="48" ht="33" customHeight="1">
      <x:c r="A48" s="13" t="str">
        <x:v>https://digitecme.com/services/mercedes-steering-repair-dubai</x:v>
      </x:c>
      <x:c r="B48" s="14" t="n">
        <x:v>0</x:v>
      </x:c>
      <x:c r="C48" s="14" t="n">
        <x:v>4</x:v>
      </x:c>
      <x:c r="D48" s="15" t="n">
        <x:v>0</x:v>
      </x:c>
      <x:c r="E48" s="16" t="n">
        <x:v>12.5</x:v>
      </x:c>
    </x:row>
    <x:row r="49" ht="33" customHeight="1">
      <x:c r="A49" s="13" t="str">
        <x:v>https://digitecme.com/brands/maybach-service-dubai/battery-replacement</x:v>
      </x:c>
      <x:c r="B49" s="14" t="n">
        <x:v>0</x:v>
      </x:c>
      <x:c r="C49" s="14" t="n">
        <x:v>4</x:v>
      </x:c>
      <x:c r="D49" s="15" t="n">
        <x:v>0</x:v>
      </x:c>
      <x:c r="E49" s="16" t="n">
        <x:v>29.5</x:v>
      </x:c>
    </x:row>
    <x:row r="50" ht="33" customHeight="1">
      <x:c r="A50" s="13" t="str">
        <x:v>https://digitecme.com/services/mercedes-electrical-repair-dubai</x:v>
      </x:c>
      <x:c r="B50" s="14" t="n">
        <x:v>0</x:v>
      </x:c>
      <x:c r="C50" s="14" t="n">
        <x:v>3</x:v>
      </x:c>
      <x:c r="D50" s="15" t="n">
        <x:v>0</x:v>
      </x:c>
      <x:c r="E50" s="16" t="n">
        <x:v>11.67</x:v>
      </x:c>
    </x:row>
    <x:row r="51" ht="33" customHeight="1">
      <x:c r="A51" s="13" t="str">
        <x:v>https://digitecme.com/brands/bmw-service-dubai</x:v>
      </x:c>
      <x:c r="B51" s="14" t="n">
        <x:v>0</x:v>
      </x:c>
      <x:c r="C51" s="14" t="n">
        <x:v>3</x:v>
      </x:c>
      <x:c r="D51" s="15" t="n">
        <x:v>0</x:v>
      </x:c>
      <x:c r="E51" s="16" t="n">
        <x:v>12.67</x:v>
      </x:c>
    </x:row>
    <x:row r="52" ht="33" customHeight="1">
      <x:c r="A52" s="13" t="str">
        <x:v>https://digitecme.com/brands/maybach-service-dubai/electrical-repair</x:v>
      </x:c>
      <x:c r="B52" s="14" t="n">
        <x:v>0</x:v>
      </x:c>
      <x:c r="C52" s="14" t="n">
        <x:v>3</x:v>
      </x:c>
      <x:c r="D52" s="15" t="n">
        <x:v>0</x:v>
      </x:c>
      <x:c r="E52" s="16" t="n">
        <x:v>15.67</x:v>
      </x:c>
    </x:row>
    <x:row r="53" ht="33" customHeight="1">
      <x:c r="A53" s="13" t="str">
        <x:v>https://digitecme.com/brands/maybach-service-dubai/mechanical-repair</x:v>
      </x:c>
      <x:c r="B53" s="14" t="n">
        <x:v>0</x:v>
      </x:c>
      <x:c r="C53" s="14" t="n">
        <x:v>3</x:v>
      </x:c>
      <x:c r="D53" s="15" t="n">
        <x:v>0</x:v>
      </x:c>
      <x:c r="E53" s="16" t="n">
        <x:v>17</x:v>
      </x:c>
    </x:row>
    <x:row r="54" ht="33" customHeight="1">
      <x:c r="A54" s="13" t="str">
        <x:v>https://digitecme.com/brands/maybach-service-dubai/oil-change</x:v>
      </x:c>
      <x:c r="B54" s="14" t="n">
        <x:v>0</x:v>
      </x:c>
      <x:c r="C54" s="14" t="n">
        <x:v>3</x:v>
      </x:c>
      <x:c r="D54" s="15" t="n">
        <x:v>0</x:v>
      </x:c>
      <x:c r="E54" s="16" t="n">
        <x:v>74.67</x:v>
      </x:c>
    </x:row>
    <x:row r="55" ht="33" customHeight="1">
      <x:c r="A55" s="13" t="str">
        <x:v>https://digitecme.com/brands/maybach-service-dubai/suspension-repair</x:v>
      </x:c>
      <x:c r="B55" s="14" t="n">
        <x:v>0</x:v>
      </x:c>
      <x:c r="C55" s="14" t="n">
        <x:v>3</x:v>
      </x:c>
      <x:c r="D55" s="15" t="n">
        <x:v>0</x:v>
      </x:c>
      <x:c r="E55" s="16" t="n">
        <x:v>80.33</x:v>
      </x:c>
    </x:row>
    <x:row r="56" ht="33" customHeight="1">
      <x:c r="A56" s="13" t="str">
        <x:v>https://digitecme.com/blog/mercedes-service-cost-dubai-guide</x:v>
      </x:c>
      <x:c r="B56" s="14" t="n">
        <x:v>0</x:v>
      </x:c>
      <x:c r="C56" s="14" t="n">
        <x:v>2</x:v>
      </x:c>
      <x:c r="D56" s="15" t="n">
        <x:v>0</x:v>
      </x:c>
      <x:c r="E56" s="16" t="n">
        <x:v>28</x:v>
      </x:c>
    </x:row>
    <x:row r="57" ht="33" customHeight="1">
      <x:c r="A57" s="13" t="str">
        <x:v>https://digitecme.com/blog/mercedes-c-class-service-dubai-guide</x:v>
      </x:c>
      <x:c r="B57" s="14" t="n">
        <x:v>0</x:v>
      </x:c>
      <x:c r="C57" s="14" t="n">
        <x:v>2</x:v>
      </x:c>
      <x:c r="D57" s="15" t="n">
        <x:v>0</x:v>
      </x:c>
      <x:c r="E57" s="16" t="n">
        <x:v>37.5</x:v>
      </x:c>
    </x:row>
    <x:row r="58" ht="33" customHeight="1">
      <x:c r="A58" s="13" t="str">
        <x:v>https://digitecme.com/brands/mercedes-benz-service-dubai/suspension-repair</x:v>
      </x:c>
      <x:c r="B58" s="14" t="n">
        <x:v>0</x:v>
      </x:c>
      <x:c r="C58" s="14" t="n">
        <x:v>2</x:v>
      </x:c>
      <x:c r="D58" s="15" t="n">
        <x:v>0</x:v>
      </x:c>
      <x:c r="E58" s="16" t="n">
        <x:v>53.5</x:v>
      </x:c>
    </x:row>
    <x:row r="59" ht="33" customHeight="1">
      <x:c r="A59" s="13" t="str">
        <x:v>https://digitecme.com/sitemap</x:v>
      </x:c>
      <x:c r="B59" s="14" t="n">
        <x:v>0</x:v>
      </x:c>
      <x:c r="C59" s="14" t="n">
        <x:v>2</x:v>
      </x:c>
      <x:c r="D59" s="15" t="n">
        <x:v>0</x:v>
      </x:c>
      <x:c r="E59" s="16" t="n">
        <x:v>75.5</x:v>
      </x:c>
    </x:row>
    <x:row r="60" ht="33" customHeight="1">
      <x:c r="A60" s="13" t="str">
        <x:v>https://digitecme.com/ar/brands/maybach-service-dubai/electrical-repair</x:v>
      </x:c>
      <x:c r="B60" s="14" t="n">
        <x:v>0</x:v>
      </x:c>
      <x:c r="C60" s="14" t="n">
        <x:v>1</x:v>
      </x:c>
      <x:c r="D60" s="15" t="n">
        <x:v>0</x:v>
      </x:c>
      <x:c r="E60" s="16" t="n">
        <x:v>2</x:v>
      </x:c>
    </x:row>
    <x:row r="61" ht="33" customHeight="1">
      <x:c r="A61" s="13" t="str">
        <x:v>https://digitecme.com/brands/maybach-service-dubai/ac-repair</x:v>
      </x:c>
      <x:c r="B61" s="14" t="n">
        <x:v>0</x:v>
      </x:c>
      <x:c r="C61" s="14" t="n">
        <x:v>1</x:v>
      </x:c>
      <x:c r="D61" s="15" t="n">
        <x:v>0</x:v>
      </x:c>
      <x:c r="E61" s="16" t="n">
        <x:v>9</x:v>
      </x:c>
    </x:row>
    <x:row r="62" ht="33" customHeight="1">
      <x:c r="A62" s="13" t="str">
        <x:v>https://digitecme.com/brands/mclaren-service-dubai</x:v>
      </x:c>
      <x:c r="B62" s="14" t="n">
        <x:v>0</x:v>
      </x:c>
      <x:c r="C62" s="14" t="n">
        <x:v>1</x:v>
      </x:c>
      <x:c r="D62" s="15" t="n">
        <x:v>0</x:v>
      </x:c>
      <x:c r="E62" s="16" t="n">
        <x:v>12</x:v>
      </x:c>
    </x:row>
    <x:row r="63" ht="33" customHeight="1">
      <x:c r="A63" s="13" t="str">
        <x:v>https://digitecme.com/brands/maybach-service-dubai/steering-repair</x:v>
      </x:c>
      <x:c r="B63" s="14" t="n">
        <x:v>0</x:v>
      </x:c>
      <x:c r="C63" s="14" t="n">
        <x:v>1</x:v>
      </x:c>
      <x:c r="D63" s="15" t="n">
        <x:v>0</x:v>
      </x:c>
      <x:c r="E63" s="16" t="n">
        <x:v>20</x:v>
      </x:c>
    </x:row>
    <x:row r="64" ht="33" customHeight="1">
      <x:c r="A64" s="13" t="str">
        <x:v>https://digitecme.com/blog/mercedes-e-class-service-dubai-guide</x:v>
      </x:c>
      <x:c r="B64" s="14" t="n">
        <x:v>0</x:v>
      </x:c>
      <x:c r="C64" s="14" t="n">
        <x:v>1</x:v>
      </x:c>
      <x:c r="D64" s="15" t="n">
        <x:v>0</x:v>
      </x:c>
      <x:c r="E64" s="16" t="n">
        <x:v>55</x:v>
      </x:c>
    </x:row>
    <x:row r="65" ht="33" customHeight="1">
      <x:c r="A65" s="13" t="str">
        <x:v>https://digitecme.com/services</x:v>
      </x:c>
      <x:c r="B65" s="14" t="n">
        <x:v>0</x:v>
      </x:c>
      <x:c r="C65" s="14" t="n">
        <x:v>1</x:v>
      </x:c>
      <x:c r="D65" s="15" t="n">
        <x:v>0</x:v>
      </x:c>
      <x:c r="E65" s="16" t="n">
        <x:v>72</x:v>
      </x:c>
    </x:row>
  </x:sheetData>
  <x:pageMargins left="0.7" right="0.7" top="0.75" bottom="0.75" header="0.3" footer="0.3"/>
  <x:tableParts count="1">
    <x:tablePart xmlns:r="http://schemas.openxmlformats.org/officeDocument/2006/relationships" r:id="R3b6e2b2d3e7444d8"/>
  </x:tableParts>
</x:worksheet>
</file>

<file path=xl/worksheets/sheet6.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77" hidden="0" customWidth="1"/>
    <x:col min="2" max="2" width="13" hidden="0" customWidth="1"/>
    <x:col min="3" max="3" width="20" hidden="0" customWidth="1"/>
    <x:col min="4" max="4" width="75" hidden="0" customWidth="1"/>
    <x:col min="5" max="5" width="65" hidden="0" customWidth="1"/>
    <x:col min="6" max="6" width="66" hidden="0" customWidth="1"/>
    <x:col min="7" max="7" width="95" hidden="0" customWidth="1"/>
  </x:cols>
  <x:sheetData>
    <x:row r="1" ht="30" customHeight="1">
      <x:c r="A1" s="3" t="str">
        <x:v>Mercedes URL checks</x:v>
      </x:c>
      <x:c r="B1" s="2"/>
      <x:c r="C1" s="2"/>
      <x:c r="D1" s="2"/>
      <x:c r="E1" s="2"/>
      <x:c r="F1" s="2"/>
      <x:c r="G1" s="2"/>
    </x:row>
    <x:row r="2" ht="25" customHeight="1">
      <x:c r="A2" s="5" t="str">
        <x:v>Read-only HTTP requests on 8 Sep 2026 | Initial responses without JavaScript; this is not Google URL Inspection</x:v>
      </x:c>
      <x:c r="B2" s="4"/>
      <x:c r="C2" s="4"/>
      <x:c r="D2" s="4"/>
      <x:c r="E2" s="4"/>
      <x:c r="F2" s="4"/>
      <x:c r="G2" s="4"/>
    </x:row>
    <x:row r="3">
      <x:c r="A3" s="2"/>
      <x:c r="B3" s="2"/>
      <x:c r="C3" s="2"/>
      <x:c r="D3" s="2"/>
      <x:c r="E3" s="2"/>
      <x:c r="F3" s="2"/>
      <x:c r="G3" s="2"/>
    </x:row>
    <x:row r="4" ht="34" customHeight="1">
      <x:c r="A4" s="10" t="str">
        <x:v>Requested URL</x:v>
      </x:c>
      <x:c r="B4" s="11" t="str">
        <x:v>HTTP status</x:v>
      </x:c>
      <x:c r="C4" s="11" t="str">
        <x:v>Location header</x:v>
      </x:c>
      <x:c r="D4" s="11" t="str">
        <x:v>HTML canonical</x:v>
      </x:c>
      <x:c r="E4" s="11" t="str">
        <x:v>HTML title</x:v>
      </x:c>
      <x:c r="F4" s="11" t="str">
        <x:v>Assessment</x:v>
      </x:c>
      <x:c r="G4" s="12" t="str">
        <x:v>Recommended next step</x:v>
      </x:c>
    </x:row>
    <x:row r="5" ht="70" customHeight="1">
      <x:c r="A5" s="13" t="str">
        <x:v>https://digitecme.com/brands/mercedes-benz-service-dubai</x:v>
      </x:c>
      <x:c r="B5" s="13" t="n">
        <x:v>200</x:v>
      </x:c>
      <x:c r="C5" s="13" t="str">
        <x:v>(none)</x:v>
      </x:c>
      <x:c r="D5" s="13" t="str">
        <x:v>https://digitecme.com/brands/mercedes-benz-service-dubai</x:v>
      </x:c>
      <x:c r="E5" s="13" t="str">
        <x:v>Mercedes Repair &amp; Service Dubai | Digi-Tec Specialists</x:v>
      </x:c>
      <x:c r="F5" s="13" t="str">
        <x:v>200 with expected self-canonical</x:v>
      </x:c>
      <x:c r="G5" s="13" t="str">
        <x:v>Verify Google-selected canonical and indexing in Search Console.</x:v>
      </x:c>
    </x:row>
    <x:row r="6" ht="70" customHeight="1">
      <x:c r="A6" s="13" t="str">
        <x:v>https://digitecme.com/services/mercedes-repair-dubai</x:v>
      </x:c>
      <x:c r="B6" s="13" t="n">
        <x:v>200</x:v>
      </x:c>
      <x:c r="C6" s="13" t="str">
        <x:v>(none)</x:v>
      </x:c>
      <x:c r="D6" s="13" t="str">
        <x:v>https://digitecme.com/</x:v>
      </x:c>
      <x:c r="E6" s="13" t="str">
        <x:v>Digi-Tec Performance Center | Independent Car Workshop Dubai</x:v>
      </x:c>
      <x:c r="F6" s="13" t="str">
        <x:v>Legacy URL serves homepage HTML and homepage canonical</x:v>
      </x:c>
      <x:c r="G6" s="13" t="str">
        <x:v>301/308 redirect directly to https://digitecme.com/brands/mercedes-benz-service-dubai</x:v>
      </x:c>
    </x:row>
    <x:row r="7" ht="70" customHeight="1">
      <x:c r="A7" s="13" t="str">
        <x:v>https://digitecme.com/services/mercedes-repair-dubai/</x:v>
      </x:c>
      <x:c r="B7" s="13" t="n">
        <x:v>200</x:v>
      </x:c>
      <x:c r="C7" s="13" t="str">
        <x:v>(none)</x:v>
      </x:c>
      <x:c r="D7" s="13" t="str">
        <x:v>https://digitecme.com/</x:v>
      </x:c>
      <x:c r="E7" s="13" t="str">
        <x:v>Digi-Tec Performance Center | Independent Car Workshop Dubai</x:v>
      </x:c>
      <x:c r="F7" s="13" t="str">
        <x:v>Legacy URL serves homepage HTML and homepage canonical</x:v>
      </x:c>
      <x:c r="G7" s="13" t="str">
        <x:v>301/308 redirect directly to https://digitecme.com/brands/mercedes-benz-service-dubai</x:v>
      </x:c>
    </x:row>
    <x:row r="8" ht="70" customHeight="1">
      <x:c r="A8" s="13" t="str">
        <x:v>https://digitecme.com/best-mercedes-workshop-dubai</x:v>
      </x:c>
      <x:c r="B8" s="13" t="n">
        <x:v>200</x:v>
      </x:c>
      <x:c r="C8" s="13" t="str">
        <x:v>(none)</x:v>
      </x:c>
      <x:c r="D8" s="13" t="str">
        <x:v>https://digitecme.com/</x:v>
      </x:c>
      <x:c r="E8" s="13" t="str">
        <x:v>Digi-Tec Performance Center | Independent Car Workshop Dubai</x:v>
      </x:c>
      <x:c r="F8" s="13" t="str">
        <x:v>Legacy URL serves homepage HTML and homepage canonical</x:v>
      </x:c>
      <x:c r="G8" s="13" t="str">
        <x:v>301/308 redirect directly to https://digitecme.com/brands/mercedes-benz-service-dubai</x:v>
      </x:c>
    </x:row>
    <x:row r="9" ht="70" customHeight="1">
      <x:c r="A9" s="13" t="str">
        <x:v>https://digitecme.com/services/mercedes-service-dubai</x:v>
      </x:c>
      <x:c r="B9" s="13" t="n">
        <x:v>200</x:v>
      </x:c>
      <x:c r="C9" s="13" t="str">
        <x:v>(none)</x:v>
      </x:c>
      <x:c r="D9" s="13" t="str">
        <x:v>https://digitecme.com/</x:v>
      </x:c>
      <x:c r="E9" s="13" t="str">
        <x:v>Digi-Tec Performance Center | Independent Car Workshop Dubai</x:v>
      </x:c>
      <x:c r="F9" s="13" t="str">
        <x:v>Legacy URL serves homepage HTML and homepage canonical</x:v>
      </x:c>
      <x:c r="G9" s="13" t="str">
        <x:v>301/308 redirect directly to https://digitecme.com/brands/mercedes-benz-service-dubai</x:v>
      </x:c>
    </x:row>
    <x:row r="10" ht="70" customHeight="1">
      <x:c r="A10" s="13" t="str">
        <x:v>https://digitecme.com/brands/mercedes-benz-service-dubai/suspension-repair</x:v>
      </x:c>
      <x:c r="B10" s="13" t="n">
        <x:v>200</x:v>
      </x:c>
      <x:c r="C10" s="13" t="str">
        <x:v>(none)</x:v>
      </x:c>
      <x:c r="D10" s="13" t="str">
        <x:v>https://digitecme.com/</x:v>
      </x:c>
      <x:c r="E10" s="13" t="str">
        <x:v>Digi-Tec Performance Center | Independent Car Workshop Dubai</x:v>
      </x:c>
      <x:c r="F10" s="13" t="str">
        <x:v>Legacy URL serves homepage HTML and homepage canonical</x:v>
      </x:c>
      <x:c r="G10" s="13" t="str">
        <x:v>301/308 redirect directly to https://digitecme.com/services/mercedes-suspension-repair-dubai</x:v>
      </x:c>
    </x:row>
    <x:row r="11" ht="70" customHeight="1">
      <x:c r="A11" s="13" t="str">
        <x:v>https://digitecme.com/tuning</x:v>
      </x:c>
      <x:c r="B11" s="13" t="n">
        <x:v>200</x:v>
      </x:c>
      <x:c r="C11" s="13" t="str">
        <x:v>(none)</x:v>
      </x:c>
      <x:c r="D11" s="13" t="str">
        <x:v>https://digitecme.com/tuning</x:v>
      </x:c>
      <x:c r="E11" s="13" t="str">
        <x:v>Performance Tuning Dubai | ECU &amp; Hardware Projects | Digi-Tec</x:v>
      </x:c>
      <x:c r="F11" s="13" t="str">
        <x:v>200 with expected self-canonical</x:v>
      </x:c>
      <x:c r="G11" s="13" t="str">
        <x:v>Verify Google-selected canonical and indexing in Search Console.</x:v>
      </x:c>
    </x:row>
    <x:row r="12" ht="70" customHeight="1">
      <x:c r="A12" s="13" t="str">
        <x:v>https://digitecme.com/ar/brands/mercedes-benz-service-dubai</x:v>
      </x:c>
      <x:c r="B12" s="13" t="n">
        <x:v>200</x:v>
      </x:c>
      <x:c r="C12" s="13" t="str">
        <x:v>(none)</x:v>
      </x:c>
      <x:c r="D12" s="13" t="str">
        <x:v>https://digitecme.com/ar/brands/mercedes-benz-service-dubai</x:v>
      </x:c>
      <x:c r="E12" s="13" t="str">
        <x:v>إصلاح وصيانة Mercedes-Benz في دبي | مركز ديجي-تك</x:v>
      </x:c>
      <x:c r="F12" s="13" t="str">
        <x:v>200 with expected self-canonical</x:v>
      </x:c>
      <x:c r="G12" s="13" t="str">
        <x:v>Verify Google-selected canonical and indexing in Search Console.</x:v>
      </x:c>
    </x:row>
    <x:row r="13" ht="70" customHeight="1">
      <x:c r="A13" s="13" t="str">
        <x:v>https://digitecme.com/blog/mercedes-service-cost-dubai-guide</x:v>
      </x:c>
      <x:c r="B13" s="13" t="n">
        <x:v>200</x:v>
      </x:c>
      <x:c r="C13" s="13" t="str">
        <x:v>(none)</x:v>
      </x:c>
      <x:c r="D13" s="13" t="str">
        <x:v>https://digitecme.com/blog/mercedes-service-cost-dubai-guide</x:v>
      </x:c>
      <x:c r="E13" s="13" t="str">
        <x:v>Mercedes Service Dubai | Intervals, Scope and Cost Factors</x:v>
      </x:c>
      <x:c r="F13" s="13" t="str">
        <x:v>200 with expected self-canonical</x:v>
      </x:c>
      <x:c r="G13" s="13" t="str">
        <x:v>Verify Google-selected canonical and indexing in Search Console.</x:v>
      </x:c>
    </x:row>
    <x:row r="14" ht="70" customHeight="1">
      <x:c r="A14" s="13" t="str">
        <x:v>https://digitecme.com/blog/mercedes-service-intervals-dubai-heat</x:v>
      </x:c>
      <x:c r="B14" s="13" t="n">
        <x:v>200</x:v>
      </x:c>
      <x:c r="C14" s="13" t="str">
        <x:v>(none)</x:v>
      </x:c>
      <x:c r="D14" s="13" t="str">
        <x:v>https://digitecme.com/blog/mercedes-service-intervals-dubai-heat</x:v>
      </x:c>
      <x:c r="E14" s="13" t="str">
        <x:v>Mercedes Service Intervals Dubai | Digitec Performance</x:v>
      </x:c>
      <x:c r="F14" s="13" t="str">
        <x:v>200 with expected self-canonical</x:v>
      </x:c>
      <x:c r="G14" s="13" t="str">
        <x:v>Verify Google-selected canonical and indexing in Search Console.</x:v>
      </x:c>
    </x:row>
    <x:row r="15" ht="70" customHeight="1">
      <x:c r="A15" s="13" t="str">
        <x:v>https://digitecme.com/blog/mercedes-benz-maintenance-guide-dubai</x:v>
      </x:c>
      <x:c r="B15" s="13" t="n">
        <x:v>200</x:v>
      </x:c>
      <x:c r="C15" s="13" t="str">
        <x:v>(none)</x:v>
      </x:c>
      <x:c r="D15" s="13" t="str">
        <x:v>https://digitecme.com/blog/mercedes-benz-maintenance-guide-dubai</x:v>
      </x:c>
      <x:c r="E15" s="13" t="str">
        <x:v>Mercedes-Benz Maintenance Dubai | DIGI-TEC</x:v>
      </x:c>
      <x:c r="F15" s="13" t="str">
        <x:v>200 with expected self-canonical</x:v>
      </x:c>
      <x:c r="G15" s="13" t="str">
        <x:v>Verify Google-selected canonical and indexing in Search Console.</x:v>
      </x:c>
    </x:row>
    <x:row r="16" ht="70" customHeight="1">
      <x:c r="A16" s="13" t="str">
        <x:v>https://digitecme.com/services/paint-protection-film</x:v>
      </x:c>
      <x:c r="B16" s="13" t="n">
        <x:v>200</x:v>
      </x:c>
      <x:c r="C16" s="13" t="str">
        <x:v>(none)</x:v>
      </x:c>
      <x:c r="D16" s="13" t="str">
        <x:v>https://digitecme.com/services/paint-protection-film</x:v>
      </x:c>
      <x:c r="E16" s="13" t="str">
        <x:v>PPF Dubai | Paint Protection Film for Cars | DIGI-TEC</x:v>
      </x:c>
      <x:c r="F16" s="13" t="str">
        <x:v>200 with expected self-canonical</x:v>
      </x:c>
      <x:c r="G16" s="13" t="str">
        <x:v>Verify Google-selected canonical and indexing in Search Console.</x:v>
      </x:c>
    </x:row>
    <x:row r="17" ht="70" customHeight="1">
      <x:c r="A17" s="13" t="str">
        <x:v>https://digitecme.com/services/mercedes-mechanical-repair-dubai</x:v>
      </x:c>
      <x:c r="B17" s="13" t="n">
        <x:v>200</x:v>
      </x:c>
      <x:c r="C17" s="13" t="str">
        <x:v>(none)</x:v>
      </x:c>
      <x:c r="D17" s="13" t="str">
        <x:v>https://digitecme.com/services/mercedes-mechanical-repair-dubai</x:v>
      </x:c>
      <x:c r="E17" s="13" t="str">
        <x:v>Mercedes-Benz Mechanical Repair Dubai | Digi-Tec</x:v>
      </x:c>
      <x:c r="F17" s="13" t="str">
        <x:v>200 with expected self-canonical</x:v>
      </x:c>
      <x:c r="G17" s="13" t="str">
        <x:v>Verify Google-selected canonical and indexing in Search Console.</x:v>
      </x:c>
    </x:row>
    <x:row r="18" ht="70" customHeight="1">
      <x:c r="A18" s="13" t="str">
        <x:v>https://digitecme.com/services/mercedes-transmission-repair-dubai</x:v>
      </x:c>
      <x:c r="B18" s="13" t="n">
        <x:v>200</x:v>
      </x:c>
      <x:c r="C18" s="13" t="str">
        <x:v>(none)</x:v>
      </x:c>
      <x:c r="D18" s="13" t="str">
        <x:v>https://digitecme.com/services/mercedes-transmission-repair-dubai</x:v>
      </x:c>
      <x:c r="E18" s="13" t="str">
        <x:v>Mercedes-Benz Transmission Repair Dubai | Digi-Tec</x:v>
      </x:c>
      <x:c r="F18" s="13" t="str">
        <x:v>200 with expected self-canonical</x:v>
      </x:c>
      <x:c r="G18" s="13" t="str">
        <x:v>Verify Google-selected canonical and indexing in Search Console.</x:v>
      </x:c>
    </x:row>
    <x:row r="19" ht="70" customHeight="1">
      <x:c r="A19" s="13" t="str">
        <x:v>https://digitecme.com/services/mercedes-suspension-repair-dubai</x:v>
      </x:c>
      <x:c r="B19" s="13" t="n">
        <x:v>200</x:v>
      </x:c>
      <x:c r="C19" s="13" t="str">
        <x:v>(none)</x:v>
      </x:c>
      <x:c r="D19" s="13" t="str">
        <x:v>https://digitecme.com/services/mercedes-suspension-repair-dubai</x:v>
      </x:c>
      <x:c r="E19" s="13" t="str">
        <x:v>Mercedes-Benz Suspension Repair Dubai | Digi-Tec</x:v>
      </x:c>
      <x:c r="F19" s="13" t="str">
        <x:v>200 with expected self-canonical</x:v>
      </x:c>
      <x:c r="G19" s="13" t="str">
        <x:v>Verify Google-selected canonical and indexing in Search Console.</x:v>
      </x:c>
    </x:row>
    <x:row r="20" ht="70" customHeight="1">
      <x:c r="A20" s="13" t="str">
        <x:v>https://digitecme.com/services/mercedes-steering-repair-dubai</x:v>
      </x:c>
      <x:c r="B20" s="13" t="n">
        <x:v>200</x:v>
      </x:c>
      <x:c r="C20" s="13" t="str">
        <x:v>(none)</x:v>
      </x:c>
      <x:c r="D20" s="13" t="str">
        <x:v>https://digitecme.com/services/mercedes-steering-repair-dubai</x:v>
      </x:c>
      <x:c r="E20" s="13" t="str">
        <x:v>Mercedes-Benz Steering Repair Dubai | Digi-Tec</x:v>
      </x:c>
      <x:c r="F20" s="13" t="str">
        <x:v>200 with expected self-canonical</x:v>
      </x:c>
      <x:c r="G20" s="13" t="str">
        <x:v>Verify Google-selected canonical and indexing in Search Console.</x:v>
      </x:c>
    </x:row>
    <x:row r="21" ht="70" customHeight="1">
      <x:c r="A21" s="13" t="str">
        <x:v>https://digitecme.com/services/mercedes-brake-repair-dubai</x:v>
      </x:c>
      <x:c r="B21" s="13" t="n">
        <x:v>200</x:v>
      </x:c>
      <x:c r="C21" s="13" t="str">
        <x:v>(none)</x:v>
      </x:c>
      <x:c r="D21" s="13" t="str">
        <x:v>https://digitecme.com/services/mercedes-brake-repair-dubai</x:v>
      </x:c>
      <x:c r="E21" s="13" t="str">
        <x:v>Mercedes-Benz Brake Repair Dubai | Digi-Tec</x:v>
      </x:c>
      <x:c r="F21" s="13" t="str">
        <x:v>200 with expected self-canonical</x:v>
      </x:c>
      <x:c r="G21" s="13" t="str">
        <x:v>Verify Google-selected canonical and indexing in Search Console.</x:v>
      </x:c>
    </x:row>
    <x:row r="22" ht="70" customHeight="1">
      <x:c r="A22" s="13" t="str">
        <x:v>https://digitecme.com/services/mercedes-tire-repair-dubai</x:v>
      </x:c>
      <x:c r="B22" s="13" t="n">
        <x:v>200</x:v>
      </x:c>
      <x:c r="C22" s="13" t="str">
        <x:v>(none)</x:v>
      </x:c>
      <x:c r="D22" s="13" t="str">
        <x:v>https://digitecme.com/services/mercedes-tire-repair-dubai</x:v>
      </x:c>
      <x:c r="E22" s="13" t="str">
        <x:v>Mercedes-Benz Tyre Repair Dubai | Digi-Tec</x:v>
      </x:c>
      <x:c r="F22" s="13" t="str">
        <x:v>200 with expected self-canonical</x:v>
      </x:c>
      <x:c r="G22" s="13" t="str">
        <x:v>Verify Google-selected canonical and indexing in Search Console.</x:v>
      </x:c>
    </x:row>
    <x:row r="23" ht="70" customHeight="1">
      <x:c r="A23" s="13" t="str">
        <x:v>https://digitecme.com/services/mercedes-battery-replacement-dubai</x:v>
      </x:c>
      <x:c r="B23" s="13" t="n">
        <x:v>200</x:v>
      </x:c>
      <x:c r="C23" s="13" t="str">
        <x:v>(none)</x:v>
      </x:c>
      <x:c r="D23" s="13" t="str">
        <x:v>https://digitecme.com/services/mercedes-battery-replacement-dubai</x:v>
      </x:c>
      <x:c r="E23" s="13" t="str">
        <x:v>Mercedes-Benz Battery Replacement Dubai | Digi-Tec</x:v>
      </x:c>
      <x:c r="F23" s="13" t="str">
        <x:v>200 with expected self-canonical</x:v>
      </x:c>
      <x:c r="G23" s="13" t="str">
        <x:v>Verify Google-selected canonical and indexing in Search Console.</x:v>
      </x:c>
    </x:row>
    <x:row r="24" ht="70" customHeight="1">
      <x:c r="A24" s="13" t="str">
        <x:v>https://digitecme.com/services/mercedes-exhaust-repair-dubai</x:v>
      </x:c>
      <x:c r="B24" s="13" t="n">
        <x:v>200</x:v>
      </x:c>
      <x:c r="C24" s="13" t="str">
        <x:v>(none)</x:v>
      </x:c>
      <x:c r="D24" s="13" t="str">
        <x:v>https://digitecme.com/services/mercedes-exhaust-repair-dubai</x:v>
      </x:c>
      <x:c r="E24" s="13" t="str">
        <x:v>Mercedes-Benz Exhaust Repair Dubai | Digi-Tec</x:v>
      </x:c>
      <x:c r="F24" s="13" t="str">
        <x:v>200 with expected self-canonical</x:v>
      </x:c>
      <x:c r="G24" s="13" t="str">
        <x:v>Verify Google-selected canonical and indexing in Search Console.</x:v>
      </x:c>
    </x:row>
    <x:row r="25" ht="70" customHeight="1">
      <x:c r="A25" s="13" t="str">
        <x:v>https://digitecme.com/services/mercedes-diagnostics-dubai</x:v>
      </x:c>
      <x:c r="B25" s="13" t="n">
        <x:v>200</x:v>
      </x:c>
      <x:c r="C25" s="13" t="str">
        <x:v>(none)</x:v>
      </x:c>
      <x:c r="D25" s="13" t="str">
        <x:v>https://digitecme.com/services/mercedes-diagnostics-dubai</x:v>
      </x:c>
      <x:c r="E25" s="13" t="str">
        <x:v>Mercedes-Benz Engine Diagnostics Dubai | Digi-Tec</x:v>
      </x:c>
      <x:c r="F25" s="13" t="str">
        <x:v>200 with expected self-canonical</x:v>
      </x:c>
      <x:c r="G25" s="13" t="str">
        <x:v>Verify Google-selected canonical and indexing in Search Console.</x:v>
      </x:c>
    </x:row>
    <x:row r="26" ht="70" customHeight="1">
      <x:c r="A26" s="13" t="str">
        <x:v>https://digitecme.com/services/mercedes-electrical-repair-dubai</x:v>
      </x:c>
      <x:c r="B26" s="13" t="n">
        <x:v>200</x:v>
      </x:c>
      <x:c r="C26" s="13" t="str">
        <x:v>(none)</x:v>
      </x:c>
      <x:c r="D26" s="13" t="str">
        <x:v>https://digitecme.com/services/mercedes-electrical-repair-dubai</x:v>
      </x:c>
      <x:c r="E26" s="13" t="str">
        <x:v>Mercedes-Benz Electrical Repair Dubai | Digi-Tec</x:v>
      </x:c>
      <x:c r="F26" s="13" t="str">
        <x:v>200 with expected self-canonical</x:v>
      </x:c>
      <x:c r="G26" s="13" t="str">
        <x:v>Verify Google-selected canonical and indexing in Search Console.</x:v>
      </x:c>
    </x:row>
    <x:row r="27" ht="70" customHeight="1">
      <x:c r="A27" s="13" t="str">
        <x:v>https://digitecme.com/services/mercedes-fuel-system-repair-dubai</x:v>
      </x:c>
      <x:c r="B27" s="13" t="n">
        <x:v>200</x:v>
      </x:c>
      <x:c r="C27" s="13" t="str">
        <x:v>(none)</x:v>
      </x:c>
      <x:c r="D27" s="13" t="str">
        <x:v>https://digitecme.com/services/mercedes-fuel-system-repair-dubai</x:v>
      </x:c>
      <x:c r="E27" s="13" t="str">
        <x:v>Mercedes-Benz Fuel System Repair Dubai | Digi-Tec</x:v>
      </x:c>
      <x:c r="F27" s="13" t="str">
        <x:v>200 with expected self-canonical</x:v>
      </x:c>
      <x:c r="G27" s="13" t="str">
        <x:v>Verify Google-selected canonical and indexing in Search Console.</x:v>
      </x:c>
    </x:row>
    <x:row r="28" ht="70" customHeight="1">
      <x:c r="A28" s="13" t="str">
        <x:v>https://digitecme.com/services/mercedes-ac-repair-dubai</x:v>
      </x:c>
      <x:c r="B28" s="13" t="n">
        <x:v>200</x:v>
      </x:c>
      <x:c r="C28" s="13" t="str">
        <x:v>(none)</x:v>
      </x:c>
      <x:c r="D28" s="13" t="str">
        <x:v>https://digitecme.com/services/mercedes-ac-repair-dubai</x:v>
      </x:c>
      <x:c r="E28" s="13" t="str">
        <x:v>Mercedes-Benz AC Repair Dubai | Digi-Tec</x:v>
      </x:c>
      <x:c r="F28" s="13" t="str">
        <x:v>200 with expected self-canonical</x:v>
      </x:c>
      <x:c r="G28" s="13" t="str">
        <x:v>Verify Google-selected canonical and indexing in Search Console.</x:v>
      </x:c>
    </x:row>
    <x:row r="29" ht="70" customHeight="1">
      <x:c r="A29" s="13" t="str">
        <x:v>https://digitecme.com/services/mercedes-body-repair-dubai</x:v>
      </x:c>
      <x:c r="B29" s="13" t="n">
        <x:v>200</x:v>
      </x:c>
      <x:c r="C29" s="13" t="str">
        <x:v>(none)</x:v>
      </x:c>
      <x:c r="D29" s="13" t="str">
        <x:v>https://digitecme.com/services/mercedes-body-repair-dubai</x:v>
      </x:c>
      <x:c r="E29" s="13" t="str">
        <x:v>Mercedes-Benz Body Repair Dubai | Digi-Tec</x:v>
      </x:c>
      <x:c r="F29" s="13" t="str">
        <x:v>200 with expected self-canonical</x:v>
      </x:c>
      <x:c r="G29" s="13" t="str">
        <x:v>Verify Google-selected canonical and indexing in Search Console.</x:v>
      </x:c>
    </x:row>
    <x:row r="30" ht="70" customHeight="1">
      <x:c r="A30" s="13" t="str">
        <x:v>https://digitecme.com/blog/mercedes-g63-service-dubai-guide</x:v>
      </x:c>
      <x:c r="B30" s="13" t="n">
        <x:v>200</x:v>
      </x:c>
      <x:c r="C30" s="13" t="str">
        <x:v>(none)</x:v>
      </x:c>
      <x:c r="D30" s="13" t="str">
        <x:v>https://digitecme.com/blog/mercedes-g63-service-dubai-guide</x:v>
      </x:c>
      <x:c r="E30" s="13" t="str">
        <x:v>Mercedes-AMG G63 Service &amp; Repair Dubai | Digi-Tec</x:v>
      </x:c>
      <x:c r="F30" s="13" t="str">
        <x:v>200 with expected self-canonical</x:v>
      </x:c>
      <x:c r="G30" s="13" t="str">
        <x:v>Verify Google-selected canonical and indexing in Search Console.</x:v>
      </x:c>
    </x:row>
    <x:row r="31" ht="70" customHeight="1">
      <x:c r="A31" s="13" t="str">
        <x:v>https://digitecme.com/mercedes/models/g-class-service-repair-dubai</x:v>
      </x:c>
      <x:c r="B31" s="13" t="n">
        <x:v>200</x:v>
      </x:c>
      <x:c r="C31" s="13" t="str">
        <x:v>(none)</x:v>
      </x:c>
      <x:c r="D31" s="13" t="str">
        <x:v>https://digitecme.com/mercedes/models/g-class-service-repair-dubai</x:v>
      </x:c>
      <x:c r="E31" s="13" t="str">
        <x:v>Mercedes G-Class Service &amp; Repair Dubai | Digi-Tec</x:v>
      </x:c>
      <x:c r="F31" s="13" t="str">
        <x:v>200 with expected self-canonical</x:v>
      </x:c>
      <x:c r="G31" s="13" t="str">
        <x:v>Verify Google-selected canonical and indexing in Search Console.</x:v>
      </x:c>
    </x:row>
    <x:row r="32" ht="70" customHeight="1">
      <x:c r="A32" s="13" t="str">
        <x:v>https://digitecme.com/mercedes/models/c63-service-repair-dubai</x:v>
      </x:c>
      <x:c r="B32" s="13" t="n">
        <x:v>200</x:v>
      </x:c>
      <x:c r="C32" s="13" t="str">
        <x:v>(none)</x:v>
      </x:c>
      <x:c r="D32" s="13" t="str">
        <x:v>https://digitecme.com/mercedes/models/c63-service-repair-dubai</x:v>
      </x:c>
      <x:c r="E32" s="13" t="str">
        <x:v>Mercedes-AMG C63 Service &amp; Repair Dubai | Digi-Tec</x:v>
      </x:c>
      <x:c r="F32" s="13" t="str">
        <x:v>200 with expected self-canonical</x:v>
      </x:c>
      <x:c r="G32" s="13" t="str">
        <x:v>Verify Google-selected canonical and indexing in Search Console.</x:v>
      </x:c>
    </x:row>
    <x:row r="33" ht="70" customHeight="1">
      <x:c r="A33" s="13" t="str">
        <x:v>https://digitecme.com/blog/mercedes-c-class-service-dubai-guide</x:v>
      </x:c>
      <x:c r="B33" s="13" t="n">
        <x:v>200</x:v>
      </x:c>
      <x:c r="C33" s="13" t="str">
        <x:v>(none)</x:v>
      </x:c>
      <x:c r="D33" s="13" t="str">
        <x:v>https://digitecme.com/blog/mercedes-c-class-service-dubai-guide</x:v>
      </x:c>
      <x:c r="E33" s="13" t="str">
        <x:v>Mercedes C-Class Service &amp; Repair Dubai | Digi-Tec</x:v>
      </x:c>
      <x:c r="F33" s="13" t="str">
        <x:v>200 with expected self-canonical</x:v>
      </x:c>
      <x:c r="G33" s="13" t="str">
        <x:v>Verify Google-selected canonical and indexing in Search Console.</x:v>
      </x:c>
    </x:row>
    <x:row r="34" ht="70" customHeight="1">
      <x:c r="A34" s="13" t="str">
        <x:v>https://digitecme.com/mercedes/models/e63-service-repair-dubai</x:v>
      </x:c>
      <x:c r="B34" s="13" t="n">
        <x:v>200</x:v>
      </x:c>
      <x:c r="C34" s="13" t="str">
        <x:v>(none)</x:v>
      </x:c>
      <x:c r="D34" s="13" t="str">
        <x:v>https://digitecme.com/mercedes/models/e63-service-repair-dubai</x:v>
      </x:c>
      <x:c r="E34" s="13" t="str">
        <x:v>Mercedes-AMG E63 Service &amp; Repair Dubai | Digi-Tec</x:v>
      </x:c>
      <x:c r="F34" s="13" t="str">
        <x:v>200 with expected self-canonical</x:v>
      </x:c>
      <x:c r="G34" s="13" t="str">
        <x:v>Verify Google-selected canonical and indexing in Search Console.</x:v>
      </x:c>
    </x:row>
    <x:row r="35" ht="70" customHeight="1">
      <x:c r="A35" s="13" t="str">
        <x:v>https://digitecme.com/blog/mercedes-e-class-service-dubai-guide</x:v>
      </x:c>
      <x:c r="B35" s="13" t="n">
        <x:v>200</x:v>
      </x:c>
      <x:c r="C35" s="13" t="str">
        <x:v>(none)</x:v>
      </x:c>
      <x:c r="D35" s="13" t="str">
        <x:v>https://digitecme.com/blog/mercedes-e-class-service-dubai-guide</x:v>
      </x:c>
      <x:c r="E35" s="13" t="str">
        <x:v>Mercedes E-Class Service &amp; Repair Dubai | Digi-Tec</x:v>
      </x:c>
      <x:c r="F35" s="13" t="str">
        <x:v>200 with expected self-canonical</x:v>
      </x:c>
      <x:c r="G35" s="13" t="str">
        <x:v>Verify Google-selected canonical and indexing in Search Console.</x:v>
      </x:c>
    </x:row>
    <x:row r="36" ht="70" customHeight="1">
      <x:c r="A36" s="13" t="str">
        <x:v>https://digitecme.com/blog/mercedes-s-class-service-dubai-guide</x:v>
      </x:c>
      <x:c r="B36" s="13" t="n">
        <x:v>200</x:v>
      </x:c>
      <x:c r="C36" s="13" t="str">
        <x:v>(none)</x:v>
      </x:c>
      <x:c r="D36" s="13" t="str">
        <x:v>https://digitecme.com/blog/mercedes-s-class-service-dubai-guide</x:v>
      </x:c>
      <x:c r="E36" s="13" t="str">
        <x:v>Mercedes S-Class Service &amp; Repair Dubai | Digi-Tec</x:v>
      </x:c>
      <x:c r="F36" s="13" t="str">
        <x:v>200 with expected self-canonical</x:v>
      </x:c>
      <x:c r="G36" s="13" t="str">
        <x:v>Verify Google-selected canonical and indexing in Search Console.</x:v>
      </x:c>
    </x:row>
    <x:row r="37" ht="70" customHeight="1">
      <x:c r="A37" s="13" t="str">
        <x:v>https://digitecme.com/mercedes/models/s63-service-repair-dubai</x:v>
      </x:c>
      <x:c r="B37" s="13" t="n">
        <x:v>200</x:v>
      </x:c>
      <x:c r="C37" s="13" t="str">
        <x:v>(none)</x:v>
      </x:c>
      <x:c r="D37" s="13" t="str">
        <x:v>https://digitecme.com/mercedes/models/s63-service-repair-dubai</x:v>
      </x:c>
      <x:c r="E37" s="13" t="str">
        <x:v>Mercedes-AMG S63 Service &amp; Repair Dubai | Digi-Tec</x:v>
      </x:c>
      <x:c r="F37" s="13" t="str">
        <x:v>200 with expected self-canonical</x:v>
      </x:c>
      <x:c r="G37" s="13" t="str">
        <x:v>Verify Google-selected canonical and indexing in Search Console.</x:v>
      </x:c>
    </x:row>
    <x:row r="38" ht="70" customHeight="1">
      <x:c r="A38" s="13" t="str">
        <x:v>https://digitecme.com/mercedes/models/gle-service-repair-dubai</x:v>
      </x:c>
      <x:c r="B38" s="13" t="n">
        <x:v>200</x:v>
      </x:c>
      <x:c r="C38" s="13" t="str">
        <x:v>(none)</x:v>
      </x:c>
      <x:c r="D38" s="13" t="str">
        <x:v>https://digitecme.com/mercedes/models/gle-service-repair-dubai</x:v>
      </x:c>
      <x:c r="E38" s="13" t="str">
        <x:v>Mercedes GLE Service &amp; Repair Dubai | Digi-Tec</x:v>
      </x:c>
      <x:c r="F38" s="13" t="str">
        <x:v>200 with expected self-canonical</x:v>
      </x:c>
      <x:c r="G38" s="13" t="str">
        <x:v>Verify Google-selected canonical and indexing in Search Console.</x:v>
      </x:c>
    </x:row>
    <x:row r="39" ht="70" customHeight="1">
      <x:c r="A39" s="13" t="str">
        <x:v>https://digitecme.com/mercedes/models/gls-service-repair-dubai</x:v>
      </x:c>
      <x:c r="B39" s="13" t="n">
        <x:v>200</x:v>
      </x:c>
      <x:c r="C39" s="13" t="str">
        <x:v>(none)</x:v>
      </x:c>
      <x:c r="D39" s="13" t="str">
        <x:v>https://digitecme.com/mercedes/models/gls-service-repair-dubai</x:v>
      </x:c>
      <x:c r="E39" s="13" t="str">
        <x:v>Mercedes GLS Service &amp; Repair Dubai | Digi-Tec</x:v>
      </x:c>
      <x:c r="F39" s="13" t="str">
        <x:v>200 with expected self-canonical</x:v>
      </x:c>
      <x:c r="G39" s="13" t="str">
        <x:v>Verify Google-selected canonical and indexing in Search Console.</x:v>
      </x:c>
    </x:row>
    <x:row r="40" ht="70" customHeight="1">
      <x:c r="A40" s="13" t="str">
        <x:v>https://digitecme.com/services/mercedes-oil-change-dubai</x:v>
      </x:c>
      <x:c r="B40" s="13" t="n">
        <x:v>200</x:v>
      </x:c>
      <x:c r="C40" s="13" t="str">
        <x:v>(none)</x:v>
      </x:c>
      <x:c r="D40" s="13" t="str">
        <x:v>https://digitecme.com/services/mercedes-oil-change-dubai</x:v>
      </x:c>
      <x:c r="E40" s="13" t="str">
        <x:v>Mercedes-Benz Oil Change Dubai | Digi-Tec</x:v>
      </x:c>
      <x:c r="F40" s="13" t="str">
        <x:v>200 with expected self-canonical</x:v>
      </x:c>
      <x:c r="G40" s="13" t="str">
        <x:v>Verify Google-selected canonical and indexing in Search Console.</x:v>
      </x:c>
    </x:row>
    <x:row r="41" ht="70" customHeight="1">
      <x:c r="A41" s="13" t="str">
        <x:v>https://digitecme.com/services/mercedes-oil-change-dubai/</x:v>
      </x:c>
      <x:c r="B41" s="13" t="n">
        <x:v>200</x:v>
      </x:c>
      <x:c r="C41" s="13" t="str">
        <x:v>(none)</x:v>
      </x:c>
      <x:c r="D41" s="13" t="str">
        <x:v>https://digitecme.com/services/mercedes-oil-change-dubai</x:v>
      </x:c>
      <x:c r="E41" s="13" t="str">
        <x:v>Mercedes-Benz Oil Change Dubai | Digi-Tec</x:v>
      </x:c>
      <x:c r="F41" s="13" t="str">
        <x:v>200 duplicate with canonical to non-slash URL</x:v>
      </x:c>
      <x:c r="G41" s="13" t="str">
        <x:v>Prefer a permanent redirect to the same non-slash canonical; retain query parameters.</x:v>
      </x:c>
    </x:row>
    <x:row r="42" ht="70" customHeight="1">
      <x:c r="A42" s="13" t="str">
        <x:v>https://digitecme.com/services/mercedes-ac-repair-dubai/</x:v>
      </x:c>
      <x:c r="B42" s="13" t="n">
        <x:v>200</x:v>
      </x:c>
      <x:c r="C42" s="13" t="str">
        <x:v>(none)</x:v>
      </x:c>
      <x:c r="D42" s="13" t="str">
        <x:v>https://digitecme.com/services/mercedes-ac-repair-dubai</x:v>
      </x:c>
      <x:c r="E42" s="13" t="str">
        <x:v>Mercedes-Benz AC Repair Dubai | Digi-Tec</x:v>
      </x:c>
      <x:c r="F42" s="13" t="str">
        <x:v>200 duplicate with canonical to non-slash URL</x:v>
      </x:c>
      <x:c r="G42" s="13" t="str">
        <x:v>Prefer a permanent redirect to the same non-slash canonical; retain query parameters.</x:v>
      </x:c>
    </x:row>
    <x:row r="43">
      <x:c r="A43" s="2"/>
      <x:c r="B43" s="2"/>
      <x:c r="C43" s="2"/>
      <x:c r="D43" s="2"/>
      <x:c r="E43" s="2"/>
      <x:c r="F43" s="2"/>
      <x:c r="G43" s="2"/>
    </x:row>
  </x:sheetData>
  <x:pageMargins left="0.7" right="0.7" top="0.75" bottom="0.75" header="0.3" footer="0.3"/>
  <x:tableParts count="1">
    <x:tablePart xmlns:r="http://schemas.openxmlformats.org/officeDocument/2006/relationships" r:id="Rd4503982661243fc"/>
  </x:tableParts>
</x:worksheet>
</file>

<file path=xl/worksheets/sheet7.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20" hidden="0" customWidth="1"/>
    <x:col min="2" max="2" width="14" hidden="0" customWidth="1"/>
    <x:col min="3" max="3" width="18" hidden="0" customWidth="1"/>
    <x:col min="4" max="4" width="18" hidden="0" customWidth="1"/>
    <x:col min="5" max="5" width="20" hidden="0" customWidth="1"/>
    <x:col min="8" max="8" width="28" hidden="0" customWidth="1"/>
    <x:col min="9" max="9" width="18" hidden="0" customWidth="1"/>
    <x:col min="10" max="10" width="18" hidden="0" customWidth="1"/>
    <x:col min="11" max="11" width="18" hidden="0" customWidth="1"/>
    <x:col min="12" max="12" width="18" hidden="0" customWidth="1"/>
  </x:cols>
  <x:sheetData>
    <x:row r="1" ht="30" customHeight="1">
      <x:c r="A1" s="3" t="str">
        <x:v>Daily Mercedes search performance</x:v>
      </x:c>
      <x:c r="B1" s="2"/>
      <x:c r="C1" s="2"/>
      <x:c r="D1" s="2"/>
      <x:c r="E1" s="2"/>
    </x:row>
    <x:row r="2" ht="25" customHeight="1">
      <x:c r="A2" s="5" t="str">
        <x:v>7 Jun–6 Sep 2026 | Web search; query filter +mercedes; all countries and devices</x:v>
      </x:c>
      <x:c r="B2" s="4"/>
      <x:c r="C2" s="4"/>
      <x:c r="D2" s="4"/>
      <x:c r="E2" s="4"/>
    </x:row>
    <x:row r="3">
      <x:c r="A3" s="2"/>
      <x:c r="B3" s="2"/>
      <x:c r="C3" s="2"/>
      <x:c r="D3" s="2"/>
      <x:c r="E3" s="2"/>
    </x:row>
    <x:row r="4" ht="28" customHeight="1">
      <x:c r="A4" s="10" t="str">
        <x:v>Date</x:v>
      </x:c>
      <x:c r="B4" s="11" t="str">
        <x:v>Clicks</x:v>
      </x:c>
      <x:c r="C4" s="11" t="str">
        <x:v>Impressions</x:v>
      </x:c>
      <x:c r="D4" s="11" t="str">
        <x:v>Exported CTR</x:v>
      </x:c>
      <x:c r="E4" s="12" t="str">
        <x:v>Average position</x:v>
      </x:c>
      <x:c r="H4" s="27" t="str">
        <x:v>Device</x:v>
      </x:c>
      <x:c r="I4" s="27" t="str">
        <x:v>Clicks</x:v>
      </x:c>
      <x:c r="J4" s="27" t="str">
        <x:v>Impressions</x:v>
      </x:c>
      <x:c r="K4" s="27" t="str">
        <x:v>Exported CTR</x:v>
      </x:c>
      <x:c r="L4" s="27" t="str">
        <x:v>Avg. position</x:v>
      </x:c>
    </x:row>
    <x:row r="5" ht="25" customHeight="1">
      <x:c r="A5" s="22" t="n">
        <x:v>46180</x:v>
      </x:c>
      <x:c r="B5" s="14" t="n">
        <x:v>0</x:v>
      </x:c>
      <x:c r="C5" s="14" t="n">
        <x:v>116</x:v>
      </x:c>
      <x:c r="D5" s="15" t="n">
        <x:v>0</x:v>
      </x:c>
      <x:c r="E5" s="16" t="n">
        <x:v>18.8</x:v>
      </x:c>
      <x:c r="H5" s="1" t="str">
        <x:v>Mobile</x:v>
      </x:c>
      <x:c r="I5" s="23" t="n">
        <x:v>10</x:v>
      </x:c>
      <x:c r="J5" s="23" t="n">
        <x:v>2328</x:v>
      </x:c>
      <x:c r="K5" s="24" t="n">
        <x:v>0.0043</x:v>
      </x:c>
      <x:c r="L5" s="25" t="n">
        <x:v>15</x:v>
      </x:c>
    </x:row>
    <x:row r="6" ht="25" customHeight="1">
      <x:c r="A6" s="22" t="n">
        <x:v>46181</x:v>
      </x:c>
      <x:c r="B6" s="14" t="n">
        <x:v>0</x:v>
      </x:c>
      <x:c r="C6" s="14" t="n">
        <x:v>101</x:v>
      </x:c>
      <x:c r="D6" s="15" t="n">
        <x:v>0</x:v>
      </x:c>
      <x:c r="E6" s="16" t="n">
        <x:v>22.8</x:v>
      </x:c>
      <x:c r="H6" s="1" t="str">
        <x:v>Desktop</x:v>
      </x:c>
      <x:c r="I6" s="23" t="n">
        <x:v>9</x:v>
      </x:c>
      <x:c r="J6" s="23" t="n">
        <x:v>8227</x:v>
      </x:c>
      <x:c r="K6" s="24" t="n">
        <x:v>0.0011</x:v>
      </x:c>
      <x:c r="L6" s="25" t="n">
        <x:v>22.09</x:v>
      </x:c>
    </x:row>
    <x:row r="7" ht="25" customHeight="1">
      <x:c r="A7" s="22" t="n">
        <x:v>46182</x:v>
      </x:c>
      <x:c r="B7" s="14" t="n">
        <x:v>0</x:v>
      </x:c>
      <x:c r="C7" s="14" t="n">
        <x:v>116</x:v>
      </x:c>
      <x:c r="D7" s="15" t="n">
        <x:v>0</x:v>
      </x:c>
      <x:c r="E7" s="16" t="n">
        <x:v>22.1</x:v>
      </x:c>
      <x:c r="H7" s="1" t="str">
        <x:v>Tablet</x:v>
      </x:c>
      <x:c r="I7" s="23" t="n">
        <x:v>0</x:v>
      </x:c>
      <x:c r="J7" s="23" t="n">
        <x:v>42</x:v>
      </x:c>
      <x:c r="K7" s="24" t="n">
        <x:v>0</x:v>
      </x:c>
      <x:c r="L7" s="25" t="n">
        <x:v>18</x:v>
      </x:c>
    </x:row>
    <x:row r="8" ht="25" customHeight="1">
      <x:c r="A8" s="22" t="n">
        <x:v>46183</x:v>
      </x:c>
      <x:c r="B8" s="14" t="n">
        <x:v>0</x:v>
      </x:c>
      <x:c r="C8" s="14" t="n">
        <x:v>121</x:v>
      </x:c>
      <x:c r="D8" s="15" t="n">
        <x:v>0</x:v>
      </x:c>
      <x:c r="E8" s="16" t="n">
        <x:v>25.1</x:v>
      </x:c>
      <x:c r="H8" s="1"/>
      <x:c r="I8" s="1"/>
      <x:c r="J8" s="1"/>
      <x:c r="K8" s="1"/>
      <x:c r="L8" s="1"/>
    </x:row>
    <x:row r="9" ht="25" customHeight="1">
      <x:c r="A9" s="22" t="n">
        <x:v>46184</x:v>
      </x:c>
      <x:c r="B9" s="14" t="n">
        <x:v>0</x:v>
      </x:c>
      <x:c r="C9" s="14" t="n">
        <x:v>175</x:v>
      </x:c>
      <x:c r="D9" s="15" t="n">
        <x:v>0</x:v>
      </x:c>
      <x:c r="E9" s="16" t="n">
        <x:v>22.5</x:v>
      </x:c>
      <x:c r="H9" s="1"/>
      <x:c r="I9" s="1"/>
      <x:c r="J9" s="1"/>
      <x:c r="K9" s="1"/>
      <x:c r="L9" s="1"/>
    </x:row>
    <x:row r="10" ht="28" customHeight="1">
      <x:c r="A10" s="22" t="n">
        <x:v>46185</x:v>
      </x:c>
      <x:c r="B10" s="14" t="n">
        <x:v>0</x:v>
      </x:c>
      <x:c r="C10" s="14" t="n">
        <x:v>107</x:v>
      </x:c>
      <x:c r="D10" s="15" t="n">
        <x:v>0</x:v>
      </x:c>
      <x:c r="E10" s="16" t="n">
        <x:v>20.7</x:v>
      </x:c>
      <x:c r="H10" s="27" t="str">
        <x:v>Country</x:v>
      </x:c>
      <x:c r="I10" s="27" t="str">
        <x:v>Clicks</x:v>
      </x:c>
      <x:c r="J10" s="27" t="str">
        <x:v>Impressions</x:v>
      </x:c>
      <x:c r="K10" s="27" t="str">
        <x:v>Exported CTR</x:v>
      </x:c>
      <x:c r="L10" s="27" t="str">
        <x:v>Avg. position</x:v>
      </x:c>
    </x:row>
    <x:row r="11" ht="25" customHeight="1">
      <x:c r="A11" s="22" t="n">
        <x:v>46186</x:v>
      </x:c>
      <x:c r="B11" s="14" t="n">
        <x:v>0</x:v>
      </x:c>
      <x:c r="C11" s="14" t="n">
        <x:v>144</x:v>
      </x:c>
      <x:c r="D11" s="15" t="n">
        <x:v>0</x:v>
      </x:c>
      <x:c r="E11" s="16" t="n">
        <x:v>21.4</x:v>
      </x:c>
      <x:c r="H11" s="1" t="str">
        <x:v>United Arab Emirates</x:v>
      </x:c>
      <x:c r="I11" s="23" t="n">
        <x:v>19</x:v>
      </x:c>
      <x:c r="J11" s="23" t="n">
        <x:v>10343</x:v>
      </x:c>
      <x:c r="K11" s="24" t="n">
        <x:v>0.0018</x:v>
      </x:c>
      <x:c r="L11" s="25" t="n">
        <x:v>20.69</x:v>
      </x:c>
    </x:row>
    <x:row r="12" ht="25" customHeight="1">
      <x:c r="A12" s="22" t="n">
        <x:v>46187</x:v>
      </x:c>
      <x:c r="B12" s="14" t="n">
        <x:v>0</x:v>
      </x:c>
      <x:c r="C12" s="14" t="n">
        <x:v>135</x:v>
      </x:c>
      <x:c r="D12" s="15" t="n">
        <x:v>0</x:v>
      </x:c>
      <x:c r="E12" s="16" t="n">
        <x:v>19.8</x:v>
      </x:c>
    </x:row>
    <x:row r="13" ht="25" customHeight="1">
      <x:c r="A13" s="22" t="n">
        <x:v>46188</x:v>
      </x:c>
      <x:c r="B13" s="14" t="n">
        <x:v>0</x:v>
      </x:c>
      <x:c r="C13" s="14" t="n">
        <x:v>112</x:v>
      </x:c>
      <x:c r="D13" s="15" t="n">
        <x:v>0</x:v>
      </x:c>
      <x:c r="E13" s="16" t="n">
        <x:v>18.5</x:v>
      </x:c>
    </x:row>
    <x:row r="14" ht="25" customHeight="1">
      <x:c r="A14" s="22" t="n">
        <x:v>46189</x:v>
      </x:c>
      <x:c r="B14" s="14" t="n">
        <x:v>0</x:v>
      </x:c>
      <x:c r="C14" s="14" t="n">
        <x:v>109</x:v>
      </x:c>
      <x:c r="D14" s="15" t="n">
        <x:v>0</x:v>
      </x:c>
      <x:c r="E14" s="16" t="n">
        <x:v>18.7</x:v>
      </x:c>
    </x:row>
    <x:row r="15" ht="25" customHeight="1">
      <x:c r="A15" s="22" t="n">
        <x:v>46190</x:v>
      </x:c>
      <x:c r="B15" s="14" t="n">
        <x:v>0</x:v>
      </x:c>
      <x:c r="C15" s="14" t="n">
        <x:v>119</x:v>
      </x:c>
      <x:c r="D15" s="15" t="n">
        <x:v>0</x:v>
      </x:c>
      <x:c r="E15" s="16" t="n">
        <x:v>23.7</x:v>
      </x:c>
    </x:row>
    <x:row r="16" ht="25" customHeight="1">
      <x:c r="A16" s="22" t="n">
        <x:v>46191</x:v>
      </x:c>
      <x:c r="B16" s="14" t="n">
        <x:v>0</x:v>
      </x:c>
      <x:c r="C16" s="14" t="n">
        <x:v>208</x:v>
      </x:c>
      <x:c r="D16" s="15" t="n">
        <x:v>0</x:v>
      </x:c>
      <x:c r="E16" s="16" t="n">
        <x:v>19.7</x:v>
      </x:c>
    </x:row>
    <x:row r="17" ht="25" customHeight="1">
      <x:c r="A17" s="22" t="n">
        <x:v>46192</x:v>
      </x:c>
      <x:c r="B17" s="14" t="n">
        <x:v>0</x:v>
      </x:c>
      <x:c r="C17" s="14" t="n">
        <x:v>109</x:v>
      </x:c>
      <x:c r="D17" s="15" t="n">
        <x:v>0</x:v>
      </x:c>
      <x:c r="E17" s="16" t="n">
        <x:v>19.7</x:v>
      </x:c>
    </x:row>
    <x:row r="18" ht="25" customHeight="1">
      <x:c r="A18" s="22" t="n">
        <x:v>46193</x:v>
      </x:c>
      <x:c r="B18" s="14" t="n">
        <x:v>0</x:v>
      </x:c>
      <x:c r="C18" s="14" t="n">
        <x:v>132</x:v>
      </x:c>
      <x:c r="D18" s="15" t="n">
        <x:v>0</x:v>
      </x:c>
      <x:c r="E18" s="16" t="n">
        <x:v>18.8</x:v>
      </x:c>
    </x:row>
    <x:row r="19" ht="25" customHeight="1">
      <x:c r="A19" s="22" t="n">
        <x:v>46194</x:v>
      </x:c>
      <x:c r="B19" s="14" t="n">
        <x:v>0</x:v>
      </x:c>
      <x:c r="C19" s="14" t="n">
        <x:v>70</x:v>
      </x:c>
      <x:c r="D19" s="15" t="n">
        <x:v>0</x:v>
      </x:c>
      <x:c r="E19" s="16" t="n">
        <x:v>20.8</x:v>
      </x:c>
    </x:row>
    <x:row r="20" ht="25" customHeight="1">
      <x:c r="A20" s="22" t="n">
        <x:v>46195</x:v>
      </x:c>
      <x:c r="B20" s="14" t="n">
        <x:v>0</x:v>
      </x:c>
      <x:c r="C20" s="14" t="n">
        <x:v>180</x:v>
      </x:c>
      <x:c r="D20" s="15" t="n">
        <x:v>0</x:v>
      </x:c>
      <x:c r="E20" s="16" t="n">
        <x:v>20.7</x:v>
      </x:c>
    </x:row>
    <x:row r="21" ht="25" customHeight="1">
      <x:c r="A21" s="22" t="n">
        <x:v>46196</x:v>
      </x:c>
      <x:c r="B21" s="14" t="n">
        <x:v>0</x:v>
      </x:c>
      <x:c r="C21" s="14" t="n">
        <x:v>100</x:v>
      </x:c>
      <x:c r="D21" s="15" t="n">
        <x:v>0</x:v>
      </x:c>
      <x:c r="E21" s="16" t="n">
        <x:v>23</x:v>
      </x:c>
    </x:row>
    <x:row r="22" ht="25" customHeight="1">
      <x:c r="A22" s="22" t="n">
        <x:v>46197</x:v>
      </x:c>
      <x:c r="B22" s="14" t="n">
        <x:v>0</x:v>
      </x:c>
      <x:c r="C22" s="14" t="n">
        <x:v>47</x:v>
      </x:c>
      <x:c r="D22" s="15" t="n">
        <x:v>0</x:v>
      </x:c>
      <x:c r="E22" s="16" t="n">
        <x:v>24.6</x:v>
      </x:c>
    </x:row>
    <x:row r="23" ht="25" customHeight="1">
      <x:c r="A23" s="22" t="n">
        <x:v>46198</x:v>
      </x:c>
      <x:c r="B23" s="14" t="n">
        <x:v>0</x:v>
      </x:c>
      <x:c r="C23" s="14" t="n">
        <x:v>92</x:v>
      </x:c>
      <x:c r="D23" s="15" t="n">
        <x:v>0</x:v>
      </x:c>
      <x:c r="E23" s="16" t="n">
        <x:v>29.4</x:v>
      </x:c>
    </x:row>
    <x:row r="24" ht="25" customHeight="1">
      <x:c r="A24" s="22" t="n">
        <x:v>46199</x:v>
      </x:c>
      <x:c r="B24" s="14" t="n">
        <x:v>0</x:v>
      </x:c>
      <x:c r="C24" s="14" t="n">
        <x:v>67</x:v>
      </x:c>
      <x:c r="D24" s="15" t="n">
        <x:v>0</x:v>
      </x:c>
      <x:c r="E24" s="16" t="n">
        <x:v>34.2</x:v>
      </x:c>
    </x:row>
    <x:row r="25" ht="25" customHeight="1">
      <x:c r="A25" s="22" t="n">
        <x:v>46200</x:v>
      </x:c>
      <x:c r="B25" s="14" t="n">
        <x:v>0</x:v>
      </x:c>
      <x:c r="C25" s="14" t="n">
        <x:v>136</x:v>
      </x:c>
      <x:c r="D25" s="15" t="n">
        <x:v>0</x:v>
      </x:c>
      <x:c r="E25" s="16" t="n">
        <x:v>31.4</x:v>
      </x:c>
    </x:row>
    <x:row r="26" ht="25" customHeight="1">
      <x:c r="A26" s="22" t="n">
        <x:v>46201</x:v>
      </x:c>
      <x:c r="B26" s="14" t="n">
        <x:v>0</x:v>
      </x:c>
      <x:c r="C26" s="14" t="n">
        <x:v>82</x:v>
      </x:c>
      <x:c r="D26" s="15" t="n">
        <x:v>0</x:v>
      </x:c>
      <x:c r="E26" s="16" t="n">
        <x:v>21.1</x:v>
      </x:c>
    </x:row>
    <x:row r="27" ht="25" customHeight="1">
      <x:c r="A27" s="22" t="n">
        <x:v>46202</x:v>
      </x:c>
      <x:c r="B27" s="14" t="n">
        <x:v>0</x:v>
      </x:c>
      <x:c r="C27" s="14" t="n">
        <x:v>72</x:v>
      </x:c>
      <x:c r="D27" s="15" t="n">
        <x:v>0</x:v>
      </x:c>
      <x:c r="E27" s="16" t="n">
        <x:v>24</x:v>
      </x:c>
    </x:row>
    <x:row r="28" ht="25" customHeight="1">
      <x:c r="A28" s="22" t="n">
        <x:v>46203</x:v>
      </x:c>
      <x:c r="B28" s="14" t="n">
        <x:v>0</x:v>
      </x:c>
      <x:c r="C28" s="14" t="n">
        <x:v>107</x:v>
      </x:c>
      <x:c r="D28" s="15" t="n">
        <x:v>0</x:v>
      </x:c>
      <x:c r="E28" s="16" t="n">
        <x:v>23.6</x:v>
      </x:c>
    </x:row>
    <x:row r="29" ht="25" customHeight="1">
      <x:c r="A29" s="22" t="n">
        <x:v>46204</x:v>
      </x:c>
      <x:c r="B29" s="14" t="n">
        <x:v>0</x:v>
      </x:c>
      <x:c r="C29" s="14" t="n">
        <x:v>122</x:v>
      </x:c>
      <x:c r="D29" s="15" t="n">
        <x:v>0</x:v>
      </x:c>
      <x:c r="E29" s="16" t="n">
        <x:v>23.8</x:v>
      </x:c>
    </x:row>
    <x:row r="30" ht="25" customHeight="1">
      <x:c r="A30" s="22" t="n">
        <x:v>46205</x:v>
      </x:c>
      <x:c r="B30" s="14" t="n">
        <x:v>0</x:v>
      </x:c>
      <x:c r="C30" s="14" t="n">
        <x:v>135</x:v>
      </x:c>
      <x:c r="D30" s="15" t="n">
        <x:v>0</x:v>
      </x:c>
      <x:c r="E30" s="16" t="n">
        <x:v>25.1</x:v>
      </x:c>
    </x:row>
    <x:row r="31" ht="25" customHeight="1">
      <x:c r="A31" s="22" t="n">
        <x:v>46206</x:v>
      </x:c>
      <x:c r="B31" s="14" t="n">
        <x:v>0</x:v>
      </x:c>
      <x:c r="C31" s="14" t="n">
        <x:v>136</x:v>
      </x:c>
      <x:c r="D31" s="15" t="n">
        <x:v>0</x:v>
      </x:c>
      <x:c r="E31" s="16" t="n">
        <x:v>26.2</x:v>
      </x:c>
    </x:row>
    <x:row r="32" ht="25" customHeight="1">
      <x:c r="A32" s="22" t="n">
        <x:v>46207</x:v>
      </x:c>
      <x:c r="B32" s="14" t="n">
        <x:v>0</x:v>
      </x:c>
      <x:c r="C32" s="14" t="n">
        <x:v>74</x:v>
      </x:c>
      <x:c r="D32" s="15" t="n">
        <x:v>0</x:v>
      </x:c>
      <x:c r="E32" s="16" t="n">
        <x:v>25.5</x:v>
      </x:c>
    </x:row>
    <x:row r="33" ht="25" customHeight="1">
      <x:c r="A33" s="22" t="n">
        <x:v>46208</x:v>
      </x:c>
      <x:c r="B33" s="14" t="n">
        <x:v>0</x:v>
      </x:c>
      <x:c r="C33" s="14" t="n">
        <x:v>123</x:v>
      </x:c>
      <x:c r="D33" s="15" t="n">
        <x:v>0</x:v>
      </x:c>
      <x:c r="E33" s="16" t="n">
        <x:v>21.8</x:v>
      </x:c>
    </x:row>
    <x:row r="34" ht="25" customHeight="1">
      <x:c r="A34" s="22" t="n">
        <x:v>46209</x:v>
      </x:c>
      <x:c r="B34" s="14" t="n">
        <x:v>0</x:v>
      </x:c>
      <x:c r="C34" s="14" t="n">
        <x:v>131</x:v>
      </x:c>
      <x:c r="D34" s="15" t="n">
        <x:v>0</x:v>
      </x:c>
      <x:c r="E34" s="16" t="n">
        <x:v>20.5</x:v>
      </x:c>
    </x:row>
    <x:row r="35" ht="25" customHeight="1">
      <x:c r="A35" s="22" t="n">
        <x:v>46210</x:v>
      </x:c>
      <x:c r="B35" s="14" t="n">
        <x:v>0</x:v>
      </x:c>
      <x:c r="C35" s="14" t="n">
        <x:v>105</x:v>
      </x:c>
      <x:c r="D35" s="15" t="n">
        <x:v>0</x:v>
      </x:c>
      <x:c r="E35" s="16" t="n">
        <x:v>25.8</x:v>
      </x:c>
    </x:row>
    <x:row r="36" ht="25" customHeight="1">
      <x:c r="A36" s="22" t="n">
        <x:v>46211</x:v>
      </x:c>
      <x:c r="B36" s="14" t="n">
        <x:v>0</x:v>
      </x:c>
      <x:c r="C36" s="14" t="n">
        <x:v>112</x:v>
      </x:c>
      <x:c r="D36" s="15" t="n">
        <x:v>0</x:v>
      </x:c>
      <x:c r="E36" s="16" t="n">
        <x:v>23</x:v>
      </x:c>
    </x:row>
    <x:row r="37" ht="25" customHeight="1">
      <x:c r="A37" s="22" t="n">
        <x:v>46212</x:v>
      </x:c>
      <x:c r="B37" s="14" t="n">
        <x:v>0</x:v>
      </x:c>
      <x:c r="C37" s="14" t="n">
        <x:v>104</x:v>
      </x:c>
      <x:c r="D37" s="15" t="n">
        <x:v>0</x:v>
      </x:c>
      <x:c r="E37" s="16" t="n">
        <x:v>23.5</x:v>
      </x:c>
    </x:row>
    <x:row r="38" ht="25" customHeight="1">
      <x:c r="A38" s="22" t="n">
        <x:v>46213</x:v>
      </x:c>
      <x:c r="B38" s="14" t="n">
        <x:v>0</x:v>
      </x:c>
      <x:c r="C38" s="14" t="n">
        <x:v>95</x:v>
      </x:c>
      <x:c r="D38" s="15" t="n">
        <x:v>0</x:v>
      </x:c>
      <x:c r="E38" s="16" t="n">
        <x:v>25.9</x:v>
      </x:c>
    </x:row>
    <x:row r="39" ht="25" customHeight="1">
      <x:c r="A39" s="22" t="n">
        <x:v>46214</x:v>
      </x:c>
      <x:c r="B39" s="14" t="n">
        <x:v>0</x:v>
      </x:c>
      <x:c r="C39" s="14" t="n">
        <x:v>148</x:v>
      </x:c>
      <x:c r="D39" s="15" t="n">
        <x:v>0</x:v>
      </x:c>
      <x:c r="E39" s="16" t="n">
        <x:v>27.7</x:v>
      </x:c>
    </x:row>
    <x:row r="40" ht="25" customHeight="1">
      <x:c r="A40" s="22" t="n">
        <x:v>46215</x:v>
      </x:c>
      <x:c r="B40" s="14" t="n">
        <x:v>0</x:v>
      </x:c>
      <x:c r="C40" s="14" t="n">
        <x:v>100</x:v>
      </x:c>
      <x:c r="D40" s="15" t="n">
        <x:v>0</x:v>
      </x:c>
      <x:c r="E40" s="16" t="n">
        <x:v>24.1</x:v>
      </x:c>
    </x:row>
    <x:row r="41" ht="25" customHeight="1">
      <x:c r="A41" s="22" t="n">
        <x:v>46216</x:v>
      </x:c>
      <x:c r="B41" s="14" t="n">
        <x:v>0</x:v>
      </x:c>
      <x:c r="C41" s="14" t="n">
        <x:v>68</x:v>
      </x:c>
      <x:c r="D41" s="15" t="n">
        <x:v>0</x:v>
      </x:c>
      <x:c r="E41" s="16" t="n">
        <x:v>28.1</x:v>
      </x:c>
    </x:row>
    <x:row r="42" ht="25" customHeight="1">
      <x:c r="A42" s="22" t="n">
        <x:v>46217</x:v>
      </x:c>
      <x:c r="B42" s="14" t="n">
        <x:v>0</x:v>
      </x:c>
      <x:c r="C42" s="14" t="n">
        <x:v>82</x:v>
      </x:c>
      <x:c r="D42" s="15" t="n">
        <x:v>0</x:v>
      </x:c>
      <x:c r="E42" s="16" t="n">
        <x:v>35.8</x:v>
      </x:c>
    </x:row>
    <x:row r="43" ht="25" customHeight="1">
      <x:c r="A43" s="22" t="n">
        <x:v>46218</x:v>
      </x:c>
      <x:c r="B43" s="14" t="n">
        <x:v>0</x:v>
      </x:c>
      <x:c r="C43" s="14" t="n">
        <x:v>61</x:v>
      </x:c>
      <x:c r="D43" s="15" t="n">
        <x:v>0</x:v>
      </x:c>
      <x:c r="E43" s="16" t="n">
        <x:v>35.4</x:v>
      </x:c>
    </x:row>
    <x:row r="44" ht="25" customHeight="1">
      <x:c r="A44" s="22" t="n">
        <x:v>46219</x:v>
      </x:c>
      <x:c r="B44" s="14" t="n">
        <x:v>0</x:v>
      </x:c>
      <x:c r="C44" s="14" t="n">
        <x:v>85</x:v>
      </x:c>
      <x:c r="D44" s="15" t="n">
        <x:v>0</x:v>
      </x:c>
      <x:c r="E44" s="16" t="n">
        <x:v>36.6</x:v>
      </x:c>
    </x:row>
    <x:row r="45" ht="25" customHeight="1">
      <x:c r="A45" s="22" t="n">
        <x:v>46220</x:v>
      </x:c>
      <x:c r="B45" s="14" t="n">
        <x:v>0</x:v>
      </x:c>
      <x:c r="C45" s="14" t="n">
        <x:v>60</x:v>
      </x:c>
      <x:c r="D45" s="15" t="n">
        <x:v>0</x:v>
      </x:c>
      <x:c r="E45" s="16" t="n">
        <x:v>36.3</x:v>
      </x:c>
    </x:row>
    <x:row r="46" ht="25" customHeight="1">
      <x:c r="A46" s="22" t="n">
        <x:v>46221</x:v>
      </x:c>
      <x:c r="B46" s="14" t="n">
        <x:v>0</x:v>
      </x:c>
      <x:c r="C46" s="14" t="n">
        <x:v>40</x:v>
      </x:c>
      <x:c r="D46" s="15" t="n">
        <x:v>0</x:v>
      </x:c>
      <x:c r="E46" s="16" t="n">
        <x:v>35.5</x:v>
      </x:c>
    </x:row>
    <x:row r="47" ht="25" customHeight="1">
      <x:c r="A47" s="22" t="n">
        <x:v>46222</x:v>
      </x:c>
      <x:c r="B47" s="14" t="n">
        <x:v>0</x:v>
      </x:c>
      <x:c r="C47" s="14" t="n">
        <x:v>53</x:v>
      </x:c>
      <x:c r="D47" s="15" t="n">
        <x:v>0</x:v>
      </x:c>
      <x:c r="E47" s="16" t="n">
        <x:v>31</x:v>
      </x:c>
    </x:row>
    <x:row r="48" ht="25" customHeight="1">
      <x:c r="A48" s="22" t="n">
        <x:v>46223</x:v>
      </x:c>
      <x:c r="B48" s="14" t="n">
        <x:v>0</x:v>
      </x:c>
      <x:c r="C48" s="14" t="n">
        <x:v>36</x:v>
      </x:c>
      <x:c r="D48" s="15" t="n">
        <x:v>0</x:v>
      </x:c>
      <x:c r="E48" s="16" t="n">
        <x:v>30.8</x:v>
      </x:c>
    </x:row>
    <x:row r="49" ht="25" customHeight="1">
      <x:c r="A49" s="22" t="n">
        <x:v>46224</x:v>
      </x:c>
      <x:c r="B49" s="14" t="n">
        <x:v>0</x:v>
      </x:c>
      <x:c r="C49" s="14" t="n">
        <x:v>64</x:v>
      </x:c>
      <x:c r="D49" s="15" t="n">
        <x:v>0</x:v>
      </x:c>
      <x:c r="E49" s="16" t="n">
        <x:v>28.2</x:v>
      </x:c>
    </x:row>
    <x:row r="50" ht="25" customHeight="1">
      <x:c r="A50" s="22" t="n">
        <x:v>46225</x:v>
      </x:c>
      <x:c r="B50" s="14" t="n">
        <x:v>0</x:v>
      </x:c>
      <x:c r="C50" s="14" t="n">
        <x:v>94</x:v>
      </x:c>
      <x:c r="D50" s="15" t="n">
        <x:v>0</x:v>
      </x:c>
      <x:c r="E50" s="16" t="n">
        <x:v>21.8</x:v>
      </x:c>
    </x:row>
    <x:row r="51" ht="25" customHeight="1">
      <x:c r="A51" s="22" t="n">
        <x:v>46226</x:v>
      </x:c>
      <x:c r="B51" s="14" t="n">
        <x:v>0</x:v>
      </x:c>
      <x:c r="C51" s="14" t="n">
        <x:v>95</x:v>
      </x:c>
      <x:c r="D51" s="15" t="n">
        <x:v>0</x:v>
      </x:c>
      <x:c r="E51" s="16" t="n">
        <x:v>21.2</x:v>
      </x:c>
    </x:row>
    <x:row r="52" ht="25" customHeight="1">
      <x:c r="A52" s="22" t="n">
        <x:v>46227</x:v>
      </x:c>
      <x:c r="B52" s="14" t="n">
        <x:v>0</x:v>
      </x:c>
      <x:c r="C52" s="14" t="n">
        <x:v>83</x:v>
      </x:c>
      <x:c r="D52" s="15" t="n">
        <x:v>0</x:v>
      </x:c>
      <x:c r="E52" s="16" t="n">
        <x:v>17.5</x:v>
      </x:c>
    </x:row>
    <x:row r="53" ht="25" customHeight="1">
      <x:c r="A53" s="22" t="n">
        <x:v>46228</x:v>
      </x:c>
      <x:c r="B53" s="14" t="n">
        <x:v>0</x:v>
      </x:c>
      <x:c r="C53" s="14" t="n">
        <x:v>97</x:v>
      </x:c>
      <x:c r="D53" s="15" t="n">
        <x:v>0</x:v>
      </x:c>
      <x:c r="E53" s="16" t="n">
        <x:v>24.3</x:v>
      </x:c>
    </x:row>
    <x:row r="54" ht="25" customHeight="1">
      <x:c r="A54" s="22" t="n">
        <x:v>46229</x:v>
      </x:c>
      <x:c r="B54" s="14" t="n">
        <x:v>0</x:v>
      </x:c>
      <x:c r="C54" s="14" t="n">
        <x:v>92</x:v>
      </x:c>
      <x:c r="D54" s="15" t="n">
        <x:v>0</x:v>
      </x:c>
      <x:c r="E54" s="16" t="n">
        <x:v>22.9</x:v>
      </x:c>
    </x:row>
    <x:row r="55" ht="25" customHeight="1">
      <x:c r="A55" s="22" t="n">
        <x:v>46230</x:v>
      </x:c>
      <x:c r="B55" s="14" t="n">
        <x:v>2</x:v>
      </x:c>
      <x:c r="C55" s="14" t="n">
        <x:v>126</x:v>
      </x:c>
      <x:c r="D55" s="15" t="n">
        <x:v>0.0159</x:v>
      </x:c>
      <x:c r="E55" s="16" t="n">
        <x:v>19.8</x:v>
      </x:c>
    </x:row>
    <x:row r="56" ht="25" customHeight="1">
      <x:c r="A56" s="22" t="n">
        <x:v>46231</x:v>
      </x:c>
      <x:c r="B56" s="14" t="n">
        <x:v>1</x:v>
      </x:c>
      <x:c r="C56" s="14" t="n">
        <x:v>151</x:v>
      </x:c>
      <x:c r="D56" s="15" t="n">
        <x:v>0.0066</x:v>
      </x:c>
      <x:c r="E56" s="16" t="n">
        <x:v>26.9</x:v>
      </x:c>
    </x:row>
    <x:row r="57" ht="25" customHeight="1">
      <x:c r="A57" s="22" t="n">
        <x:v>46232</x:v>
      </x:c>
      <x:c r="B57" s="14" t="n">
        <x:v>1</x:v>
      </x:c>
      <x:c r="C57" s="14" t="n">
        <x:v>125</x:v>
      </x:c>
      <x:c r="D57" s="15" t="n">
        <x:v>0.008</x:v>
      </x:c>
      <x:c r="E57" s="16" t="n">
        <x:v>20.8</x:v>
      </x:c>
    </x:row>
    <x:row r="58" ht="25" customHeight="1">
      <x:c r="A58" s="22" t="n">
        <x:v>46233</x:v>
      </x:c>
      <x:c r="B58" s="14" t="n">
        <x:v>2</x:v>
      </x:c>
      <x:c r="C58" s="14" t="n">
        <x:v>139</x:v>
      </x:c>
      <x:c r="D58" s="15" t="n">
        <x:v>0.0144</x:v>
      </x:c>
      <x:c r="E58" s="16" t="n">
        <x:v>22.1</x:v>
      </x:c>
    </x:row>
    <x:row r="59" ht="25" customHeight="1">
      <x:c r="A59" s="22" t="n">
        <x:v>46234</x:v>
      </x:c>
      <x:c r="B59" s="14" t="n">
        <x:v>0</x:v>
      </x:c>
      <x:c r="C59" s="14" t="n">
        <x:v>184</x:v>
      </x:c>
      <x:c r="D59" s="15" t="n">
        <x:v>0</x:v>
      </x:c>
      <x:c r="E59" s="16" t="n">
        <x:v>17.9</x:v>
      </x:c>
    </x:row>
    <x:row r="60" ht="25" customHeight="1">
      <x:c r="A60" s="22" t="n">
        <x:v>46235</x:v>
      </x:c>
      <x:c r="B60" s="14" t="n">
        <x:v>0</x:v>
      </x:c>
      <x:c r="C60" s="14" t="n">
        <x:v>82</x:v>
      </x:c>
      <x:c r="D60" s="15" t="n">
        <x:v>0</x:v>
      </x:c>
      <x:c r="E60" s="16" t="n">
        <x:v>25</x:v>
      </x:c>
    </x:row>
    <x:row r="61" ht="25" customHeight="1">
      <x:c r="A61" s="22" t="n">
        <x:v>46236</x:v>
      </x:c>
      <x:c r="B61" s="14" t="n">
        <x:v>0</x:v>
      </x:c>
      <x:c r="C61" s="14" t="n">
        <x:v>73</x:v>
      </x:c>
      <x:c r="D61" s="15" t="n">
        <x:v>0</x:v>
      </x:c>
      <x:c r="E61" s="16" t="n">
        <x:v>24.8</x:v>
      </x:c>
    </x:row>
    <x:row r="62" ht="25" customHeight="1">
      <x:c r="A62" s="22" t="n">
        <x:v>46237</x:v>
      </x:c>
      <x:c r="B62" s="14" t="n">
        <x:v>1</x:v>
      </x:c>
      <x:c r="C62" s="14" t="n">
        <x:v>46</x:v>
      </x:c>
      <x:c r="D62" s="15" t="n">
        <x:v>0.0217</x:v>
      </x:c>
      <x:c r="E62" s="16" t="n">
        <x:v>25.7</x:v>
      </x:c>
    </x:row>
    <x:row r="63" ht="25" customHeight="1">
      <x:c r="A63" s="22" t="n">
        <x:v>46238</x:v>
      </x:c>
      <x:c r="B63" s="14" t="n">
        <x:v>0</x:v>
      </x:c>
      <x:c r="C63" s="14" t="n">
        <x:v>55</x:v>
      </x:c>
      <x:c r="D63" s="15" t="n">
        <x:v>0</x:v>
      </x:c>
      <x:c r="E63" s="16" t="n">
        <x:v>26.3</x:v>
      </x:c>
    </x:row>
    <x:row r="64" ht="25" customHeight="1">
      <x:c r="A64" s="22" t="n">
        <x:v>46239</x:v>
      </x:c>
      <x:c r="B64" s="14" t="n">
        <x:v>0</x:v>
      </x:c>
      <x:c r="C64" s="14" t="n">
        <x:v>56</x:v>
      </x:c>
      <x:c r="D64" s="15" t="n">
        <x:v>0</x:v>
      </x:c>
      <x:c r="E64" s="16" t="n">
        <x:v>28.2</x:v>
      </x:c>
    </x:row>
    <x:row r="65" ht="25" customHeight="1">
      <x:c r="A65" s="22" t="n">
        <x:v>46240</x:v>
      </x:c>
      <x:c r="B65" s="14" t="n">
        <x:v>0</x:v>
      </x:c>
      <x:c r="C65" s="14" t="n">
        <x:v>68</x:v>
      </x:c>
      <x:c r="D65" s="15" t="n">
        <x:v>0</x:v>
      </x:c>
      <x:c r="E65" s="16" t="n">
        <x:v>25.2</x:v>
      </x:c>
    </x:row>
    <x:row r="66" ht="25" customHeight="1">
      <x:c r="A66" s="22" t="n">
        <x:v>46241</x:v>
      </x:c>
      <x:c r="B66" s="14" t="n">
        <x:v>0</x:v>
      </x:c>
      <x:c r="C66" s="14" t="n">
        <x:v>62</x:v>
      </x:c>
      <x:c r="D66" s="15" t="n">
        <x:v>0</x:v>
      </x:c>
      <x:c r="E66" s="16" t="n">
        <x:v>28.4</x:v>
      </x:c>
    </x:row>
    <x:row r="67" ht="25" customHeight="1">
      <x:c r="A67" s="22" t="n">
        <x:v>46242</x:v>
      </x:c>
      <x:c r="B67" s="14" t="n">
        <x:v>0</x:v>
      </x:c>
      <x:c r="C67" s="14" t="n">
        <x:v>55</x:v>
      </x:c>
      <x:c r="D67" s="15" t="n">
        <x:v>0</x:v>
      </x:c>
      <x:c r="E67" s="16" t="n">
        <x:v>31</x:v>
      </x:c>
    </x:row>
    <x:row r="68" ht="25" customHeight="1">
      <x:c r="A68" s="22" t="n">
        <x:v>46243</x:v>
      </x:c>
      <x:c r="B68" s="14" t="n">
        <x:v>0</x:v>
      </x:c>
      <x:c r="C68" s="14" t="n">
        <x:v>50</x:v>
      </x:c>
      <x:c r="D68" s="15" t="n">
        <x:v>0</x:v>
      </x:c>
      <x:c r="E68" s="16" t="n">
        <x:v>30.5</x:v>
      </x:c>
    </x:row>
    <x:row r="69" ht="25" customHeight="1">
      <x:c r="A69" s="22" t="n">
        <x:v>46244</x:v>
      </x:c>
      <x:c r="B69" s="14" t="n">
        <x:v>1</x:v>
      </x:c>
      <x:c r="C69" s="14" t="n">
        <x:v>60</x:v>
      </x:c>
      <x:c r="D69" s="15" t="n">
        <x:v>0.0167</x:v>
      </x:c>
      <x:c r="E69" s="16" t="n">
        <x:v>22.3</x:v>
      </x:c>
    </x:row>
    <x:row r="70" ht="25" customHeight="1">
      <x:c r="A70" s="22" t="n">
        <x:v>46245</x:v>
      </x:c>
      <x:c r="B70" s="14" t="n">
        <x:v>0</x:v>
      </x:c>
      <x:c r="C70" s="14" t="n">
        <x:v>72</x:v>
      </x:c>
      <x:c r="D70" s="15" t="n">
        <x:v>0</x:v>
      </x:c>
      <x:c r="E70" s="16" t="n">
        <x:v>29.4</x:v>
      </x:c>
    </x:row>
    <x:row r="71" ht="25" customHeight="1">
      <x:c r="A71" s="22" t="n">
        <x:v>46246</x:v>
      </x:c>
      <x:c r="B71" s="14" t="n">
        <x:v>0</x:v>
      </x:c>
      <x:c r="C71" s="14" t="n">
        <x:v>129</x:v>
      </x:c>
      <x:c r="D71" s="15" t="n">
        <x:v>0</x:v>
      </x:c>
      <x:c r="E71" s="16" t="n">
        <x:v>29.5</x:v>
      </x:c>
    </x:row>
    <x:row r="72" ht="25" customHeight="1">
      <x:c r="A72" s="22" t="n">
        <x:v>46247</x:v>
      </x:c>
      <x:c r="B72" s="14" t="n">
        <x:v>0</x:v>
      </x:c>
      <x:c r="C72" s="14" t="n">
        <x:v>96</x:v>
      </x:c>
      <x:c r="D72" s="15" t="n">
        <x:v>0</x:v>
      </x:c>
      <x:c r="E72" s="16" t="n">
        <x:v>31.9</x:v>
      </x:c>
    </x:row>
    <x:row r="73" ht="25" customHeight="1">
      <x:c r="A73" s="22" t="n">
        <x:v>46248</x:v>
      </x:c>
      <x:c r="B73" s="14" t="n">
        <x:v>0</x:v>
      </x:c>
      <x:c r="C73" s="14" t="n">
        <x:v>81</x:v>
      </x:c>
      <x:c r="D73" s="15" t="n">
        <x:v>0</x:v>
      </x:c>
      <x:c r="E73" s="16" t="n">
        <x:v>30.7</x:v>
      </x:c>
    </x:row>
    <x:row r="74" ht="25" customHeight="1">
      <x:c r="A74" s="22" t="n">
        <x:v>46249</x:v>
      </x:c>
      <x:c r="B74" s="14" t="n">
        <x:v>0</x:v>
      </x:c>
      <x:c r="C74" s="14" t="n">
        <x:v>111</x:v>
      </x:c>
      <x:c r="D74" s="15" t="n">
        <x:v>0</x:v>
      </x:c>
      <x:c r="E74" s="16" t="n">
        <x:v>16.8</x:v>
      </x:c>
    </x:row>
    <x:row r="75" ht="25" customHeight="1">
      <x:c r="A75" s="22" t="n">
        <x:v>46250</x:v>
      </x:c>
      <x:c r="B75" s="14" t="n">
        <x:v>0</x:v>
      </x:c>
      <x:c r="C75" s="14" t="n">
        <x:v>157</x:v>
      </x:c>
      <x:c r="D75" s="15" t="n">
        <x:v>0</x:v>
      </x:c>
      <x:c r="E75" s="16" t="n">
        <x:v>14.2</x:v>
      </x:c>
    </x:row>
    <x:row r="76" ht="25" customHeight="1">
      <x:c r="A76" s="22" t="n">
        <x:v>46251</x:v>
      </x:c>
      <x:c r="B76" s="14" t="n">
        <x:v>0</x:v>
      </x:c>
      <x:c r="C76" s="14" t="n">
        <x:v>330</x:v>
      </x:c>
      <x:c r="D76" s="15" t="n">
        <x:v>0</x:v>
      </x:c>
      <x:c r="E76" s="16" t="n">
        <x:v>13.1</x:v>
      </x:c>
    </x:row>
    <x:row r="77" ht="25" customHeight="1">
      <x:c r="A77" s="22" t="n">
        <x:v>46252</x:v>
      </x:c>
      <x:c r="B77" s="14" t="n">
        <x:v>1</x:v>
      </x:c>
      <x:c r="C77" s="14" t="n">
        <x:v>143</x:v>
      </x:c>
      <x:c r="D77" s="15" t="n">
        <x:v>0.006999999999999999</x:v>
      </x:c>
      <x:c r="E77" s="16" t="n">
        <x:v>17.4</x:v>
      </x:c>
    </x:row>
    <x:row r="78" ht="25" customHeight="1">
      <x:c r="A78" s="22" t="n">
        <x:v>46253</x:v>
      </x:c>
      <x:c r="B78" s="14" t="n">
        <x:v>1</x:v>
      </x:c>
      <x:c r="C78" s="14" t="n">
        <x:v>164</x:v>
      </x:c>
      <x:c r="D78" s="15" t="n">
        <x:v>0.0060999999999999995</x:v>
      </x:c>
      <x:c r="E78" s="16" t="n">
        <x:v>12.4</x:v>
      </x:c>
    </x:row>
    <x:row r="79" ht="25" customHeight="1">
      <x:c r="A79" s="22" t="n">
        <x:v>46254</x:v>
      </x:c>
      <x:c r="B79" s="14" t="n">
        <x:v>0</x:v>
      </x:c>
      <x:c r="C79" s="14" t="n">
        <x:v>136</x:v>
      </x:c>
      <x:c r="D79" s="15" t="n">
        <x:v>0</x:v>
      </x:c>
      <x:c r="E79" s="16" t="n">
        <x:v>17.3</x:v>
      </x:c>
    </x:row>
    <x:row r="80" ht="25" customHeight="1">
      <x:c r="A80" s="22" t="n">
        <x:v>46255</x:v>
      </x:c>
      <x:c r="B80" s="14" t="n">
        <x:v>0</x:v>
      </x:c>
      <x:c r="C80" s="14" t="n">
        <x:v>129</x:v>
      </x:c>
      <x:c r="D80" s="15" t="n">
        <x:v>0</x:v>
      </x:c>
      <x:c r="E80" s="16" t="n">
        <x:v>13.3</x:v>
      </x:c>
    </x:row>
    <x:row r="81" ht="25" customHeight="1">
      <x:c r="A81" s="22" t="n">
        <x:v>46256</x:v>
      </x:c>
      <x:c r="B81" s="14" t="n">
        <x:v>0</x:v>
      </x:c>
      <x:c r="C81" s="14" t="n">
        <x:v>158</x:v>
      </x:c>
      <x:c r="D81" s="15" t="n">
        <x:v>0</x:v>
      </x:c>
      <x:c r="E81" s="16" t="n">
        <x:v>13.5</x:v>
      </x:c>
    </x:row>
    <x:row r="82" ht="25" customHeight="1">
      <x:c r="A82" s="22" t="n">
        <x:v>46257</x:v>
      </x:c>
      <x:c r="B82" s="14" t="n">
        <x:v>1</x:v>
      </x:c>
      <x:c r="C82" s="14" t="n">
        <x:v>118</x:v>
      </x:c>
      <x:c r="D82" s="15" t="n">
        <x:v>0.0085</x:v>
      </x:c>
      <x:c r="E82" s="16" t="n">
        <x:v>14.7</x:v>
      </x:c>
    </x:row>
    <x:row r="83" ht="25" customHeight="1">
      <x:c r="A83" s="22" t="n">
        <x:v>46258</x:v>
      </x:c>
      <x:c r="B83" s="14" t="n">
        <x:v>0</x:v>
      </x:c>
      <x:c r="C83" s="14" t="n">
        <x:v>388</x:v>
      </x:c>
      <x:c r="D83" s="15" t="n">
        <x:v>0</x:v>
      </x:c>
      <x:c r="E83" s="16" t="n">
        <x:v>12.6</x:v>
      </x:c>
    </x:row>
    <x:row r="84" ht="25" customHeight="1">
      <x:c r="A84" s="22" t="n">
        <x:v>46259</x:v>
      </x:c>
      <x:c r="B84" s="14" t="n">
        <x:v>3</x:v>
      </x:c>
      <x:c r="C84" s="14" t="n">
        <x:v>158</x:v>
      </x:c>
      <x:c r="D84" s="15" t="n">
        <x:v>0.019</x:v>
      </x:c>
      <x:c r="E84" s="16" t="n">
        <x:v>11.4</x:v>
      </x:c>
    </x:row>
    <x:row r="85" ht="25" customHeight="1">
      <x:c r="A85" s="22" t="n">
        <x:v>46260</x:v>
      </x:c>
      <x:c r="B85" s="14" t="n">
        <x:v>1</x:v>
      </x:c>
      <x:c r="C85" s="14" t="n">
        <x:v>188</x:v>
      </x:c>
      <x:c r="D85" s="15" t="n">
        <x:v>0.0053</x:v>
      </x:c>
      <x:c r="E85" s="16" t="n">
        <x:v>13.4</x:v>
      </x:c>
    </x:row>
    <x:row r="86" ht="25" customHeight="1">
      <x:c r="A86" s="22" t="n">
        <x:v>46261</x:v>
      </x:c>
      <x:c r="B86" s="14" t="n">
        <x:v>1</x:v>
      </x:c>
      <x:c r="C86" s="14" t="n">
        <x:v>140</x:v>
      </x:c>
      <x:c r="D86" s="15" t="n">
        <x:v>0.0070999999999999995</x:v>
      </x:c>
      <x:c r="E86" s="16" t="n">
        <x:v>15.3</x:v>
      </x:c>
    </x:row>
    <x:row r="87" ht="25" customHeight="1">
      <x:c r="A87" s="22" t="n">
        <x:v>46262</x:v>
      </x:c>
      <x:c r="B87" s="14" t="n">
        <x:v>0</x:v>
      </x:c>
      <x:c r="C87" s="14" t="n">
        <x:v>138</x:v>
      </x:c>
      <x:c r="D87" s="15" t="n">
        <x:v>0</x:v>
      </x:c>
      <x:c r="E87" s="16" t="n">
        <x:v>13.3</x:v>
      </x:c>
    </x:row>
    <x:row r="88" ht="25" customHeight="1">
      <x:c r="A88" s="22" t="n">
        <x:v>46263</x:v>
      </x:c>
      <x:c r="B88" s="14" t="n">
        <x:v>2</x:v>
      </x:c>
      <x:c r="C88" s="14" t="n">
        <x:v>99</x:v>
      </x:c>
      <x:c r="D88" s="15" t="n">
        <x:v>0.0202</x:v>
      </x:c>
      <x:c r="E88" s="16" t="n">
        <x:v>14.6</x:v>
      </x:c>
    </x:row>
    <x:row r="89" ht="25" customHeight="1">
      <x:c r="A89" s="22" t="n">
        <x:v>46264</x:v>
      </x:c>
      <x:c r="B89" s="14" t="n">
        <x:v>0</x:v>
      </x:c>
      <x:c r="C89" s="14" t="n">
        <x:v>135</x:v>
      </x:c>
      <x:c r="D89" s="15" t="n">
        <x:v>0</x:v>
      </x:c>
      <x:c r="E89" s="16" t="n">
        <x:v>12.2</x:v>
      </x:c>
    </x:row>
    <x:row r="90" ht="25" customHeight="1">
      <x:c r="A90" s="22" t="n">
        <x:v>46265</x:v>
      </x:c>
      <x:c r="B90" s="14" t="n">
        <x:v>0</x:v>
      </x:c>
      <x:c r="C90" s="14" t="n">
        <x:v>122</x:v>
      </x:c>
      <x:c r="D90" s="15" t="n">
        <x:v>0</x:v>
      </x:c>
      <x:c r="E90" s="16" t="n">
        <x:v>15.1</x:v>
      </x:c>
    </x:row>
    <x:row r="91" ht="25" customHeight="1">
      <x:c r="A91" s="22" t="n">
        <x:v>46266</x:v>
      </x:c>
      <x:c r="B91" s="14" t="n">
        <x:v>0</x:v>
      </x:c>
      <x:c r="C91" s="14" t="n">
        <x:v>114</x:v>
      </x:c>
      <x:c r="D91" s="15" t="n">
        <x:v>0</x:v>
      </x:c>
      <x:c r="E91" s="16" t="n">
        <x:v>11.8</x:v>
      </x:c>
    </x:row>
    <x:row r="92" ht="25" customHeight="1">
      <x:c r="A92" s="22" t="n">
        <x:v>46267</x:v>
      </x:c>
      <x:c r="B92" s="14" t="n">
        <x:v>0</x:v>
      </x:c>
      <x:c r="C92" s="14" t="n">
        <x:v>168</x:v>
      </x:c>
      <x:c r="D92" s="15" t="n">
        <x:v>0</x:v>
      </x:c>
      <x:c r="E92" s="16" t="n">
        <x:v>9.7</x:v>
      </x:c>
    </x:row>
    <x:row r="93" ht="25" customHeight="1">
      <x:c r="A93" s="22" t="n">
        <x:v>46268</x:v>
      </x:c>
      <x:c r="B93" s="14" t="n">
        <x:v>0</x:v>
      </x:c>
      <x:c r="C93" s="14" t="n">
        <x:v>166</x:v>
      </x:c>
      <x:c r="D93" s="15" t="n">
        <x:v>0</x:v>
      </x:c>
      <x:c r="E93" s="16" t="n">
        <x:v>12.4</x:v>
      </x:c>
    </x:row>
    <x:row r="94" ht="25" customHeight="1">
      <x:c r="A94" s="22" t="n">
        <x:v>46269</x:v>
      </x:c>
      <x:c r="B94" s="14" t="n">
        <x:v>1</x:v>
      </x:c>
      <x:c r="C94" s="14" t="n">
        <x:v>146</x:v>
      </x:c>
      <x:c r="D94" s="15" t="n">
        <x:v>0.0068000000000000005</x:v>
      </x:c>
      <x:c r="E94" s="16" t="n">
        <x:v>13.6</x:v>
      </x:c>
    </x:row>
    <x:row r="95" ht="25" customHeight="1">
      <x:c r="A95" s="22" t="n">
        <x:v>46270</x:v>
      </x:c>
      <x:c r="B95" s="14" t="n">
        <x:v>0</x:v>
      </x:c>
      <x:c r="C95" s="14" t="n">
        <x:v>177</x:v>
      </x:c>
      <x:c r="D95" s="15" t="n">
        <x:v>0</x:v>
      </x:c>
      <x:c r="E95" s="16" t="n">
        <x:v>15.4</x:v>
      </x:c>
    </x:row>
    <x:row r="96" ht="25" customHeight="1">
      <x:c r="A96" s="22" t="n">
        <x:v>46271</x:v>
      </x:c>
      <x:c r="B96" s="14" t="n">
        <x:v>0</x:v>
      </x:c>
      <x:c r="C96" s="14" t="n">
        <x:v>150</x:v>
      </x:c>
      <x:c r="D96" s="15" t="n">
        <x:v>0</x:v>
      </x:c>
      <x:c r="E96" s="16" t="n">
        <x:v>12.8</x:v>
      </x:c>
    </x:row>
  </x:sheetData>
  <x:pageMargins left="0.7" right="0.7" top="0.75" bottom="0.75" header="0.3" footer="0.3"/>
  <x:tableParts count="1">
    <x:tablePart xmlns:r="http://schemas.openxmlformats.org/officeDocument/2006/relationships" r:id="R2e9a169619e34eb3"/>
  </x:tableParts>
</x:worksheet>
</file>

<file path=xl/worksheets/sheet8.xml><?xml version="1.0" encoding="utf-8"?>
<x:worksheet xmlns:x="http://schemas.openxmlformats.org/spreadsheetml/2006/main">
  <x:sheetViews>
    <x:sheetView showGridLines="0" workbookViewId="0"/>
  </x:sheetViews>
  <x:sheetFormatPr defaultRowHeight="15"/>
  <x:cols>
    <x:col min="1" max="1" width="35" hidden="0" customWidth="1"/>
    <x:col min="2" max="2" width="113" hidden="0" customWidth="1"/>
    <x:col min="3" max="3" width="72" hidden="0" customWidth="1"/>
  </x:cols>
  <x:sheetData>
    <x:row r="1" ht="30" customHeight="1">
      <x:c r="A1" s="3" t="str">
        <x:v>Sources, assumptions and measurement</x:v>
      </x:c>
      <x:c r="B1" s="2"/>
      <x:c r="C1" s="2"/>
    </x:row>
    <x:row r="2" ht="25" customHeight="1">
      <x:c r="A2" s="5" t="str">
        <x:v>Source export dated 8 Sep 2026; observations and recommendations prepared 8 Sep 2026</x:v>
      </x:c>
      <x:c r="B2" s="4"/>
      <x:c r="C2" s="4"/>
    </x:row>
    <x:row r="3">
      <x:c r="A3" s="2"/>
      <x:c r="B3" s="2"/>
      <x:c r="C3" s="2"/>
    </x:row>
    <x:row r="4">
      <x:c r="A4" s="2" t="str">
        <x:v>Target lower position</x:v>
      </x:c>
      <x:c r="B4" s="29" t="n">
        <x:v>2</x:v>
      </x:c>
      <x:c r="C4" s="2"/>
    </x:row>
    <x:row r="5">
      <x:c r="A5" s="2" t="str">
        <x:v>Target upper position</x:v>
      </x:c>
      <x:c r="B5" s="29" t="n">
        <x:v>5</x:v>
      </x:c>
      <x:c r="C5" s="2"/>
    </x:row>
    <x:row r="6">
      <x:c r="A6" s="2" t="str">
        <x:v>P1 minimum impressions</x:v>
      </x:c>
      <x:c r="B6" s="29" t="n">
        <x:v>50</x:v>
      </x:c>
      <x:c r="C6" s="2"/>
    </x:row>
    <x:row r="7">
      <x:c r="A7" s="2" t="str">
        <x:v>Near-target position ceiling</x:v>
      </x:c>
      <x:c r="B7" s="29" t="n">
        <x:v>20</x:v>
      </x:c>
      <x:c r="C7" s="2"/>
    </x:row>
    <x:row r="8">
      <x:c r="A8" s="2" t="str">
        <x:v>P2 minimum impressions</x:v>
      </x:c>
      <x:c r="B8" s="29" t="n">
        <x:v>20</x:v>
      </x:c>
      <x:c r="C8" s="2"/>
    </x:row>
    <x:row r="9">
      <x:c r="A9" s="2"/>
      <x:c r="B9" s="2"/>
      <x:c r="C9" s="2"/>
    </x:row>
    <x:row r="10" ht="34" customHeight="1">
      <x:c r="A10" s="10" t="str">
        <x:v>Topic</x:v>
      </x:c>
      <x:c r="B10" s="11" t="str">
        <x:v>Method / interpretation</x:v>
      </x:c>
      <x:c r="C10" s="12" t="str">
        <x:v>Source URL</x:v>
      </x:c>
    </x:row>
    <x:row r="11" ht="64" customHeight="1">
      <x:c r="A11" s="13" t="str">
        <x:v>Target interpretation</x:v>
      </x:c>
      <x:c r="B11" s="13" t="str">
        <x:v>Aim for positions 2–5 for relevant searches and preserve anything already better than 2. This is an objective, not a promised ranking or date.</x:v>
      </x:c>
      <x:c r="C11" s="13" t="str">
        <x:v>https://developers.google.com/search/docs/fundamentals/seo-starter-guide</x:v>
      </x:c>
    </x:row>
    <x:row r="12" ht="64" customHeight="1">
      <x:c r="A12" s="13" t="str">
        <x:v>Query-priority rules</x:v>
      </x:c>
      <x:c r="B12" s="13" t="str">
        <x:v>Hold/Conditional takes precedence. Protect: position ≤5. P1: &gt;5 to 20 with ≥50 impressions. P2: remaining &gt;5 to 20, or ≥20 impressions above 20. P3: remaining relevant queries. Thresholds are planning choices, not Google rules.</x:v>
      </x:c>
      <x:c r="C12" s="13" t="str"/>
    </x:row>
    <x:row r="13" ht="64" customHeight="1">
      <x:c r="A13" s="13" t="str">
        <x:v>Page priority</x:v>
      </x:c>
      <x:c r="B13" s="13" t="str">
        <x:v>Page priorities are editorial recommendations based on business fit, aggregate demand, proximity and content gaps. A page may contain both Protect and improvement queries. P0 routing work comes before all page edits.</x:v>
      </x:c>
      <x:c r="C13" s="13" t="str"/>
    </x:row>
    <x:row r="14" ht="64" customHeight="1">
      <x:c r="A14" s="13" t="str">
        <x:v>Source file</x:v>
      </x:c>
      <x:c r="B14" s="13" t="str">
        <x:v>digitecme.com-Performance-on-Search-2026-09-08 (1).xlsx; Queries A2:E354, Pages A2:E62, Chart A2:E93, Filters A1:B4.</x:v>
      </x:c>
      <x:c r="C14" s="13" t="str"/>
    </x:row>
    <x:row r="15" ht="64" customHeight="1">
      <x:c r="A15" s="13" t="str">
        <x:v>Export scope</x:v>
      </x:c>
      <x:c r="B15" s="13" t="str">
        <x:v>353 exported queries; 7 Jun–6 Sep 2026; Web; +mercedes; all countries and devices. Every query contains mercedes. Preserve odd punctuation, zero-width characters and the long reliability query exactly in column A.</x:v>
      </x:c>
      <x:c r="C15" s="13" t="str"/>
    </x:row>
    <x:row r="16" ht="64" customHeight="1">
      <x:c r="A16" s="13" t="str">
        <x:v>Completeness</x:v>
      </x:c>
      <x:c r="B16" s="13" t="str">
        <x:v>Complete for the supplied export. This is not proof of every Mercedes search or every query Google withholds for privacy. Separate query and page exports cannot be joined to infer ranking URLs.</x:v>
      </x:c>
      <x:c r="C16" s="13" t="str">
        <x:v>https://support.google.com/webmasters/answer/7576553?hl=en</x:v>
      </x:c>
    </x:row>
    <x:row r="17" ht="64" customHeight="1">
      <x:c r="A17" s="13" t="str">
        <x:v>Page mapping</x:v>
      </x:c>
      <x:c r="B17" s="13" t="str">
        <x:v>Recommended URL and section are inferred from intent and site content. For Hold rows the URL is a related alternative only. Conditional rows require service/model confirmation. No page-specific query ranking is asserted.</x:v>
      </x:c>
      <x:c r="C17" s="13" t="str"/>
    </x:row>
    <x:row r="18" ht="64" customHeight="1">
      <x:c r="A18" s="13" t="str">
        <x:v>Weighted averages</x:v>
      </x:c>
      <x:c r="B18" s="13" t="str">
        <x:v>Page-priority position = SUM(query impressions × query average position) ÷ mapped impressions. It summarizes assigned queries, not the target page. Daily-period position uses daily impressions × daily position; source positions are rounded.</x:v>
      </x:c>
      <x:c r="C18" s="13" t="str">
        <x:v>https://support.google.com/webmasters/answer/7042828?hl=en</x:v>
      </x:c>
    </x:row>
    <x:row r="19" ht="64" customHeight="1">
      <x:c r="A19" s="13" t="str">
        <x:v>Reporting totals</x:v>
      </x:c>
      <x:c r="B19" s="13" t="str">
        <x:v>353 query rows reconcile to 19 clicks and 10,597 impressions in Chart. CTR = total clicks ÷ total impressions. Page impressions are a separate aggregation and must not be added to query totals.</x:v>
      </x:c>
      <x:c r="C19" s="13" t="str">
        <x:v>https://support.google.com/webmasters/answer/7042828?hl=en</x:v>
      </x:c>
    </x:row>
    <x:row r="20" ht="64" customHeight="1">
      <x:c r="A20" s="13" t="str">
        <x:v>Live technical evidence</x:v>
      </x:c>
      <x:c r="B20" s="13" t="str">
        <x:v>Initial HTTP responses were checked without following redirects. Five sampled legacy routes returned 200 with the homepage title and canonical. A browser may subsequently redirect; the server/CDN response still needs correction.</x:v>
      </x:c>
      <x:c r="C20" s="13" t="str">
        <x:v>https://digitecme.com/services/mercedes-repair-dubai</x:v>
      </x:c>
    </x:row>
    <x:row r="21" ht="64" customHeight="1">
      <x:c r="A21" s="13" t="str">
        <x:v>Production versus project</x:v>
      </x:c>
      <x:c r="B21" s="13" t="str">
        <x:v>Some live Mercedes service titles differ from local source titles. All current-title fields in this plan use observed live HTML. Inspect production output when implementing rather than assuming the local data file controls the final title.</x:v>
      </x:c>
      <x:c r="C21" s="13" t="str"/>
    </x:row>
    <x:row r="22" ht="64" customHeight="1">
      <x:c r="A22" s="13" t="str">
        <x:v>Missing account evidence</x:v>
      </x:c>
      <x:c r="B22" s="13" t="str">
        <x:v>Google-selected canonical, query-page combinations, indexing/crawl reports, Business Profile performance and qualified lead attribution were not available. No backlink audit, competitor ranking audit or Googlebot render was performed.</x:v>
      </x:c>
      <x:c r="C22" s="13" t="str"/>
    </x:row>
    <x:row r="23" ht="64" customHeight="1">
      <x:c r="A23" s="13" t="str">
        <x:v>First account export</x:v>
      </x:c>
      <x:c r="B23" s="13" t="str">
        <x:v>Request Search Console query + page dimensions for the same baseline dates with query contains mercedes. Also retrieve last 28 complete days versus previous 28, filtered to UAE, separately for mobile and desktop. Paginate; retained rows can differ from property totals.</x:v>
      </x:c>
      <x:c r="C23" s="13" t="str">
        <x:v>https://developers.google.com/webmaster-tools/v1/searchanalytics/query</x:v>
      </x:c>
    </x:row>
    <x:row r="24" ht="64" customHeight="1">
      <x:c r="A24" s="13" t="str">
        <x:v>Measure the target</x:v>
      </x:c>
      <x:c r="B24" s="13" t="str">
        <x:v>Track the intended canonical by query for the same country/device/time window. Count relevant queries at ≤5 and 2–5 separately; show impressions alongside rank and flag samples under 10 impressions. Track clicks, CTR and qualified calls/WhatsApp enquiries.</x:v>
      </x:c>
      <x:c r="C24" s="13" t="str">
        <x:v>https://support.google.com/webmasters/answer/7042828?hl=en</x:v>
      </x:c>
    </x:row>
    <x:row r="25" ht="64" customHeight="1">
      <x:c r="A25" s="13" t="str">
        <x:v>Local search work</x:v>
      </x:c>
      <x:c r="B25" s="13" t="str">
        <x:v>Verify the Business Profile, accurate Al Quoz address, hours, phone, relevant services, genuine workshop photos and authentic customer reviews. Near-me visibility depends partly on searcher distance; website copy cannot remove that constraint.</x:v>
      </x:c>
      <x:c r="C25" s="13" t="str">
        <x:v>https://support.google.com/business/answer/7091?hl=en</x:v>
      </x:c>
    </x:row>
    <x:row r="26" ht="64" customHeight="1">
      <x:c r="A26" s="13" t="str">
        <x:v>Content principles</x:v>
      </x:c>
      <x:c r="B26" s="13" t="str">
        <x:v>Use one strong destination per intent family. Avoid keyword stuffing, mass-produced model pages and unsupported dealer/certification claims. New model pages need confirmed service scope, distinct useful content and real evidence.</x:v>
      </x:c>
      <x:c r="C26" s="13" t="str">
        <x:v>https://developers.google.com/search/docs/essentials/spam-policies</x:v>
      </x:c>
    </x:row>
    <x:row r="27" ht="64" customHeight="1">
      <x:c r="A27" s="13" t="str">
        <x:v>Redirect validation</x:v>
      </x:c>
      <x:c r="B27" s="13" t="str">
        <x:v>Use server/CDN 301 or 308 responses directly to the relevant Mercedes canonical. Update internal links and sitemap references; keep unrelated generic service pages. Verify the final target returns its own HTML and canonical.</x:v>
      </x:c>
      <x:c r="C27" s="13" t="str">
        <x:v>https://developers.google.com/search/docs/crawling-indexing/301-redirects</x:v>
      </x:c>
    </x:row>
    <x:row r="28" ht="64" customHeight="1">
      <x:c r="A28" s="13" t="str">
        <x:v>Fonts</x:v>
      </x:c>
      <x:c r="B28" s="13" t="str">
        <x:v>Arial is installed in the preparation environment and used consistently. Excel may substitute the workbook font if Arial is unavailable on another device.</x:v>
      </x:c>
      <x:c r="C28" s="13" t="str"/>
    </x:row>
    <x:row r="29" ht="64" customHeight="1">
      <x:c r="A29" s="13" t="str">
        <x:v>Actions taken</x:v>
      </x:c>
      <x:c r="B29" s="13" t="str">
        <x:v>Read-only workbook and website review; this deliverable contains recommendations. No website, Search Console or Business Profile settings were changed.</x:v>
      </x:c>
      <x:c r="C29" s="13" t="str"/>
    </x:row>
    <x:row r="30">
      <x:c r="A30" s="2"/>
      <x:c r="B30" s="2"/>
      <x:c r="C30" s="2"/>
    </x:row>
    <x:row r="31">
      <x:c r="A31" s="2"/>
      <x:c r="B31" s="2"/>
      <x:c r="C31" s="2"/>
    </x:row>
    <x:row r="32">
      <x:c r="A32" s="2"/>
      <x:c r="B32" s="2"/>
      <x:c r="C32" s="2"/>
    </x:row>
    <x:row r="33" ht="34" customHeight="1">
      <x:c r="A33" s="10" t="str">
        <x:v>Original filters</x:v>
      </x:c>
      <x:c r="B33" s="11" t="str">
        <x:v>Value</x:v>
      </x:c>
      <x:c r="C33" s="12" t="str"/>
    </x:row>
    <x:row r="34">
      <x:c r="A34" s="2" t="str">
        <x:v>Search type</x:v>
      </x:c>
      <x:c r="B34" s="2" t="str">
        <x:v>Web</x:v>
      </x:c>
      <x:c r="C34" s="2" t="str"/>
    </x:row>
    <x:row r="35">
      <x:c r="A35" s="2" t="str">
        <x:v>Date</x:v>
      </x:c>
      <x:c r="B35" s="2" t="str">
        <x:v>Last 3 months</x:v>
      </x:c>
      <x:c r="C35" s="2" t="str"/>
    </x:row>
    <x:row r="36">
      <x:c r="A36" s="2" t="str">
        <x:v>Query</x:v>
      </x:c>
      <x:c r="B36" s="2" t="str">
        <x:v>+mercedes</x:v>
      </x:c>
      <x:c r="C36" s="2" t="str"/>
    </x:row>
    <x:row r="37">
      <x:c r="A37" s="2"/>
      <x:c r="B37" s="2"/>
      <x:c r="C37" s="2"/>
    </x:row>
    <x:row r="38">
      <x:c r="A38" s="2"/>
      <x:c r="B38" s="2"/>
      <x:c r="C38" s="2"/>
    </x:row>
    <x:row r="39" ht="52" customHeight="1">
      <x:c r="A39" s="21" t="str">
        <x:v>Device and country data</x:v>
      </x:c>
      <x:c r="B39" s="13" t="str">
        <x:v>The Daily trend sheet includes the original three device rows and UAE country row in columns H:L. These are separate source aggregations, not query-specific breakdowns.</x:v>
      </x:c>
      <x:c r="C39" s="2"/>
    </x:row>
    <x:row r="40">
      <x:c r="A40" s="2"/>
      <x:c r="B40" s="2"/>
      <x:c r="C40" s="2"/>
    </x:row>
    <x:row r="41">
      <x:c r="A41" s="2"/>
      <x:c r="B41" s="2"/>
      <x:c r="C41" s="2"/>
    </x:row>
    <x:row r="42">
      <x:c r="A42" s="2"/>
      <x:c r="B42" s="2"/>
      <x:c r="C42" s="2"/>
    </x:row>
    <x:row r="43">
      <x:c r="A43" s="2"/>
      <x:c r="B43" s="2"/>
      <x:c r="C43" s="2"/>
    </x:row>
    <x:row r="44">
      <x:c r="A44" s="2"/>
      <x:c r="B44" s="2"/>
      <x:c r="C44" s="2"/>
    </x:row>
    <x:row r="45" ht="64" customHeight="1">
      <x:c r="A45" s="21" t="str">
        <x:v>Country context</x:v>
      </x:c>
      <x:c r="B45" s="13" t="str">
        <x:v>UAE: 19 clicks, 10,343 impressions, exported average position 20.69. Country share is 97.60% of impressions; all query positions in this workbook remain global because no query-country join was supplied.</x:v>
      </x:c>
      <x:c r="C45" s="2"/>
    </x:row>
    <x:row r="46">
      <x:c r="A46" s="2"/>
      <x:c r="B46" s="2"/>
      <x:c r="C46" s="2"/>
    </x:row>
    <x:row r="47">
      <x:c r="A47" s="2"/>
      <x:c r="B47" s="2"/>
      <x:c r="C47" s="2"/>
    </x:row>
    <x:row r="48">
      <x:c r="A48" s="2"/>
      <x:c r="B48" s="2"/>
      <x:c r="C48" s="2"/>
    </x:row>
    <x:row r="49">
      <x:c r="A49" s="2"/>
      <x:c r="B49" s="2"/>
      <x:c r="C49" s="2"/>
    </x:row>
    <x:row r="50">
      <x:c r="A50" s="2"/>
      <x:c r="B50" s="2"/>
      <x:c r="C50" s="2"/>
    </x:row>
    <x:row r="51">
      <x:c r="A51" s="2"/>
      <x:c r="B51" s="2"/>
      <x:c r="C51" s="2"/>
    </x:row>
    <x:row r="52">
      <x:c r="A52" s="2"/>
      <x:c r="B52" s="2"/>
      <x:c r="C52" s="2"/>
    </x:row>
    <x:row r="53">
      <x:c r="A53" s="2"/>
      <x:c r="B53" s="2"/>
      <x:c r="C53" s="2"/>
    </x:row>
    <x:row r="54">
      <x:c r="A54" s="2"/>
      <x:c r="B54" s="2"/>
      <x:c r="C54" s="2"/>
    </x:row>
    <x:row r="55">
      <x:c r="A55" s="2"/>
      <x:c r="B55" s="2"/>
      <x:c r="C55" s="2"/>
    </x:row>
    <x:row r="56">
      <x:c r="A56" s="2"/>
      <x:c r="B56" s="2"/>
      <x:c r="C56" s="2"/>
    </x:row>
    <x:row r="57">
      <x:c r="A57" s="2"/>
      <x:c r="B57" s="2"/>
      <x:c r="C57" s="2"/>
    </x:row>
    <x:row r="58">
      <x:c r="A58" s="2"/>
      <x:c r="B58" s="2"/>
      <x:c r="C58" s="2"/>
    </x:row>
    <x:row r="59">
      <x:c r="A59" s="2"/>
      <x:c r="B59" s="2"/>
      <x:c r="C59" s="2"/>
    </x:row>
    <x:row r="60">
      <x:c r="A60" s="2"/>
      <x:c r="B60" s="2"/>
      <x:c r="C60" s="2"/>
    </x:row>
    <x:row r="61">
      <x:c r="A61" s="2"/>
      <x:c r="B61" s="2"/>
      <x:c r="C61" s="2"/>
    </x:row>
    <x:row r="62">
      <x:c r="A62" s="2"/>
      <x:c r="B62" s="2"/>
      <x:c r="C62" s="2"/>
    </x:row>
    <x:row r="63">
      <x:c r="A63" s="2"/>
      <x:c r="B63" s="2"/>
      <x:c r="C63" s="2"/>
    </x:row>
    <x:row r="64">
      <x:c r="A64" s="2"/>
      <x:c r="B64" s="2"/>
      <x:c r="C64" s="2"/>
    </x:row>
    <x:row r="65">
      <x:c r="A65" s="2"/>
      <x:c r="B65" s="2"/>
      <x:c r="C65" s="2"/>
    </x:row>
    <x:row r="66">
      <x:c r="A66" s="2"/>
      <x:c r="B66" s="2"/>
      <x:c r="C66" s="2"/>
    </x:row>
    <x:row r="67">
      <x:c r="A67" s="2"/>
      <x:c r="B67" s="2"/>
      <x:c r="C67" s="2"/>
    </x:row>
    <x:row r="68">
      <x:c r="A68" s="2"/>
      <x:c r="B68" s="2"/>
      <x:c r="C68" s="2"/>
    </x:row>
    <x:row r="69">
      <x:c r="A69" s="2"/>
      <x:c r="B69" s="2"/>
      <x:c r="C69" s="2"/>
    </x:row>
    <x:row r="70">
      <x:c r="A70" s="2"/>
      <x:c r="B70" s="2"/>
      <x:c r="C70" s="2"/>
    </x:row>
    <x:row r="71">
      <x:c r="A71" s="2"/>
      <x:c r="B71" s="2"/>
      <x:c r="C71" s="2"/>
    </x:row>
    <x:row r="72">
      <x:c r="A72" s="2"/>
      <x:c r="B72" s="2"/>
      <x:c r="C72" s="2"/>
    </x:row>
    <x:row r="73">
      <x:c r="A73" s="2"/>
      <x:c r="B73" s="2"/>
      <x:c r="C73" s="2"/>
    </x:row>
    <x:row r="74">
      <x:c r="A74" s="2"/>
      <x:c r="B74" s="2"/>
      <x:c r="C74" s="2"/>
    </x:row>
    <x:row r="75">
      <x:c r="A75" s="2"/>
      <x:c r="B75" s="2"/>
      <x:c r="C75" s="2"/>
    </x:row>
    <x:row r="76">
      <x:c r="A76" s="2"/>
      <x:c r="B76" s="2"/>
      <x:c r="C76" s="2"/>
    </x:row>
    <x:row r="77">
      <x:c r="A77" s="2"/>
      <x:c r="B77" s="2"/>
      <x:c r="C77" s="2"/>
    </x:row>
    <x:row r="78">
      <x:c r="A78" s="2"/>
      <x:c r="B78" s="2"/>
      <x:c r="C78" s="2"/>
    </x:row>
    <x:row r="79">
      <x:c r="A79" s="2"/>
      <x:c r="B79" s="2"/>
      <x:c r="C79" s="2"/>
    </x:row>
    <x:row r="80">
      <x:c r="A80" s="2"/>
      <x:c r="B80" s="2"/>
      <x:c r="C80" s="2"/>
    </x:row>
    <x:row r="81">
      <x:c r="A81" s="2"/>
      <x:c r="B81" s="2"/>
      <x:c r="C81" s="2"/>
    </x:row>
    <x:row r="82">
      <x:c r="A82" s="2"/>
      <x:c r="B82" s="2"/>
      <x:c r="C82" s="2"/>
    </x:row>
    <x:row r="83">
      <x:c r="A83" s="2"/>
      <x:c r="B83" s="2"/>
      <x:c r="C83" s="2"/>
    </x:row>
    <x:row r="84">
      <x:c r="A84" s="2"/>
      <x:c r="B84" s="2"/>
      <x:c r="C84" s="2"/>
    </x:row>
    <x:row r="85">
      <x:c r="A85" s="2"/>
      <x:c r="B85" s="2"/>
      <x:c r="C85" s="2"/>
    </x:row>
  </x:sheetData>
  <x:pageMargins left="0.7" right="0.7" top="0.75" bottom="0.75" header="0.3" footer="0.3"/>
</x:worksheet>
</file>