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ab888129d4c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90c692ebd546e5"/>
    <x:sheet xmlns:r="http://schemas.openxmlformats.org/officeDocument/2006/relationships" name="Queries" sheetId="2" r:id="R8c5ea6a75a494c62"/>
    <x:sheet xmlns:r="http://schemas.openxmlformats.org/officeDocument/2006/relationships" name="Clusters" sheetId="3" r:id="Rfde3874196304844"/>
    <x:sheet xmlns:r="http://schemas.openxmlformats.org/officeDocument/2006/relationships" name="Page map" sheetId="4" r:id="Rae460d8cc38d413c"/>
    <x:sheet xmlns:r="http://schemas.openxmlformats.org/officeDocument/2006/relationships" name="Priority changes" sheetId="5" r:id="R7ea81993966141ca"/>
    <x:sheet xmlns:r="http://schemas.openxmlformats.org/officeDocument/2006/relationships" name="CTR opportunities" sheetId="6" r:id="R244538b8c1bd444a"/>
    <x:sheet xmlns:r="http://schemas.openxmlformats.org/officeDocument/2006/relationships" name="Impression quality" sheetId="7" r:id="Raeaefc1cacc44b2d"/>
    <x:sheet xmlns:r="http://schemas.openxmlformats.org/officeDocument/2006/relationships" name="Ownership conflicts" sheetId="8" r:id="Ra4db60061cbd4d5f"/>
    <x:sheet xmlns:r="http://schemas.openxmlformats.org/officeDocument/2006/relationships" name="Content gaps" sheetId="9" r:id="Re6b1b6f5473e4f79"/>
    <x:sheet xmlns:r="http://schemas.openxmlformats.org/officeDocument/2006/relationships" name="Live checks" sheetId="10" r:id="R9515948973f0407d"/>
    <x:sheet xmlns:r="http://schemas.openxmlformats.org/officeDocument/2006/relationships" name="Scoring" sheetId="11" r:id="Raa1ad39c595e4de0"/>
    <x:sheet xmlns:r="http://schemas.openxmlformats.org/officeDocument/2006/relationships" name="Rules" sheetId="12" r:id="R2e5927e73abe4970"/>
    <x:sheet xmlns:r="http://schemas.openxmlformats.org/officeDocument/2006/relationships" name="Source metrics" sheetId="13" r:id="R7a8caa9b053d4f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#,##0"/>
    <x:numFmt numFmtId="202" formatCode="0.00%"/>
    <x:numFmt numFmtId="203" formatCode="0.00"/>
    <x:numFmt numFmtId="204" formatCode="0.0"/>
    <x:numFmt numFmtId="205" formatCode="#,##0.00"/>
    <x:numFmt numFmtId="206" formatCode="yyyy-mm-dd"/>
  </x:numFmts>
  <x:fonts count="5">
    <x:font>
      <x:sz val="11"/>
      <x:name val="Carlito"/>
    </x:font>
    <x:font>
      <x:sz val="11"/>
      <x:color rgb="FF22272B"/>
      <x:name val="Arial"/>
    </x:font>
    <x:font>
      <x:b/>
      <x:sz val="17"/>
      <x:color rgb="FF22272B"/>
      <x:name val="Arial"/>
    </x:font>
    <x:font>
      <x:sz val="10"/>
      <x:color rgb="FF5D626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2B30"/>
      </x:patternFill>
    </x:fill>
  </x:fills>
  <x:borders count="5">
    <x:border/>
    <x:border>
      <x:bottom style="thin">
        <x:color rgb="FFB8491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205" fontId="1" fillId="0" borderId="0" xfId="0" applyNumberFormat="1" applyFont="1" applyFill="1" applyBorder="1" applyAlignment="1">
      <x:alignment vertical="top" wrapText="1"/>
    </x:xf>
    <x:xf numFmtId="206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EF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91f319a97408d" /><Relationship Type="http://schemas.openxmlformats.org/officeDocument/2006/relationships/theme" Target="/xl/theme/theme1.xml" Id="Rb0ad87732f644f95" /><Relationship Type="http://schemas.openxmlformats.org/officeDocument/2006/relationships/sharedStrings" Target="/xl/sharedStrings.xml" Id="Rd638d926968d42ab" /><Relationship Type="http://schemas.openxmlformats.org/officeDocument/2006/relationships/worksheet" Target="/xl/worksheets/sheet1.xml" Id="R0090c692ebd546e5" /><Relationship Type="http://schemas.openxmlformats.org/officeDocument/2006/relationships/worksheet" Target="/xl/worksheets/sheet2.xml" Id="R8c5ea6a75a494c62" /><Relationship Type="http://schemas.openxmlformats.org/officeDocument/2006/relationships/worksheet" Target="/xl/worksheets/sheet3.xml" Id="Rfde3874196304844" /><Relationship Type="http://schemas.openxmlformats.org/officeDocument/2006/relationships/worksheet" Target="/xl/worksheets/sheet4.xml" Id="Rae460d8cc38d413c" /><Relationship Type="http://schemas.openxmlformats.org/officeDocument/2006/relationships/worksheet" Target="/xl/worksheets/sheet5.xml" Id="R7ea81993966141ca" /><Relationship Type="http://schemas.openxmlformats.org/officeDocument/2006/relationships/worksheet" Target="/xl/worksheets/sheet6.xml" Id="R244538b8c1bd444a" /><Relationship Type="http://schemas.openxmlformats.org/officeDocument/2006/relationships/worksheet" Target="/xl/worksheets/sheet7.xml" Id="Raeaefc1cacc44b2d" /><Relationship Type="http://schemas.openxmlformats.org/officeDocument/2006/relationships/worksheet" Target="/xl/worksheets/sheet8.xml" Id="Ra4db60061cbd4d5f" /><Relationship Type="http://schemas.openxmlformats.org/officeDocument/2006/relationships/worksheet" Target="/xl/worksheets/sheet9.xml" Id="Re6b1b6f5473e4f79" /><Relationship Type="http://schemas.openxmlformats.org/officeDocument/2006/relationships/worksheet" Target="/xl/worksheets/sheet10.xml" Id="R9515948973f0407d" /><Relationship Type="http://schemas.openxmlformats.org/officeDocument/2006/relationships/worksheet" Target="/xl/worksheets/sheet11.xml" Id="Raa1ad39c595e4de0" /><Relationship Type="http://schemas.openxmlformats.org/officeDocument/2006/relationships/worksheet" Target="/xl/worksheets/sheet12.xml" Id="R2e5927e73abe4970" /><Relationship Type="http://schemas.openxmlformats.org/officeDocument/2006/relationships/worksheet" Target="/xl/worksheets/sheet13.xml" Id="R7a8caa9b053d4f52" /></Relationships>
</file>

<file path=xl/tables/table1.xml><?xml version="1.0" encoding="utf-8"?>
<x:table xmlns:x="http://schemas.openxmlformats.org/spreadsheetml/2006/main" id="13" name="SummaryTable" displayName="SummaryTable" ref="A5:C18" headerRowCount="1" totalsRowCount="0" totalsRowShown="0">
  <x:autoFilter ref="A5:C18"/>
  <x:tableColumns count="3">
    <x:tableColumn id="1" name="Measure"/>
    <x:tableColumn id="2" name="Value"/>
    <x:tableColumn id="3" name="Meaning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QueriesTable" displayName="QueriesTable" ref="A5:Y1005" headerRowCount="1" totalsRowCount="0" totalsRowShown="0">
  <x:autoFilter ref="A5:Y1005"/>
  <x:tableColumns count="25">
    <x:tableColumn id="1" name="Query"/>
    <x:tableColumn id="2" name="Clicks"/>
    <x:tableColumn id="3" name="Impressions"/>
    <x:tableColumn id="4" name="CTR (export)"/>
    <x:tableColumn id="5" name="Average position"/>
    <x:tableColumn id="6" name="Priority"/>
    <x:tableColumn id="7" name="Editorial score"/>
    <x:tableColumn id="8" name="Classification"/>
    <x:tableColumn id="9" name="Query cluster"/>
    <x:tableColumn id="10" name="Primary / secondary"/>
    <x:tableColumn id="11" name="Intent"/>
    <x:tableColumn id="12" name="Business relevance"/>
    <x:tableColumn id="13" name="Recommended owner URL"/>
    <x:tableColumn id="14" name="Current ranking URL"/>
    <x:tableColumn id="15" name="Required action"/>
    <x:tableColumn id="16" name="Reason"/>
    <x:tableColumn id="17" name="Brand"/>
    <x:tableColumn id="18" name="Service / topic"/>
    <x:tableColumn id="19" name="Geography"/>
    <x:tableColumn id="20" name="Business value"/>
    <x:tableColumn id="21" name="Position band"/>
    <x:tableColumn id="22" name="Ranking opportunity"/>
    <x:tableColumn id="23" name="Impression quality"/>
    <x:tableColumn id="24" name="Source query row"/>
    <x:tableColumn id="25" name="Cannibalization evidenc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4" name="ClustersTable" displayName="ClustersTable" ref="A5:M219" headerRowCount="1" totalsRowCount="0" totalsRowShown="0">
  <x:autoFilter ref="A5:M219"/>
  <x:tableColumns count="13">
    <x:tableColumn id="1" name="Query cluster"/>
    <x:tableColumn id="2" name="Primary query"/>
    <x:tableColumn id="3" name="Owner URL"/>
    <x:tableColumn id="4" name="Query count"/>
    <x:tableColumn id="5" name="Clicks"/>
    <x:tableColumn id="6" name="Impressions"/>
    <x:tableColumn id="7" name="CTR"/>
    <x:tableColumn id="8" name="Weighted position"/>
    <x:tableColumn id="9" name="Best query score"/>
    <x:tableColumn id="10" name="Priority"/>
    <x:tableColumn id="11" name="Best opportunity query"/>
    <x:tableColumn id="12" name="Action"/>
    <x:tableColumn id="13" name="Secondary examples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5" name="PagemapTable" displayName="PagemapTable" ref="A5:AA1470" headerRowCount="1" totalsRowCount="0" totalsRowShown="0">
  <x:autoFilter ref="A5:AA1470"/>
  <x:tableColumns count="27">
    <x:tableColumn id="1" name="URL"/>
    <x:tableColumn id="2" name="Primary query"/>
    <x:tableColumn id="3" name="Assigned clusters"/>
    <x:tableColumn id="4" name="Current role"/>
    <x:tableColumn id="5" name="Recommended role"/>
    <x:tableColumn id="6" name="Evidence basis"/>
    <x:tableColumn id="7" name="Title before"/>
    <x:tableColumn id="8" name="Title proposed"/>
    <x:tableColumn id="9" name="H1 before"/>
    <x:tableColumn id="10" name="H1 proposed"/>
    <x:tableColumn id="11" name="Current description"/>
    <x:tableColumn id="12" name="Content proposal"/>
    <x:tableColumn id="13" name="Internal link proposal"/>
    <x:tableColumn id="14" name="Cannibalization evidence"/>
    <x:tableColumn id="15" name="CTA proposal"/>
    <x:tableColumn id="16" name="Technical proposal"/>
    <x:tableColumn id="17" name="Status"/>
    <x:tableColumn id="18" name="GSC clicks"/>
    <x:tableColumn id="19" name="GSC impressions"/>
    <x:tableColumn id="20" name="GSC CTR"/>
    <x:tableColumn id="21" name="GSC position"/>
    <x:tableColumn id="22" name="Current canonical"/>
    <x:tableColumn id="23" name="Indexable evidence"/>
    <x:tableColumn id="24" name="Local referring pages"/>
    <x:tableColumn id="25" name="Local title"/>
    <x:tableColumn id="26" name="Live title"/>
    <x:tableColumn id="27" name="Local/live title differ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6" name="PrioritychangesTable" displayName="PrioritychangesTable" ref="A5:K28" headerRowCount="1" totalsRowCount="0" totalsRowShown="0">
  <x:autoFilter ref="A5:K28"/>
  <x:tableColumns count="11">
    <x:tableColumn id="1" name="Page"/>
    <x:tableColumn id="2" name="Priority"/>
    <x:tableColumn id="3" name="Reason"/>
    <x:tableColumn id="4" name="Current title"/>
    <x:tableColumn id="5" name="Proposed title"/>
    <x:tableColumn id="6" name="Current H1"/>
    <x:tableColumn id="7" name="Proposed H1"/>
    <x:tableColumn id="8" name="Content change or retain decision"/>
    <x:tableColumn id="9" name="CTA"/>
    <x:tableColumn id="10" name="Internal links"/>
    <x:tableColumn id="11" name="Technical action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7" name="CTRopportunitiesTable" displayName="CTRopportunitiesTable" ref="A5:J52" headerRowCount="1" totalsRowCount="0" totalsRowShown="0">
  <x:autoFilter ref="A5:J52"/>
  <x:tableColumns count="10">
    <x:tableColumn id="1" name="Query"/>
    <x:tableColumn id="2" name="Impressions"/>
    <x:tableColumn id="3" name="Clicks"/>
    <x:tableColumn id="4" name="CTR"/>
    <x:tableColumn id="5" name="Position"/>
    <x:tableColumn id="6" name="Priority"/>
    <x:tableColumn id="7" name="Recommended owner"/>
    <x:tableColumn id="8" name="Likely issue to investigate"/>
    <x:tableColumn id="9" name="Proposed action"/>
    <x:tableColumn id="10" name="Change made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8" name="ImpressionqualityTable" displayName="ImpressionqualityTable" ref="A5:G10" headerRowCount="1" totalsRowCount="0" totalsRowShown="0">
  <x:autoFilter ref="A5:G10"/>
  <x:tableColumns count="7">
    <x:tableColumn id="1" name="Quality group"/>
    <x:tableColumn id="2" name="Queries"/>
    <x:tableColumn id="3" name="Clicks"/>
    <x:tableColumn id="4" name="Impressions"/>
    <x:tableColumn id="5" name="Share of query impressions"/>
    <x:tableColumn id="6" name="CTR"/>
    <x:tableColumn id="7" name="Interpretation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9" name="OwnershipconflictsTable" displayName="OwnershipconflictsTable" ref="A5:G12" headerRowCount="1" totalsRowCount="0" totalsRowShown="0">
  <x:autoFilter ref="A5:G12"/>
  <x:tableColumns count="7">
    <x:tableColumn id="1" name="Query cluster"/>
    <x:tableColumn id="2" name="Page A"/>
    <x:tableColumn id="3" name="Page B"/>
    <x:tableColumn id="4" name="Desired owner"/>
    <x:tableColumn id="5" name="Evidence"/>
    <x:tableColumn id="6" name="Finding type"/>
    <x:tableColumn id="7" name="Proposed action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10" name="ContentgapsTable" displayName="ContentgapsTable" ref="A5:I30" headerRowCount="1" totalsRowCount="0" totalsRowShown="0">
  <x:autoFilter ref="A5:I30"/>
  <x:tableColumns count="9">
    <x:tableColumn id="1" name="Topic"/>
    <x:tableColumn id="2" name="Existing owner"/>
    <x:tableColumn id="3" name="Primary query"/>
    <x:tableColumn id="4" name="Impressions"/>
    <x:tableColumn id="5" name="Weighted position"/>
    <x:tableColumn id="6" name="Proposed URL"/>
    <x:tableColumn id="7" name="Decision"/>
    <x:tableColumn id="8" name="Reason"/>
    <x:tableColumn id="9" name="Internal link plan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1" name="LivechecksTable" displayName="LivechecksTable" ref="A5:N38" headerRowCount="1" totalsRowCount="0" totalsRowShown="0">
  <x:autoFilter ref="A5:N38"/>
  <x:tableColumns count="14">
    <x:tableColumn id="1" name="URL"/>
    <x:tableColumn id="2" name="HTTP status"/>
    <x:tableColumn id="3" name="Final URL"/>
    <x:tableColumn id="4" name="Title"/>
    <x:tableColumn id="5" name="H1"/>
    <x:tableColumn id="6" name="Description"/>
    <x:tableColumn id="7" name="Canonical"/>
    <x:tableColumn id="8" name="Robots"/>
    <x:tableColumn id="9" name="Phone target"/>
    <x:tableColumn id="10" name="WhatsApp target"/>
    <x:tableColumn id="11" name="JSON-LD blocks"/>
    <x:tableColumn id="12" name="JSON parse errors"/>
    <x:tableColumn id="13" name="Matches local title"/>
    <x:tableColumn id="14" name="Checked at UTC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3" name="ScoringTable" displayName="ScoringTable" ref="A5:J1005" headerRowCount="1" totalsRowCount="0" totalsRowShown="0">
  <x:autoFilter ref="A5:J1005"/>
  <x:tableColumns count="10">
    <x:tableColumn id="1" name="Query"/>
    <x:tableColumn id="2" name="Intent factor"/>
    <x:tableColumn id="3" name="Business value"/>
    <x:tableColumn id="4" name="Ranking factor"/>
    <x:tableColumn id="5" name="Volume factor"/>
    <x:tableColumn id="6" name="CTR triage factor"/>
    <x:tableColumn id="7" name="Page readiness"/>
    <x:tableColumn id="8" name="Relevance multiplier"/>
    <x:tableColumn id="9" name="Opportunity score"/>
    <x:tableColumn id="10" name="Impressions × position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" name="RulesTable" displayName="RulesTable" ref="A5:D42" headerRowCount="1" totalsRowCount="0" totalsRowShown="0">
  <x:autoFilter ref="A5:D42"/>
  <x:tableColumns count="4">
    <x:tableColumn id="1" name="Rule"/>
    <x:tableColumn id="2" name="Value"/>
    <x:tableColumn id="3" name="Explanation"/>
    <x:tableColumn id="4" name="Source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2" name="SourcemetricsTable" displayName="SourcemetricsTable" ref="A5:F249" headerRowCount="1" totalsRowCount="0" totalsRowShown="0">
  <x:autoFilter ref="A5:F249"/>
  <x:tableColumns count="6">
    <x:tableColumn id="1" name="Dimension"/>
    <x:tableColumn id="2" name="Date / label"/>
    <x:tableColumn id="3" name="Clicks"/>
    <x:tableColumn id="4" name="Impressions"/>
    <x:tableColumn id="5" name="CTR (export)"/>
    <x:tableColumn id="6" name="Position (export)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3bb9843db247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e9ad1ba36548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ed6e900c7494c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33275b1f99141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3778d1dcc1e4b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9de742c7ff84a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0b515c1149345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bc02c5b601749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fe92835d8984d0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0d03c1be32f4c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88ab01bc25b408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4b0feb28b0b4e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9d6dc350b5e4d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116" hidden="0" customWidth="1"/>
  </x:cols>
  <x:sheetData>
    <x:row r="1" ht="30" customHeight="1">
      <x:c r="A1" s="2" t="str">
        <x:v>DIGI-TEC search opportunities</x:v>
      </x:c>
      <x:c r="B1" s="1"/>
      <x:c r="C1" s="1"/>
    </x:row>
    <x:row r="2">
      <x:c r="A2" s="3" t="str">
        <x:v>Search Console: 7 Jun–6 Sep 2026. Live checks: 9 Sep 2026. Analysis and proposals only.</x:v>
      </x:c>
      <x:c r="B2" s="1"/>
      <x:c r="C2" s="1"/>
    </x:row>
    <x:row r="3">
      <x:c r="A3" s="4"/>
      <x:c r="B3" s="4"/>
      <x:c r="C3" s="4"/>
    </x:row>
    <x:row r="4">
      <x:c r="A4" s="1"/>
      <x:c r="B4" s="1"/>
      <x:c r="C4" s="1"/>
    </x:row>
    <x:row r="5" ht="42" customHeight="1">
      <x:c r="A5" s="10" t="str">
        <x:v>Measure</x:v>
      </x:c>
      <x:c r="B5" s="11" t="str">
        <x:v>Value</x:v>
      </x:c>
      <x:c r="C5" s="12" t="str">
        <x:v>Meaning</x:v>
      </x:c>
    </x:row>
    <x:row r="6" ht="32" customHeight="1">
      <x:c r="A6" s="6" t="str">
        <x:v>Property clicks</x:v>
      </x:c>
      <x:c r="B6" s="14" t="n">
        <x:f>SUM('Source metrics'!C6:C97)</x:f>
        <x:v>387</x:v>
      </x:c>
      <x:c r="C6" s="6" t="str">
        <x:v>Use Chart totals for overall performance.</x:v>
      </x:c>
    </x:row>
    <x:row r="7" ht="32" customHeight="1">
      <x:c r="A7" s="6" t="str">
        <x:v>Property impressions</x:v>
      </x:c>
      <x:c r="B7" s="14" t="n">
        <x:f>SUM('Source metrics'!D6:D97)</x:f>
        <x:v>81284</x:v>
      </x:c>
      <x:c r="C7" s="6" t="str">
        <x:v>The baseline includes all property impressions, including queries absent from the table.</x:v>
      </x:c>
    </x:row>
    <x:row r="8" ht="32" customHeight="1">
      <x:c r="A8" s="6" t="str">
        <x:v>Property CTR</x:v>
      </x:c>
      <x:c r="B8" s="15" t="n">
        <x:f>B6/B7</x:f>
        <x:v>0.004761084592293686</x:v>
      </x:c>
      <x:c r="C8" s="6" t="str">
        <x:v>Clicks / impressions. This is not a lead conversion rate.</x:v>
      </x:c>
    </x:row>
    <x:row r="9" ht="32" customHeight="1">
      <x:c r="A9" s="6" t="str">
        <x:v>Exported queries</x:v>
      </x:c>
      <x:c r="B9" s="14" t="n">
        <x:v>1000</x:v>
      </x:c>
      <x:c r="C9" s="6" t="str">
        <x:v>All 1,000 rows classified and preserved.</x:v>
      </x:c>
    </x:row>
    <x:row r="10" ht="32" customHeight="1">
      <x:c r="A10" s="6" t="str">
        <x:v>Query-row impressions</x:v>
      </x:c>
      <x:c r="B10" s="14" t="n">
        <x:f>SUM('Queries'!C6:C1005)</x:f>
        <x:v>50945</x:v>
      </x:c>
      <x:c r="C10" s="6" t="str">
        <x:v>Query quality shares use this denominator.</x:v>
      </x:c>
    </x:row>
    <x:row r="11" ht="32" customHeight="1">
      <x:c r="A11" s="6" t="str">
        <x:v>Query-row clicks</x:v>
      </x:c>
      <x:c r="B11" s="14" t="n">
        <x:f>SUM('Queries'!B6:B1005)</x:f>
        <x:v>106</x:v>
      </x:c>
      <x:c r="C11" s="6" t="str">
        <x:v>The query table does not contain all site clicks.</x:v>
      </x:c>
    </x:row>
    <x:row r="12" ht="32" customHeight="1">
      <x:c r="A12" s="6" t="str">
        <x:v>CRITICAL queries</x:v>
      </x:c>
      <x:c r="B12" s="14" t="n">
        <x:f>COUNTIF('Queries'!F6:F1005,"CRITICAL")</x:f>
        <x:v>106</x:v>
      </x:c>
      <x:c r="C12" s="6" t="str">
        <x:v>Meaningful near-page-one commercial opportunities under the stated rules.</x:v>
      </x:c>
    </x:row>
    <x:row r="13" ht="32" customHeight="1">
      <x:c r="A13" s="6" t="str">
        <x:v>CTR investigation flags</x:v>
      </x:c>
      <x:c r="B13" s="14" t="n">
        <x:v>47</x:v>
      </x:c>
      <x:c r="C13" s="6" t="str">
        <x:v>Page-one, &gt;=20 impressions and &lt;1% CTR; inspect actual owner and SERP.</x:v>
      </x:c>
    </x:row>
    <x:row r="14" ht="32" customHeight="1">
      <x:c r="A14" s="6" t="str">
        <x:v>Live pages checked</x:v>
      </x:c>
      <x:c r="B14" s="14" t="n">
        <x:v>33</x:v>
      </x:c>
      <x:c r="C14" s="6" t="str">
        <x:v>33 successful public HTML checks; no enquiry was submitted.</x:v>
      </x:c>
    </x:row>
    <x:row r="15" ht="32" customHeight="1">
      <x:c r="A15" s="6" t="str">
        <x:v>Source routes rendered</x:v>
      </x:c>
      <x:c r="B15" s="14" t="n">
        <x:v>1438</x:v>
      </x:c>
      <x:c r="C15" s="6" t="str">
        <x:v>1,158 locally indexable routes; this is not a Google index count.</x:v>
      </x:c>
    </x:row>
    <x:row r="16" ht="32" customHeight="1">
      <x:c r="A16" s="6" t="str">
        <x:v>Page map rows</x:v>
      </x:c>
      <x:c r="B16" s="14" t="n">
        <x:v>1465</x:v>
      </x:c>
      <x:c r="C16" s="6" t="str">
        <x:v>Union of the exported page URLs and source routes.</x:v>
      </x:c>
    </x:row>
    <x:row r="17" ht="32" customHeight="1">
      <x:c r="A17" s="6" t="str">
        <x:v>Intent clusters</x:v>
      </x:c>
      <x:c r="B17" s="14" t="n">
        <x:v>214</x:v>
      </x:c>
      <x:c r="C17" s="6" t="str">
        <x:v>One recommended owner per cluster, with excluded groups explicitly labeled.</x:v>
      </x:c>
    </x:row>
    <x:row r="18" ht="32" customHeight="1">
      <x:c r="A18" s="6" t="str">
        <x:v>Website edits in this task</x:v>
      </x:c>
      <x:c r="B18" s="14" t="n">
        <x:v>0</x:v>
      </x:c>
      <x:c r="C18" s="6" t="str">
        <x:v>No source changes, redirects, publishing or analytics changes.</x:v>
      </x:c>
    </x:row>
    <x:row r="21" ht="30" customHeight="1">
      <x:c r="A21" s="21" t="str">
        <x:v>Order</x:v>
      </x:c>
      <x:c r="B21" s="21" t="str">
        <x:v>Focus</x:v>
      </x:c>
      <x:c r="C21" s="21" t="str">
        <x:v>Next action</x:v>
      </x:c>
    </x:row>
    <x:row r="22" ht="52" customHeight="1">
      <x:c r="A22" s="6" t="n">
        <x:v>1</x:v>
      </x:c>
      <x:c r="B22" s="6" t="str">
        <x:v>Protect live Mercedes work</x:v>
      </x:c>
      <x:c r="C22" s="6" t="str">
        <x:v>Six checked live service pages are ahead of local source. Reconcile source before release.</x:v>
      </x:c>
    </x:row>
    <x:row r="23" ht="52" customHeight="1">
      <x:c r="A23" s="6" t="n">
        <x:v>2</x:v>
      </x:c>
      <x:c r="B23" s="6" t="str">
        <x:v>Repair old Mercedes routing</x:v>
      </x:c>
      <x:c r="C23" s="6" t="str">
        <x:v>Two old URLs return HTTP 200 with homepage metadata. Prepare permanent redirects to the Mercedes hub.</x:v>
      </x:c>
    </x:row>
    <x:row r="24" ht="52" customHeight="1">
      <x:c r="A24" s="6" t="n">
        <x:v>3</x:v>
      </x:c>
      <x:c r="B24" s="6" t="str">
        <x:v>Near-page-one commercial queries</x:v>
      </x:c>
      <x:c r="C24" s="6" t="str">
        <x:v>Prioritize Mercedes, BMW gearbox/diagnostics, Porsche steering, McLaren service and Aston Martin repair services.</x:v>
      </x:c>
    </x:row>
    <x:row r="25" ht="52" customHeight="1">
      <x:c r="A25" s="6" t="n">
        <x:v>4</x:v>
      </x:c>
      <x:c r="B25" s="6" t="str">
        <x:v>Targeted CTA and copy improvements</x:v>
      </x:c>
      <x:c r="C25" s="6" t="str">
        <x:v>Use contextual enquiry labels; correct malformed shared service headings. Preserve existing WhatsApp tracking.</x:v>
      </x:c>
    </x:row>
    <x:row r="26" ht="52" customHeight="1">
      <x:c r="A26" s="6" t="n">
        <x:v>5</x:v>
      </x:c>
      <x:c r="B26" s="6" t="str">
        <x:v>PPF / ceramic / polishing</x:v>
      </x:c>
      <x:c r="C26" s="6" t="str">
        <x:v>Retain the detailed live pages. Obtain post-release data and documented workshop evidence. Do not add thin brand variants.</x:v>
      </x:c>
    </x:row>
    <x:row r="27" ht="52" customHeight="1">
      <x:c r="A27" s="6" t="n">
        <x:v>6</x:v>
      </x:c>
      <x:c r="B27" s="6" t="str">
        <x:v>Verify scope and owner conflicts</x:v>
      </x:c>
      <x:c r="C27" s="6" t="str">
        <x:v>Review unconfirmed retrofits and noindex service owners. Joint query/page data is needed to establish cannibalization.</x:v>
      </x:c>
    </x:row>
    <x:row r="28" ht="52" customHeight="1">
      <x:c r="A28" s="6" t="n">
        <x:v>7</x:v>
      </x:c>
      <x:c r="B28" s="6" t="str">
        <x:v>Measure qualified leads</x:v>
      </x:c>
      <x:c r="C28" s="6" t="str">
        <x:v>Compare equal post-release periods by query cluster and canonical landing page. Pair GSC with qualified WhatsApp/call/enquiry outcomes.</x:v>
      </x:c>
    </x:row>
  </x:sheetData>
  <x:pageMargins left="0.7" right="0.7" top="0.75" bottom="0.75" header="0.3" footer="0.3"/>
  <x:tableParts count="1">
    <x:tablePart xmlns:r="http://schemas.openxmlformats.org/officeDocument/2006/relationships" r:id="R233bb9843db247e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4" hidden="0" customWidth="1"/>
    <x:col min="4" max="4" width="14" hidden="0" customWidth="1"/>
    <x:col min="5" max="5" width="15" hidden="0" customWidth="1"/>
    <x:col min="6" max="6" width="18" hidden="0" customWidth="1"/>
    <x:col min="7" max="7" width="16" hidden="0" customWidth="1"/>
    <x:col min="8" max="8" width="19" hidden="0" customWidth="1"/>
    <x:col min="9" max="9" width="46" hidden="0" customWidth="1"/>
    <x:col min="10" max="10" width="18" hidden="0" customWidth="1"/>
    <x:col min="11" max="11" width="29" hidden="0" customWidth="1"/>
    <x:col min="12" max="12" width="22" hidden="0" customWidth="1"/>
    <x:col min="13" max="13" width="72" hidden="0" customWidth="1"/>
    <x:col min="14" max="14" width="54" hidden="0" customWidth="1"/>
    <x:col min="15" max="15" width="43" hidden="0" customWidth="1"/>
    <x:col min="16" max="16" width="105" hidden="0" customWidth="1"/>
    <x:col min="17" max="17" width="23" hidden="0" customWidth="1"/>
    <x:col min="18" max="18" width="32" hidden="0" customWidth="1"/>
    <x:col min="19" max="19" width="28" hidden="0" customWidth="1"/>
    <x:col min="20" max="20" width="16" hidden="0" customWidth="1"/>
    <x:col min="21" max="21" width="16" hidden="0" customWidth="1"/>
    <x:col min="22" max="22" width="52" hidden="0" customWidth="1"/>
    <x:col min="23" max="23" width="28" hidden="0" customWidth="1"/>
    <x:col min="24" max="24" width="16" hidden="0" customWidth="1"/>
    <x:col min="25" max="25" width="54" hidden="0" customWidth="1"/>
  </x:cols>
  <x:sheetData>
    <x:row r="1" ht="30" customHeight="1">
      <x:c r="A1" s="2" t="str">
        <x:v>Query master map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s="3" t="str">
        <x:v>All 1,000 exported queries. Current ranking URLs are unknown; owner URLs are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 ht="42" customHeight="1">
      <x:c r="A5" s="10" t="str">
        <x:v>Query</x:v>
      </x:c>
      <x:c r="B5" s="11" t="str">
        <x:v>Clicks</x:v>
      </x:c>
      <x:c r="C5" s="11" t="str">
        <x:v>Impressions</x:v>
      </x:c>
      <x:c r="D5" s="11" t="str">
        <x:v>CTR (export)</x:v>
      </x:c>
      <x:c r="E5" s="11" t="str">
        <x:v>Average position</x:v>
      </x:c>
      <x:c r="F5" s="11" t="str">
        <x:v>Priority</x:v>
      </x:c>
      <x:c r="G5" s="11" t="str">
        <x:v>Editorial score</x:v>
      </x:c>
      <x:c r="H5" s="11" t="str">
        <x:v>Classification</x:v>
      </x:c>
      <x:c r="I5" s="11" t="str">
        <x:v>Query cluster</x:v>
      </x:c>
      <x:c r="J5" s="11" t="str">
        <x:v>Primary / secondary</x:v>
      </x:c>
      <x:c r="K5" s="11" t="str">
        <x:v>Intent</x:v>
      </x:c>
      <x:c r="L5" s="11" t="str">
        <x:v>Business relevance</x:v>
      </x:c>
      <x:c r="M5" s="11" t="str">
        <x:v>Recommended owner URL</x:v>
      </x:c>
      <x:c r="N5" s="11" t="str">
        <x:v>Current ranking URL</x:v>
      </x:c>
      <x:c r="O5" s="11" t="str">
        <x:v>Required action</x:v>
      </x:c>
      <x:c r="P5" s="11" t="str">
        <x:v>Reason</x:v>
      </x:c>
      <x:c r="Q5" s="11" t="str">
        <x:v>Brand</x:v>
      </x:c>
      <x:c r="R5" s="11" t="str">
        <x:v>Service / topic</x:v>
      </x:c>
      <x:c r="S5" s="11" t="str">
        <x:v>Geography</x:v>
      </x:c>
      <x:c r="T5" s="11" t="str">
        <x:v>Business value</x:v>
      </x:c>
      <x:c r="U5" s="11" t="str">
        <x:v>Position band</x:v>
      </x:c>
      <x:c r="V5" s="11" t="str">
        <x:v>Ranking opportunity</x:v>
      </x:c>
      <x:c r="W5" s="11" t="str">
        <x:v>Impression quality</x:v>
      </x:c>
      <x:c r="X5" s="11" t="str">
        <x:v>Source query row</x:v>
      </x:c>
      <x:c r="Y5" s="12" t="str">
        <x:v>Cannibalization evidence</x:v>
      </x:c>
    </x:row>
    <x:row r="6" ht="57" customHeight="1">
      <x:c r="A6" s="6" t="str">
        <x:v>digitec performance center</x:v>
      </x:c>
      <x:c r="B6" s="14" t="n">
        <x:v>23</x:v>
      </x:c>
      <x:c r="C6" s="14" t="n">
        <x:v>122</x:v>
      </x:c>
      <x:c r="D6" s="15" t="n">
        <x:v>0.1885</x:v>
      </x:c>
      <x:c r="E6" s="16" t="n">
        <x:v>1.07</x:v>
      </x:c>
      <x:c r="F6" s="6" t="str">
        <x:v>DEFEND</x:v>
      </x:c>
      <x:c r="G6" s="17" t="n">
        <x:f>'Scoring'!I6</x:f>
        <x:v>51.5</x:v>
      </x:c>
      <x:c r="H6" s="6" t="str">
        <x:v>SUPPORT</x:v>
      </x:c>
      <x:c r="I6" s="6" t="str">
        <x:v>DIGI-TEC: Business navigation</x:v>
      </x:c>
      <x:c r="J6" s="6" t="str">
        <x:v>Secondary</x:v>
      </x:c>
      <x:c r="K6" s="6" t="str">
        <x:v>Navigational</x:v>
      </x:c>
      <x:c r="L6" s="6" t="str">
        <x:v>High</x:v>
      </x:c>
      <x:c r="M6" s="6" t="str">
        <x:v>https://digitecme.com/</x:v>
      </x:c>
      <x:c r="N6" s="6" t="str">
        <x:v>Unknown — export has no query/page pairing</x:v>
      </x:c>
      <x:c r="O6" s="6" t="str">
        <x:v>Retain primary intent and support variants</x:v>
      </x:c>
      <x:c r="P6" s="6" t="str">
        <x:v>Clear business-name intent; preserve identity, address and direct booking paths. 122 impressions at average position 1.07; strengthen the appropriate intent owner and measure with a fresh comparable period.</x:v>
      </x:c>
      <x:c r="Q6" s="6" t="str">
        <x:v>DIGI-TEC</x:v>
      </x:c>
      <x:c r="R6" s="6" t="str">
        <x:v>brand-navigation</x:v>
      </x:c>
      <x:c r="S6" s="6" t="str">
        <x:v>Location unspecified</x:v>
      </x:c>
      <x:c r="T6" s="6" t="n">
        <x:v>3</x:v>
      </x:c>
      <x:c r="U6" s="6" t="str">
        <x:v>1–3</x:v>
      </x:c>
      <x:c r="V6" s="6" t="str">
        <x:v>Defend relevance and measured CTR</x:v>
      </x:c>
      <x:c r="W6" s="6" t="str">
        <x:v>Relevant supporting</x:v>
      </x:c>
      <x:c r="X6" s="6" t="n">
        <x:v>2</x:v>
      </x:c>
      <x:c r="Y6" s="6" t="str">
        <x:v>Unconfirmed — joint query/page data required</x:v>
      </x:c>
    </x:row>
    <x:row r="7" ht="57" customHeight="1">
      <x:c r="A7" s="6" t="str">
        <x:v>digitec</x:v>
      </x:c>
      <x:c r="B7" s="14" t="n">
        <x:v>7</x:v>
      </x:c>
      <x:c r="C7" s="14" t="n">
        <x:v>174</x:v>
      </x:c>
      <x:c r="D7" s="15" t="n">
        <x:v>0.04019999999999999</x:v>
      </x:c>
      <x:c r="E7" s="16" t="n">
        <x:v>2.91</x:v>
      </x:c>
      <x:c r="F7" s="6" t="str">
        <x:v>DEFEND</x:v>
      </x:c>
      <x:c r="G7" s="17" t="n">
        <x:f>'Scoring'!I7</x:f>
        <x:v>33.8</x:v>
      </x:c>
      <x:c r="H7" s="6" t="str">
        <x:v>PRIORITIZE</x:v>
      </x:c>
      <x:c r="I7" s="6" t="str">
        <x:v>DIGI-TEC: Business navigation</x:v>
      </x:c>
      <x:c r="J7" s="6" t="str">
        <x:v>Primary</x:v>
      </x:c>
      <x:c r="K7" s="6" t="str">
        <x:v>Navigational</x:v>
      </x:c>
      <x:c r="L7" s="6" t="str">
        <x:v>Medium</x:v>
      </x:c>
      <x:c r="M7" s="6" t="str">
        <x:v>https://digitecme.com/</x:v>
      </x:c>
      <x:c r="N7" s="6" t="str">
        <x:v>Unknown — export has no query/page pairing</x:v>
      </x:c>
      <x:c r="O7" s="6" t="str">
        <x:v>Strengthen this primary intent owner</x:v>
      </x:c>
      <x:c r="P7" s="6" t="str">
        <x:v>Ambiguous business-name variant; automotive intent cannot be established from this export. 174 impressions at average position 2.91; strengthen the appropriate intent owner and measure with a fresh comparable period.</x:v>
      </x:c>
      <x:c r="Q7" s="6" t="str">
        <x:v>DIGI-TEC</x:v>
      </x:c>
      <x:c r="R7" s="6" t="str">
        <x:v>brand-navigation</x:v>
      </x:c>
      <x:c r="S7" s="6" t="str">
        <x:v>Location unspecified</x:v>
      </x:c>
      <x:c r="T7" s="6" t="n">
        <x:v>3</x:v>
      </x:c>
      <x:c r="U7" s="6" t="str">
        <x:v>1–3</x:v>
      </x:c>
      <x:c r="V7" s="6" t="str">
        <x:v>Defend relevance and measured CTR</x:v>
      </x:c>
      <x:c r="W7" s="6" t="str">
        <x:v>Relevant supporting</x:v>
      </x:c>
      <x:c r="X7" s="6" t="n">
        <x:v>3</x:v>
      </x:c>
      <x:c r="Y7" s="6" t="str">
        <x:v>Unconfirmed — joint query/page data required</x:v>
      </x:c>
    </x:row>
    <x:row r="8" ht="42" customHeight="1">
      <x:c r="A8" s="6" t="str">
        <x:v>mercedes repair dubai</x:v>
      </x:c>
      <x:c r="B8" s="14" t="n">
        <x:v>5</x:v>
      </x:c>
      <x:c r="C8" s="14" t="n">
        <x:v>954</x:v>
      </x:c>
      <x:c r="D8" s="15" t="n">
        <x:v>0.0052</x:v>
      </x:c>
      <x:c r="E8" s="16" t="n">
        <x:v>10.64</x:v>
      </x:c>
      <x:c r="F8" s="6" t="str">
        <x:v>CRITICAL</x:v>
      </x:c>
      <x:c r="G8" s="17" t="n">
        <x:f>'Scoring'!I8</x:f>
        <x:v>89.9</x:v>
      </x:c>
      <x:c r="H8" s="6" t="str">
        <x:v>PRIORITIZE</x:v>
      </x:c>
      <x:c r="I8" s="6" t="str">
        <x:v>mercedes-benz: Service and repair (English)</x:v>
      </x:c>
      <x:c r="J8" s="6" t="str">
        <x:v>Primary</x:v>
      </x:c>
      <x:c r="K8" s="6" t="str">
        <x:v>Commercial service enquiry</x:v>
      </x:c>
      <x:c r="L8" s="6" t="str">
        <x:v>High</x:v>
      </x:c>
      <x:c r="M8" s="6" t="str">
        <x:v>https://digitecme.com/brands/mercedes-benz-service-dubai</x:v>
      </x:c>
      <x:c r="N8" s="6" t="str">
        <x:v>Unknown — export has no query/page pairing</x:v>
      </x:c>
      <x:c r="O8" s="6" t="str">
        <x:v>Strengthen this primary intent owner</x:v>
      </x:c>
      <x:c r="P8" s="6" t="str">
        <x:v>954 impressions at average position 10.64; strengthen the appropriate intent owner and measure with a fresh comparable period.</x:v>
      </x:c>
      <x:c r="Q8" s="6" t="str">
        <x:v>mercedes-benz</x:v>
      </x:c>
      <x:c r="R8" s="6" t="str">
        <x:v>service-repair</x:v>
      </x:c>
      <x:c r="S8" s="6" t="str">
        <x:v>Dubai explicit</x:v>
      </x:c>
      <x:c r="T8" s="6" t="n">
        <x:v>5</x:v>
      </x:c>
      <x:c r="U8" s="6" t="str">
        <x:v>11–20</x:v>
      </x:c>
      <x:c r="V8" s="6" t="str">
        <x:v>Ranking and owner relevance</x:v>
      </x:c>
      <x:c r="W8" s="6" t="str">
        <x:v>High-value commercial</x:v>
      </x:c>
      <x:c r="X8" s="6" t="n">
        <x:v>4</x:v>
      </x:c>
      <x:c r="Y8" s="6" t="str">
        <x:v>Unconfirmed — joint query/page data required</x:v>
      </x:c>
    </x:row>
    <x:row r="9" ht="57" customHeight="1">
      <x:c r="A9" s="6" t="str">
        <x:v>gad tuning</x:v>
      </x:c>
      <x:c r="B9" s="14" t="n">
        <x:v>4</x:v>
      </x:c>
      <x:c r="C9" s="14" t="n">
        <x:v>125</x:v>
      </x:c>
      <x:c r="D9" s="15" t="n">
        <x:v>0.032</x:v>
      </x:c>
      <x:c r="E9" s="16" t="n">
        <x:v>9.57</x:v>
      </x:c>
      <x:c r="F9" s="6" t="str">
        <x:v>CRITICAL</x:v>
      </x:c>
      <x:c r="G9" s="17" t="n">
        <x:f>'Scoring'!I9</x:f>
        <x:v>82</x:v>
      </x:c>
      <x:c r="H9" s="6" t="str">
        <x:v>SUPPORT</x:v>
      </x:c>
      <x:c r="I9" s="6" t="str">
        <x:v>All vehicles: Performance tuning</x:v>
      </x:c>
      <x:c r="J9" s="6" t="str">
        <x:v>Secondary</x:v>
      </x:c>
      <x:c r="K9" s="6" t="str">
        <x:v>Commercial service enquiry</x:v>
      </x:c>
      <x:c r="L9" s="6" t="str">
        <x:v>High</x:v>
      </x:c>
      <x:c r="M9" s="6" t="str">
        <x:v>https://digitecme.com/tuning</x:v>
      </x:c>
      <x:c r="N9" s="6" t="str">
        <x:v>Unknown — export has no query/page pairing</x:v>
      </x:c>
      <x:c r="O9" s="6" t="str">
        <x:v>Retain primary intent and support variants</x:v>
      </x:c>
      <x:c r="P9" s="6" t="str">
        <x:v>Use the existing tuning page; model scope and any GAD relationship require verified facts. 125 impressions at average position 9.57; strengthen the appropriate intent owner and measure with a fresh comparable period.</x:v>
      </x:c>
      <x:c r="Q9" s="6" t="str">
        <x:v>All vehicles</x:v>
      </x:c>
      <x:c r="R9" s="6" t="str">
        <x:v>tuning</x:v>
      </x:c>
      <x:c r="S9" s="6" t="str">
        <x:v>Location unspecified</x:v>
      </x:c>
      <x:c r="T9" s="6" t="n">
        <x:v>5</x:v>
      </x:c>
      <x:c r="U9" s="6" t="str">
        <x:v>4–10</x:v>
      </x:c>
      <x:c r="V9" s="6" t="str">
        <x:v>Page-one CTR review and top-three relevance</x:v>
      </x:c>
      <x:c r="W9" s="6" t="str">
        <x:v>Relevant supporting</x:v>
      </x:c>
      <x:c r="X9" s="6" t="n">
        <x:v>5</x:v>
      </x:c>
      <x:c r="Y9" s="6" t="str">
        <x:v>Unconfirmed — joint query/page data required</x:v>
      </x:c>
    </x:row>
    <x:row r="10" ht="57" customHeight="1">
      <x:c r="A10" s="6" t="str">
        <x:v>digitec performance center l.l.c.</x:v>
      </x:c>
      <x:c r="B10" s="14" t="n">
        <x:v>4</x:v>
      </x:c>
      <x:c r="C10" s="14" t="n">
        <x:v>97</x:v>
      </x:c>
      <x:c r="D10" s="15" t="n">
        <x:v>0.0412</x:v>
      </x:c>
      <x:c r="E10" s="16" t="n">
        <x:v>1.2</x:v>
      </x:c>
      <x:c r="F10" s="6" t="str">
        <x:v>DEFEND</x:v>
      </x:c>
      <x:c r="G10" s="17" t="n">
        <x:f>'Scoring'!I10</x:f>
        <x:v>51.1</x:v>
      </x:c>
      <x:c r="H10" s="6" t="str">
        <x:v>SUPPORT</x:v>
      </x:c>
      <x:c r="I10" s="6" t="str">
        <x:v>DIGI-TEC: Business navigation</x:v>
      </x:c>
      <x:c r="J10" s="6" t="str">
        <x:v>Secondary</x:v>
      </x:c>
      <x:c r="K10" s="6" t="str">
        <x:v>Navigational</x:v>
      </x:c>
      <x:c r="L10" s="6" t="str">
        <x:v>High</x:v>
      </x:c>
      <x:c r="M10" s="6" t="str">
        <x:v>https://digitecme.com/</x:v>
      </x:c>
      <x:c r="N10" s="6" t="str">
        <x:v>Unknown — export has no query/page pairing</x:v>
      </x:c>
      <x:c r="O10" s="6" t="str">
        <x:v>Retain primary intent and support variants</x:v>
      </x:c>
      <x:c r="P10" s="6" t="str">
        <x:v>Clear business-name intent; preserve identity, address and direct booking paths. 97 impressions at average position 1.20; strengthen the appropriate intent owner and measure with a fresh comparable period.</x:v>
      </x:c>
      <x:c r="Q10" s="6" t="str">
        <x:v>DIGI-TEC</x:v>
      </x:c>
      <x:c r="R10" s="6" t="str">
        <x:v>brand-navigation</x:v>
      </x:c>
      <x:c r="S10" s="6" t="str">
        <x:v>Location unspecified</x:v>
      </x:c>
      <x:c r="T10" s="6" t="n">
        <x:v>3</x:v>
      </x:c>
      <x:c r="U10" s="6" t="str">
        <x:v>1–3</x:v>
      </x:c>
      <x:c r="V10" s="6" t="str">
        <x:v>Defend relevance and measured CTR</x:v>
      </x:c>
      <x:c r="W10" s="6" t="str">
        <x:v>Relevant supporting</x:v>
      </x:c>
      <x:c r="X10" s="6" t="n">
        <x:v>6</x:v>
      </x:c>
      <x:c r="Y10" s="6" t="str">
        <x:v>Unconfirmed — joint query/page data required</x:v>
      </x:c>
    </x:row>
    <x:row r="11" ht="42" customHeight="1">
      <x:c r="A11" s="6" t="str">
        <x:v>exhaust repair dubai</x:v>
      </x:c>
      <x:c r="B11" s="14" t="n">
        <x:v>4</x:v>
      </x:c>
      <x:c r="C11" s="14" t="n">
        <x:v>52</x:v>
      </x:c>
      <x:c r="D11" s="15" t="n">
        <x:v>0.07690000000000001</x:v>
      </x:c>
      <x:c r="E11" s="16" t="n">
        <x:v>8.87</x:v>
      </x:c>
      <x:c r="F11" s="6" t="str">
        <x:v>CRITICAL</x:v>
      </x:c>
      <x:c r="G11" s="17" t="n">
        <x:f>'Scoring'!I11</x:f>
        <x:v>77.7</x:v>
      </x:c>
      <x:c r="H11" s="6" t="str">
        <x:v>PRIORITIZE</x:v>
      </x:c>
      <x:c r="I11" s="6" t="str">
        <x:v>All vehicles: Exhaust repair</x:v>
      </x:c>
      <x:c r="J11" s="6" t="str">
        <x:v>Primary</x:v>
      </x:c>
      <x:c r="K11" s="6" t="str">
        <x:v>Commercial service enquiry</x:v>
      </x:c>
      <x:c r="L11" s="6" t="str">
        <x:v>High</x:v>
      </x:c>
      <x:c r="M11" s="6" t="str">
        <x:v>https://digitecme.com/services/exhaust-repair-dubai</x:v>
      </x:c>
      <x:c r="N11" s="6" t="str">
        <x:v>Unknown — export has no query/page pairing</x:v>
      </x:c>
      <x:c r="O11" s="6" t="str">
        <x:v>Strengthen this primary intent owner</x:v>
      </x:c>
      <x:c r="P11" s="6" t="str">
        <x:v>52 impressions at average position 8.87; strengthen the appropriate intent owner and measure with a fresh comparable period.</x:v>
      </x:c>
      <x:c r="Q11" s="6" t="str">
        <x:v>All vehicles</x:v>
      </x:c>
      <x:c r="R11" s="6" t="str">
        <x:v>exhaust-repair</x:v>
      </x:c>
      <x:c r="S11" s="6" t="str">
        <x:v>Dubai explicit</x:v>
      </x:c>
      <x:c r="T11" s="6" t="n">
        <x:v>3</x:v>
      </x:c>
      <x:c r="U11" s="6" t="str">
        <x:v>4–10</x:v>
      </x:c>
      <x:c r="V11" s="6" t="str">
        <x:v>Page-one CTR review and top-three relevance</x:v>
      </x:c>
      <x:c r="W11" s="6" t="str">
        <x:v>High-value commercial</x:v>
      </x:c>
      <x:c r="X11" s="6" t="n">
        <x:v>7</x:v>
      </x:c>
      <x:c r="Y11" s="6" t="str">
        <x:v>Unconfirmed — joint query/page data required</x:v>
      </x:c>
    </x:row>
    <x:row r="12" ht="57" customHeight="1">
      <x:c r="A12" s="6" t="str">
        <x:v>digi tec</x:v>
      </x:c>
      <x:c r="B12" s="14" t="n">
        <x:v>4</x:v>
      </x:c>
      <x:c r="C12" s="14" t="n">
        <x:v>49</x:v>
      </x:c>
      <x:c r="D12" s="15" t="n">
        <x:v>0.0816</x:v>
      </x:c>
      <x:c r="E12" s="16" t="n">
        <x:v>4.67</x:v>
      </x:c>
      <x:c r="F12" s="6" t="str">
        <x:v>DEFEND</x:v>
      </x:c>
      <x:c r="G12" s="17" t="n">
        <x:f>'Scoring'!I12</x:f>
        <x:v>44</x:v>
      </x:c>
      <x:c r="H12" s="6" t="str">
        <x:v>SUPPORT</x:v>
      </x:c>
      <x:c r="I12" s="6" t="str">
        <x:v>DIGI-TEC: Business navigation</x:v>
      </x:c>
      <x:c r="J12" s="6" t="str">
        <x:v>Secondary</x:v>
      </x:c>
      <x:c r="K12" s="6" t="str">
        <x:v>Navigational</x:v>
      </x:c>
      <x:c r="L12" s="6" t="str">
        <x:v>Medium</x:v>
      </x:c>
      <x:c r="M12" s="6" t="str">
        <x:v>https://digitecme.com/</x:v>
      </x:c>
      <x:c r="N12" s="6" t="str">
        <x:v>Unknown — export has no query/page pairing</x:v>
      </x:c>
      <x:c r="O12" s="6" t="str">
        <x:v>Retain primary intent and support variants</x:v>
      </x:c>
      <x:c r="P12" s="6" t="str">
        <x:v>Ambiguous business-name variant; automotive intent cannot be established from this export. 49 impressions at average position 4.67; strengthen the appropriate intent owner and measure with a fresh comparable period.</x:v>
      </x:c>
      <x:c r="Q12" s="6" t="str">
        <x:v>DIGI-TEC</x:v>
      </x:c>
      <x:c r="R12" s="6" t="str">
        <x:v>brand-navigation</x:v>
      </x:c>
      <x:c r="S12" s="6" t="str">
        <x:v>Location unspecified</x:v>
      </x:c>
      <x:c r="T12" s="6" t="n">
        <x:v>3</x:v>
      </x:c>
      <x:c r="U12" s="6" t="str">
        <x:v>4–10</x:v>
      </x:c>
      <x:c r="V12" s="6" t="str">
        <x:v>Page-one CTR review and top-three relevance</x:v>
      </x:c>
      <x:c r="W12" s="6" t="str">
        <x:v>Relevant supporting</x:v>
      </x:c>
      <x:c r="X12" s="6" t="n">
        <x:v>8</x:v>
      </x:c>
      <x:c r="Y12" s="6" t="str">
        <x:v>Unconfirmed — joint query/page data required</x:v>
      </x:c>
    </x:row>
    <x:row r="13" ht="42" customHeight="1">
      <x:c r="A13" s="6" t="str">
        <x:v>mercedes repair in dubai</x:v>
      </x:c>
      <x:c r="B13" s="14" t="n">
        <x:v>3</x:v>
      </x:c>
      <x:c r="C13" s="14" t="n">
        <x:v>271</x:v>
      </x:c>
      <x:c r="D13" s="15" t="n">
        <x:v>0.0111</x:v>
      </x:c>
      <x:c r="E13" s="16" t="n">
        <x:v>11.3</x:v>
      </x:c>
      <x:c r="F13" s="6" t="str">
        <x:v>CRITICAL</x:v>
      </x:c>
      <x:c r="G13" s="17" t="n">
        <x:f>'Scoring'!I13</x:f>
        <x:v>88.1</x:v>
      </x:c>
      <x:c r="H13" s="6" t="str">
        <x:v>SUPPORT</x:v>
      </x:c>
      <x:c r="I13" s="6" t="str">
        <x:v>mercedes-benz: Service and repair (English)</x:v>
      </x:c>
      <x:c r="J13" s="6" t="str">
        <x:v>Secondary</x:v>
      </x:c>
      <x:c r="K13" s="6" t="str">
        <x:v>Commercial service enquiry</x:v>
      </x:c>
      <x:c r="L13" s="6" t="str">
        <x:v>High</x:v>
      </x:c>
      <x:c r="M13" s="6" t="str">
        <x:v>https://digitecme.com/brands/mercedes-benz-service-dubai</x:v>
      </x:c>
      <x:c r="N13" s="6" t="str">
        <x:v>Unknown — export has no query/page pairing</x:v>
      </x:c>
      <x:c r="O13" s="6" t="str">
        <x:v>Retain primary intent and support variants</x:v>
      </x:c>
      <x:c r="P13" s="6" t="str">
        <x:v>271 impressions at average position 11.30; strengthen the appropriate intent owner and measure with a fresh comparable period.</x:v>
      </x:c>
      <x:c r="Q13" s="6" t="str">
        <x:v>mercedes-benz</x:v>
      </x:c>
      <x:c r="R13" s="6" t="str">
        <x:v>service-repair</x:v>
      </x:c>
      <x:c r="S13" s="6" t="str">
        <x:v>Dubai explicit</x:v>
      </x:c>
      <x:c r="T13" s="6" t="n">
        <x:v>5</x:v>
      </x:c>
      <x:c r="U13" s="6" t="str">
        <x:v>11–20</x:v>
      </x:c>
      <x:c r="V13" s="6" t="str">
        <x:v>Ranking and owner relevance</x:v>
      </x:c>
      <x:c r="W13" s="6" t="str">
        <x:v>Relevant supporting</x:v>
      </x:c>
      <x:c r="X13" s="6" t="n">
        <x:v>9</x:v>
      </x:c>
      <x:c r="Y13" s="6" t="str">
        <x:v>Unconfirmed — joint query/page data required</x:v>
      </x:c>
    </x:row>
    <x:row r="14" ht="57" customHeight="1">
      <x:c r="A14" s="6" t="str">
        <x:v>gad motors</x:v>
      </x:c>
      <x:c r="B14" s="14" t="n">
        <x:v>3</x:v>
      </x:c>
      <x:c r="C14" s="14" t="n">
        <x:v>215</x:v>
      </x:c>
      <x:c r="D14" s="15" t="n">
        <x:v>0.013999999999999999</x:v>
      </x:c>
      <x:c r="E14" s="16" t="n">
        <x:v>6.6</x:v>
      </x:c>
      <x:c r="F14" s="6" t="str">
        <x:v>CRITICAL</x:v>
      </x:c>
      <x:c r="G14" s="17" t="n">
        <x:f>'Scoring'!I14</x:f>
        <x:v>82.8</x:v>
      </x:c>
      <x:c r="H14" s="6" t="str">
        <x:v>SUPPORT</x:v>
      </x:c>
      <x:c r="I14" s="6" t="str">
        <x:v>All vehicles: Performance tuning</x:v>
      </x:c>
      <x:c r="J14" s="6" t="str">
        <x:v>Secondary</x:v>
      </x:c>
      <x:c r="K14" s="6" t="str">
        <x:v>Commercial service enquiry</x:v>
      </x:c>
      <x:c r="L14" s="6" t="str">
        <x:v>High</x:v>
      </x:c>
      <x:c r="M14" s="6" t="str">
        <x:v>https://digitecme.com/tuning</x:v>
      </x:c>
      <x:c r="N14" s="6" t="str">
        <x:v>Unknown — export has no query/page pairing</x:v>
      </x:c>
      <x:c r="O14" s="6" t="str">
        <x:v>Retain primary intent and support variants</x:v>
      </x:c>
      <x:c r="P14" s="6" t="str">
        <x:v>Use the existing tuning page; model scope and any GAD relationship require verified facts. 215 impressions at average position 6.60; strengthen the appropriate intent owner and measure with a fresh comparable period.</x:v>
      </x:c>
      <x:c r="Q14" s="6" t="str">
        <x:v>All vehicles</x:v>
      </x:c>
      <x:c r="R14" s="6" t="str">
        <x:v>tuning</x:v>
      </x:c>
      <x:c r="S14" s="6" t="str">
        <x:v>Location unspecified</x:v>
      </x:c>
      <x:c r="T14" s="6" t="n">
        <x:v>5</x:v>
      </x:c>
      <x:c r="U14" s="6" t="str">
        <x:v>4–10</x:v>
      </x:c>
      <x:c r="V14" s="6" t="str">
        <x:v>Page-one CTR review and top-three relevance</x:v>
      </x:c>
      <x:c r="W14" s="6" t="str">
        <x:v>Relevant supporting</x:v>
      </x:c>
      <x:c r="X14" s="6" t="n">
        <x:v>10</x:v>
      </x:c>
      <x:c r="Y14" s="6" t="str">
        <x:v>Unconfirmed — joint query/page data required</x:v>
      </x:c>
    </x:row>
    <x:row r="15" ht="57" customHeight="1">
      <x:c r="A15" s="6" t="str">
        <x:v>digi-tec</x:v>
      </x:c>
      <x:c r="B15" s="14" t="n">
        <x:v>3</x:v>
      </x:c>
      <x:c r="C15" s="14" t="n">
        <x:v>15</x:v>
      </x:c>
      <x:c r="D15" s="15" t="n">
        <x:v>0.2</x:v>
      </x:c>
      <x:c r="E15" s="16" t="n">
        <x:v>4.87</x:v>
      </x:c>
      <x:c r="F15" s="6" t="str">
        <x:v>DEFEND</x:v>
      </x:c>
      <x:c r="G15" s="17" t="n">
        <x:f>'Scoring'!I15</x:f>
        <x:v>66</x:v>
      </x:c>
      <x:c r="H15" s="6" t="str">
        <x:v>SUPPORT</x:v>
      </x:c>
      <x:c r="I15" s="6" t="str">
        <x:v>DIGI-TEC: Business navigation</x:v>
      </x:c>
      <x:c r="J15" s="6" t="str">
        <x:v>Secondary</x:v>
      </x:c>
      <x:c r="K15" s="6" t="str">
        <x:v>Navigational</x:v>
      </x:c>
      <x:c r="L15" s="6" t="str">
        <x:v>High</x:v>
      </x:c>
      <x:c r="M15" s="6" t="str">
        <x:v>https://digitecme.com/</x:v>
      </x:c>
      <x:c r="N15" s="6" t="str">
        <x:v>Unknown — export has no query/page pairing</x:v>
      </x:c>
      <x:c r="O15" s="6" t="str">
        <x:v>Retain primary intent and support variants</x:v>
      </x:c>
      <x:c r="P15" s="6" t="str">
        <x:v>Clear business-name intent; preserve identity, address and direct booking paths. 15 impressions at average position 4.87; strengthen the appropriate intent owner and measure with a fresh comparable period.</x:v>
      </x:c>
      <x:c r="Q15" s="6" t="str">
        <x:v>DIGI-TEC</x:v>
      </x:c>
      <x:c r="R15" s="6" t="str">
        <x:v>brand-navigation</x:v>
      </x:c>
      <x:c r="S15" s="6" t="str">
        <x:v>Location unspecified</x:v>
      </x:c>
      <x:c r="T15" s="6" t="n">
        <x:v>3</x:v>
      </x:c>
      <x:c r="U15" s="6" t="str">
        <x:v>4–10</x:v>
      </x:c>
      <x:c r="V15" s="6" t="str">
        <x:v>Page-one CTR review and top-three relevance</x:v>
      </x:c>
      <x:c r="W15" s="6" t="str">
        <x:v>Relevant supporting</x:v>
      </x:c>
      <x:c r="X15" s="6" t="n">
        <x:v>11</x:v>
      </x:c>
      <x:c r="Y15" s="6" t="str">
        <x:v>Unconfirmed — joint query/page data required</x:v>
      </x:c>
    </x:row>
    <x:row r="16" ht="42" customHeight="1">
      <x:c r="A16" s="6" t="str">
        <x:v>bmw repair dubai</x:v>
      </x:c>
      <x:c r="B16" s="14" t="n">
        <x:v>2</x:v>
      </x:c>
      <x:c r="C16" s="14" t="n">
        <x:v>151</x:v>
      </x:c>
      <x:c r="D16" s="15" t="n">
        <x:v>0.0132</x:v>
      </x:c>
      <x:c r="E16" s="16" t="n">
        <x:v>14.54</x:v>
      </x:c>
      <x:c r="F16" s="6" t="str">
        <x:v>CRITICAL</x:v>
      </x:c>
      <x:c r="G16" s="17" t="n">
        <x:f>'Scoring'!I16</x:f>
        <x:v>87.3</x:v>
      </x:c>
      <x:c r="H16" s="6" t="str">
        <x:v>SUPPORT</x:v>
      </x:c>
      <x:c r="I16" s="6" t="str">
        <x:v>bmw: Service and repair (English)</x:v>
      </x:c>
      <x:c r="J16" s="6" t="str">
        <x:v>Secondary</x:v>
      </x:c>
      <x:c r="K16" s="6" t="str">
        <x:v>Commercial service enquiry</x:v>
      </x:c>
      <x:c r="L16" s="6" t="str">
        <x:v>High</x:v>
      </x:c>
      <x:c r="M16" s="6" t="str">
        <x:v>https://digitecme.com/brands/bmw-service-dubai</x:v>
      </x:c>
      <x:c r="N16" s="6" t="str">
        <x:v>Unknown — export has no query/page pairing</x:v>
      </x:c>
      <x:c r="O16" s="6" t="str">
        <x:v>Retain primary intent and support variants</x:v>
      </x:c>
      <x:c r="P16" s="6" t="str">
        <x:v>151 impressions at average position 14.54; strengthen the appropriate intent owner and measure with a fresh comparable period.</x:v>
      </x:c>
      <x:c r="Q16" s="6" t="str">
        <x:v>bmw</x:v>
      </x:c>
      <x:c r="R16" s="6" t="str">
        <x:v>service-repair</x:v>
      </x:c>
      <x:c r="S16" s="6" t="str">
        <x:v>Dubai explicit</x:v>
      </x:c>
      <x:c r="T16" s="6" t="n">
        <x:v>5</x:v>
      </x:c>
      <x:c r="U16" s="6" t="str">
        <x:v>11–20</x:v>
      </x:c>
      <x:c r="V16" s="6" t="str">
        <x:v>Ranking and owner relevance</x:v>
      </x:c>
      <x:c r="W16" s="6" t="str">
        <x:v>Relevant supporting</x:v>
      </x:c>
      <x:c r="X16" s="6" t="n">
        <x:v>12</x:v>
      </x:c>
      <x:c r="Y16" s="6" t="str">
        <x:v>Unconfirmed — joint query/page data required</x:v>
      </x:c>
    </x:row>
    <x:row r="17" ht="42" customHeight="1">
      <x:c r="A17" s="6" t="str">
        <x:v>paint protection film dubai</x:v>
      </x:c>
      <x:c r="B17" s="14" t="n">
        <x:v>2</x:v>
      </x:c>
      <x:c r="C17" s="14" t="n">
        <x:v>37</x:v>
      </x:c>
      <x:c r="D17" s="15" t="n">
        <x:v>0.0541</x:v>
      </x:c>
      <x:c r="E17" s="16" t="n">
        <x:v>25.7</x:v>
      </x:c>
      <x:c r="F17" s="6" t="str">
        <x:v>HIGH</x:v>
      </x:c>
      <x:c r="G17" s="17" t="n">
        <x:f>'Scoring'!I17</x:f>
        <x:v>77.8</x:v>
      </x:c>
      <x:c r="H17" s="6" t="str">
        <x:v>SUPPORT</x:v>
      </x:c>
      <x:c r="I17" s="6" t="str">
        <x:v>All vehicles: Paint protection film</x:v>
      </x:c>
      <x:c r="J17" s="6" t="str">
        <x:v>Secondary</x:v>
      </x:c>
      <x:c r="K17" s="6" t="str">
        <x:v>Commercial service enquiry</x:v>
      </x:c>
      <x:c r="L17" s="6" t="str">
        <x:v>High</x:v>
      </x:c>
      <x:c r="M17" s="6" t="str">
        <x:v>https://digitecme.com/services/paint-protection-film</x:v>
      </x:c>
      <x:c r="N17" s="6" t="str">
        <x:v>Unknown — export has no query/page pairing</x:v>
      </x:c>
      <x:c r="O17" s="6" t="str">
        <x:v>Retain primary intent and support variants</x:v>
      </x:c>
      <x:c r="P17" s="6" t="str">
        <x:v>Film intent belongs to the PPF page; vehicle and district terms are secondary context. Average position 25.70 makes ranking the main issue; avoid a CTR-only rewrite.</x:v>
      </x:c>
      <x:c r="Q17" s="6" t="str">
        <x:v>All vehicles</x:v>
      </x:c>
      <x:c r="R17" s="6" t="str">
        <x:v>ppf</x:v>
      </x:c>
      <x:c r="S17" s="6" t="str">
        <x:v>Dubai explicit</x:v>
      </x:c>
      <x:c r="T17" s="6" t="n">
        <x:v>5</x:v>
      </x:c>
      <x:c r="U17" s="6" t="str">
        <x:v>21–40</x:v>
      </x:c>
      <x:c r="V17" s="6" t="str">
        <x:v>Content, internal authority and owner alignment</x:v>
      </x:c>
      <x:c r="W17" s="6" t="str">
        <x:v>Relevant supporting</x:v>
      </x:c>
      <x:c r="X17" s="6" t="n">
        <x:v>13</x:v>
      </x:c>
      <x:c r="Y17" s="6" t="str">
        <x:v>Unconfirmed — joint query/page data required</x:v>
      </x:c>
    </x:row>
    <x:row r="18" ht="42" customHeight="1">
      <x:c r="A18" s="6" t="str">
        <x:v>performance tuning dubai</x:v>
      </x:c>
      <x:c r="B18" s="14" t="n">
        <x:v>2</x:v>
      </x:c>
      <x:c r="C18" s="14" t="n">
        <x:v>10</x:v>
      </x:c>
      <x:c r="D18" s="15" t="n">
        <x:v>0.2</x:v>
      </x:c>
      <x:c r="E18" s="16" t="n">
        <x:v>20.7</x:v>
      </x:c>
      <x:c r="F18" s="6" t="str">
        <x:v>HIGH</x:v>
      </x:c>
      <x:c r="G18" s="17" t="n">
        <x:f>'Scoring'!I18</x:f>
        <x:v>76</x:v>
      </x:c>
      <x:c r="H18" s="6" t="str">
        <x:v>SUPPORT</x:v>
      </x:c>
      <x:c r="I18" s="6" t="str">
        <x:v>All vehicles: Performance tuning</x:v>
      </x:c>
      <x:c r="J18" s="6" t="str">
        <x:v>Secondary</x:v>
      </x:c>
      <x:c r="K18" s="6" t="str">
        <x:v>Commercial service enquiry</x:v>
      </x:c>
      <x:c r="L18" s="6" t="str">
        <x:v>High</x:v>
      </x:c>
      <x:c r="M18" s="6" t="str">
        <x:v>https://digitecme.com/tuning</x:v>
      </x:c>
      <x:c r="N18" s="6" t="str">
        <x:v>Unknown — export has no query/page pairing</x:v>
      </x:c>
      <x:c r="O18" s="6" t="str">
        <x:v>Retain primary intent and support variants</x:v>
      </x:c>
      <x:c r="P18" s="6" t="str">
        <x:v>Use the existing tuning page; model scope and any GAD relationship require verified facts. Average position 20.70 makes ranking the main issue; avoid a CTR-only rewrite.</x:v>
      </x:c>
      <x:c r="Q18" s="6" t="str">
        <x:v>All vehicles</x:v>
      </x:c>
      <x:c r="R18" s="6" t="str">
        <x:v>tuning</x:v>
      </x:c>
      <x:c r="S18" s="6" t="str">
        <x:v>Dubai explicit</x:v>
      </x:c>
      <x:c r="T18" s="6" t="n">
        <x:v>5</x:v>
      </x:c>
      <x:c r="U18" s="6" t="str">
        <x:v>21–40</x:v>
      </x:c>
      <x:c r="V18" s="6" t="str">
        <x:v>Content, internal authority and owner alignment</x:v>
      </x:c>
      <x:c r="W18" s="6" t="str">
        <x:v>Relevant supporting</x:v>
      </x:c>
      <x:c r="X18" s="6" t="n">
        <x:v>14</x:v>
      </x:c>
      <x:c r="Y18" s="6" t="str">
        <x:v>Unconfirmed — joint query/page data required</x:v>
      </x:c>
    </x:row>
    <x:row r="19" ht="42" customHeight="1">
      <x:c r="A19" s="6" t="str">
        <x:v>mercedes repair dubai near me</x:v>
      </x:c>
      <x:c r="B19" s="14" t="n">
        <x:v>2</x:v>
      </x:c>
      <x:c r="C19" s="14" t="n">
        <x:v>9</x:v>
      </x:c>
      <x:c r="D19" s="15" t="n">
        <x:v>0.22219999999999998</x:v>
      </x:c>
      <x:c r="E19" s="16" t="n">
        <x:v>2.22</x:v>
      </x:c>
      <x:c r="F19" s="6" t="str">
        <x:v>DEFEND</x:v>
      </x:c>
      <x:c r="G19" s="17" t="n">
        <x:f>'Scoring'!I19</x:f>
        <x:v>65.8</x:v>
      </x:c>
      <x:c r="H19" s="6" t="str">
        <x:v>SUPPORT</x:v>
      </x:c>
      <x:c r="I19" s="6" t="str">
        <x:v>mercedes-benz: Service and repair (English)</x:v>
      </x:c>
      <x:c r="J19" s="6" t="str">
        <x:v>Secondary</x:v>
      </x:c>
      <x:c r="K19" s="6" t="str">
        <x:v>Commercial service enquiry</x:v>
      </x:c>
      <x:c r="L19" s="6" t="str">
        <x:v>High</x:v>
      </x:c>
      <x:c r="M19" s="6" t="str">
        <x:v>https://digitecme.com/brands/mercedes-benz-service-dubai</x:v>
      </x:c>
      <x:c r="N19" s="6" t="str">
        <x:v>Unknown — export has no query/page pairing</x:v>
      </x:c>
      <x:c r="O19" s="6" t="str">
        <x:v>Retain primary intent and support variants</x:v>
      </x:c>
      <x:c r="P19" s="6" t="str">
        <x:v>9 impressions at average position 2.22; strengthen the appropriate intent owner and measure with a fresh comparable period.</x:v>
      </x:c>
      <x:c r="Q19" s="6" t="str">
        <x:v>mercedes-benz</x:v>
      </x:c>
      <x:c r="R19" s="6" t="str">
        <x:v>service-repair</x:v>
      </x:c>
      <x:c r="S19" s="6" t="str">
        <x:v>Dubai explicit</x:v>
      </x:c>
      <x:c r="T19" s="6" t="n">
        <x:v>5</x:v>
      </x:c>
      <x:c r="U19" s="6" t="str">
        <x:v>1–3</x:v>
      </x:c>
      <x:c r="V19" s="6" t="str">
        <x:v>Defend relevance and measured CTR</x:v>
      </x:c>
      <x:c r="W19" s="6" t="str">
        <x:v>Relevant supporting</x:v>
      </x:c>
      <x:c r="X19" s="6" t="n">
        <x:v>15</x:v>
      </x:c>
      <x:c r="Y19" s="6" t="str">
        <x:v>Unconfirmed — joint query/page data required</x:v>
      </x:c>
    </x:row>
    <x:row r="20" ht="42" customHeight="1">
      <x:c r="A20" s="6" t="str">
        <x:v>mercedes specialist workshop</x:v>
      </x:c>
      <x:c r="B20" s="14" t="n">
        <x:v>2</x:v>
      </x:c>
      <x:c r="C20" s="14" t="n">
        <x:v>2</x:v>
      </x:c>
      <x:c r="D20" s="15" t="n">
        <x:v>1</x:v>
      </x:c>
      <x:c r="E20" s="16" t="n">
        <x:v>6</x:v>
      </x:c>
      <x:c r="F20" s="6" t="str">
        <x:v>HIGH</x:v>
      </x:c>
      <x:c r="G20" s="17" t="n">
        <x:f>'Scoring'!I20</x:f>
        <x:v>76.6</x:v>
      </x:c>
      <x:c r="H20" s="6" t="str">
        <x:v>SUPPORT</x:v>
      </x:c>
      <x:c r="I20" s="6" t="str">
        <x:v>mercedes-benz: Service and repair (English)</x:v>
      </x:c>
      <x:c r="J20" s="6" t="str">
        <x:v>Secondary</x:v>
      </x:c>
      <x:c r="K20" s="6" t="str">
        <x:v>Commercial service enquiry</x:v>
      </x:c>
      <x:c r="L20" s="6" t="str">
        <x:v>High</x:v>
      </x:c>
      <x:c r="M20" s="6" t="str">
        <x:v>https://digitecme.com/brands/mercedes-benz-service-dubai</x:v>
      </x:c>
      <x:c r="N20" s="6" t="str">
        <x:v>Unknown — export has no query/page pairing</x:v>
      </x:c>
      <x:c r="O20" s="6" t="str">
        <x:v>Retain primary intent and support variants</x:v>
      </x:c>
      <x:c r="P20" s="6" t="str">
        <x:v>2 impressions at average position 6.00; strengthen the appropriate intent owner and measure with a fresh comparable period.</x:v>
      </x:c>
      <x:c r="Q20" s="6" t="str">
        <x:v>mercedes-benz</x:v>
      </x:c>
      <x:c r="R20" s="6" t="str">
        <x:v>service-repair</x:v>
      </x:c>
      <x:c r="S20" s="6" t="str">
        <x:v>Location unspecified</x:v>
      </x:c>
      <x:c r="T20" s="6" t="n">
        <x:v>5</x:v>
      </x:c>
      <x:c r="U20" s="6" t="str">
        <x:v>4–10</x:v>
      </x:c>
      <x:c r="V20" s="6" t="str">
        <x:v>Page-one CTR review and top-three relevance</x:v>
      </x:c>
      <x:c r="W20" s="6" t="str">
        <x:v>Relevant supporting</x:v>
      </x:c>
      <x:c r="X20" s="6" t="n">
        <x:v>16</x:v>
      </x:c>
      <x:c r="Y20" s="6" t="str">
        <x:v>Unconfirmed — joint query/page data required</x:v>
      </x:c>
    </x:row>
    <x:row r="21" ht="42" customHeight="1">
      <x:c r="A21" s="6" t="str">
        <x:v>mercedes service dubai</x:v>
      </x:c>
      <x:c r="B21" s="14" t="n">
        <x:v>1</x:v>
      </x:c>
      <x:c r="C21" s="14" t="n">
        <x:v>591</x:v>
      </x:c>
      <x:c r="D21" s="15" t="n">
        <x:v>0.0017000000000000001</x:v>
      </x:c>
      <x:c r="E21" s="16" t="n">
        <x:v>16.81</x:v>
      </x:c>
      <x:c r="F21" s="6" t="str">
        <x:v>HIGH</x:v>
      </x:c>
      <x:c r="G21" s="17" t="n">
        <x:f>'Scoring'!I21</x:f>
        <x:v>81.7</x:v>
      </x:c>
      <x:c r="H21" s="6" t="str">
        <x:v>SUPPORT</x:v>
      </x:c>
      <x:c r="I21" s="6" t="str">
        <x:v>mercedes-benz: Service and repair (English)</x:v>
      </x:c>
      <x:c r="J21" s="6" t="str">
        <x:v>Secondary</x:v>
      </x:c>
      <x:c r="K21" s="6" t="str">
        <x:v>Commercial service enquiry</x:v>
      </x:c>
      <x:c r="L21" s="6" t="str">
        <x:v>High</x:v>
      </x:c>
      <x:c r="M21" s="6" t="str">
        <x:v>https://digitecme.com/brands/mercedes-benz-service-dubai</x:v>
      </x:c>
      <x:c r="N21" s="6" t="str">
        <x:v>Unknown — export has no query/page pairing</x:v>
      </x:c>
      <x:c r="O21" s="6" t="str">
        <x:v>Retain primary intent and support variants</x:v>
      </x:c>
      <x:c r="P21" s="6" t="str">
        <x:v>591 impressions at average position 16.81; strengthen the appropriate intent owner and measure with a fresh comparable period.</x:v>
      </x:c>
      <x:c r="Q21" s="6" t="str">
        <x:v>mercedes-benz</x:v>
      </x:c>
      <x:c r="R21" s="6" t="str">
        <x:v>service-repair</x:v>
      </x:c>
      <x:c r="S21" s="6" t="str">
        <x:v>Dubai explicit</x:v>
      </x:c>
      <x:c r="T21" s="6" t="n">
        <x:v>5</x:v>
      </x:c>
      <x:c r="U21" s="6" t="str">
        <x:v>11–20</x:v>
      </x:c>
      <x:c r="V21" s="6" t="str">
        <x:v>Ranking and owner relevance</x:v>
      </x:c>
      <x:c r="W21" s="6" t="str">
        <x:v>Relevant supporting</x:v>
      </x:c>
      <x:c r="X21" s="6" t="n">
        <x:v>17</x:v>
      </x:c>
      <x:c r="Y21" s="6" t="str">
        <x:v>Unconfirmed — joint query/page data required</x:v>
      </x:c>
    </x:row>
    <x:row r="22" ht="42" customHeight="1">
      <x:c r="A22" s="6" t="str">
        <x:v>mclaren repair dubai</x:v>
      </x:c>
      <x:c r="B22" s="14" t="n">
        <x:v>1</x:v>
      </x:c>
      <x:c r="C22" s="14" t="n">
        <x:v>231</x:v>
      </x:c>
      <x:c r="D22" s="15" t="n">
        <x:v>0.0043</x:v>
      </x:c>
      <x:c r="E22" s="16" t="n">
        <x:v>17.25</x:v>
      </x:c>
      <x:c r="F22" s="6" t="str">
        <x:v>HIGH</x:v>
      </x:c>
      <x:c r="G22" s="17" t="n">
        <x:f>'Scoring'!I22</x:f>
        <x:v>80.4</x:v>
      </x:c>
      <x:c r="H22" s="6" t="str">
        <x:v>PRIORITIZE</x:v>
      </x:c>
      <x:c r="I22" s="6" t="str">
        <x:v>mclaren: Service and repair</x:v>
      </x:c>
      <x:c r="J22" s="6" t="str">
        <x:v>Primary</x:v>
      </x:c>
      <x:c r="K22" s="6" t="str">
        <x:v>Commercial service enquiry</x:v>
      </x:c>
      <x:c r="L22" s="6" t="str">
        <x:v>High</x:v>
      </x:c>
      <x:c r="M22" s="6" t="str">
        <x:v>https://digitecme.com/brands/mclaren-service-dubai</x:v>
      </x:c>
      <x:c r="N22" s="6" t="str">
        <x:v>Unknown — export has no query/page pairing</x:v>
      </x:c>
      <x:c r="O22" s="6" t="str">
        <x:v>Strengthen this primary intent owner</x:v>
      </x:c>
      <x:c r="P22" s="6" t="str">
        <x:v>231 impressions at average position 17.25; strengthen the appropriate intent owner and measure with a fresh comparable period.</x:v>
      </x:c>
      <x:c r="Q22" s="6" t="str">
        <x:v>mclaren</x:v>
      </x:c>
      <x:c r="R22" s="6" t="str">
        <x:v>service-repair</x:v>
      </x:c>
      <x:c r="S22" s="6" t="str">
        <x:v>Dubai explicit</x:v>
      </x:c>
      <x:c r="T22" s="6" t="n">
        <x:v>5</x:v>
      </x:c>
      <x:c r="U22" s="6" t="str">
        <x:v>11–20</x:v>
      </x:c>
      <x:c r="V22" s="6" t="str">
        <x:v>Ranking and owner relevance</x:v>
      </x:c>
      <x:c r="W22" s="6" t="str">
        <x:v>High-value commercial</x:v>
      </x:c>
      <x:c r="X22" s="6" t="n">
        <x:v>18</x:v>
      </x:c>
      <x:c r="Y22" s="6" t="str">
        <x:v>Unconfirmed — joint query/page data required</x:v>
      </x:c>
    </x:row>
    <x:row r="23" ht="42" customHeight="1">
      <x:c r="A23" s="6" t="str">
        <x:v>aston martin repair dubai</x:v>
      </x:c>
      <x:c r="B23" s="14" t="n">
        <x:v>1</x:v>
      </x:c>
      <x:c r="C23" s="14" t="n">
        <x:v>226</x:v>
      </x:c>
      <x:c r="D23" s="15" t="n">
        <x:v>0.0044</x:v>
      </x:c>
      <x:c r="E23" s="16" t="n">
        <x:v>23.29</x:v>
      </x:c>
      <x:c r="F23" s="6" t="str">
        <x:v>HIGH</x:v>
      </x:c>
      <x:c r="G23" s="17" t="n">
        <x:f>'Scoring'!I23</x:f>
        <x:v>80.4</x:v>
      </x:c>
      <x:c r="H23" s="6" t="str">
        <x:v>PRIORITIZE</x:v>
      </x:c>
      <x:c r="I23" s="6" t="str">
        <x:v>aston-martin: Service and repair</x:v>
      </x:c>
      <x:c r="J23" s="6" t="str">
        <x:v>Primary</x:v>
      </x:c>
      <x:c r="K23" s="6" t="str">
        <x:v>Commercial service enquiry</x:v>
      </x:c>
      <x:c r="L23" s="6" t="str">
        <x:v>High</x:v>
      </x:c>
      <x:c r="M23" s="6" t="str">
        <x:v>https://digitecme.com/brands/aston-martin-service-dubai</x:v>
      </x:c>
      <x:c r="N23" s="6" t="str">
        <x:v>Unknown — export has no query/page pairing</x:v>
      </x:c>
      <x:c r="O23" s="6" t="str">
        <x:v>Strengthen this primary intent owner</x:v>
      </x:c>
      <x:c r="P23" s="6" t="str">
        <x:v>Average position 23.29 makes ranking the main issue; avoid a CTR-only rewrite.</x:v>
      </x:c>
      <x:c r="Q23" s="6" t="str">
        <x:v>aston-martin</x:v>
      </x:c>
      <x:c r="R23" s="6" t="str">
        <x:v>service-repair</x:v>
      </x:c>
      <x:c r="S23" s="6" t="str">
        <x:v>Dubai explicit</x:v>
      </x:c>
      <x:c r="T23" s="6" t="n">
        <x:v>5</x:v>
      </x:c>
      <x:c r="U23" s="6" t="str">
        <x:v>21–40</x:v>
      </x:c>
      <x:c r="V23" s="6" t="str">
        <x:v>Content, internal authority and owner alignment</x:v>
      </x:c>
      <x:c r="W23" s="6" t="str">
        <x:v>High-value commercial</x:v>
      </x:c>
      <x:c r="X23" s="6" t="n">
        <x:v>19</x:v>
      </x:c>
      <x:c r="Y23" s="6" t="str">
        <x:v>Unconfirmed — joint query/page data required</x:v>
      </x:c>
    </x:row>
    <x:row r="24" ht="42" customHeight="1">
      <x:c r="A24" s="6" t="str">
        <x:v>bmw service dubai</x:v>
      </x:c>
      <x:c r="B24" s="14" t="n">
        <x:v>1</x:v>
      </x:c>
      <x:c r="C24" s="14" t="n">
        <x:v>215</x:v>
      </x:c>
      <x:c r="D24" s="15" t="n">
        <x:v>0.004699999999999999</x:v>
      </x:c>
      <x:c r="E24" s="16" t="n">
        <x:v>25.93</x:v>
      </x:c>
      <x:c r="F24" s="6" t="str">
        <x:v>HIGH</x:v>
      </x:c>
      <x:c r="G24" s="17" t="n">
        <x:f>'Scoring'!I24</x:f>
        <x:v>80.3</x:v>
      </x:c>
      <x:c r="H24" s="6" t="str">
        <x:v>PRIORITIZE</x:v>
      </x:c>
      <x:c r="I24" s="6" t="str">
        <x:v>bmw: Service and repair (English)</x:v>
      </x:c>
      <x:c r="J24" s="6" t="str">
        <x:v>Primary</x:v>
      </x:c>
      <x:c r="K24" s="6" t="str">
        <x:v>Commercial service enquiry</x:v>
      </x:c>
      <x:c r="L24" s="6" t="str">
        <x:v>High</x:v>
      </x:c>
      <x:c r="M24" s="6" t="str">
        <x:v>https://digitecme.com/brands/bmw-service-dubai</x:v>
      </x:c>
      <x:c r="N24" s="6" t="str">
        <x:v>Unknown — export has no query/page pairing</x:v>
      </x:c>
      <x:c r="O24" s="6" t="str">
        <x:v>Strengthen this primary intent owner</x:v>
      </x:c>
      <x:c r="P24" s="6" t="str">
        <x:v>Average position 25.93 makes ranking the main issue; avoid a CTR-only rewrite.</x:v>
      </x:c>
      <x:c r="Q24" s="6" t="str">
        <x:v>bmw</x:v>
      </x:c>
      <x:c r="R24" s="6" t="str">
        <x:v>service-repair</x:v>
      </x:c>
      <x:c r="S24" s="6" t="str">
        <x:v>Dubai explicit</x:v>
      </x:c>
      <x:c r="T24" s="6" t="n">
        <x:v>5</x:v>
      </x:c>
      <x:c r="U24" s="6" t="str">
        <x:v>21–40</x:v>
      </x:c>
      <x:c r="V24" s="6" t="str">
        <x:v>Content, internal authority and owner alignment</x:v>
      </x:c>
      <x:c r="W24" s="6" t="str">
        <x:v>High-value commercial</x:v>
      </x:c>
      <x:c r="X24" s="6" t="n">
        <x:v>20</x:v>
      </x:c>
      <x:c r="Y24" s="6" t="str">
        <x:v>Unconfirmed — joint query/page data required</x:v>
      </x:c>
    </x:row>
    <x:row r="25" ht="42" customHeight="1">
      <x:c r="A25" s="6" t="str">
        <x:v>rolls royce repair dubai</x:v>
      </x:c>
      <x:c r="B25" s="14" t="n">
        <x:v>1</x:v>
      </x:c>
      <x:c r="C25" s="14" t="n">
        <x:v>174</x:v>
      </x:c>
      <x:c r="D25" s="15" t="n">
        <x:v>0.005699999999999999</x:v>
      </x:c>
      <x:c r="E25" s="16" t="n">
        <x:v>25.63</x:v>
      </x:c>
      <x:c r="F25" s="6" t="str">
        <x:v>HIGH</x:v>
      </x:c>
      <x:c r="G25" s="17" t="n">
        <x:f>'Scoring'!I25</x:f>
        <x:v>80</x:v>
      </x:c>
      <x:c r="H25" s="6" t="str">
        <x:v>SUPPORT</x:v>
      </x:c>
      <x:c r="I25" s="6" t="str">
        <x:v>rolls-royce: Service and repair</x:v>
      </x:c>
      <x:c r="J25" s="6" t="str">
        <x:v>Secondary</x:v>
      </x:c>
      <x:c r="K25" s="6" t="str">
        <x:v>Commercial service enquiry</x:v>
      </x:c>
      <x:c r="L25" s="6" t="str">
        <x:v>High</x:v>
      </x:c>
      <x:c r="M25" s="6" t="str">
        <x:v>https://digitecme.com/brands/rolls-royce-service-dubai</x:v>
      </x:c>
      <x:c r="N25" s="6" t="str">
        <x:v>Unknown — export has no query/page pairing</x:v>
      </x:c>
      <x:c r="O25" s="6" t="str">
        <x:v>Retain primary intent and support variants</x:v>
      </x:c>
      <x:c r="P25" s="6" t="str">
        <x:v>Average position 25.63 makes ranking the main issue; avoid a CTR-only rewrite.</x:v>
      </x:c>
      <x:c r="Q25" s="6" t="str">
        <x:v>rolls-royce</x:v>
      </x:c>
      <x:c r="R25" s="6" t="str">
        <x:v>service-repair</x:v>
      </x:c>
      <x:c r="S25" s="6" t="str">
        <x:v>Dubai explicit</x:v>
      </x:c>
      <x:c r="T25" s="6" t="n">
        <x:v>5</x:v>
      </x:c>
      <x:c r="U25" s="6" t="str">
        <x:v>21–40</x:v>
      </x:c>
      <x:c r="V25" s="6" t="str">
        <x:v>Content, internal authority and owner alignment</x:v>
      </x:c>
      <x:c r="W25" s="6" t="str">
        <x:v>Relevant supporting</x:v>
      </x:c>
      <x:c r="X25" s="6" t="n">
        <x:v>21</x:v>
      </x:c>
      <x:c r="Y25" s="6" t="str">
        <x:v>Unconfirmed — joint query/page data required</x:v>
      </x:c>
    </x:row>
    <x:row r="26" ht="57" customHeight="1">
      <x:c r="A26" s="6" t="str">
        <x:v>vulcanizing shop near me</x:v>
      </x:c>
      <x:c r="B26" s="14" t="n">
        <x:v>1</x:v>
      </x:c>
      <x:c r="C26" s="14" t="n">
        <x:v>151</x:v>
      </x:c>
      <x:c r="D26" s="15" t="n">
        <x:v>0.0066</x:v>
      </x:c>
      <x:c r="E26" s="16" t="n">
        <x:v>5.63</x:v>
      </x:c>
      <x:c r="F26" s="6" t="str">
        <x:v>GROWTH</x:v>
      </x:c>
      <x:c r="G26" s="17" t="n">
        <x:f>'Scoring'!I26</x:f>
        <x:v>85.3</x:v>
      </x:c>
      <x:c r="H26" s="6" t="str">
        <x:v>SUPPORT</x:v>
      </x:c>
      <x:c r="I26" s="6" t="str">
        <x:v>All vehicles: Tyre repair</x:v>
      </x:c>
      <x:c r="J26" s="6" t="str">
        <x:v>Secondary</x:v>
      </x:c>
      <x:c r="K26" s="6" t="str">
        <x:v>Commercial service enquiry</x:v>
      </x:c>
      <x:c r="L26" s="6" t="str">
        <x:v>High</x:v>
      </x:c>
      <x:c r="M26" s="6" t="str">
        <x:v>https://digitecme.com/services/tire-repair-dubai</x:v>
      </x:c>
      <x:c r="N26" s="6" t="str">
        <x:v>Unknown — export has no query/page pairing</x:v>
      </x:c>
      <x:c r="O26" s="6" t="str">
        <x:v>Retain primary intent and support variants</x:v>
      </x:c>
      <x:c r="P26" s="6" t="str">
        <x:v>Relevant workshop tyre enquiry with lower assumed value than specialist repair; no mobile or roadside claim. 151 impressions at average position 5.63; strengthen the appropriate intent owner and measure with a fresh comparable period.</x:v>
      </x:c>
      <x:c r="Q26" s="6" t="str">
        <x:v>All vehicles</x:v>
      </x:c>
      <x:c r="R26" s="6" t="str">
        <x:v>tire-repair</x:v>
      </x:c>
      <x:c r="S26" s="6" t="str">
        <x:v>Near me; location unknown</x:v>
      </x:c>
      <x:c r="T26" s="6" t="n">
        <x:v>2</x:v>
      </x:c>
      <x:c r="U26" s="6" t="str">
        <x:v>4–10</x:v>
      </x:c>
      <x:c r="V26" s="6" t="str">
        <x:v>Page-one CTR review and top-three relevance</x:v>
      </x:c>
      <x:c r="W26" s="6" t="str">
        <x:v>Relevant supporting</x:v>
      </x:c>
      <x:c r="X26" s="6" t="n">
        <x:v>22</x:v>
      </x:c>
      <x:c r="Y26" s="6" t="str">
        <x:v>Unconfirmed — joint query/page data required</x:v>
      </x:c>
    </x:row>
    <x:row r="27" ht="42" customHeight="1">
      <x:c r="A27" s="6" t="str">
        <x:v>car oil change near me</x:v>
      </x:c>
      <x:c r="B27" s="14" t="n">
        <x:v>1</x:v>
      </x:c>
      <x:c r="C27" s="14" t="n">
        <x:v>139</x:v>
      </x:c>
      <x:c r="D27" s="15" t="n">
        <x:v>0.0072</x:v>
      </x:c>
      <x:c r="E27" s="16" t="n">
        <x:v>13.5</x:v>
      </x:c>
      <x:c r="F27" s="6" t="str">
        <x:v>CRITICAL</x:v>
      </x:c>
      <x:c r="G27" s="17" t="n">
        <x:f>'Scoring'!I27</x:f>
        <x:v>79.2</x:v>
      </x:c>
      <x:c r="H27" s="6" t="str">
        <x:v>SUPPORT</x:v>
      </x:c>
      <x:c r="I27" s="6" t="str">
        <x:v>All vehicles: Oil change (English)</x:v>
      </x:c>
      <x:c r="J27" s="6" t="str">
        <x:v>Secondary</x:v>
      </x:c>
      <x:c r="K27" s="6" t="str">
        <x:v>Commercial service enquiry</x:v>
      </x:c>
      <x:c r="L27" s="6" t="str">
        <x:v>High</x:v>
      </x:c>
      <x:c r="M27" s="6" t="str">
        <x:v>https://digitecme.com/services/oil-change-dubai</x:v>
      </x:c>
      <x:c r="N27" s="6" t="str">
        <x:v>Unknown — export has no query/page pairing</x:v>
      </x:c>
      <x:c r="O27" s="6" t="str">
        <x:v>Retain primary intent and support variants</x:v>
      </x:c>
      <x:c r="P27" s="6" t="str">
        <x:v>139 impressions at average position 13.50; strengthen the appropriate intent owner and measure with a fresh comparable period.</x:v>
      </x:c>
      <x:c r="Q27" s="6" t="str">
        <x:v>All vehicles</x:v>
      </x:c>
      <x:c r="R27" s="6" t="str">
        <x:v>oil-change</x:v>
      </x:c>
      <x:c r="S27" s="6" t="str">
        <x:v>Near me; location unknown</x:v>
      </x:c>
      <x:c r="T27" s="6" t="n">
        <x:v>3</x:v>
      </x:c>
      <x:c r="U27" s="6" t="str">
        <x:v>11–20</x:v>
      </x:c>
      <x:c r="V27" s="6" t="str">
        <x:v>Ranking and owner relevance</x:v>
      </x:c>
      <x:c r="W27" s="6" t="str">
        <x:v>Relevant supporting</x:v>
      </x:c>
      <x:c r="X27" s="6" t="n">
        <x:v>23</x:v>
      </x:c>
      <x:c r="Y27" s="6" t="str">
        <x:v>Unconfirmed — joint query/page data required</x:v>
      </x:c>
    </x:row>
    <x:row r="28" ht="42" customHeight="1">
      <x:c r="A28" s="6" t="str">
        <x:v>mercedes transmission repair dubai</x:v>
      </x:c>
      <x:c r="B28" s="14" t="n">
        <x:v>1</x:v>
      </x:c>
      <x:c r="C28" s="14" t="n">
        <x:v>127</x:v>
      </x:c>
      <x:c r="D28" s="15" t="n">
        <x:v>0.0079</x:v>
      </x:c>
      <x:c r="E28" s="16" t="n">
        <x:v>20.81</x:v>
      </x:c>
      <x:c r="F28" s="6" t="str">
        <x:v>HIGH</x:v>
      </x:c>
      <x:c r="G28" s="17" t="n">
        <x:f>'Scoring'!I28</x:f>
        <x:v>79.5</x:v>
      </x:c>
      <x:c r="H28" s="6" t="str">
        <x:v>SPLIT</x:v>
      </x:c>
      <x:c r="I28" s="6" t="str">
        <x:v>mercedes-benz: Transmission and gearbox repair</x:v>
      </x:c>
      <x:c r="J28" s="6" t="str">
        <x:v>Primary</x:v>
      </x:c>
      <x:c r="K28" s="6" t="str">
        <x:v>Commercial service enquiry</x:v>
      </x:c>
      <x:c r="L28" s="6" t="str">
        <x:v>High</x:v>
      </x:c>
      <x:c r="M28" s="6" t="str">
        <x:v>https://digitecme.com/services/mercedes-transmission-repair-dubai</x:v>
      </x:c>
      <x:c r="N28" s="6" t="str">
        <x:v>Unknown — export has no query/page pairing</x:v>
      </x:c>
      <x:c r="O28" s="6" t="str">
        <x:v>Use dedicated service owner</x:v>
      </x:c>
      <x:c r="P28" s="6" t="str">
        <x:v>Average position 20.81 makes ranking the main issue; avoid a CTR-only rewrite.</x:v>
      </x:c>
      <x:c r="Q28" s="6" t="str">
        <x:v>mercedes-benz</x:v>
      </x:c>
      <x:c r="R28" s="6" t="str">
        <x:v>transmission-repair</x:v>
      </x:c>
      <x:c r="S28" s="6" t="str">
        <x:v>Dubai explicit</x:v>
      </x:c>
      <x:c r="T28" s="6" t="n">
        <x:v>5</x:v>
      </x:c>
      <x:c r="U28" s="6" t="str">
        <x:v>21–40</x:v>
      </x:c>
      <x:c r="V28" s="6" t="str">
        <x:v>Content, internal authority and owner alignment</x:v>
      </x:c>
      <x:c r="W28" s="6" t="str">
        <x:v>High-value commercial</x:v>
      </x:c>
      <x:c r="X28" s="6" t="n">
        <x:v>24</x:v>
      </x:c>
      <x:c r="Y28" s="6" t="str">
        <x:v>Unconfirmed — joint query/page data required</x:v>
      </x:c>
    </x:row>
    <x:row r="29" ht="42" customHeight="1">
      <x:c r="A29" s="6" t="str">
        <x:v>mercedes transmission repair</x:v>
      </x:c>
      <x:c r="B29" s="14" t="n">
        <x:v>1</x:v>
      </x:c>
      <x:c r="C29" s="14" t="n">
        <x:v>98</x:v>
      </x:c>
      <x:c r="D29" s="15" t="n">
        <x:v>0.0102</x:v>
      </x:c>
      <x:c r="E29" s="16" t="n">
        <x:v>36.9</x:v>
      </x:c>
      <x:c r="F29" s="6" t="str">
        <x:v>GROWTH</x:v>
      </x:c>
      <x:c r="G29" s="17" t="n">
        <x:f>'Scoring'!I29</x:f>
        <x:v>66.7</x:v>
      </x:c>
      <x:c r="H29" s="6" t="str">
        <x:v>SPLIT</x:v>
      </x:c>
      <x:c r="I29" s="6" t="str">
        <x:v>mercedes-benz: Transmission and gearbox repair</x:v>
      </x:c>
      <x:c r="J29" s="6" t="str">
        <x:v>Secondary</x:v>
      </x:c>
      <x:c r="K29" s="6" t="str">
        <x:v>Commercial service enquiry</x:v>
      </x:c>
      <x:c r="L29" s="6" t="str">
        <x:v>High</x:v>
      </x:c>
      <x:c r="M29" s="6" t="str">
        <x:v>https://digitecme.com/services/mercedes-transmission-repair-dubai</x:v>
      </x:c>
      <x:c r="N29" s="6" t="str">
        <x:v>Unknown — export has no query/page pairing</x:v>
      </x:c>
      <x:c r="O29" s="6" t="str">
        <x:v>Use dedicated service owner</x:v>
      </x:c>
      <x:c r="P29" s="6" t="str">
        <x:v>Average position 36.90 makes ranking the main issue; avoid a CTR-only rewrite.</x:v>
      </x:c>
      <x:c r="Q29" s="6" t="str">
        <x:v>mercedes-benz</x:v>
      </x:c>
      <x:c r="R29" s="6" t="str">
        <x:v>transmission-repair</x:v>
      </x:c>
      <x:c r="S29" s="6" t="str">
        <x:v>Location unspecified</x:v>
      </x:c>
      <x:c r="T29" s="6" t="n">
        <x:v>5</x:v>
      </x:c>
      <x:c r="U29" s="6" t="str">
        <x:v>21–40</x:v>
      </x:c>
      <x:c r="V29" s="6" t="str">
        <x:v>Content, internal authority and owner alignment</x:v>
      </x:c>
      <x:c r="W29" s="6" t="str">
        <x:v>High-value commercial</x:v>
      </x:c>
      <x:c r="X29" s="6" t="n">
        <x:v>25</x:v>
      </x:c>
      <x:c r="Y29" s="6" t="str">
        <x:v>Unconfirmed — joint query/page data required</x:v>
      </x:c>
    </x:row>
    <x:row r="30" ht="42" customHeight="1">
      <x:c r="A30" s="6" t="str">
        <x:v>porsche repair dubai</x:v>
      </x:c>
      <x:c r="B30" s="14" t="n">
        <x:v>1</x:v>
      </x:c>
      <x:c r="C30" s="14" t="n">
        <x:v>86</x:v>
      </x:c>
      <x:c r="D30" s="15" t="n">
        <x:v>0.0116</x:v>
      </x:c>
      <x:c r="E30" s="16" t="n">
        <x:v>26.79</x:v>
      </x:c>
      <x:c r="F30" s="6" t="str">
        <x:v>HIGH</x:v>
      </x:c>
      <x:c r="G30" s="17" t="n">
        <x:f>'Scoring'!I30</x:f>
        <x:v>79</x:v>
      </x:c>
      <x:c r="H30" s="6" t="str">
        <x:v>PRIORITIZE</x:v>
      </x:c>
      <x:c r="I30" s="6" t="str">
        <x:v>porsche: Service and repair (English)</x:v>
      </x:c>
      <x:c r="J30" s="6" t="str">
        <x:v>Primary</x:v>
      </x:c>
      <x:c r="K30" s="6" t="str">
        <x:v>Commercial service enquiry</x:v>
      </x:c>
      <x:c r="L30" s="6" t="str">
        <x:v>High</x:v>
      </x:c>
      <x:c r="M30" s="6" t="str">
        <x:v>https://digitecme.com/brands/porsche-service-dubai</x:v>
      </x:c>
      <x:c r="N30" s="6" t="str">
        <x:v>Unknown — export has no query/page pairing</x:v>
      </x:c>
      <x:c r="O30" s="6" t="str">
        <x:v>Strengthen this primary intent owner</x:v>
      </x:c>
      <x:c r="P30" s="6" t="str">
        <x:v>Average position 26.79 makes ranking the main issue; avoid a CTR-only rewrite.</x:v>
      </x:c>
      <x:c r="Q30" s="6" t="str">
        <x:v>porsche</x:v>
      </x:c>
      <x:c r="R30" s="6" t="str">
        <x:v>service-repair</x:v>
      </x:c>
      <x:c r="S30" s="6" t="str">
        <x:v>Dubai explicit</x:v>
      </x:c>
      <x:c r="T30" s="6" t="n">
        <x:v>5</x:v>
      </x:c>
      <x:c r="U30" s="6" t="str">
        <x:v>21–40</x:v>
      </x:c>
      <x:c r="V30" s="6" t="str">
        <x:v>Content, internal authority and owner alignment</x:v>
      </x:c>
      <x:c r="W30" s="6" t="str">
        <x:v>High-value commercial</x:v>
      </x:c>
      <x:c r="X30" s="6" t="n">
        <x:v>26</x:v>
      </x:c>
      <x:c r="Y30" s="6" t="str">
        <x:v>Unconfirmed — joint query/page data required</x:v>
      </x:c>
    </x:row>
    <x:row r="31" ht="42" customHeight="1">
      <x:c r="A31" s="6" t="str">
        <x:v>steering repair</x:v>
      </x:c>
      <x:c r="B31" s="14" t="n">
        <x:v>1</x:v>
      </x:c>
      <x:c r="C31" s="14" t="n">
        <x:v>82</x:v>
      </x:c>
      <x:c r="D31" s="15" t="n">
        <x:v>0.012199999999999999</x:v>
      </x:c>
      <x:c r="E31" s="16" t="n">
        <x:v>16.65</x:v>
      </x:c>
      <x:c r="F31" s="6" t="str">
        <x:v>HIGH</x:v>
      </x:c>
      <x:c r="G31" s="17" t="n">
        <x:f>'Scoring'!I31</x:f>
        <x:v>65.9</x:v>
      </x:c>
      <x:c r="H31" s="6" t="str">
        <x:v>SUPPORT</x:v>
      </x:c>
      <x:c r="I31" s="6" t="str">
        <x:v>All vehicles: Steering repair</x:v>
      </x:c>
      <x:c r="J31" s="6" t="str">
        <x:v>Secondary</x:v>
      </x:c>
      <x:c r="K31" s="6" t="str">
        <x:v>Commercial service enquiry</x:v>
      </x:c>
      <x:c r="L31" s="6" t="str">
        <x:v>High</x:v>
      </x:c>
      <x:c r="M31" s="6" t="str">
        <x:v>https://digitecme.com/services/steering-repair-dubai</x:v>
      </x:c>
      <x:c r="N31" s="6" t="str">
        <x:v>Unknown — export has no query/page pairing</x:v>
      </x:c>
      <x:c r="O31" s="6" t="str">
        <x:v>Retain primary intent and support variants</x:v>
      </x:c>
      <x:c r="P31" s="6" t="str">
        <x:v>82 impressions at average position 16.65; strengthen the appropriate intent owner and measure with a fresh comparable period.</x:v>
      </x:c>
      <x:c r="Q31" s="6" t="str">
        <x:v>All vehicles</x:v>
      </x:c>
      <x:c r="R31" s="6" t="str">
        <x:v>steering-repair</x:v>
      </x:c>
      <x:c r="S31" s="6" t="str">
        <x:v>Location unspecified</x:v>
      </x:c>
      <x:c r="T31" s="6" t="n">
        <x:v>3</x:v>
      </x:c>
      <x:c r="U31" s="6" t="str">
        <x:v>11–20</x:v>
      </x:c>
      <x:c r="V31" s="6" t="str">
        <x:v>Ranking and owner relevance</x:v>
      </x:c>
      <x:c r="W31" s="6" t="str">
        <x:v>Relevant supporting</x:v>
      </x:c>
      <x:c r="X31" s="6" t="n">
        <x:v>27</x:v>
      </x:c>
      <x:c r="Y31" s="6" t="str">
        <x:v>Unconfirmed — joint query/page data required</x:v>
      </x:c>
    </x:row>
    <x:row r="32" ht="42" customHeight="1">
      <x:c r="A32" s="6" t="str">
        <x:v>mercedes major service dubai</x:v>
      </x:c>
      <x:c r="B32" s="14" t="n">
        <x:v>1</x:v>
      </x:c>
      <x:c r="C32" s="14" t="n">
        <x:v>70</x:v>
      </x:c>
      <x:c r="D32" s="15" t="n">
        <x:v>0.0143</x:v>
      </x:c>
      <x:c r="E32" s="16" t="n">
        <x:v>14.24</x:v>
      </x:c>
      <x:c r="F32" s="6" t="str">
        <x:v>CRITICAL</x:v>
      </x:c>
      <x:c r="G32" s="17" t="n">
        <x:f>'Scoring'!I32</x:f>
        <x:v>86.2</x:v>
      </x:c>
      <x:c r="H32" s="6" t="str">
        <x:v>SUPPORT</x:v>
      </x:c>
      <x:c r="I32" s="6" t="str">
        <x:v>mercedes-benz: Service and repair (English)</x:v>
      </x:c>
      <x:c r="J32" s="6" t="str">
        <x:v>Secondary</x:v>
      </x:c>
      <x:c r="K32" s="6" t="str">
        <x:v>Commercial service enquiry</x:v>
      </x:c>
      <x:c r="L32" s="6" t="str">
        <x:v>High</x:v>
      </x:c>
      <x:c r="M32" s="6" t="str">
        <x:v>https://digitecme.com/brands/mercedes-benz-service-dubai</x:v>
      </x:c>
      <x:c r="N32" s="6" t="str">
        <x:v>Unknown — export has no query/page pairing</x:v>
      </x:c>
      <x:c r="O32" s="6" t="str">
        <x:v>Retain primary intent and support variants</x:v>
      </x:c>
      <x:c r="P32" s="6" t="str">
        <x:v>70 impressions at average position 14.24; strengthen the appropriate intent owner and measure with a fresh comparable period.</x:v>
      </x:c>
      <x:c r="Q32" s="6" t="str">
        <x:v>mercedes-benz</x:v>
      </x:c>
      <x:c r="R32" s="6" t="str">
        <x:v>service-repair</x:v>
      </x:c>
      <x:c r="S32" s="6" t="str">
        <x:v>Dubai explicit</x:v>
      </x:c>
      <x:c r="T32" s="6" t="n">
        <x:v>5</x:v>
      </x:c>
      <x:c r="U32" s="6" t="str">
        <x:v>11–20</x:v>
      </x:c>
      <x:c r="V32" s="6" t="str">
        <x:v>Ranking and owner relevance</x:v>
      </x:c>
      <x:c r="W32" s="6" t="str">
        <x:v>Relevant supporting</x:v>
      </x:c>
      <x:c r="X32" s="6" t="n">
        <x:v>28</x:v>
      </x:c>
      <x:c r="Y32" s="6" t="str">
        <x:v>Unconfirmed — joint query/page data required</x:v>
      </x:c>
    </x:row>
    <x:row r="33" ht="42" customHeight="1">
      <x:c r="A33" s="6" t="str">
        <x:v>car battery replacement</x:v>
      </x:c>
      <x:c r="B33" s="14" t="n">
        <x:v>1</x:v>
      </x:c>
      <x:c r="C33" s="14" t="n">
        <x:v>70</x:v>
      </x:c>
      <x:c r="D33" s="15" t="n">
        <x:v>0.0143</x:v>
      </x:c>
      <x:c r="E33" s="16" t="n">
        <x:v>40.6</x:v>
      </x:c>
      <x:c r="F33" s="6" t="str">
        <x:v>GROWTH</x:v>
      </x:c>
      <x:c r="G33" s="17" t="n">
        <x:f>'Scoring'!I33</x:f>
        <x:v>51.9</x:v>
      </x:c>
      <x:c r="H33" s="6" t="str">
        <x:v>SUPPORT</x:v>
      </x:c>
      <x:c r="I33" s="6" t="str">
        <x:v>All vehicles: Battery service (English)</x:v>
      </x:c>
      <x:c r="J33" s="6" t="str">
        <x:v>Secondary</x:v>
      </x:c>
      <x:c r="K33" s="6" t="str">
        <x:v>Commercial service enquiry</x:v>
      </x:c>
      <x:c r="L33" s="6" t="str">
        <x:v>High</x:v>
      </x:c>
      <x:c r="M33" s="6" t="str">
        <x:v>https://digitecme.com/services/battery-replacement-dubai</x:v>
      </x:c>
      <x:c r="N33" s="6" t="str">
        <x:v>Unknown — export has no query/page pairing</x:v>
      </x:c>
      <x:c r="O33" s="6" t="str">
        <x:v>Retain primary intent and support variants</x:v>
      </x:c>
      <x:c r="P33" s="6" t="str">
        <x:v>Average position 40.60 makes ranking the main issue; avoid a CTR-only rewrite.</x:v>
      </x:c>
      <x:c r="Q33" s="6" t="str">
        <x:v>All vehicles</x:v>
      </x:c>
      <x:c r="R33" s="6" t="str">
        <x:v>battery-replacement</x:v>
      </x:c>
      <x:c r="S33" s="6" t="str">
        <x:v>Location unspecified</x:v>
      </x:c>
      <x:c r="T33" s="6" t="n">
        <x:v>3</x:v>
      </x:c>
      <x:c r="U33" s="6" t="str">
        <x:v>40+</x:v>
      </x:c>
      <x:c r="V33" s="6" t="str">
        <x:v>Relevance, capability, indexing and authority review</x:v>
      </x:c>
      <x:c r="W33" s="6" t="str">
        <x:v>Relevant supporting</x:v>
      </x:c>
      <x:c r="X33" s="6" t="n">
        <x:v>29</x:v>
      </x:c>
      <x:c r="Y33" s="6" t="str">
        <x:v>Unconfirmed — joint query/page data required</x:v>
      </x:c>
    </x:row>
    <x:row r="34" ht="42" customHeight="1">
      <x:c r="A34" s="6" t="str">
        <x:v>fuel system repair</x:v>
      </x:c>
      <x:c r="B34" s="14" t="n">
        <x:v>1</x:v>
      </x:c>
      <x:c r="C34" s="14" t="n">
        <x:v>48</x:v>
      </x:c>
      <x:c r="D34" s="15" t="n">
        <x:v>0.0208</x:v>
      </x:c>
      <x:c r="E34" s="16" t="n">
        <x:v>7.4</x:v>
      </x:c>
      <x:c r="F34" s="6" t="str">
        <x:v>CRITICAL</x:v>
      </x:c>
      <x:c r="G34" s="17" t="n">
        <x:f>'Scoring'!I34</x:f>
        <x:v>72.6</x:v>
      </x:c>
      <x:c r="H34" s="6" t="str">
        <x:v>PRIORITIZE</x:v>
      </x:c>
      <x:c r="I34" s="6" t="str">
        <x:v>All vehicles: Fuel system repair</x:v>
      </x:c>
      <x:c r="J34" s="6" t="str">
        <x:v>Primary</x:v>
      </x:c>
      <x:c r="K34" s="6" t="str">
        <x:v>Commercial service enquiry</x:v>
      </x:c>
      <x:c r="L34" s="6" t="str">
        <x:v>High</x:v>
      </x:c>
      <x:c r="M34" s="6" t="str">
        <x:v>https://digitecme.com/services/fuel-system-repair-dubai</x:v>
      </x:c>
      <x:c r="N34" s="6" t="str">
        <x:v>Unknown — export has no query/page pairing</x:v>
      </x:c>
      <x:c r="O34" s="6" t="str">
        <x:v>Strengthen this primary intent owner</x:v>
      </x:c>
      <x:c r="P34" s="6" t="str">
        <x:v>48 impressions at average position 7.40; strengthen the appropriate intent owner and measure with a fresh comparable period.</x:v>
      </x:c>
      <x:c r="Q34" s="6" t="str">
        <x:v>All vehicles</x:v>
      </x:c>
      <x:c r="R34" s="6" t="str">
        <x:v>fuel-system-repair</x:v>
      </x:c>
      <x:c r="S34" s="6" t="str">
        <x:v>Location unspecified</x:v>
      </x:c>
      <x:c r="T34" s="6" t="n">
        <x:v>3</x:v>
      </x:c>
      <x:c r="U34" s="6" t="str">
        <x:v>4–10</x:v>
      </x:c>
      <x:c r="V34" s="6" t="str">
        <x:v>Page-one CTR review and top-three relevance</x:v>
      </x:c>
      <x:c r="W34" s="6" t="str">
        <x:v>High-value commercial</x:v>
      </x:c>
      <x:c r="X34" s="6" t="n">
        <x:v>30</x:v>
      </x:c>
      <x:c r="Y34" s="6" t="str">
        <x:v>Unconfirmed — joint query/page data required</x:v>
      </x:c>
    </x:row>
    <x:row r="35" ht="42" customHeight="1">
      <x:c r="A35" s="6" t="str">
        <x:v>mercedes ac repair dubai</x:v>
      </x:c>
      <x:c r="B35" s="14" t="n">
        <x:v>1</x:v>
      </x:c>
      <x:c r="C35" s="14" t="n">
        <x:v>46</x:v>
      </x:c>
      <x:c r="D35" s="15" t="n">
        <x:v>0.0217</x:v>
      </x:c>
      <x:c r="E35" s="16" t="n">
        <x:v>22.87</x:v>
      </x:c>
      <x:c r="F35" s="6" t="str">
        <x:v>HIGH</x:v>
      </x:c>
      <x:c r="G35" s="17" t="n">
        <x:f>'Scoring'!I35</x:f>
        <x:v>78.1</x:v>
      </x:c>
      <x:c r="H35" s="6" t="str">
        <x:v>SPLIT</x:v>
      </x:c>
      <x:c r="I35" s="6" t="str">
        <x:v>mercedes-benz: AC repair</x:v>
      </x:c>
      <x:c r="J35" s="6" t="str">
        <x:v>Primary</x:v>
      </x:c>
      <x:c r="K35" s="6" t="str">
        <x:v>Commercial service enquiry</x:v>
      </x:c>
      <x:c r="L35" s="6" t="str">
        <x:v>High</x:v>
      </x:c>
      <x:c r="M35" s="6" t="str">
        <x:v>https://digitecme.com/services/mercedes-ac-repair-dubai</x:v>
      </x:c>
      <x:c r="N35" s="6" t="str">
        <x:v>Unknown — export has no query/page pairing</x:v>
      </x:c>
      <x:c r="O35" s="6" t="str">
        <x:v>Use dedicated service owner</x:v>
      </x:c>
      <x:c r="P35" s="6" t="str">
        <x:v>Average position 22.87 makes ranking the main issue; avoid a CTR-only rewrite.</x:v>
      </x:c>
      <x:c r="Q35" s="6" t="str">
        <x:v>mercedes-benz</x:v>
      </x:c>
      <x:c r="R35" s="6" t="str">
        <x:v>ac-repair</x:v>
      </x:c>
      <x:c r="S35" s="6" t="str">
        <x:v>Dubai explicit</x:v>
      </x:c>
      <x:c r="T35" s="6" t="n">
        <x:v>5</x:v>
      </x:c>
      <x:c r="U35" s="6" t="str">
        <x:v>21–40</x:v>
      </x:c>
      <x:c r="V35" s="6" t="str">
        <x:v>Content, internal authority and owner alignment</x:v>
      </x:c>
      <x:c r="W35" s="6" t="str">
        <x:v>High-value commercial</x:v>
      </x:c>
      <x:c r="X35" s="6" t="n">
        <x:v>31</x:v>
      </x:c>
      <x:c r="Y35" s="6" t="str">
        <x:v>Unconfirmed — joint query/page data required</x:v>
      </x:c>
    </x:row>
    <x:row r="36" ht="57" customHeight="1">
      <x:c r="A36" s="6" t="str">
        <x:v>mercedes gad motors</x:v>
      </x:c>
      <x:c r="B36" s="14" t="n">
        <x:v>1</x:v>
      </x:c>
      <x:c r="C36" s="14" t="n">
        <x:v>33</x:v>
      </x:c>
      <x:c r="D36" s="15" t="n">
        <x:v>0.030299999999999997</x:v>
      </x:c>
      <x:c r="E36" s="16" t="n">
        <x:v>6.67</x:v>
      </x:c>
      <x:c r="F36" s="6" t="str">
        <x:v>CRITICAL</x:v>
      </x:c>
      <x:c r="G36" s="17" t="n">
        <x:f>'Scoring'!I36</x:f>
        <x:v>80.1</x:v>
      </x:c>
      <x:c r="H36" s="6" t="str">
        <x:v>SUPPORT</x:v>
      </x:c>
      <x:c r="I36" s="6" t="str">
        <x:v>All vehicles: Performance tuning</x:v>
      </x:c>
      <x:c r="J36" s="6" t="str">
        <x:v>Secondary</x:v>
      </x:c>
      <x:c r="K36" s="6" t="str">
        <x:v>Commercial service enquiry</x:v>
      </x:c>
      <x:c r="L36" s="6" t="str">
        <x:v>High</x:v>
      </x:c>
      <x:c r="M36" s="6" t="str">
        <x:v>https://digitecme.com/tuning</x:v>
      </x:c>
      <x:c r="N36" s="6" t="str">
        <x:v>Unknown — export has no query/page pairing</x:v>
      </x:c>
      <x:c r="O36" s="6" t="str">
        <x:v>Retain primary intent and support variants</x:v>
      </x:c>
      <x:c r="P36" s="6" t="str">
        <x:v>Use the existing tuning page; model scope and any GAD relationship require verified facts. 33 impressions at average position 6.67; strengthen the appropriate intent owner and measure with a fresh comparable period.</x:v>
      </x:c>
      <x:c r="Q36" s="6" t="str">
        <x:v>mercedes-benz</x:v>
      </x:c>
      <x:c r="R36" s="6" t="str">
        <x:v>tuning</x:v>
      </x:c>
      <x:c r="S36" s="6" t="str">
        <x:v>Location unspecified</x:v>
      </x:c>
      <x:c r="T36" s="6" t="n">
        <x:v>5</x:v>
      </x:c>
      <x:c r="U36" s="6" t="str">
        <x:v>4–10</x:v>
      </x:c>
      <x:c r="V36" s="6" t="str">
        <x:v>Page-one CTR review and top-three relevance</x:v>
      </x:c>
      <x:c r="W36" s="6" t="str">
        <x:v>Relevant supporting</x:v>
      </x:c>
      <x:c r="X36" s="6" t="n">
        <x:v>32</x:v>
      </x:c>
      <x:c r="Y36" s="6" t="str">
        <x:v>Unconfirmed — joint query/page data required</x:v>
      </x:c>
    </x:row>
    <x:row r="37" ht="42" customHeight="1">
      <x:c r="A37" s="6" t="str">
        <x:v>تصليح فرامل السيارة في دبي</x:v>
      </x:c>
      <x:c r="B37" s="14" t="n">
        <x:v>1</x:v>
      </x:c>
      <x:c r="C37" s="14" t="n">
        <x:v>33</x:v>
      </x:c>
      <x:c r="D37" s="15" t="n">
        <x:v>0.030299999999999997</x:v>
      </x:c>
      <x:c r="E37" s="16" t="n">
        <x:v>36.67</x:v>
      </x:c>
      <x:c r="F37" s="6" t="str">
        <x:v>GROWTH</x:v>
      </x:c>
      <x:c r="G37" s="17" t="n">
        <x:f>'Scoring'!I37</x:f>
        <x:v>62.1</x:v>
      </x:c>
      <x:c r="H37" s="6" t="str">
        <x:v>PRIORITIZE</x:v>
      </x:c>
      <x:c r="I37" s="6" t="str">
        <x:v>All vehicles: Brake repair (Arabic)</x:v>
      </x:c>
      <x:c r="J37" s="6" t="str">
        <x:v>Primary</x:v>
      </x:c>
      <x:c r="K37" s="6" t="str">
        <x:v>Commercial service enquiry</x:v>
      </x:c>
      <x:c r="L37" s="6" t="str">
        <x:v>High</x:v>
      </x:c>
      <x:c r="M37" s="6" t="str">
        <x:v>https://digitecme.com/ar/services/brake-repair-dubai</x:v>
      </x:c>
      <x:c r="N37" s="6" t="str">
        <x:v>Unknown — export has no query/page pairing</x:v>
      </x:c>
      <x:c r="O37" s="6" t="str">
        <x:v>Strengthen this primary intent owner</x:v>
      </x:c>
      <x:c r="P37" s="6" t="str">
        <x:v>Use the existing Arabic counterpart and verify its translation quality. Average position 36.67 makes ranking the main issue; avoid a CTR-only rewrite.</x:v>
      </x:c>
      <x:c r="Q37" s="6" t="str">
        <x:v>All vehicles</x:v>
      </x:c>
      <x:c r="R37" s="6" t="str">
        <x:v>brake-repair</x:v>
      </x:c>
      <x:c r="S37" s="6" t="str">
        <x:v>Dubai explicit</x:v>
      </x:c>
      <x:c r="T37" s="6" t="n">
        <x:v>3</x:v>
      </x:c>
      <x:c r="U37" s="6" t="str">
        <x:v>21–40</x:v>
      </x:c>
      <x:c r="V37" s="6" t="str">
        <x:v>Content, internal authority and owner alignment</x:v>
      </x:c>
      <x:c r="W37" s="6" t="str">
        <x:v>High-value commercial</x:v>
      </x:c>
      <x:c r="X37" s="6" t="n">
        <x:v>33</x:v>
      </x:c>
      <x:c r="Y37" s="6" t="str">
        <x:v>Unconfirmed — joint query/page data required</x:v>
      </x:c>
    </x:row>
    <x:row r="38" ht="42" customHeight="1">
      <x:c r="A38" s="6" t="str">
        <x:v>garage near me</x:v>
      </x:c>
      <x:c r="B38" s="14" t="n">
        <x:v>1</x:v>
      </x:c>
      <x:c r="C38" s="14" t="n">
        <x:v>31</x:v>
      </x:c>
      <x:c r="D38" s="15" t="n">
        <x:v>0.0323</x:v>
      </x:c>
      <x:c r="E38" s="16" t="n">
        <x:v>16.61</x:v>
      </x:c>
      <x:c r="F38" s="6" t="str">
        <x:v>HIGH</x:v>
      </x:c>
      <x:c r="G38" s="17" t="n">
        <x:f>'Scoring'!I38</x:f>
        <x:v>69.5</x:v>
      </x:c>
      <x:c r="H38" s="6" t="str">
        <x:v>PRIORITIZE</x:v>
      </x:c>
      <x:c r="I38" s="6" t="str">
        <x:v>All vehicles: Nearby workshop access</x:v>
      </x:c>
      <x:c r="J38" s="6" t="str">
        <x:v>Primary</x:v>
      </x:c>
      <x:c r="K38" s="6" t="str">
        <x:v>Commercial service enquiry</x:v>
      </x:c>
      <x:c r="L38" s="6" t="str">
        <x:v>High</x:v>
      </x:c>
      <x:c r="M38" s="6" t="str">
        <x:v>https://digitecme.com/services/garage-near-me-dubai</x:v>
      </x:c>
      <x:c r="N38" s="6" t="str">
        <x:v>Unknown — export has no query/page pairing</x:v>
      </x:c>
      <x:c r="O38" s="6" t="str">
        <x:v>Strengthen this primary intent owner</x:v>
      </x:c>
      <x:c r="P38" s="6" t="str">
        <x:v>31 impressions at average position 16.61; strengthen the appropriate intent owner and measure with a fresh comparable period.</x:v>
      </x:c>
      <x:c r="Q38" s="6" t="str">
        <x:v>All vehicles</x:v>
      </x:c>
      <x:c r="R38" s="6" t="str">
        <x:v>service-repair</x:v>
      </x:c>
      <x:c r="S38" s="6" t="str">
        <x:v>Near me; location unknown</x:v>
      </x:c>
      <x:c r="T38" s="6" t="n">
        <x:v>3</x:v>
      </x:c>
      <x:c r="U38" s="6" t="str">
        <x:v>11–20</x:v>
      </x:c>
      <x:c r="V38" s="6" t="str">
        <x:v>Ranking and owner relevance</x:v>
      </x:c>
      <x:c r="W38" s="6" t="str">
        <x:v>High-value commercial</x:v>
      </x:c>
      <x:c r="X38" s="6" t="n">
        <x:v>34</x:v>
      </x:c>
      <x:c r="Y38" s="6" t="str">
        <x:v>Unconfirmed — joint query/page data required</x:v>
      </x:c>
    </x:row>
    <x:row r="39" ht="42" customHeight="1">
      <x:c r="A39" s="6" t="str">
        <x:v>land rover service dubai</x:v>
      </x:c>
      <x:c r="B39" s="14" t="n">
        <x:v>1</x:v>
      </x:c>
      <x:c r="C39" s="14" t="n">
        <x:v>23</x:v>
      </x:c>
      <x:c r="D39" s="15" t="n">
        <x:v>0.0435</x:v>
      </x:c>
      <x:c r="E39" s="16" t="n">
        <x:v>12.09</x:v>
      </x:c>
      <x:c r="F39" s="6" t="str">
        <x:v>CRITICAL</x:v>
      </x:c>
      <x:c r="G39" s="17" t="n">
        <x:f>'Scoring'!I39</x:f>
        <x:v>84.6</x:v>
      </x:c>
      <x:c r="H39" s="6" t="str">
        <x:v>SUPPORT</x:v>
      </x:c>
      <x:c r="I39" s="6" t="str">
        <x:v>land-rover: Service and repair</x:v>
      </x:c>
      <x:c r="J39" s="6" t="str">
        <x:v>Secondary</x:v>
      </x:c>
      <x:c r="K39" s="6" t="str">
        <x:v>Commercial service enquiry</x:v>
      </x:c>
      <x:c r="L39" s="6" t="str">
        <x:v>High</x:v>
      </x:c>
      <x:c r="M39" s="6" t="str">
        <x:v>https://digitecme.com/brands/land-rover-service-dubai</x:v>
      </x:c>
      <x:c r="N39" s="6" t="str">
        <x:v>Unknown — export has no query/page pairing</x:v>
      </x:c>
      <x:c r="O39" s="6" t="str">
        <x:v>Retain primary intent and support variants</x:v>
      </x:c>
      <x:c r="P39" s="6" t="str">
        <x:v>23 impressions at average position 12.09; strengthen the appropriate intent owner and measure with a fresh comparable period.</x:v>
      </x:c>
      <x:c r="Q39" s="6" t="str">
        <x:v>land-rover</x:v>
      </x:c>
      <x:c r="R39" s="6" t="str">
        <x:v>service-repair</x:v>
      </x:c>
      <x:c r="S39" s="6" t="str">
        <x:v>Dubai explicit</x:v>
      </x:c>
      <x:c r="T39" s="6" t="n">
        <x:v>5</x:v>
      </x:c>
      <x:c r="U39" s="6" t="str">
        <x:v>11–20</x:v>
      </x:c>
      <x:c r="V39" s="6" t="str">
        <x:v>Ranking and owner relevance</x:v>
      </x:c>
      <x:c r="W39" s="6" t="str">
        <x:v>Relevant supporting</x:v>
      </x:c>
      <x:c r="X39" s="6" t="n">
        <x:v>35</x:v>
      </x:c>
      <x:c r="Y39" s="6" t="str">
        <x:v>Unconfirmed — joint query/page data required</x:v>
      </x:c>
    </x:row>
    <x:row r="40" ht="42" customHeight="1">
      <x:c r="A40" s="6" t="str">
        <x:v>porsche service dubai</x:v>
      </x:c>
      <x:c r="B40" s="14" t="n">
        <x:v>1</x:v>
      </x:c>
      <x:c r="C40" s="14" t="n">
        <x:v>19</x:v>
      </x:c>
      <x:c r="D40" s="15" t="n">
        <x:v>0.0526</x:v>
      </x:c>
      <x:c r="E40" s="16" t="n">
        <x:v>21.89</x:v>
      </x:c>
      <x:c r="F40" s="6" t="str">
        <x:v>HIGH</x:v>
      </x:c>
      <x:c r="G40" s="17" t="n">
        <x:f>'Scoring'!I40</x:f>
        <x:v>76.8</x:v>
      </x:c>
      <x:c r="H40" s="6" t="str">
        <x:v>SUPPORT</x:v>
      </x:c>
      <x:c r="I40" s="6" t="str">
        <x:v>porsche: Service and repair (English)</x:v>
      </x:c>
      <x:c r="J40" s="6" t="str">
        <x:v>Secondary</x:v>
      </x:c>
      <x:c r="K40" s="6" t="str">
        <x:v>Commercial service enquiry</x:v>
      </x:c>
      <x:c r="L40" s="6" t="str">
        <x:v>High</x:v>
      </x:c>
      <x:c r="M40" s="6" t="str">
        <x:v>https://digitecme.com/brands/porsche-service-dubai</x:v>
      </x:c>
      <x:c r="N40" s="6" t="str">
        <x:v>Unknown — export has no query/page pairing</x:v>
      </x:c>
      <x:c r="O40" s="6" t="str">
        <x:v>Retain primary intent and support variants</x:v>
      </x:c>
      <x:c r="P40" s="6" t="str">
        <x:v>Average position 21.89 makes ranking the main issue; avoid a CTR-only rewrite.</x:v>
      </x:c>
      <x:c r="Q40" s="6" t="str">
        <x:v>porsche</x:v>
      </x:c>
      <x:c r="R40" s="6" t="str">
        <x:v>service-repair</x:v>
      </x:c>
      <x:c r="S40" s="6" t="str">
        <x:v>Dubai explicit</x:v>
      </x:c>
      <x:c r="T40" s="6" t="n">
        <x:v>5</x:v>
      </x:c>
      <x:c r="U40" s="6" t="str">
        <x:v>21–40</x:v>
      </x:c>
      <x:c r="V40" s="6" t="str">
        <x:v>Content, internal authority and owner alignment</x:v>
      </x:c>
      <x:c r="W40" s="6" t="str">
        <x:v>Relevant supporting</x:v>
      </x:c>
      <x:c r="X40" s="6" t="n">
        <x:v>36</x:v>
      </x:c>
      <x:c r="Y40" s="6" t="str">
        <x:v>Unconfirmed — joint query/page data required</x:v>
      </x:c>
    </x:row>
    <x:row r="41" ht="57" customHeight="1">
      <x:c r="A41" s="6" t="str">
        <x:v>yes</x:v>
      </x:c>
      <x:c r="B41" s="14" t="n">
        <x:v>1</x:v>
      </x:c>
      <x:c r="C41" s="14" t="n">
        <x:v>18</x:v>
      </x:c>
      <x:c r="D41" s="15" t="n">
        <x:v>0.0556</x:v>
      </x:c>
      <x:c r="E41" s="16" t="n">
        <x:v>7.11</x:v>
      </x:c>
      <x:c r="F41" s="6" t="str">
        <x:v>IGNORE</x:v>
      </x:c>
      <x:c r="G41" s="17" t="n">
        <x:f>'Scoring'!I41</x:f>
        <x:v>0</x:v>
      </x:c>
      <x:c r="H41" s="6" t="str">
        <x:v>IGNORE</x:v>
      </x:c>
      <x:c r="I41" s="6" t="str">
        <x:v>Excluded: Unrelated or wrong location</x:v>
      </x:c>
      <x:c r="J41" s="6" t="str">
        <x:v>Secondary</x:v>
      </x:c>
      <x:c r="K41" s="6" t="str">
        <x:v>Other or mismatched intent</x:v>
      </x:c>
      <x:c r="L41" s="6" t="str">
        <x:v>None</x:v>
      </x:c>
      <x:c r="M41" s="6" t="str"/>
      <x:c r="N41" s="6" t="str">
        <x:v>Unknown — export has no query/page pairing</x:v>
      </x:c>
      <x:c r="O41" s="6" t="str">
        <x:v>Do not target</x:v>
      </x:c>
      <x:c r="P41" s="6" t="str">
        <x:v>Dealer, product, industrial, unrelated entity or non-service intent does not match the independent workshop offer. 18 impressions at average position 7.11; strengthen the appropriate intent owner and measure with a fresh comparable period.</x:v>
      </x:c>
      <x:c r="Q41" s="6" t="str">
        <x:v>All vehicles</x:v>
      </x:c>
      <x:c r="R41" s="6" t="str">
        <x:v>service-repair</x:v>
      </x:c>
      <x:c r="S41" s="6" t="str">
        <x:v>Location unspecified</x:v>
      </x:c>
      <x:c r="T41" s="6" t="n">
        <x:v>0</x:v>
      </x:c>
      <x:c r="U41" s="6" t="str">
        <x:v>4–10</x:v>
      </x:c>
      <x:c r="V41" s="6" t="str">
        <x:v>Page-one CTR review and top-three relevance</x:v>
      </x:c>
      <x:c r="W41" s="6" t="str">
        <x:v>Irrelevant</x:v>
      </x:c>
      <x:c r="X41" s="6" t="n">
        <x:v>37</x:v>
      </x:c>
      <x:c r="Y41" s="6" t="str">
        <x:v>Unconfirmed — joint query/page data required</x:v>
      </x:c>
    </x:row>
    <x:row r="42" ht="42" customHeight="1">
      <x:c r="A42" s="6" t="str">
        <x:v>land rover repair</x:v>
      </x:c>
      <x:c r="B42" s="14" t="n">
        <x:v>1</x:v>
      </x:c>
      <x:c r="C42" s="14" t="n">
        <x:v>15</x:v>
      </x:c>
      <x:c r="D42" s="15" t="n">
        <x:v>0.0667</x:v>
      </x:c>
      <x:c r="E42" s="16" t="n">
        <x:v>19.33</x:v>
      </x:c>
      <x:c r="F42" s="6" t="str">
        <x:v>HIGH</x:v>
      </x:c>
      <x:c r="G42" s="17" t="n">
        <x:f>'Scoring'!I42</x:f>
        <x:v>71.5</x:v>
      </x:c>
      <x:c r="H42" s="6" t="str">
        <x:v>SUPPORT</x:v>
      </x:c>
      <x:c r="I42" s="6" t="str">
        <x:v>land-rover: Service and repair</x:v>
      </x:c>
      <x:c r="J42" s="6" t="str">
        <x:v>Secondary</x:v>
      </x:c>
      <x:c r="K42" s="6" t="str">
        <x:v>Commercial service enquiry</x:v>
      </x:c>
      <x:c r="L42" s="6" t="str">
        <x:v>High</x:v>
      </x:c>
      <x:c r="M42" s="6" t="str">
        <x:v>https://digitecme.com/brands/land-rover-service-dubai</x:v>
      </x:c>
      <x:c r="N42" s="6" t="str">
        <x:v>Unknown — export has no query/page pairing</x:v>
      </x:c>
      <x:c r="O42" s="6" t="str">
        <x:v>Retain primary intent and support variants</x:v>
      </x:c>
      <x:c r="P42" s="6" t="str">
        <x:v>15 impressions at average position 19.33; strengthen the appropriate intent owner and measure with a fresh comparable period.</x:v>
      </x:c>
      <x:c r="Q42" s="6" t="str">
        <x:v>land-rover</x:v>
      </x:c>
      <x:c r="R42" s="6" t="str">
        <x:v>service-repair</x:v>
      </x:c>
      <x:c r="S42" s="6" t="str">
        <x:v>Location unspecified</x:v>
      </x:c>
      <x:c r="T42" s="6" t="n">
        <x:v>5</x:v>
      </x:c>
      <x:c r="U42" s="6" t="str">
        <x:v>11–20</x:v>
      </x:c>
      <x:c r="V42" s="6" t="str">
        <x:v>Ranking and owner relevance</x:v>
      </x:c>
      <x:c r="W42" s="6" t="str">
        <x:v>Relevant supporting</x:v>
      </x:c>
      <x:c r="X42" s="6" t="n">
        <x:v>38</x:v>
      </x:c>
      <x:c r="Y42" s="6" t="str">
        <x:v>Unconfirmed — joint query/page data required</x:v>
      </x:c>
    </x:row>
    <x:row r="43" ht="42" customHeight="1">
      <x:c r="A43" s="6" t="str">
        <x:v>cadillac repair near me</x:v>
      </x:c>
      <x:c r="B43" s="14" t="n">
        <x:v>1</x:v>
      </x:c>
      <x:c r="C43" s="14" t="n">
        <x:v>12</x:v>
      </x:c>
      <x:c r="D43" s="15" t="n">
        <x:v>0.0833</x:v>
      </x:c>
      <x:c r="E43" s="16" t="n">
        <x:v>47.67</x:v>
      </x:c>
      <x:c r="F43" s="6" t="str">
        <x:v>GROWTH</x:v>
      </x:c>
      <x:c r="G43" s="17" t="n">
        <x:f>'Scoring'!I43</x:f>
        <x:v>54.5</x:v>
      </x:c>
      <x:c r="H43" s="6" t="str">
        <x:v>SUPPORT</x:v>
      </x:c>
      <x:c r="I43" s="6" t="str">
        <x:v>cadillac: Service and repair</x:v>
      </x:c>
      <x:c r="J43" s="6" t="str">
        <x:v>Secondary</x:v>
      </x:c>
      <x:c r="K43" s="6" t="str">
        <x:v>Commercial service enquiry</x:v>
      </x:c>
      <x:c r="L43" s="6" t="str">
        <x:v>High</x:v>
      </x:c>
      <x:c r="M43" s="6" t="str">
        <x:v>https://digitecme.com/brands/cadillac-service-dubai</x:v>
      </x:c>
      <x:c r="N43" s="6" t="str">
        <x:v>Unknown — export has no query/page pairing</x:v>
      </x:c>
      <x:c r="O43" s="6" t="str">
        <x:v>Retain primary intent and support variants</x:v>
      </x:c>
      <x:c r="P43" s="6" t="str">
        <x:v>Average position 47.67 makes ranking the main issue; avoid a CTR-only rewrite.</x:v>
      </x:c>
      <x:c r="Q43" s="6" t="str">
        <x:v>cadillac</x:v>
      </x:c>
      <x:c r="R43" s="6" t="str">
        <x:v>service-repair</x:v>
      </x:c>
      <x:c r="S43" s="6" t="str">
        <x:v>Near me; location unknown</x:v>
      </x:c>
      <x:c r="T43" s="6" t="n">
        <x:v>3</x:v>
      </x:c>
      <x:c r="U43" s="6" t="str">
        <x:v>40+</x:v>
      </x:c>
      <x:c r="V43" s="6" t="str">
        <x:v>Relevance, capability, indexing and authority review</x:v>
      </x:c>
      <x:c r="W43" s="6" t="str">
        <x:v>Relevant supporting</x:v>
      </x:c>
      <x:c r="X43" s="6" t="n">
        <x:v>39</x:v>
      </x:c>
      <x:c r="Y43" s="6" t="str">
        <x:v>Unconfirmed — joint query/page data required</x:v>
      </x:c>
    </x:row>
    <x:row r="44" ht="42" customHeight="1">
      <x:c r="A44" s="6" t="str">
        <x:v>mercedes repair shop</x:v>
      </x:c>
      <x:c r="B44" s="14" t="n">
        <x:v>1</x:v>
      </x:c>
      <x:c r="C44" s="14" t="n">
        <x:v>11</x:v>
      </x:c>
      <x:c r="D44" s="15" t="n">
        <x:v>0.0909</x:v>
      </x:c>
      <x:c r="E44" s="16" t="n">
        <x:v>8.45</x:v>
      </x:c>
      <x:c r="F44" s="6" t="str">
        <x:v>HIGH</x:v>
      </x:c>
      <x:c r="G44" s="17" t="n">
        <x:f>'Scoring'!I44</x:f>
        <x:v>78.6</x:v>
      </x:c>
      <x:c r="H44" s="6" t="str">
        <x:v>SUPPORT</x:v>
      </x:c>
      <x:c r="I44" s="6" t="str">
        <x:v>mercedes-benz: Service and repair (English)</x:v>
      </x:c>
      <x:c r="J44" s="6" t="str">
        <x:v>Secondary</x:v>
      </x:c>
      <x:c r="K44" s="6" t="str">
        <x:v>Commercial service enquiry</x:v>
      </x:c>
      <x:c r="L44" s="6" t="str">
        <x:v>High</x:v>
      </x:c>
      <x:c r="M44" s="6" t="str">
        <x:v>https://digitecme.com/brands/mercedes-benz-service-dubai</x:v>
      </x:c>
      <x:c r="N44" s="6" t="str">
        <x:v>Unknown — export has no query/page pairing</x:v>
      </x:c>
      <x:c r="O44" s="6" t="str">
        <x:v>Retain primary intent and support variants</x:v>
      </x:c>
      <x:c r="P44" s="6" t="str">
        <x:v>11 impressions at average position 8.45; strengthen the appropriate intent owner and measure with a fresh comparable period.</x:v>
      </x:c>
      <x:c r="Q44" s="6" t="str">
        <x:v>mercedes-benz</x:v>
      </x:c>
      <x:c r="R44" s="6" t="str">
        <x:v>service-repair</x:v>
      </x:c>
      <x:c r="S44" s="6" t="str">
        <x:v>Location unspecified</x:v>
      </x:c>
      <x:c r="T44" s="6" t="n">
        <x:v>5</x:v>
      </x:c>
      <x:c r="U44" s="6" t="str">
        <x:v>4–10</x:v>
      </x:c>
      <x:c r="V44" s="6" t="str">
        <x:v>Page-one CTR review and top-three relevance</x:v>
      </x:c>
      <x:c r="W44" s="6" t="str">
        <x:v>Relevant supporting</x:v>
      </x:c>
      <x:c r="X44" s="6" t="n">
        <x:v>40</x:v>
      </x:c>
      <x:c r="Y44" s="6" t="str">
        <x:v>Unconfirmed — joint query/page data required</x:v>
      </x:c>
    </x:row>
    <x:row r="45" ht="42" customHeight="1">
      <x:c r="A45" s="6" t="str">
        <x:v>maybach repair dubai</x:v>
      </x:c>
      <x:c r="B45" s="14" t="n">
        <x:v>1</x:v>
      </x:c>
      <x:c r="C45" s="14" t="n">
        <x:v>10</x:v>
      </x:c>
      <x:c r="D45" s="15" t="n">
        <x:v>0.1</x:v>
      </x:c>
      <x:c r="E45" s="16" t="n">
        <x:v>4.2</x:v>
      </x:c>
      <x:c r="F45" s="6" t="str">
        <x:v>HIGH</x:v>
      </x:c>
      <x:c r="G45" s="17" t="n">
        <x:f>'Scoring'!I45</x:f>
        <x:v>83.5</x:v>
      </x:c>
      <x:c r="H45" s="6" t="str">
        <x:v>SUPPORT</x:v>
      </x:c>
      <x:c r="I45" s="6" t="str">
        <x:v>maybach: Service and repair</x:v>
      </x:c>
      <x:c r="J45" s="6" t="str">
        <x:v>Secondary</x:v>
      </x:c>
      <x:c r="K45" s="6" t="str">
        <x:v>Commercial service enquiry</x:v>
      </x:c>
      <x:c r="L45" s="6" t="str">
        <x:v>High</x:v>
      </x:c>
      <x:c r="M45" s="6" t="str">
        <x:v>https://digitecme.com/brands/maybach-service-dubai</x:v>
      </x:c>
      <x:c r="N45" s="6" t="str">
        <x:v>Unknown — export has no query/page pairing</x:v>
      </x:c>
      <x:c r="O45" s="6" t="str">
        <x:v>Retain primary intent and support variants</x:v>
      </x:c>
      <x:c r="P45" s="6" t="str">
        <x:v>10 impressions at average position 4.20; strengthen the appropriate intent owner and measure with a fresh comparable period.</x:v>
      </x:c>
      <x:c r="Q45" s="6" t="str">
        <x:v>maybach</x:v>
      </x:c>
      <x:c r="R45" s="6" t="str">
        <x:v>service-repair</x:v>
      </x:c>
      <x:c r="S45" s="6" t="str">
        <x:v>Dubai explicit</x:v>
      </x:c>
      <x:c r="T45" s="6" t="n">
        <x:v>5</x:v>
      </x:c>
      <x:c r="U45" s="6" t="str">
        <x:v>4–10</x:v>
      </x:c>
      <x:c r="V45" s="6" t="str">
        <x:v>Page-one CTR review and top-three relevance</x:v>
      </x:c>
      <x:c r="W45" s="6" t="str">
        <x:v>Relevant supporting</x:v>
      </x:c>
      <x:c r="X45" s="6" t="n">
        <x:v>41</x:v>
      </x:c>
      <x:c r="Y45" s="6" t="str">
        <x:v>Unconfirmed — joint query/page data required</x:v>
      </x:c>
    </x:row>
    <x:row r="46" ht="42" customHeight="1">
      <x:c r="A46" s="6" t="str">
        <x:v>range rover workshop</x:v>
      </x:c>
      <x:c r="B46" s="14" t="n">
        <x:v>1</x:v>
      </x:c>
      <x:c r="C46" s="14" t="n">
        <x:v>9</x:v>
      </x:c>
      <x:c r="D46" s="15" t="n">
        <x:v>0.11109999999999999</x:v>
      </x:c>
      <x:c r="E46" s="16" t="n">
        <x:v>9.78</x:v>
      </x:c>
      <x:c r="F46" s="6" t="str">
        <x:v>HIGH</x:v>
      </x:c>
      <x:c r="G46" s="17" t="n">
        <x:f>'Scoring'!I46</x:f>
        <x:v>78.3</x:v>
      </x:c>
      <x:c r="H46" s="6" t="str">
        <x:v>SUPPORT</x:v>
      </x:c>
      <x:c r="I46" s="6" t="str">
        <x:v>range-rover: Service and repair</x:v>
      </x:c>
      <x:c r="J46" s="6" t="str">
        <x:v>Secondary</x:v>
      </x:c>
      <x:c r="K46" s="6" t="str">
        <x:v>Commercial service enquiry</x:v>
      </x:c>
      <x:c r="L46" s="6" t="str">
        <x:v>High</x:v>
      </x:c>
      <x:c r="M46" s="6" t="str">
        <x:v>https://digitecme.com/brands/range-rover-service-dubai</x:v>
      </x:c>
      <x:c r="N46" s="6" t="str">
        <x:v>Unknown — export has no query/page pairing</x:v>
      </x:c>
      <x:c r="O46" s="6" t="str">
        <x:v>Retain primary intent and support variants</x:v>
      </x:c>
      <x:c r="P46" s="6" t="str">
        <x:v>9 impressions at average position 9.78; strengthen the appropriate intent owner and measure with a fresh comparable period.</x:v>
      </x:c>
      <x:c r="Q46" s="6" t="str">
        <x:v>range-rover</x:v>
      </x:c>
      <x:c r="R46" s="6" t="str">
        <x:v>service-repair</x:v>
      </x:c>
      <x:c r="S46" s="6" t="str">
        <x:v>Location unspecified</x:v>
      </x:c>
      <x:c r="T46" s="6" t="n">
        <x:v>5</x:v>
      </x:c>
      <x:c r="U46" s="6" t="str">
        <x:v>4–10</x:v>
      </x:c>
      <x:c r="V46" s="6" t="str">
        <x:v>Page-one CTR review and top-three relevance</x:v>
      </x:c>
      <x:c r="W46" s="6" t="str">
        <x:v>Relevant supporting</x:v>
      </x:c>
      <x:c r="X46" s="6" t="n">
        <x:v>42</x:v>
      </x:c>
      <x:c r="Y46" s="6" t="str">
        <x:v>Unconfirmed — joint query/page data required</x:v>
      </x:c>
    </x:row>
    <x:row r="47" ht="42" customHeight="1">
      <x:c r="A47" s="6" t="str">
        <x:v>bmw service center in dubai</x:v>
      </x:c>
      <x:c r="B47" s="14" t="n">
        <x:v>1</x:v>
      </x:c>
      <x:c r="C47" s="14" t="n">
        <x:v>8</x:v>
      </x:c>
      <x:c r="D47" s="15" t="n">
        <x:v>0.125</x:v>
      </x:c>
      <x:c r="E47" s="16" t="n">
        <x:v>29.88</x:v>
      </x:c>
      <x:c r="F47" s="6" t="str">
        <x:v>HIGH</x:v>
      </x:c>
      <x:c r="G47" s="17" t="n">
        <x:f>'Scoring'!I47</x:f>
        <x:v>75.7</x:v>
      </x:c>
      <x:c r="H47" s="6" t="str">
        <x:v>SUPPORT</x:v>
      </x:c>
      <x:c r="I47" s="6" t="str">
        <x:v>bmw: Service and repair (English)</x:v>
      </x:c>
      <x:c r="J47" s="6" t="str">
        <x:v>Secondary</x:v>
      </x:c>
      <x:c r="K47" s="6" t="str">
        <x:v>Commercial service enquiry</x:v>
      </x:c>
      <x:c r="L47" s="6" t="str">
        <x:v>High</x:v>
      </x:c>
      <x:c r="M47" s="6" t="str">
        <x:v>https://digitecme.com/brands/bmw-service-dubai</x:v>
      </x:c>
      <x:c r="N47" s="6" t="str">
        <x:v>Unknown — export has no query/page pairing</x:v>
      </x:c>
      <x:c r="O47" s="6" t="str">
        <x:v>Retain primary intent and support variants</x:v>
      </x:c>
      <x:c r="P47" s="6" t="str">
        <x:v>Average position 29.88 makes ranking the main issue; avoid a CTR-only rewrite.</x:v>
      </x:c>
      <x:c r="Q47" s="6" t="str">
        <x:v>bmw</x:v>
      </x:c>
      <x:c r="R47" s="6" t="str">
        <x:v>service-repair</x:v>
      </x:c>
      <x:c r="S47" s="6" t="str">
        <x:v>Dubai explicit</x:v>
      </x:c>
      <x:c r="T47" s="6" t="n">
        <x:v>5</x:v>
      </x:c>
      <x:c r="U47" s="6" t="str">
        <x:v>21–40</x:v>
      </x:c>
      <x:c r="V47" s="6" t="str">
        <x:v>Content, internal authority and owner alignment</x:v>
      </x:c>
      <x:c r="W47" s="6" t="str">
        <x:v>Relevant supporting</x:v>
      </x:c>
      <x:c r="X47" s="6" t="n">
        <x:v>43</x:v>
      </x:c>
      <x:c r="Y47" s="6" t="str">
        <x:v>Unconfirmed — joint query/page data required</x:v>
      </x:c>
    </x:row>
    <x:row r="48" ht="57" customHeight="1">
      <x:c r="A48" s="6" t="str">
        <x:v>مركز صيانة بي واي دي</x:v>
      </x:c>
      <x:c r="B48" s="14" t="n">
        <x:v>1</x:v>
      </x:c>
      <x:c r="C48" s="14" t="n">
        <x:v>3</x:v>
      </x:c>
      <x:c r="D48" s="15" t="n">
        <x:v>0.3333</x:v>
      </x:c>
      <x:c r="E48" s="16" t="n">
        <x:v>11</x:v>
      </x:c>
      <x:c r="F48" s="6" t="str">
        <x:v>HIGH</x:v>
      </x:c>
      <x:c r="G48" s="17" t="n">
        <x:f>'Scoring'!I48</x:f>
        <x:v>69</x:v>
      </x:c>
      <x:c r="H48" s="6" t="str">
        <x:v>PRIORITIZE</x:v>
      </x:c>
      <x:c r="I48" s="6" t="str">
        <x:v>byd: Service and repair</x:v>
      </x:c>
      <x:c r="J48" s="6" t="str">
        <x:v>Primary</x:v>
      </x:c>
      <x:c r="K48" s="6" t="str">
        <x:v>Commercial service enquiry</x:v>
      </x:c>
      <x:c r="L48" s="6" t="str">
        <x:v>High</x:v>
      </x:c>
      <x:c r="M48" s="6" t="str">
        <x:v>https://digitecme.com/ar/brands/byd-service-dubai</x:v>
      </x:c>
      <x:c r="N48" s="6" t="str">
        <x:v>Unknown — export has no query/page pairing</x:v>
      </x:c>
      <x:c r="O48" s="6" t="str">
        <x:v>Strengthen this primary intent owner</x:v>
      </x:c>
      <x:c r="P48" s="6" t="str">
        <x:v>Use the existing Arabic counterpart and verify its translation quality. 3 impressions at average position 11.00; strengthen the appropriate intent owner and measure with a fresh comparable period.</x:v>
      </x:c>
      <x:c r="Q48" s="6" t="str">
        <x:v>byd</x:v>
      </x:c>
      <x:c r="R48" s="6" t="str">
        <x:v>service-repair</x:v>
      </x:c>
      <x:c r="S48" s="6" t="str">
        <x:v>Location unspecified</x:v>
      </x:c>
      <x:c r="T48" s="6" t="n">
        <x:v>3</x:v>
      </x:c>
      <x:c r="U48" s="6" t="str">
        <x:v>11–20</x:v>
      </x:c>
      <x:c r="V48" s="6" t="str">
        <x:v>Ranking and owner relevance</x:v>
      </x:c>
      <x:c r="W48" s="6" t="str">
        <x:v>High-value commercial</x:v>
      </x:c>
      <x:c r="X48" s="6" t="n">
        <x:v>44</x:v>
      </x:c>
      <x:c r="Y48" s="6" t="str">
        <x:v>Unconfirmed — joint query/page data required</x:v>
      </x:c>
    </x:row>
    <x:row r="49" ht="72" customHeight="1">
      <x:c r="A49" s="6" t="str">
        <x:v>tesla battery repair</x:v>
      </x:c>
      <x:c r="B49" s="14" t="n">
        <x:v>1</x:v>
      </x:c>
      <x:c r="C49" s="14" t="n">
        <x:v>2</x:v>
      </x:c>
      <x:c r="D49" s="15" t="n">
        <x:v>0.5</x:v>
      </x:c>
      <x:c r="E49" s="16" t="n">
        <x:v>5</x:v>
      </x:c>
      <x:c r="F49" s="6" t="str">
        <x:v>DEPRIORITIZE</x:v>
      </x:c>
      <x:c r="G49" s="17" t="n">
        <x:f>'Scoring'!I49</x:f>
        <x:v>5.8</x:v>
      </x:c>
      <x:c r="H49" s="6" t="str">
        <x:v>DEPRIORITIZE</x:v>
      </x:c>
      <x:c r="I49" s="6" t="str">
        <x:v>tesla: Battery service</x:v>
      </x:c>
      <x:c r="J49" s="6" t="str">
        <x:v>Secondary</x:v>
      </x:c>
      <x:c r="K49" s="6" t="str">
        <x:v>Commercial service enquiry</x:v>
      </x:c>
      <x:c r="L49" s="6" t="str">
        <x:v>Unverified</x:v>
      </x:c>
      <x:c r="M49" s="6" t="str">
        <x:v>https://digitecme.com/brands/tesla-service-dubai/battery-replacement</x:v>
      </x:c>
      <x:c r="N49" s="6" t="str">
        <x:v>Unknown — export has no query/page pairing</x:v>
      </x:c>
      <x:c r="O49" s="6" t="str">
        <x:v>Confirm scope or deprioritize</x:v>
      </x:c>
      <x:c r="P49" s="6" t="str">
        <x:v>Existing specific page is noindex; assess service evidence and distinct content before changing indexation. Product, high-voltage, delivery or specialist capability requires business confirmation; existing copy alone is not sufficient evidence. 2 impressions at average position 5.00; strengthen the appropriate intent owner and measure with a fresh comparable period.</x:v>
      </x:c>
      <x:c r="Q49" s="6" t="str">
        <x:v>tesla</x:v>
      </x:c>
      <x:c r="R49" s="6" t="str">
        <x:v>battery-replacement</x:v>
      </x:c>
      <x:c r="S49" s="6" t="str">
        <x:v>Location unspecified</x:v>
      </x:c>
      <x:c r="T49" s="6" t="n">
        <x:v>1</x:v>
      </x:c>
      <x:c r="U49" s="6" t="str">
        <x:v>4–10</x:v>
      </x:c>
      <x:c r="V49" s="6" t="str">
        <x:v>Page-one CTR review and top-three relevance</x:v>
      </x:c>
      <x:c r="W49" s="6" t="str">
        <x:v>Low-value</x:v>
      </x:c>
      <x:c r="X49" s="6" t="n">
        <x:v>45</x:v>
      </x:c>
      <x:c r="Y49" s="6" t="str">
        <x:v>Unconfirmed — joint query/page data required</x:v>
      </x:c>
    </x:row>
    <x:row r="50" ht="57" customHeight="1">
      <x:c r="A50" s="6" t="str">
        <x:v>tire patching service near me</x:v>
      </x:c>
      <x:c r="B50" s="14" t="n">
        <x:v>1</x:v>
      </x:c>
      <x:c r="C50" s="14" t="n">
        <x:v>2</x:v>
      </x:c>
      <x:c r="D50" s="15" t="n">
        <x:v>0.5</x:v>
      </x:c>
      <x:c r="E50" s="16" t="n">
        <x:v>9</x:v>
      </x:c>
      <x:c r="F50" s="6" t="str">
        <x:v>GROWTH</x:v>
      </x:c>
      <x:c r="G50" s="17" t="n">
        <x:f>'Scoring'!I50</x:f>
        <x:v>69.6</x:v>
      </x:c>
      <x:c r="H50" s="6" t="str">
        <x:v>SUPPORT</x:v>
      </x:c>
      <x:c r="I50" s="6" t="str">
        <x:v>All vehicles: Tyre repair</x:v>
      </x:c>
      <x:c r="J50" s="6" t="str">
        <x:v>Secondary</x:v>
      </x:c>
      <x:c r="K50" s="6" t="str">
        <x:v>Commercial service enquiry</x:v>
      </x:c>
      <x:c r="L50" s="6" t="str">
        <x:v>High</x:v>
      </x:c>
      <x:c r="M50" s="6" t="str">
        <x:v>https://digitecme.com/services/tire-repair-dubai</x:v>
      </x:c>
      <x:c r="N50" s="6" t="str">
        <x:v>Unknown — export has no query/page pairing</x:v>
      </x:c>
      <x:c r="O50" s="6" t="str">
        <x:v>Retain primary intent and support variants</x:v>
      </x:c>
      <x:c r="P50" s="6" t="str">
        <x:v>Relevant workshop tyre enquiry with lower assumed value than specialist repair; no mobile or roadside claim. 2 impressions at average position 9.00; strengthen the appropriate intent owner and measure with a fresh comparable period.</x:v>
      </x:c>
      <x:c r="Q50" s="6" t="str">
        <x:v>All vehicles</x:v>
      </x:c>
      <x:c r="R50" s="6" t="str">
        <x:v>tire-repair</x:v>
      </x:c>
      <x:c r="S50" s="6" t="str">
        <x:v>Near me; location unknown</x:v>
      </x:c>
      <x:c r="T50" s="6" t="n">
        <x:v>2</x:v>
      </x:c>
      <x:c r="U50" s="6" t="str">
        <x:v>4–10</x:v>
      </x:c>
      <x:c r="V50" s="6" t="str">
        <x:v>Page-one CTR review and top-three relevance</x:v>
      </x:c>
      <x:c r="W50" s="6" t="str">
        <x:v>Relevant supporting</x:v>
      </x:c>
      <x:c r="X50" s="6" t="n">
        <x:v>46</x:v>
      </x:c>
      <x:c r="Y50" s="6" t="str">
        <x:v>Unconfirmed — joint query/page data required</x:v>
      </x:c>
    </x:row>
    <x:row r="51" ht="57" customHeight="1">
      <x:c r="A51" s="6" t="str">
        <x:v>any ithers</x:v>
      </x:c>
      <x:c r="B51" s="14" t="n">
        <x:v>1</x:v>
      </x:c>
      <x:c r="C51" s="14" t="n">
        <x:v>1</x:v>
      </x:c>
      <x:c r="D51" s="15" t="n">
        <x:v>1</x:v>
      </x:c>
      <x:c r="E51" s="16" t="n">
        <x:v>3</x:v>
      </x:c>
      <x:c r="F51" s="6" t="str">
        <x:v>IGNORE</x:v>
      </x:c>
      <x:c r="G51" s="17" t="n">
        <x:f>'Scoring'!I51</x:f>
        <x:v>0</x:v>
      </x:c>
      <x:c r="H51" s="6" t="str">
        <x:v>IGNORE</x:v>
      </x:c>
      <x:c r="I51" s="6" t="str">
        <x:v>Excluded: Unrelated or wrong location</x:v>
      </x:c>
      <x:c r="J51" s="6" t="str">
        <x:v>Secondary</x:v>
      </x:c>
      <x:c r="K51" s="6" t="str">
        <x:v>Other or mismatched intent</x:v>
      </x:c>
      <x:c r="L51" s="6" t="str">
        <x:v>None</x:v>
      </x:c>
      <x:c r="M51" s="6" t="str"/>
      <x:c r="N51" s="6" t="str">
        <x:v>Unknown — export has no query/page pairing</x:v>
      </x:c>
      <x:c r="O51" s="6" t="str">
        <x:v>Do not target</x:v>
      </x:c>
      <x:c r="P51" s="6" t="str">
        <x:v>Dealer, product, industrial, unrelated entity or non-service intent does not match the independent workshop offer. 1 impressions at average position 3.00; strengthen the appropriate intent owner and measure with a fresh comparable period.</x:v>
      </x:c>
      <x:c r="Q51" s="6" t="str">
        <x:v>All vehicles</x:v>
      </x:c>
      <x:c r="R51" s="6" t="str">
        <x:v>service-repair</x:v>
      </x:c>
      <x:c r="S51" s="6" t="str">
        <x:v>Location unspecified</x:v>
      </x:c>
      <x:c r="T51" s="6" t="n">
        <x:v>0</x:v>
      </x:c>
      <x:c r="U51" s="6" t="str">
        <x:v>1–3</x:v>
      </x:c>
      <x:c r="V51" s="6" t="str">
        <x:v>Defend relevance and measured CTR</x:v>
      </x:c>
      <x:c r="W51" s="6" t="str">
        <x:v>Irrelevant</x:v>
      </x:c>
      <x:c r="X51" s="6" t="n">
        <x:v>47</x:v>
      </x:c>
      <x:c r="Y51" s="6" t="str">
        <x:v>Unconfirmed — joint query/page data required</x:v>
      </x:c>
    </x:row>
    <x:row r="52" ht="72" customHeight="1">
      <x:c r="A52" s="6" t="str">
        <x:v>suspension upgrades near me</x:v>
      </x:c>
      <x:c r="B52" s="14" t="n">
        <x:v>1</x:v>
      </x:c>
      <x:c r="C52" s="14" t="n">
        <x:v>1</x:v>
      </x:c>
      <x:c r="D52" s="15" t="n">
        <x:v>1</x:v>
      </x:c>
      <x:c r="E52" s="16" t="n">
        <x:v>3</x:v>
      </x:c>
      <x:c r="F52" s="6" t="str">
        <x:v>DEPRIORITIZE</x:v>
      </x:c>
      <x:c r="G52" s="17" t="n">
        <x:f>'Scoring'!I52</x:f>
        <x:v>4.8</x:v>
      </x:c>
      <x:c r="H52" s="6" t="str">
        <x:v>DEPRIORITIZE</x:v>
      </x:c>
      <x:c r="I52" s="6" t="str">
        <x:v>All vehicles: Performance tuning</x:v>
      </x:c>
      <x:c r="J52" s="6" t="str">
        <x:v>Secondary</x:v>
      </x:c>
      <x:c r="K52" s="6" t="str">
        <x:v>Commercial service enquiry</x:v>
      </x:c>
      <x:c r="L52" s="6" t="str">
        <x:v>Unverified</x:v>
      </x:c>
      <x:c r="M52" s="6" t="str">
        <x:v>https://digitecme.com/tuning</x:v>
      </x:c>
      <x:c r="N52" s="6" t="str">
        <x:v>Unknown — export has no query/page pairing</x:v>
      </x:c>
      <x:c r="O52" s="6" t="str">
        <x:v>Confirm scope or deprioritize</x:v>
      </x:c>
      <x:c r="P52" s="6" t="str">
        <x:v>Use the existing tuning page; model scope and any GAD relationship require verified facts. Product, high-voltage, delivery or specialist capability requires business confirmation; existing copy alone is not sufficient evidence. 1 impressions at average position 3.00; strengthen the appropriate intent owner and measure with a fresh comparable period.</x:v>
      </x:c>
      <x:c r="Q52" s="6" t="str">
        <x:v>All vehicles</x:v>
      </x:c>
      <x:c r="R52" s="6" t="str">
        <x:v>tuning</x:v>
      </x:c>
      <x:c r="S52" s="6" t="str">
        <x:v>Near me; location unknown</x:v>
      </x:c>
      <x:c r="T52" s="6" t="n">
        <x:v>1</x:v>
      </x:c>
      <x:c r="U52" s="6" t="str">
        <x:v>1–3</x:v>
      </x:c>
      <x:c r="V52" s="6" t="str">
        <x:v>Defend relevance and measured CTR</x:v>
      </x:c>
      <x:c r="W52" s="6" t="str">
        <x:v>Low-value</x:v>
      </x:c>
      <x:c r="X52" s="6" t="n">
        <x:v>48</x:v>
      </x:c>
      <x:c r="Y52" s="6" t="str">
        <x:v>Unconfirmed — joint query/page data required</x:v>
      </x:c>
    </x:row>
    <x:row r="53" ht="42" customHeight="1">
      <x:c r="A53" s="6" t="str">
        <x:v>mini workshop</x:v>
      </x:c>
      <x:c r="B53" s="14" t="n">
        <x:v>1</x:v>
      </x:c>
      <x:c r="C53" s="14" t="n">
        <x:v>1</x:v>
      </x:c>
      <x:c r="D53" s="15" t="n">
        <x:v>1</x:v>
      </x:c>
      <x:c r="E53" s="16" t="n">
        <x:v>5</x:v>
      </x:c>
      <x:c r="F53" s="6" t="str">
        <x:v>HIGH</x:v>
      </x:c>
      <x:c r="G53" s="17" t="n">
        <x:f>'Scoring'!I53</x:f>
        <x:v>68</x:v>
      </x:c>
      <x:c r="H53" s="6" t="str">
        <x:v>SUPPORT</x:v>
      </x:c>
      <x:c r="I53" s="6" t="str">
        <x:v>mini: Service and repair (English)</x:v>
      </x:c>
      <x:c r="J53" s="6" t="str">
        <x:v>Secondary</x:v>
      </x:c>
      <x:c r="K53" s="6" t="str">
        <x:v>Commercial service enquiry</x:v>
      </x:c>
      <x:c r="L53" s="6" t="str">
        <x:v>High</x:v>
      </x:c>
      <x:c r="M53" s="6" t="str">
        <x:v>https://digitecme.com/brands/mini-service-dubai</x:v>
      </x:c>
      <x:c r="N53" s="6" t="str">
        <x:v>Unknown — export has no query/page pairing</x:v>
      </x:c>
      <x:c r="O53" s="6" t="str">
        <x:v>Retain primary intent and support variants</x:v>
      </x:c>
      <x:c r="P53" s="6" t="str">
        <x:v>1 impressions at average position 5.00; strengthen the appropriate intent owner and measure with a fresh comparable period.</x:v>
      </x:c>
      <x:c r="Q53" s="6" t="str">
        <x:v>mini</x:v>
      </x:c>
      <x:c r="R53" s="6" t="str">
        <x:v>service-repair</x:v>
      </x:c>
      <x:c r="S53" s="6" t="str">
        <x:v>Location unspecified</x:v>
      </x:c>
      <x:c r="T53" s="6" t="n">
        <x:v>3</x:v>
      </x:c>
      <x:c r="U53" s="6" t="str">
        <x:v>4–10</x:v>
      </x:c>
      <x:c r="V53" s="6" t="str">
        <x:v>Page-one CTR review and top-three relevance</x:v>
      </x:c>
      <x:c r="W53" s="6" t="str">
        <x:v>Relevant supporting</x:v>
      </x:c>
      <x:c r="X53" s="6" t="n">
        <x:v>49</x:v>
      </x:c>
      <x:c r="Y53" s="6" t="str">
        <x:v>Unconfirmed — joint query/page data required</x:v>
      </x:c>
    </x:row>
    <x:row r="54" ht="57" customHeight="1">
      <x:c r="A54" s="6" t="str">
        <x:v>dubai</x:v>
      </x:c>
      <x:c r="B54" s="14" t="n">
        <x:v>1</x:v>
      </x:c>
      <x:c r="C54" s="14" t="n">
        <x:v>1</x:v>
      </x:c>
      <x:c r="D54" s="15" t="n">
        <x:v>1</x:v>
      </x:c>
      <x:c r="E54" s="16" t="n">
        <x:v>6</x:v>
      </x:c>
      <x:c r="F54" s="6" t="str">
        <x:v>IGNORE</x:v>
      </x:c>
      <x:c r="G54" s="17" t="n">
        <x:f>'Scoring'!I54</x:f>
        <x:v>0</x:v>
      </x:c>
      <x:c r="H54" s="6" t="str">
        <x:v>IGNORE</x:v>
      </x:c>
      <x:c r="I54" s="6" t="str">
        <x:v>Excluded: Unrelated or wrong location</x:v>
      </x:c>
      <x:c r="J54" s="6" t="str">
        <x:v>Secondary</x:v>
      </x:c>
      <x:c r="K54" s="6" t="str">
        <x:v>Other or mismatched intent</x:v>
      </x:c>
      <x:c r="L54" s="6" t="str">
        <x:v>None</x:v>
      </x:c>
      <x:c r="M54" s="6" t="str"/>
      <x:c r="N54" s="6" t="str">
        <x:v>Unknown — export has no query/page pairing</x:v>
      </x:c>
      <x:c r="O54" s="6" t="str">
        <x:v>Do not target</x:v>
      </x:c>
      <x:c r="P54" s="6" t="str">
        <x:v>Dealer, product, industrial, unrelated entity or non-service intent does not match the independent workshop offer. 1 impressions at average position 6.00; strengthen the appropriate intent owner and measure with a fresh comparable period.</x:v>
      </x:c>
      <x:c r="Q54" s="6" t="str">
        <x:v>All vehicles</x:v>
      </x:c>
      <x:c r="R54" s="6" t="str">
        <x:v>service-repair</x:v>
      </x:c>
      <x:c r="S54" s="6" t="str">
        <x:v>Dubai explicit</x:v>
      </x:c>
      <x:c r="T54" s="6" t="n">
        <x:v>0</x:v>
      </x:c>
      <x:c r="U54" s="6" t="str">
        <x:v>4–10</x:v>
      </x:c>
      <x:c r="V54" s="6" t="str">
        <x:v>Page-one CTR review and top-three relevance</x:v>
      </x:c>
      <x:c r="W54" s="6" t="str">
        <x:v>Irrelevant</x:v>
      </x:c>
      <x:c r="X54" s="6" t="n">
        <x:v>50</x:v>
      </x:c>
      <x:c r="Y54" s="6" t="str">
        <x:v>Unconfirmed — joint query/page data required</x:v>
      </x:c>
    </x:row>
    <x:row r="55" ht="42" customHeight="1">
      <x:c r="A55" s="6" t="str">
        <x:v>nissan mechanic</x:v>
      </x:c>
      <x:c r="B55" s="14" t="n">
        <x:v>1</x:v>
      </x:c>
      <x:c r="C55" s="14" t="n">
        <x:v>1</x:v>
      </x:c>
      <x:c r="D55" s="15" t="n">
        <x:v>1</x:v>
      </x:c>
      <x:c r="E55" s="16" t="n">
        <x:v>9</x:v>
      </x:c>
      <x:c r="F55" s="6" t="str">
        <x:v>HIGH</x:v>
      </x:c>
      <x:c r="G55" s="17" t="n">
        <x:f>'Scoring'!I55</x:f>
        <x:v>68</x:v>
      </x:c>
      <x:c r="H55" s="6" t="str">
        <x:v>SUPPORT</x:v>
      </x:c>
      <x:c r="I55" s="6" t="str">
        <x:v>nissan: Service and repair</x:v>
      </x:c>
      <x:c r="J55" s="6" t="str">
        <x:v>Secondary</x:v>
      </x:c>
      <x:c r="K55" s="6" t="str">
        <x:v>Commercial service enquiry</x:v>
      </x:c>
      <x:c r="L55" s="6" t="str">
        <x:v>High</x:v>
      </x:c>
      <x:c r="M55" s="6" t="str">
        <x:v>https://digitecme.com/brands/nissan-service-dubai</x:v>
      </x:c>
      <x:c r="N55" s="6" t="str">
        <x:v>Unknown — export has no query/page pairing</x:v>
      </x:c>
      <x:c r="O55" s="6" t="str">
        <x:v>Retain primary intent and support variants</x:v>
      </x:c>
      <x:c r="P55" s="6" t="str">
        <x:v>1 impressions at average position 9.00; strengthen the appropriate intent owner and measure with a fresh comparable period.</x:v>
      </x:c>
      <x:c r="Q55" s="6" t="str">
        <x:v>nissan</x:v>
      </x:c>
      <x:c r="R55" s="6" t="str">
        <x:v>service-repair</x:v>
      </x:c>
      <x:c r="S55" s="6" t="str">
        <x:v>Location unspecified</x:v>
      </x:c>
      <x:c r="T55" s="6" t="n">
        <x:v>3</x:v>
      </x:c>
      <x:c r="U55" s="6" t="str">
        <x:v>4–10</x:v>
      </x:c>
      <x:c r="V55" s="6" t="str">
        <x:v>Page-one CTR review and top-three relevance</x:v>
      </x:c>
      <x:c r="W55" s="6" t="str">
        <x:v>Relevant supporting</x:v>
      </x:c>
      <x:c r="X55" s="6" t="n">
        <x:v>51</x:v>
      </x:c>
      <x:c r="Y55" s="6" t="str">
        <x:v>Unconfirmed — joint query/page data required</x:v>
      </x:c>
    </x:row>
    <x:row r="56" ht="42" customHeight="1">
      <x:c r="A56" s="6" t="str">
        <x:v>car door repair</x:v>
      </x:c>
      <x:c r="B56" s="14" t="n">
        <x:v>1</x:v>
      </x:c>
      <x:c r="C56" s="14" t="n">
        <x:v>1</x:v>
      </x:c>
      <x:c r="D56" s="15" t="n">
        <x:v>1</x:v>
      </x:c>
      <x:c r="E56" s="16" t="n">
        <x:v>13</x:v>
      </x:c>
      <x:c r="F56" s="6" t="str">
        <x:v>HIGH</x:v>
      </x:c>
      <x:c r="G56" s="17" t="n">
        <x:f>'Scoring'!I56</x:f>
        <x:v>68</x:v>
      </x:c>
      <x:c r="H56" s="6" t="str">
        <x:v>SUPPORT</x:v>
      </x:c>
      <x:c r="I56" s="6" t="str">
        <x:v>All vehicles: Body repair</x:v>
      </x:c>
      <x:c r="J56" s="6" t="str">
        <x:v>Secondary</x:v>
      </x:c>
      <x:c r="K56" s="6" t="str">
        <x:v>Commercial service enquiry</x:v>
      </x:c>
      <x:c r="L56" s="6" t="str">
        <x:v>High</x:v>
      </x:c>
      <x:c r="M56" s="6" t="str">
        <x:v>https://digitecme.com/services/car-body-repair-dubai</x:v>
      </x:c>
      <x:c r="N56" s="6" t="str">
        <x:v>Unknown — export has no query/page pairing</x:v>
      </x:c>
      <x:c r="O56" s="6" t="str">
        <x:v>Retain primary intent and support variants</x:v>
      </x:c>
      <x:c r="P56" s="6" t="str">
        <x:v>1 impressions at average position 13.00; strengthen the appropriate intent owner and measure with a fresh comparable period.</x:v>
      </x:c>
      <x:c r="Q56" s="6" t="str">
        <x:v>All vehicles</x:v>
      </x:c>
      <x:c r="R56" s="6" t="str">
        <x:v>body-repair</x:v>
      </x:c>
      <x:c r="S56" s="6" t="str">
        <x:v>Location unspecified</x:v>
      </x:c>
      <x:c r="T56" s="6" t="n">
        <x:v>3</x:v>
      </x:c>
      <x:c r="U56" s="6" t="str">
        <x:v>11–20</x:v>
      </x:c>
      <x:c r="V56" s="6" t="str">
        <x:v>Ranking and owner relevance</x:v>
      </x:c>
      <x:c r="W56" s="6" t="str">
        <x:v>Relevant supporting</x:v>
      </x:c>
      <x:c r="X56" s="6" t="n">
        <x:v>52</x:v>
      </x:c>
      <x:c r="Y56" s="6" t="str">
        <x:v>Unconfirmed — joint query/page data required</x:v>
      </x:c>
    </x:row>
    <x:row r="57" ht="42" customHeight="1">
      <x:c r="A57" s="6" t="str">
        <x:v>car oil change dubai</x:v>
      </x:c>
      <x:c r="B57" s="14" t="n">
        <x:v>0</x:v>
      </x:c>
      <x:c r="C57" s="14" t="n">
        <x:v>686</x:v>
      </x:c>
      <x:c r="D57" s="15" t="n">
        <x:v>0</x:v>
      </x:c>
      <x:c r="E57" s="16" t="n">
        <x:v>29.63</x:v>
      </x:c>
      <x:c r="F57" s="6" t="str">
        <x:v>HIGH</x:v>
      </x:c>
      <x:c r="G57" s="17" t="n">
        <x:f>'Scoring'!I57</x:f>
        <x:v>74</x:v>
      </x:c>
      <x:c r="H57" s="6" t="str">
        <x:v>PRIORITIZE</x:v>
      </x:c>
      <x:c r="I57" s="6" t="str">
        <x:v>All vehicles: Oil change (English)</x:v>
      </x:c>
      <x:c r="J57" s="6" t="str">
        <x:v>Primary</x:v>
      </x:c>
      <x:c r="K57" s="6" t="str">
        <x:v>Commercial service enquiry</x:v>
      </x:c>
      <x:c r="L57" s="6" t="str">
        <x:v>High</x:v>
      </x:c>
      <x:c r="M57" s="6" t="str">
        <x:v>https://digitecme.com/services/oil-change-dubai</x:v>
      </x:c>
      <x:c r="N57" s="6" t="str">
        <x:v>Unknown — export has no query/page pairing</x:v>
      </x:c>
      <x:c r="O57" s="6" t="str">
        <x:v>Strengthen this primary intent owner</x:v>
      </x:c>
      <x:c r="P57" s="6" t="str">
        <x:v>Average position 29.63 makes ranking the main issue; avoid a CTR-only rewrite.</x:v>
      </x:c>
      <x:c r="Q57" s="6" t="str">
        <x:v>All vehicles</x:v>
      </x:c>
      <x:c r="R57" s="6" t="str">
        <x:v>oil-change</x:v>
      </x:c>
      <x:c r="S57" s="6" t="str">
        <x:v>Dubai explicit</x:v>
      </x:c>
      <x:c r="T57" s="6" t="n">
        <x:v>3</x:v>
      </x:c>
      <x:c r="U57" s="6" t="str">
        <x:v>21–40</x:v>
      </x:c>
      <x:c r="V57" s="6" t="str">
        <x:v>Content, internal authority and owner alignment</x:v>
      </x:c>
      <x:c r="W57" s="6" t="str">
        <x:v>High-value commercial</x:v>
      </x:c>
      <x:c r="X57" s="6" t="n">
        <x:v>53</x:v>
      </x:c>
      <x:c r="Y57" s="6" t="str">
        <x:v>Unconfirmed — joint query/page data required</x:v>
      </x:c>
    </x:row>
    <x:row r="58" ht="42" customHeight="1">
      <x:c r="A58" s="6" t="str">
        <x:v>mercedes repair</x:v>
      </x:c>
      <x:c r="B58" s="14" t="n">
        <x:v>0</x:v>
      </x:c>
      <x:c r="C58" s="14" t="n">
        <x:v>635</x:v>
      </x:c>
      <x:c r="D58" s="15" t="n">
        <x:v>0</x:v>
      </x:c>
      <x:c r="E58" s="16" t="n">
        <x:v>17.31</x:v>
      </x:c>
      <x:c r="F58" s="6" t="str">
        <x:v>HIGH</x:v>
      </x:c>
      <x:c r="G58" s="17" t="n">
        <x:f>'Scoring'!I58</x:f>
        <x:v>76.8</x:v>
      </x:c>
      <x:c r="H58" s="6" t="str">
        <x:v>SUPPORT</x:v>
      </x:c>
      <x:c r="I58" s="6" t="str">
        <x:v>mercedes-benz: Service and repair (English)</x:v>
      </x:c>
      <x:c r="J58" s="6" t="str">
        <x:v>Secondary</x:v>
      </x:c>
      <x:c r="K58" s="6" t="str">
        <x:v>Commercial service enquiry</x:v>
      </x:c>
      <x:c r="L58" s="6" t="str">
        <x:v>High</x:v>
      </x:c>
      <x:c r="M58" s="6" t="str">
        <x:v>https://digitecme.com/brands/mercedes-benz-service-dubai</x:v>
      </x:c>
      <x:c r="N58" s="6" t="str">
        <x:v>Unknown — export has no query/page pairing</x:v>
      </x:c>
      <x:c r="O58" s="6" t="str">
        <x:v>Retain primary intent and support variants</x:v>
      </x:c>
      <x:c r="P58" s="6" t="str">
        <x:v>635 impressions at average position 17.31; strengthen the appropriate intent owner and measure with a fresh comparable period.</x:v>
      </x:c>
      <x:c r="Q58" s="6" t="str">
        <x:v>mercedes-benz</x:v>
      </x:c>
      <x:c r="R58" s="6" t="str">
        <x:v>service-repair</x:v>
      </x:c>
      <x:c r="S58" s="6" t="str">
        <x:v>Location unspecified</x:v>
      </x:c>
      <x:c r="T58" s="6" t="n">
        <x:v>5</x:v>
      </x:c>
      <x:c r="U58" s="6" t="str">
        <x:v>11–20</x:v>
      </x:c>
      <x:c r="V58" s="6" t="str">
        <x:v>Ranking and owner relevance</x:v>
      </x:c>
      <x:c r="W58" s="6" t="str">
        <x:v>Relevant supporting</x:v>
      </x:c>
      <x:c r="X58" s="6" t="n">
        <x:v>54</x:v>
      </x:c>
      <x:c r="Y58" s="6" t="str">
        <x:v>Unconfirmed — joint query/page data required</x:v>
      </x:c>
    </x:row>
    <x:row r="59" ht="42" customHeight="1">
      <x:c r="A59" s="6" t="str">
        <x:v>oil change dubai</x:v>
      </x:c>
      <x:c r="B59" s="14" t="n">
        <x:v>0</x:v>
      </x:c>
      <x:c r="C59" s="14" t="n">
        <x:v>521</x:v>
      </x:c>
      <x:c r="D59" s="15" t="n">
        <x:v>0</x:v>
      </x:c>
      <x:c r="E59" s="16" t="n">
        <x:v>25.65</x:v>
      </x:c>
      <x:c r="F59" s="6" t="str">
        <x:v>HIGH</x:v>
      </x:c>
      <x:c r="G59" s="17" t="n">
        <x:f>'Scoring'!I59</x:f>
        <x:v>73.6</x:v>
      </x:c>
      <x:c r="H59" s="6" t="str">
        <x:v>SUPPORT</x:v>
      </x:c>
      <x:c r="I59" s="6" t="str">
        <x:v>All vehicles: Oil change (English)</x:v>
      </x:c>
      <x:c r="J59" s="6" t="str">
        <x:v>Secondary</x:v>
      </x:c>
      <x:c r="K59" s="6" t="str">
        <x:v>Commercial service enquiry</x:v>
      </x:c>
      <x:c r="L59" s="6" t="str">
        <x:v>High</x:v>
      </x:c>
      <x:c r="M59" s="6" t="str">
        <x:v>https://digitecme.com/services/oil-change-dubai</x:v>
      </x:c>
      <x:c r="N59" s="6" t="str">
        <x:v>Unknown — export has no query/page pairing</x:v>
      </x:c>
      <x:c r="O59" s="6" t="str">
        <x:v>Retain primary intent and support variants</x:v>
      </x:c>
      <x:c r="P59" s="6" t="str">
        <x:v>Average position 25.65 makes ranking the main issue; avoid a CTR-only rewrite.</x:v>
      </x:c>
      <x:c r="Q59" s="6" t="str">
        <x:v>All vehicles</x:v>
      </x:c>
      <x:c r="R59" s="6" t="str">
        <x:v>oil-change</x:v>
      </x:c>
      <x:c r="S59" s="6" t="str">
        <x:v>Dubai explicit</x:v>
      </x:c>
      <x:c r="T59" s="6" t="n">
        <x:v>3</x:v>
      </x:c>
      <x:c r="U59" s="6" t="str">
        <x:v>21–40</x:v>
      </x:c>
      <x:c r="V59" s="6" t="str">
        <x:v>Content, internal authority and owner alignment</x:v>
      </x:c>
      <x:c r="W59" s="6" t="str">
        <x:v>Relevant supporting</x:v>
      </x:c>
      <x:c r="X59" s="6" t="n">
        <x:v>55</x:v>
      </x:c>
      <x:c r="Y59" s="6" t="str">
        <x:v>Unconfirmed — joint query/page data required</x:v>
      </x:c>
    </x:row>
    <x:row r="60" ht="42" customHeight="1">
      <x:c r="A60" s="6" t="str">
        <x:v>oil change near me</x:v>
      </x:c>
      <x:c r="B60" s="14" t="n">
        <x:v>0</x:v>
      </x:c>
      <x:c r="C60" s="14" t="n">
        <x:v>428</x:v>
      </x:c>
      <x:c r="D60" s="15" t="n">
        <x:v>0</x:v>
      </x:c>
      <x:c r="E60" s="16" t="n">
        <x:v>12.46</x:v>
      </x:c>
      <x:c r="F60" s="6" t="str">
        <x:v>CRITICAL</x:v>
      </x:c>
      <x:c r="G60" s="17" t="n">
        <x:f>'Scoring'!I60</x:f>
        <x:v>80.8</x:v>
      </x:c>
      <x:c r="H60" s="6" t="str">
        <x:v>SUPPORT</x:v>
      </x:c>
      <x:c r="I60" s="6" t="str">
        <x:v>All vehicles: Oil change (English)</x:v>
      </x:c>
      <x:c r="J60" s="6" t="str">
        <x:v>Secondary</x:v>
      </x:c>
      <x:c r="K60" s="6" t="str">
        <x:v>Commercial service enquiry</x:v>
      </x:c>
      <x:c r="L60" s="6" t="str">
        <x:v>High</x:v>
      </x:c>
      <x:c r="M60" s="6" t="str">
        <x:v>https://digitecme.com/services/oil-change-dubai</x:v>
      </x:c>
      <x:c r="N60" s="6" t="str">
        <x:v>Unknown — export has no query/page pairing</x:v>
      </x:c>
      <x:c r="O60" s="6" t="str">
        <x:v>Retain primary intent and support variants</x:v>
      </x:c>
      <x:c r="P60" s="6" t="str">
        <x:v>428 impressions at average position 12.46; strengthen the appropriate intent owner and measure with a fresh comparable period.</x:v>
      </x:c>
      <x:c r="Q60" s="6" t="str">
        <x:v>All vehicles</x:v>
      </x:c>
      <x:c r="R60" s="6" t="str">
        <x:v>oil-change</x:v>
      </x:c>
      <x:c r="S60" s="6" t="str">
        <x:v>Near me; location unknown</x:v>
      </x:c>
      <x:c r="T60" s="6" t="n">
        <x:v>3</x:v>
      </x:c>
      <x:c r="U60" s="6" t="str">
        <x:v>11–20</x:v>
      </x:c>
      <x:c r="V60" s="6" t="str">
        <x:v>Ranking and owner relevance</x:v>
      </x:c>
      <x:c r="W60" s="6" t="str">
        <x:v>Relevant supporting</x:v>
      </x:c>
      <x:c r="X60" s="6" t="n">
        <x:v>56</x:v>
      </x:c>
      <x:c r="Y60" s="6" t="str">
        <x:v>Unconfirmed — joint query/page data required</x:v>
      </x:c>
    </x:row>
    <x:row r="61" ht="57" customHeight="1">
      <x:c r="A61" s="6" t="str">
        <x:v>car paint protection</x:v>
      </x:c>
      <x:c r="B61" s="14" t="n">
        <x:v>0</x:v>
      </x:c>
      <x:c r="C61" s="14" t="n">
        <x:v>404</x:v>
      </x:c>
      <x:c r="D61" s="15" t="n">
        <x:v>0</x:v>
      </x:c>
      <x:c r="E61" s="16" t="n">
        <x:v>43</x:v>
      </x:c>
      <x:c r="F61" s="6" t="str">
        <x:v>GROWTH</x:v>
      </x:c>
      <x:c r="G61" s="17" t="n">
        <x:f>'Scoring'!I61</x:f>
        <x:v>62.4</x:v>
      </x:c>
      <x:c r="H61" s="6" t="str">
        <x:v>SUPPORT</x:v>
      </x:c>
      <x:c r="I61" s="6" t="str">
        <x:v>All vehicles: Paint care and protection comparison</x:v>
      </x:c>
      <x:c r="J61" s="6" t="str">
        <x:v>Secondary</x:v>
      </x:c>
      <x:c r="K61" s="6" t="str">
        <x:v>Commercial service enquiry</x:v>
      </x:c>
      <x:c r="L61" s="6" t="str">
        <x:v>High</x:v>
      </x:c>
      <x:c r="M61" s="6" t="str">
        <x:v>https://digitecme.com/services/paint-protection-dubai</x:v>
      </x:c>
      <x:c r="N61" s="6" t="str">
        <x:v>Unknown — export has no query/page pairing</x:v>
      </x:c>
      <x:c r="O61" s="6" t="str">
        <x:v>Retain primary intent and support variants</x:v>
      </x:c>
      <x:c r="P61" s="6" t="str">
        <x:v>Broad protection intent is mixed; the comparison hub should direct film and coating enquiries to their specialist pages. Average position 43.00 makes ranking the main issue; avoid a CTR-only rewrite.</x:v>
      </x:c>
      <x:c r="Q61" s="6" t="str">
        <x:v>All vehicles</x:v>
      </x:c>
      <x:c r="R61" s="6" t="str">
        <x:v>paint-care</x:v>
      </x:c>
      <x:c r="S61" s="6" t="str">
        <x:v>Location unspecified</x:v>
      </x:c>
      <x:c r="T61" s="6" t="n">
        <x:v>5</x:v>
      </x:c>
      <x:c r="U61" s="6" t="str">
        <x:v>40+</x:v>
      </x:c>
      <x:c r="V61" s="6" t="str">
        <x:v>Relevance, capability, indexing and authority review</x:v>
      </x:c>
      <x:c r="W61" s="6" t="str">
        <x:v>Relevant supporting</x:v>
      </x:c>
      <x:c r="X61" s="6" t="n">
        <x:v>57</x:v>
      </x:c>
      <x:c r="Y61" s="6" t="str">
        <x:v>Unconfirmed — joint query/page data required</x:v>
      </x:c>
    </x:row>
    <x:row r="62" ht="42" customHeight="1">
      <x:c r="A62" s="6" t="str">
        <x:v>mercedes workshop dubai</x:v>
      </x:c>
      <x:c r="B62" s="14" t="n">
        <x:v>0</x:v>
      </x:c>
      <x:c r="C62" s="14" t="n">
        <x:v>374</x:v>
      </x:c>
      <x:c r="D62" s="15" t="n">
        <x:v>0</x:v>
      </x:c>
      <x:c r="E62" s="16" t="n">
        <x:v>22.03</x:v>
      </x:c>
      <x:c r="F62" s="6" t="str">
        <x:v>HIGH</x:v>
      </x:c>
      <x:c r="G62" s="17" t="n">
        <x:f>'Scoring'!I62</x:f>
        <x:v>81.1</x:v>
      </x:c>
      <x:c r="H62" s="6" t="str">
        <x:v>SUPPORT</x:v>
      </x:c>
      <x:c r="I62" s="6" t="str">
        <x:v>mercedes-benz: Service and repair (English)</x:v>
      </x:c>
      <x:c r="J62" s="6" t="str">
        <x:v>Secondary</x:v>
      </x:c>
      <x:c r="K62" s="6" t="str">
        <x:v>Commercial service enquiry</x:v>
      </x:c>
      <x:c r="L62" s="6" t="str">
        <x:v>High</x:v>
      </x:c>
      <x:c r="M62" s="6" t="str">
        <x:v>https://digitecme.com/brands/mercedes-benz-service-dubai</x:v>
      </x:c>
      <x:c r="N62" s="6" t="str">
        <x:v>Unknown — export has no query/page pairing</x:v>
      </x:c>
      <x:c r="O62" s="6" t="str">
        <x:v>Retain primary intent and support variants</x:v>
      </x:c>
      <x:c r="P62" s="6" t="str">
        <x:v>Average position 22.03 makes ranking the main issue; avoid a CTR-only rewrite.</x:v>
      </x:c>
      <x:c r="Q62" s="6" t="str">
        <x:v>mercedes-benz</x:v>
      </x:c>
      <x:c r="R62" s="6" t="str">
        <x:v>service-repair</x:v>
      </x:c>
      <x:c r="S62" s="6" t="str">
        <x:v>Dubai explicit</x:v>
      </x:c>
      <x:c r="T62" s="6" t="n">
        <x:v>5</x:v>
      </x:c>
      <x:c r="U62" s="6" t="str">
        <x:v>21–40</x:v>
      </x:c>
      <x:c r="V62" s="6" t="str">
        <x:v>Content, internal authority and owner alignment</x:v>
      </x:c>
      <x:c r="W62" s="6" t="str">
        <x:v>Relevant supporting</x:v>
      </x:c>
      <x:c r="X62" s="6" t="n">
        <x:v>58</x:v>
      </x:c>
      <x:c r="Y62" s="6" t="str">
        <x:v>Unconfirmed — joint query/page data required</x:v>
      </x:c>
    </x:row>
    <x:row r="63" ht="57" customHeight="1">
      <x:c r="A63" s="6" t="str">
        <x:v>frenos near me</x:v>
      </x:c>
      <x:c r="B63" s="14" t="n">
        <x:v>0</x:v>
      </x:c>
      <x:c r="C63" s="14" t="n">
        <x:v>373</x:v>
      </x:c>
      <x:c r="D63" s="15" t="n">
        <x:v>0</x:v>
      </x:c>
      <x:c r="E63" s="16" t="n">
        <x:v>9.94</x:v>
      </x:c>
      <x:c r="F63" s="6" t="str">
        <x:v>GROWTH</x:v>
      </x:c>
      <x:c r="G63" s="17" t="n">
        <x:f>'Scoring'!I63</x:f>
        <x:v>56.3</x:v>
      </x:c>
      <x:c r="H63" s="6" t="str">
        <x:v>SUPPORT</x:v>
      </x:c>
      <x:c r="I63" s="6" t="str">
        <x:v>All vehicles: Brake repair (English)</x:v>
      </x:c>
      <x:c r="J63" s="6" t="str">
        <x:v>Secondary</x:v>
      </x:c>
      <x:c r="K63" s="6" t="str">
        <x:v>Commercial service enquiry</x:v>
      </x:c>
      <x:c r="L63" s="6" t="str">
        <x:v>Medium</x:v>
      </x:c>
      <x:c r="M63" s="6" t="str">
        <x:v>https://digitecme.com/services/brake-repair-dubai</x:v>
      </x:c>
      <x:c r="N63" s="6" t="str">
        <x:v>Unknown — export has no query/page pairing</x:v>
      </x:c>
      <x:c r="O63" s="6" t="str">
        <x:v>Retain primary intent and support variants</x:v>
      </x:c>
      <x:c r="P63" s="6" t="str">
        <x:v>Spanish brake-repair wording is relevant in meaning, but location and language fit are unknown; no standalone Spanish page justified. Zero clicks from 373 impressions at average position 9.94; inspect query/page, country/device and SERP before attributing this to the snippet.</x:v>
      </x:c>
      <x:c r="Q63" s="6" t="str">
        <x:v>All vehicles</x:v>
      </x:c>
      <x:c r="R63" s="6" t="str">
        <x:v>brake-repair</x:v>
      </x:c>
      <x:c r="S63" s="6" t="str">
        <x:v>Near me; location unknown</x:v>
      </x:c>
      <x:c r="T63" s="6" t="n">
        <x:v>2</x:v>
      </x:c>
      <x:c r="U63" s="6" t="str">
        <x:v>4–10</x:v>
      </x:c>
      <x:c r="V63" s="6" t="str">
        <x:v>Page-one CTR review and top-three relevance</x:v>
      </x:c>
      <x:c r="W63" s="6" t="str">
        <x:v>Relevant supporting</x:v>
      </x:c>
      <x:c r="X63" s="6" t="n">
        <x:v>59</x:v>
      </x:c>
      <x:c r="Y63" s="6" t="str">
        <x:v>Unconfirmed — joint query/page data required</x:v>
      </x:c>
    </x:row>
    <x:row r="64" ht="42" customHeight="1">
      <x:c r="A64" s="6" t="str">
        <x:v>ceramic paint protection dubai</x:v>
      </x:c>
      <x:c r="B64" s="14" t="n">
        <x:v>0</x:v>
      </x:c>
      <x:c r="C64" s="14" t="n">
        <x:v>358</x:v>
      </x:c>
      <x:c r="D64" s="15" t="n">
        <x:v>0</x:v>
      </x:c>
      <x:c r="E64" s="16" t="n">
        <x:v>36.54</x:v>
      </x:c>
      <x:c r="F64" s="6" t="str">
        <x:v>GROWTH</x:v>
      </x:c>
      <x:c r="G64" s="17" t="n">
        <x:f>'Scoring'!I64</x:f>
        <x:v>73.5</x:v>
      </x:c>
      <x:c r="H64" s="6" t="str">
        <x:v>PRIORITIZE</x:v>
      </x:c>
      <x:c r="I64" s="6" t="str">
        <x:v>All vehicles: Ceramic coating</x:v>
      </x:c>
      <x:c r="J64" s="6" t="str">
        <x:v>Primary</x:v>
      </x:c>
      <x:c r="K64" s="6" t="str">
        <x:v>Commercial service enquiry</x:v>
      </x:c>
      <x:c r="L64" s="6" t="str">
        <x:v>High</x:v>
      </x:c>
      <x:c r="M64" s="6" t="str">
        <x:v>https://digitecme.com/services/ceramic-coating</x:v>
      </x:c>
      <x:c r="N64" s="6" t="str">
        <x:v>Unknown — export has no query/page pairing</x:v>
      </x:c>
      <x:c r="O64" s="6" t="str">
        <x:v>Strengthen this primary intent owner</x:v>
      </x:c>
      <x:c r="P64" s="6" t="str">
        <x:v>Coating intent belongs to the ceramic page; distinguish its limitations from film. Average position 36.54 makes ranking the main issue; avoid a CTR-only rewrite.</x:v>
      </x:c>
      <x:c r="Q64" s="6" t="str">
        <x:v>All vehicles</x:v>
      </x:c>
      <x:c r="R64" s="6" t="str">
        <x:v>ceramic</x:v>
      </x:c>
      <x:c r="S64" s="6" t="str">
        <x:v>Dubai explicit</x:v>
      </x:c>
      <x:c r="T64" s="6" t="n">
        <x:v>5</x:v>
      </x:c>
      <x:c r="U64" s="6" t="str">
        <x:v>21–40</x:v>
      </x:c>
      <x:c r="V64" s="6" t="str">
        <x:v>Content, internal authority and owner alignment</x:v>
      </x:c>
      <x:c r="W64" s="6" t="str">
        <x:v>High-value commercial</x:v>
      </x:c>
      <x:c r="X64" s="6" t="n">
        <x:v>60</x:v>
      </x:c>
      <x:c r="Y64" s="6" t="str">
        <x:v>Unconfirmed — joint query/page data required</x:v>
      </x:c>
    </x:row>
    <x:row r="65" ht="57" customHeight="1">
      <x:c r="A65" s="6" t="str">
        <x:v>cue screen replacement in dubai</x:v>
      </x:c>
      <x:c r="B65" s="14" t="n">
        <x:v>0</x:v>
      </x:c>
      <x:c r="C65" s="14" t="n">
        <x:v>353</x:v>
      </x:c>
      <x:c r="D65" s="15" t="n">
        <x:v>0</x:v>
      </x:c>
      <x:c r="E65" s="16" t="n">
        <x:v>42.18</x:v>
      </x:c>
      <x:c r="F65" s="6" t="str">
        <x:v>DEPRIORITIZE</x:v>
      </x:c>
      <x:c r="G65" s="17" t="n">
        <x:f>'Scoring'!I65</x:f>
        <x:v>4.1</x:v>
      </x:c>
      <x:c r="H65" s="6" t="str">
        <x:v>DEPRIORITIZE</x:v>
      </x:c>
      <x:c r="I65" s="6" t="str">
        <x:v>Unspecified brand: Screen or head-unit repair</x:v>
      </x:c>
      <x:c r="J65" s="6" t="str">
        <x:v>Primary</x:v>
      </x:c>
      <x:c r="K65" s="6" t="str">
        <x:v>Commercial capability enquiry</x:v>
      </x:c>
      <x:c r="L65" s="6" t="str">
        <x:v>Unverified</x:v>
      </x:c>
      <x:c r="M65" s="6" t="str"/>
      <x:c r="N65" s="6" t="str">
        <x:v>Unknown — export has no query/page pairing</x:v>
      </x:c>
      <x:c r="O65" s="6" t="str">
        <x:v>Confirm scope or deprioritize</x:v>
      </x:c>
      <x:c r="P65" s="6" t="str">
        <x:v>Specific retrofit or component repair capability is unconfirmed; do not publish a dedicated sales page before confirmation. Average position 42.18 makes ranking the main issue; avoid a CTR-only rewrite.</x:v>
      </x:c>
      <x:c r="Q65" s="6" t="str">
        <x:v>All vehicles</x:v>
      </x:c>
      <x:c r="R65" s="6" t="str">
        <x:v>audio-retrofit</x:v>
      </x:c>
      <x:c r="S65" s="6" t="str">
        <x:v>Dubai explicit</x:v>
      </x:c>
      <x:c r="T65" s="6" t="n">
        <x:v>1</x:v>
      </x:c>
      <x:c r="U65" s="6" t="str">
        <x:v>40+</x:v>
      </x:c>
      <x:c r="V65" s="6" t="str">
        <x:v>Relevance, capability, indexing and authority review</x:v>
      </x:c>
      <x:c r="W65" s="6" t="str">
        <x:v>Low-value</x:v>
      </x:c>
      <x:c r="X65" s="6" t="n">
        <x:v>61</x:v>
      </x:c>
      <x:c r="Y65" s="6" t="str">
        <x:v>Unconfirmed — joint query/page data required</x:v>
      </x:c>
    </x:row>
    <x:row r="66" ht="42" customHeight="1">
      <x:c r="A66" s="6" t="str">
        <x:v>paint protection coating</x:v>
      </x:c>
      <x:c r="B66" s="14" t="n">
        <x:v>0</x:v>
      </x:c>
      <x:c r="C66" s="14" t="n">
        <x:v>344</x:v>
      </x:c>
      <x:c r="D66" s="15" t="n">
        <x:v>0</x:v>
      </x:c>
      <x:c r="E66" s="16" t="n">
        <x:v>32.73</x:v>
      </x:c>
      <x:c r="F66" s="6" t="str">
        <x:v>GROWTH</x:v>
      </x:c>
      <x:c r="G66" s="17" t="n">
        <x:f>'Scoring'!I66</x:f>
        <x:v>68.5</x:v>
      </x:c>
      <x:c r="H66" s="6" t="str">
        <x:v>SUPPORT</x:v>
      </x:c>
      <x:c r="I66" s="6" t="str">
        <x:v>All vehicles: Ceramic coating</x:v>
      </x:c>
      <x:c r="J66" s="6" t="str">
        <x:v>Secondary</x:v>
      </x:c>
      <x:c r="K66" s="6" t="str">
        <x:v>Commercial service enquiry</x:v>
      </x:c>
      <x:c r="L66" s="6" t="str">
        <x:v>High</x:v>
      </x:c>
      <x:c r="M66" s="6" t="str">
        <x:v>https://digitecme.com/services/ceramic-coating</x:v>
      </x:c>
      <x:c r="N66" s="6" t="str">
        <x:v>Unknown — export has no query/page pairing</x:v>
      </x:c>
      <x:c r="O66" s="6" t="str">
        <x:v>Retain primary intent and support variants</x:v>
      </x:c>
      <x:c r="P66" s="6" t="str">
        <x:v>Coating intent belongs to the ceramic page; distinguish its limitations from film. Average position 32.73 makes ranking the main issue; avoid a CTR-only rewrite.</x:v>
      </x:c>
      <x:c r="Q66" s="6" t="str">
        <x:v>All vehicles</x:v>
      </x:c>
      <x:c r="R66" s="6" t="str">
        <x:v>ceramic</x:v>
      </x:c>
      <x:c r="S66" s="6" t="str">
        <x:v>Location unspecified</x:v>
      </x:c>
      <x:c r="T66" s="6" t="n">
        <x:v>5</x:v>
      </x:c>
      <x:c r="U66" s="6" t="str">
        <x:v>21–40</x:v>
      </x:c>
      <x:c r="V66" s="6" t="str">
        <x:v>Content, internal authority and owner alignment</x:v>
      </x:c>
      <x:c r="W66" s="6" t="str">
        <x:v>Relevant supporting</x:v>
      </x:c>
      <x:c r="X66" s="6" t="n">
        <x:v>62</x:v>
      </x:c>
      <x:c r="Y66" s="6" t="str">
        <x:v>Unconfirmed — joint query/page data required</x:v>
      </x:c>
    </x:row>
    <x:row r="67" ht="42" customHeight="1">
      <x:c r="A67" s="6" t="str">
        <x:v>mercedes service</x:v>
      </x:c>
      <x:c r="B67" s="14" t="n">
        <x:v>0</x:v>
      </x:c>
      <x:c r="C67" s="14" t="n">
        <x:v>331</x:v>
      </x:c>
      <x:c r="D67" s="15" t="n">
        <x:v>0</x:v>
      </x:c>
      <x:c r="E67" s="16" t="n">
        <x:v>25.85</x:v>
      </x:c>
      <x:c r="F67" s="6" t="str">
        <x:v>HIGH</x:v>
      </x:c>
      <x:c r="G67" s="17" t="n">
        <x:f>'Scoring'!I67</x:f>
        <x:v>75.9</x:v>
      </x:c>
      <x:c r="H67" s="6" t="str">
        <x:v>SUPPORT</x:v>
      </x:c>
      <x:c r="I67" s="6" t="str">
        <x:v>mercedes-benz: Service and repair (English)</x:v>
      </x:c>
      <x:c r="J67" s="6" t="str">
        <x:v>Secondary</x:v>
      </x:c>
      <x:c r="K67" s="6" t="str">
        <x:v>Commercial service enquiry</x:v>
      </x:c>
      <x:c r="L67" s="6" t="str">
        <x:v>High</x:v>
      </x:c>
      <x:c r="M67" s="6" t="str">
        <x:v>https://digitecme.com/brands/mercedes-benz-service-dubai</x:v>
      </x:c>
      <x:c r="N67" s="6" t="str">
        <x:v>Unknown — export has no query/page pairing</x:v>
      </x:c>
      <x:c r="O67" s="6" t="str">
        <x:v>Retain primary intent and support variants</x:v>
      </x:c>
      <x:c r="P67" s="6" t="str">
        <x:v>Average position 25.85 makes ranking the main issue; avoid a CTR-only rewrite.</x:v>
      </x:c>
      <x:c r="Q67" s="6" t="str">
        <x:v>mercedes-benz</x:v>
      </x:c>
      <x:c r="R67" s="6" t="str">
        <x:v>service-repair</x:v>
      </x:c>
      <x:c r="S67" s="6" t="str">
        <x:v>Location unspecified</x:v>
      </x:c>
      <x:c r="T67" s="6" t="n">
        <x:v>5</x:v>
      </x:c>
      <x:c r="U67" s="6" t="str">
        <x:v>21–40</x:v>
      </x:c>
      <x:c r="V67" s="6" t="str">
        <x:v>Content, internal authority and owner alignment</x:v>
      </x:c>
      <x:c r="W67" s="6" t="str">
        <x:v>Relevant supporting</x:v>
      </x:c>
      <x:c r="X67" s="6" t="n">
        <x:v>63</x:v>
      </x:c>
      <x:c r="Y67" s="6" t="str">
        <x:v>Unconfirmed — joint query/page data required</x:v>
      </x:c>
    </x:row>
    <x:row r="68" ht="57" customHeight="1">
      <x:c r="A68" s="6" t="str">
        <x:v>bentley reverse camera in dubai</x:v>
      </x:c>
      <x:c r="B68" s="14" t="n">
        <x:v>0</x:v>
      </x:c>
      <x:c r="C68" s="14" t="n">
        <x:v>328</x:v>
      </x:c>
      <x:c r="D68" s="15" t="n">
        <x:v>0</x:v>
      </x:c>
      <x:c r="E68" s="16" t="n">
        <x:v>44.38</x:v>
      </x:c>
      <x:c r="F68" s="6" t="str">
        <x:v>DEPRIORITIZE</x:v>
      </x:c>
      <x:c r="G68" s="17" t="n">
        <x:f>'Scoring'!I68</x:f>
        <x:v>4.1</x:v>
      </x:c>
      <x:c r="H68" s="6" t="str">
        <x:v>DEPRIORITIZE</x:v>
      </x:c>
      <x:c r="I68" s="6" t="str">
        <x:v>bentley: Camera retrofit</x:v>
      </x:c>
      <x:c r="J68" s="6" t="str">
        <x:v>Primary</x:v>
      </x:c>
      <x:c r="K68" s="6" t="str">
        <x:v>Commercial capability enquiry</x:v>
      </x:c>
      <x:c r="L68" s="6" t="str">
        <x:v>Unverified</x:v>
      </x:c>
      <x:c r="M68" s="6" t="str"/>
      <x:c r="N68" s="6" t="str">
        <x:v>Unknown — export has no query/page pairing</x:v>
      </x:c>
      <x:c r="O68" s="6" t="str">
        <x:v>Confirm scope or deprioritize</x:v>
      </x:c>
      <x:c r="P68" s="6" t="str">
        <x:v>Specific retrofit or component repair capability is unconfirmed; do not publish a dedicated sales page before confirmation. Average position 44.38 makes ranking the main issue; avoid a CTR-only rewrite.</x:v>
      </x:c>
      <x:c r="Q68" s="6" t="str">
        <x:v>bentley</x:v>
      </x:c>
      <x:c r="R68" s="6" t="str">
        <x:v>audio-retrofit</x:v>
      </x:c>
      <x:c r="S68" s="6" t="str">
        <x:v>Dubai explicit</x:v>
      </x:c>
      <x:c r="T68" s="6" t="n">
        <x:v>1</x:v>
      </x:c>
      <x:c r="U68" s="6" t="str">
        <x:v>40+</x:v>
      </x:c>
      <x:c r="V68" s="6" t="str">
        <x:v>Relevance, capability, indexing and authority review</x:v>
      </x:c>
      <x:c r="W68" s="6" t="str">
        <x:v>Low-value</x:v>
      </x:c>
      <x:c r="X68" s="6" t="n">
        <x:v>64</x:v>
      </x:c>
      <x:c r="Y68" s="6" t="str">
        <x:v>Unconfirmed — joint query/page data required</x:v>
      </x:c>
    </x:row>
    <x:row r="69" ht="42" customHeight="1">
      <x:c r="A69" s="6" t="str">
        <x:v>mercedes specialist dubai</x:v>
      </x:c>
      <x:c r="B69" s="14" t="n">
        <x:v>0</x:v>
      </x:c>
      <x:c r="C69" s="14" t="n">
        <x:v>315</x:v>
      </x:c>
      <x:c r="D69" s="15" t="n">
        <x:v>0</x:v>
      </x:c>
      <x:c r="E69" s="16" t="n">
        <x:v>10.86</x:v>
      </x:c>
      <x:c r="F69" s="6" t="str">
        <x:v>CRITICAL</x:v>
      </x:c>
      <x:c r="G69" s="17" t="n">
        <x:f>'Scoring'!I69</x:f>
        <x:v>88.3</x:v>
      </x:c>
      <x:c r="H69" s="6" t="str">
        <x:v>SUPPORT</x:v>
      </x:c>
      <x:c r="I69" s="6" t="str">
        <x:v>mercedes-benz: Service and repair (English)</x:v>
      </x:c>
      <x:c r="J69" s="6" t="str">
        <x:v>Secondary</x:v>
      </x:c>
      <x:c r="K69" s="6" t="str">
        <x:v>Commercial service enquiry</x:v>
      </x:c>
      <x:c r="L69" s="6" t="str">
        <x:v>High</x:v>
      </x:c>
      <x:c r="M69" s="6" t="str">
        <x:v>https://digitecme.com/brands/mercedes-benz-service-dubai</x:v>
      </x:c>
      <x:c r="N69" s="6" t="str">
        <x:v>Unknown — export has no query/page pairing</x:v>
      </x:c>
      <x:c r="O69" s="6" t="str">
        <x:v>Retain primary intent and support variants</x:v>
      </x:c>
      <x:c r="P69" s="6" t="str">
        <x:v>315 impressions at average position 10.86; strengthen the appropriate intent owner and measure with a fresh comparable period.</x:v>
      </x:c>
      <x:c r="Q69" s="6" t="str">
        <x:v>mercedes-benz</x:v>
      </x:c>
      <x:c r="R69" s="6" t="str">
        <x:v>service-repair</x:v>
      </x:c>
      <x:c r="S69" s="6" t="str">
        <x:v>Dubai explicit</x:v>
      </x:c>
      <x:c r="T69" s="6" t="n">
        <x:v>5</x:v>
      </x:c>
      <x:c r="U69" s="6" t="str">
        <x:v>11–20</x:v>
      </x:c>
      <x:c r="V69" s="6" t="str">
        <x:v>Ranking and owner relevance</x:v>
      </x:c>
      <x:c r="W69" s="6" t="str">
        <x:v>Relevant supporting</x:v>
      </x:c>
      <x:c r="X69" s="6" t="n">
        <x:v>65</x:v>
      </x:c>
      <x:c r="Y69" s="6" t="str">
        <x:v>Unconfirmed — joint query/page data required</x:v>
      </x:c>
    </x:row>
    <x:row r="70" ht="57" customHeight="1">
      <x:c r="A70" s="6" t="str">
        <x:v>cadillac touch screen repair in dubai</x:v>
      </x:c>
      <x:c r="B70" s="14" t="n">
        <x:v>0</x:v>
      </x:c>
      <x:c r="C70" s="14" t="n">
        <x:v>284</x:v>
      </x:c>
      <x:c r="D70" s="15" t="n">
        <x:v>0</x:v>
      </x:c>
      <x:c r="E70" s="16" t="n">
        <x:v>50.39</x:v>
      </x:c>
      <x:c r="F70" s="6" t="str">
        <x:v>DEPRIORITIZE</x:v>
      </x:c>
      <x:c r="G70" s="17" t="n">
        <x:f>'Scoring'!I70</x:f>
        <x:v>4.1</x:v>
      </x:c>
      <x:c r="H70" s="6" t="str">
        <x:v>DEPRIORITIZE</x:v>
      </x:c>
      <x:c r="I70" s="6" t="str">
        <x:v>cadillac: Screen or head-unit repair</x:v>
      </x:c>
      <x:c r="J70" s="6" t="str">
        <x:v>Primary</x:v>
      </x:c>
      <x:c r="K70" s="6" t="str">
        <x:v>Commercial capability enquiry</x:v>
      </x:c>
      <x:c r="L70" s="6" t="str">
        <x:v>Unverified</x:v>
      </x:c>
      <x:c r="M70" s="6" t="str"/>
      <x:c r="N70" s="6" t="str">
        <x:v>Unknown — export has no query/page pairing</x:v>
      </x:c>
      <x:c r="O70" s="6" t="str">
        <x:v>Confirm scope or deprioritize</x:v>
      </x:c>
      <x:c r="P70" s="6" t="str">
        <x:v>Specific retrofit or component repair capability is unconfirmed; do not publish a dedicated sales page before confirmation. Average position 50.39 makes ranking the main issue; avoid a CTR-only rewrite.</x:v>
      </x:c>
      <x:c r="Q70" s="6" t="str">
        <x:v>cadillac</x:v>
      </x:c>
      <x:c r="R70" s="6" t="str">
        <x:v>audio-retrofit</x:v>
      </x:c>
      <x:c r="S70" s="6" t="str">
        <x:v>Dubai explicit</x:v>
      </x:c>
      <x:c r="T70" s="6" t="n">
        <x:v>1</x:v>
      </x:c>
      <x:c r="U70" s="6" t="str">
        <x:v>40+</x:v>
      </x:c>
      <x:c r="V70" s="6" t="str">
        <x:v>Relevance, capability, indexing and authority review</x:v>
      </x:c>
      <x:c r="W70" s="6" t="str">
        <x:v>Low-value</x:v>
      </x:c>
      <x:c r="X70" s="6" t="n">
        <x:v>66</x:v>
      </x:c>
      <x:c r="Y70" s="6" t="str">
        <x:v>Unconfirmed — joint query/page data required</x:v>
      </x:c>
    </x:row>
    <x:row r="71" ht="42" customHeight="1">
      <x:c r="A71" s="6" t="str">
        <x:v>ferrari service dubai</x:v>
      </x:c>
      <x:c r="B71" s="14" t="n">
        <x:v>0</x:v>
      </x:c>
      <x:c r="C71" s="14" t="n">
        <x:v>283</x:v>
      </x:c>
      <x:c r="D71" s="15" t="n">
        <x:v>0</x:v>
      </x:c>
      <x:c r="E71" s="16" t="n">
        <x:v>18.13</x:v>
      </x:c>
      <x:c r="F71" s="6" t="str">
        <x:v>HIGH</x:v>
      </x:c>
      <x:c r="G71" s="17" t="n">
        <x:f>'Scoring'!I71</x:f>
        <x:v>80.7</x:v>
      </x:c>
      <x:c r="H71" s="6" t="str">
        <x:v>PRIORITIZE</x:v>
      </x:c>
      <x:c r="I71" s="6" t="str">
        <x:v>ferrari: Service and repair</x:v>
      </x:c>
      <x:c r="J71" s="6" t="str">
        <x:v>Primary</x:v>
      </x:c>
      <x:c r="K71" s="6" t="str">
        <x:v>Commercial service enquiry</x:v>
      </x:c>
      <x:c r="L71" s="6" t="str">
        <x:v>High</x:v>
      </x:c>
      <x:c r="M71" s="6" t="str">
        <x:v>https://digitecme.com/brands/ferrari-service-dubai</x:v>
      </x:c>
      <x:c r="N71" s="6" t="str">
        <x:v>Unknown — export has no query/page pairing</x:v>
      </x:c>
      <x:c r="O71" s="6" t="str">
        <x:v>Strengthen this primary intent owner</x:v>
      </x:c>
      <x:c r="P71" s="6" t="str">
        <x:v>283 impressions at average position 18.13; strengthen the appropriate intent owner and measure with a fresh comparable period.</x:v>
      </x:c>
      <x:c r="Q71" s="6" t="str">
        <x:v>ferrari</x:v>
      </x:c>
      <x:c r="R71" s="6" t="str">
        <x:v>service-repair</x:v>
      </x:c>
      <x:c r="S71" s="6" t="str">
        <x:v>Dubai explicit</x:v>
      </x:c>
      <x:c r="T71" s="6" t="n">
        <x:v>5</x:v>
      </x:c>
      <x:c r="U71" s="6" t="str">
        <x:v>11–20</x:v>
      </x:c>
      <x:c r="V71" s="6" t="str">
        <x:v>Ranking and owner relevance</x:v>
      </x:c>
      <x:c r="W71" s="6" t="str">
        <x:v>High-value commercial</x:v>
      </x:c>
      <x:c r="X71" s="6" t="n">
        <x:v>67</x:v>
      </x:c>
      <x:c r="Y71" s="6" t="str">
        <x:v>Unconfirmed — joint query/page data required</x:v>
      </x:c>
    </x:row>
    <x:row r="72" ht="42" customHeight="1">
      <x:c r="A72" s="6" t="str">
        <x:v>battery replacement dubai</x:v>
      </x:c>
      <x:c r="B72" s="14" t="n">
        <x:v>0</x:v>
      </x:c>
      <x:c r="C72" s="14" t="n">
        <x:v>274</x:v>
      </x:c>
      <x:c r="D72" s="15" t="n">
        <x:v>0</x:v>
      </x:c>
      <x:c r="E72" s="16" t="n">
        <x:v>44.83</x:v>
      </x:c>
      <x:c r="F72" s="6" t="str">
        <x:v>GROWTH</x:v>
      </x:c>
      <x:c r="G72" s="17" t="n">
        <x:f>'Scoring'!I72</x:f>
        <x:v>58.9</x:v>
      </x:c>
      <x:c r="H72" s="6" t="str">
        <x:v>PRIORITIZE</x:v>
      </x:c>
      <x:c r="I72" s="6" t="str">
        <x:v>All vehicles: Battery service (English)</x:v>
      </x:c>
      <x:c r="J72" s="6" t="str">
        <x:v>Primary</x:v>
      </x:c>
      <x:c r="K72" s="6" t="str">
        <x:v>Commercial service enquiry</x:v>
      </x:c>
      <x:c r="L72" s="6" t="str">
        <x:v>High</x:v>
      </x:c>
      <x:c r="M72" s="6" t="str">
        <x:v>https://digitecme.com/services/battery-replacement-dubai</x:v>
      </x:c>
      <x:c r="N72" s="6" t="str">
        <x:v>Unknown — export has no query/page pairing</x:v>
      </x:c>
      <x:c r="O72" s="6" t="str">
        <x:v>Strengthen this primary intent owner</x:v>
      </x:c>
      <x:c r="P72" s="6" t="str">
        <x:v>Average position 44.83 makes ranking the main issue; avoid a CTR-only rewrite.</x:v>
      </x:c>
      <x:c r="Q72" s="6" t="str">
        <x:v>All vehicles</x:v>
      </x:c>
      <x:c r="R72" s="6" t="str">
        <x:v>battery-replacement</x:v>
      </x:c>
      <x:c r="S72" s="6" t="str">
        <x:v>Dubai explicit</x:v>
      </x:c>
      <x:c r="T72" s="6" t="n">
        <x:v>3</x:v>
      </x:c>
      <x:c r="U72" s="6" t="str">
        <x:v>40+</x:v>
      </x:c>
      <x:c r="V72" s="6" t="str">
        <x:v>Relevance, capability, indexing and authority review</x:v>
      </x:c>
      <x:c r="W72" s="6" t="str">
        <x:v>High-value commercial</x:v>
      </x:c>
      <x:c r="X72" s="6" t="n">
        <x:v>68</x:v>
      </x:c>
      <x:c r="Y72" s="6" t="str">
        <x:v>Unconfirmed — joint query/page data required</x:v>
      </x:c>
    </x:row>
    <x:row r="73" ht="42" customHeight="1">
      <x:c r="A73" s="6" t="str">
        <x:v>mercedes service center dubai</x:v>
      </x:c>
      <x:c r="B73" s="14" t="n">
        <x:v>0</x:v>
      </x:c>
      <x:c r="C73" s="14" t="n">
        <x:v>261</x:v>
      </x:c>
      <x:c r="D73" s="15" t="n">
        <x:v>0</x:v>
      </x:c>
      <x:c r="E73" s="16" t="n">
        <x:v>16.69</x:v>
      </x:c>
      <x:c r="F73" s="6" t="str">
        <x:v>HIGH</x:v>
      </x:c>
      <x:c r="G73" s="17" t="n">
        <x:f>'Scoring'!I73</x:f>
        <x:v>80.6</x:v>
      </x:c>
      <x:c r="H73" s="6" t="str">
        <x:v>SUPPORT</x:v>
      </x:c>
      <x:c r="I73" s="6" t="str">
        <x:v>mercedes-benz: Service and repair (English)</x:v>
      </x:c>
      <x:c r="J73" s="6" t="str">
        <x:v>Secondary</x:v>
      </x:c>
      <x:c r="K73" s="6" t="str">
        <x:v>Commercial service enquiry</x:v>
      </x:c>
      <x:c r="L73" s="6" t="str">
        <x:v>High</x:v>
      </x:c>
      <x:c r="M73" s="6" t="str">
        <x:v>https://digitecme.com/brands/mercedes-benz-service-dubai</x:v>
      </x:c>
      <x:c r="N73" s="6" t="str">
        <x:v>Unknown — export has no query/page pairing</x:v>
      </x:c>
      <x:c r="O73" s="6" t="str">
        <x:v>Retain primary intent and support variants</x:v>
      </x:c>
      <x:c r="P73" s="6" t="str">
        <x:v>261 impressions at average position 16.69; strengthen the appropriate intent owner and measure with a fresh comparable period.</x:v>
      </x:c>
      <x:c r="Q73" s="6" t="str">
        <x:v>mercedes-benz</x:v>
      </x:c>
      <x:c r="R73" s="6" t="str">
        <x:v>service-repair</x:v>
      </x:c>
      <x:c r="S73" s="6" t="str">
        <x:v>Dubai explicit</x:v>
      </x:c>
      <x:c r="T73" s="6" t="n">
        <x:v>5</x:v>
      </x:c>
      <x:c r="U73" s="6" t="str">
        <x:v>11–20</x:v>
      </x:c>
      <x:c r="V73" s="6" t="str">
        <x:v>Ranking and owner relevance</x:v>
      </x:c>
      <x:c r="W73" s="6" t="str">
        <x:v>Relevant supporting</x:v>
      </x:c>
      <x:c r="X73" s="6" t="n">
        <x:v>69</x:v>
      </x:c>
      <x:c r="Y73" s="6" t="str">
        <x:v>Unconfirmed — joint query/page data required</x:v>
      </x:c>
    </x:row>
    <x:row r="74" ht="42" customHeight="1">
      <x:c r="A74" s="6" t="str">
        <x:v>ferrari repair dubai</x:v>
      </x:c>
      <x:c r="B74" s="14" t="n">
        <x:v>0</x:v>
      </x:c>
      <x:c r="C74" s="14" t="n">
        <x:v>261</x:v>
      </x:c>
      <x:c r="D74" s="15" t="n">
        <x:v>0</x:v>
      </x:c>
      <x:c r="E74" s="16" t="n">
        <x:v>22.73</x:v>
      </x:c>
      <x:c r="F74" s="6" t="str">
        <x:v>HIGH</x:v>
      </x:c>
      <x:c r="G74" s="17" t="n">
        <x:f>'Scoring'!I74</x:f>
        <x:v>80.6</x:v>
      </x:c>
      <x:c r="H74" s="6" t="str">
        <x:v>SUPPORT</x:v>
      </x:c>
      <x:c r="I74" s="6" t="str">
        <x:v>ferrari: Service and repair</x:v>
      </x:c>
      <x:c r="J74" s="6" t="str">
        <x:v>Secondary</x:v>
      </x:c>
      <x:c r="K74" s="6" t="str">
        <x:v>Commercial service enquiry</x:v>
      </x:c>
      <x:c r="L74" s="6" t="str">
        <x:v>High</x:v>
      </x:c>
      <x:c r="M74" s="6" t="str">
        <x:v>https://digitecme.com/brands/ferrari-service-dubai</x:v>
      </x:c>
      <x:c r="N74" s="6" t="str">
        <x:v>Unknown — export has no query/page pairing</x:v>
      </x:c>
      <x:c r="O74" s="6" t="str">
        <x:v>Retain primary intent and support variants</x:v>
      </x:c>
      <x:c r="P74" s="6" t="str">
        <x:v>Average position 22.73 makes ranking the main issue; avoid a CTR-only rewrite.</x:v>
      </x:c>
      <x:c r="Q74" s="6" t="str">
        <x:v>ferrari</x:v>
      </x:c>
      <x:c r="R74" s="6" t="str">
        <x:v>service-repair</x:v>
      </x:c>
      <x:c r="S74" s="6" t="str">
        <x:v>Dubai explicit</x:v>
      </x:c>
      <x:c r="T74" s="6" t="n">
        <x:v>5</x:v>
      </x:c>
      <x:c r="U74" s="6" t="str">
        <x:v>21–40</x:v>
      </x:c>
      <x:c r="V74" s="6" t="str">
        <x:v>Content, internal authority and owner alignment</x:v>
      </x:c>
      <x:c r="W74" s="6" t="str">
        <x:v>Relevant supporting</x:v>
      </x:c>
      <x:c r="X74" s="6" t="n">
        <x:v>70</x:v>
      </x:c>
      <x:c r="Y74" s="6" t="str">
        <x:v>Unconfirmed — joint query/page data required</x:v>
      </x:c>
    </x:row>
    <x:row r="75" ht="42" customHeight="1">
      <x:c r="A75" s="6" t="str">
        <x:v>brake repair dubai</x:v>
      </x:c>
      <x:c r="B75" s="14" t="n">
        <x:v>0</x:v>
      </x:c>
      <x:c r="C75" s="14" t="n">
        <x:v>259</x:v>
      </x:c>
      <x:c r="D75" s="15" t="n">
        <x:v>0</x:v>
      </x:c>
      <x:c r="E75" s="16" t="n">
        <x:v>32.76</x:v>
      </x:c>
      <x:c r="F75" s="6" t="str">
        <x:v>GROWTH</x:v>
      </x:c>
      <x:c r="G75" s="17" t="n">
        <x:f>'Scoring'!I75</x:f>
        <x:v>65</x:v>
      </x:c>
      <x:c r="H75" s="6" t="str">
        <x:v>PRIORITIZE</x:v>
      </x:c>
      <x:c r="I75" s="6" t="str">
        <x:v>All vehicles: Brake repair (English)</x:v>
      </x:c>
      <x:c r="J75" s="6" t="str">
        <x:v>Primary</x:v>
      </x:c>
      <x:c r="K75" s="6" t="str">
        <x:v>Commercial service enquiry</x:v>
      </x:c>
      <x:c r="L75" s="6" t="str">
        <x:v>High</x:v>
      </x:c>
      <x:c r="M75" s="6" t="str">
        <x:v>https://digitecme.com/services/brake-repair-dubai</x:v>
      </x:c>
      <x:c r="N75" s="6" t="str">
        <x:v>Unknown — export has no query/page pairing</x:v>
      </x:c>
      <x:c r="O75" s="6" t="str">
        <x:v>Strengthen this primary intent owner</x:v>
      </x:c>
      <x:c r="P75" s="6" t="str">
        <x:v>Average position 32.76 makes ranking the main issue; avoid a CTR-only rewrite.</x:v>
      </x:c>
      <x:c r="Q75" s="6" t="str">
        <x:v>All vehicles</x:v>
      </x:c>
      <x:c r="R75" s="6" t="str">
        <x:v>brake-repair</x:v>
      </x:c>
      <x:c r="S75" s="6" t="str">
        <x:v>Dubai explicit</x:v>
      </x:c>
      <x:c r="T75" s="6" t="n">
        <x:v>3</x:v>
      </x:c>
      <x:c r="U75" s="6" t="str">
        <x:v>21–40</x:v>
      </x:c>
      <x:c r="V75" s="6" t="str">
        <x:v>Content, internal authority and owner alignment</x:v>
      </x:c>
      <x:c r="W75" s="6" t="str">
        <x:v>High-value commercial</x:v>
      </x:c>
      <x:c r="X75" s="6" t="n">
        <x:v>71</x:v>
      </x:c>
      <x:c r="Y75" s="6" t="str">
        <x:v>Unconfirmed — joint query/page data required</x:v>
      </x:c>
    </x:row>
    <x:row r="76" ht="42" customHeight="1">
      <x:c r="A76" s="6" t="str">
        <x:v>car ac gas refill dubai</x:v>
      </x:c>
      <x:c r="B76" s="14" t="n">
        <x:v>0</x:v>
      </x:c>
      <x:c r="C76" s="14" t="n">
        <x:v>250</x:v>
      </x:c>
      <x:c r="D76" s="15" t="n">
        <x:v>0</x:v>
      </x:c>
      <x:c r="E76" s="16" t="n">
        <x:v>36.9</x:v>
      </x:c>
      <x:c r="F76" s="6" t="str">
        <x:v>GROWTH</x:v>
      </x:c>
      <x:c r="G76" s="17" t="n">
        <x:f>'Scoring'!I76</x:f>
        <x:v>65</x:v>
      </x:c>
      <x:c r="H76" s="6" t="str">
        <x:v>PRIORITIZE</x:v>
      </x:c>
      <x:c r="I76" s="6" t="str">
        <x:v>All vehicles: AC repair</x:v>
      </x:c>
      <x:c r="J76" s="6" t="str">
        <x:v>Primary</x:v>
      </x:c>
      <x:c r="K76" s="6" t="str">
        <x:v>Commercial service enquiry</x:v>
      </x:c>
      <x:c r="L76" s="6" t="str">
        <x:v>High</x:v>
      </x:c>
      <x:c r="M76" s="6" t="str">
        <x:v>https://digitecme.com/services/car-ac-repair-dubai</x:v>
      </x:c>
      <x:c r="N76" s="6" t="str">
        <x:v>Unknown — export has no query/page pairing</x:v>
      </x:c>
      <x:c r="O76" s="6" t="str">
        <x:v>Strengthen this primary intent owner</x:v>
      </x:c>
      <x:c r="P76" s="6" t="str">
        <x:v>Average position 36.90 makes ranking the main issue; avoid a CTR-only rewrite.</x:v>
      </x:c>
      <x:c r="Q76" s="6" t="str">
        <x:v>All vehicles</x:v>
      </x:c>
      <x:c r="R76" s="6" t="str">
        <x:v>ac-repair</x:v>
      </x:c>
      <x:c r="S76" s="6" t="str">
        <x:v>Dubai explicit</x:v>
      </x:c>
      <x:c r="T76" s="6" t="n">
        <x:v>3</x:v>
      </x:c>
      <x:c r="U76" s="6" t="str">
        <x:v>21–40</x:v>
      </x:c>
      <x:c r="V76" s="6" t="str">
        <x:v>Content, internal authority and owner alignment</x:v>
      </x:c>
      <x:c r="W76" s="6" t="str">
        <x:v>High-value commercial</x:v>
      </x:c>
      <x:c r="X76" s="6" t="n">
        <x:v>72</x:v>
      </x:c>
      <x:c r="Y76" s="6" t="str">
        <x:v>Unconfirmed — joint query/page data required</x:v>
      </x:c>
    </x:row>
    <x:row r="77" ht="57" customHeight="1">
      <x:c r="A77" s="6" t="str">
        <x:v>command unit repairing dubai</x:v>
      </x:c>
      <x:c r="B77" s="14" t="n">
        <x:v>0</x:v>
      </x:c>
      <x:c r="C77" s="14" t="n">
        <x:v>250</x:v>
      </x:c>
      <x:c r="D77" s="15" t="n">
        <x:v>0</x:v>
      </x:c>
      <x:c r="E77" s="16" t="n">
        <x:v>45.41</x:v>
      </x:c>
      <x:c r="F77" s="6" t="str">
        <x:v>DEPRIORITIZE</x:v>
      </x:c>
      <x:c r="G77" s="17" t="n">
        <x:f>'Scoring'!I77</x:f>
        <x:v>4.1</x:v>
      </x:c>
      <x:c r="H77" s="6" t="str">
        <x:v>DEPRIORITIZE</x:v>
      </x:c>
      <x:c r="I77" s="6" t="str">
        <x:v>Unspecified brand: Screen or head-unit repair</x:v>
      </x:c>
      <x:c r="J77" s="6" t="str">
        <x:v>Secondary</x:v>
      </x:c>
      <x:c r="K77" s="6" t="str">
        <x:v>Commercial capability enquiry</x:v>
      </x:c>
      <x:c r="L77" s="6" t="str">
        <x:v>Unverified</x:v>
      </x:c>
      <x:c r="M77" s="6" t="str"/>
      <x:c r="N77" s="6" t="str">
        <x:v>Unknown — export has no query/page pairing</x:v>
      </x:c>
      <x:c r="O77" s="6" t="str">
        <x:v>Confirm scope or deprioritize</x:v>
      </x:c>
      <x:c r="P77" s="6" t="str">
        <x:v>Specific retrofit or component repair capability is unconfirmed; do not publish a dedicated sales page before confirmation. Average position 45.41 makes ranking the main issue; avoid a CTR-only rewrite.</x:v>
      </x:c>
      <x:c r="Q77" s="6" t="str">
        <x:v>All vehicles</x:v>
      </x:c>
      <x:c r="R77" s="6" t="str">
        <x:v>audio-retrofit</x:v>
      </x:c>
      <x:c r="S77" s="6" t="str">
        <x:v>Dubai explicit</x:v>
      </x:c>
      <x:c r="T77" s="6" t="n">
        <x:v>1</x:v>
      </x:c>
      <x:c r="U77" s="6" t="str">
        <x:v>40+</x:v>
      </x:c>
      <x:c r="V77" s="6" t="str">
        <x:v>Relevance, capability, indexing and authority review</x:v>
      </x:c>
      <x:c r="W77" s="6" t="str">
        <x:v>Low-value</x:v>
      </x:c>
      <x:c r="X77" s="6" t="n">
        <x:v>73</x:v>
      </x:c>
      <x:c r="Y77" s="6" t="str">
        <x:v>Unconfirmed — joint query/page data required</x:v>
      </x:c>
    </x:row>
    <x:row r="78" ht="42" customHeight="1">
      <x:c r="A78" s="6" t="str">
        <x:v>rolls royce service dubai</x:v>
      </x:c>
      <x:c r="B78" s="14" t="n">
        <x:v>0</x:v>
      </x:c>
      <x:c r="C78" s="14" t="n">
        <x:v>247</x:v>
      </x:c>
      <x:c r="D78" s="15" t="n">
        <x:v>0</x:v>
      </x:c>
      <x:c r="E78" s="16" t="n">
        <x:v>22.84</x:v>
      </x:c>
      <x:c r="F78" s="6" t="str">
        <x:v>HIGH</x:v>
      </x:c>
      <x:c r="G78" s="17" t="n">
        <x:f>'Scoring'!I78</x:f>
        <x:v>80.5</x:v>
      </x:c>
      <x:c r="H78" s="6" t="str">
        <x:v>PRIORITIZE</x:v>
      </x:c>
      <x:c r="I78" s="6" t="str">
        <x:v>rolls-royce: Service and repair</x:v>
      </x:c>
      <x:c r="J78" s="6" t="str">
        <x:v>Primary</x:v>
      </x:c>
      <x:c r="K78" s="6" t="str">
        <x:v>Commercial service enquiry</x:v>
      </x:c>
      <x:c r="L78" s="6" t="str">
        <x:v>High</x:v>
      </x:c>
      <x:c r="M78" s="6" t="str">
        <x:v>https://digitecme.com/brands/rolls-royce-service-dubai</x:v>
      </x:c>
      <x:c r="N78" s="6" t="str">
        <x:v>Unknown — export has no query/page pairing</x:v>
      </x:c>
      <x:c r="O78" s="6" t="str">
        <x:v>Strengthen this primary intent owner</x:v>
      </x:c>
      <x:c r="P78" s="6" t="str">
        <x:v>Average position 22.84 makes ranking the main issue; avoid a CTR-only rewrite.</x:v>
      </x:c>
      <x:c r="Q78" s="6" t="str">
        <x:v>rolls-royce</x:v>
      </x:c>
      <x:c r="R78" s="6" t="str">
        <x:v>service-repair</x:v>
      </x:c>
      <x:c r="S78" s="6" t="str">
        <x:v>Dubai explicit</x:v>
      </x:c>
      <x:c r="T78" s="6" t="n">
        <x:v>5</x:v>
      </x:c>
      <x:c r="U78" s="6" t="str">
        <x:v>21–40</x:v>
      </x:c>
      <x:c r="V78" s="6" t="str">
        <x:v>Content, internal authority and owner alignment</x:v>
      </x:c>
      <x:c r="W78" s="6" t="str">
        <x:v>High-value commercial</x:v>
      </x:c>
      <x:c r="X78" s="6" t="n">
        <x:v>74</x:v>
      </x:c>
      <x:c r="Y78" s="6" t="str">
        <x:v>Unconfirmed — joint query/page data required</x:v>
      </x:c>
    </x:row>
    <x:row r="79" ht="42" customHeight="1">
      <x:c r="A79" s="6" t="str">
        <x:v>mercedes suspension repair dubai</x:v>
      </x:c>
      <x:c r="B79" s="14" t="n">
        <x:v>0</x:v>
      </x:c>
      <x:c r="C79" s="14" t="n">
        <x:v>245</x:v>
      </x:c>
      <x:c r="D79" s="15" t="n">
        <x:v>0</x:v>
      </x:c>
      <x:c r="E79" s="16" t="n">
        <x:v>16.22</x:v>
      </x:c>
      <x:c r="F79" s="6" t="str">
        <x:v>HIGH</x:v>
      </x:c>
      <x:c r="G79" s="17" t="n">
        <x:f>'Scoring'!I79</x:f>
        <x:v>80.5</x:v>
      </x:c>
      <x:c r="H79" s="6" t="str">
        <x:v>SPLIT</x:v>
      </x:c>
      <x:c r="I79" s="6" t="str">
        <x:v>mercedes-benz: Suspension repair</x:v>
      </x:c>
      <x:c r="J79" s="6" t="str">
        <x:v>Primary</x:v>
      </x:c>
      <x:c r="K79" s="6" t="str">
        <x:v>Commercial service enquiry</x:v>
      </x:c>
      <x:c r="L79" s="6" t="str">
        <x:v>High</x:v>
      </x:c>
      <x:c r="M79" s="6" t="str">
        <x:v>https://digitecme.com/services/mercedes-suspension-repair-dubai</x:v>
      </x:c>
      <x:c r="N79" s="6" t="str">
        <x:v>Unknown — export has no query/page pairing</x:v>
      </x:c>
      <x:c r="O79" s="6" t="str">
        <x:v>Use dedicated service owner</x:v>
      </x:c>
      <x:c r="P79" s="6" t="str">
        <x:v>245 impressions at average position 16.22; strengthen the appropriate intent owner and measure with a fresh comparable period.</x:v>
      </x:c>
      <x:c r="Q79" s="6" t="str">
        <x:v>mercedes-benz</x:v>
      </x:c>
      <x:c r="R79" s="6" t="str">
        <x:v>suspension-repair</x:v>
      </x:c>
      <x:c r="S79" s="6" t="str">
        <x:v>Dubai explicit</x:v>
      </x:c>
      <x:c r="T79" s="6" t="n">
        <x:v>5</x:v>
      </x:c>
      <x:c r="U79" s="6" t="str">
        <x:v>11–20</x:v>
      </x:c>
      <x:c r="V79" s="6" t="str">
        <x:v>Ranking and owner relevance</x:v>
      </x:c>
      <x:c r="W79" s="6" t="str">
        <x:v>High-value commercial</x:v>
      </x:c>
      <x:c r="X79" s="6" t="n">
        <x:v>75</x:v>
      </x:c>
      <x:c r="Y79" s="6" t="str">
        <x:v>Unconfirmed — joint query/page data required</x:v>
      </x:c>
    </x:row>
    <x:row r="80" ht="42" customHeight="1">
      <x:c r="A80" s="6" t="str">
        <x:v>mercedes repair specialist</x:v>
      </x:c>
      <x:c r="B80" s="14" t="n">
        <x:v>0</x:v>
      </x:c>
      <x:c r="C80" s="14" t="n">
        <x:v>242</x:v>
      </x:c>
      <x:c r="D80" s="15" t="n">
        <x:v>0</x:v>
      </x:c>
      <x:c r="E80" s="16" t="n">
        <x:v>16.51</x:v>
      </x:c>
      <x:c r="F80" s="6" t="str">
        <x:v>HIGH</x:v>
      </x:c>
      <x:c r="G80" s="17" t="n">
        <x:f>'Scoring'!I80</x:f>
        <x:v>75.5</x:v>
      </x:c>
      <x:c r="H80" s="6" t="str">
        <x:v>SUPPORT</x:v>
      </x:c>
      <x:c r="I80" s="6" t="str">
        <x:v>mercedes-benz: Service and repair (English)</x:v>
      </x:c>
      <x:c r="J80" s="6" t="str">
        <x:v>Secondary</x:v>
      </x:c>
      <x:c r="K80" s="6" t="str">
        <x:v>Commercial service enquiry</x:v>
      </x:c>
      <x:c r="L80" s="6" t="str">
        <x:v>High</x:v>
      </x:c>
      <x:c r="M80" s="6" t="str">
        <x:v>https://digitecme.com/brands/mercedes-benz-service-dubai</x:v>
      </x:c>
      <x:c r="N80" s="6" t="str">
        <x:v>Unknown — export has no query/page pairing</x:v>
      </x:c>
      <x:c r="O80" s="6" t="str">
        <x:v>Retain primary intent and support variants</x:v>
      </x:c>
      <x:c r="P80" s="6" t="str">
        <x:v>242 impressions at average position 16.51; strengthen the appropriate intent owner and measure with a fresh comparable period.</x:v>
      </x:c>
      <x:c r="Q80" s="6" t="str">
        <x:v>mercedes-benz</x:v>
      </x:c>
      <x:c r="R80" s="6" t="str">
        <x:v>service-repair</x:v>
      </x:c>
      <x:c r="S80" s="6" t="str">
        <x:v>Location unspecified</x:v>
      </x:c>
      <x:c r="T80" s="6" t="n">
        <x:v>5</x:v>
      </x:c>
      <x:c r="U80" s="6" t="str">
        <x:v>11–20</x:v>
      </x:c>
      <x:c r="V80" s="6" t="str">
        <x:v>Ranking and owner relevance</x:v>
      </x:c>
      <x:c r="W80" s="6" t="str">
        <x:v>Relevant supporting</x:v>
      </x:c>
      <x:c r="X80" s="6" t="n">
        <x:v>76</x:v>
      </x:c>
      <x:c r="Y80" s="6" t="str">
        <x:v>Unconfirmed — joint query/page data required</x:v>
      </x:c>
    </x:row>
    <x:row r="81" ht="42" customHeight="1">
      <x:c r="A81" s="6" t="str">
        <x:v>mercedes maintenance dubai</x:v>
      </x:c>
      <x:c r="B81" s="14" t="n">
        <x:v>0</x:v>
      </x:c>
      <x:c r="C81" s="14" t="n">
        <x:v>241</x:v>
      </x:c>
      <x:c r="D81" s="15" t="n">
        <x:v>0</x:v>
      </x:c>
      <x:c r="E81" s="16" t="n">
        <x:v>15.67</x:v>
      </x:c>
      <x:c r="F81" s="6" t="str">
        <x:v>HIGH</x:v>
      </x:c>
      <x:c r="G81" s="17" t="n">
        <x:f>'Scoring'!I81</x:f>
        <x:v>80.4</x:v>
      </x:c>
      <x:c r="H81" s="6" t="str">
        <x:v>SUPPORT</x:v>
      </x:c>
      <x:c r="I81" s="6" t="str">
        <x:v>mercedes-benz: Service and repair (English)</x:v>
      </x:c>
      <x:c r="J81" s="6" t="str">
        <x:v>Secondary</x:v>
      </x:c>
      <x:c r="K81" s="6" t="str">
        <x:v>Commercial service enquiry</x:v>
      </x:c>
      <x:c r="L81" s="6" t="str">
        <x:v>High</x:v>
      </x:c>
      <x:c r="M81" s="6" t="str">
        <x:v>https://digitecme.com/brands/mercedes-benz-service-dubai</x:v>
      </x:c>
      <x:c r="N81" s="6" t="str">
        <x:v>Unknown — export has no query/page pairing</x:v>
      </x:c>
      <x:c r="O81" s="6" t="str">
        <x:v>Retain primary intent and support variants</x:v>
      </x:c>
      <x:c r="P81" s="6" t="str">
        <x:v>241 impressions at average position 15.67; strengthen the appropriate intent owner and measure with a fresh comparable period.</x:v>
      </x:c>
      <x:c r="Q81" s="6" t="str">
        <x:v>mercedes-benz</x:v>
      </x:c>
      <x:c r="R81" s="6" t="str">
        <x:v>service-repair</x:v>
      </x:c>
      <x:c r="S81" s="6" t="str">
        <x:v>Dubai explicit</x:v>
      </x:c>
      <x:c r="T81" s="6" t="n">
        <x:v>5</x:v>
      </x:c>
      <x:c r="U81" s="6" t="str">
        <x:v>11–20</x:v>
      </x:c>
      <x:c r="V81" s="6" t="str">
        <x:v>Ranking and owner relevance</x:v>
      </x:c>
      <x:c r="W81" s="6" t="str">
        <x:v>Relevant supporting</x:v>
      </x:c>
      <x:c r="X81" s="6" t="n">
        <x:v>77</x:v>
      </x:c>
      <x:c r="Y81" s="6" t="str">
        <x:v>Unconfirmed — joint query/page data required</x:v>
      </x:c>
    </x:row>
    <x:row r="82" ht="42" customHeight="1">
      <x:c r="A82" s="6" t="str">
        <x:v>ceramic paint protection</x:v>
      </x:c>
      <x:c r="B82" s="14" t="n">
        <x:v>0</x:v>
      </x:c>
      <x:c r="C82" s="14" t="n">
        <x:v>234</x:v>
      </x:c>
      <x:c r="D82" s="15" t="n">
        <x:v>0</x:v>
      </x:c>
      <x:c r="E82" s="16" t="n">
        <x:v>37.68</x:v>
      </x:c>
      <x:c r="F82" s="6" t="str">
        <x:v>GROWTH</x:v>
      </x:c>
      <x:c r="G82" s="17" t="n">
        <x:f>'Scoring'!I82</x:f>
        <x:v>67.9</x:v>
      </x:c>
      <x:c r="H82" s="6" t="str">
        <x:v>SUPPORT</x:v>
      </x:c>
      <x:c r="I82" s="6" t="str">
        <x:v>All vehicles: Ceramic coating</x:v>
      </x:c>
      <x:c r="J82" s="6" t="str">
        <x:v>Secondary</x:v>
      </x:c>
      <x:c r="K82" s="6" t="str">
        <x:v>Commercial service enquiry</x:v>
      </x:c>
      <x:c r="L82" s="6" t="str">
        <x:v>High</x:v>
      </x:c>
      <x:c r="M82" s="6" t="str">
        <x:v>https://digitecme.com/services/ceramic-coating</x:v>
      </x:c>
      <x:c r="N82" s="6" t="str">
        <x:v>Unknown — export has no query/page pairing</x:v>
      </x:c>
      <x:c r="O82" s="6" t="str">
        <x:v>Retain primary intent and support variants</x:v>
      </x:c>
      <x:c r="P82" s="6" t="str">
        <x:v>Coating intent belongs to the ceramic page; distinguish its limitations from film. Average position 37.68 makes ranking the main issue; avoid a CTR-only rewrite.</x:v>
      </x:c>
      <x:c r="Q82" s="6" t="str">
        <x:v>All vehicles</x:v>
      </x:c>
      <x:c r="R82" s="6" t="str">
        <x:v>ceramic</x:v>
      </x:c>
      <x:c r="S82" s="6" t="str">
        <x:v>Location unspecified</x:v>
      </x:c>
      <x:c r="T82" s="6" t="n">
        <x:v>5</x:v>
      </x:c>
      <x:c r="U82" s="6" t="str">
        <x:v>21–40</x:v>
      </x:c>
      <x:c r="V82" s="6" t="str">
        <x:v>Content, internal authority and owner alignment</x:v>
      </x:c>
      <x:c r="W82" s="6" t="str">
        <x:v>Relevant supporting</x:v>
      </x:c>
      <x:c r="X82" s="6" t="n">
        <x:v>78</x:v>
      </x:c>
      <x:c r="Y82" s="6" t="str">
        <x:v>Unconfirmed — joint query/page data required</x:v>
      </x:c>
    </x:row>
    <x:row r="83" ht="42" customHeight="1">
      <x:c r="A83" s="6" t="str">
        <x:v>mercedes engine repair</x:v>
      </x:c>
      <x:c r="B83" s="14" t="n">
        <x:v>0</x:v>
      </x:c>
      <x:c r="C83" s="14" t="n">
        <x:v>221</x:v>
      </x:c>
      <x:c r="D83" s="15" t="n">
        <x:v>0</x:v>
      </x:c>
      <x:c r="E83" s="16" t="n">
        <x:v>56.81</x:v>
      </x:c>
      <x:c r="F83" s="6" t="str">
        <x:v>GROWTH</x:v>
      </x:c>
      <x:c r="G83" s="17" t="n">
        <x:f>'Scoring'!I83</x:f>
        <x:v>61.6</x:v>
      </x:c>
      <x:c r="H83" s="6" t="str">
        <x:v>SPLIT</x:v>
      </x:c>
      <x:c r="I83" s="6" t="str">
        <x:v>mercedes-benz: Engine and mechanical repair</x:v>
      </x:c>
      <x:c r="J83" s="6" t="str">
        <x:v>Secondary</x:v>
      </x:c>
      <x:c r="K83" s="6" t="str">
        <x:v>Commercial service enquiry</x:v>
      </x:c>
      <x:c r="L83" s="6" t="str">
        <x:v>High</x:v>
      </x:c>
      <x:c r="M83" s="6" t="str">
        <x:v>https://digitecme.com/services/mercedes-mechanical-repair-dubai</x:v>
      </x:c>
      <x:c r="N83" s="6" t="str">
        <x:v>Unknown — export has no query/page pairing</x:v>
      </x:c>
      <x:c r="O83" s="6" t="str">
        <x:v>Use dedicated service owner</x:v>
      </x:c>
      <x:c r="P83" s="6" t="str">
        <x:v>Average position 56.81 makes ranking the main issue; avoid a CTR-only rewrite.</x:v>
      </x:c>
      <x:c r="Q83" s="6" t="str">
        <x:v>mercedes-benz</x:v>
      </x:c>
      <x:c r="R83" s="6" t="str">
        <x:v>mechanical-repair</x:v>
      </x:c>
      <x:c r="S83" s="6" t="str">
        <x:v>Location unspecified</x:v>
      </x:c>
      <x:c r="T83" s="6" t="n">
        <x:v>5</x:v>
      </x:c>
      <x:c r="U83" s="6" t="str">
        <x:v>40+</x:v>
      </x:c>
      <x:c r="V83" s="6" t="str">
        <x:v>Relevance, capability, indexing and authority review</x:v>
      </x:c>
      <x:c r="W83" s="6" t="str">
        <x:v>High-value commercial</x:v>
      </x:c>
      <x:c r="X83" s="6" t="n">
        <x:v>79</x:v>
      </x:c>
      <x:c r="Y83" s="6" t="str">
        <x:v>Unconfirmed — joint query/page data required</x:v>
      </x:c>
    </x:row>
    <x:row r="84" ht="42" customHeight="1">
      <x:c r="A84" s="6" t="str">
        <x:v>car electrical repair dubai</x:v>
      </x:c>
      <x:c r="B84" s="14" t="n">
        <x:v>0</x:v>
      </x:c>
      <x:c r="C84" s="14" t="n">
        <x:v>218</x:v>
      </x:c>
      <x:c r="D84" s="15" t="n">
        <x:v>0</x:v>
      </x:c>
      <x:c r="E84" s="16" t="n">
        <x:v>56.26</x:v>
      </x:c>
      <x:c r="F84" s="6" t="str">
        <x:v>GROWTH</x:v>
      </x:c>
      <x:c r="G84" s="17" t="n">
        <x:f>'Scoring'!I84</x:f>
        <x:v>58.6</x:v>
      </x:c>
      <x:c r="H84" s="6" t="str">
        <x:v>PRIORITIZE</x:v>
      </x:c>
      <x:c r="I84" s="6" t="str">
        <x:v>All vehicles: Electrical repair</x:v>
      </x:c>
      <x:c r="J84" s="6" t="str">
        <x:v>Primary</x:v>
      </x:c>
      <x:c r="K84" s="6" t="str">
        <x:v>Commercial service enquiry</x:v>
      </x:c>
      <x:c r="L84" s="6" t="str">
        <x:v>High</x:v>
      </x:c>
      <x:c r="M84" s="6" t="str">
        <x:v>https://digitecme.com/services/auto-electrical-repair-dubai</x:v>
      </x:c>
      <x:c r="N84" s="6" t="str">
        <x:v>Unknown — export has no query/page pairing</x:v>
      </x:c>
      <x:c r="O84" s="6" t="str">
        <x:v>Strengthen this primary intent owner</x:v>
      </x:c>
      <x:c r="P84" s="6" t="str">
        <x:v>Average position 56.26 makes ranking the main issue; avoid a CTR-only rewrite.</x:v>
      </x:c>
      <x:c r="Q84" s="6" t="str">
        <x:v>All vehicles</x:v>
      </x:c>
      <x:c r="R84" s="6" t="str">
        <x:v>electrical-repair</x:v>
      </x:c>
      <x:c r="S84" s="6" t="str">
        <x:v>Dubai explicit</x:v>
      </x:c>
      <x:c r="T84" s="6" t="n">
        <x:v>3</x:v>
      </x:c>
      <x:c r="U84" s="6" t="str">
        <x:v>40+</x:v>
      </x:c>
      <x:c r="V84" s="6" t="str">
        <x:v>Relevance, capability, indexing and authority review</x:v>
      </x:c>
      <x:c r="W84" s="6" t="str">
        <x:v>High-value commercial</x:v>
      </x:c>
      <x:c r="X84" s="6" t="n">
        <x:v>80</x:v>
      </x:c>
      <x:c r="Y84" s="6" t="str">
        <x:v>Unconfirmed — joint query/page data required</x:v>
      </x:c>
    </x:row>
    <x:row r="85" ht="42" customHeight="1">
      <x:c r="A85" s="6" t="str">
        <x:v>car suspension repair dubai</x:v>
      </x:c>
      <x:c r="B85" s="14" t="n">
        <x:v>0</x:v>
      </x:c>
      <x:c r="C85" s="14" t="n">
        <x:v>214</x:v>
      </x:c>
      <x:c r="D85" s="15" t="n">
        <x:v>0</x:v>
      </x:c>
      <x:c r="E85" s="16" t="n">
        <x:v>34.83</x:v>
      </x:c>
      <x:c r="F85" s="6" t="str">
        <x:v>GROWTH</x:v>
      </x:c>
      <x:c r="G85" s="17" t="n">
        <x:f>'Scoring'!I85</x:f>
        <x:v>64.8</x:v>
      </x:c>
      <x:c r="H85" s="6" t="str">
        <x:v>PRIORITIZE</x:v>
      </x:c>
      <x:c r="I85" s="6" t="str">
        <x:v>All vehicles: Suspension repair (English)</x:v>
      </x:c>
      <x:c r="J85" s="6" t="str">
        <x:v>Primary</x:v>
      </x:c>
      <x:c r="K85" s="6" t="str">
        <x:v>Commercial service enquiry</x:v>
      </x:c>
      <x:c r="L85" s="6" t="str">
        <x:v>High</x:v>
      </x:c>
      <x:c r="M85" s="6" t="str">
        <x:v>https://digitecme.com/services/suspension-repair-dubai</x:v>
      </x:c>
      <x:c r="N85" s="6" t="str">
        <x:v>Unknown — export has no query/page pairing</x:v>
      </x:c>
      <x:c r="O85" s="6" t="str">
        <x:v>Strengthen this primary intent owner</x:v>
      </x:c>
      <x:c r="P85" s="6" t="str">
        <x:v>Average position 34.83 makes ranking the main issue; avoid a CTR-only rewrite.</x:v>
      </x:c>
      <x:c r="Q85" s="6" t="str">
        <x:v>All vehicles</x:v>
      </x:c>
      <x:c r="R85" s="6" t="str">
        <x:v>suspension-repair</x:v>
      </x:c>
      <x:c r="S85" s="6" t="str">
        <x:v>Dubai explicit</x:v>
      </x:c>
      <x:c r="T85" s="6" t="n">
        <x:v>3</x:v>
      </x:c>
      <x:c r="U85" s="6" t="str">
        <x:v>21–40</x:v>
      </x:c>
      <x:c r="V85" s="6" t="str">
        <x:v>Content, internal authority and owner alignment</x:v>
      </x:c>
      <x:c r="W85" s="6" t="str">
        <x:v>High-value commercial</x:v>
      </x:c>
      <x:c r="X85" s="6" t="n">
        <x:v>81</x:v>
      </x:c>
      <x:c r="Y85" s="6" t="str">
        <x:v>Unconfirmed — joint query/page data required</x:v>
      </x:c>
    </x:row>
    <x:row r="86" ht="42" customHeight="1">
      <x:c r="A86" s="6" t="str">
        <x:v>lamborghini service dubai</x:v>
      </x:c>
      <x:c r="B86" s="14" t="n">
        <x:v>0</x:v>
      </x:c>
      <x:c r="C86" s="14" t="n">
        <x:v>208</x:v>
      </x:c>
      <x:c r="D86" s="15" t="n">
        <x:v>0</x:v>
      </x:c>
      <x:c r="E86" s="16" t="n">
        <x:v>19.91</x:v>
      </x:c>
      <x:c r="F86" s="6" t="str">
        <x:v>HIGH</x:v>
      </x:c>
      <x:c r="G86" s="17" t="n">
        <x:f>'Scoring'!I86</x:f>
        <x:v>80.2</x:v>
      </x:c>
      <x:c r="H86" s="6" t="str">
        <x:v>PRIORITIZE</x:v>
      </x:c>
      <x:c r="I86" s="6" t="str">
        <x:v>lamborghini: Service and repair</x:v>
      </x:c>
      <x:c r="J86" s="6" t="str">
        <x:v>Primary</x:v>
      </x:c>
      <x:c r="K86" s="6" t="str">
        <x:v>Commercial service enquiry</x:v>
      </x:c>
      <x:c r="L86" s="6" t="str">
        <x:v>High</x:v>
      </x:c>
      <x:c r="M86" s="6" t="str">
        <x:v>https://digitecme.com/brands/lamborghini-service-dubai</x:v>
      </x:c>
      <x:c r="N86" s="6" t="str">
        <x:v>Unknown — export has no query/page pairing</x:v>
      </x:c>
      <x:c r="O86" s="6" t="str">
        <x:v>Strengthen this primary intent owner</x:v>
      </x:c>
      <x:c r="P86" s="6" t="str">
        <x:v>208 impressions at average position 19.91; strengthen the appropriate intent owner and measure with a fresh comparable period.</x:v>
      </x:c>
      <x:c r="Q86" s="6" t="str">
        <x:v>lamborghini</x:v>
      </x:c>
      <x:c r="R86" s="6" t="str">
        <x:v>service-repair</x:v>
      </x:c>
      <x:c r="S86" s="6" t="str">
        <x:v>Dubai explicit</x:v>
      </x:c>
      <x:c r="T86" s="6" t="n">
        <x:v>5</x:v>
      </x:c>
      <x:c r="U86" s="6" t="str">
        <x:v>11–20</x:v>
      </x:c>
      <x:c r="V86" s="6" t="str">
        <x:v>Ranking and owner relevance</x:v>
      </x:c>
      <x:c r="W86" s="6" t="str">
        <x:v>High-value commercial</x:v>
      </x:c>
      <x:c r="X86" s="6" t="n">
        <x:v>82</x:v>
      </x:c>
      <x:c r="Y86" s="6" t="str">
        <x:v>Unconfirmed — joint query/page data required</x:v>
      </x:c>
    </x:row>
    <x:row r="87" ht="42" customHeight="1">
      <x:c r="A87" s="6" t="str">
        <x:v>lamborghini repair dubai</x:v>
      </x:c>
      <x:c r="B87" s="14" t="n">
        <x:v>0</x:v>
      </x:c>
      <x:c r="C87" s="14" t="n">
        <x:v>198</x:v>
      </x:c>
      <x:c r="D87" s="15" t="n">
        <x:v>0</x:v>
      </x:c>
      <x:c r="E87" s="16" t="n">
        <x:v>24.46</x:v>
      </x:c>
      <x:c r="F87" s="6" t="str">
        <x:v>HIGH</x:v>
      </x:c>
      <x:c r="G87" s="17" t="n">
        <x:f>'Scoring'!I87</x:f>
        <x:v>80.2</x:v>
      </x:c>
      <x:c r="H87" s="6" t="str">
        <x:v>SUPPORT</x:v>
      </x:c>
      <x:c r="I87" s="6" t="str">
        <x:v>lamborghini: Service and repair</x:v>
      </x:c>
      <x:c r="J87" s="6" t="str">
        <x:v>Secondary</x:v>
      </x:c>
      <x:c r="K87" s="6" t="str">
        <x:v>Commercial service enquiry</x:v>
      </x:c>
      <x:c r="L87" s="6" t="str">
        <x:v>High</x:v>
      </x:c>
      <x:c r="M87" s="6" t="str">
        <x:v>https://digitecme.com/brands/lamborghini-service-dubai</x:v>
      </x:c>
      <x:c r="N87" s="6" t="str">
        <x:v>Unknown — export has no query/page pairing</x:v>
      </x:c>
      <x:c r="O87" s="6" t="str">
        <x:v>Retain primary intent and support variants</x:v>
      </x:c>
      <x:c r="P87" s="6" t="str">
        <x:v>Average position 24.46 makes ranking the main issue; avoid a CTR-only rewrite.</x:v>
      </x:c>
      <x:c r="Q87" s="6" t="str">
        <x:v>lamborghini</x:v>
      </x:c>
      <x:c r="R87" s="6" t="str">
        <x:v>service-repair</x:v>
      </x:c>
      <x:c r="S87" s="6" t="str">
        <x:v>Dubai explicit</x:v>
      </x:c>
      <x:c r="T87" s="6" t="n">
        <x:v>5</x:v>
      </x:c>
      <x:c r="U87" s="6" t="str">
        <x:v>21–40</x:v>
      </x:c>
      <x:c r="V87" s="6" t="str">
        <x:v>Content, internal authority and owner alignment</x:v>
      </x:c>
      <x:c r="W87" s="6" t="str">
        <x:v>Relevant supporting</x:v>
      </x:c>
      <x:c r="X87" s="6" t="n">
        <x:v>83</x:v>
      </x:c>
      <x:c r="Y87" s="6" t="str">
        <x:v>Unconfirmed — joint query/page data required</x:v>
      </x:c>
    </x:row>
    <x:row r="88" ht="42" customHeight="1">
      <x:c r="A88" s="6" t="str">
        <x:v>aston martin service dubai</x:v>
      </x:c>
      <x:c r="B88" s="14" t="n">
        <x:v>0</x:v>
      </x:c>
      <x:c r="C88" s="14" t="n">
        <x:v>194</x:v>
      </x:c>
      <x:c r="D88" s="15" t="n">
        <x:v>0</x:v>
      </x:c>
      <x:c r="E88" s="16" t="n">
        <x:v>18.67</x:v>
      </x:c>
      <x:c r="F88" s="6" t="str">
        <x:v>HIGH</x:v>
      </x:c>
      <x:c r="G88" s="17" t="n">
        <x:f>'Scoring'!I88</x:f>
        <x:v>80.1</x:v>
      </x:c>
      <x:c r="H88" s="6" t="str">
        <x:v>SUPPORT</x:v>
      </x:c>
      <x:c r="I88" s="6" t="str">
        <x:v>aston-martin: Service and repair</x:v>
      </x:c>
      <x:c r="J88" s="6" t="str">
        <x:v>Secondary</x:v>
      </x:c>
      <x:c r="K88" s="6" t="str">
        <x:v>Commercial service enquiry</x:v>
      </x:c>
      <x:c r="L88" s="6" t="str">
        <x:v>High</x:v>
      </x:c>
      <x:c r="M88" s="6" t="str">
        <x:v>https://digitecme.com/brands/aston-martin-service-dubai</x:v>
      </x:c>
      <x:c r="N88" s="6" t="str">
        <x:v>Unknown — export has no query/page pairing</x:v>
      </x:c>
      <x:c r="O88" s="6" t="str">
        <x:v>Retain primary intent and support variants</x:v>
      </x:c>
      <x:c r="P88" s="6" t="str">
        <x:v>194 impressions at average position 18.67; strengthen the appropriate intent owner and measure with a fresh comparable period.</x:v>
      </x:c>
      <x:c r="Q88" s="6" t="str">
        <x:v>aston-martin</x:v>
      </x:c>
      <x:c r="R88" s="6" t="str">
        <x:v>service-repair</x:v>
      </x:c>
      <x:c r="S88" s="6" t="str">
        <x:v>Dubai explicit</x:v>
      </x:c>
      <x:c r="T88" s="6" t="n">
        <x:v>5</x:v>
      </x:c>
      <x:c r="U88" s="6" t="str">
        <x:v>11–20</x:v>
      </x:c>
      <x:c r="V88" s="6" t="str">
        <x:v>Ranking and owner relevance</x:v>
      </x:c>
      <x:c r="W88" s="6" t="str">
        <x:v>Relevant supporting</x:v>
      </x:c>
      <x:c r="X88" s="6" t="n">
        <x:v>84</x:v>
      </x:c>
      <x:c r="Y88" s="6" t="str">
        <x:v>Unconfirmed — joint query/page data required</x:v>
      </x:c>
    </x:row>
    <x:row r="89" ht="57" customHeight="1">
      <x:c r="A89" s="6" t="str">
        <x:v>digitech dubai</x:v>
      </x:c>
      <x:c r="B89" s="14" t="n">
        <x:v>0</x:v>
      </x:c>
      <x:c r="C89" s="14" t="n">
        <x:v>193</x:v>
      </x:c>
      <x:c r="D89" s="15" t="n">
        <x:v>0</x:v>
      </x:c>
      <x:c r="E89" s="16" t="n">
        <x:v>6.9</x:v>
      </x:c>
      <x:c r="F89" s="6" t="str">
        <x:v>DEPRIORITIZE</x:v>
      </x:c>
      <x:c r="G89" s="17" t="n">
        <x:f>'Scoring'!I89</x:f>
        <x:v>51.8</x:v>
      </x:c>
      <x:c r="H89" s="6" t="str">
        <x:v>DEPRIORITIZE</x:v>
      </x:c>
      <x:c r="I89" s="6" t="str">
        <x:v>DIGI-TEC: Business navigation</x:v>
      </x:c>
      <x:c r="J89" s="6" t="str">
        <x:v>Secondary</x:v>
      </x:c>
      <x:c r="K89" s="6" t="str">
        <x:v>Navigational</x:v>
      </x:c>
      <x:c r="L89" s="6" t="str">
        <x:v>Medium</x:v>
      </x:c>
      <x:c r="M89" s="6" t="str">
        <x:v>https://digitecme.com/</x:v>
      </x:c>
      <x:c r="N89" s="6" t="str">
        <x:v>Unknown — export has no query/page pairing</x:v>
      </x:c>
      <x:c r="O89" s="6" t="str">
        <x:v>Confirm scope or deprioritize</x:v>
      </x:c>
      <x:c r="P89" s="6" t="str">
        <x:v>Ambiguous business-name variant; automotive intent cannot be established from this export. Zero clicks from 193 impressions at average position 6.90; inspect query/page, country/device and SERP before attributing this to the snippet.</x:v>
      </x:c>
      <x:c r="Q89" s="6" t="str">
        <x:v>DIGI-TEC</x:v>
      </x:c>
      <x:c r="R89" s="6" t="str">
        <x:v>brand-navigation</x:v>
      </x:c>
      <x:c r="S89" s="6" t="str">
        <x:v>Dubai explicit</x:v>
      </x:c>
      <x:c r="T89" s="6" t="n">
        <x:v>3</x:v>
      </x:c>
      <x:c r="U89" s="6" t="str">
        <x:v>4–10</x:v>
      </x:c>
      <x:c r="V89" s="6" t="str">
        <x:v>Page-one CTR review and top-three relevance</x:v>
      </x:c>
      <x:c r="W89" s="6" t="str">
        <x:v>Relevant supporting</x:v>
      </x:c>
      <x:c r="X89" s="6" t="n">
        <x:v>85</x:v>
      </x:c>
      <x:c r="Y89" s="6" t="str">
        <x:v>Unconfirmed — joint query/page data required</x:v>
      </x:c>
    </x:row>
    <x:row r="90" ht="57" customHeight="1">
      <x:c r="A90" s="6" t="str">
        <x:v>car paint protection dubai</x:v>
      </x:c>
      <x:c r="B90" s="14" t="n">
        <x:v>0</x:v>
      </x:c>
      <x:c r="C90" s="14" t="n">
        <x:v>193</x:v>
      </x:c>
      <x:c r="D90" s="15" t="n">
        <x:v>0</x:v>
      </x:c>
      <x:c r="E90" s="16" t="n">
        <x:v>33.02</x:v>
      </x:c>
      <x:c r="F90" s="6" t="str">
        <x:v>GROWTH</x:v>
      </x:c>
      <x:c r="G90" s="17" t="n">
        <x:f>'Scoring'!I90</x:f>
        <x:v>72.6</x:v>
      </x:c>
      <x:c r="H90" s="6" t="str">
        <x:v>PRIORITIZE</x:v>
      </x:c>
      <x:c r="I90" s="6" t="str">
        <x:v>All vehicles: Paint care and protection comparison</x:v>
      </x:c>
      <x:c r="J90" s="6" t="str">
        <x:v>Primary</x:v>
      </x:c>
      <x:c r="K90" s="6" t="str">
        <x:v>Commercial service enquiry</x:v>
      </x:c>
      <x:c r="L90" s="6" t="str">
        <x:v>High</x:v>
      </x:c>
      <x:c r="M90" s="6" t="str">
        <x:v>https://digitecme.com/services/paint-protection-dubai</x:v>
      </x:c>
      <x:c r="N90" s="6" t="str">
        <x:v>Unknown — export has no query/page pairing</x:v>
      </x:c>
      <x:c r="O90" s="6" t="str">
        <x:v>Strengthen this primary intent owner</x:v>
      </x:c>
      <x:c r="P90" s="6" t="str">
        <x:v>Broad protection intent is mixed; the comparison hub should direct film and coating enquiries to their specialist pages. Average position 33.02 makes ranking the main issue; avoid a CTR-only rewrite.</x:v>
      </x:c>
      <x:c r="Q90" s="6" t="str">
        <x:v>All vehicles</x:v>
      </x:c>
      <x:c r="R90" s="6" t="str">
        <x:v>paint-care</x:v>
      </x:c>
      <x:c r="S90" s="6" t="str">
        <x:v>Dubai explicit</x:v>
      </x:c>
      <x:c r="T90" s="6" t="n">
        <x:v>5</x:v>
      </x:c>
      <x:c r="U90" s="6" t="str">
        <x:v>21–40</x:v>
      </x:c>
      <x:c r="V90" s="6" t="str">
        <x:v>Content, internal authority and owner alignment</x:v>
      </x:c>
      <x:c r="W90" s="6" t="str">
        <x:v>High-value commercial</x:v>
      </x:c>
      <x:c r="X90" s="6" t="n">
        <x:v>86</x:v>
      </x:c>
      <x:c r="Y90" s="6" t="str">
        <x:v>Unconfirmed — joint query/page data required</x:v>
      </x:c>
    </x:row>
    <x:row r="91" ht="42" customHeight="1">
      <x:c r="A91" s="6" t="str">
        <x:v>mercedes benz repair dubai</x:v>
      </x:c>
      <x:c r="B91" s="14" t="n">
        <x:v>0</x:v>
      </x:c>
      <x:c r="C91" s="14" t="n">
        <x:v>192</x:v>
      </x:c>
      <x:c r="D91" s="15" t="n">
        <x:v>0</x:v>
      </x:c>
      <x:c r="E91" s="16" t="n">
        <x:v>13.04</x:v>
      </x:c>
      <x:c r="F91" s="6" t="str">
        <x:v>CRITICAL</x:v>
      </x:c>
      <x:c r="G91" s="17" t="n">
        <x:f>'Scoring'!I91</x:f>
        <x:v>87.6</x:v>
      </x:c>
      <x:c r="H91" s="6" t="str">
        <x:v>SUPPORT</x:v>
      </x:c>
      <x:c r="I91" s="6" t="str">
        <x:v>mercedes-benz: Service and repair (English)</x:v>
      </x:c>
      <x:c r="J91" s="6" t="str">
        <x:v>Secondary</x:v>
      </x:c>
      <x:c r="K91" s="6" t="str">
        <x:v>Commercial service enquiry</x:v>
      </x:c>
      <x:c r="L91" s="6" t="str">
        <x:v>High</x:v>
      </x:c>
      <x:c r="M91" s="6" t="str">
        <x:v>https://digitecme.com/brands/mercedes-benz-service-dubai</x:v>
      </x:c>
      <x:c r="N91" s="6" t="str">
        <x:v>Unknown — export has no query/page pairing</x:v>
      </x:c>
      <x:c r="O91" s="6" t="str">
        <x:v>Retain primary intent and support variants</x:v>
      </x:c>
      <x:c r="P91" s="6" t="str">
        <x:v>192 impressions at average position 13.04; strengthen the appropriate intent owner and measure with a fresh comparable period.</x:v>
      </x:c>
      <x:c r="Q91" s="6" t="str">
        <x:v>mercedes-benz</x:v>
      </x:c>
      <x:c r="R91" s="6" t="str">
        <x:v>service-repair</x:v>
      </x:c>
      <x:c r="S91" s="6" t="str">
        <x:v>Dubai explicit</x:v>
      </x:c>
      <x:c r="T91" s="6" t="n">
        <x:v>5</x:v>
      </x:c>
      <x:c r="U91" s="6" t="str">
        <x:v>11–20</x:v>
      </x:c>
      <x:c r="V91" s="6" t="str">
        <x:v>Ranking and owner relevance</x:v>
      </x:c>
      <x:c r="W91" s="6" t="str">
        <x:v>Relevant supporting</x:v>
      </x:c>
      <x:c r="X91" s="6" t="n">
        <x:v>87</x:v>
      </x:c>
      <x:c r="Y91" s="6" t="str">
        <x:v>Unconfirmed — joint query/page data required</x:v>
      </x:c>
    </x:row>
    <x:row r="92" ht="42" customHeight="1">
      <x:c r="A92" s="6" t="str">
        <x:v>car battery replacement dubai</x:v>
      </x:c>
      <x:c r="B92" s="14" t="n">
        <x:v>0</x:v>
      </x:c>
      <x:c r="C92" s="14" t="n">
        <x:v>192</x:v>
      </x:c>
      <x:c r="D92" s="15" t="n">
        <x:v>0</x:v>
      </x:c>
      <x:c r="E92" s="16" t="n">
        <x:v>38.1</x:v>
      </x:c>
      <x:c r="F92" s="6" t="str">
        <x:v>GROWTH</x:v>
      </x:c>
      <x:c r="G92" s="17" t="n">
        <x:f>'Scoring'!I92</x:f>
        <x:v>64.6</x:v>
      </x:c>
      <x:c r="H92" s="6" t="str">
        <x:v>SUPPORT</x:v>
      </x:c>
      <x:c r="I92" s="6" t="str">
        <x:v>All vehicles: Battery service (English)</x:v>
      </x:c>
      <x:c r="J92" s="6" t="str">
        <x:v>Secondary</x:v>
      </x:c>
      <x:c r="K92" s="6" t="str">
        <x:v>Commercial service enquiry</x:v>
      </x:c>
      <x:c r="L92" s="6" t="str">
        <x:v>High</x:v>
      </x:c>
      <x:c r="M92" s="6" t="str">
        <x:v>https://digitecme.com/services/battery-replacement-dubai</x:v>
      </x:c>
      <x:c r="N92" s="6" t="str">
        <x:v>Unknown — export has no query/page pairing</x:v>
      </x:c>
      <x:c r="O92" s="6" t="str">
        <x:v>Retain primary intent and support variants</x:v>
      </x:c>
      <x:c r="P92" s="6" t="str">
        <x:v>Average position 38.10 makes ranking the main issue; avoid a CTR-only rewrite.</x:v>
      </x:c>
      <x:c r="Q92" s="6" t="str">
        <x:v>All vehicles</x:v>
      </x:c>
      <x:c r="R92" s="6" t="str">
        <x:v>battery-replacement</x:v>
      </x:c>
      <x:c r="S92" s="6" t="str">
        <x:v>Dubai explicit</x:v>
      </x:c>
      <x:c r="T92" s="6" t="n">
        <x:v>3</x:v>
      </x:c>
      <x:c r="U92" s="6" t="str">
        <x:v>21–40</x:v>
      </x:c>
      <x:c r="V92" s="6" t="str">
        <x:v>Content, internal authority and owner alignment</x:v>
      </x:c>
      <x:c r="W92" s="6" t="str">
        <x:v>Relevant supporting</x:v>
      </x:c>
      <x:c r="X92" s="6" t="n">
        <x:v>88</x:v>
      </x:c>
      <x:c r="Y92" s="6" t="str">
        <x:v>Unconfirmed — joint query/page data required</x:v>
      </x:c>
    </x:row>
    <x:row r="93" ht="42" customHeight="1">
      <x:c r="A93" s="6" t="str">
        <x:v>suspension repair dubai</x:v>
      </x:c>
      <x:c r="B93" s="14" t="n">
        <x:v>0</x:v>
      </x:c>
      <x:c r="C93" s="14" t="n">
        <x:v>191</x:v>
      </x:c>
      <x:c r="D93" s="15" t="n">
        <x:v>0</x:v>
      </x:c>
      <x:c r="E93" s="16" t="n">
        <x:v>33.87</x:v>
      </x:c>
      <x:c r="F93" s="6" t="str">
        <x:v>GROWTH</x:v>
      </x:c>
      <x:c r="G93" s="17" t="n">
        <x:f>'Scoring'!I93</x:f>
        <x:v>64.6</x:v>
      </x:c>
      <x:c r="H93" s="6" t="str">
        <x:v>SUPPORT</x:v>
      </x:c>
      <x:c r="I93" s="6" t="str">
        <x:v>All vehicles: Suspension repair (English)</x:v>
      </x:c>
      <x:c r="J93" s="6" t="str">
        <x:v>Secondary</x:v>
      </x:c>
      <x:c r="K93" s="6" t="str">
        <x:v>Commercial service enquiry</x:v>
      </x:c>
      <x:c r="L93" s="6" t="str">
        <x:v>High</x:v>
      </x:c>
      <x:c r="M93" s="6" t="str">
        <x:v>https://digitecme.com/services/suspension-repair-dubai</x:v>
      </x:c>
      <x:c r="N93" s="6" t="str">
        <x:v>Unknown — export has no query/page pairing</x:v>
      </x:c>
      <x:c r="O93" s="6" t="str">
        <x:v>Retain primary intent and support variants</x:v>
      </x:c>
      <x:c r="P93" s="6" t="str">
        <x:v>Average position 33.87 makes ranking the main issue; avoid a CTR-only rewrite.</x:v>
      </x:c>
      <x:c r="Q93" s="6" t="str">
        <x:v>All vehicles</x:v>
      </x:c>
      <x:c r="R93" s="6" t="str">
        <x:v>suspension-repair</x:v>
      </x:c>
      <x:c r="S93" s="6" t="str">
        <x:v>Dubai explicit</x:v>
      </x:c>
      <x:c r="T93" s="6" t="n">
        <x:v>3</x:v>
      </x:c>
      <x:c r="U93" s="6" t="str">
        <x:v>21–40</x:v>
      </x:c>
      <x:c r="V93" s="6" t="str">
        <x:v>Content, internal authority and owner alignment</x:v>
      </x:c>
      <x:c r="W93" s="6" t="str">
        <x:v>Relevant supporting</x:v>
      </x:c>
      <x:c r="X93" s="6" t="n">
        <x:v>89</x:v>
      </x:c>
      <x:c r="Y93" s="6" t="str">
        <x:v>Unconfirmed — joint query/page data required</x:v>
      </x:c>
    </x:row>
    <x:row r="94" ht="42" customHeight="1">
      <x:c r="A94" s="6" t="str">
        <x:v>car brake maintenance in dubai</x:v>
      </x:c>
      <x:c r="B94" s="14" t="n">
        <x:v>0</x:v>
      </x:c>
      <x:c r="C94" s="14" t="n">
        <x:v>186</x:v>
      </x:c>
      <x:c r="D94" s="15" t="n">
        <x:v>0</x:v>
      </x:c>
      <x:c r="E94" s="16" t="n">
        <x:v>50.17</x:v>
      </x:c>
      <x:c r="F94" s="6" t="str">
        <x:v>GROWTH</x:v>
      </x:c>
      <x:c r="G94" s="17" t="n">
        <x:f>'Scoring'!I94</x:f>
        <x:v>58.3</x:v>
      </x:c>
      <x:c r="H94" s="6" t="str">
        <x:v>SUPPORT</x:v>
      </x:c>
      <x:c r="I94" s="6" t="str">
        <x:v>All vehicles: Brake repair (English)</x:v>
      </x:c>
      <x:c r="J94" s="6" t="str">
        <x:v>Secondary</x:v>
      </x:c>
      <x:c r="K94" s="6" t="str">
        <x:v>Commercial service enquiry</x:v>
      </x:c>
      <x:c r="L94" s="6" t="str">
        <x:v>High</x:v>
      </x:c>
      <x:c r="M94" s="6" t="str">
        <x:v>https://digitecme.com/services/brake-repair-dubai</x:v>
      </x:c>
      <x:c r="N94" s="6" t="str">
        <x:v>Unknown — export has no query/page pairing</x:v>
      </x:c>
      <x:c r="O94" s="6" t="str">
        <x:v>Retain primary intent and support variants</x:v>
      </x:c>
      <x:c r="P94" s="6" t="str">
        <x:v>Average position 50.17 makes ranking the main issue; avoid a CTR-only rewrite.</x:v>
      </x:c>
      <x:c r="Q94" s="6" t="str">
        <x:v>All vehicles</x:v>
      </x:c>
      <x:c r="R94" s="6" t="str">
        <x:v>brake-repair</x:v>
      </x:c>
      <x:c r="S94" s="6" t="str">
        <x:v>Dubai explicit</x:v>
      </x:c>
      <x:c r="T94" s="6" t="n">
        <x:v>3</x:v>
      </x:c>
      <x:c r="U94" s="6" t="str">
        <x:v>40+</x:v>
      </x:c>
      <x:c r="V94" s="6" t="str">
        <x:v>Relevance, capability, indexing and authority review</x:v>
      </x:c>
      <x:c r="W94" s="6" t="str">
        <x:v>Relevant supporting</x:v>
      </x:c>
      <x:c r="X94" s="6" t="n">
        <x:v>90</x:v>
      </x:c>
      <x:c r="Y94" s="6" t="str">
        <x:v>Unconfirmed — joint query/page data required</x:v>
      </x:c>
    </x:row>
    <x:row r="95" ht="42" customHeight="1">
      <x:c r="A95" s="6" t="str">
        <x:v>mercedes engine repair dubai</x:v>
      </x:c>
      <x:c r="B95" s="14" t="n">
        <x:v>0</x:v>
      </x:c>
      <x:c r="C95" s="14" t="n">
        <x:v>184</x:v>
      </x:c>
      <x:c r="D95" s="15" t="n">
        <x:v>0</x:v>
      </x:c>
      <x:c r="E95" s="16" t="n">
        <x:v>17.47</x:v>
      </x:c>
      <x:c r="F95" s="6" t="str">
        <x:v>HIGH</x:v>
      </x:c>
      <x:c r="G95" s="17" t="n">
        <x:f>'Scoring'!I95</x:f>
        <x:v>80.1</x:v>
      </x:c>
      <x:c r="H95" s="6" t="str">
        <x:v>SPLIT</x:v>
      </x:c>
      <x:c r="I95" s="6" t="str">
        <x:v>mercedes-benz: Engine and mechanical repair</x:v>
      </x:c>
      <x:c r="J95" s="6" t="str">
        <x:v>Primary</x:v>
      </x:c>
      <x:c r="K95" s="6" t="str">
        <x:v>Commercial service enquiry</x:v>
      </x:c>
      <x:c r="L95" s="6" t="str">
        <x:v>High</x:v>
      </x:c>
      <x:c r="M95" s="6" t="str">
        <x:v>https://digitecme.com/services/mercedes-mechanical-repair-dubai</x:v>
      </x:c>
      <x:c r="N95" s="6" t="str">
        <x:v>Unknown — export has no query/page pairing</x:v>
      </x:c>
      <x:c r="O95" s="6" t="str">
        <x:v>Use dedicated service owner</x:v>
      </x:c>
      <x:c r="P95" s="6" t="str">
        <x:v>184 impressions at average position 17.47; strengthen the appropriate intent owner and measure with a fresh comparable period.</x:v>
      </x:c>
      <x:c r="Q95" s="6" t="str">
        <x:v>mercedes-benz</x:v>
      </x:c>
      <x:c r="R95" s="6" t="str">
        <x:v>mechanical-repair</x:v>
      </x:c>
      <x:c r="S95" s="6" t="str">
        <x:v>Dubai explicit</x:v>
      </x:c>
      <x:c r="T95" s="6" t="n">
        <x:v>5</x:v>
      </x:c>
      <x:c r="U95" s="6" t="str">
        <x:v>11–20</x:v>
      </x:c>
      <x:c r="V95" s="6" t="str">
        <x:v>Ranking and owner relevance</x:v>
      </x:c>
      <x:c r="W95" s="6" t="str">
        <x:v>High-value commercial</x:v>
      </x:c>
      <x:c r="X95" s="6" t="n">
        <x:v>91</x:v>
      </x:c>
      <x:c r="Y95" s="6" t="str">
        <x:v>Unconfirmed — joint query/page data required</x:v>
      </x:c>
    </x:row>
    <x:row r="96" ht="42" customHeight="1">
      <x:c r="A96" s="6" t="str">
        <x:v>paint protection film near me</x:v>
      </x:c>
      <x:c r="B96" s="14" t="n">
        <x:v>0</x:v>
      </x:c>
      <x:c r="C96" s="14" t="n">
        <x:v>183</x:v>
      </x:c>
      <x:c r="D96" s="15" t="n">
        <x:v>0</x:v>
      </x:c>
      <x:c r="E96" s="16" t="n">
        <x:v>24.75</x:v>
      </x:c>
      <x:c r="F96" s="6" t="str">
        <x:v>HIGH</x:v>
      </x:c>
      <x:c r="G96" s="17" t="n">
        <x:f>'Scoring'!I96</x:f>
        <x:v>80</x:v>
      </x:c>
      <x:c r="H96" s="6" t="str">
        <x:v>SUPPORT</x:v>
      </x:c>
      <x:c r="I96" s="6" t="str">
        <x:v>All vehicles: Paint protection film</x:v>
      </x:c>
      <x:c r="J96" s="6" t="str">
        <x:v>Secondary</x:v>
      </x:c>
      <x:c r="K96" s="6" t="str">
        <x:v>Commercial service enquiry</x:v>
      </x:c>
      <x:c r="L96" s="6" t="str">
        <x:v>High</x:v>
      </x:c>
      <x:c r="M96" s="6" t="str">
        <x:v>https://digitecme.com/services/paint-protection-film</x:v>
      </x:c>
      <x:c r="N96" s="6" t="str">
        <x:v>Unknown — export has no query/page pairing</x:v>
      </x:c>
      <x:c r="O96" s="6" t="str">
        <x:v>Retain primary intent and support variants</x:v>
      </x:c>
      <x:c r="P96" s="6" t="str">
        <x:v>Film intent belongs to the PPF page; vehicle and district terms are secondary context. Average position 24.75 makes ranking the main issue; avoid a CTR-only rewrite.</x:v>
      </x:c>
      <x:c r="Q96" s="6" t="str">
        <x:v>All vehicles</x:v>
      </x:c>
      <x:c r="R96" s="6" t="str">
        <x:v>ppf</x:v>
      </x:c>
      <x:c r="S96" s="6" t="str">
        <x:v>Near me; location unknown</x:v>
      </x:c>
      <x:c r="T96" s="6" t="n">
        <x:v>5</x:v>
      </x:c>
      <x:c r="U96" s="6" t="str">
        <x:v>21–40</x:v>
      </x:c>
      <x:c r="V96" s="6" t="str">
        <x:v>Content, internal authority and owner alignment</x:v>
      </x:c>
      <x:c r="W96" s="6" t="str">
        <x:v>Relevant supporting</x:v>
      </x:c>
      <x:c r="X96" s="6" t="n">
        <x:v>92</x:v>
      </x:c>
      <x:c r="Y96" s="6" t="str">
        <x:v>Unconfirmed — joint query/page data required</x:v>
      </x:c>
    </x:row>
    <x:row r="97" ht="42" customHeight="1">
      <x:c r="A97" s="6" t="str">
        <x:v>battery replacement</x:v>
      </x:c>
      <x:c r="B97" s="14" t="n">
        <x:v>0</x:v>
      </x:c>
      <x:c r="C97" s="14" t="n">
        <x:v>181</x:v>
      </x:c>
      <x:c r="D97" s="15" t="n">
        <x:v>0</x:v>
      </x:c>
      <x:c r="E97" s="16" t="n">
        <x:v>36.87</x:v>
      </x:c>
      <x:c r="F97" s="6" t="str">
        <x:v>GROWTH</x:v>
      </x:c>
      <x:c r="G97" s="17" t="n">
        <x:f>'Scoring'!I97</x:f>
        <x:v>59.5</x:v>
      </x:c>
      <x:c r="H97" s="6" t="str">
        <x:v>SUPPORT</x:v>
      </x:c>
      <x:c r="I97" s="6" t="str">
        <x:v>All vehicles: Battery service (English)</x:v>
      </x:c>
      <x:c r="J97" s="6" t="str">
        <x:v>Secondary</x:v>
      </x:c>
      <x:c r="K97" s="6" t="str">
        <x:v>Commercial service enquiry</x:v>
      </x:c>
      <x:c r="L97" s="6" t="str">
        <x:v>High</x:v>
      </x:c>
      <x:c r="M97" s="6" t="str">
        <x:v>https://digitecme.com/services/battery-replacement-dubai</x:v>
      </x:c>
      <x:c r="N97" s="6" t="str">
        <x:v>Unknown — export has no query/page pairing</x:v>
      </x:c>
      <x:c r="O97" s="6" t="str">
        <x:v>Retain primary intent and support variants</x:v>
      </x:c>
      <x:c r="P97" s="6" t="str">
        <x:v>Average position 36.87 makes ranking the main issue; avoid a CTR-only rewrite.</x:v>
      </x:c>
      <x:c r="Q97" s="6" t="str">
        <x:v>All vehicles</x:v>
      </x:c>
      <x:c r="R97" s="6" t="str">
        <x:v>battery-replacement</x:v>
      </x:c>
      <x:c r="S97" s="6" t="str">
        <x:v>Location unspecified</x:v>
      </x:c>
      <x:c r="T97" s="6" t="n">
        <x:v>3</x:v>
      </x:c>
      <x:c r="U97" s="6" t="str">
        <x:v>21–40</x:v>
      </x:c>
      <x:c r="V97" s="6" t="str">
        <x:v>Content, internal authority and owner alignment</x:v>
      </x:c>
      <x:c r="W97" s="6" t="str">
        <x:v>Relevant supporting</x:v>
      </x:c>
      <x:c r="X97" s="6" t="n">
        <x:v>93</x:v>
      </x:c>
      <x:c r="Y97" s="6" t="str">
        <x:v>Unconfirmed — joint query/page data required</x:v>
      </x:c>
    </x:row>
    <x:row r="98" ht="42" customHeight="1">
      <x:c r="A98" s="6" t="str">
        <x:v>luxury car repair dubai</x:v>
      </x:c>
      <x:c r="B98" s="14" t="n">
        <x:v>0</x:v>
      </x:c>
      <x:c r="C98" s="14" t="n">
        <x:v>181</x:v>
      </x:c>
      <x:c r="D98" s="15" t="n">
        <x:v>0</x:v>
      </x:c>
      <x:c r="E98" s="16" t="n">
        <x:v>47.27</x:v>
      </x:c>
      <x:c r="F98" s="6" t="str">
        <x:v>GROWTH</x:v>
      </x:c>
      <x:c r="G98" s="17" t="n">
        <x:f>'Scoring'!I98</x:f>
        <x:v>58.3</x:v>
      </x:c>
      <x:c r="H98" s="6" t="str">
        <x:v>PRIORITIZE</x:v>
      </x:c>
      <x:c r="I98" s="6" t="str">
        <x:v>All vehicles: General garage and repair (English)</x:v>
      </x:c>
      <x:c r="J98" s="6" t="str">
        <x:v>Primary</x:v>
      </x:c>
      <x:c r="K98" s="6" t="str">
        <x:v>Commercial service enquiry</x:v>
      </x:c>
      <x:c r="L98" s="6" t="str">
        <x:v>High</x:v>
      </x:c>
      <x:c r="M98" s="6" t="str">
        <x:v>https://digitecme.com/services/car-garage-dubai</x:v>
      </x:c>
      <x:c r="N98" s="6" t="str">
        <x:v>Unknown — export has no query/page pairing</x:v>
      </x:c>
      <x:c r="O98" s="6" t="str">
        <x:v>Strengthen this primary intent owner</x:v>
      </x:c>
      <x:c r="P98" s="6" t="str">
        <x:v>Average position 47.27 makes ranking the main issue; avoid a CTR-only rewrite.</x:v>
      </x:c>
      <x:c r="Q98" s="6" t="str">
        <x:v>All vehicles</x:v>
      </x:c>
      <x:c r="R98" s="6" t="str">
        <x:v>service-repair</x:v>
      </x:c>
      <x:c r="S98" s="6" t="str">
        <x:v>Dubai explicit</x:v>
      </x:c>
      <x:c r="T98" s="6" t="n">
        <x:v>3</x:v>
      </x:c>
      <x:c r="U98" s="6" t="str">
        <x:v>40+</x:v>
      </x:c>
      <x:c r="V98" s="6" t="str">
        <x:v>Relevance, capability, indexing and authority review</x:v>
      </x:c>
      <x:c r="W98" s="6" t="str">
        <x:v>High-value commercial</x:v>
      </x:c>
      <x:c r="X98" s="6" t="n">
        <x:v>94</x:v>
      </x:c>
      <x:c r="Y98" s="6" t="str">
        <x:v>Unconfirmed — joint query/page data required</x:v>
      </x:c>
    </x:row>
    <x:row r="99" ht="42" customHeight="1">
      <x:c r="A99" s="6" t="str">
        <x:v>battery change dubai</x:v>
      </x:c>
      <x:c r="B99" s="14" t="n">
        <x:v>0</x:v>
      </x:c>
      <x:c r="C99" s="14" t="n">
        <x:v>180</x:v>
      </x:c>
      <x:c r="D99" s="15" t="n">
        <x:v>0</x:v>
      </x:c>
      <x:c r="E99" s="16" t="n">
        <x:v>36.07</x:v>
      </x:c>
      <x:c r="F99" s="6" t="str">
        <x:v>GROWTH</x:v>
      </x:c>
      <x:c r="G99" s="17" t="n">
        <x:f>'Scoring'!I99</x:f>
        <x:v>64.5</x:v>
      </x:c>
      <x:c r="H99" s="6" t="str">
        <x:v>SUPPORT</x:v>
      </x:c>
      <x:c r="I99" s="6" t="str">
        <x:v>All vehicles: Battery service (English)</x:v>
      </x:c>
      <x:c r="J99" s="6" t="str">
        <x:v>Secondary</x:v>
      </x:c>
      <x:c r="K99" s="6" t="str">
        <x:v>Commercial service enquiry</x:v>
      </x:c>
      <x:c r="L99" s="6" t="str">
        <x:v>High</x:v>
      </x:c>
      <x:c r="M99" s="6" t="str">
        <x:v>https://digitecme.com/services/battery-replacement-dubai</x:v>
      </x:c>
      <x:c r="N99" s="6" t="str">
        <x:v>Unknown — export has no query/page pairing</x:v>
      </x:c>
      <x:c r="O99" s="6" t="str">
        <x:v>Retain primary intent and support variants</x:v>
      </x:c>
      <x:c r="P99" s="6" t="str">
        <x:v>Average position 36.07 makes ranking the main issue; avoid a CTR-only rewrite.</x:v>
      </x:c>
      <x:c r="Q99" s="6" t="str">
        <x:v>All vehicles</x:v>
      </x:c>
      <x:c r="R99" s="6" t="str">
        <x:v>battery-replacement</x:v>
      </x:c>
      <x:c r="S99" s="6" t="str">
        <x:v>Dubai explicit</x:v>
      </x:c>
      <x:c r="T99" s="6" t="n">
        <x:v>3</x:v>
      </x:c>
      <x:c r="U99" s="6" t="str">
        <x:v>21–40</x:v>
      </x:c>
      <x:c r="V99" s="6" t="str">
        <x:v>Content, internal authority and owner alignment</x:v>
      </x:c>
      <x:c r="W99" s="6" t="str">
        <x:v>Relevant supporting</x:v>
      </x:c>
      <x:c r="X99" s="6" t="n">
        <x:v>95</x:v>
      </x:c>
      <x:c r="Y99" s="6" t="str">
        <x:v>Unconfirmed — joint query/page data required</x:v>
      </x:c>
    </x:row>
    <x:row r="100" ht="42" customHeight="1">
      <x:c r="A100" s="6" t="str">
        <x:v>mercedes coding service</x:v>
      </x:c>
      <x:c r="B100" s="14" t="n">
        <x:v>0</x:v>
      </x:c>
      <x:c r="C100" s="14" t="n">
        <x:v>180</x:v>
      </x:c>
      <x:c r="D100" s="15" t="n">
        <x:v>0</x:v>
      </x:c>
      <x:c r="E100" s="16" t="n">
        <x:v>51.6</x:v>
      </x:c>
      <x:c r="F100" s="6" t="str">
        <x:v>GROWTH</x:v>
      </x:c>
      <x:c r="G100" s="17" t="n">
        <x:f>'Scoring'!I100</x:f>
        <x:v>61.3</x:v>
      </x:c>
      <x:c r="H100" s="6" t="str">
        <x:v>SPLIT</x:v>
      </x:c>
      <x:c r="I100" s="6" t="str">
        <x:v>mercedes-benz: Diagnostics and supported coding</x:v>
      </x:c>
      <x:c r="J100" s="6" t="str">
        <x:v>Secondary</x:v>
      </x:c>
      <x:c r="K100" s="6" t="str">
        <x:v>Commercial service enquiry</x:v>
      </x:c>
      <x:c r="L100" s="6" t="str">
        <x:v>High</x:v>
      </x:c>
      <x:c r="M100" s="6" t="str">
        <x:v>https://digitecme.com/services/mercedes-diagnostics-dubai</x:v>
      </x:c>
      <x:c r="N100" s="6" t="str">
        <x:v>Unknown — export has no query/page pairing</x:v>
      </x:c>
      <x:c r="O100" s="6" t="str">
        <x:v>Use dedicated service owner</x:v>
      </x:c>
      <x:c r="P100" s="6" t="str">
        <x:v>Average position 51.60 makes ranking the main issue; avoid a CTR-only rewrite.</x:v>
      </x:c>
      <x:c r="Q100" s="6" t="str">
        <x:v>mercedes-benz</x:v>
      </x:c>
      <x:c r="R100" s="6" t="str">
        <x:v>engine-diagnostics</x:v>
      </x:c>
      <x:c r="S100" s="6" t="str">
        <x:v>Location unspecified</x:v>
      </x:c>
      <x:c r="T100" s="6" t="n">
        <x:v>5</x:v>
      </x:c>
      <x:c r="U100" s="6" t="str">
        <x:v>40+</x:v>
      </x:c>
      <x:c r="V100" s="6" t="str">
        <x:v>Relevance, capability, indexing and authority review</x:v>
      </x:c>
      <x:c r="W100" s="6" t="str">
        <x:v>High-value commercial</x:v>
      </x:c>
      <x:c r="X100" s="6" t="n">
        <x:v>96</x:v>
      </x:c>
      <x:c r="Y100" s="6" t="str">
        <x:v>Unconfirmed — joint query/page data required</x:v>
      </x:c>
    </x:row>
    <x:row r="101" ht="42" customHeight="1">
      <x:c r="A101" s="6" t="str">
        <x:v>mercedes oil change dubai</x:v>
      </x:c>
      <x:c r="B101" s="14" t="n">
        <x:v>0</x:v>
      </x:c>
      <x:c r="C101" s="14" t="n">
        <x:v>176</x:v>
      </x:c>
      <x:c r="D101" s="15" t="n">
        <x:v>0</x:v>
      </x:c>
      <x:c r="E101" s="16" t="n">
        <x:v>16.97</x:v>
      </x:c>
      <x:c r="F101" s="6" t="str">
        <x:v>HIGH</x:v>
      </x:c>
      <x:c r="G101" s="17" t="n">
        <x:f>'Scoring'!I101</x:f>
        <x:v>80</x:v>
      </x:c>
      <x:c r="H101" s="6" t="str">
        <x:v>SPLIT</x:v>
      </x:c>
      <x:c r="I101" s="6" t="str">
        <x:v>mercedes-benz: Oil change</x:v>
      </x:c>
      <x:c r="J101" s="6" t="str">
        <x:v>Primary</x:v>
      </x:c>
      <x:c r="K101" s="6" t="str">
        <x:v>Commercial service enquiry</x:v>
      </x:c>
      <x:c r="L101" s="6" t="str">
        <x:v>High</x:v>
      </x:c>
      <x:c r="M101" s="6" t="str">
        <x:v>https://digitecme.com/services/mercedes-oil-change-dubai</x:v>
      </x:c>
      <x:c r="N101" s="6" t="str">
        <x:v>Unknown — export has no query/page pairing</x:v>
      </x:c>
      <x:c r="O101" s="6" t="str">
        <x:v>Use dedicated service owner</x:v>
      </x:c>
      <x:c r="P101" s="6" t="str">
        <x:v>176 impressions at average position 16.97; strengthen the appropriate intent owner and measure with a fresh comparable period.</x:v>
      </x:c>
      <x:c r="Q101" s="6" t="str">
        <x:v>mercedes-benz</x:v>
      </x:c>
      <x:c r="R101" s="6" t="str">
        <x:v>oil-change</x:v>
      </x:c>
      <x:c r="S101" s="6" t="str">
        <x:v>Dubai explicit</x:v>
      </x:c>
      <x:c r="T101" s="6" t="n">
        <x:v>5</x:v>
      </x:c>
      <x:c r="U101" s="6" t="str">
        <x:v>11–20</x:v>
      </x:c>
      <x:c r="V101" s="6" t="str">
        <x:v>Ranking and owner relevance</x:v>
      </x:c>
      <x:c r="W101" s="6" t="str">
        <x:v>High-value commercial</x:v>
      </x:c>
      <x:c r="X101" s="6" t="n">
        <x:v>97</x:v>
      </x:c>
      <x:c r="Y101" s="6" t="str">
        <x:v>Unconfirmed — joint query/page data required</x:v>
      </x:c>
    </x:row>
    <x:row r="102" ht="57" customHeight="1">
      <x:c r="A102" s="6" t="str">
        <x:v>paint protection</x:v>
      </x:c>
      <x:c r="B102" s="14" t="n">
        <x:v>0</x:v>
      </x:c>
      <x:c r="C102" s="14" t="n">
        <x:v>175</x:v>
      </x:c>
      <x:c r="D102" s="15" t="n">
        <x:v>0</x:v>
      </x:c>
      <x:c r="E102" s="16" t="n">
        <x:v>43.06</x:v>
      </x:c>
      <x:c r="F102" s="6" t="str">
        <x:v>GROWTH</x:v>
      </x:c>
      <x:c r="G102" s="17" t="n">
        <x:f>'Scoring'!I102</x:f>
        <x:v>61.2</x:v>
      </x:c>
      <x:c r="H102" s="6" t="str">
        <x:v>SUPPORT</x:v>
      </x:c>
      <x:c r="I102" s="6" t="str">
        <x:v>All vehicles: Paint care and protection comparison</x:v>
      </x:c>
      <x:c r="J102" s="6" t="str">
        <x:v>Secondary</x:v>
      </x:c>
      <x:c r="K102" s="6" t="str">
        <x:v>Commercial service enquiry</x:v>
      </x:c>
      <x:c r="L102" s="6" t="str">
        <x:v>High</x:v>
      </x:c>
      <x:c r="M102" s="6" t="str">
        <x:v>https://digitecme.com/services/paint-protection-dubai</x:v>
      </x:c>
      <x:c r="N102" s="6" t="str">
        <x:v>Unknown — export has no query/page pairing</x:v>
      </x:c>
      <x:c r="O102" s="6" t="str">
        <x:v>Retain primary intent and support variants</x:v>
      </x:c>
      <x:c r="P102" s="6" t="str">
        <x:v>Broad protection intent is mixed; the comparison hub should direct film and coating enquiries to their specialist pages. Average position 43.06 makes ranking the main issue; avoid a CTR-only rewrite.</x:v>
      </x:c>
      <x:c r="Q102" s="6" t="str">
        <x:v>All vehicles</x:v>
      </x:c>
      <x:c r="R102" s="6" t="str">
        <x:v>paint-care</x:v>
      </x:c>
      <x:c r="S102" s="6" t="str">
        <x:v>Location unspecified</x:v>
      </x:c>
      <x:c r="T102" s="6" t="n">
        <x:v>5</x:v>
      </x:c>
      <x:c r="U102" s="6" t="str">
        <x:v>40+</x:v>
      </x:c>
      <x:c r="V102" s="6" t="str">
        <x:v>Relevance, capability, indexing and authority review</x:v>
      </x:c>
      <x:c r="W102" s="6" t="str">
        <x:v>Relevant supporting</x:v>
      </x:c>
      <x:c r="X102" s="6" t="n">
        <x:v>98</x:v>
      </x:c>
      <x:c r="Y102" s="6" t="str">
        <x:v>Unconfirmed — joint query/page data required</x:v>
      </x:c>
    </x:row>
    <x:row r="103" ht="57" customHeight="1">
      <x:c r="A103" s="6" t="str">
        <x:v>tire repair near me</x:v>
      </x:c>
      <x:c r="B103" s="14" t="n">
        <x:v>0</x:v>
      </x:c>
      <x:c r="C103" s="14" t="n">
        <x:v>170</x:v>
      </x:c>
      <x:c r="D103" s="15" t="n">
        <x:v>0</x:v>
      </x:c>
      <x:c r="E103" s="16" t="n">
        <x:v>10.32</x:v>
      </x:c>
      <x:c r="F103" s="6" t="str">
        <x:v>GROWTH</x:v>
      </x:c>
      <x:c r="G103" s="17" t="n">
        <x:f>'Scoring'!I103</x:f>
        <x:v>75.4</x:v>
      </x:c>
      <x:c r="H103" s="6" t="str">
        <x:v>SUPPORT</x:v>
      </x:c>
      <x:c r="I103" s="6" t="str">
        <x:v>All vehicles: Tyre repair</x:v>
      </x:c>
      <x:c r="J103" s="6" t="str">
        <x:v>Secondary</x:v>
      </x:c>
      <x:c r="K103" s="6" t="str">
        <x:v>Commercial service enquiry</x:v>
      </x:c>
      <x:c r="L103" s="6" t="str">
        <x:v>High</x:v>
      </x:c>
      <x:c r="M103" s="6" t="str">
        <x:v>https://digitecme.com/services/tire-repair-dubai</x:v>
      </x:c>
      <x:c r="N103" s="6" t="str">
        <x:v>Unknown — export has no query/page pairing</x:v>
      </x:c>
      <x:c r="O103" s="6" t="str">
        <x:v>Retain primary intent and support variants</x:v>
      </x:c>
      <x:c r="P103" s="6" t="str">
        <x:v>Relevant workshop tyre enquiry with lower assumed value than specialist repair; no mobile or roadside claim. 170 impressions at average position 10.32; strengthen the appropriate intent owner and measure with a fresh comparable period.</x:v>
      </x:c>
      <x:c r="Q103" s="6" t="str">
        <x:v>All vehicles</x:v>
      </x:c>
      <x:c r="R103" s="6" t="str">
        <x:v>tire-repair</x:v>
      </x:c>
      <x:c r="S103" s="6" t="str">
        <x:v>Near me; location unknown</x:v>
      </x:c>
      <x:c r="T103" s="6" t="n">
        <x:v>2</x:v>
      </x:c>
      <x:c r="U103" s="6" t="str">
        <x:v>11–20</x:v>
      </x:c>
      <x:c r="V103" s="6" t="str">
        <x:v>Ranking and owner relevance</x:v>
      </x:c>
      <x:c r="W103" s="6" t="str">
        <x:v>Relevant supporting</x:v>
      </x:c>
      <x:c r="X103" s="6" t="n">
        <x:v>99</x:v>
      </x:c>
      <x:c r="Y103" s="6" t="str">
        <x:v>Unconfirmed — joint query/page data required</x:v>
      </x:c>
    </x:row>
    <x:row r="104" ht="42" customHeight="1">
      <x:c r="A104" s="6" t="str">
        <x:v>ferrari service center dubai</x:v>
      </x:c>
      <x:c r="B104" s="14" t="n">
        <x:v>0</x:v>
      </x:c>
      <x:c r="C104" s="14" t="n">
        <x:v>170</x:v>
      </x:c>
      <x:c r="D104" s="15" t="n">
        <x:v>0</x:v>
      </x:c>
      <x:c r="E104" s="16" t="n">
        <x:v>23.02</x:v>
      </x:c>
      <x:c r="F104" s="6" t="str">
        <x:v>HIGH</x:v>
      </x:c>
      <x:c r="G104" s="17" t="n">
        <x:f>'Scoring'!I104</x:f>
        <x:v>79.9</x:v>
      </x:c>
      <x:c r="H104" s="6" t="str">
        <x:v>SUPPORT</x:v>
      </x:c>
      <x:c r="I104" s="6" t="str">
        <x:v>ferrari: Service and repair</x:v>
      </x:c>
      <x:c r="J104" s="6" t="str">
        <x:v>Secondary</x:v>
      </x:c>
      <x:c r="K104" s="6" t="str">
        <x:v>Commercial service enquiry</x:v>
      </x:c>
      <x:c r="L104" s="6" t="str">
        <x:v>High</x:v>
      </x:c>
      <x:c r="M104" s="6" t="str">
        <x:v>https://digitecme.com/brands/ferrari-service-dubai</x:v>
      </x:c>
      <x:c r="N104" s="6" t="str">
        <x:v>Unknown — export has no query/page pairing</x:v>
      </x:c>
      <x:c r="O104" s="6" t="str">
        <x:v>Retain primary intent and support variants</x:v>
      </x:c>
      <x:c r="P104" s="6" t="str">
        <x:v>Average position 23.02 makes ranking the main issue; avoid a CTR-only rewrite.</x:v>
      </x:c>
      <x:c r="Q104" s="6" t="str">
        <x:v>ferrari</x:v>
      </x:c>
      <x:c r="R104" s="6" t="str">
        <x:v>service-repair</x:v>
      </x:c>
      <x:c r="S104" s="6" t="str">
        <x:v>Dubai explicit</x:v>
      </x:c>
      <x:c r="T104" s="6" t="n">
        <x:v>5</x:v>
      </x:c>
      <x:c r="U104" s="6" t="str">
        <x:v>21–40</x:v>
      </x:c>
      <x:c r="V104" s="6" t="str">
        <x:v>Content, internal authority and owner alignment</x:v>
      </x:c>
      <x:c r="W104" s="6" t="str">
        <x:v>Relevant supporting</x:v>
      </x:c>
      <x:c r="X104" s="6" t="n">
        <x:v>100</x:v>
      </x:c>
      <x:c r="Y104" s="6" t="str">
        <x:v>Unconfirmed — joint query/page data required</x:v>
      </x:c>
    </x:row>
    <x:row r="105" ht="42" customHeight="1">
      <x:c r="A105" s="6" t="str">
        <x:v>ferrari service</x:v>
      </x:c>
      <x:c r="B105" s="14" t="n">
        <x:v>0</x:v>
      </x:c>
      <x:c r="C105" s="14" t="n">
        <x:v>167</x:v>
      </x:c>
      <x:c r="D105" s="15" t="n">
        <x:v>0</x:v>
      </x:c>
      <x:c r="E105" s="16" t="n">
        <x:v>17.65</x:v>
      </x:c>
      <x:c r="F105" s="6" t="str">
        <x:v>HIGH</x:v>
      </x:c>
      <x:c r="G105" s="17" t="n">
        <x:f>'Scoring'!I105</x:f>
        <x:v>74.9</x:v>
      </x:c>
      <x:c r="H105" s="6" t="str">
        <x:v>SUPPORT</x:v>
      </x:c>
      <x:c r="I105" s="6" t="str">
        <x:v>ferrari: Service and repair</x:v>
      </x:c>
      <x:c r="J105" s="6" t="str">
        <x:v>Secondary</x:v>
      </x:c>
      <x:c r="K105" s="6" t="str">
        <x:v>Commercial service enquiry</x:v>
      </x:c>
      <x:c r="L105" s="6" t="str">
        <x:v>High</x:v>
      </x:c>
      <x:c r="M105" s="6" t="str">
        <x:v>https://digitecme.com/brands/ferrari-service-dubai</x:v>
      </x:c>
      <x:c r="N105" s="6" t="str">
        <x:v>Unknown — export has no query/page pairing</x:v>
      </x:c>
      <x:c r="O105" s="6" t="str">
        <x:v>Retain primary intent and support variants</x:v>
      </x:c>
      <x:c r="P105" s="6" t="str">
        <x:v>167 impressions at average position 17.65; strengthen the appropriate intent owner and measure with a fresh comparable period.</x:v>
      </x:c>
      <x:c r="Q105" s="6" t="str">
        <x:v>ferrari</x:v>
      </x:c>
      <x:c r="R105" s="6" t="str">
        <x:v>service-repair</x:v>
      </x:c>
      <x:c r="S105" s="6" t="str">
        <x:v>Location unspecified</x:v>
      </x:c>
      <x:c r="T105" s="6" t="n">
        <x:v>5</x:v>
      </x:c>
      <x:c r="U105" s="6" t="str">
        <x:v>11–20</x:v>
      </x:c>
      <x:c r="V105" s="6" t="str">
        <x:v>Ranking and owner relevance</x:v>
      </x:c>
      <x:c r="W105" s="6" t="str">
        <x:v>Relevant supporting</x:v>
      </x:c>
      <x:c r="X105" s="6" t="n">
        <x:v>101</x:v>
      </x:c>
      <x:c r="Y105" s="6" t="str">
        <x:v>Unconfirmed — joint query/page data required</x:v>
      </x:c>
    </x:row>
    <x:row r="106" ht="42" customHeight="1">
      <x:c r="A106" s="6" t="str">
        <x:v>mclaren service dubai</x:v>
      </x:c>
      <x:c r="B106" s="14" t="n">
        <x:v>0</x:v>
      </x:c>
      <x:c r="C106" s="14" t="n">
        <x:v>166</x:v>
      </x:c>
      <x:c r="D106" s="15" t="n">
        <x:v>0</x:v>
      </x:c>
      <x:c r="E106" s="16" t="n">
        <x:v>14.23</x:v>
      </x:c>
      <x:c r="F106" s="6" t="str">
        <x:v>CRITICAL</x:v>
      </x:c>
      <x:c r="G106" s="17" t="n">
        <x:f>'Scoring'!I106</x:f>
        <x:v>87.4</x:v>
      </x:c>
      <x:c r="H106" s="6" t="str">
        <x:v>SUPPORT</x:v>
      </x:c>
      <x:c r="I106" s="6" t="str">
        <x:v>mclaren: Service and repair</x:v>
      </x:c>
      <x:c r="J106" s="6" t="str">
        <x:v>Secondary</x:v>
      </x:c>
      <x:c r="K106" s="6" t="str">
        <x:v>Commercial service enquiry</x:v>
      </x:c>
      <x:c r="L106" s="6" t="str">
        <x:v>High</x:v>
      </x:c>
      <x:c r="M106" s="6" t="str">
        <x:v>https://digitecme.com/brands/mclaren-service-dubai</x:v>
      </x:c>
      <x:c r="N106" s="6" t="str">
        <x:v>Unknown — export has no query/page pairing</x:v>
      </x:c>
      <x:c r="O106" s="6" t="str">
        <x:v>Retain primary intent and support variants</x:v>
      </x:c>
      <x:c r="P106" s="6" t="str">
        <x:v>166 impressions at average position 14.23; strengthen the appropriate intent owner and measure with a fresh comparable period.</x:v>
      </x:c>
      <x:c r="Q106" s="6" t="str">
        <x:v>mclaren</x:v>
      </x:c>
      <x:c r="R106" s="6" t="str">
        <x:v>service-repair</x:v>
      </x:c>
      <x:c r="S106" s="6" t="str">
        <x:v>Dubai explicit</x:v>
      </x:c>
      <x:c r="T106" s="6" t="n">
        <x:v>5</x:v>
      </x:c>
      <x:c r="U106" s="6" t="str">
        <x:v>11–20</x:v>
      </x:c>
      <x:c r="V106" s="6" t="str">
        <x:v>Ranking and owner relevance</x:v>
      </x:c>
      <x:c r="W106" s="6" t="str">
        <x:v>Relevant supporting</x:v>
      </x:c>
      <x:c r="X106" s="6" t="n">
        <x:v>102</x:v>
      </x:c>
      <x:c r="Y106" s="6" t="str">
        <x:v>Unconfirmed — joint query/page data required</x:v>
      </x:c>
    </x:row>
    <x:row r="107" ht="57" customHeight="1">
      <x:c r="A107" s="6" t="str">
        <x:v>mercedes stereo upgrade in dubai</x:v>
      </x:c>
      <x:c r="B107" s="14" t="n">
        <x:v>0</x:v>
      </x:c>
      <x:c r="C107" s="14" t="n">
        <x:v>166</x:v>
      </x:c>
      <x:c r="D107" s="15" t="n">
        <x:v>0</x:v>
      </x:c>
      <x:c r="E107" s="16" t="n">
        <x:v>55.81</x:v>
      </x:c>
      <x:c r="F107" s="6" t="str">
        <x:v>DEPRIORITIZE</x:v>
      </x:c>
      <x:c r="G107" s="17" t="n">
        <x:f>'Scoring'!I107</x:f>
        <x:v>4</x:v>
      </x:c>
      <x:c r="H107" s="6" t="str">
        <x:v>DEPRIORITIZE</x:v>
      </x:c>
      <x:c r="I107" s="6" t="str">
        <x:v>mercedes-benz: Audio or interior retrofit</x:v>
      </x:c>
      <x:c r="J107" s="6" t="str">
        <x:v>Primary</x:v>
      </x:c>
      <x:c r="K107" s="6" t="str">
        <x:v>Commercial capability enquiry</x:v>
      </x:c>
      <x:c r="L107" s="6" t="str">
        <x:v>Unverified</x:v>
      </x:c>
      <x:c r="M107" s="6" t="str"/>
      <x:c r="N107" s="6" t="str">
        <x:v>Unknown — export has no query/page pairing</x:v>
      </x:c>
      <x:c r="O107" s="6" t="str">
        <x:v>Confirm scope or deprioritize</x:v>
      </x:c>
      <x:c r="P107" s="6" t="str">
        <x:v>Specific retrofit or component repair capability is unconfirmed; do not publish a dedicated sales page before confirmation. Average position 55.81 makes ranking the main issue; avoid a CTR-only rewrite.</x:v>
      </x:c>
      <x:c r="Q107" s="6" t="str">
        <x:v>mercedes-benz</x:v>
      </x:c>
      <x:c r="R107" s="6" t="str">
        <x:v>audio-retrofit</x:v>
      </x:c>
      <x:c r="S107" s="6" t="str">
        <x:v>Dubai explicit</x:v>
      </x:c>
      <x:c r="T107" s="6" t="n">
        <x:v>1</x:v>
      </x:c>
      <x:c r="U107" s="6" t="str">
        <x:v>40+</x:v>
      </x:c>
      <x:c r="V107" s="6" t="str">
        <x:v>Relevance, capability, indexing and authority review</x:v>
      </x:c>
      <x:c r="W107" s="6" t="str">
        <x:v>Low-value</x:v>
      </x:c>
      <x:c r="X107" s="6" t="n">
        <x:v>103</x:v>
      </x:c>
      <x:c r="Y107" s="6" t="str">
        <x:v>Unconfirmed — joint query/page data required</x:v>
      </x:c>
    </x:row>
    <x:row r="108" ht="57" customHeight="1">
      <x:c r="A108" s="6" t="str">
        <x:v>lamborghini reverse camera in dubai</x:v>
      </x:c>
      <x:c r="B108" s="14" t="n">
        <x:v>0</x:v>
      </x:c>
      <x:c r="C108" s="14" t="n">
        <x:v>163</x:v>
      </x:c>
      <x:c r="D108" s="15" t="n">
        <x:v>0</x:v>
      </x:c>
      <x:c r="E108" s="16" t="n">
        <x:v>21.93</x:v>
      </x:c>
      <x:c r="F108" s="6" t="str">
        <x:v>DEPRIORITIZE</x:v>
      </x:c>
      <x:c r="G108" s="17" t="n">
        <x:f>'Scoring'!I108</x:f>
        <x:v>5.4</x:v>
      </x:c>
      <x:c r="H108" s="6" t="str">
        <x:v>DEPRIORITIZE</x:v>
      </x:c>
      <x:c r="I108" s="6" t="str">
        <x:v>lamborghini: Camera retrofit</x:v>
      </x:c>
      <x:c r="J108" s="6" t="str">
        <x:v>Primary</x:v>
      </x:c>
      <x:c r="K108" s="6" t="str">
        <x:v>Commercial capability enquiry</x:v>
      </x:c>
      <x:c r="L108" s="6" t="str">
        <x:v>Unverified</x:v>
      </x:c>
      <x:c r="M108" s="6" t="str"/>
      <x:c r="N108" s="6" t="str">
        <x:v>Unknown — export has no query/page pairing</x:v>
      </x:c>
      <x:c r="O108" s="6" t="str">
        <x:v>Confirm scope or deprioritize</x:v>
      </x:c>
      <x:c r="P108" s="6" t="str">
        <x:v>Specific retrofit or component repair capability is unconfirmed; do not publish a dedicated sales page before confirmation. Average position 21.93 makes ranking the main issue; avoid a CTR-only rewrite.</x:v>
      </x:c>
      <x:c r="Q108" s="6" t="str">
        <x:v>lamborghini</x:v>
      </x:c>
      <x:c r="R108" s="6" t="str">
        <x:v>audio-retrofit</x:v>
      </x:c>
      <x:c r="S108" s="6" t="str">
        <x:v>Dubai explicit</x:v>
      </x:c>
      <x:c r="T108" s="6" t="n">
        <x:v>1</x:v>
      </x:c>
      <x:c r="U108" s="6" t="str">
        <x:v>21–40</x:v>
      </x:c>
      <x:c r="V108" s="6" t="str">
        <x:v>Content, internal authority and owner alignment</x:v>
      </x:c>
      <x:c r="W108" s="6" t="str">
        <x:v>Low-value</x:v>
      </x:c>
      <x:c r="X108" s="6" t="n">
        <x:v>104</x:v>
      </x:c>
      <x:c r="Y108" s="6" t="str">
        <x:v>Unconfirmed — joint query/page data required</x:v>
      </x:c>
    </x:row>
    <x:row r="109" ht="42" customHeight="1">
      <x:c r="A109" s="6" t="str">
        <x:v>car service package dubai</x:v>
      </x:c>
      <x:c r="B109" s="14" t="n">
        <x:v>0</x:v>
      </x:c>
      <x:c r="C109" s="14" t="n">
        <x:v>152</x:v>
      </x:c>
      <x:c r="D109" s="15" t="n">
        <x:v>0</x:v>
      </x:c>
      <x:c r="E109" s="16" t="n">
        <x:v>64.38</x:v>
      </x:c>
      <x:c r="F109" s="6" t="str">
        <x:v>GROWTH</x:v>
      </x:c>
      <x:c r="G109" s="17" t="n">
        <x:f>'Scoring'!I109</x:f>
        <x:v>58</x:v>
      </x:c>
      <x:c r="H109" s="6" t="str">
        <x:v>PRIORITIZE</x:v>
      </x:c>
      <x:c r="I109" s="6" t="str">
        <x:v>All vehicles: Scheduled car service</x:v>
      </x:c>
      <x:c r="J109" s="6" t="str">
        <x:v>Primary</x:v>
      </x:c>
      <x:c r="K109" s="6" t="str">
        <x:v>Commercial service enquiry</x:v>
      </x:c>
      <x:c r="L109" s="6" t="str">
        <x:v>High</x:v>
      </x:c>
      <x:c r="M109" s="6" t="str">
        <x:v>https://digitecme.com/services/car-service-dubai</x:v>
      </x:c>
      <x:c r="N109" s="6" t="str">
        <x:v>Unknown — export has no query/page pairing</x:v>
      </x:c>
      <x:c r="O109" s="6" t="str">
        <x:v>Strengthen this primary intent owner</x:v>
      </x:c>
      <x:c r="P109" s="6" t="str">
        <x:v>Average position 64.38 makes ranking the main issue; avoid a CTR-only rewrite.</x:v>
      </x:c>
      <x:c r="Q109" s="6" t="str">
        <x:v>All vehicles</x:v>
      </x:c>
      <x:c r="R109" s="6" t="str">
        <x:v>service-repair</x:v>
      </x:c>
      <x:c r="S109" s="6" t="str">
        <x:v>Dubai explicit</x:v>
      </x:c>
      <x:c r="T109" s="6" t="n">
        <x:v>3</x:v>
      </x:c>
      <x:c r="U109" s="6" t="str">
        <x:v>40+</x:v>
      </x:c>
      <x:c r="V109" s="6" t="str">
        <x:v>Relevance, capability, indexing and authority review</x:v>
      </x:c>
      <x:c r="W109" s="6" t="str">
        <x:v>High-value commercial</x:v>
      </x:c>
      <x:c r="X109" s="6" t="n">
        <x:v>105</x:v>
      </x:c>
      <x:c r="Y109" s="6" t="str">
        <x:v>Unconfirmed — joint query/page data required</x:v>
      </x:c>
    </x:row>
    <x:row r="110" ht="42" customHeight="1">
      <x:c r="A110" s="6" t="str">
        <x:v>mercedes repairs</x:v>
      </x:c>
      <x:c r="B110" s="14" t="n">
        <x:v>0</x:v>
      </x:c>
      <x:c r="C110" s="14" t="n">
        <x:v>150</x:v>
      </x:c>
      <x:c r="D110" s="15" t="n">
        <x:v>0</x:v>
      </x:c>
      <x:c r="E110" s="16" t="n">
        <x:v>11.29</x:v>
      </x:c>
      <x:c r="F110" s="6" t="str">
        <x:v>CRITICAL</x:v>
      </x:c>
      <x:c r="G110" s="17" t="n">
        <x:f>'Scoring'!I110</x:f>
        <x:v>82.3</x:v>
      </x:c>
      <x:c r="H110" s="6" t="str">
        <x:v>SUPPORT</x:v>
      </x:c>
      <x:c r="I110" s="6" t="str">
        <x:v>mercedes-benz: Service and repair (English)</x:v>
      </x:c>
      <x:c r="J110" s="6" t="str">
        <x:v>Secondary</x:v>
      </x:c>
      <x:c r="K110" s="6" t="str">
        <x:v>Commercial service enquiry</x:v>
      </x:c>
      <x:c r="L110" s="6" t="str">
        <x:v>High</x:v>
      </x:c>
      <x:c r="M110" s="6" t="str">
        <x:v>https://digitecme.com/brands/mercedes-benz-service-dubai</x:v>
      </x:c>
      <x:c r="N110" s="6" t="str">
        <x:v>Unknown — export has no query/page pairing</x:v>
      </x:c>
      <x:c r="O110" s="6" t="str">
        <x:v>Retain primary intent and support variants</x:v>
      </x:c>
      <x:c r="P110" s="6" t="str">
        <x:v>150 impressions at average position 11.29; strengthen the appropriate intent owner and measure with a fresh comparable period.</x:v>
      </x:c>
      <x:c r="Q110" s="6" t="str">
        <x:v>mercedes-benz</x:v>
      </x:c>
      <x:c r="R110" s="6" t="str">
        <x:v>service-repair</x:v>
      </x:c>
      <x:c r="S110" s="6" t="str">
        <x:v>Location unspecified</x:v>
      </x:c>
      <x:c r="T110" s="6" t="n">
        <x:v>5</x:v>
      </x:c>
      <x:c r="U110" s="6" t="str">
        <x:v>11–20</x:v>
      </x:c>
      <x:c r="V110" s="6" t="str">
        <x:v>Ranking and owner relevance</x:v>
      </x:c>
      <x:c r="W110" s="6" t="str">
        <x:v>Relevant supporting</x:v>
      </x:c>
      <x:c r="X110" s="6" t="n">
        <x:v>106</x:v>
      </x:c>
      <x:c r="Y110" s="6" t="str">
        <x:v>Unconfirmed — joint query/page data required</x:v>
      </x:c>
    </x:row>
    <x:row r="111" ht="42" customHeight="1">
      <x:c r="A111" s="6" t="str">
        <x:v>mercedes benz service center dubai</x:v>
      </x:c>
      <x:c r="B111" s="14" t="n">
        <x:v>0</x:v>
      </x:c>
      <x:c r="C111" s="14" t="n">
        <x:v>150</x:v>
      </x:c>
      <x:c r="D111" s="15" t="n">
        <x:v>0</x:v>
      </x:c>
      <x:c r="E111" s="16" t="n">
        <x:v>21.16</x:v>
      </x:c>
      <x:c r="F111" s="6" t="str">
        <x:v>HIGH</x:v>
      </x:c>
      <x:c r="G111" s="17" t="n">
        <x:f>'Scoring'!I111</x:f>
        <x:v>79.8</x:v>
      </x:c>
      <x:c r="H111" s="6" t="str">
        <x:v>SUPPORT</x:v>
      </x:c>
      <x:c r="I111" s="6" t="str">
        <x:v>mercedes-benz: Service and repair (English)</x:v>
      </x:c>
      <x:c r="J111" s="6" t="str">
        <x:v>Secondary</x:v>
      </x:c>
      <x:c r="K111" s="6" t="str">
        <x:v>Commercial service enquiry</x:v>
      </x:c>
      <x:c r="L111" s="6" t="str">
        <x:v>High</x:v>
      </x:c>
      <x:c r="M111" s="6" t="str">
        <x:v>https://digitecme.com/brands/mercedes-benz-service-dubai</x:v>
      </x:c>
      <x:c r="N111" s="6" t="str">
        <x:v>Unknown — export has no query/page pairing</x:v>
      </x:c>
      <x:c r="O111" s="6" t="str">
        <x:v>Retain primary intent and support variants</x:v>
      </x:c>
      <x:c r="P111" s="6" t="str">
        <x:v>Average position 21.16 makes ranking the main issue; avoid a CTR-only rewrite.</x:v>
      </x:c>
      <x:c r="Q111" s="6" t="str">
        <x:v>mercedes-benz</x:v>
      </x:c>
      <x:c r="R111" s="6" t="str">
        <x:v>service-repair</x:v>
      </x:c>
      <x:c r="S111" s="6" t="str">
        <x:v>Dubai explicit</x:v>
      </x:c>
      <x:c r="T111" s="6" t="n">
        <x:v>5</x:v>
      </x:c>
      <x:c r="U111" s="6" t="str">
        <x:v>21–40</x:v>
      </x:c>
      <x:c r="V111" s="6" t="str">
        <x:v>Content, internal authority and owner alignment</x:v>
      </x:c>
      <x:c r="W111" s="6" t="str">
        <x:v>Relevant supporting</x:v>
      </x:c>
      <x:c r="X111" s="6" t="n">
        <x:v>107</x:v>
      </x:c>
      <x:c r="Y111" s="6" t="str">
        <x:v>Unconfirmed — joint query/page data required</x:v>
      </x:c>
    </x:row>
    <x:row r="112" ht="42" customHeight="1">
      <x:c r="A112" s="6" t="str">
        <x:v>ferrari service center</x:v>
      </x:c>
      <x:c r="B112" s="14" t="n">
        <x:v>0</x:v>
      </x:c>
      <x:c r="C112" s="14" t="n">
        <x:v>149</x:v>
      </x:c>
      <x:c r="D112" s="15" t="n">
        <x:v>0</x:v>
      </x:c>
      <x:c r="E112" s="16" t="n">
        <x:v>28.68</x:v>
      </x:c>
      <x:c r="F112" s="6" t="str">
        <x:v>HIGH</x:v>
      </x:c>
      <x:c r="G112" s="17" t="n">
        <x:f>'Scoring'!I112</x:f>
        <x:v>74.8</x:v>
      </x:c>
      <x:c r="H112" s="6" t="str">
        <x:v>SUPPORT</x:v>
      </x:c>
      <x:c r="I112" s="6" t="str">
        <x:v>ferrari: Service and repair</x:v>
      </x:c>
      <x:c r="J112" s="6" t="str">
        <x:v>Secondary</x:v>
      </x:c>
      <x:c r="K112" s="6" t="str">
        <x:v>Commercial service enquiry</x:v>
      </x:c>
      <x:c r="L112" s="6" t="str">
        <x:v>High</x:v>
      </x:c>
      <x:c r="M112" s="6" t="str">
        <x:v>https://digitecme.com/brands/ferrari-service-dubai</x:v>
      </x:c>
      <x:c r="N112" s="6" t="str">
        <x:v>Unknown — export has no query/page pairing</x:v>
      </x:c>
      <x:c r="O112" s="6" t="str">
        <x:v>Retain primary intent and support variants</x:v>
      </x:c>
      <x:c r="P112" s="6" t="str">
        <x:v>Average position 28.68 makes ranking the main issue; avoid a CTR-only rewrite.</x:v>
      </x:c>
      <x:c r="Q112" s="6" t="str">
        <x:v>ferrari</x:v>
      </x:c>
      <x:c r="R112" s="6" t="str">
        <x:v>service-repair</x:v>
      </x:c>
      <x:c r="S112" s="6" t="str">
        <x:v>Location unspecified</x:v>
      </x:c>
      <x:c r="T112" s="6" t="n">
        <x:v>5</x:v>
      </x:c>
      <x:c r="U112" s="6" t="str">
        <x:v>21–40</x:v>
      </x:c>
      <x:c r="V112" s="6" t="str">
        <x:v>Content, internal authority and owner alignment</x:v>
      </x:c>
      <x:c r="W112" s="6" t="str">
        <x:v>Relevant supporting</x:v>
      </x:c>
      <x:c r="X112" s="6" t="n">
        <x:v>108</x:v>
      </x:c>
      <x:c r="Y112" s="6" t="str">
        <x:v>Unconfirmed — joint query/page data required</x:v>
      </x:c>
    </x:row>
    <x:row r="113" ht="42" customHeight="1">
      <x:c r="A113" s="6" t="str">
        <x:v>mercedes service in dubai</x:v>
      </x:c>
      <x:c r="B113" s="14" t="n">
        <x:v>0</x:v>
      </x:c>
      <x:c r="C113" s="14" t="n">
        <x:v>148</x:v>
      </x:c>
      <x:c r="D113" s="15" t="n">
        <x:v>0</x:v>
      </x:c>
      <x:c r="E113" s="16" t="n">
        <x:v>6.74</x:v>
      </x:c>
      <x:c r="F113" s="6" t="str">
        <x:v>CRITICAL</x:v>
      </x:c>
      <x:c r="G113" s="17" t="n">
        <x:f>'Scoring'!I113</x:f>
        <x:v>97.2</x:v>
      </x:c>
      <x:c r="H113" s="6" t="str">
        <x:v>SUPPORT</x:v>
      </x:c>
      <x:c r="I113" s="6" t="str">
        <x:v>mercedes-benz: Service and repair (English)</x:v>
      </x:c>
      <x:c r="J113" s="6" t="str">
        <x:v>Secondary</x:v>
      </x:c>
      <x:c r="K113" s="6" t="str">
        <x:v>Commercial service enquiry</x:v>
      </x:c>
      <x:c r="L113" s="6" t="str">
        <x:v>High</x:v>
      </x:c>
      <x:c r="M113" s="6" t="str">
        <x:v>https://digitecme.com/brands/mercedes-benz-service-dubai</x:v>
      </x:c>
      <x:c r="N113" s="6" t="str">
        <x:v>Unknown — export has no query/page pairing</x:v>
      </x:c>
      <x:c r="O113" s="6" t="str">
        <x:v>Retain primary intent and support variants</x:v>
      </x:c>
      <x:c r="P113" s="6" t="str">
        <x:v>Zero clicks from 148 impressions at average position 6.74; inspect query/page, country/device and SERP before attributing this to the snippet.</x:v>
      </x:c>
      <x:c r="Q113" s="6" t="str">
        <x:v>mercedes-benz</x:v>
      </x:c>
      <x:c r="R113" s="6" t="str">
        <x:v>service-repair</x:v>
      </x:c>
      <x:c r="S113" s="6" t="str">
        <x:v>Dubai explicit</x:v>
      </x:c>
      <x:c r="T113" s="6" t="n">
        <x:v>5</x:v>
      </x:c>
      <x:c r="U113" s="6" t="str">
        <x:v>4–10</x:v>
      </x:c>
      <x:c r="V113" s="6" t="str">
        <x:v>Page-one CTR review and top-three relevance</x:v>
      </x:c>
      <x:c r="W113" s="6" t="str">
        <x:v>Relevant supporting</x:v>
      </x:c>
      <x:c r="X113" s="6" t="n">
        <x:v>109</x:v>
      </x:c>
      <x:c r="Y113" s="6" t="str">
        <x:v>Unconfirmed — joint query/page data required</x:v>
      </x:c>
    </x:row>
    <x:row r="114" ht="42" customHeight="1">
      <x:c r="A114" s="6" t="str">
        <x:v>transmission repair dubai</x:v>
      </x:c>
      <x:c r="B114" s="14" t="n">
        <x:v>0</x:v>
      </x:c>
      <x:c r="C114" s="14" t="n">
        <x:v>146</x:v>
      </x:c>
      <x:c r="D114" s="15" t="n">
        <x:v>0</x:v>
      </x:c>
      <x:c r="E114" s="16" t="n">
        <x:v>24.82</x:v>
      </x:c>
      <x:c r="F114" s="6" t="str">
        <x:v>HIGH</x:v>
      </x:c>
      <x:c r="G114" s="17" t="n">
        <x:f>'Scoring'!I114</x:f>
        <x:v>71.7</x:v>
      </x:c>
      <x:c r="H114" s="6" t="str">
        <x:v>PRIORITIZE</x:v>
      </x:c>
      <x:c r="I114" s="6" t="str">
        <x:v>All vehicles: Transmission and gearbox repair</x:v>
      </x:c>
      <x:c r="J114" s="6" t="str">
        <x:v>Primary</x:v>
      </x:c>
      <x:c r="K114" s="6" t="str">
        <x:v>Commercial service enquiry</x:v>
      </x:c>
      <x:c r="L114" s="6" t="str">
        <x:v>High</x:v>
      </x:c>
      <x:c r="M114" s="6" t="str">
        <x:v>https://digitecme.com/services/car-service-dubai</x:v>
      </x:c>
      <x:c r="N114" s="6" t="str">
        <x:v>Unknown — export has no query/page pairing</x:v>
      </x:c>
      <x:c r="O114" s="6" t="str">
        <x:v>Strengthen this primary intent owner</x:v>
      </x:c>
      <x:c r="P114" s="6" t="str">
        <x:v>Average position 24.82 makes ranking the main issue; avoid a CTR-only rewrite.</x:v>
      </x:c>
      <x:c r="Q114" s="6" t="str">
        <x:v>All vehicles</x:v>
      </x:c>
      <x:c r="R114" s="6" t="str">
        <x:v>transmission-repair</x:v>
      </x:c>
      <x:c r="S114" s="6" t="str">
        <x:v>Dubai explicit</x:v>
      </x:c>
      <x:c r="T114" s="6" t="n">
        <x:v>3</x:v>
      </x:c>
      <x:c r="U114" s="6" t="str">
        <x:v>21–40</x:v>
      </x:c>
      <x:c r="V114" s="6" t="str">
        <x:v>Content, internal authority and owner alignment</x:v>
      </x:c>
      <x:c r="W114" s="6" t="str">
        <x:v>High-value commercial</x:v>
      </x:c>
      <x:c r="X114" s="6" t="n">
        <x:v>110</x:v>
      </x:c>
      <x:c r="Y114" s="6" t="str">
        <x:v>Unconfirmed — joint query/page data required</x:v>
      </x:c>
    </x:row>
    <x:row r="115" ht="42" customHeight="1">
      <x:c r="A115" s="6" t="str">
        <x:v>mercedes maintenance</x:v>
      </x:c>
      <x:c r="B115" s="14" t="n">
        <x:v>0</x:v>
      </x:c>
      <x:c r="C115" s="14" t="n">
        <x:v>146</x:v>
      </x:c>
      <x:c r="D115" s="15" t="n">
        <x:v>0</x:v>
      </x:c>
      <x:c r="E115" s="16" t="n">
        <x:v>30.03</x:v>
      </x:c>
      <x:c r="F115" s="6" t="str">
        <x:v>GROWTH</x:v>
      </x:c>
      <x:c r="G115" s="17" t="n">
        <x:f>'Scoring'!I115</x:f>
        <x:v>67.2</x:v>
      </x:c>
      <x:c r="H115" s="6" t="str">
        <x:v>SUPPORT</x:v>
      </x:c>
      <x:c r="I115" s="6" t="str">
        <x:v>mercedes-benz: Service and repair (English)</x:v>
      </x:c>
      <x:c r="J115" s="6" t="str">
        <x:v>Secondary</x:v>
      </x:c>
      <x:c r="K115" s="6" t="str">
        <x:v>Commercial service enquiry</x:v>
      </x:c>
      <x:c r="L115" s="6" t="str">
        <x:v>High</x:v>
      </x:c>
      <x:c r="M115" s="6" t="str">
        <x:v>https://digitecme.com/brands/mercedes-benz-service-dubai</x:v>
      </x:c>
      <x:c r="N115" s="6" t="str">
        <x:v>Unknown — export has no query/page pairing</x:v>
      </x:c>
      <x:c r="O115" s="6" t="str">
        <x:v>Retain primary intent and support variants</x:v>
      </x:c>
      <x:c r="P115" s="6" t="str">
        <x:v>Average position 30.03 makes ranking the main issue; avoid a CTR-only rewrite.</x:v>
      </x:c>
      <x:c r="Q115" s="6" t="str">
        <x:v>mercedes-benz</x:v>
      </x:c>
      <x:c r="R115" s="6" t="str">
        <x:v>service-repair</x:v>
      </x:c>
      <x:c r="S115" s="6" t="str">
        <x:v>Location unspecified</x:v>
      </x:c>
      <x:c r="T115" s="6" t="n">
        <x:v>5</x:v>
      </x:c>
      <x:c r="U115" s="6" t="str">
        <x:v>21–40</x:v>
      </x:c>
      <x:c r="V115" s="6" t="str">
        <x:v>Content, internal authority and owner alignment</x:v>
      </x:c>
      <x:c r="W115" s="6" t="str">
        <x:v>Relevant supporting</x:v>
      </x:c>
      <x:c r="X115" s="6" t="n">
        <x:v>111</x:v>
      </x:c>
      <x:c r="Y115" s="6" t="str">
        <x:v>Unconfirmed — joint query/page data required</x:v>
      </x:c>
    </x:row>
    <x:row r="116" ht="42" customHeight="1">
      <x:c r="A116" s="6" t="str">
        <x:v>brake service dubai</x:v>
      </x:c>
      <x:c r="B116" s="14" t="n">
        <x:v>0</x:v>
      </x:c>
      <x:c r="C116" s="14" t="n">
        <x:v>143</x:v>
      </x:c>
      <x:c r="D116" s="15" t="n">
        <x:v>0</x:v>
      </x:c>
      <x:c r="E116" s="16" t="n">
        <x:v>45.61</x:v>
      </x:c>
      <x:c r="F116" s="6" t="str">
        <x:v>GROWTH</x:v>
      </x:c>
      <x:c r="G116" s="17" t="n">
        <x:f>'Scoring'!I116</x:f>
        <x:v>57.9</x:v>
      </x:c>
      <x:c r="H116" s="6" t="str">
        <x:v>SUPPORT</x:v>
      </x:c>
      <x:c r="I116" s="6" t="str">
        <x:v>All vehicles: Brake repair (English)</x:v>
      </x:c>
      <x:c r="J116" s="6" t="str">
        <x:v>Secondary</x:v>
      </x:c>
      <x:c r="K116" s="6" t="str">
        <x:v>Commercial service enquiry</x:v>
      </x:c>
      <x:c r="L116" s="6" t="str">
        <x:v>High</x:v>
      </x:c>
      <x:c r="M116" s="6" t="str">
        <x:v>https://digitecme.com/services/brake-repair-dubai</x:v>
      </x:c>
      <x:c r="N116" s="6" t="str">
        <x:v>Unknown — export has no query/page pairing</x:v>
      </x:c>
      <x:c r="O116" s="6" t="str">
        <x:v>Retain primary intent and support variants</x:v>
      </x:c>
      <x:c r="P116" s="6" t="str">
        <x:v>Average position 45.61 makes ranking the main issue; avoid a CTR-only rewrite.</x:v>
      </x:c>
      <x:c r="Q116" s="6" t="str">
        <x:v>All vehicles</x:v>
      </x:c>
      <x:c r="R116" s="6" t="str">
        <x:v>brake-repair</x:v>
      </x:c>
      <x:c r="S116" s="6" t="str">
        <x:v>Dubai explicit</x:v>
      </x:c>
      <x:c r="T116" s="6" t="n">
        <x:v>3</x:v>
      </x:c>
      <x:c r="U116" s="6" t="str">
        <x:v>40+</x:v>
      </x:c>
      <x:c r="V116" s="6" t="str">
        <x:v>Relevance, capability, indexing and authority review</x:v>
      </x:c>
      <x:c r="W116" s="6" t="str">
        <x:v>Relevant supporting</x:v>
      </x:c>
      <x:c r="X116" s="6" t="n">
        <x:v>112</x:v>
      </x:c>
      <x:c r="Y116" s="6" t="str">
        <x:v>Unconfirmed — joint query/page data required</x:v>
      </x:c>
    </x:row>
    <x:row r="117" ht="42" customHeight="1">
      <x:c r="A117" s="6" t="str">
        <x:v>porsche suspension repair dubai</x:v>
      </x:c>
      <x:c r="B117" s="14" t="n">
        <x:v>0</x:v>
      </x:c>
      <x:c r="C117" s="14" t="n">
        <x:v>142</x:v>
      </x:c>
      <x:c r="D117" s="15" t="n">
        <x:v>0</x:v>
      </x:c>
      <x:c r="E117" s="16" t="n">
        <x:v>35.3</x:v>
      </x:c>
      <x:c r="F117" s="6" t="str">
        <x:v>GROWTH</x:v>
      </x:c>
      <x:c r="G117" s="17" t="n">
        <x:f>'Scoring'!I117</x:f>
        <x:v>72.2</x:v>
      </x:c>
      <x:c r="H117" s="6" t="str">
        <x:v>SPLIT</x:v>
      </x:c>
      <x:c r="I117" s="6" t="str">
        <x:v>porsche: Suspension repair</x:v>
      </x:c>
      <x:c r="J117" s="6" t="str">
        <x:v>Primary</x:v>
      </x:c>
      <x:c r="K117" s="6" t="str">
        <x:v>Commercial service enquiry</x:v>
      </x:c>
      <x:c r="L117" s="6" t="str">
        <x:v>High</x:v>
      </x:c>
      <x:c r="M117" s="6" t="str">
        <x:v>https://digitecme.com/brands/porsche-service-dubai/suspension-repair</x:v>
      </x:c>
      <x:c r="N117" s="6" t="str">
        <x:v>Unknown — export has no query/page pairing</x:v>
      </x:c>
      <x:c r="O117" s="6" t="str">
        <x:v>Use dedicated service owner</x:v>
      </x:c>
      <x:c r="P117" s="6" t="str">
        <x:v>Average position 35.30 makes ranking the main issue; avoid a CTR-only rewrite.</x:v>
      </x:c>
      <x:c r="Q117" s="6" t="str">
        <x:v>porsche</x:v>
      </x:c>
      <x:c r="R117" s="6" t="str">
        <x:v>suspension-repair</x:v>
      </x:c>
      <x:c r="S117" s="6" t="str">
        <x:v>Dubai explicit</x:v>
      </x:c>
      <x:c r="T117" s="6" t="n">
        <x:v>5</x:v>
      </x:c>
      <x:c r="U117" s="6" t="str">
        <x:v>21–40</x:v>
      </x:c>
      <x:c r="V117" s="6" t="str">
        <x:v>Content, internal authority and owner alignment</x:v>
      </x:c>
      <x:c r="W117" s="6" t="str">
        <x:v>High-value commercial</x:v>
      </x:c>
      <x:c r="X117" s="6" t="n">
        <x:v>113</x:v>
      </x:c>
      <x:c r="Y117" s="6" t="str">
        <x:v>Unconfirmed — joint query/page data required</x:v>
      </x:c>
    </x:row>
    <x:row r="118" ht="57" customHeight="1">
      <x:c r="A118" s="6" t="str">
        <x:v>digitech</x:v>
      </x:c>
      <x:c r="B118" s="14" t="n">
        <x:v>0</x:v>
      </x:c>
      <x:c r="C118" s="14" t="n">
        <x:v>137</x:v>
      </x:c>
      <x:c r="D118" s="15" t="n">
        <x:v>0</x:v>
      </x:c>
      <x:c r="E118" s="16" t="n">
        <x:v>4.18</x:v>
      </x:c>
      <x:c r="F118" s="6" t="str">
        <x:v>DEPRIORITIZE</x:v>
      </x:c>
      <x:c r="G118" s="17" t="n">
        <x:f>'Scoring'!I118</x:f>
        <x:v>51.4</x:v>
      </x:c>
      <x:c r="H118" s="6" t="str">
        <x:v>DEPRIORITIZE</x:v>
      </x:c>
      <x:c r="I118" s="6" t="str">
        <x:v>DIGI-TEC: Business navigation</x:v>
      </x:c>
      <x:c r="J118" s="6" t="str">
        <x:v>Secondary</x:v>
      </x:c>
      <x:c r="K118" s="6" t="str">
        <x:v>Navigational</x:v>
      </x:c>
      <x:c r="L118" s="6" t="str">
        <x:v>Medium</x:v>
      </x:c>
      <x:c r="M118" s="6" t="str">
        <x:v>https://digitecme.com/</x:v>
      </x:c>
      <x:c r="N118" s="6" t="str">
        <x:v>Unknown — export has no query/page pairing</x:v>
      </x:c>
      <x:c r="O118" s="6" t="str">
        <x:v>Confirm scope or deprioritize</x:v>
      </x:c>
      <x:c r="P118" s="6" t="str">
        <x:v>Ambiguous business-name variant; automotive intent cannot be established from this export. Zero clicks from 137 impressions at average position 4.18; inspect query/page, country/device and SERP before attributing this to the snippet.</x:v>
      </x:c>
      <x:c r="Q118" s="6" t="str">
        <x:v>DIGI-TEC</x:v>
      </x:c>
      <x:c r="R118" s="6" t="str">
        <x:v>brand-navigation</x:v>
      </x:c>
      <x:c r="S118" s="6" t="str">
        <x:v>Location unspecified</x:v>
      </x:c>
      <x:c r="T118" s="6" t="n">
        <x:v>3</x:v>
      </x:c>
      <x:c r="U118" s="6" t="str">
        <x:v>4–10</x:v>
      </x:c>
      <x:c r="V118" s="6" t="str">
        <x:v>Page-one CTR review and top-three relevance</x:v>
      </x:c>
      <x:c r="W118" s="6" t="str">
        <x:v>Relevant supporting</x:v>
      </x:c>
      <x:c r="X118" s="6" t="n">
        <x:v>114</x:v>
      </x:c>
      <x:c r="Y118" s="6" t="str">
        <x:v>Unconfirmed — joint query/page data required</x:v>
      </x:c>
    </x:row>
    <x:row r="119" ht="42" customHeight="1">
      <x:c r="A119" s="6" t="str">
        <x:v>car oil change in dubai</x:v>
      </x:c>
      <x:c r="B119" s="14" t="n">
        <x:v>0</x:v>
      </x:c>
      <x:c r="C119" s="14" t="n">
        <x:v>136</x:v>
      </x:c>
      <x:c r="D119" s="15" t="n">
        <x:v>0</x:v>
      </x:c>
      <x:c r="E119" s="16" t="n">
        <x:v>34.4</x:v>
      </x:c>
      <x:c r="F119" s="6" t="str">
        <x:v>GROWTH</x:v>
      </x:c>
      <x:c r="G119" s="17" t="n">
        <x:f>'Scoring'!I119</x:f>
        <x:v>64.1</x:v>
      </x:c>
      <x:c r="H119" s="6" t="str">
        <x:v>SUPPORT</x:v>
      </x:c>
      <x:c r="I119" s="6" t="str">
        <x:v>All vehicles: Oil change (English)</x:v>
      </x:c>
      <x:c r="J119" s="6" t="str">
        <x:v>Secondary</x:v>
      </x:c>
      <x:c r="K119" s="6" t="str">
        <x:v>Commercial service enquiry</x:v>
      </x:c>
      <x:c r="L119" s="6" t="str">
        <x:v>High</x:v>
      </x:c>
      <x:c r="M119" s="6" t="str">
        <x:v>https://digitecme.com/services/oil-change-dubai</x:v>
      </x:c>
      <x:c r="N119" s="6" t="str">
        <x:v>Unknown — export has no query/page pairing</x:v>
      </x:c>
      <x:c r="O119" s="6" t="str">
        <x:v>Retain primary intent and support variants</x:v>
      </x:c>
      <x:c r="P119" s="6" t="str">
        <x:v>Average position 34.40 makes ranking the main issue; avoid a CTR-only rewrite.</x:v>
      </x:c>
      <x:c r="Q119" s="6" t="str">
        <x:v>All vehicles</x:v>
      </x:c>
      <x:c r="R119" s="6" t="str">
        <x:v>oil-change</x:v>
      </x:c>
      <x:c r="S119" s="6" t="str">
        <x:v>Dubai explicit</x:v>
      </x:c>
      <x:c r="T119" s="6" t="n">
        <x:v>3</x:v>
      </x:c>
      <x:c r="U119" s="6" t="str">
        <x:v>21–40</x:v>
      </x:c>
      <x:c r="V119" s="6" t="str">
        <x:v>Content, internal authority and owner alignment</x:v>
      </x:c>
      <x:c r="W119" s="6" t="str">
        <x:v>Relevant supporting</x:v>
      </x:c>
      <x:c r="X119" s="6" t="n">
        <x:v>115</x:v>
      </x:c>
      <x:c r="Y119" s="6" t="str">
        <x:v>Unconfirmed — joint query/page data required</x:v>
      </x:c>
    </x:row>
    <x:row r="120" ht="42" customHeight="1">
      <x:c r="A120" s="6" t="str">
        <x:v>car suspension repair in dubai</x:v>
      </x:c>
      <x:c r="B120" s="14" t="n">
        <x:v>0</x:v>
      </x:c>
      <x:c r="C120" s="14" t="n">
        <x:v>135</x:v>
      </x:c>
      <x:c r="D120" s="15" t="n">
        <x:v>0</x:v>
      </x:c>
      <x:c r="E120" s="16" t="n">
        <x:v>38.73</x:v>
      </x:c>
      <x:c r="F120" s="6" t="str">
        <x:v>GROWTH</x:v>
      </x:c>
      <x:c r="G120" s="17" t="n">
        <x:f>'Scoring'!I120</x:f>
        <x:v>64.1</x:v>
      </x:c>
      <x:c r="H120" s="6" t="str">
        <x:v>SUPPORT</x:v>
      </x:c>
      <x:c r="I120" s="6" t="str">
        <x:v>All vehicles: Suspension repair (English)</x:v>
      </x:c>
      <x:c r="J120" s="6" t="str">
        <x:v>Secondary</x:v>
      </x:c>
      <x:c r="K120" s="6" t="str">
        <x:v>Commercial service enquiry</x:v>
      </x:c>
      <x:c r="L120" s="6" t="str">
        <x:v>High</x:v>
      </x:c>
      <x:c r="M120" s="6" t="str">
        <x:v>https://digitecme.com/services/suspension-repair-dubai</x:v>
      </x:c>
      <x:c r="N120" s="6" t="str">
        <x:v>Unknown — export has no query/page pairing</x:v>
      </x:c>
      <x:c r="O120" s="6" t="str">
        <x:v>Retain primary intent and support variants</x:v>
      </x:c>
      <x:c r="P120" s="6" t="str">
        <x:v>Average position 38.73 makes ranking the main issue; avoid a CTR-only rewrite.</x:v>
      </x:c>
      <x:c r="Q120" s="6" t="str">
        <x:v>All vehicles</x:v>
      </x:c>
      <x:c r="R120" s="6" t="str">
        <x:v>suspension-repair</x:v>
      </x:c>
      <x:c r="S120" s="6" t="str">
        <x:v>Dubai explicit</x:v>
      </x:c>
      <x:c r="T120" s="6" t="n">
        <x:v>3</x:v>
      </x:c>
      <x:c r="U120" s="6" t="str">
        <x:v>21–40</x:v>
      </x:c>
      <x:c r="V120" s="6" t="str">
        <x:v>Content, internal authority and owner alignment</x:v>
      </x:c>
      <x:c r="W120" s="6" t="str">
        <x:v>Relevant supporting</x:v>
      </x:c>
      <x:c r="X120" s="6" t="n">
        <x:v>116</x:v>
      </x:c>
      <x:c r="Y120" s="6" t="str">
        <x:v>Unconfirmed — joint query/page data required</x:v>
      </x:c>
    </x:row>
    <x:row r="121" ht="42" customHeight="1">
      <x:c r="A121" s="6" t="str">
        <x:v>ferrari maintenance dubai</x:v>
      </x:c>
      <x:c r="B121" s="14" t="n">
        <x:v>0</x:v>
      </x:c>
      <x:c r="C121" s="14" t="n">
        <x:v>134</x:v>
      </x:c>
      <x:c r="D121" s="15" t="n">
        <x:v>0</x:v>
      </x:c>
      <x:c r="E121" s="16" t="n">
        <x:v>18.88</x:v>
      </x:c>
      <x:c r="F121" s="6" t="str">
        <x:v>HIGH</x:v>
      </x:c>
      <x:c r="G121" s="17" t="n">
        <x:f>'Scoring'!I121</x:f>
        <x:v>79.6</x:v>
      </x:c>
      <x:c r="H121" s="6" t="str">
        <x:v>SUPPORT</x:v>
      </x:c>
      <x:c r="I121" s="6" t="str">
        <x:v>ferrari: Service and repair</x:v>
      </x:c>
      <x:c r="J121" s="6" t="str">
        <x:v>Secondary</x:v>
      </x:c>
      <x:c r="K121" s="6" t="str">
        <x:v>Commercial service enquiry</x:v>
      </x:c>
      <x:c r="L121" s="6" t="str">
        <x:v>High</x:v>
      </x:c>
      <x:c r="M121" s="6" t="str">
        <x:v>https://digitecme.com/brands/ferrari-service-dubai</x:v>
      </x:c>
      <x:c r="N121" s="6" t="str">
        <x:v>Unknown — export has no query/page pairing</x:v>
      </x:c>
      <x:c r="O121" s="6" t="str">
        <x:v>Retain primary intent and support variants</x:v>
      </x:c>
      <x:c r="P121" s="6" t="str">
        <x:v>134 impressions at average position 18.88; strengthen the appropriate intent owner and measure with a fresh comparable period.</x:v>
      </x:c>
      <x:c r="Q121" s="6" t="str">
        <x:v>ferrari</x:v>
      </x:c>
      <x:c r="R121" s="6" t="str">
        <x:v>service-repair</x:v>
      </x:c>
      <x:c r="S121" s="6" t="str">
        <x:v>Dubai explicit</x:v>
      </x:c>
      <x:c r="T121" s="6" t="n">
        <x:v>5</x:v>
      </x:c>
      <x:c r="U121" s="6" t="str">
        <x:v>11–20</x:v>
      </x:c>
      <x:c r="V121" s="6" t="str">
        <x:v>Ranking and owner relevance</x:v>
      </x:c>
      <x:c r="W121" s="6" t="str">
        <x:v>Relevant supporting</x:v>
      </x:c>
      <x:c r="X121" s="6" t="n">
        <x:v>117</x:v>
      </x:c>
      <x:c r="Y121" s="6" t="str">
        <x:v>Unconfirmed — joint query/page data required</x:v>
      </x:c>
    </x:row>
    <x:row r="122" ht="42" customHeight="1">
      <x:c r="A122" s="6" t="str">
        <x:v>ferrari suspension repair dubai</x:v>
      </x:c>
      <x:c r="B122" s="14" t="n">
        <x:v>0</x:v>
      </x:c>
      <x:c r="C122" s="14" t="n">
        <x:v>133</x:v>
      </x:c>
      <x:c r="D122" s="15" t="n">
        <x:v>0</x:v>
      </x:c>
      <x:c r="E122" s="16" t="n">
        <x:v>24.53</x:v>
      </x:c>
      <x:c r="F122" s="6" t="str">
        <x:v>HIGH</x:v>
      </x:c>
      <x:c r="G122" s="17" t="n">
        <x:f>'Scoring'!I122</x:f>
        <x:v>79.6</x:v>
      </x:c>
      <x:c r="H122" s="6" t="str">
        <x:v>SPLIT</x:v>
      </x:c>
      <x:c r="I122" s="6" t="str">
        <x:v>ferrari: Suspension repair</x:v>
      </x:c>
      <x:c r="J122" s="6" t="str">
        <x:v>Primary</x:v>
      </x:c>
      <x:c r="K122" s="6" t="str">
        <x:v>Commercial service enquiry</x:v>
      </x:c>
      <x:c r="L122" s="6" t="str">
        <x:v>High</x:v>
      </x:c>
      <x:c r="M122" s="6" t="str">
        <x:v>https://digitecme.com/brands/ferrari-service-dubai/suspension-repair</x:v>
      </x:c>
      <x:c r="N122" s="6" t="str">
        <x:v>Unknown — export has no query/page pairing</x:v>
      </x:c>
      <x:c r="O122" s="6" t="str">
        <x:v>Use dedicated service owner</x:v>
      </x:c>
      <x:c r="P122" s="6" t="str">
        <x:v>Average position 24.53 makes ranking the main issue; avoid a CTR-only rewrite.</x:v>
      </x:c>
      <x:c r="Q122" s="6" t="str">
        <x:v>ferrari</x:v>
      </x:c>
      <x:c r="R122" s="6" t="str">
        <x:v>suspension-repair</x:v>
      </x:c>
      <x:c r="S122" s="6" t="str">
        <x:v>Dubai explicit</x:v>
      </x:c>
      <x:c r="T122" s="6" t="n">
        <x:v>5</x:v>
      </x:c>
      <x:c r="U122" s="6" t="str">
        <x:v>21–40</x:v>
      </x:c>
      <x:c r="V122" s="6" t="str">
        <x:v>Content, internal authority and owner alignment</x:v>
      </x:c>
      <x:c r="W122" s="6" t="str">
        <x:v>High-value commercial</x:v>
      </x:c>
      <x:c r="X122" s="6" t="n">
        <x:v>118</x:v>
      </x:c>
      <x:c r="Y122" s="6" t="str">
        <x:v>Unconfirmed — joint query/page data required</x:v>
      </x:c>
    </x:row>
    <x:row r="123" ht="57" customHeight="1">
      <x:c r="A123" s="6" t="str">
        <x:v>mercedes e class audio upgrade in dubai</x:v>
      </x:c>
      <x:c r="B123" s="14" t="n">
        <x:v>0</x:v>
      </x:c>
      <x:c r="C123" s="14" t="n">
        <x:v>133</x:v>
      </x:c>
      <x:c r="D123" s="15" t="n">
        <x:v>0</x:v>
      </x:c>
      <x:c r="E123" s="16" t="n">
        <x:v>58.62</x:v>
      </x:c>
      <x:c r="F123" s="6" t="str">
        <x:v>DEPRIORITIZE</x:v>
      </x:c>
      <x:c r="G123" s="17" t="n">
        <x:f>'Scoring'!I123</x:f>
        <x:v>4</x:v>
      </x:c>
      <x:c r="H123" s="6" t="str">
        <x:v>DEPRIORITIZE</x:v>
      </x:c>
      <x:c r="I123" s="6" t="str">
        <x:v>mercedes-benz: Audio or interior retrofit</x:v>
      </x:c>
      <x:c r="J123" s="6" t="str">
        <x:v>Secondary</x:v>
      </x:c>
      <x:c r="K123" s="6" t="str">
        <x:v>Commercial capability enquiry</x:v>
      </x:c>
      <x:c r="L123" s="6" t="str">
        <x:v>Unverified</x:v>
      </x:c>
      <x:c r="M123" s="6" t="str"/>
      <x:c r="N123" s="6" t="str">
        <x:v>Unknown — export has no query/page pairing</x:v>
      </x:c>
      <x:c r="O123" s="6" t="str">
        <x:v>Confirm scope or deprioritize</x:v>
      </x:c>
      <x:c r="P123" s="6" t="str">
        <x:v>Specific retrofit or component repair capability is unconfirmed; do not publish a dedicated sales page before confirmation. Average position 58.62 makes ranking the main issue; avoid a CTR-only rewrite.</x:v>
      </x:c>
      <x:c r="Q123" s="6" t="str">
        <x:v>mercedes-benz</x:v>
      </x:c>
      <x:c r="R123" s="6" t="str">
        <x:v>audio-retrofit</x:v>
      </x:c>
      <x:c r="S123" s="6" t="str">
        <x:v>Dubai explicit</x:v>
      </x:c>
      <x:c r="T123" s="6" t="n">
        <x:v>1</x:v>
      </x:c>
      <x:c r="U123" s="6" t="str">
        <x:v>40+</x:v>
      </x:c>
      <x:c r="V123" s="6" t="str">
        <x:v>Relevance, capability, indexing and authority review</x:v>
      </x:c>
      <x:c r="W123" s="6" t="str">
        <x:v>Low-value</x:v>
      </x:c>
      <x:c r="X123" s="6" t="n">
        <x:v>119</x:v>
      </x:c>
      <x:c r="Y123" s="6" t="str">
        <x:v>Unconfirmed — joint query/page data required</x:v>
      </x:c>
    </x:row>
    <x:row r="124" ht="42" customHeight="1">
      <x:c r="A124" s="6" t="str">
        <x:v>lamborghini maintenance dubai</x:v>
      </x:c>
      <x:c r="B124" s="14" t="n">
        <x:v>0</x:v>
      </x:c>
      <x:c r="C124" s="14" t="n">
        <x:v>132</x:v>
      </x:c>
      <x:c r="D124" s="15" t="n">
        <x:v>0</x:v>
      </x:c>
      <x:c r="E124" s="16" t="n">
        <x:v>21.56</x:v>
      </x:c>
      <x:c r="F124" s="6" t="str">
        <x:v>HIGH</x:v>
      </x:c>
      <x:c r="G124" s="17" t="n">
        <x:f>'Scoring'!I124</x:f>
        <x:v>79.6</x:v>
      </x:c>
      <x:c r="H124" s="6" t="str">
        <x:v>SUPPORT</x:v>
      </x:c>
      <x:c r="I124" s="6" t="str">
        <x:v>lamborghini: Service and repair</x:v>
      </x:c>
      <x:c r="J124" s="6" t="str">
        <x:v>Secondary</x:v>
      </x:c>
      <x:c r="K124" s="6" t="str">
        <x:v>Commercial service enquiry</x:v>
      </x:c>
      <x:c r="L124" s="6" t="str">
        <x:v>High</x:v>
      </x:c>
      <x:c r="M124" s="6" t="str">
        <x:v>https://digitecme.com/brands/lamborghini-service-dubai</x:v>
      </x:c>
      <x:c r="N124" s="6" t="str">
        <x:v>Unknown — export has no query/page pairing</x:v>
      </x:c>
      <x:c r="O124" s="6" t="str">
        <x:v>Retain primary intent and support variants</x:v>
      </x:c>
      <x:c r="P124" s="6" t="str">
        <x:v>Average position 21.56 makes ranking the main issue; avoid a CTR-only rewrite.</x:v>
      </x:c>
      <x:c r="Q124" s="6" t="str">
        <x:v>lamborghini</x:v>
      </x:c>
      <x:c r="R124" s="6" t="str">
        <x:v>service-repair</x:v>
      </x:c>
      <x:c r="S124" s="6" t="str">
        <x:v>Dubai explicit</x:v>
      </x:c>
      <x:c r="T124" s="6" t="n">
        <x:v>5</x:v>
      </x:c>
      <x:c r="U124" s="6" t="str">
        <x:v>21–40</x:v>
      </x:c>
      <x:c r="V124" s="6" t="str">
        <x:v>Content, internal authority and owner alignment</x:v>
      </x:c>
      <x:c r="W124" s="6" t="str">
        <x:v>Relevant supporting</x:v>
      </x:c>
      <x:c r="X124" s="6" t="n">
        <x:v>120</x:v>
      </x:c>
      <x:c r="Y124" s="6" t="str">
        <x:v>Unconfirmed — joint query/page data required</x:v>
      </x:c>
    </x:row>
    <x:row r="125" ht="42" customHeight="1">
      <x:c r="A125" s="6" t="str">
        <x:v>oil change service</x:v>
      </x:c>
      <x:c r="B125" s="14" t="n">
        <x:v>0</x:v>
      </x:c>
      <x:c r="C125" s="14" t="n">
        <x:v>131</x:v>
      </x:c>
      <x:c r="D125" s="15" t="n">
        <x:v>0</x:v>
      </x:c>
      <x:c r="E125" s="16" t="n">
        <x:v>28.02</x:v>
      </x:c>
      <x:c r="F125" s="6" t="str">
        <x:v>HIGH</x:v>
      </x:c>
      <x:c r="G125" s="17" t="n">
        <x:f>'Scoring'!I125</x:f>
        <x:v>66.6</x:v>
      </x:c>
      <x:c r="H125" s="6" t="str">
        <x:v>SUPPORT</x:v>
      </x:c>
      <x:c r="I125" s="6" t="str">
        <x:v>All vehicles: Oil change (English)</x:v>
      </x:c>
      <x:c r="J125" s="6" t="str">
        <x:v>Secondary</x:v>
      </x:c>
      <x:c r="K125" s="6" t="str">
        <x:v>Commercial service enquiry</x:v>
      </x:c>
      <x:c r="L125" s="6" t="str">
        <x:v>High</x:v>
      </x:c>
      <x:c r="M125" s="6" t="str">
        <x:v>https://digitecme.com/services/oil-change-dubai</x:v>
      </x:c>
      <x:c r="N125" s="6" t="str">
        <x:v>Unknown — export has no query/page pairing</x:v>
      </x:c>
      <x:c r="O125" s="6" t="str">
        <x:v>Retain primary intent and support variants</x:v>
      </x:c>
      <x:c r="P125" s="6" t="str">
        <x:v>Average position 28.02 makes ranking the main issue; avoid a CTR-only rewrite.</x:v>
      </x:c>
      <x:c r="Q125" s="6" t="str">
        <x:v>All vehicles</x:v>
      </x:c>
      <x:c r="R125" s="6" t="str">
        <x:v>oil-change</x:v>
      </x:c>
      <x:c r="S125" s="6" t="str">
        <x:v>Location unspecified</x:v>
      </x:c>
      <x:c r="T125" s="6" t="n">
        <x:v>3</x:v>
      </x:c>
      <x:c r="U125" s="6" t="str">
        <x:v>21–40</x:v>
      </x:c>
      <x:c r="V125" s="6" t="str">
        <x:v>Content, internal authority and owner alignment</x:v>
      </x:c>
      <x:c r="W125" s="6" t="str">
        <x:v>Relevant supporting</x:v>
      </x:c>
      <x:c r="X125" s="6" t="n">
        <x:v>121</x:v>
      </x:c>
      <x:c r="Y125" s="6" t="str">
        <x:v>Unconfirmed — joint query/page data required</x:v>
      </x:c>
    </x:row>
    <x:row r="126" ht="57" customHeight="1">
      <x:c r="A126" s="6" t="str">
        <x:v>head unit repairing dubai</x:v>
      </x:c>
      <x:c r="B126" s="14" t="n">
        <x:v>0</x:v>
      </x:c>
      <x:c r="C126" s="14" t="n">
        <x:v>131</x:v>
      </x:c>
      <x:c r="D126" s="15" t="n">
        <x:v>0</x:v>
      </x:c>
      <x:c r="E126" s="16" t="n">
        <x:v>49.92</x:v>
      </x:c>
      <x:c r="F126" s="6" t="str">
        <x:v>DEPRIORITIZE</x:v>
      </x:c>
      <x:c r="G126" s="17" t="n">
        <x:f>'Scoring'!I126</x:f>
        <x:v>4</x:v>
      </x:c>
      <x:c r="H126" s="6" t="str">
        <x:v>DEPRIORITIZE</x:v>
      </x:c>
      <x:c r="I126" s="6" t="str">
        <x:v>Unspecified brand: Screen or head-unit repair</x:v>
      </x:c>
      <x:c r="J126" s="6" t="str">
        <x:v>Secondary</x:v>
      </x:c>
      <x:c r="K126" s="6" t="str">
        <x:v>Commercial capability enquiry</x:v>
      </x:c>
      <x:c r="L126" s="6" t="str">
        <x:v>Unverified</x:v>
      </x:c>
      <x:c r="M126" s="6" t="str"/>
      <x:c r="N126" s="6" t="str">
        <x:v>Unknown — export has no query/page pairing</x:v>
      </x:c>
      <x:c r="O126" s="6" t="str">
        <x:v>Confirm scope or deprioritize</x:v>
      </x:c>
      <x:c r="P126" s="6" t="str">
        <x:v>Specific retrofit or component repair capability is unconfirmed; do not publish a dedicated sales page before confirmation. Average position 49.92 makes ranking the main issue; avoid a CTR-only rewrite.</x:v>
      </x:c>
      <x:c r="Q126" s="6" t="str">
        <x:v>All vehicles</x:v>
      </x:c>
      <x:c r="R126" s="6" t="str">
        <x:v>audio-retrofit</x:v>
      </x:c>
      <x:c r="S126" s="6" t="str">
        <x:v>Dubai explicit</x:v>
      </x:c>
      <x:c r="T126" s="6" t="n">
        <x:v>1</x:v>
      </x:c>
      <x:c r="U126" s="6" t="str">
        <x:v>40+</x:v>
      </x:c>
      <x:c r="V126" s="6" t="str">
        <x:v>Relevance, capability, indexing and authority review</x:v>
      </x:c>
      <x:c r="W126" s="6" t="str">
        <x:v>Low-value</x:v>
      </x:c>
      <x:c r="X126" s="6" t="n">
        <x:v>122</x:v>
      </x:c>
      <x:c r="Y126" s="6" t="str">
        <x:v>Unconfirmed — joint query/page data required</x:v>
      </x:c>
    </x:row>
    <x:row r="127" ht="42" customHeight="1">
      <x:c r="A127" s="6" t="str">
        <x:v>bmw service center dubai</x:v>
      </x:c>
      <x:c r="B127" s="14" t="n">
        <x:v>0</x:v>
      </x:c>
      <x:c r="C127" s="14" t="n">
        <x:v>129</x:v>
      </x:c>
      <x:c r="D127" s="15" t="n">
        <x:v>0</x:v>
      </x:c>
      <x:c r="E127" s="16" t="n">
        <x:v>30.59</x:v>
      </x:c>
      <x:c r="F127" s="6" t="str">
        <x:v>GROWTH</x:v>
      </x:c>
      <x:c r="G127" s="17" t="n">
        <x:f>'Scoring'!I127</x:f>
        <x:v>72</x:v>
      </x:c>
      <x:c r="H127" s="6" t="str">
        <x:v>SUPPORT</x:v>
      </x:c>
      <x:c r="I127" s="6" t="str">
        <x:v>bmw: Service and repair (English)</x:v>
      </x:c>
      <x:c r="J127" s="6" t="str">
        <x:v>Secondary</x:v>
      </x:c>
      <x:c r="K127" s="6" t="str">
        <x:v>Commercial service enquiry</x:v>
      </x:c>
      <x:c r="L127" s="6" t="str">
        <x:v>High</x:v>
      </x:c>
      <x:c r="M127" s="6" t="str">
        <x:v>https://digitecme.com/brands/bmw-service-dubai</x:v>
      </x:c>
      <x:c r="N127" s="6" t="str">
        <x:v>Unknown — export has no query/page pairing</x:v>
      </x:c>
      <x:c r="O127" s="6" t="str">
        <x:v>Retain primary intent and support variants</x:v>
      </x:c>
      <x:c r="P127" s="6" t="str">
        <x:v>Average position 30.59 makes ranking the main issue; avoid a CTR-only rewrite.</x:v>
      </x:c>
      <x:c r="Q127" s="6" t="str">
        <x:v>bmw</x:v>
      </x:c>
      <x:c r="R127" s="6" t="str">
        <x:v>service-repair</x:v>
      </x:c>
      <x:c r="S127" s="6" t="str">
        <x:v>Dubai explicit</x:v>
      </x:c>
      <x:c r="T127" s="6" t="n">
        <x:v>5</x:v>
      </x:c>
      <x:c r="U127" s="6" t="str">
        <x:v>21–40</x:v>
      </x:c>
      <x:c r="V127" s="6" t="str">
        <x:v>Content, internal authority and owner alignment</x:v>
      </x:c>
      <x:c r="W127" s="6" t="str">
        <x:v>Relevant supporting</x:v>
      </x:c>
      <x:c r="X127" s="6" t="n">
        <x:v>123</x:v>
      </x:c>
      <x:c r="Y127" s="6" t="str">
        <x:v>Unconfirmed — joint query/page data required</x:v>
      </x:c>
    </x:row>
    <x:row r="128" ht="42" customHeight="1">
      <x:c r="A128" s="6" t="str">
        <x:v>bugatti repair dubai</x:v>
      </x:c>
      <x:c r="B128" s="14" t="n">
        <x:v>0</x:v>
      </x:c>
      <x:c r="C128" s="14" t="n">
        <x:v>127</x:v>
      </x:c>
      <x:c r="D128" s="15" t="n">
        <x:v>0</x:v>
      </x:c>
      <x:c r="E128" s="16" t="n">
        <x:v>28.16</x:v>
      </x:c>
      <x:c r="F128" s="6" t="str">
        <x:v>HIGH</x:v>
      </x:c>
      <x:c r="G128" s="17" t="n">
        <x:f>'Scoring'!I128</x:f>
        <x:v>79.5</x:v>
      </x:c>
      <x:c r="H128" s="6" t="str">
        <x:v>PRIORITIZE</x:v>
      </x:c>
      <x:c r="I128" s="6" t="str">
        <x:v>bugatti: Service and repair</x:v>
      </x:c>
      <x:c r="J128" s="6" t="str">
        <x:v>Primary</x:v>
      </x:c>
      <x:c r="K128" s="6" t="str">
        <x:v>Commercial service enquiry</x:v>
      </x:c>
      <x:c r="L128" s="6" t="str">
        <x:v>High</x:v>
      </x:c>
      <x:c r="M128" s="6" t="str">
        <x:v>https://digitecme.com/brands/bugatti-service-dubai</x:v>
      </x:c>
      <x:c r="N128" s="6" t="str">
        <x:v>Unknown — export has no query/page pairing</x:v>
      </x:c>
      <x:c r="O128" s="6" t="str">
        <x:v>Strengthen this primary intent owner</x:v>
      </x:c>
      <x:c r="P128" s="6" t="str">
        <x:v>Average position 28.16 makes ranking the main issue; avoid a CTR-only rewrite.</x:v>
      </x:c>
      <x:c r="Q128" s="6" t="str">
        <x:v>bugatti</x:v>
      </x:c>
      <x:c r="R128" s="6" t="str">
        <x:v>service-repair</x:v>
      </x:c>
      <x:c r="S128" s="6" t="str">
        <x:v>Dubai explicit</x:v>
      </x:c>
      <x:c r="T128" s="6" t="n">
        <x:v>5</x:v>
      </x:c>
      <x:c r="U128" s="6" t="str">
        <x:v>21–40</x:v>
      </x:c>
      <x:c r="V128" s="6" t="str">
        <x:v>Content, internal authority and owner alignment</x:v>
      </x:c>
      <x:c r="W128" s="6" t="str">
        <x:v>High-value commercial</x:v>
      </x:c>
      <x:c r="X128" s="6" t="n">
        <x:v>124</x:v>
      </x:c>
      <x:c r="Y128" s="6" t="str">
        <x:v>Unconfirmed — joint query/page data required</x:v>
      </x:c>
    </x:row>
    <x:row r="129" ht="57" customHeight="1">
      <x:c r="A129" s="6" t="str">
        <x:v>paint protection dubai</x:v>
      </x:c>
      <x:c r="B129" s="14" t="n">
        <x:v>0</x:v>
      </x:c>
      <x:c r="C129" s="14" t="n">
        <x:v>127</x:v>
      </x:c>
      <x:c r="D129" s="15" t="n">
        <x:v>0</x:v>
      </x:c>
      <x:c r="E129" s="16" t="n">
        <x:v>35.68</x:v>
      </x:c>
      <x:c r="F129" s="6" t="str">
        <x:v>GROWTH</x:v>
      </x:c>
      <x:c r="G129" s="17" t="n">
        <x:f>'Scoring'!I129</x:f>
        <x:v>72</x:v>
      </x:c>
      <x:c r="H129" s="6" t="str">
        <x:v>SUPPORT</x:v>
      </x:c>
      <x:c r="I129" s="6" t="str">
        <x:v>All vehicles: Paint care and protection comparison</x:v>
      </x:c>
      <x:c r="J129" s="6" t="str">
        <x:v>Secondary</x:v>
      </x:c>
      <x:c r="K129" s="6" t="str">
        <x:v>Commercial service enquiry</x:v>
      </x:c>
      <x:c r="L129" s="6" t="str">
        <x:v>High</x:v>
      </x:c>
      <x:c r="M129" s="6" t="str">
        <x:v>https://digitecme.com/services/paint-protection-dubai</x:v>
      </x:c>
      <x:c r="N129" s="6" t="str">
        <x:v>Unknown — export has no query/page pairing</x:v>
      </x:c>
      <x:c r="O129" s="6" t="str">
        <x:v>Retain primary intent and support variants</x:v>
      </x:c>
      <x:c r="P129" s="6" t="str">
        <x:v>Broad protection intent is mixed; the comparison hub should direct film and coating enquiries to their specialist pages. Average position 35.68 makes ranking the main issue; avoid a CTR-only rewrite.</x:v>
      </x:c>
      <x:c r="Q129" s="6" t="str">
        <x:v>All vehicles</x:v>
      </x:c>
      <x:c r="R129" s="6" t="str">
        <x:v>paint-care</x:v>
      </x:c>
      <x:c r="S129" s="6" t="str">
        <x:v>Dubai explicit</x:v>
      </x:c>
      <x:c r="T129" s="6" t="n">
        <x:v>5</x:v>
      </x:c>
      <x:c r="U129" s="6" t="str">
        <x:v>21–40</x:v>
      </x:c>
      <x:c r="V129" s="6" t="str">
        <x:v>Content, internal authority and owner alignment</x:v>
      </x:c>
      <x:c r="W129" s="6" t="str">
        <x:v>Relevant supporting</x:v>
      </x:c>
      <x:c r="X129" s="6" t="n">
        <x:v>125</x:v>
      </x:c>
      <x:c r="Y129" s="6" t="str">
        <x:v>Unconfirmed — joint query/page data required</x:v>
      </x:c>
    </x:row>
    <x:row r="130" ht="42" customHeight="1">
      <x:c r="A130" s="6" t="str">
        <x:v>mercedes garage dubai</x:v>
      </x:c>
      <x:c r="B130" s="14" t="n">
        <x:v>0</x:v>
      </x:c>
      <x:c r="C130" s="14" t="n">
        <x:v>126</x:v>
      </x:c>
      <x:c r="D130" s="15" t="n">
        <x:v>0</x:v>
      </x:c>
      <x:c r="E130" s="16" t="n">
        <x:v>29.44</x:v>
      </x:c>
      <x:c r="F130" s="6" t="str">
        <x:v>HIGH</x:v>
      </x:c>
      <x:c r="G130" s="17" t="n">
        <x:f>'Scoring'!I130</x:f>
        <x:v>79.5</x:v>
      </x:c>
      <x:c r="H130" s="6" t="str">
        <x:v>SUPPORT</x:v>
      </x:c>
      <x:c r="I130" s="6" t="str">
        <x:v>mercedes-benz: Service and repair (English)</x:v>
      </x:c>
      <x:c r="J130" s="6" t="str">
        <x:v>Secondary</x:v>
      </x:c>
      <x:c r="K130" s="6" t="str">
        <x:v>Commercial service enquiry</x:v>
      </x:c>
      <x:c r="L130" s="6" t="str">
        <x:v>High</x:v>
      </x:c>
      <x:c r="M130" s="6" t="str">
        <x:v>https://digitecme.com/brands/mercedes-benz-service-dubai</x:v>
      </x:c>
      <x:c r="N130" s="6" t="str">
        <x:v>Unknown — export has no query/page pairing</x:v>
      </x:c>
      <x:c r="O130" s="6" t="str">
        <x:v>Retain primary intent and support variants</x:v>
      </x:c>
      <x:c r="P130" s="6" t="str">
        <x:v>Average position 29.44 makes ranking the main issue; avoid a CTR-only rewrite.</x:v>
      </x:c>
      <x:c r="Q130" s="6" t="str">
        <x:v>mercedes-benz</x:v>
      </x:c>
      <x:c r="R130" s="6" t="str">
        <x:v>service-repair</x:v>
      </x:c>
      <x:c r="S130" s="6" t="str">
        <x:v>Dubai explicit</x:v>
      </x:c>
      <x:c r="T130" s="6" t="n">
        <x:v>5</x:v>
      </x:c>
      <x:c r="U130" s="6" t="str">
        <x:v>21–40</x:v>
      </x:c>
      <x:c r="V130" s="6" t="str">
        <x:v>Content, internal authority and owner alignment</x:v>
      </x:c>
      <x:c r="W130" s="6" t="str">
        <x:v>Relevant supporting</x:v>
      </x:c>
      <x:c r="X130" s="6" t="n">
        <x:v>126</x:v>
      </x:c>
      <x:c r="Y130" s="6" t="str">
        <x:v>Unconfirmed — joint query/page data required</x:v>
      </x:c>
    </x:row>
    <x:row r="131" ht="42" customHeight="1">
      <x:c r="A131" s="6" t="str">
        <x:v>car diagnostic dubai</x:v>
      </x:c>
      <x:c r="B131" s="14" t="n">
        <x:v>0</x:v>
      </x:c>
      <x:c r="C131" s="14" t="n">
        <x:v>126</x:v>
      </x:c>
      <x:c r="D131" s="15" t="n">
        <x:v>0</x:v>
      </x:c>
      <x:c r="E131" s="16" t="n">
        <x:v>31.63</x:v>
      </x:c>
      <x:c r="F131" s="6" t="str">
        <x:v>GROWTH</x:v>
      </x:c>
      <x:c r="G131" s="17" t="n">
        <x:f>'Scoring'!I131</x:f>
        <x:v>64</x:v>
      </x:c>
      <x:c r="H131" s="6" t="str">
        <x:v>PRIORITIZE</x:v>
      </x:c>
      <x:c r="I131" s="6" t="str">
        <x:v>All vehicles: Diagnostics and supported coding</x:v>
      </x:c>
      <x:c r="J131" s="6" t="str">
        <x:v>Primary</x:v>
      </x:c>
      <x:c r="K131" s="6" t="str">
        <x:v>Commercial service enquiry</x:v>
      </x:c>
      <x:c r="L131" s="6" t="str">
        <x:v>High</x:v>
      </x:c>
      <x:c r="M131" s="6" t="str">
        <x:v>https://digitecme.com/services/car-diagnostics-dubai</x:v>
      </x:c>
      <x:c r="N131" s="6" t="str">
        <x:v>Unknown — export has no query/page pairing</x:v>
      </x:c>
      <x:c r="O131" s="6" t="str">
        <x:v>Strengthen this primary intent owner</x:v>
      </x:c>
      <x:c r="P131" s="6" t="str">
        <x:v>Average position 31.63 makes ranking the main issue; avoid a CTR-only rewrite.</x:v>
      </x:c>
      <x:c r="Q131" s="6" t="str">
        <x:v>All vehicles</x:v>
      </x:c>
      <x:c r="R131" s="6" t="str">
        <x:v>engine-diagnostics</x:v>
      </x:c>
      <x:c r="S131" s="6" t="str">
        <x:v>Dubai explicit</x:v>
      </x:c>
      <x:c r="T131" s="6" t="n">
        <x:v>3</x:v>
      </x:c>
      <x:c r="U131" s="6" t="str">
        <x:v>21–40</x:v>
      </x:c>
      <x:c r="V131" s="6" t="str">
        <x:v>Content, internal authority and owner alignment</x:v>
      </x:c>
      <x:c r="W131" s="6" t="str">
        <x:v>High-value commercial</x:v>
      </x:c>
      <x:c r="X131" s="6" t="n">
        <x:v>127</x:v>
      </x:c>
      <x:c r="Y131" s="6" t="str">
        <x:v>Unconfirmed — joint query/page data required</x:v>
      </x:c>
    </x:row>
    <x:row r="132" ht="42" customHeight="1">
      <x:c r="A132" s="6" t="str">
        <x:v>mercedes car service in dubai</x:v>
      </x:c>
      <x:c r="B132" s="14" t="n">
        <x:v>0</x:v>
      </x:c>
      <x:c r="C132" s="14" t="n">
        <x:v>125</x:v>
      </x:c>
      <x:c r="D132" s="15" t="n">
        <x:v>0</x:v>
      </x:c>
      <x:c r="E132" s="16" t="n">
        <x:v>10.3</x:v>
      </x:c>
      <x:c r="F132" s="6" t="str">
        <x:v>CRITICAL</x:v>
      </x:c>
      <x:c r="G132" s="17" t="n">
        <x:f>'Scoring'!I132</x:f>
        <x:v>87</x:v>
      </x:c>
      <x:c r="H132" s="6" t="str">
        <x:v>SUPPORT</x:v>
      </x:c>
      <x:c r="I132" s="6" t="str">
        <x:v>mercedes-benz: Service and repair (English)</x:v>
      </x:c>
      <x:c r="J132" s="6" t="str">
        <x:v>Secondary</x:v>
      </x:c>
      <x:c r="K132" s="6" t="str">
        <x:v>Commercial service enquiry</x:v>
      </x:c>
      <x:c r="L132" s="6" t="str">
        <x:v>High</x:v>
      </x:c>
      <x:c r="M132" s="6" t="str">
        <x:v>https://digitecme.com/brands/mercedes-benz-service-dubai</x:v>
      </x:c>
      <x:c r="N132" s="6" t="str">
        <x:v>Unknown — export has no query/page pairing</x:v>
      </x:c>
      <x:c r="O132" s="6" t="str">
        <x:v>Retain primary intent and support variants</x:v>
      </x:c>
      <x:c r="P132" s="6" t="str">
        <x:v>125 impressions at average position 10.30; strengthen the appropriate intent owner and measure with a fresh comparable period.</x:v>
      </x:c>
      <x:c r="Q132" s="6" t="str">
        <x:v>mercedes-benz</x:v>
      </x:c>
      <x:c r="R132" s="6" t="str">
        <x:v>service-repair</x:v>
      </x:c>
      <x:c r="S132" s="6" t="str">
        <x:v>Dubai explicit</x:v>
      </x:c>
      <x:c r="T132" s="6" t="n">
        <x:v>5</x:v>
      </x:c>
      <x:c r="U132" s="6" t="str">
        <x:v>11–20</x:v>
      </x:c>
      <x:c r="V132" s="6" t="str">
        <x:v>Ranking and owner relevance</x:v>
      </x:c>
      <x:c r="W132" s="6" t="str">
        <x:v>Relevant supporting</x:v>
      </x:c>
      <x:c r="X132" s="6" t="n">
        <x:v>128</x:v>
      </x:c>
      <x:c r="Y132" s="6" t="str">
        <x:v>Unconfirmed — joint query/page data required</x:v>
      </x:c>
    </x:row>
    <x:row r="133" ht="42" customHeight="1">
      <x:c r="A133" s="6" t="str">
        <x:v>professional paint protection film in dubai</x:v>
      </x:c>
      <x:c r="B133" s="14" t="n">
        <x:v>0</x:v>
      </x:c>
      <x:c r="C133" s="14" t="n">
        <x:v>125</x:v>
      </x:c>
      <x:c r="D133" s="15" t="n">
        <x:v>0</x:v>
      </x:c>
      <x:c r="E133" s="16" t="n">
        <x:v>25.45</x:v>
      </x:c>
      <x:c r="F133" s="6" t="str">
        <x:v>HIGH</x:v>
      </x:c>
      <x:c r="G133" s="17" t="n">
        <x:f>'Scoring'!I133</x:f>
        <x:v>79.5</x:v>
      </x:c>
      <x:c r="H133" s="6" t="str">
        <x:v>PRIORITIZE</x:v>
      </x:c>
      <x:c r="I133" s="6" t="str">
        <x:v>All vehicles: Paint protection film</x:v>
      </x:c>
      <x:c r="J133" s="6" t="str">
        <x:v>Primary</x:v>
      </x:c>
      <x:c r="K133" s="6" t="str">
        <x:v>Commercial service enquiry</x:v>
      </x:c>
      <x:c r="L133" s="6" t="str">
        <x:v>High</x:v>
      </x:c>
      <x:c r="M133" s="6" t="str">
        <x:v>https://digitecme.com/services/paint-protection-film</x:v>
      </x:c>
      <x:c r="N133" s="6" t="str">
        <x:v>Unknown — export has no query/page pairing</x:v>
      </x:c>
      <x:c r="O133" s="6" t="str">
        <x:v>Strengthen this primary intent owner</x:v>
      </x:c>
      <x:c r="P133" s="6" t="str">
        <x:v>Film intent belongs to the PPF page; vehicle and district terms are secondary context. Average position 25.45 makes ranking the main issue; avoid a CTR-only rewrite.</x:v>
      </x:c>
      <x:c r="Q133" s="6" t="str">
        <x:v>All vehicles</x:v>
      </x:c>
      <x:c r="R133" s="6" t="str">
        <x:v>ppf</x:v>
      </x:c>
      <x:c r="S133" s="6" t="str">
        <x:v>Dubai explicit</x:v>
      </x:c>
      <x:c r="T133" s="6" t="n">
        <x:v>5</x:v>
      </x:c>
      <x:c r="U133" s="6" t="str">
        <x:v>21–40</x:v>
      </x:c>
      <x:c r="V133" s="6" t="str">
        <x:v>Content, internal authority and owner alignment</x:v>
      </x:c>
      <x:c r="W133" s="6" t="str">
        <x:v>High-value commercial</x:v>
      </x:c>
      <x:c r="X133" s="6" t="n">
        <x:v>129</x:v>
      </x:c>
      <x:c r="Y133" s="6" t="str">
        <x:v>Unconfirmed — joint query/page data required</x:v>
      </x:c>
    </x:row>
    <x:row r="134" ht="42" customHeight="1">
      <x:c r="A134" s="6" t="str">
        <x:v>porsche brake repair dubai</x:v>
      </x:c>
      <x:c r="B134" s="14" t="n">
        <x:v>0</x:v>
      </x:c>
      <x:c r="C134" s="14" t="n">
        <x:v>125</x:v>
      </x:c>
      <x:c r="D134" s="15" t="n">
        <x:v>0</x:v>
      </x:c>
      <x:c r="E134" s="16" t="n">
        <x:v>38.59</x:v>
      </x:c>
      <x:c r="F134" s="6" t="str">
        <x:v>GROWTH</x:v>
      </x:c>
      <x:c r="G134" s="17" t="n">
        <x:f>'Scoring'!I134</x:f>
        <x:v>72</x:v>
      </x:c>
      <x:c r="H134" s="6" t="str">
        <x:v>SPLIT</x:v>
      </x:c>
      <x:c r="I134" s="6" t="str">
        <x:v>porsche: Brake repair</x:v>
      </x:c>
      <x:c r="J134" s="6" t="str">
        <x:v>Primary</x:v>
      </x:c>
      <x:c r="K134" s="6" t="str">
        <x:v>Commercial service enquiry</x:v>
      </x:c>
      <x:c r="L134" s="6" t="str">
        <x:v>High</x:v>
      </x:c>
      <x:c r="M134" s="6" t="str">
        <x:v>https://digitecme.com/brands/porsche-service-dubai/brake-repair</x:v>
      </x:c>
      <x:c r="N134" s="6" t="str">
        <x:v>Unknown — export has no query/page pairing</x:v>
      </x:c>
      <x:c r="O134" s="6" t="str">
        <x:v>Use dedicated service owner</x:v>
      </x:c>
      <x:c r="P134" s="6" t="str">
        <x:v>Average position 38.59 makes ranking the main issue; avoid a CTR-only rewrite.</x:v>
      </x:c>
      <x:c r="Q134" s="6" t="str">
        <x:v>porsche</x:v>
      </x:c>
      <x:c r="R134" s="6" t="str">
        <x:v>brake-repair</x:v>
      </x:c>
      <x:c r="S134" s="6" t="str">
        <x:v>Dubai explicit</x:v>
      </x:c>
      <x:c r="T134" s="6" t="n">
        <x:v>5</x:v>
      </x:c>
      <x:c r="U134" s="6" t="str">
        <x:v>21–40</x:v>
      </x:c>
      <x:c r="V134" s="6" t="str">
        <x:v>Content, internal authority and owner alignment</x:v>
      </x:c>
      <x:c r="W134" s="6" t="str">
        <x:v>High-value commercial</x:v>
      </x:c>
      <x:c r="X134" s="6" t="n">
        <x:v>130</x:v>
      </x:c>
      <x:c r="Y134" s="6" t="str">
        <x:v>Unconfirmed — joint query/page data required</x:v>
      </x:c>
    </x:row>
    <x:row r="135" ht="42" customHeight="1">
      <x:c r="A135" s="6" t="str">
        <x:v>car tuning dubai</x:v>
      </x:c>
      <x:c r="B135" s="14" t="n">
        <x:v>0</x:v>
      </x:c>
      <x:c r="C135" s="14" t="n">
        <x:v>124</x:v>
      </x:c>
      <x:c r="D135" s="15" t="n">
        <x:v>0</x:v>
      </x:c>
      <x:c r="E135" s="16" t="n">
        <x:v>27.77</x:v>
      </x:c>
      <x:c r="F135" s="6" t="str">
        <x:v>HIGH</x:v>
      </x:c>
      <x:c r="G135" s="17" t="n">
        <x:f>'Scoring'!I135</x:f>
        <x:v>79.5</x:v>
      </x:c>
      <x:c r="H135" s="6" t="str">
        <x:v>PRIORITIZE</x:v>
      </x:c>
      <x:c r="I135" s="6" t="str">
        <x:v>All vehicles: Performance tuning</x:v>
      </x:c>
      <x:c r="J135" s="6" t="str">
        <x:v>Primary</x:v>
      </x:c>
      <x:c r="K135" s="6" t="str">
        <x:v>Commercial service enquiry</x:v>
      </x:c>
      <x:c r="L135" s="6" t="str">
        <x:v>High</x:v>
      </x:c>
      <x:c r="M135" s="6" t="str">
        <x:v>https://digitecme.com/tuning</x:v>
      </x:c>
      <x:c r="N135" s="6" t="str">
        <x:v>Unknown — export has no query/page pairing</x:v>
      </x:c>
      <x:c r="O135" s="6" t="str">
        <x:v>Strengthen this primary intent owner</x:v>
      </x:c>
      <x:c r="P135" s="6" t="str">
        <x:v>Use the existing tuning page; model scope and any GAD relationship require verified facts. Average position 27.77 makes ranking the main issue; avoid a CTR-only rewrite.</x:v>
      </x:c>
      <x:c r="Q135" s="6" t="str">
        <x:v>All vehicles</x:v>
      </x:c>
      <x:c r="R135" s="6" t="str">
        <x:v>tuning</x:v>
      </x:c>
      <x:c r="S135" s="6" t="str">
        <x:v>Dubai explicit</x:v>
      </x:c>
      <x:c r="T135" s="6" t="n">
        <x:v>5</x:v>
      </x:c>
      <x:c r="U135" s="6" t="str">
        <x:v>21–40</x:v>
      </x:c>
      <x:c r="V135" s="6" t="str">
        <x:v>Content, internal authority and owner alignment</x:v>
      </x:c>
      <x:c r="W135" s="6" t="str">
        <x:v>High-value commercial</x:v>
      </x:c>
      <x:c r="X135" s="6" t="n">
        <x:v>131</x:v>
      </x:c>
      <x:c r="Y135" s="6" t="str">
        <x:v>Unconfirmed — joint query/page data required</x:v>
      </x:c>
    </x:row>
    <x:row r="136" ht="42" customHeight="1">
      <x:c r="A136" s="6" t="str">
        <x:v>car steering repair</x:v>
      </x:c>
      <x:c r="B136" s="14" t="n">
        <x:v>0</x:v>
      </x:c>
      <x:c r="C136" s="14" t="n">
        <x:v>120</x:v>
      </x:c>
      <x:c r="D136" s="15" t="n">
        <x:v>0</x:v>
      </x:c>
      <x:c r="E136" s="16" t="n">
        <x:v>14.49</x:v>
      </x:c>
      <x:c r="F136" s="6" t="str">
        <x:v>CRITICAL</x:v>
      </x:c>
      <x:c r="G136" s="17" t="n">
        <x:f>'Scoring'!I136</x:f>
        <x:v>73.9</x:v>
      </x:c>
      <x:c r="H136" s="6" t="str">
        <x:v>SUPPORT</x:v>
      </x:c>
      <x:c r="I136" s="6" t="str">
        <x:v>All vehicles: Steering repair</x:v>
      </x:c>
      <x:c r="J136" s="6" t="str">
        <x:v>Secondary</x:v>
      </x:c>
      <x:c r="K136" s="6" t="str">
        <x:v>Commercial service enquiry</x:v>
      </x:c>
      <x:c r="L136" s="6" t="str">
        <x:v>High</x:v>
      </x:c>
      <x:c r="M136" s="6" t="str">
        <x:v>https://digitecme.com/services/steering-repair-dubai</x:v>
      </x:c>
      <x:c r="N136" s="6" t="str">
        <x:v>Unknown — export has no query/page pairing</x:v>
      </x:c>
      <x:c r="O136" s="6" t="str">
        <x:v>Retain primary intent and support variants</x:v>
      </x:c>
      <x:c r="P136" s="6" t="str">
        <x:v>120 impressions at average position 14.49; strengthen the appropriate intent owner and measure with a fresh comparable period.</x:v>
      </x:c>
      <x:c r="Q136" s="6" t="str">
        <x:v>All vehicles</x:v>
      </x:c>
      <x:c r="R136" s="6" t="str">
        <x:v>steering-repair</x:v>
      </x:c>
      <x:c r="S136" s="6" t="str">
        <x:v>Location unspecified</x:v>
      </x:c>
      <x:c r="T136" s="6" t="n">
        <x:v>3</x:v>
      </x:c>
      <x:c r="U136" s="6" t="str">
        <x:v>11–20</x:v>
      </x:c>
      <x:c r="V136" s="6" t="str">
        <x:v>Ranking and owner relevance</x:v>
      </x:c>
      <x:c r="W136" s="6" t="str">
        <x:v>Relevant supporting</x:v>
      </x:c>
      <x:c r="X136" s="6" t="n">
        <x:v>132</x:v>
      </x:c>
      <x:c r="Y136" s="6" t="str">
        <x:v>Unconfirmed — joint query/page data required</x:v>
      </x:c>
    </x:row>
    <x:row r="137" ht="42" customHeight="1">
      <x:c r="A137" s="6" t="str">
        <x:v>mercedes repair garage in dubai</x:v>
      </x:c>
      <x:c r="B137" s="14" t="n">
        <x:v>0</x:v>
      </x:c>
      <x:c r="C137" s="14" t="n">
        <x:v>119</x:v>
      </x:c>
      <x:c r="D137" s="15" t="n">
        <x:v>0</x:v>
      </x:c>
      <x:c r="E137" s="16" t="n">
        <x:v>16.98</x:v>
      </x:c>
      <x:c r="F137" s="6" t="str">
        <x:v>HIGH</x:v>
      </x:c>
      <x:c r="G137" s="17" t="n">
        <x:f>'Scoring'!I137</x:f>
        <x:v>79.4</x:v>
      </x:c>
      <x:c r="H137" s="6" t="str">
        <x:v>SUPPORT</x:v>
      </x:c>
      <x:c r="I137" s="6" t="str">
        <x:v>mercedes-benz: Service and repair (English)</x:v>
      </x:c>
      <x:c r="J137" s="6" t="str">
        <x:v>Secondary</x:v>
      </x:c>
      <x:c r="K137" s="6" t="str">
        <x:v>Commercial service enquiry</x:v>
      </x:c>
      <x:c r="L137" s="6" t="str">
        <x:v>High</x:v>
      </x:c>
      <x:c r="M137" s="6" t="str">
        <x:v>https://digitecme.com/brands/mercedes-benz-service-dubai</x:v>
      </x:c>
      <x:c r="N137" s="6" t="str">
        <x:v>Unknown — export has no query/page pairing</x:v>
      </x:c>
      <x:c r="O137" s="6" t="str">
        <x:v>Retain primary intent and support variants</x:v>
      </x:c>
      <x:c r="P137" s="6" t="str">
        <x:v>119 impressions at average position 16.98; strengthen the appropriate intent owner and measure with a fresh comparable period.</x:v>
      </x:c>
      <x:c r="Q137" s="6" t="str">
        <x:v>mercedes-benz</x:v>
      </x:c>
      <x:c r="R137" s="6" t="str">
        <x:v>service-repair</x:v>
      </x:c>
      <x:c r="S137" s="6" t="str">
        <x:v>Dubai explicit</x:v>
      </x:c>
      <x:c r="T137" s="6" t="n">
        <x:v>5</x:v>
      </x:c>
      <x:c r="U137" s="6" t="str">
        <x:v>11–20</x:v>
      </x:c>
      <x:c r="V137" s="6" t="str">
        <x:v>Ranking and owner relevance</x:v>
      </x:c>
      <x:c r="W137" s="6" t="str">
        <x:v>Relevant supporting</x:v>
      </x:c>
      <x:c r="X137" s="6" t="n">
        <x:v>133</x:v>
      </x:c>
      <x:c r="Y137" s="6" t="str">
        <x:v>Unconfirmed — joint query/page data required</x:v>
      </x:c>
    </x:row>
    <x:row r="138" ht="42" customHeight="1">
      <x:c r="A138" s="6" t="str">
        <x:v>car paint protection coating</x:v>
      </x:c>
      <x:c r="B138" s="14" t="n">
        <x:v>0</x:v>
      </x:c>
      <x:c r="C138" s="14" t="n">
        <x:v>119</x:v>
      </x:c>
      <x:c r="D138" s="15" t="n">
        <x:v>0</x:v>
      </x:c>
      <x:c r="E138" s="16" t="n">
        <x:v>30.78</x:v>
      </x:c>
      <x:c r="F138" s="6" t="str">
        <x:v>GROWTH</x:v>
      </x:c>
      <x:c r="G138" s="17" t="n">
        <x:f>'Scoring'!I138</x:f>
        <x:v>66.9</x:v>
      </x:c>
      <x:c r="H138" s="6" t="str">
        <x:v>SUPPORT</x:v>
      </x:c>
      <x:c r="I138" s="6" t="str">
        <x:v>All vehicles: Ceramic coating</x:v>
      </x:c>
      <x:c r="J138" s="6" t="str">
        <x:v>Secondary</x:v>
      </x:c>
      <x:c r="K138" s="6" t="str">
        <x:v>Commercial service enquiry</x:v>
      </x:c>
      <x:c r="L138" s="6" t="str">
        <x:v>High</x:v>
      </x:c>
      <x:c r="M138" s="6" t="str">
        <x:v>https://digitecme.com/services/ceramic-coating</x:v>
      </x:c>
      <x:c r="N138" s="6" t="str">
        <x:v>Unknown — export has no query/page pairing</x:v>
      </x:c>
      <x:c r="O138" s="6" t="str">
        <x:v>Retain primary intent and support variants</x:v>
      </x:c>
      <x:c r="P138" s="6" t="str">
        <x:v>Coating intent belongs to the ceramic page; distinguish its limitations from film. Average position 30.78 makes ranking the main issue; avoid a CTR-only rewrite.</x:v>
      </x:c>
      <x:c r="Q138" s="6" t="str">
        <x:v>All vehicles</x:v>
      </x:c>
      <x:c r="R138" s="6" t="str">
        <x:v>ceramic</x:v>
      </x:c>
      <x:c r="S138" s="6" t="str">
        <x:v>Location unspecified</x:v>
      </x:c>
      <x:c r="T138" s="6" t="n">
        <x:v>5</x:v>
      </x:c>
      <x:c r="U138" s="6" t="str">
        <x:v>21–40</x:v>
      </x:c>
      <x:c r="V138" s="6" t="str">
        <x:v>Content, internal authority and owner alignment</x:v>
      </x:c>
      <x:c r="W138" s="6" t="str">
        <x:v>Relevant supporting</x:v>
      </x:c>
      <x:c r="X138" s="6" t="n">
        <x:v>134</x:v>
      </x:c>
      <x:c r="Y138" s="6" t="str">
        <x:v>Unconfirmed — joint query/page data required</x:v>
      </x:c>
    </x:row>
    <x:row r="139" ht="42" customHeight="1">
      <x:c r="A139" s="6" t="str">
        <x:v>bentley service dubai</x:v>
      </x:c>
      <x:c r="B139" s="14" t="n">
        <x:v>0</x:v>
      </x:c>
      <x:c r="C139" s="14" t="n">
        <x:v>119</x:v>
      </x:c>
      <x:c r="D139" s="15" t="n">
        <x:v>0</x:v>
      </x:c>
      <x:c r="E139" s="16" t="n">
        <x:v>42.17</x:v>
      </x:c>
      <x:c r="F139" s="6" t="str">
        <x:v>GROWTH</x:v>
      </x:c>
      <x:c r="G139" s="17" t="n">
        <x:f>'Scoring'!I139</x:f>
        <x:v>65.7</x:v>
      </x:c>
      <x:c r="H139" s="6" t="str">
        <x:v>PRIORITIZE</x:v>
      </x:c>
      <x:c r="I139" s="6" t="str">
        <x:v>bentley: Service and repair (English)</x:v>
      </x:c>
      <x:c r="J139" s="6" t="str">
        <x:v>Primary</x:v>
      </x:c>
      <x:c r="K139" s="6" t="str">
        <x:v>Commercial service enquiry</x:v>
      </x:c>
      <x:c r="L139" s="6" t="str">
        <x:v>High</x:v>
      </x:c>
      <x:c r="M139" s="6" t="str">
        <x:v>https://digitecme.com/brands/bentley-service-dubai</x:v>
      </x:c>
      <x:c r="N139" s="6" t="str">
        <x:v>Unknown — export has no query/page pairing</x:v>
      </x:c>
      <x:c r="O139" s="6" t="str">
        <x:v>Strengthen this primary intent owner</x:v>
      </x:c>
      <x:c r="P139" s="6" t="str">
        <x:v>Average position 42.17 makes ranking the main issue; avoid a CTR-only rewrite.</x:v>
      </x:c>
      <x:c r="Q139" s="6" t="str">
        <x:v>bentley</x:v>
      </x:c>
      <x:c r="R139" s="6" t="str">
        <x:v>service-repair</x:v>
      </x:c>
      <x:c r="S139" s="6" t="str">
        <x:v>Dubai explicit</x:v>
      </x:c>
      <x:c r="T139" s="6" t="n">
        <x:v>5</x:v>
      </x:c>
      <x:c r="U139" s="6" t="str">
        <x:v>40+</x:v>
      </x:c>
      <x:c r="V139" s="6" t="str">
        <x:v>Relevance, capability, indexing and authority review</x:v>
      </x:c>
      <x:c r="W139" s="6" t="str">
        <x:v>High-value commercial</x:v>
      </x:c>
      <x:c r="X139" s="6" t="n">
        <x:v>135</x:v>
      </x:c>
      <x:c r="Y139" s="6" t="str">
        <x:v>Unconfirmed — joint query/page data required</x:v>
      </x:c>
    </x:row>
    <x:row r="140" ht="42" customHeight="1">
      <x:c r="A140" s="6" t="str">
        <x:v>mercedes car repair dubai</x:v>
      </x:c>
      <x:c r="B140" s="14" t="n">
        <x:v>0</x:v>
      </x:c>
      <x:c r="C140" s="14" t="n">
        <x:v>118</x:v>
      </x:c>
      <x:c r="D140" s="15" t="n">
        <x:v>0</x:v>
      </x:c>
      <x:c r="E140" s="16" t="n">
        <x:v>8.96</x:v>
      </x:c>
      <x:c r="F140" s="6" t="str">
        <x:v>CRITICAL</x:v>
      </x:c>
      <x:c r="G140" s="17" t="n">
        <x:f>'Scoring'!I140</x:f>
        <x:v>96.9</x:v>
      </x:c>
      <x:c r="H140" s="6" t="str">
        <x:v>SUPPORT</x:v>
      </x:c>
      <x:c r="I140" s="6" t="str">
        <x:v>mercedes-benz: Service and repair (English)</x:v>
      </x:c>
      <x:c r="J140" s="6" t="str">
        <x:v>Secondary</x:v>
      </x:c>
      <x:c r="K140" s="6" t="str">
        <x:v>Commercial service enquiry</x:v>
      </x:c>
      <x:c r="L140" s="6" t="str">
        <x:v>High</x:v>
      </x:c>
      <x:c r="M140" s="6" t="str">
        <x:v>https://digitecme.com/brands/mercedes-benz-service-dubai</x:v>
      </x:c>
      <x:c r="N140" s="6" t="str">
        <x:v>Unknown — export has no query/page pairing</x:v>
      </x:c>
      <x:c r="O140" s="6" t="str">
        <x:v>Retain primary intent and support variants</x:v>
      </x:c>
      <x:c r="P140" s="6" t="str">
        <x:v>Zero clicks from 118 impressions at average position 8.96; inspect query/page, country/device and SERP before attributing this to the snippet.</x:v>
      </x:c>
      <x:c r="Q140" s="6" t="str">
        <x:v>mercedes-benz</x:v>
      </x:c>
      <x:c r="R140" s="6" t="str">
        <x:v>service-repair</x:v>
      </x:c>
      <x:c r="S140" s="6" t="str">
        <x:v>Dubai explicit</x:v>
      </x:c>
      <x:c r="T140" s="6" t="n">
        <x:v>5</x:v>
      </x:c>
      <x:c r="U140" s="6" t="str">
        <x:v>4–10</x:v>
      </x:c>
      <x:c r="V140" s="6" t="str">
        <x:v>Page-one CTR review and top-three relevance</x:v>
      </x:c>
      <x:c r="W140" s="6" t="str">
        <x:v>Relevant supporting</x:v>
      </x:c>
      <x:c r="X140" s="6" t="n">
        <x:v>136</x:v>
      </x:c>
      <x:c r="Y140" s="6" t="str">
        <x:v>Unconfirmed — joint query/page data required</x:v>
      </x:c>
    </x:row>
    <x:row r="141" ht="42" customHeight="1">
      <x:c r="A141" s="6" t="str">
        <x:v>mclaren engine repair dubai</x:v>
      </x:c>
      <x:c r="B141" s="14" t="n">
        <x:v>0</x:v>
      </x:c>
      <x:c r="C141" s="14" t="n">
        <x:v>118</x:v>
      </x:c>
      <x:c r="D141" s="15" t="n">
        <x:v>0</x:v>
      </x:c>
      <x:c r="E141" s="16" t="n">
        <x:v>19.5</x:v>
      </x:c>
      <x:c r="F141" s="6" t="str">
        <x:v>HIGH</x:v>
      </x:c>
      <x:c r="G141" s="17" t="n">
        <x:f>'Scoring'!I141</x:f>
        <x:v>79.4</x:v>
      </x:c>
      <x:c r="H141" s="6" t="str">
        <x:v>SPLIT</x:v>
      </x:c>
      <x:c r="I141" s="6" t="str">
        <x:v>mclaren: Engine and mechanical repair</x:v>
      </x:c>
      <x:c r="J141" s="6" t="str">
        <x:v>Primary</x:v>
      </x:c>
      <x:c r="K141" s="6" t="str">
        <x:v>Commercial service enquiry</x:v>
      </x:c>
      <x:c r="L141" s="6" t="str">
        <x:v>High</x:v>
      </x:c>
      <x:c r="M141" s="6" t="str">
        <x:v>https://digitecme.com/brands/mclaren-service-dubai/mechanical-repair</x:v>
      </x:c>
      <x:c r="N141" s="6" t="str">
        <x:v>Unknown — export has no query/page pairing</x:v>
      </x:c>
      <x:c r="O141" s="6" t="str">
        <x:v>Use dedicated service owner</x:v>
      </x:c>
      <x:c r="P141" s="6" t="str">
        <x:v>118 impressions at average position 19.50; strengthen the appropriate intent owner and measure with a fresh comparable period.</x:v>
      </x:c>
      <x:c r="Q141" s="6" t="str">
        <x:v>mclaren</x:v>
      </x:c>
      <x:c r="R141" s="6" t="str">
        <x:v>mechanical-repair</x:v>
      </x:c>
      <x:c r="S141" s="6" t="str">
        <x:v>Dubai explicit</x:v>
      </x:c>
      <x:c r="T141" s="6" t="n">
        <x:v>5</x:v>
      </x:c>
      <x:c r="U141" s="6" t="str">
        <x:v>11–20</x:v>
      </x:c>
      <x:c r="V141" s="6" t="str">
        <x:v>Ranking and owner relevance</x:v>
      </x:c>
      <x:c r="W141" s="6" t="str">
        <x:v>High-value commercial</x:v>
      </x:c>
      <x:c r="X141" s="6" t="n">
        <x:v>137</x:v>
      </x:c>
      <x:c r="Y141" s="6" t="str">
        <x:v>Unconfirmed — joint query/page data required</x:v>
      </x:c>
    </x:row>
    <x:row r="142" ht="42" customHeight="1">
      <x:c r="A142" s="6" t="str">
        <x:v>lamborghini service center dubai</x:v>
      </x:c>
      <x:c r="B142" s="14" t="n">
        <x:v>0</x:v>
      </x:c>
      <x:c r="C142" s="14" t="n">
        <x:v>118</x:v>
      </x:c>
      <x:c r="D142" s="15" t="n">
        <x:v>0</x:v>
      </x:c>
      <x:c r="E142" s="16" t="n">
        <x:v>23.57</x:v>
      </x:c>
      <x:c r="F142" s="6" t="str">
        <x:v>HIGH</x:v>
      </x:c>
      <x:c r="G142" s="17" t="n">
        <x:f>'Scoring'!I142</x:f>
        <x:v>79.4</x:v>
      </x:c>
      <x:c r="H142" s="6" t="str">
        <x:v>SUPPORT</x:v>
      </x:c>
      <x:c r="I142" s="6" t="str">
        <x:v>lamborghini: Service and repair</x:v>
      </x:c>
      <x:c r="J142" s="6" t="str">
        <x:v>Secondary</x:v>
      </x:c>
      <x:c r="K142" s="6" t="str">
        <x:v>Commercial service enquiry</x:v>
      </x:c>
      <x:c r="L142" s="6" t="str">
        <x:v>High</x:v>
      </x:c>
      <x:c r="M142" s="6" t="str">
        <x:v>https://digitecme.com/brands/lamborghini-service-dubai</x:v>
      </x:c>
      <x:c r="N142" s="6" t="str">
        <x:v>Unknown — export has no query/page pairing</x:v>
      </x:c>
      <x:c r="O142" s="6" t="str">
        <x:v>Retain primary intent and support variants</x:v>
      </x:c>
      <x:c r="P142" s="6" t="str">
        <x:v>Average position 23.57 makes ranking the main issue; avoid a CTR-only rewrite.</x:v>
      </x:c>
      <x:c r="Q142" s="6" t="str">
        <x:v>lamborghini</x:v>
      </x:c>
      <x:c r="R142" s="6" t="str">
        <x:v>service-repair</x:v>
      </x:c>
      <x:c r="S142" s="6" t="str">
        <x:v>Dubai explicit</x:v>
      </x:c>
      <x:c r="T142" s="6" t="n">
        <x:v>5</x:v>
      </x:c>
      <x:c r="U142" s="6" t="str">
        <x:v>21–40</x:v>
      </x:c>
      <x:c r="V142" s="6" t="str">
        <x:v>Content, internal authority and owner alignment</x:v>
      </x:c>
      <x:c r="W142" s="6" t="str">
        <x:v>Relevant supporting</x:v>
      </x:c>
      <x:c r="X142" s="6" t="n">
        <x:v>138</x:v>
      </x:c>
      <x:c r="Y142" s="6" t="str">
        <x:v>Unconfirmed — joint query/page data required</x:v>
      </x:c>
    </x:row>
    <x:row r="143" ht="42" customHeight="1">
      <x:c r="A143" s="6" t="str">
        <x:v>mercedes suspension repair</x:v>
      </x:c>
      <x:c r="B143" s="14" t="n">
        <x:v>0</x:v>
      </x:c>
      <x:c r="C143" s="14" t="n">
        <x:v>118</x:v>
      </x:c>
      <x:c r="D143" s="15" t="n">
        <x:v>0</x:v>
      </x:c>
      <x:c r="E143" s="16" t="n">
        <x:v>29.94</x:v>
      </x:c>
      <x:c r="F143" s="6" t="str">
        <x:v>HIGH</x:v>
      </x:c>
      <x:c r="G143" s="17" t="n">
        <x:f>'Scoring'!I143</x:f>
        <x:v>74.4</x:v>
      </x:c>
      <x:c r="H143" s="6" t="str">
        <x:v>SPLIT</x:v>
      </x:c>
      <x:c r="I143" s="6" t="str">
        <x:v>mercedes-benz: Suspension repair</x:v>
      </x:c>
      <x:c r="J143" s="6" t="str">
        <x:v>Secondary</x:v>
      </x:c>
      <x:c r="K143" s="6" t="str">
        <x:v>Commercial service enquiry</x:v>
      </x:c>
      <x:c r="L143" s="6" t="str">
        <x:v>High</x:v>
      </x:c>
      <x:c r="M143" s="6" t="str">
        <x:v>https://digitecme.com/services/mercedes-suspension-repair-dubai</x:v>
      </x:c>
      <x:c r="N143" s="6" t="str">
        <x:v>Unknown — export has no query/page pairing</x:v>
      </x:c>
      <x:c r="O143" s="6" t="str">
        <x:v>Use dedicated service owner</x:v>
      </x:c>
      <x:c r="P143" s="6" t="str">
        <x:v>Average position 29.94 makes ranking the main issue; avoid a CTR-only rewrite.</x:v>
      </x:c>
      <x:c r="Q143" s="6" t="str">
        <x:v>mercedes-benz</x:v>
      </x:c>
      <x:c r="R143" s="6" t="str">
        <x:v>suspension-repair</x:v>
      </x:c>
      <x:c r="S143" s="6" t="str">
        <x:v>Location unspecified</x:v>
      </x:c>
      <x:c r="T143" s="6" t="n">
        <x:v>5</x:v>
      </x:c>
      <x:c r="U143" s="6" t="str">
        <x:v>21–40</x:v>
      </x:c>
      <x:c r="V143" s="6" t="str">
        <x:v>Content, internal authority and owner alignment</x:v>
      </x:c>
      <x:c r="W143" s="6" t="str">
        <x:v>High-value commercial</x:v>
      </x:c>
      <x:c r="X143" s="6" t="n">
        <x:v>139</x:v>
      </x:c>
      <x:c r="Y143" s="6" t="str">
        <x:v>Unconfirmed — joint query/page data required</x:v>
      </x:c>
    </x:row>
    <x:row r="144" ht="42" customHeight="1">
      <x:c r="A144" s="6" t="str">
        <x:v>mercedes oil change</x:v>
      </x:c>
      <x:c r="B144" s="14" t="n">
        <x:v>0</x:v>
      </x:c>
      <x:c r="C144" s="14" t="n">
        <x:v>116</x:v>
      </x:c>
      <x:c r="D144" s="15" t="n">
        <x:v>0</x:v>
      </x:c>
      <x:c r="E144" s="16" t="n">
        <x:v>19.12</x:v>
      </x:c>
      <x:c r="F144" s="6" t="str">
        <x:v>HIGH</x:v>
      </x:c>
      <x:c r="G144" s="17" t="n">
        <x:f>'Scoring'!I144</x:f>
        <x:v>74.4</x:v>
      </x:c>
      <x:c r="H144" s="6" t="str">
        <x:v>SPLIT</x:v>
      </x:c>
      <x:c r="I144" s="6" t="str">
        <x:v>mercedes-benz: Oil change</x:v>
      </x:c>
      <x:c r="J144" s="6" t="str">
        <x:v>Secondary</x:v>
      </x:c>
      <x:c r="K144" s="6" t="str">
        <x:v>Commercial service enquiry</x:v>
      </x:c>
      <x:c r="L144" s="6" t="str">
        <x:v>High</x:v>
      </x:c>
      <x:c r="M144" s="6" t="str">
        <x:v>https://digitecme.com/services/mercedes-oil-change-dubai</x:v>
      </x:c>
      <x:c r="N144" s="6" t="str">
        <x:v>Unknown — export has no query/page pairing</x:v>
      </x:c>
      <x:c r="O144" s="6" t="str">
        <x:v>Use dedicated service owner</x:v>
      </x:c>
      <x:c r="P144" s="6" t="str">
        <x:v>116 impressions at average position 19.12; strengthen the appropriate intent owner and measure with a fresh comparable period.</x:v>
      </x:c>
      <x:c r="Q144" s="6" t="str">
        <x:v>mercedes-benz</x:v>
      </x:c>
      <x:c r="R144" s="6" t="str">
        <x:v>oil-change</x:v>
      </x:c>
      <x:c r="S144" s="6" t="str">
        <x:v>Location unspecified</x:v>
      </x:c>
      <x:c r="T144" s="6" t="n">
        <x:v>5</x:v>
      </x:c>
      <x:c r="U144" s="6" t="str">
        <x:v>11–20</x:v>
      </x:c>
      <x:c r="V144" s="6" t="str">
        <x:v>Ranking and owner relevance</x:v>
      </x:c>
      <x:c r="W144" s="6" t="str">
        <x:v>High-value commercial</x:v>
      </x:c>
      <x:c r="X144" s="6" t="n">
        <x:v>140</x:v>
      </x:c>
      <x:c r="Y144" s="6" t="str">
        <x:v>Unconfirmed — joint query/page data required</x:v>
      </x:c>
    </x:row>
    <x:row r="145" ht="42" customHeight="1">
      <x:c r="A145" s="6" t="str">
        <x:v>car ac repair dubai</x:v>
      </x:c>
      <x:c r="B145" s="14" t="n">
        <x:v>0</x:v>
      </x:c>
      <x:c r="C145" s="14" t="n">
        <x:v>115</x:v>
      </x:c>
      <x:c r="D145" s="15" t="n">
        <x:v>0</x:v>
      </x:c>
      <x:c r="E145" s="16" t="n">
        <x:v>29.66</x:v>
      </x:c>
      <x:c r="F145" s="6" t="str">
        <x:v>HIGH</x:v>
      </x:c>
      <x:c r="G145" s="17" t="n">
        <x:f>'Scoring'!I145</x:f>
        <x:v>71.4</x:v>
      </x:c>
      <x:c r="H145" s="6" t="str">
        <x:v>SUPPORT</x:v>
      </x:c>
      <x:c r="I145" s="6" t="str">
        <x:v>All vehicles: AC repair</x:v>
      </x:c>
      <x:c r="J145" s="6" t="str">
        <x:v>Secondary</x:v>
      </x:c>
      <x:c r="K145" s="6" t="str">
        <x:v>Commercial service enquiry</x:v>
      </x:c>
      <x:c r="L145" s="6" t="str">
        <x:v>High</x:v>
      </x:c>
      <x:c r="M145" s="6" t="str">
        <x:v>https://digitecme.com/services/car-ac-repair-dubai</x:v>
      </x:c>
      <x:c r="N145" s="6" t="str">
        <x:v>Unknown — export has no query/page pairing</x:v>
      </x:c>
      <x:c r="O145" s="6" t="str">
        <x:v>Retain primary intent and support variants</x:v>
      </x:c>
      <x:c r="P145" s="6" t="str">
        <x:v>Average position 29.66 makes ranking the main issue; avoid a CTR-only rewrite.</x:v>
      </x:c>
      <x:c r="Q145" s="6" t="str">
        <x:v>All vehicles</x:v>
      </x:c>
      <x:c r="R145" s="6" t="str">
        <x:v>ac-repair</x:v>
      </x:c>
      <x:c r="S145" s="6" t="str">
        <x:v>Dubai explicit</x:v>
      </x:c>
      <x:c r="T145" s="6" t="n">
        <x:v>3</x:v>
      </x:c>
      <x:c r="U145" s="6" t="str">
        <x:v>21–40</x:v>
      </x:c>
      <x:c r="V145" s="6" t="str">
        <x:v>Content, internal authority and owner alignment</x:v>
      </x:c>
      <x:c r="W145" s="6" t="str">
        <x:v>Relevant supporting</x:v>
      </x:c>
      <x:c r="X145" s="6" t="n">
        <x:v>141</x:v>
      </x:c>
      <x:c r="Y145" s="6" t="str">
        <x:v>Unconfirmed — joint query/page data required</x:v>
      </x:c>
    </x:row>
    <x:row r="146" ht="42" customHeight="1">
      <x:c r="A146" s="6" t="str">
        <x:v>mercedes specialist</x:v>
      </x:c>
      <x:c r="B146" s="14" t="n">
        <x:v>0</x:v>
      </x:c>
      <x:c r="C146" s="14" t="n">
        <x:v>114</x:v>
      </x:c>
      <x:c r="D146" s="15" t="n">
        <x:v>0</x:v>
      </x:c>
      <x:c r="E146" s="16" t="n">
        <x:v>11.5</x:v>
      </x:c>
      <x:c r="F146" s="6" t="str">
        <x:v>CRITICAL</x:v>
      </x:c>
      <x:c r="G146" s="17" t="n">
        <x:f>'Scoring'!I146</x:f>
        <x:v>81.9</x:v>
      </x:c>
      <x:c r="H146" s="6" t="str">
        <x:v>SUPPORT</x:v>
      </x:c>
      <x:c r="I146" s="6" t="str">
        <x:v>mercedes-benz: Service and repair (English)</x:v>
      </x:c>
      <x:c r="J146" s="6" t="str">
        <x:v>Secondary</x:v>
      </x:c>
      <x:c r="K146" s="6" t="str">
        <x:v>Commercial service enquiry</x:v>
      </x:c>
      <x:c r="L146" s="6" t="str">
        <x:v>High</x:v>
      </x:c>
      <x:c r="M146" s="6" t="str">
        <x:v>https://digitecme.com/brands/mercedes-benz-service-dubai</x:v>
      </x:c>
      <x:c r="N146" s="6" t="str">
        <x:v>Unknown — export has no query/page pairing</x:v>
      </x:c>
      <x:c r="O146" s="6" t="str">
        <x:v>Retain primary intent and support variants</x:v>
      </x:c>
      <x:c r="P146" s="6" t="str">
        <x:v>114 impressions at average position 11.50; strengthen the appropriate intent owner and measure with a fresh comparable period.</x:v>
      </x:c>
      <x:c r="Q146" s="6" t="str">
        <x:v>mercedes-benz</x:v>
      </x:c>
      <x:c r="R146" s="6" t="str">
        <x:v>service-repair</x:v>
      </x:c>
      <x:c r="S146" s="6" t="str">
        <x:v>Location unspecified</x:v>
      </x:c>
      <x:c r="T146" s="6" t="n">
        <x:v>5</x:v>
      </x:c>
      <x:c r="U146" s="6" t="str">
        <x:v>11–20</x:v>
      </x:c>
      <x:c r="V146" s="6" t="str">
        <x:v>Ranking and owner relevance</x:v>
      </x:c>
      <x:c r="W146" s="6" t="str">
        <x:v>Relevant supporting</x:v>
      </x:c>
      <x:c r="X146" s="6" t="n">
        <x:v>142</x:v>
      </x:c>
      <x:c r="Y146" s="6" t="str">
        <x:v>Unconfirmed — joint query/page data required</x:v>
      </x:c>
    </x:row>
    <x:row r="147" ht="42" customHeight="1">
      <x:c r="A147" s="6" t="str">
        <x:v>lamborghini workshop dubai</x:v>
      </x:c>
      <x:c r="B147" s="14" t="n">
        <x:v>0</x:v>
      </x:c>
      <x:c r="C147" s="14" t="n">
        <x:v>114</x:v>
      </x:c>
      <x:c r="D147" s="15" t="n">
        <x:v>0</x:v>
      </x:c>
      <x:c r="E147" s="16" t="n">
        <x:v>16.2</x:v>
      </x:c>
      <x:c r="F147" s="6" t="str">
        <x:v>HIGH</x:v>
      </x:c>
      <x:c r="G147" s="17" t="n">
        <x:f>'Scoring'!I147</x:f>
        <x:v>79.4</x:v>
      </x:c>
      <x:c r="H147" s="6" t="str">
        <x:v>SUPPORT</x:v>
      </x:c>
      <x:c r="I147" s="6" t="str">
        <x:v>lamborghini: Service and repair</x:v>
      </x:c>
      <x:c r="J147" s="6" t="str">
        <x:v>Secondary</x:v>
      </x:c>
      <x:c r="K147" s="6" t="str">
        <x:v>Commercial service enquiry</x:v>
      </x:c>
      <x:c r="L147" s="6" t="str">
        <x:v>High</x:v>
      </x:c>
      <x:c r="M147" s="6" t="str">
        <x:v>https://digitecme.com/brands/lamborghini-service-dubai</x:v>
      </x:c>
      <x:c r="N147" s="6" t="str">
        <x:v>Unknown — export has no query/page pairing</x:v>
      </x:c>
      <x:c r="O147" s="6" t="str">
        <x:v>Retain primary intent and support variants</x:v>
      </x:c>
      <x:c r="P147" s="6" t="str">
        <x:v>114 impressions at average position 16.20; strengthen the appropriate intent owner and measure with a fresh comparable period.</x:v>
      </x:c>
      <x:c r="Q147" s="6" t="str">
        <x:v>lamborghini</x:v>
      </x:c>
      <x:c r="R147" s="6" t="str">
        <x:v>service-repair</x:v>
      </x:c>
      <x:c r="S147" s="6" t="str">
        <x:v>Dubai explicit</x:v>
      </x:c>
      <x:c r="T147" s="6" t="n">
        <x:v>5</x:v>
      </x:c>
      <x:c r="U147" s="6" t="str">
        <x:v>11–20</x:v>
      </x:c>
      <x:c r="V147" s="6" t="str">
        <x:v>Ranking and owner relevance</x:v>
      </x:c>
      <x:c r="W147" s="6" t="str">
        <x:v>Relevant supporting</x:v>
      </x:c>
      <x:c r="X147" s="6" t="n">
        <x:v>143</x:v>
      </x:c>
      <x:c r="Y147" s="6" t="str">
        <x:v>Unconfirmed — joint query/page data required</x:v>
      </x:c>
    </x:row>
    <x:row r="148" ht="42" customHeight="1">
      <x:c r="A148" s="6" t="str">
        <x:v>range rover repair dubai</x:v>
      </x:c>
      <x:c r="B148" s="14" t="n">
        <x:v>0</x:v>
      </x:c>
      <x:c r="C148" s="14" t="n">
        <x:v>114</x:v>
      </x:c>
      <x:c r="D148" s="15" t="n">
        <x:v>0</x:v>
      </x:c>
      <x:c r="E148" s="16" t="n">
        <x:v>36.96</x:v>
      </x:c>
      <x:c r="F148" s="6" t="str">
        <x:v>GROWTH</x:v>
      </x:c>
      <x:c r="G148" s="17" t="n">
        <x:f>'Scoring'!I148</x:f>
        <x:v>71.9</x:v>
      </x:c>
      <x:c r="H148" s="6" t="str">
        <x:v>PRIORITIZE</x:v>
      </x:c>
      <x:c r="I148" s="6" t="str">
        <x:v>range-rover: Service and repair</x:v>
      </x:c>
      <x:c r="J148" s="6" t="str">
        <x:v>Primary</x:v>
      </x:c>
      <x:c r="K148" s="6" t="str">
        <x:v>Commercial service enquiry</x:v>
      </x:c>
      <x:c r="L148" s="6" t="str">
        <x:v>High</x:v>
      </x:c>
      <x:c r="M148" s="6" t="str">
        <x:v>https://digitecme.com/brands/range-rover-service-dubai</x:v>
      </x:c>
      <x:c r="N148" s="6" t="str">
        <x:v>Unknown — export has no query/page pairing</x:v>
      </x:c>
      <x:c r="O148" s="6" t="str">
        <x:v>Strengthen this primary intent owner</x:v>
      </x:c>
      <x:c r="P148" s="6" t="str">
        <x:v>Average position 36.96 makes ranking the main issue; avoid a CTR-only rewrite.</x:v>
      </x:c>
      <x:c r="Q148" s="6" t="str">
        <x:v>range-rover</x:v>
      </x:c>
      <x:c r="R148" s="6" t="str">
        <x:v>service-repair</x:v>
      </x:c>
      <x:c r="S148" s="6" t="str">
        <x:v>Dubai explicit</x:v>
      </x:c>
      <x:c r="T148" s="6" t="n">
        <x:v>5</x:v>
      </x:c>
      <x:c r="U148" s="6" t="str">
        <x:v>21–40</x:v>
      </x:c>
      <x:c r="V148" s="6" t="str">
        <x:v>Content, internal authority and owner alignment</x:v>
      </x:c>
      <x:c r="W148" s="6" t="str">
        <x:v>High-value commercial</x:v>
      </x:c>
      <x:c r="X148" s="6" t="n">
        <x:v>144</x:v>
      </x:c>
      <x:c r="Y148" s="6" t="str">
        <x:v>Unconfirmed — joint query/page data required</x:v>
      </x:c>
    </x:row>
    <x:row r="149" ht="57" customHeight="1">
      <x:c r="A149" s="6" t="str">
        <x:v>cadillac srx screen replacement in dubai</x:v>
      </x:c>
      <x:c r="B149" s="14" t="n">
        <x:v>0</x:v>
      </x:c>
      <x:c r="C149" s="14" t="n">
        <x:v>112</x:v>
      </x:c>
      <x:c r="D149" s="15" t="n">
        <x:v>0</x:v>
      </x:c>
      <x:c r="E149" s="16" t="n">
        <x:v>58.68</x:v>
      </x:c>
      <x:c r="F149" s="6" t="str">
        <x:v>DEPRIORITIZE</x:v>
      </x:c>
      <x:c r="G149" s="17" t="n">
        <x:f>'Scoring'!I149</x:f>
        <x:v>4</x:v>
      </x:c>
      <x:c r="H149" s="6" t="str">
        <x:v>DEPRIORITIZE</x:v>
      </x:c>
      <x:c r="I149" s="6" t="str">
        <x:v>cadillac: Screen or head-unit repair</x:v>
      </x:c>
      <x:c r="J149" s="6" t="str">
        <x:v>Secondary</x:v>
      </x:c>
      <x:c r="K149" s="6" t="str">
        <x:v>Commercial capability enquiry</x:v>
      </x:c>
      <x:c r="L149" s="6" t="str">
        <x:v>Unverified</x:v>
      </x:c>
      <x:c r="M149" s="6" t="str"/>
      <x:c r="N149" s="6" t="str">
        <x:v>Unknown — export has no query/page pairing</x:v>
      </x:c>
      <x:c r="O149" s="6" t="str">
        <x:v>Confirm scope or deprioritize</x:v>
      </x:c>
      <x:c r="P149" s="6" t="str">
        <x:v>Specific retrofit or component repair capability is unconfirmed; do not publish a dedicated sales page before confirmation. Average position 58.68 makes ranking the main issue; avoid a CTR-only rewrite.</x:v>
      </x:c>
      <x:c r="Q149" s="6" t="str">
        <x:v>cadillac</x:v>
      </x:c>
      <x:c r="R149" s="6" t="str">
        <x:v>audio-retrofit</x:v>
      </x:c>
      <x:c r="S149" s="6" t="str">
        <x:v>Dubai explicit</x:v>
      </x:c>
      <x:c r="T149" s="6" t="n">
        <x:v>1</x:v>
      </x:c>
      <x:c r="U149" s="6" t="str">
        <x:v>40+</x:v>
      </x:c>
      <x:c r="V149" s="6" t="str">
        <x:v>Relevance, capability, indexing and authority review</x:v>
      </x:c>
      <x:c r="W149" s="6" t="str">
        <x:v>Low-value</x:v>
      </x:c>
      <x:c r="X149" s="6" t="n">
        <x:v>145</x:v>
      </x:c>
      <x:c r="Y149" s="6" t="str">
        <x:v>Unconfirmed — joint query/page data required</x:v>
      </x:c>
    </x:row>
    <x:row r="150" ht="42" customHeight="1">
      <x:c r="A150" s="6" t="str">
        <x:v>exhaust repair near me</x:v>
      </x:c>
      <x:c r="B150" s="14" t="n">
        <x:v>0</x:v>
      </x:c>
      <x:c r="C150" s="14" t="n">
        <x:v>110</x:v>
      </x:c>
      <x:c r="D150" s="15" t="n">
        <x:v>0</x:v>
      </x:c>
      <x:c r="E150" s="16" t="n">
        <x:v>8.23</x:v>
      </x:c>
      <x:c r="F150" s="6" t="str">
        <x:v>CRITICAL</x:v>
      </x:c>
      <x:c r="G150" s="17" t="n">
        <x:f>'Scoring'!I150</x:f>
        <x:v>88.8</x:v>
      </x:c>
      <x:c r="H150" s="6" t="str">
        <x:v>SUPPORT</x:v>
      </x:c>
      <x:c r="I150" s="6" t="str">
        <x:v>All vehicles: Exhaust repair</x:v>
      </x:c>
      <x:c r="J150" s="6" t="str">
        <x:v>Secondary</x:v>
      </x:c>
      <x:c r="K150" s="6" t="str">
        <x:v>Commercial service enquiry</x:v>
      </x:c>
      <x:c r="L150" s="6" t="str">
        <x:v>High</x:v>
      </x:c>
      <x:c r="M150" s="6" t="str">
        <x:v>https://digitecme.com/services/exhaust-repair-dubai</x:v>
      </x:c>
      <x:c r="N150" s="6" t="str">
        <x:v>Unknown — export has no query/page pairing</x:v>
      </x:c>
      <x:c r="O150" s="6" t="str">
        <x:v>Retain primary intent and support variants</x:v>
      </x:c>
      <x:c r="P150" s="6" t="str">
        <x:v>Zero clicks from 110 impressions at average position 8.23; inspect query/page, country/device and SERP before attributing this to the snippet.</x:v>
      </x:c>
      <x:c r="Q150" s="6" t="str">
        <x:v>All vehicles</x:v>
      </x:c>
      <x:c r="R150" s="6" t="str">
        <x:v>exhaust-repair</x:v>
      </x:c>
      <x:c r="S150" s="6" t="str">
        <x:v>Near me; location unknown</x:v>
      </x:c>
      <x:c r="T150" s="6" t="n">
        <x:v>3</x:v>
      </x:c>
      <x:c r="U150" s="6" t="str">
        <x:v>4–10</x:v>
      </x:c>
      <x:c r="V150" s="6" t="str">
        <x:v>Page-one CTR review and top-three relevance</x:v>
      </x:c>
      <x:c r="W150" s="6" t="str">
        <x:v>Relevant supporting</x:v>
      </x:c>
      <x:c r="X150" s="6" t="n">
        <x:v>146</x:v>
      </x:c>
      <x:c r="Y150" s="6" t="str">
        <x:v>Unconfirmed — joint query/page data required</x:v>
      </x:c>
    </x:row>
    <x:row r="151" ht="42" customHeight="1">
      <x:c r="A151" s="6" t="str">
        <x:v>ferrari servicing</x:v>
      </x:c>
      <x:c r="B151" s="14" t="n">
        <x:v>0</x:v>
      </x:c>
      <x:c r="C151" s="14" t="n">
        <x:v>110</x:v>
      </x:c>
      <x:c r="D151" s="15" t="n">
        <x:v>0</x:v>
      </x:c>
      <x:c r="E151" s="16" t="n">
        <x:v>16.58</x:v>
      </x:c>
      <x:c r="F151" s="6" t="str">
        <x:v>HIGH</x:v>
      </x:c>
      <x:c r="G151" s="17" t="n">
        <x:f>'Scoring'!I151</x:f>
        <x:v>74.3</x:v>
      </x:c>
      <x:c r="H151" s="6" t="str">
        <x:v>SUPPORT</x:v>
      </x:c>
      <x:c r="I151" s="6" t="str">
        <x:v>ferrari: Service and repair</x:v>
      </x:c>
      <x:c r="J151" s="6" t="str">
        <x:v>Secondary</x:v>
      </x:c>
      <x:c r="K151" s="6" t="str">
        <x:v>Commercial service enquiry</x:v>
      </x:c>
      <x:c r="L151" s="6" t="str">
        <x:v>High</x:v>
      </x:c>
      <x:c r="M151" s="6" t="str">
        <x:v>https://digitecme.com/brands/ferrari-service-dubai</x:v>
      </x:c>
      <x:c r="N151" s="6" t="str">
        <x:v>Unknown — export has no query/page pairing</x:v>
      </x:c>
      <x:c r="O151" s="6" t="str">
        <x:v>Retain primary intent and support variants</x:v>
      </x:c>
      <x:c r="P151" s="6" t="str">
        <x:v>110 impressions at average position 16.58; strengthen the appropriate intent owner and measure with a fresh comparable period.</x:v>
      </x:c>
      <x:c r="Q151" s="6" t="str">
        <x:v>ferrari</x:v>
      </x:c>
      <x:c r="R151" s="6" t="str">
        <x:v>service-repair</x:v>
      </x:c>
      <x:c r="S151" s="6" t="str">
        <x:v>Location unspecified</x:v>
      </x:c>
      <x:c r="T151" s="6" t="n">
        <x:v>5</x:v>
      </x:c>
      <x:c r="U151" s="6" t="str">
        <x:v>11–20</x:v>
      </x:c>
      <x:c r="V151" s="6" t="str">
        <x:v>Ranking and owner relevance</x:v>
      </x:c>
      <x:c r="W151" s="6" t="str">
        <x:v>Relevant supporting</x:v>
      </x:c>
      <x:c r="X151" s="6" t="n">
        <x:v>147</x:v>
      </x:c>
      <x:c r="Y151" s="6" t="str">
        <x:v>Unconfirmed — joint query/page data required</x:v>
      </x:c>
    </x:row>
    <x:row r="152" ht="42" customHeight="1">
      <x:c r="A152" s="6" t="str">
        <x:v>luxury car workshop</x:v>
      </x:c>
      <x:c r="B152" s="14" t="n">
        <x:v>0</x:v>
      </x:c>
      <x:c r="C152" s="14" t="n">
        <x:v>110</x:v>
      </x:c>
      <x:c r="D152" s="15" t="n">
        <x:v>0</x:v>
      </x:c>
      <x:c r="E152" s="16" t="n">
        <x:v>22.79</x:v>
      </x:c>
      <x:c r="F152" s="6" t="str">
        <x:v>HIGH</x:v>
      </x:c>
      <x:c r="G152" s="17" t="n">
        <x:f>'Scoring'!I152</x:f>
        <x:v>66.3</x:v>
      </x:c>
      <x:c r="H152" s="6" t="str">
        <x:v>SUPPORT</x:v>
      </x:c>
      <x:c r="I152" s="6" t="str">
        <x:v>All vehicles: General garage and repair (English)</x:v>
      </x:c>
      <x:c r="J152" s="6" t="str">
        <x:v>Secondary</x:v>
      </x:c>
      <x:c r="K152" s="6" t="str">
        <x:v>Commercial service enquiry</x:v>
      </x:c>
      <x:c r="L152" s="6" t="str">
        <x:v>High</x:v>
      </x:c>
      <x:c r="M152" s="6" t="str">
        <x:v>https://digitecme.com/services/car-garage-dubai</x:v>
      </x:c>
      <x:c r="N152" s="6" t="str">
        <x:v>Unknown — export has no query/page pairing</x:v>
      </x:c>
      <x:c r="O152" s="6" t="str">
        <x:v>Retain primary intent and support variants</x:v>
      </x:c>
      <x:c r="P152" s="6" t="str">
        <x:v>Average position 22.79 makes ranking the main issue; avoid a CTR-only rewrite.</x:v>
      </x:c>
      <x:c r="Q152" s="6" t="str">
        <x:v>All vehicles</x:v>
      </x:c>
      <x:c r="R152" s="6" t="str">
        <x:v>service-repair</x:v>
      </x:c>
      <x:c r="S152" s="6" t="str">
        <x:v>Location unspecified</x:v>
      </x:c>
      <x:c r="T152" s="6" t="n">
        <x:v>3</x:v>
      </x:c>
      <x:c r="U152" s="6" t="str">
        <x:v>21–40</x:v>
      </x:c>
      <x:c r="V152" s="6" t="str">
        <x:v>Content, internal authority and owner alignment</x:v>
      </x:c>
      <x:c r="W152" s="6" t="str">
        <x:v>Relevant supporting</x:v>
      </x:c>
      <x:c r="X152" s="6" t="n">
        <x:v>148</x:v>
      </x:c>
      <x:c r="Y152" s="6" t="str">
        <x:v>Unconfirmed — joint query/page data required</x:v>
      </x:c>
    </x:row>
    <x:row r="153" ht="42" customHeight="1">
      <x:c r="A153" s="6" t="str">
        <x:v>car diagnostics dip2</x:v>
      </x:c>
      <x:c r="B153" s="14" t="n">
        <x:v>0</x:v>
      </x:c>
      <x:c r="C153" s="14" t="n">
        <x:v>108</x:v>
      </x:c>
      <x:c r="D153" s="15" t="n">
        <x:v>0</x:v>
      </x:c>
      <x:c r="E153" s="16" t="n">
        <x:v>35.44</x:v>
      </x:c>
      <x:c r="F153" s="6" t="str">
        <x:v>GROWTH</x:v>
      </x:c>
      <x:c r="G153" s="17" t="n">
        <x:f>'Scoring'!I153</x:f>
        <x:v>63.8</x:v>
      </x:c>
      <x:c r="H153" s="6" t="str">
        <x:v>SUPPORT</x:v>
      </x:c>
      <x:c r="I153" s="6" t="str">
        <x:v>All vehicles: Diagnostics and supported coding</x:v>
      </x:c>
      <x:c r="J153" s="6" t="str">
        <x:v>Secondary</x:v>
      </x:c>
      <x:c r="K153" s="6" t="str">
        <x:v>Commercial service enquiry</x:v>
      </x:c>
      <x:c r="L153" s="6" t="str">
        <x:v>High</x:v>
      </x:c>
      <x:c r="M153" s="6" t="str">
        <x:v>https://digitecme.com/services/car-diagnostics-dubai</x:v>
      </x:c>
      <x:c r="N153" s="6" t="str">
        <x:v>Unknown — export has no query/page pairing</x:v>
      </x:c>
      <x:c r="O153" s="6" t="str">
        <x:v>Retain primary intent and support variants</x:v>
      </x:c>
      <x:c r="P153" s="6" t="str">
        <x:v>Use the actual Al Quoz location; no district landing page or implied branch. Average position 35.44 makes ranking the main issue; avoid a CTR-only rewrite.</x:v>
      </x:c>
      <x:c r="Q153" s="6" t="str">
        <x:v>All vehicles</x:v>
      </x:c>
      <x:c r="R153" s="6" t="str">
        <x:v>engine-diagnostics</x:v>
      </x:c>
      <x:c r="S153" s="6" t="str">
        <x:v>Other Dubai district</x:v>
      </x:c>
      <x:c r="T153" s="6" t="n">
        <x:v>3</x:v>
      </x:c>
      <x:c r="U153" s="6" t="str">
        <x:v>21–40</x:v>
      </x:c>
      <x:c r="V153" s="6" t="str">
        <x:v>Content, internal authority and owner alignment</x:v>
      </x:c>
      <x:c r="W153" s="6" t="str">
        <x:v>Relevant supporting</x:v>
      </x:c>
      <x:c r="X153" s="6" t="n">
        <x:v>149</x:v>
      </x:c>
      <x:c r="Y153" s="6" t="str">
        <x:v>Unconfirmed — joint query/page data required</x:v>
      </x:c>
    </x:row>
    <x:row r="154" ht="42" customHeight="1">
      <x:c r="A154" s="6" t="str">
        <x:v>fault code scanning dubai</x:v>
      </x:c>
      <x:c r="B154" s="14" t="n">
        <x:v>0</x:v>
      </x:c>
      <x:c r="C154" s="14" t="n">
        <x:v>107</x:v>
      </x:c>
      <x:c r="D154" s="15" t="n">
        <x:v>0</x:v>
      </x:c>
      <x:c r="E154" s="16" t="n">
        <x:v>26.67</x:v>
      </x:c>
      <x:c r="F154" s="6" t="str">
        <x:v>HIGH</x:v>
      </x:c>
      <x:c r="G154" s="17" t="n">
        <x:f>'Scoring'!I154</x:f>
        <x:v>71.3</x:v>
      </x:c>
      <x:c r="H154" s="6" t="str">
        <x:v>SUPPORT</x:v>
      </x:c>
      <x:c r="I154" s="6" t="str">
        <x:v>All vehicles: Diagnostics and supported coding</x:v>
      </x:c>
      <x:c r="J154" s="6" t="str">
        <x:v>Secondary</x:v>
      </x:c>
      <x:c r="K154" s="6" t="str">
        <x:v>Commercial service enquiry</x:v>
      </x:c>
      <x:c r="L154" s="6" t="str">
        <x:v>High</x:v>
      </x:c>
      <x:c r="M154" s="6" t="str">
        <x:v>https://digitecme.com/services/car-diagnostics-dubai</x:v>
      </x:c>
      <x:c r="N154" s="6" t="str">
        <x:v>Unknown — export has no query/page pairing</x:v>
      </x:c>
      <x:c r="O154" s="6" t="str">
        <x:v>Retain primary intent and support variants</x:v>
      </x:c>
      <x:c r="P154" s="6" t="str">
        <x:v>Average position 26.67 makes ranking the main issue; avoid a CTR-only rewrite.</x:v>
      </x:c>
      <x:c r="Q154" s="6" t="str">
        <x:v>All vehicles</x:v>
      </x:c>
      <x:c r="R154" s="6" t="str">
        <x:v>engine-diagnostics</x:v>
      </x:c>
      <x:c r="S154" s="6" t="str">
        <x:v>Dubai explicit</x:v>
      </x:c>
      <x:c r="T154" s="6" t="n">
        <x:v>3</x:v>
      </x:c>
      <x:c r="U154" s="6" t="str">
        <x:v>21–40</x:v>
      </x:c>
      <x:c r="V154" s="6" t="str">
        <x:v>Content, internal authority and owner alignment</x:v>
      </x:c>
      <x:c r="W154" s="6" t="str">
        <x:v>Relevant supporting</x:v>
      </x:c>
      <x:c r="X154" s="6" t="n">
        <x:v>150</x:v>
      </x:c>
      <x:c r="Y154" s="6" t="str">
        <x:v>Unconfirmed — joint query/page data required</x:v>
      </x:c>
    </x:row>
    <x:row r="155" ht="42" customHeight="1">
      <x:c r="A155" s="6" t="str">
        <x:v>car exhaust cleaning services</x:v>
      </x:c>
      <x:c r="B155" s="14" t="n">
        <x:v>0</x:v>
      </x:c>
      <x:c r="C155" s="14" t="n">
        <x:v>106</x:v>
      </x:c>
      <x:c r="D155" s="15" t="n">
        <x:v>0</x:v>
      </x:c>
      <x:c r="E155" s="16" t="n">
        <x:v>18.17</x:v>
      </x:c>
      <x:c r="F155" s="6" t="str">
        <x:v>HIGH</x:v>
      </x:c>
      <x:c r="G155" s="17" t="n">
        <x:f>'Scoring'!I155</x:f>
        <x:v>66.3</x:v>
      </x:c>
      <x:c r="H155" s="6" t="str">
        <x:v>SUPPORT</x:v>
      </x:c>
      <x:c r="I155" s="6" t="str">
        <x:v>All vehicles: Exhaust repair</x:v>
      </x:c>
      <x:c r="J155" s="6" t="str">
        <x:v>Secondary</x:v>
      </x:c>
      <x:c r="K155" s="6" t="str">
        <x:v>Commercial service enquiry</x:v>
      </x:c>
      <x:c r="L155" s="6" t="str">
        <x:v>High</x:v>
      </x:c>
      <x:c r="M155" s="6" t="str">
        <x:v>https://digitecme.com/services/exhaust-repair-dubai</x:v>
      </x:c>
      <x:c r="N155" s="6" t="str">
        <x:v>Unknown — export has no query/page pairing</x:v>
      </x:c>
      <x:c r="O155" s="6" t="str">
        <x:v>Retain primary intent and support variants</x:v>
      </x:c>
      <x:c r="P155" s="6" t="str">
        <x:v>106 impressions at average position 18.17; strengthen the appropriate intent owner and measure with a fresh comparable period.</x:v>
      </x:c>
      <x:c r="Q155" s="6" t="str">
        <x:v>All vehicles</x:v>
      </x:c>
      <x:c r="R155" s="6" t="str">
        <x:v>exhaust-repair</x:v>
      </x:c>
      <x:c r="S155" s="6" t="str">
        <x:v>Location unspecified</x:v>
      </x:c>
      <x:c r="T155" s="6" t="n">
        <x:v>3</x:v>
      </x:c>
      <x:c r="U155" s="6" t="str">
        <x:v>11–20</x:v>
      </x:c>
      <x:c r="V155" s="6" t="str">
        <x:v>Ranking and owner relevance</x:v>
      </x:c>
      <x:c r="W155" s="6" t="str">
        <x:v>Relevant supporting</x:v>
      </x:c>
      <x:c r="X155" s="6" t="n">
        <x:v>151</x:v>
      </x:c>
      <x:c r="Y155" s="6" t="str">
        <x:v>Unconfirmed — joint query/page data required</x:v>
      </x:c>
    </x:row>
    <x:row r="156" ht="42" customHeight="1">
      <x:c r="A156" s="6" t="str">
        <x:v>ride height adjustment dubai</x:v>
      </x:c>
      <x:c r="B156" s="14" t="n">
        <x:v>0</x:v>
      </x:c>
      <x:c r="C156" s="14" t="n">
        <x:v>106</x:v>
      </x:c>
      <x:c r="D156" s="15" t="n">
        <x:v>0</x:v>
      </x:c>
      <x:c r="E156" s="16" t="n">
        <x:v>18.74</x:v>
      </x:c>
      <x:c r="F156" s="6" t="str">
        <x:v>HIGH</x:v>
      </x:c>
      <x:c r="G156" s="17" t="n">
        <x:f>'Scoring'!I156</x:f>
        <x:v>71.3</x:v>
      </x:c>
      <x:c r="H156" s="6" t="str">
        <x:v>SUPPORT</x:v>
      </x:c>
      <x:c r="I156" s="6" t="str">
        <x:v>All vehicles: Suspension repair (English)</x:v>
      </x:c>
      <x:c r="J156" s="6" t="str">
        <x:v>Secondary</x:v>
      </x:c>
      <x:c r="K156" s="6" t="str">
        <x:v>Commercial service enquiry</x:v>
      </x:c>
      <x:c r="L156" s="6" t="str">
        <x:v>High</x:v>
      </x:c>
      <x:c r="M156" s="6" t="str">
        <x:v>https://digitecme.com/services/suspension-repair-dubai</x:v>
      </x:c>
      <x:c r="N156" s="6" t="str">
        <x:v>Unknown — export has no query/page pairing</x:v>
      </x:c>
      <x:c r="O156" s="6" t="str">
        <x:v>Retain primary intent and support variants</x:v>
      </x:c>
      <x:c r="P156" s="6" t="str">
        <x:v>106 impressions at average position 18.74; strengthen the appropriate intent owner and measure with a fresh comparable period.</x:v>
      </x:c>
      <x:c r="Q156" s="6" t="str">
        <x:v>All vehicles</x:v>
      </x:c>
      <x:c r="R156" s="6" t="str">
        <x:v>suspension-repair</x:v>
      </x:c>
      <x:c r="S156" s="6" t="str">
        <x:v>Dubai explicit</x:v>
      </x:c>
      <x:c r="T156" s="6" t="n">
        <x:v>3</x:v>
      </x:c>
      <x:c r="U156" s="6" t="str">
        <x:v>11–20</x:v>
      </x:c>
      <x:c r="V156" s="6" t="str">
        <x:v>Ranking and owner relevance</x:v>
      </x:c>
      <x:c r="W156" s="6" t="str">
        <x:v>Relevant supporting</x:v>
      </x:c>
      <x:c r="X156" s="6" t="n">
        <x:v>152</x:v>
      </x:c>
      <x:c r="Y156" s="6" t="str">
        <x:v>Unconfirmed — joint query/page data required</x:v>
      </x:c>
    </x:row>
    <x:row r="157" ht="42" customHeight="1">
      <x:c r="A157" s="6" t="str">
        <x:v>porsche steering repair dubai</x:v>
      </x:c>
      <x:c r="B157" s="14" t="n">
        <x:v>0</x:v>
      </x:c>
      <x:c r="C157" s="14" t="n">
        <x:v>105</x:v>
      </x:c>
      <x:c r="D157" s="15" t="n">
        <x:v>0</x:v>
      </x:c>
      <x:c r="E157" s="16" t="n">
        <x:v>10.77</x:v>
      </x:c>
      <x:c r="F157" s="6" t="str">
        <x:v>CRITICAL</x:v>
      </x:c>
      <x:c r="G157" s="17" t="n">
        <x:f>'Scoring'!I157</x:f>
        <x:v>86.8</x:v>
      </x:c>
      <x:c r="H157" s="6" t="str">
        <x:v>SPLIT</x:v>
      </x:c>
      <x:c r="I157" s="6" t="str">
        <x:v>porsche: Steering repair</x:v>
      </x:c>
      <x:c r="J157" s="6" t="str">
        <x:v>Primary</x:v>
      </x:c>
      <x:c r="K157" s="6" t="str">
        <x:v>Commercial service enquiry</x:v>
      </x:c>
      <x:c r="L157" s="6" t="str">
        <x:v>High</x:v>
      </x:c>
      <x:c r="M157" s="6" t="str">
        <x:v>https://digitecme.com/brands/porsche-service-dubai/steering-repair</x:v>
      </x:c>
      <x:c r="N157" s="6" t="str">
        <x:v>Unknown — export has no query/page pairing</x:v>
      </x:c>
      <x:c r="O157" s="6" t="str">
        <x:v>Use dedicated service owner</x:v>
      </x:c>
      <x:c r="P157" s="6" t="str">
        <x:v>105 impressions at average position 10.77; strengthen the appropriate intent owner and measure with a fresh comparable period.</x:v>
      </x:c>
      <x:c r="Q157" s="6" t="str">
        <x:v>porsche</x:v>
      </x:c>
      <x:c r="R157" s="6" t="str">
        <x:v>steering-repair</x:v>
      </x:c>
      <x:c r="S157" s="6" t="str">
        <x:v>Dubai explicit</x:v>
      </x:c>
      <x:c r="T157" s="6" t="n">
        <x:v>5</x:v>
      </x:c>
      <x:c r="U157" s="6" t="str">
        <x:v>11–20</x:v>
      </x:c>
      <x:c r="V157" s="6" t="str">
        <x:v>Ranking and owner relevance</x:v>
      </x:c>
      <x:c r="W157" s="6" t="str">
        <x:v>High-value commercial</x:v>
      </x:c>
      <x:c r="X157" s="6" t="n">
        <x:v>153</x:v>
      </x:c>
      <x:c r="Y157" s="6" t="str">
        <x:v>Unconfirmed — joint query/page data required</x:v>
      </x:c>
    </x:row>
    <x:row r="158" ht="57" customHeight="1">
      <x:c r="A158" s="6" t="str">
        <x:v>tire repair dubai</x:v>
      </x:c>
      <x:c r="B158" s="14" t="n">
        <x:v>0</x:v>
      </x:c>
      <x:c r="C158" s="14" t="n">
        <x:v>105</x:v>
      </x:c>
      <x:c r="D158" s="15" t="n">
        <x:v>0</x:v>
      </x:c>
      <x:c r="E158" s="16" t="n">
        <x:v>27.69</x:v>
      </x:c>
      <x:c r="F158" s="6" t="str">
        <x:v>GROWTH</x:v>
      </x:c>
      <x:c r="G158" s="17" t="n">
        <x:f>'Scoring'!I158</x:f>
        <x:v>67.3</x:v>
      </x:c>
      <x:c r="H158" s="6" t="str">
        <x:v>PRIORITIZE</x:v>
      </x:c>
      <x:c r="I158" s="6" t="str">
        <x:v>All vehicles: Tyre repair</x:v>
      </x:c>
      <x:c r="J158" s="6" t="str">
        <x:v>Primary</x:v>
      </x:c>
      <x:c r="K158" s="6" t="str">
        <x:v>Commercial service enquiry</x:v>
      </x:c>
      <x:c r="L158" s="6" t="str">
        <x:v>High</x:v>
      </x:c>
      <x:c r="M158" s="6" t="str">
        <x:v>https://digitecme.com/services/tire-repair-dubai</x:v>
      </x:c>
      <x:c r="N158" s="6" t="str">
        <x:v>Unknown — export has no query/page pairing</x:v>
      </x:c>
      <x:c r="O158" s="6" t="str">
        <x:v>Strengthen this primary intent owner</x:v>
      </x:c>
      <x:c r="P158" s="6" t="str">
        <x:v>Relevant workshop tyre enquiry with lower assumed value than specialist repair; no mobile or roadside claim. Average position 27.69 makes ranking the main issue; avoid a CTR-only rewrite.</x:v>
      </x:c>
      <x:c r="Q158" s="6" t="str">
        <x:v>All vehicles</x:v>
      </x:c>
      <x:c r="R158" s="6" t="str">
        <x:v>tire-repair</x:v>
      </x:c>
      <x:c r="S158" s="6" t="str">
        <x:v>Dubai explicit</x:v>
      </x:c>
      <x:c r="T158" s="6" t="n">
        <x:v>2</x:v>
      </x:c>
      <x:c r="U158" s="6" t="str">
        <x:v>21–40</x:v>
      </x:c>
      <x:c r="V158" s="6" t="str">
        <x:v>Content, internal authority and owner alignment</x:v>
      </x:c>
      <x:c r="W158" s="6" t="str">
        <x:v>High-value commercial</x:v>
      </x:c>
      <x:c r="X158" s="6" t="n">
        <x:v>154</x:v>
      </x:c>
      <x:c r="Y158" s="6" t="str">
        <x:v>Unconfirmed — joint query/page data required</x:v>
      </x:c>
    </x:row>
    <x:row r="159" ht="57" customHeight="1">
      <x:c r="A159" s="6" t="str">
        <x:v>cadillac cue screen replacement in dubai</x:v>
      </x:c>
      <x:c r="B159" s="14" t="n">
        <x:v>0</x:v>
      </x:c>
      <x:c r="C159" s="14" t="n">
        <x:v>105</x:v>
      </x:c>
      <x:c r="D159" s="15" t="n">
        <x:v>0</x:v>
      </x:c>
      <x:c r="E159" s="16" t="n">
        <x:v>51.38</x:v>
      </x:c>
      <x:c r="F159" s="6" t="str">
        <x:v>DEPRIORITIZE</x:v>
      </x:c>
      <x:c r="G159" s="17" t="n">
        <x:f>'Scoring'!I159</x:f>
        <x:v>4</x:v>
      </x:c>
      <x:c r="H159" s="6" t="str">
        <x:v>DEPRIORITIZE</x:v>
      </x:c>
      <x:c r="I159" s="6" t="str">
        <x:v>cadillac: Screen or head-unit repair</x:v>
      </x:c>
      <x:c r="J159" s="6" t="str">
        <x:v>Secondary</x:v>
      </x:c>
      <x:c r="K159" s="6" t="str">
        <x:v>Commercial capability enquiry</x:v>
      </x:c>
      <x:c r="L159" s="6" t="str">
        <x:v>Unverified</x:v>
      </x:c>
      <x:c r="M159" s="6" t="str"/>
      <x:c r="N159" s="6" t="str">
        <x:v>Unknown — export has no query/page pairing</x:v>
      </x:c>
      <x:c r="O159" s="6" t="str">
        <x:v>Confirm scope or deprioritize</x:v>
      </x:c>
      <x:c r="P159" s="6" t="str">
        <x:v>Specific retrofit or component repair capability is unconfirmed; do not publish a dedicated sales page before confirmation. Average position 51.38 makes ranking the main issue; avoid a CTR-only rewrite.</x:v>
      </x:c>
      <x:c r="Q159" s="6" t="str">
        <x:v>cadillac</x:v>
      </x:c>
      <x:c r="R159" s="6" t="str">
        <x:v>audio-retrofit</x:v>
      </x:c>
      <x:c r="S159" s="6" t="str">
        <x:v>Dubai explicit</x:v>
      </x:c>
      <x:c r="T159" s="6" t="n">
        <x:v>1</x:v>
      </x:c>
      <x:c r="U159" s="6" t="str">
        <x:v>40+</x:v>
      </x:c>
      <x:c r="V159" s="6" t="str">
        <x:v>Relevance, capability, indexing and authority review</x:v>
      </x:c>
      <x:c r="W159" s="6" t="str">
        <x:v>Low-value</x:v>
      </x:c>
      <x:c r="X159" s="6" t="n">
        <x:v>155</x:v>
      </x:c>
      <x:c r="Y159" s="6" t="str">
        <x:v>Unconfirmed — joint query/page data required</x:v>
      </x:c>
    </x:row>
    <x:row r="160" ht="42" customHeight="1">
      <x:c r="A160" s="6" t="str">
        <x:v>car electrical services dubai</x:v>
      </x:c>
      <x:c r="B160" s="14" t="n">
        <x:v>0</x:v>
      </x:c>
      <x:c r="C160" s="14" t="n">
        <x:v>105</x:v>
      </x:c>
      <x:c r="D160" s="15" t="n">
        <x:v>0</x:v>
      </x:c>
      <x:c r="E160" s="16" t="n">
        <x:v>75.82</x:v>
      </x:c>
      <x:c r="F160" s="6" t="str">
        <x:v>GROWTH</x:v>
      </x:c>
      <x:c r="G160" s="17" t="n">
        <x:f>'Scoring'!I160</x:f>
        <x:v>57.5</x:v>
      </x:c>
      <x:c r="H160" s="6" t="str">
        <x:v>SUPPORT</x:v>
      </x:c>
      <x:c r="I160" s="6" t="str">
        <x:v>All vehicles: Electrical repair</x:v>
      </x:c>
      <x:c r="J160" s="6" t="str">
        <x:v>Secondary</x:v>
      </x:c>
      <x:c r="K160" s="6" t="str">
        <x:v>Commercial service enquiry</x:v>
      </x:c>
      <x:c r="L160" s="6" t="str">
        <x:v>High</x:v>
      </x:c>
      <x:c r="M160" s="6" t="str">
        <x:v>https://digitecme.com/services/auto-electrical-repair-dubai</x:v>
      </x:c>
      <x:c r="N160" s="6" t="str">
        <x:v>Unknown — export has no query/page pairing</x:v>
      </x:c>
      <x:c r="O160" s="6" t="str">
        <x:v>Retain primary intent and support variants</x:v>
      </x:c>
      <x:c r="P160" s="6" t="str">
        <x:v>Average position 75.82 makes ranking the main issue; avoid a CTR-only rewrite.</x:v>
      </x:c>
      <x:c r="Q160" s="6" t="str">
        <x:v>All vehicles</x:v>
      </x:c>
      <x:c r="R160" s="6" t="str">
        <x:v>electrical-repair</x:v>
      </x:c>
      <x:c r="S160" s="6" t="str">
        <x:v>Dubai explicit</x:v>
      </x:c>
      <x:c r="T160" s="6" t="n">
        <x:v>3</x:v>
      </x:c>
      <x:c r="U160" s="6" t="str">
        <x:v>40+</x:v>
      </x:c>
      <x:c r="V160" s="6" t="str">
        <x:v>Relevance, capability, indexing and authority review</x:v>
      </x:c>
      <x:c r="W160" s="6" t="str">
        <x:v>Relevant supporting</x:v>
      </x:c>
      <x:c r="X160" s="6" t="n">
        <x:v>156</x:v>
      </x:c>
      <x:c r="Y160" s="6" t="str">
        <x:v>Unconfirmed — joint query/page data required</x:v>
      </x:c>
    </x:row>
    <x:row r="161" ht="42" customHeight="1">
      <x:c r="A161" s="6" t="str">
        <x:v>luxury car oil change</x:v>
      </x:c>
      <x:c r="B161" s="14" t="n">
        <x:v>0</x:v>
      </x:c>
      <x:c r="C161" s="14" t="n">
        <x:v>103</x:v>
      </x:c>
      <x:c r="D161" s="15" t="n">
        <x:v>0</x:v>
      </x:c>
      <x:c r="E161" s="16" t="n">
        <x:v>22.59</x:v>
      </x:c>
      <x:c r="F161" s="6" t="str">
        <x:v>HIGH</x:v>
      </x:c>
      <x:c r="G161" s="17" t="n">
        <x:f>'Scoring'!I161</x:f>
        <x:v>66.2</x:v>
      </x:c>
      <x:c r="H161" s="6" t="str">
        <x:v>SUPPORT</x:v>
      </x:c>
      <x:c r="I161" s="6" t="str">
        <x:v>All vehicles: Oil change (English)</x:v>
      </x:c>
      <x:c r="J161" s="6" t="str">
        <x:v>Secondary</x:v>
      </x:c>
      <x:c r="K161" s="6" t="str">
        <x:v>Commercial service enquiry</x:v>
      </x:c>
      <x:c r="L161" s="6" t="str">
        <x:v>High</x:v>
      </x:c>
      <x:c r="M161" s="6" t="str">
        <x:v>https://digitecme.com/services/oil-change-dubai</x:v>
      </x:c>
      <x:c r="N161" s="6" t="str">
        <x:v>Unknown — export has no query/page pairing</x:v>
      </x:c>
      <x:c r="O161" s="6" t="str">
        <x:v>Retain primary intent and support variants</x:v>
      </x:c>
      <x:c r="P161" s="6" t="str">
        <x:v>Average position 22.59 makes ranking the main issue; avoid a CTR-only rewrite.</x:v>
      </x:c>
      <x:c r="Q161" s="6" t="str">
        <x:v>All vehicles</x:v>
      </x:c>
      <x:c r="R161" s="6" t="str">
        <x:v>oil-change</x:v>
      </x:c>
      <x:c r="S161" s="6" t="str">
        <x:v>Location unspecified</x:v>
      </x:c>
      <x:c r="T161" s="6" t="n">
        <x:v>3</x:v>
      </x:c>
      <x:c r="U161" s="6" t="str">
        <x:v>21–40</x:v>
      </x:c>
      <x:c r="V161" s="6" t="str">
        <x:v>Content, internal authority and owner alignment</x:v>
      </x:c>
      <x:c r="W161" s="6" t="str">
        <x:v>Relevant supporting</x:v>
      </x:c>
      <x:c r="X161" s="6" t="n">
        <x:v>157</x:v>
      </x:c>
      <x:c r="Y161" s="6" t="str">
        <x:v>Unconfirmed — joint query/page data required</x:v>
      </x:c>
    </x:row>
    <x:row r="162" ht="42" customHeight="1">
      <x:c r="A162" s="6" t="str">
        <x:v>cars workshop dubai</x:v>
      </x:c>
      <x:c r="B162" s="14" t="n">
        <x:v>0</x:v>
      </x:c>
      <x:c r="C162" s="14" t="n">
        <x:v>103</x:v>
      </x:c>
      <x:c r="D162" s="15" t="n">
        <x:v>0</x:v>
      </x:c>
      <x:c r="E162" s="16" t="n">
        <x:v>33.99</x:v>
      </x:c>
      <x:c r="F162" s="6" t="str">
        <x:v>GROWTH</x:v>
      </x:c>
      <x:c r="G162" s="17" t="n">
        <x:f>'Scoring'!I162</x:f>
        <x:v>63.7</x:v>
      </x:c>
      <x:c r="H162" s="6" t="str">
        <x:v>SUPPORT</x:v>
      </x:c>
      <x:c r="I162" s="6" t="str">
        <x:v>All vehicles: General garage and repair (English)</x:v>
      </x:c>
      <x:c r="J162" s="6" t="str">
        <x:v>Secondary</x:v>
      </x:c>
      <x:c r="K162" s="6" t="str">
        <x:v>Commercial service enquiry</x:v>
      </x:c>
      <x:c r="L162" s="6" t="str">
        <x:v>High</x:v>
      </x:c>
      <x:c r="M162" s="6" t="str">
        <x:v>https://digitecme.com/services/car-garage-dubai</x:v>
      </x:c>
      <x:c r="N162" s="6" t="str">
        <x:v>Unknown — export has no query/page pairing</x:v>
      </x:c>
      <x:c r="O162" s="6" t="str">
        <x:v>Retain primary intent and support variants</x:v>
      </x:c>
      <x:c r="P162" s="6" t="str">
        <x:v>Average position 33.99 makes ranking the main issue; avoid a CTR-only rewrite.</x:v>
      </x:c>
      <x:c r="Q162" s="6" t="str">
        <x:v>All vehicles</x:v>
      </x:c>
      <x:c r="R162" s="6" t="str">
        <x:v>service-repair</x:v>
      </x:c>
      <x:c r="S162" s="6" t="str">
        <x:v>Dubai explicit</x:v>
      </x:c>
      <x:c r="T162" s="6" t="n">
        <x:v>3</x:v>
      </x:c>
      <x:c r="U162" s="6" t="str">
        <x:v>21–40</x:v>
      </x:c>
      <x:c r="V162" s="6" t="str">
        <x:v>Content, internal authority and owner alignment</x:v>
      </x:c>
      <x:c r="W162" s="6" t="str">
        <x:v>Relevant supporting</x:v>
      </x:c>
      <x:c r="X162" s="6" t="n">
        <x:v>158</x:v>
      </x:c>
      <x:c r="Y162" s="6" t="str">
        <x:v>Unconfirmed — joint query/page data required</x:v>
      </x:c>
    </x:row>
    <x:row r="163" ht="42" customHeight="1">
      <x:c r="A163" s="6" t="str">
        <x:v>ferrari brake repair dubai</x:v>
      </x:c>
      <x:c r="B163" s="14" t="n">
        <x:v>0</x:v>
      </x:c>
      <x:c r="C163" s="14" t="n">
        <x:v>103</x:v>
      </x:c>
      <x:c r="D163" s="15" t="n">
        <x:v>0</x:v>
      </x:c>
      <x:c r="E163" s="16" t="n">
        <x:v>34.11</x:v>
      </x:c>
      <x:c r="F163" s="6" t="str">
        <x:v>GROWTH</x:v>
      </x:c>
      <x:c r="G163" s="17" t="n">
        <x:f>'Scoring'!I163</x:f>
        <x:v>71.7</x:v>
      </x:c>
      <x:c r="H163" s="6" t="str">
        <x:v>SPLIT</x:v>
      </x:c>
      <x:c r="I163" s="6" t="str">
        <x:v>ferrari: Brake repair</x:v>
      </x:c>
      <x:c r="J163" s="6" t="str">
        <x:v>Primary</x:v>
      </x:c>
      <x:c r="K163" s="6" t="str">
        <x:v>Commercial service enquiry</x:v>
      </x:c>
      <x:c r="L163" s="6" t="str">
        <x:v>High</x:v>
      </x:c>
      <x:c r="M163" s="6" t="str">
        <x:v>https://digitecme.com/brands/ferrari-service-dubai/brake-repair</x:v>
      </x:c>
      <x:c r="N163" s="6" t="str">
        <x:v>Unknown — export has no query/page pairing</x:v>
      </x:c>
      <x:c r="O163" s="6" t="str">
        <x:v>Use dedicated service owner</x:v>
      </x:c>
      <x:c r="P163" s="6" t="str">
        <x:v>Average position 34.11 makes ranking the main issue; avoid a CTR-only rewrite.</x:v>
      </x:c>
      <x:c r="Q163" s="6" t="str">
        <x:v>ferrari</x:v>
      </x:c>
      <x:c r="R163" s="6" t="str">
        <x:v>brake-repair</x:v>
      </x:c>
      <x:c r="S163" s="6" t="str">
        <x:v>Dubai explicit</x:v>
      </x:c>
      <x:c r="T163" s="6" t="n">
        <x:v>5</x:v>
      </x:c>
      <x:c r="U163" s="6" t="str">
        <x:v>21–40</x:v>
      </x:c>
      <x:c r="V163" s="6" t="str">
        <x:v>Content, internal authority and owner alignment</x:v>
      </x:c>
      <x:c r="W163" s="6" t="str">
        <x:v>High-value commercial</x:v>
      </x:c>
      <x:c r="X163" s="6" t="n">
        <x:v>159</x:v>
      </x:c>
      <x:c r="Y163" s="6" t="str">
        <x:v>Unconfirmed — joint query/page data required</x:v>
      </x:c>
    </x:row>
    <x:row r="164" ht="42" customHeight="1">
      <x:c r="A164" s="6" t="str">
        <x:v>car oil change service dubai</x:v>
      </x:c>
      <x:c r="B164" s="14" t="n">
        <x:v>0</x:v>
      </x:c>
      <x:c r="C164" s="14" t="n">
        <x:v>102</x:v>
      </x:c>
      <x:c r="D164" s="15" t="n">
        <x:v>0</x:v>
      </x:c>
      <x:c r="E164" s="16" t="n">
        <x:v>38.51</x:v>
      </x:c>
      <x:c r="F164" s="6" t="str">
        <x:v>GROWTH</x:v>
      </x:c>
      <x:c r="G164" s="17" t="n">
        <x:f>'Scoring'!I164</x:f>
        <x:v>63.7</x:v>
      </x:c>
      <x:c r="H164" s="6" t="str">
        <x:v>SUPPORT</x:v>
      </x:c>
      <x:c r="I164" s="6" t="str">
        <x:v>All vehicles: Oil change (English)</x:v>
      </x:c>
      <x:c r="J164" s="6" t="str">
        <x:v>Secondary</x:v>
      </x:c>
      <x:c r="K164" s="6" t="str">
        <x:v>Commercial service enquiry</x:v>
      </x:c>
      <x:c r="L164" s="6" t="str">
        <x:v>High</x:v>
      </x:c>
      <x:c r="M164" s="6" t="str">
        <x:v>https://digitecme.com/services/oil-change-dubai</x:v>
      </x:c>
      <x:c r="N164" s="6" t="str">
        <x:v>Unknown — export has no query/page pairing</x:v>
      </x:c>
      <x:c r="O164" s="6" t="str">
        <x:v>Retain primary intent and support variants</x:v>
      </x:c>
      <x:c r="P164" s="6" t="str">
        <x:v>Average position 38.51 makes ranking the main issue; avoid a CTR-only rewrite.</x:v>
      </x:c>
      <x:c r="Q164" s="6" t="str">
        <x:v>All vehicles</x:v>
      </x:c>
      <x:c r="R164" s="6" t="str">
        <x:v>oil-change</x:v>
      </x:c>
      <x:c r="S164" s="6" t="str">
        <x:v>Dubai explicit</x:v>
      </x:c>
      <x:c r="T164" s="6" t="n">
        <x:v>3</x:v>
      </x:c>
      <x:c r="U164" s="6" t="str">
        <x:v>21–40</x:v>
      </x:c>
      <x:c r="V164" s="6" t="str">
        <x:v>Content, internal authority and owner alignment</x:v>
      </x:c>
      <x:c r="W164" s="6" t="str">
        <x:v>Relevant supporting</x:v>
      </x:c>
      <x:c r="X164" s="6" t="n">
        <x:v>160</x:v>
      </x:c>
      <x:c r="Y164" s="6" t="str">
        <x:v>Unconfirmed — joint query/page data required</x:v>
      </x:c>
    </x:row>
    <x:row r="165" ht="42" customHeight="1">
      <x:c r="A165" s="6" t="str">
        <x:v>mercedes battery replacement dubai</x:v>
      </x:c>
      <x:c r="B165" s="14" t="n">
        <x:v>0</x:v>
      </x:c>
      <x:c r="C165" s="14" t="n">
        <x:v>101</x:v>
      </x:c>
      <x:c r="D165" s="15" t="n">
        <x:v>0</x:v>
      </x:c>
      <x:c r="E165" s="16" t="n">
        <x:v>23.18</x:v>
      </x:c>
      <x:c r="F165" s="6" t="str">
        <x:v>HIGH</x:v>
      </x:c>
      <x:c r="G165" s="17" t="n">
        <x:f>'Scoring'!I165</x:f>
        <x:v>79.2</x:v>
      </x:c>
      <x:c r="H165" s="6" t="str">
        <x:v>SPLIT</x:v>
      </x:c>
      <x:c r="I165" s="6" t="str">
        <x:v>mercedes-benz: Battery service</x:v>
      </x:c>
      <x:c r="J165" s="6" t="str">
        <x:v>Primary</x:v>
      </x:c>
      <x:c r="K165" s="6" t="str">
        <x:v>Commercial service enquiry</x:v>
      </x:c>
      <x:c r="L165" s="6" t="str">
        <x:v>High</x:v>
      </x:c>
      <x:c r="M165" s="6" t="str">
        <x:v>https://digitecme.com/services/mercedes-battery-replacement-dubai</x:v>
      </x:c>
      <x:c r="N165" s="6" t="str">
        <x:v>Unknown — export has no query/page pairing</x:v>
      </x:c>
      <x:c r="O165" s="6" t="str">
        <x:v>Use dedicated service owner</x:v>
      </x:c>
      <x:c r="P165" s="6" t="str">
        <x:v>Average position 23.18 makes ranking the main issue; avoid a CTR-only rewrite.</x:v>
      </x:c>
      <x:c r="Q165" s="6" t="str">
        <x:v>mercedes-benz</x:v>
      </x:c>
      <x:c r="R165" s="6" t="str">
        <x:v>battery-replacement</x:v>
      </x:c>
      <x:c r="S165" s="6" t="str">
        <x:v>Dubai explicit</x:v>
      </x:c>
      <x:c r="T165" s="6" t="n">
        <x:v>5</x:v>
      </x:c>
      <x:c r="U165" s="6" t="str">
        <x:v>21–40</x:v>
      </x:c>
      <x:c r="V165" s="6" t="str">
        <x:v>Content, internal authority and owner alignment</x:v>
      </x:c>
      <x:c r="W165" s="6" t="str">
        <x:v>High-value commercial</x:v>
      </x:c>
      <x:c r="X165" s="6" t="n">
        <x:v>161</x:v>
      </x:c>
      <x:c r="Y165" s="6" t="str">
        <x:v>Unconfirmed — joint query/page data required</x:v>
      </x:c>
    </x:row>
    <x:row r="166" ht="42" customHeight="1">
      <x:c r="A166" s="6" t="str">
        <x:v>lamborghini service</x:v>
      </x:c>
      <x:c r="B166" s="14" t="n">
        <x:v>0</x:v>
      </x:c>
      <x:c r="C166" s="14" t="n">
        <x:v>100</x:v>
      </x:c>
      <x:c r="D166" s="15" t="n">
        <x:v>0</x:v>
      </x:c>
      <x:c r="E166" s="16" t="n">
        <x:v>19.1</x:v>
      </x:c>
      <x:c r="F166" s="6" t="str">
        <x:v>HIGH</x:v>
      </x:c>
      <x:c r="G166" s="17" t="n">
        <x:f>'Scoring'!I166</x:f>
        <x:v>74.2</x:v>
      </x:c>
      <x:c r="H166" s="6" t="str">
        <x:v>SUPPORT</x:v>
      </x:c>
      <x:c r="I166" s="6" t="str">
        <x:v>lamborghini: Service and repair</x:v>
      </x:c>
      <x:c r="J166" s="6" t="str">
        <x:v>Secondary</x:v>
      </x:c>
      <x:c r="K166" s="6" t="str">
        <x:v>Commercial service enquiry</x:v>
      </x:c>
      <x:c r="L166" s="6" t="str">
        <x:v>High</x:v>
      </x:c>
      <x:c r="M166" s="6" t="str">
        <x:v>https://digitecme.com/brands/lamborghini-service-dubai</x:v>
      </x:c>
      <x:c r="N166" s="6" t="str">
        <x:v>Unknown — export has no query/page pairing</x:v>
      </x:c>
      <x:c r="O166" s="6" t="str">
        <x:v>Retain primary intent and support variants</x:v>
      </x:c>
      <x:c r="P166" s="6" t="str">
        <x:v>100 impressions at average position 19.10; strengthen the appropriate intent owner and measure with a fresh comparable period.</x:v>
      </x:c>
      <x:c r="Q166" s="6" t="str">
        <x:v>lamborghini</x:v>
      </x:c>
      <x:c r="R166" s="6" t="str">
        <x:v>service-repair</x:v>
      </x:c>
      <x:c r="S166" s="6" t="str">
        <x:v>Location unspecified</x:v>
      </x:c>
      <x:c r="T166" s="6" t="n">
        <x:v>5</x:v>
      </x:c>
      <x:c r="U166" s="6" t="str">
        <x:v>11–20</x:v>
      </x:c>
      <x:c r="V166" s="6" t="str">
        <x:v>Ranking and owner relevance</x:v>
      </x:c>
      <x:c r="W166" s="6" t="str">
        <x:v>Relevant supporting</x:v>
      </x:c>
      <x:c r="X166" s="6" t="n">
        <x:v>162</x:v>
      </x:c>
      <x:c r="Y166" s="6" t="str">
        <x:v>Unconfirmed — joint query/page data required</x:v>
      </x:c>
    </x:row>
    <x:row r="167" ht="42" customHeight="1">
      <x:c r="A167" s="6" t="str">
        <x:v>chrysler oil change in dubai</x:v>
      </x:c>
      <x:c r="B167" s="14" t="n">
        <x:v>0</x:v>
      </x:c>
      <x:c r="C167" s="14" t="n">
        <x:v>100</x:v>
      </x:c>
      <x:c r="D167" s="15" t="n">
        <x:v>0</x:v>
      </x:c>
      <x:c r="E167" s="16" t="n">
        <x:v>27.37</x:v>
      </x:c>
      <x:c r="F167" s="6" t="str">
        <x:v>HIGH</x:v>
      </x:c>
      <x:c r="G167" s="17" t="n">
        <x:f>'Scoring'!I167</x:f>
        <x:v>71.2</x:v>
      </x:c>
      <x:c r="H167" s="6" t="str">
        <x:v>SPLIT</x:v>
      </x:c>
      <x:c r="I167" s="6" t="str">
        <x:v>chrysler: Oil change</x:v>
      </x:c>
      <x:c r="J167" s="6" t="str">
        <x:v>Primary</x:v>
      </x:c>
      <x:c r="K167" s="6" t="str">
        <x:v>Commercial service enquiry</x:v>
      </x:c>
      <x:c r="L167" s="6" t="str">
        <x:v>High</x:v>
      </x:c>
      <x:c r="M167" s="6" t="str">
        <x:v>https://digitecme.com/brands/chrysler-service-dubai/oil-change</x:v>
      </x:c>
      <x:c r="N167" s="6" t="str">
        <x:v>Unknown — export has no query/page pairing</x:v>
      </x:c>
      <x:c r="O167" s="6" t="str">
        <x:v>Use dedicated service owner</x:v>
      </x:c>
      <x:c r="P167" s="6" t="str">
        <x:v>Average position 27.37 makes ranking the main issue; avoid a CTR-only rewrite.</x:v>
      </x:c>
      <x:c r="Q167" s="6" t="str">
        <x:v>chrysler</x:v>
      </x:c>
      <x:c r="R167" s="6" t="str">
        <x:v>oil-change</x:v>
      </x:c>
      <x:c r="S167" s="6" t="str">
        <x:v>Dubai explicit</x:v>
      </x:c>
      <x:c r="T167" s="6" t="n">
        <x:v>3</x:v>
      </x:c>
      <x:c r="U167" s="6" t="str">
        <x:v>21–40</x:v>
      </x:c>
      <x:c r="V167" s="6" t="str">
        <x:v>Content, internal authority and owner alignment</x:v>
      </x:c>
      <x:c r="W167" s="6" t="str">
        <x:v>High-value commercial</x:v>
      </x:c>
      <x:c r="X167" s="6" t="n">
        <x:v>163</x:v>
      </x:c>
      <x:c r="Y167" s="6" t="str">
        <x:v>Unconfirmed — joint query/page data required</x:v>
      </x:c>
    </x:row>
    <x:row r="168" ht="42" customHeight="1">
      <x:c r="A168" s="6" t="str">
        <x:v>mercedes servicing</x:v>
      </x:c>
      <x:c r="B168" s="14" t="n">
        <x:v>0</x:v>
      </x:c>
      <x:c r="C168" s="14" t="n">
        <x:v>99</x:v>
      </x:c>
      <x:c r="D168" s="15" t="n">
        <x:v>0</x:v>
      </x:c>
      <x:c r="E168" s="16" t="n">
        <x:v>28.26</x:v>
      </x:c>
      <x:c r="F168" s="6" t="str">
        <x:v>HIGH</x:v>
      </x:c>
      <x:c r="G168" s="17" t="n">
        <x:f>'Scoring'!I168</x:f>
        <x:v>74.2</x:v>
      </x:c>
      <x:c r="H168" s="6" t="str">
        <x:v>SUPPORT</x:v>
      </x:c>
      <x:c r="I168" s="6" t="str">
        <x:v>mercedes-benz: Service and repair (English)</x:v>
      </x:c>
      <x:c r="J168" s="6" t="str">
        <x:v>Secondary</x:v>
      </x:c>
      <x:c r="K168" s="6" t="str">
        <x:v>Commercial service enquiry</x:v>
      </x:c>
      <x:c r="L168" s="6" t="str">
        <x:v>High</x:v>
      </x:c>
      <x:c r="M168" s="6" t="str">
        <x:v>https://digitecme.com/brands/mercedes-benz-service-dubai</x:v>
      </x:c>
      <x:c r="N168" s="6" t="str">
        <x:v>Unknown — export has no query/page pairing</x:v>
      </x:c>
      <x:c r="O168" s="6" t="str">
        <x:v>Retain primary intent and support variants</x:v>
      </x:c>
      <x:c r="P168" s="6" t="str">
        <x:v>Average position 28.26 makes ranking the main issue; avoid a CTR-only rewrite.</x:v>
      </x:c>
      <x:c r="Q168" s="6" t="str">
        <x:v>mercedes-benz</x:v>
      </x:c>
      <x:c r="R168" s="6" t="str">
        <x:v>service-repair</x:v>
      </x:c>
      <x:c r="S168" s="6" t="str">
        <x:v>Location unspecified</x:v>
      </x:c>
      <x:c r="T168" s="6" t="n">
        <x:v>5</x:v>
      </x:c>
      <x:c r="U168" s="6" t="str">
        <x:v>21–40</x:v>
      </x:c>
      <x:c r="V168" s="6" t="str">
        <x:v>Content, internal authority and owner alignment</x:v>
      </x:c>
      <x:c r="W168" s="6" t="str">
        <x:v>Relevant supporting</x:v>
      </x:c>
      <x:c r="X168" s="6" t="n">
        <x:v>164</x:v>
      </x:c>
      <x:c r="Y168" s="6" t="str">
        <x:v>Unconfirmed — joint query/page data required</x:v>
      </x:c>
    </x:row>
    <x:row r="169" ht="42" customHeight="1">
      <x:c r="A169" s="6" t="str">
        <x:v>bmw service</x:v>
      </x:c>
      <x:c r="B169" s="14" t="n">
        <x:v>0</x:v>
      </x:c>
      <x:c r="C169" s="14" t="n">
        <x:v>97</x:v>
      </x:c>
      <x:c r="D169" s="15" t="n">
        <x:v>0</x:v>
      </x:c>
      <x:c r="E169" s="16" t="n">
        <x:v>22.44</x:v>
      </x:c>
      <x:c r="F169" s="6" t="str">
        <x:v>HIGH</x:v>
      </x:c>
      <x:c r="G169" s="17" t="n">
        <x:f>'Scoring'!I169</x:f>
        <x:v>74.1</x:v>
      </x:c>
      <x:c r="H169" s="6" t="str">
        <x:v>SUPPORT</x:v>
      </x:c>
      <x:c r="I169" s="6" t="str">
        <x:v>bmw: Service and repair (English)</x:v>
      </x:c>
      <x:c r="J169" s="6" t="str">
        <x:v>Secondary</x:v>
      </x:c>
      <x:c r="K169" s="6" t="str">
        <x:v>Commercial service enquiry</x:v>
      </x:c>
      <x:c r="L169" s="6" t="str">
        <x:v>High</x:v>
      </x:c>
      <x:c r="M169" s="6" t="str">
        <x:v>https://digitecme.com/brands/bmw-service-dubai</x:v>
      </x:c>
      <x:c r="N169" s="6" t="str">
        <x:v>Unknown — export has no query/page pairing</x:v>
      </x:c>
      <x:c r="O169" s="6" t="str">
        <x:v>Retain primary intent and support variants</x:v>
      </x:c>
      <x:c r="P169" s="6" t="str">
        <x:v>Average position 22.44 makes ranking the main issue; avoid a CTR-only rewrite.</x:v>
      </x:c>
      <x:c r="Q169" s="6" t="str">
        <x:v>bmw</x:v>
      </x:c>
      <x:c r="R169" s="6" t="str">
        <x:v>service-repair</x:v>
      </x:c>
      <x:c r="S169" s="6" t="str">
        <x:v>Location unspecified</x:v>
      </x:c>
      <x:c r="T169" s="6" t="n">
        <x:v>5</x:v>
      </x:c>
      <x:c r="U169" s="6" t="str">
        <x:v>21–40</x:v>
      </x:c>
      <x:c r="V169" s="6" t="str">
        <x:v>Content, internal authority and owner alignment</x:v>
      </x:c>
      <x:c r="W169" s="6" t="str">
        <x:v>Relevant supporting</x:v>
      </x:c>
      <x:c r="X169" s="6" t="n">
        <x:v>165</x:v>
      </x:c>
      <x:c r="Y169" s="6" t="str">
        <x:v>Unconfirmed — joint query/page data required</x:v>
      </x:c>
    </x:row>
    <x:row r="170" ht="42" customHeight="1">
      <x:c r="A170" s="6" t="str">
        <x:v>gearbox repair dubai</x:v>
      </x:c>
      <x:c r="B170" s="14" t="n">
        <x:v>0</x:v>
      </x:c>
      <x:c r="C170" s="14" t="n">
        <x:v>97</x:v>
      </x:c>
      <x:c r="D170" s="15" t="n">
        <x:v>0</x:v>
      </x:c>
      <x:c r="E170" s="16" t="n">
        <x:v>39.68</x:v>
      </x:c>
      <x:c r="F170" s="6" t="str">
        <x:v>GROWTH</x:v>
      </x:c>
      <x:c r="G170" s="17" t="n">
        <x:f>'Scoring'!I170</x:f>
        <x:v>63.6</x:v>
      </x:c>
      <x:c r="H170" s="6" t="str">
        <x:v>SUPPORT</x:v>
      </x:c>
      <x:c r="I170" s="6" t="str">
        <x:v>All vehicles: Transmission and gearbox repair</x:v>
      </x:c>
      <x:c r="J170" s="6" t="str">
        <x:v>Secondary</x:v>
      </x:c>
      <x:c r="K170" s="6" t="str">
        <x:v>Commercial service enquiry</x:v>
      </x:c>
      <x:c r="L170" s="6" t="str">
        <x:v>High</x:v>
      </x:c>
      <x:c r="M170" s="6" t="str">
        <x:v>https://digitecme.com/services/car-service-dubai</x:v>
      </x:c>
      <x:c r="N170" s="6" t="str">
        <x:v>Unknown — export has no query/page pairing</x:v>
      </x:c>
      <x:c r="O170" s="6" t="str">
        <x:v>Retain primary intent and support variants</x:v>
      </x:c>
      <x:c r="P170" s="6" t="str">
        <x:v>Average position 39.68 makes ranking the main issue; avoid a CTR-only rewrite.</x:v>
      </x:c>
      <x:c r="Q170" s="6" t="str">
        <x:v>All vehicles</x:v>
      </x:c>
      <x:c r="R170" s="6" t="str">
        <x:v>transmission-repair</x:v>
      </x:c>
      <x:c r="S170" s="6" t="str">
        <x:v>Dubai explicit</x:v>
      </x:c>
      <x:c r="T170" s="6" t="n">
        <x:v>3</x:v>
      </x:c>
      <x:c r="U170" s="6" t="str">
        <x:v>21–40</x:v>
      </x:c>
      <x:c r="V170" s="6" t="str">
        <x:v>Content, internal authority and owner alignment</x:v>
      </x:c>
      <x:c r="W170" s="6" t="str">
        <x:v>Relevant supporting</x:v>
      </x:c>
      <x:c r="X170" s="6" t="n">
        <x:v>166</x:v>
      </x:c>
      <x:c r="Y170" s="6" t="str">
        <x:v>Unconfirmed — joint query/page data required</x:v>
      </x:c>
    </x:row>
    <x:row r="171" ht="42" customHeight="1">
      <x:c r="A171" s="6" t="str">
        <x:v>bmw repair</x:v>
      </x:c>
      <x:c r="B171" s="14" t="n">
        <x:v>0</x:v>
      </x:c>
      <x:c r="C171" s="14" t="n">
        <x:v>96</x:v>
      </x:c>
      <x:c r="D171" s="15" t="n">
        <x:v>0</x:v>
      </x:c>
      <x:c r="E171" s="16" t="n">
        <x:v>17.09</x:v>
      </x:c>
      <x:c r="F171" s="6" t="str">
        <x:v>HIGH</x:v>
      </x:c>
      <x:c r="G171" s="17" t="n">
        <x:f>'Scoring'!I171</x:f>
        <x:v>74.1</x:v>
      </x:c>
      <x:c r="H171" s="6" t="str">
        <x:v>SUPPORT</x:v>
      </x:c>
      <x:c r="I171" s="6" t="str">
        <x:v>bmw: Service and repair (English)</x:v>
      </x:c>
      <x:c r="J171" s="6" t="str">
        <x:v>Secondary</x:v>
      </x:c>
      <x:c r="K171" s="6" t="str">
        <x:v>Commercial service enquiry</x:v>
      </x:c>
      <x:c r="L171" s="6" t="str">
        <x:v>High</x:v>
      </x:c>
      <x:c r="M171" s="6" t="str">
        <x:v>https://digitecme.com/brands/bmw-service-dubai</x:v>
      </x:c>
      <x:c r="N171" s="6" t="str">
        <x:v>Unknown — export has no query/page pairing</x:v>
      </x:c>
      <x:c r="O171" s="6" t="str">
        <x:v>Retain primary intent and support variants</x:v>
      </x:c>
      <x:c r="P171" s="6" t="str">
        <x:v>96 impressions at average position 17.09; strengthen the appropriate intent owner and measure with a fresh comparable period.</x:v>
      </x:c>
      <x:c r="Q171" s="6" t="str">
        <x:v>bmw</x:v>
      </x:c>
      <x:c r="R171" s="6" t="str">
        <x:v>service-repair</x:v>
      </x:c>
      <x:c r="S171" s="6" t="str">
        <x:v>Location unspecified</x:v>
      </x:c>
      <x:c r="T171" s="6" t="n">
        <x:v>5</x:v>
      </x:c>
      <x:c r="U171" s="6" t="str">
        <x:v>11–20</x:v>
      </x:c>
      <x:c r="V171" s="6" t="str">
        <x:v>Ranking and owner relevance</x:v>
      </x:c>
      <x:c r="W171" s="6" t="str">
        <x:v>Relevant supporting</x:v>
      </x:c>
      <x:c r="X171" s="6" t="n">
        <x:v>167</x:v>
      </x:c>
      <x:c r="Y171" s="6" t="str">
        <x:v>Unconfirmed — joint query/page data required</x:v>
      </x:c>
    </x:row>
    <x:row r="172" ht="42" customHeight="1">
      <x:c r="A172" s="6" t="str">
        <x:v>car body repair dubai</x:v>
      </x:c>
      <x:c r="B172" s="14" t="n">
        <x:v>0</x:v>
      </x:c>
      <x:c r="C172" s="14" t="n">
        <x:v>96</x:v>
      </x:c>
      <x:c r="D172" s="15" t="n">
        <x:v>0</x:v>
      </x:c>
      <x:c r="E172" s="16" t="n">
        <x:v>34.6</x:v>
      </x:c>
      <x:c r="F172" s="6" t="str">
        <x:v>GROWTH</x:v>
      </x:c>
      <x:c r="G172" s="17" t="n">
        <x:f>'Scoring'!I172</x:f>
        <x:v>63.6</x:v>
      </x:c>
      <x:c r="H172" s="6" t="str">
        <x:v>PRIORITIZE</x:v>
      </x:c>
      <x:c r="I172" s="6" t="str">
        <x:v>All vehicles: Body repair</x:v>
      </x:c>
      <x:c r="J172" s="6" t="str">
        <x:v>Primary</x:v>
      </x:c>
      <x:c r="K172" s="6" t="str">
        <x:v>Commercial service enquiry</x:v>
      </x:c>
      <x:c r="L172" s="6" t="str">
        <x:v>High</x:v>
      </x:c>
      <x:c r="M172" s="6" t="str">
        <x:v>https://digitecme.com/services/car-body-repair-dubai</x:v>
      </x:c>
      <x:c r="N172" s="6" t="str">
        <x:v>Unknown — export has no query/page pairing</x:v>
      </x:c>
      <x:c r="O172" s="6" t="str">
        <x:v>Strengthen this primary intent owner</x:v>
      </x:c>
      <x:c r="P172" s="6" t="str">
        <x:v>Average position 34.60 makes ranking the main issue; avoid a CTR-only rewrite.</x:v>
      </x:c>
      <x:c r="Q172" s="6" t="str">
        <x:v>All vehicles</x:v>
      </x:c>
      <x:c r="R172" s="6" t="str">
        <x:v>body-repair</x:v>
      </x:c>
      <x:c r="S172" s="6" t="str">
        <x:v>Dubai explicit</x:v>
      </x:c>
      <x:c r="T172" s="6" t="n">
        <x:v>3</x:v>
      </x:c>
      <x:c r="U172" s="6" t="str">
        <x:v>21–40</x:v>
      </x:c>
      <x:c r="V172" s="6" t="str">
        <x:v>Content, internal authority and owner alignment</x:v>
      </x:c>
      <x:c r="W172" s="6" t="str">
        <x:v>High-value commercial</x:v>
      </x:c>
      <x:c r="X172" s="6" t="n">
        <x:v>168</x:v>
      </x:c>
      <x:c r="Y172" s="6" t="str">
        <x:v>Unconfirmed — joint query/page data required</x:v>
      </x:c>
    </x:row>
    <x:row r="173" ht="42" customHeight="1">
      <x:c r="A173" s="6" t="str">
        <x:v>brake inspection dubai</x:v>
      </x:c>
      <x:c r="B173" s="14" t="n">
        <x:v>0</x:v>
      </x:c>
      <x:c r="C173" s="14" t="n">
        <x:v>96</x:v>
      </x:c>
      <x:c r="D173" s="15" t="n">
        <x:v>0</x:v>
      </x:c>
      <x:c r="E173" s="16" t="n">
        <x:v>56.55</x:v>
      </x:c>
      <x:c r="F173" s="6" t="str">
        <x:v>GROWTH</x:v>
      </x:c>
      <x:c r="G173" s="17" t="n">
        <x:f>'Scoring'!I173</x:f>
        <x:v>57.4</x:v>
      </x:c>
      <x:c r="H173" s="6" t="str">
        <x:v>SUPPORT</x:v>
      </x:c>
      <x:c r="I173" s="6" t="str">
        <x:v>All vehicles: Brake repair (English)</x:v>
      </x:c>
      <x:c r="J173" s="6" t="str">
        <x:v>Secondary</x:v>
      </x:c>
      <x:c r="K173" s="6" t="str">
        <x:v>Commercial service enquiry</x:v>
      </x:c>
      <x:c r="L173" s="6" t="str">
        <x:v>High</x:v>
      </x:c>
      <x:c r="M173" s="6" t="str">
        <x:v>https://digitecme.com/services/brake-repair-dubai</x:v>
      </x:c>
      <x:c r="N173" s="6" t="str">
        <x:v>Unknown — export has no query/page pairing</x:v>
      </x:c>
      <x:c r="O173" s="6" t="str">
        <x:v>Retain primary intent and support variants</x:v>
      </x:c>
      <x:c r="P173" s="6" t="str">
        <x:v>Average position 56.55 makes ranking the main issue; avoid a CTR-only rewrite.</x:v>
      </x:c>
      <x:c r="Q173" s="6" t="str">
        <x:v>All vehicles</x:v>
      </x:c>
      <x:c r="R173" s="6" t="str">
        <x:v>brake-repair</x:v>
      </x:c>
      <x:c r="S173" s="6" t="str">
        <x:v>Dubai explicit</x:v>
      </x:c>
      <x:c r="T173" s="6" t="n">
        <x:v>3</x:v>
      </x:c>
      <x:c r="U173" s="6" t="str">
        <x:v>40+</x:v>
      </x:c>
      <x:c r="V173" s="6" t="str">
        <x:v>Relevance, capability, indexing and authority review</x:v>
      </x:c>
      <x:c r="W173" s="6" t="str">
        <x:v>Relevant supporting</x:v>
      </x:c>
      <x:c r="X173" s="6" t="n">
        <x:v>169</x:v>
      </x:c>
      <x:c r="Y173" s="6" t="str">
        <x:v>Unconfirmed — joint query/page data required</x:v>
      </x:c>
    </x:row>
    <x:row r="174" ht="42" customHeight="1">
      <x:c r="A174" s="6" t="str">
        <x:v>aston martin engine repair dubai</x:v>
      </x:c>
      <x:c r="B174" s="14" t="n">
        <x:v>0</x:v>
      </x:c>
      <x:c r="C174" s="14" t="n">
        <x:v>95</x:v>
      </x:c>
      <x:c r="D174" s="15" t="n">
        <x:v>0</x:v>
      </x:c>
      <x:c r="E174" s="16" t="n">
        <x:v>26.48</x:v>
      </x:c>
      <x:c r="F174" s="6" t="str">
        <x:v>HIGH</x:v>
      </x:c>
      <x:c r="G174" s="17" t="n">
        <x:f>'Scoring'!I174</x:f>
        <x:v>79.1</x:v>
      </x:c>
      <x:c r="H174" s="6" t="str">
        <x:v>SPLIT</x:v>
      </x:c>
      <x:c r="I174" s="6" t="str">
        <x:v>aston-martin: Engine and mechanical repair</x:v>
      </x:c>
      <x:c r="J174" s="6" t="str">
        <x:v>Primary</x:v>
      </x:c>
      <x:c r="K174" s="6" t="str">
        <x:v>Commercial service enquiry</x:v>
      </x:c>
      <x:c r="L174" s="6" t="str">
        <x:v>High</x:v>
      </x:c>
      <x:c r="M174" s="6" t="str">
        <x:v>https://digitecme.com/brands/aston-martin-service-dubai/mechanical-repair</x:v>
      </x:c>
      <x:c r="N174" s="6" t="str">
        <x:v>Unknown — export has no query/page pairing</x:v>
      </x:c>
      <x:c r="O174" s="6" t="str">
        <x:v>Use dedicated service owner</x:v>
      </x:c>
      <x:c r="P174" s="6" t="str">
        <x:v>Average position 26.48 makes ranking the main issue; avoid a CTR-only rewrite.</x:v>
      </x:c>
      <x:c r="Q174" s="6" t="str">
        <x:v>aston-martin</x:v>
      </x:c>
      <x:c r="R174" s="6" t="str">
        <x:v>mechanical-repair</x:v>
      </x:c>
      <x:c r="S174" s="6" t="str">
        <x:v>Dubai explicit</x:v>
      </x:c>
      <x:c r="T174" s="6" t="n">
        <x:v>5</x:v>
      </x:c>
      <x:c r="U174" s="6" t="str">
        <x:v>21–40</x:v>
      </x:c>
      <x:c r="V174" s="6" t="str">
        <x:v>Content, internal authority and owner alignment</x:v>
      </x:c>
      <x:c r="W174" s="6" t="str">
        <x:v>High-value commercial</x:v>
      </x:c>
      <x:c r="X174" s="6" t="n">
        <x:v>170</x:v>
      </x:c>
      <x:c r="Y174" s="6" t="str">
        <x:v>Unconfirmed — joint query/page data required</x:v>
      </x:c>
    </x:row>
    <x:row r="175" ht="42" customHeight="1">
      <x:c r="A175" s="6" t="str">
        <x:v>mclaren workshop dubai</x:v>
      </x:c>
      <x:c r="B175" s="14" t="n">
        <x:v>0</x:v>
      </x:c>
      <x:c r="C175" s="14" t="n">
        <x:v>93</x:v>
      </x:c>
      <x:c r="D175" s="15" t="n">
        <x:v>0</x:v>
      </x:c>
      <x:c r="E175" s="16" t="n">
        <x:v>18.16</x:v>
      </x:c>
      <x:c r="F175" s="6" t="str">
        <x:v>HIGH</x:v>
      </x:c>
      <x:c r="G175" s="17" t="n">
        <x:f>'Scoring'!I175</x:f>
        <x:v>79.1</x:v>
      </x:c>
      <x:c r="H175" s="6" t="str">
        <x:v>SUPPORT</x:v>
      </x:c>
      <x:c r="I175" s="6" t="str">
        <x:v>mclaren: Service and repair</x:v>
      </x:c>
      <x:c r="J175" s="6" t="str">
        <x:v>Secondary</x:v>
      </x:c>
      <x:c r="K175" s="6" t="str">
        <x:v>Commercial service enquiry</x:v>
      </x:c>
      <x:c r="L175" s="6" t="str">
        <x:v>High</x:v>
      </x:c>
      <x:c r="M175" s="6" t="str">
        <x:v>https://digitecme.com/brands/mclaren-service-dubai</x:v>
      </x:c>
      <x:c r="N175" s="6" t="str">
        <x:v>Unknown — export has no query/page pairing</x:v>
      </x:c>
      <x:c r="O175" s="6" t="str">
        <x:v>Retain primary intent and support variants</x:v>
      </x:c>
      <x:c r="P175" s="6" t="str">
        <x:v>93 impressions at average position 18.16; strengthen the appropriate intent owner and measure with a fresh comparable period.</x:v>
      </x:c>
      <x:c r="Q175" s="6" t="str">
        <x:v>mclaren</x:v>
      </x:c>
      <x:c r="R175" s="6" t="str">
        <x:v>service-repair</x:v>
      </x:c>
      <x:c r="S175" s="6" t="str">
        <x:v>Dubai explicit</x:v>
      </x:c>
      <x:c r="T175" s="6" t="n">
        <x:v>5</x:v>
      </x:c>
      <x:c r="U175" s="6" t="str">
        <x:v>11–20</x:v>
      </x:c>
      <x:c r="V175" s="6" t="str">
        <x:v>Ranking and owner relevance</x:v>
      </x:c>
      <x:c r="W175" s="6" t="str">
        <x:v>Relevant supporting</x:v>
      </x:c>
      <x:c r="X175" s="6" t="n">
        <x:v>171</x:v>
      </x:c>
      <x:c r="Y175" s="6" t="str">
        <x:v>Unconfirmed — joint query/page data required</x:v>
      </x:c>
    </x:row>
    <x:row r="176" ht="42" customHeight="1">
      <x:c r="A176" s="6" t="str">
        <x:v>porsche oil change dubai</x:v>
      </x:c>
      <x:c r="B176" s="14" t="n">
        <x:v>0</x:v>
      </x:c>
      <x:c r="C176" s="14" t="n">
        <x:v>93</x:v>
      </x:c>
      <x:c r="D176" s="15" t="n">
        <x:v>0</x:v>
      </x:c>
      <x:c r="E176" s="16" t="n">
        <x:v>18.63</x:v>
      </x:c>
      <x:c r="F176" s="6" t="str">
        <x:v>HIGH</x:v>
      </x:c>
      <x:c r="G176" s="17" t="n">
        <x:f>'Scoring'!I176</x:f>
        <x:v>79.1</x:v>
      </x:c>
      <x:c r="H176" s="6" t="str">
        <x:v>SPLIT</x:v>
      </x:c>
      <x:c r="I176" s="6" t="str">
        <x:v>porsche: Oil change</x:v>
      </x:c>
      <x:c r="J176" s="6" t="str">
        <x:v>Primary</x:v>
      </x:c>
      <x:c r="K176" s="6" t="str">
        <x:v>Commercial service enquiry</x:v>
      </x:c>
      <x:c r="L176" s="6" t="str">
        <x:v>High</x:v>
      </x:c>
      <x:c r="M176" s="6" t="str">
        <x:v>https://digitecme.com/brands/porsche-service-dubai/oil-change</x:v>
      </x:c>
      <x:c r="N176" s="6" t="str">
        <x:v>Unknown — export has no query/page pairing</x:v>
      </x:c>
      <x:c r="O176" s="6" t="str">
        <x:v>Use dedicated service owner</x:v>
      </x:c>
      <x:c r="P176" s="6" t="str">
        <x:v>93 impressions at average position 18.63; strengthen the appropriate intent owner and measure with a fresh comparable period.</x:v>
      </x:c>
      <x:c r="Q176" s="6" t="str">
        <x:v>porsche</x:v>
      </x:c>
      <x:c r="R176" s="6" t="str">
        <x:v>oil-change</x:v>
      </x:c>
      <x:c r="S176" s="6" t="str">
        <x:v>Dubai explicit</x:v>
      </x:c>
      <x:c r="T176" s="6" t="n">
        <x:v>5</x:v>
      </x:c>
      <x:c r="U176" s="6" t="str">
        <x:v>11–20</x:v>
      </x:c>
      <x:c r="V176" s="6" t="str">
        <x:v>Ranking and owner relevance</x:v>
      </x:c>
      <x:c r="W176" s="6" t="str">
        <x:v>High-value commercial</x:v>
      </x:c>
      <x:c r="X176" s="6" t="n">
        <x:v>172</x:v>
      </x:c>
      <x:c r="Y176" s="6" t="str">
        <x:v>Unconfirmed — joint query/page data required</x:v>
      </x:c>
    </x:row>
    <x:row r="177" ht="42" customHeight="1">
      <x:c r="A177" s="6" t="str">
        <x:v>car brake maintenance dubai</x:v>
      </x:c>
      <x:c r="B177" s="14" t="n">
        <x:v>0</x:v>
      </x:c>
      <x:c r="C177" s="14" t="n">
        <x:v>93</x:v>
      </x:c>
      <x:c r="D177" s="15" t="n">
        <x:v>0</x:v>
      </x:c>
      <x:c r="E177" s="16" t="n">
        <x:v>46.82</x:v>
      </x:c>
      <x:c r="F177" s="6" t="str">
        <x:v>GROWTH</x:v>
      </x:c>
      <x:c r="G177" s="17" t="n">
        <x:f>'Scoring'!I177</x:f>
        <x:v>57.3</x:v>
      </x:c>
      <x:c r="H177" s="6" t="str">
        <x:v>SUPPORT</x:v>
      </x:c>
      <x:c r="I177" s="6" t="str">
        <x:v>All vehicles: Brake repair (English)</x:v>
      </x:c>
      <x:c r="J177" s="6" t="str">
        <x:v>Secondary</x:v>
      </x:c>
      <x:c r="K177" s="6" t="str">
        <x:v>Commercial service enquiry</x:v>
      </x:c>
      <x:c r="L177" s="6" t="str">
        <x:v>High</x:v>
      </x:c>
      <x:c r="M177" s="6" t="str">
        <x:v>https://digitecme.com/services/brake-repair-dubai</x:v>
      </x:c>
      <x:c r="N177" s="6" t="str">
        <x:v>Unknown — export has no query/page pairing</x:v>
      </x:c>
      <x:c r="O177" s="6" t="str">
        <x:v>Retain primary intent and support variants</x:v>
      </x:c>
      <x:c r="P177" s="6" t="str">
        <x:v>Average position 46.82 makes ranking the main issue; avoid a CTR-only rewrite.</x:v>
      </x:c>
      <x:c r="Q177" s="6" t="str">
        <x:v>All vehicles</x:v>
      </x:c>
      <x:c r="R177" s="6" t="str">
        <x:v>brake-repair</x:v>
      </x:c>
      <x:c r="S177" s="6" t="str">
        <x:v>Dubai explicit</x:v>
      </x:c>
      <x:c r="T177" s="6" t="n">
        <x:v>3</x:v>
      </x:c>
      <x:c r="U177" s="6" t="str">
        <x:v>40+</x:v>
      </x:c>
      <x:c r="V177" s="6" t="str">
        <x:v>Relevance, capability, indexing and authority review</x:v>
      </x:c>
      <x:c r="W177" s="6" t="str">
        <x:v>Relevant supporting</x:v>
      </x:c>
      <x:c r="X177" s="6" t="n">
        <x:v>173</x:v>
      </x:c>
      <x:c r="Y177" s="6" t="str">
        <x:v>Unconfirmed — joint query/page data required</x:v>
      </x:c>
    </x:row>
    <x:row r="178" ht="42" customHeight="1">
      <x:c r="A178" s="6" t="str">
        <x:v>ferrari workshop dubai</x:v>
      </x:c>
      <x:c r="B178" s="14" t="n">
        <x:v>0</x:v>
      </x:c>
      <x:c r="C178" s="14" t="n">
        <x:v>92</x:v>
      </x:c>
      <x:c r="D178" s="15" t="n">
        <x:v>0</x:v>
      </x:c>
      <x:c r="E178" s="16" t="n">
        <x:v>25.68</x:v>
      </x:c>
      <x:c r="F178" s="6" t="str">
        <x:v>HIGH</x:v>
      </x:c>
      <x:c r="G178" s="17" t="n">
        <x:f>'Scoring'!I178</x:f>
        <x:v>79.1</x:v>
      </x:c>
      <x:c r="H178" s="6" t="str">
        <x:v>SUPPORT</x:v>
      </x:c>
      <x:c r="I178" s="6" t="str">
        <x:v>ferrari: Service and repair</x:v>
      </x:c>
      <x:c r="J178" s="6" t="str">
        <x:v>Secondary</x:v>
      </x:c>
      <x:c r="K178" s="6" t="str">
        <x:v>Commercial service enquiry</x:v>
      </x:c>
      <x:c r="L178" s="6" t="str">
        <x:v>High</x:v>
      </x:c>
      <x:c r="M178" s="6" t="str">
        <x:v>https://digitecme.com/brands/ferrari-service-dubai</x:v>
      </x:c>
      <x:c r="N178" s="6" t="str">
        <x:v>Unknown — export has no query/page pairing</x:v>
      </x:c>
      <x:c r="O178" s="6" t="str">
        <x:v>Retain primary intent and support variants</x:v>
      </x:c>
      <x:c r="P178" s="6" t="str">
        <x:v>Average position 25.68 makes ranking the main issue; avoid a CTR-only rewrite.</x:v>
      </x:c>
      <x:c r="Q178" s="6" t="str">
        <x:v>ferrari</x:v>
      </x:c>
      <x:c r="R178" s="6" t="str">
        <x:v>service-repair</x:v>
      </x:c>
      <x:c r="S178" s="6" t="str">
        <x:v>Dubai explicit</x:v>
      </x:c>
      <x:c r="T178" s="6" t="n">
        <x:v>5</x:v>
      </x:c>
      <x:c r="U178" s="6" t="str">
        <x:v>21–40</x:v>
      </x:c>
      <x:c r="V178" s="6" t="str">
        <x:v>Content, internal authority and owner alignment</x:v>
      </x:c>
      <x:c r="W178" s="6" t="str">
        <x:v>Relevant supporting</x:v>
      </x:c>
      <x:c r="X178" s="6" t="n">
        <x:v>174</x:v>
      </x:c>
      <x:c r="Y178" s="6" t="str">
        <x:v>Unconfirmed — joint query/page data required</x:v>
      </x:c>
    </x:row>
    <x:row r="179" ht="42" customHeight="1">
      <x:c r="A179" s="6" t="str">
        <x:v>engine oil change dubai</x:v>
      </x:c>
      <x:c r="B179" s="14" t="n">
        <x:v>0</x:v>
      </x:c>
      <x:c r="C179" s="14" t="n">
        <x:v>92</x:v>
      </x:c>
      <x:c r="D179" s="15" t="n">
        <x:v>0</x:v>
      </x:c>
      <x:c r="E179" s="16" t="n">
        <x:v>38.05</x:v>
      </x:c>
      <x:c r="F179" s="6" t="str">
        <x:v>GROWTH</x:v>
      </x:c>
      <x:c r="G179" s="17" t="n">
        <x:f>'Scoring'!I179</x:f>
        <x:v>63.6</x:v>
      </x:c>
      <x:c r="H179" s="6" t="str">
        <x:v>SUPPORT</x:v>
      </x:c>
      <x:c r="I179" s="6" t="str">
        <x:v>All vehicles: Oil change (English)</x:v>
      </x:c>
      <x:c r="J179" s="6" t="str">
        <x:v>Secondary</x:v>
      </x:c>
      <x:c r="K179" s="6" t="str">
        <x:v>Commercial service enquiry</x:v>
      </x:c>
      <x:c r="L179" s="6" t="str">
        <x:v>High</x:v>
      </x:c>
      <x:c r="M179" s="6" t="str">
        <x:v>https://digitecme.com/services/oil-change-dubai</x:v>
      </x:c>
      <x:c r="N179" s="6" t="str">
        <x:v>Unknown — export has no query/page pairing</x:v>
      </x:c>
      <x:c r="O179" s="6" t="str">
        <x:v>Retain primary intent and support variants</x:v>
      </x:c>
      <x:c r="P179" s="6" t="str">
        <x:v>Average position 38.05 makes ranking the main issue; avoid a CTR-only rewrite.</x:v>
      </x:c>
      <x:c r="Q179" s="6" t="str">
        <x:v>All vehicles</x:v>
      </x:c>
      <x:c r="R179" s="6" t="str">
        <x:v>oil-change</x:v>
      </x:c>
      <x:c r="S179" s="6" t="str">
        <x:v>Dubai explicit</x:v>
      </x:c>
      <x:c r="T179" s="6" t="n">
        <x:v>3</x:v>
      </x:c>
      <x:c r="U179" s="6" t="str">
        <x:v>21–40</x:v>
      </x:c>
      <x:c r="V179" s="6" t="str">
        <x:v>Content, internal authority and owner alignment</x:v>
      </x:c>
      <x:c r="W179" s="6" t="str">
        <x:v>Relevant supporting</x:v>
      </x:c>
      <x:c r="X179" s="6" t="n">
        <x:v>175</x:v>
      </x:c>
      <x:c r="Y179" s="6" t="str">
        <x:v>Unconfirmed — joint query/page data required</x:v>
      </x:c>
    </x:row>
    <x:row r="180" ht="42" customHeight="1">
      <x:c r="A180" s="6" t="str">
        <x:v>auto electrical diagnostics dubai</x:v>
      </x:c>
      <x:c r="B180" s="14" t="n">
        <x:v>0</x:v>
      </x:c>
      <x:c r="C180" s="14" t="n">
        <x:v>92</x:v>
      </x:c>
      <x:c r="D180" s="15" t="n">
        <x:v>0</x:v>
      </x:c>
      <x:c r="E180" s="16" t="n">
        <x:v>41.47</x:v>
      </x:c>
      <x:c r="F180" s="6" t="str">
        <x:v>GROWTH</x:v>
      </x:c>
      <x:c r="G180" s="17" t="n">
        <x:f>'Scoring'!I180</x:f>
        <x:v>57.3</x:v>
      </x:c>
      <x:c r="H180" s="6" t="str">
        <x:v>SUPPORT</x:v>
      </x:c>
      <x:c r="I180" s="6" t="str">
        <x:v>All vehicles: Diagnostics and supported coding</x:v>
      </x:c>
      <x:c r="J180" s="6" t="str">
        <x:v>Secondary</x:v>
      </x:c>
      <x:c r="K180" s="6" t="str">
        <x:v>Commercial service enquiry</x:v>
      </x:c>
      <x:c r="L180" s="6" t="str">
        <x:v>High</x:v>
      </x:c>
      <x:c r="M180" s="6" t="str">
        <x:v>https://digitecme.com/services/car-diagnostics-dubai</x:v>
      </x:c>
      <x:c r="N180" s="6" t="str">
        <x:v>Unknown — export has no query/page pairing</x:v>
      </x:c>
      <x:c r="O180" s="6" t="str">
        <x:v>Retain primary intent and support variants</x:v>
      </x:c>
      <x:c r="P180" s="6" t="str">
        <x:v>Average position 41.47 makes ranking the main issue; avoid a CTR-only rewrite.</x:v>
      </x:c>
      <x:c r="Q180" s="6" t="str">
        <x:v>All vehicles</x:v>
      </x:c>
      <x:c r="R180" s="6" t="str">
        <x:v>engine-diagnostics</x:v>
      </x:c>
      <x:c r="S180" s="6" t="str">
        <x:v>Dubai explicit</x:v>
      </x:c>
      <x:c r="T180" s="6" t="n">
        <x:v>3</x:v>
      </x:c>
      <x:c r="U180" s="6" t="str">
        <x:v>40+</x:v>
      </x:c>
      <x:c r="V180" s="6" t="str">
        <x:v>Relevance, capability, indexing and authority review</x:v>
      </x:c>
      <x:c r="W180" s="6" t="str">
        <x:v>Relevant supporting</x:v>
      </x:c>
      <x:c r="X180" s="6" t="n">
        <x:v>176</x:v>
      </x:c>
      <x:c r="Y180" s="6" t="str">
        <x:v>Unconfirmed — joint query/page data required</x:v>
      </x:c>
    </x:row>
    <x:row r="181" ht="42" customHeight="1">
      <x:c r="A181" s="6" t="str">
        <x:v>lamborghini battery replacement dubai</x:v>
      </x:c>
      <x:c r="B181" s="14" t="n">
        <x:v>0</x:v>
      </x:c>
      <x:c r="C181" s="14" t="n">
        <x:v>90</x:v>
      </x:c>
      <x:c r="D181" s="15" t="n">
        <x:v>0</x:v>
      </x:c>
      <x:c r="E181" s="16" t="n">
        <x:v>27.97</x:v>
      </x:c>
      <x:c r="F181" s="6" t="str">
        <x:v>HIGH</x:v>
      </x:c>
      <x:c r="G181" s="17" t="n">
        <x:f>'Scoring'!I181</x:f>
        <x:v>79</x:v>
      </x:c>
      <x:c r="H181" s="6" t="str">
        <x:v>SPLIT</x:v>
      </x:c>
      <x:c r="I181" s="6" t="str">
        <x:v>lamborghini: Battery service</x:v>
      </x:c>
      <x:c r="J181" s="6" t="str">
        <x:v>Primary</x:v>
      </x:c>
      <x:c r="K181" s="6" t="str">
        <x:v>Commercial service enquiry</x:v>
      </x:c>
      <x:c r="L181" s="6" t="str">
        <x:v>High</x:v>
      </x:c>
      <x:c r="M181" s="6" t="str">
        <x:v>https://digitecme.com/brands/lamborghini-service-dubai/battery-replacement</x:v>
      </x:c>
      <x:c r="N181" s="6" t="str">
        <x:v>Unknown — export has no query/page pairing</x:v>
      </x:c>
      <x:c r="O181" s="6" t="str">
        <x:v>Use dedicated service owner</x:v>
      </x:c>
      <x:c r="P181" s="6" t="str">
        <x:v>Average position 27.97 makes ranking the main issue; avoid a CTR-only rewrite.</x:v>
      </x:c>
      <x:c r="Q181" s="6" t="str">
        <x:v>lamborghini</x:v>
      </x:c>
      <x:c r="R181" s="6" t="str">
        <x:v>battery-replacement</x:v>
      </x:c>
      <x:c r="S181" s="6" t="str">
        <x:v>Dubai explicit</x:v>
      </x:c>
      <x:c r="T181" s="6" t="n">
        <x:v>5</x:v>
      </x:c>
      <x:c r="U181" s="6" t="str">
        <x:v>21–40</x:v>
      </x:c>
      <x:c r="V181" s="6" t="str">
        <x:v>Content, internal authority and owner alignment</x:v>
      </x:c>
      <x:c r="W181" s="6" t="str">
        <x:v>High-value commercial</x:v>
      </x:c>
      <x:c r="X181" s="6" t="n">
        <x:v>177</x:v>
      </x:c>
      <x:c r="Y181" s="6" t="str">
        <x:v>Unconfirmed — joint query/page data required</x:v>
      </x:c>
    </x:row>
    <x:row r="182" ht="42" customHeight="1">
      <x:c r="A182" s="6" t="str">
        <x:v>oil change offers near me</x:v>
      </x:c>
      <x:c r="B182" s="14" t="n">
        <x:v>0</x:v>
      </x:c>
      <x:c r="C182" s="14" t="n">
        <x:v>90</x:v>
      </x:c>
      <x:c r="D182" s="15" t="n">
        <x:v>0</x:v>
      </x:c>
      <x:c r="E182" s="16" t="n">
        <x:v>31.96</x:v>
      </x:c>
      <x:c r="F182" s="6" t="str">
        <x:v>DEPRIORITIZE</x:v>
      </x:c>
      <x:c r="G182" s="17" t="n">
        <x:f>'Scoring'!I182</x:f>
        <x:v>38.7</x:v>
      </x:c>
      <x:c r="H182" s="6" t="str">
        <x:v>DEPRIORITIZE</x:v>
      </x:c>
      <x:c r="I182" s="6" t="str">
        <x:v>All vehicles: Oil change (English)</x:v>
      </x:c>
      <x:c r="J182" s="6" t="str">
        <x:v>Secondary</x:v>
      </x:c>
      <x:c r="K182" s="6" t="str">
        <x:v>Commercial service enquiry</x:v>
      </x:c>
      <x:c r="L182" s="6" t="str">
        <x:v>Medium</x:v>
      </x:c>
      <x:c r="M182" s="6" t="str">
        <x:v>https://digitecme.com/services/oil-change-dubai</x:v>
      </x:c>
      <x:c r="N182" s="6" t="str">
        <x:v>Unknown — export has no query/page pairing</x:v>
      </x:c>
      <x:c r="O182" s="6" t="str">
        <x:v>Confirm scope or deprioritize</x:v>
      </x:c>
      <x:c r="P182" s="6" t="str">
        <x:v>Price-led demand does not justify invented discounts or a low-price positioning. Average position 31.96 makes ranking the main issue; avoid a CTR-only rewrite.</x:v>
      </x:c>
      <x:c r="Q182" s="6" t="str">
        <x:v>All vehicles</x:v>
      </x:c>
      <x:c r="R182" s="6" t="str">
        <x:v>oil-change</x:v>
      </x:c>
      <x:c r="S182" s="6" t="str">
        <x:v>Near me; location unknown</x:v>
      </x:c>
      <x:c r="T182" s="6" t="n">
        <x:v>2</x:v>
      </x:c>
      <x:c r="U182" s="6" t="str">
        <x:v>21–40</x:v>
      </x:c>
      <x:c r="V182" s="6" t="str">
        <x:v>Content, internal authority and owner alignment</x:v>
      </x:c>
      <x:c r="W182" s="6" t="str">
        <x:v>Low-value</x:v>
      </x:c>
      <x:c r="X182" s="6" t="n">
        <x:v>178</x:v>
      </x:c>
      <x:c r="Y182" s="6" t="str">
        <x:v>Unconfirmed — joint query/page data required</x:v>
      </x:c>
    </x:row>
    <x:row r="183" ht="42" customHeight="1">
      <x:c r="A183" s="6" t="str">
        <x:v>rolls royce service</x:v>
      </x:c>
      <x:c r="B183" s="14" t="n">
        <x:v>0</x:v>
      </x:c>
      <x:c r="C183" s="14" t="n">
        <x:v>89</x:v>
      </x:c>
      <x:c r="D183" s="15" t="n">
        <x:v>0</x:v>
      </x:c>
      <x:c r="E183" s="16" t="n">
        <x:v>19.29</x:v>
      </x:c>
      <x:c r="F183" s="6" t="str">
        <x:v>HIGH</x:v>
      </x:c>
      <x:c r="G183" s="17" t="n">
        <x:f>'Scoring'!I183</x:f>
        <x:v>74</x:v>
      </x:c>
      <x:c r="H183" s="6" t="str">
        <x:v>SUPPORT</x:v>
      </x:c>
      <x:c r="I183" s="6" t="str">
        <x:v>rolls-royce: Service and repair</x:v>
      </x:c>
      <x:c r="J183" s="6" t="str">
        <x:v>Secondary</x:v>
      </x:c>
      <x:c r="K183" s="6" t="str">
        <x:v>Commercial service enquiry</x:v>
      </x:c>
      <x:c r="L183" s="6" t="str">
        <x:v>High</x:v>
      </x:c>
      <x:c r="M183" s="6" t="str">
        <x:v>https://digitecme.com/brands/rolls-royce-service-dubai</x:v>
      </x:c>
      <x:c r="N183" s="6" t="str">
        <x:v>Unknown — export has no query/page pairing</x:v>
      </x:c>
      <x:c r="O183" s="6" t="str">
        <x:v>Retain primary intent and support variants</x:v>
      </x:c>
      <x:c r="P183" s="6" t="str">
        <x:v>89 impressions at average position 19.29; strengthen the appropriate intent owner and measure with a fresh comparable period.</x:v>
      </x:c>
      <x:c r="Q183" s="6" t="str">
        <x:v>rolls-royce</x:v>
      </x:c>
      <x:c r="R183" s="6" t="str">
        <x:v>service-repair</x:v>
      </x:c>
      <x:c r="S183" s="6" t="str">
        <x:v>Location unspecified</x:v>
      </x:c>
      <x:c r="T183" s="6" t="n">
        <x:v>5</x:v>
      </x:c>
      <x:c r="U183" s="6" t="str">
        <x:v>11–20</x:v>
      </x:c>
      <x:c r="V183" s="6" t="str">
        <x:v>Ranking and owner relevance</x:v>
      </x:c>
      <x:c r="W183" s="6" t="str">
        <x:v>Relevant supporting</x:v>
      </x:c>
      <x:c r="X183" s="6" t="n">
        <x:v>179</x:v>
      </x:c>
      <x:c r="Y183" s="6" t="str">
        <x:v>Unconfirmed — joint query/page data required</x:v>
      </x:c>
    </x:row>
    <x:row r="184" ht="42" customHeight="1">
      <x:c r="A184" s="6" t="str">
        <x:v>ferrari specialist dubai</x:v>
      </x:c>
      <x:c r="B184" s="14" t="n">
        <x:v>0</x:v>
      </x:c>
      <x:c r="C184" s="14" t="n">
        <x:v>89</x:v>
      </x:c>
      <x:c r="D184" s="15" t="n">
        <x:v>0</x:v>
      </x:c>
      <x:c r="E184" s="16" t="n">
        <x:v>32.81</x:v>
      </x:c>
      <x:c r="F184" s="6" t="str">
        <x:v>GROWTH</x:v>
      </x:c>
      <x:c r="G184" s="17" t="n">
        <x:f>'Scoring'!I184</x:f>
        <x:v>71.5</x:v>
      </x:c>
      <x:c r="H184" s="6" t="str">
        <x:v>SUPPORT</x:v>
      </x:c>
      <x:c r="I184" s="6" t="str">
        <x:v>ferrari: Service and repair</x:v>
      </x:c>
      <x:c r="J184" s="6" t="str">
        <x:v>Secondary</x:v>
      </x:c>
      <x:c r="K184" s="6" t="str">
        <x:v>Commercial service enquiry</x:v>
      </x:c>
      <x:c r="L184" s="6" t="str">
        <x:v>High</x:v>
      </x:c>
      <x:c r="M184" s="6" t="str">
        <x:v>https://digitecme.com/brands/ferrari-service-dubai</x:v>
      </x:c>
      <x:c r="N184" s="6" t="str">
        <x:v>Unknown — export has no query/page pairing</x:v>
      </x:c>
      <x:c r="O184" s="6" t="str">
        <x:v>Retain primary intent and support variants</x:v>
      </x:c>
      <x:c r="P184" s="6" t="str">
        <x:v>Average position 32.81 makes ranking the main issue; avoid a CTR-only rewrite.</x:v>
      </x:c>
      <x:c r="Q184" s="6" t="str">
        <x:v>ferrari</x:v>
      </x:c>
      <x:c r="R184" s="6" t="str">
        <x:v>service-repair</x:v>
      </x:c>
      <x:c r="S184" s="6" t="str">
        <x:v>Dubai explicit</x:v>
      </x:c>
      <x:c r="T184" s="6" t="n">
        <x:v>5</x:v>
      </x:c>
      <x:c r="U184" s="6" t="str">
        <x:v>21–40</x:v>
      </x:c>
      <x:c r="V184" s="6" t="str">
        <x:v>Content, internal authority and owner alignment</x:v>
      </x:c>
      <x:c r="W184" s="6" t="str">
        <x:v>Relevant supporting</x:v>
      </x:c>
      <x:c r="X184" s="6" t="n">
        <x:v>180</x:v>
      </x:c>
      <x:c r="Y184" s="6" t="str">
        <x:v>Unconfirmed — joint query/page data required</x:v>
      </x:c>
    </x:row>
    <x:row r="185" ht="42" customHeight="1">
      <x:c r="A185" s="6" t="str">
        <x:v>car brake maintenance in uae</x:v>
      </x:c>
      <x:c r="B185" s="14" t="n">
        <x:v>0</x:v>
      </x:c>
      <x:c r="C185" s="14" t="n">
        <x:v>89</x:v>
      </x:c>
      <x:c r="D185" s="15" t="n">
        <x:v>0</x:v>
      </x:c>
      <x:c r="E185" s="16" t="n">
        <x:v>57.19</x:v>
      </x:c>
      <x:c r="F185" s="6" t="str">
        <x:v>GROWTH</x:v>
      </x:c>
      <x:c r="G185" s="17" t="n">
        <x:f>'Scoring'!I185</x:f>
        <x:v>52.3</x:v>
      </x:c>
      <x:c r="H185" s="6" t="str">
        <x:v>SUPPORT</x:v>
      </x:c>
      <x:c r="I185" s="6" t="str">
        <x:v>All vehicles: Brake repair (English)</x:v>
      </x:c>
      <x:c r="J185" s="6" t="str">
        <x:v>Secondary</x:v>
      </x:c>
      <x:c r="K185" s="6" t="str">
        <x:v>Commercial service enquiry</x:v>
      </x:c>
      <x:c r="L185" s="6" t="str">
        <x:v>High</x:v>
      </x:c>
      <x:c r="M185" s="6" t="str">
        <x:v>https://digitecme.com/services/brake-repair-dubai</x:v>
      </x:c>
      <x:c r="N185" s="6" t="str">
        <x:v>Unknown — export has no query/page pairing</x:v>
      </x:c>
      <x:c r="O185" s="6" t="str">
        <x:v>Retain primary intent and support variants</x:v>
      </x:c>
      <x:c r="P185" s="6" t="str">
        <x:v>Average position 57.19 makes ranking the main issue; avoid a CTR-only rewrite.</x:v>
      </x:c>
      <x:c r="Q185" s="6" t="str">
        <x:v>All vehicles</x:v>
      </x:c>
      <x:c r="R185" s="6" t="str">
        <x:v>brake-repair</x:v>
      </x:c>
      <x:c r="S185" s="6" t="str">
        <x:v>Location unspecified</x:v>
      </x:c>
      <x:c r="T185" s="6" t="n">
        <x:v>3</x:v>
      </x:c>
      <x:c r="U185" s="6" t="str">
        <x:v>40+</x:v>
      </x:c>
      <x:c r="V185" s="6" t="str">
        <x:v>Relevance, capability, indexing and authority review</x:v>
      </x:c>
      <x:c r="W185" s="6" t="str">
        <x:v>Relevant supporting</x:v>
      </x:c>
      <x:c r="X185" s="6" t="n">
        <x:v>181</x:v>
      </x:c>
      <x:c r="Y185" s="6" t="str">
        <x:v>Unconfirmed — joint query/page data required</x:v>
      </x:c>
    </x:row>
    <x:row r="186" ht="42" customHeight="1">
      <x:c r="A186" s="6" t="str">
        <x:v>paint protection film</x:v>
      </x:c>
      <x:c r="B186" s="14" t="n">
        <x:v>0</x:v>
      </x:c>
      <x:c r="C186" s="14" t="n">
        <x:v>89</x:v>
      </x:c>
      <x:c r="D186" s="15" t="n">
        <x:v>0</x:v>
      </x:c>
      <x:c r="E186" s="16" t="n">
        <x:v>65.11</x:v>
      </x:c>
      <x:c r="F186" s="6" t="str">
        <x:v>GROWTH</x:v>
      </x:c>
      <x:c r="G186" s="17" t="n">
        <x:f>'Scoring'!I186</x:f>
        <x:v>60.3</x:v>
      </x:c>
      <x:c r="H186" s="6" t="str">
        <x:v>SUPPORT</x:v>
      </x:c>
      <x:c r="I186" s="6" t="str">
        <x:v>All vehicles: Paint protection film</x:v>
      </x:c>
      <x:c r="J186" s="6" t="str">
        <x:v>Secondary</x:v>
      </x:c>
      <x:c r="K186" s="6" t="str">
        <x:v>Commercial service enquiry</x:v>
      </x:c>
      <x:c r="L186" s="6" t="str">
        <x:v>High</x:v>
      </x:c>
      <x:c r="M186" s="6" t="str">
        <x:v>https://digitecme.com/services/paint-protection-film</x:v>
      </x:c>
      <x:c r="N186" s="6" t="str">
        <x:v>Unknown — export has no query/page pairing</x:v>
      </x:c>
      <x:c r="O186" s="6" t="str">
        <x:v>Retain primary intent and support variants</x:v>
      </x:c>
      <x:c r="P186" s="6" t="str">
        <x:v>Film intent belongs to the PPF page; vehicle and district terms are secondary context. Average position 65.11 makes ranking the main issue; avoid a CTR-only rewrite.</x:v>
      </x:c>
      <x:c r="Q186" s="6" t="str">
        <x:v>All vehicles</x:v>
      </x:c>
      <x:c r="R186" s="6" t="str">
        <x:v>ppf</x:v>
      </x:c>
      <x:c r="S186" s="6" t="str">
        <x:v>Location unspecified</x:v>
      </x:c>
      <x:c r="T186" s="6" t="n">
        <x:v>5</x:v>
      </x:c>
      <x:c r="U186" s="6" t="str">
        <x:v>40+</x:v>
      </x:c>
      <x:c r="V186" s="6" t="str">
        <x:v>Relevance, capability, indexing and authority review</x:v>
      </x:c>
      <x:c r="W186" s="6" t="str">
        <x:v>Relevant supporting</x:v>
      </x:c>
      <x:c r="X186" s="6" t="n">
        <x:v>182</x:v>
      </x:c>
      <x:c r="Y186" s="6" t="str">
        <x:v>Unconfirmed — joint query/page data required</x:v>
      </x:c>
    </x:row>
    <x:row r="187" ht="42" customHeight="1">
      <x:c r="A187" s="6" t="str">
        <x:v>mercedes auto repair in dubai</x:v>
      </x:c>
      <x:c r="B187" s="14" t="n">
        <x:v>0</x:v>
      </x:c>
      <x:c r="C187" s="14" t="n">
        <x:v>88</x:v>
      </x:c>
      <x:c r="D187" s="15" t="n">
        <x:v>0</x:v>
      </x:c>
      <x:c r="E187" s="16" t="n">
        <x:v>11.9</x:v>
      </x:c>
      <x:c r="F187" s="6" t="str">
        <x:v>CRITICAL</x:v>
      </x:c>
      <x:c r="G187" s="17" t="n">
        <x:f>'Scoring'!I187</x:f>
        <x:v>86.5</x:v>
      </x:c>
      <x:c r="H187" s="6" t="str">
        <x:v>SUPPORT</x:v>
      </x:c>
      <x:c r="I187" s="6" t="str">
        <x:v>mercedes-benz: Service and repair (English)</x:v>
      </x:c>
      <x:c r="J187" s="6" t="str">
        <x:v>Secondary</x:v>
      </x:c>
      <x:c r="K187" s="6" t="str">
        <x:v>Commercial service enquiry</x:v>
      </x:c>
      <x:c r="L187" s="6" t="str">
        <x:v>High</x:v>
      </x:c>
      <x:c r="M187" s="6" t="str">
        <x:v>https://digitecme.com/brands/mercedes-benz-service-dubai</x:v>
      </x:c>
      <x:c r="N187" s="6" t="str">
        <x:v>Unknown — export has no query/page pairing</x:v>
      </x:c>
      <x:c r="O187" s="6" t="str">
        <x:v>Retain primary intent and support variants</x:v>
      </x:c>
      <x:c r="P187" s="6" t="str">
        <x:v>88 impressions at average position 11.90; strengthen the appropriate intent owner and measure with a fresh comparable period.</x:v>
      </x:c>
      <x:c r="Q187" s="6" t="str">
        <x:v>mercedes-benz</x:v>
      </x:c>
      <x:c r="R187" s="6" t="str">
        <x:v>service-repair</x:v>
      </x:c>
      <x:c r="S187" s="6" t="str">
        <x:v>Dubai explicit</x:v>
      </x:c>
      <x:c r="T187" s="6" t="n">
        <x:v>5</x:v>
      </x:c>
      <x:c r="U187" s="6" t="str">
        <x:v>11–20</x:v>
      </x:c>
      <x:c r="V187" s="6" t="str">
        <x:v>Ranking and owner relevance</x:v>
      </x:c>
      <x:c r="W187" s="6" t="str">
        <x:v>Relevant supporting</x:v>
      </x:c>
      <x:c r="X187" s="6" t="n">
        <x:v>183</x:v>
      </x:c>
      <x:c r="Y187" s="6" t="str">
        <x:v>Unconfirmed — joint query/page data required</x:v>
      </x:c>
    </x:row>
    <x:row r="188" ht="42" customHeight="1">
      <x:c r="A188" s="6" t="str">
        <x:v>bmw service in dubai</x:v>
      </x:c>
      <x:c r="B188" s="14" t="n">
        <x:v>0</x:v>
      </x:c>
      <x:c r="C188" s="14" t="n">
        <x:v>88</x:v>
      </x:c>
      <x:c r="D188" s="15" t="n">
        <x:v>0</x:v>
      </x:c>
      <x:c r="E188" s="16" t="n">
        <x:v>20.43</x:v>
      </x:c>
      <x:c r="F188" s="6" t="str">
        <x:v>HIGH</x:v>
      </x:c>
      <x:c r="G188" s="17" t="n">
        <x:f>'Scoring'!I188</x:f>
        <x:v>79</x:v>
      </x:c>
      <x:c r="H188" s="6" t="str">
        <x:v>SUPPORT</x:v>
      </x:c>
      <x:c r="I188" s="6" t="str">
        <x:v>bmw: Service and repair (English)</x:v>
      </x:c>
      <x:c r="J188" s="6" t="str">
        <x:v>Secondary</x:v>
      </x:c>
      <x:c r="K188" s="6" t="str">
        <x:v>Commercial service enquiry</x:v>
      </x:c>
      <x:c r="L188" s="6" t="str">
        <x:v>High</x:v>
      </x:c>
      <x:c r="M188" s="6" t="str">
        <x:v>https://digitecme.com/brands/bmw-service-dubai</x:v>
      </x:c>
      <x:c r="N188" s="6" t="str">
        <x:v>Unknown — export has no query/page pairing</x:v>
      </x:c>
      <x:c r="O188" s="6" t="str">
        <x:v>Retain primary intent and support variants</x:v>
      </x:c>
      <x:c r="P188" s="6" t="str">
        <x:v>Average position 20.43 makes ranking the main issue; avoid a CTR-only rewrite.</x:v>
      </x:c>
      <x:c r="Q188" s="6" t="str">
        <x:v>bmw</x:v>
      </x:c>
      <x:c r="R188" s="6" t="str">
        <x:v>service-repair</x:v>
      </x:c>
      <x:c r="S188" s="6" t="str">
        <x:v>Dubai explicit</x:v>
      </x:c>
      <x:c r="T188" s="6" t="n">
        <x:v>5</x:v>
      </x:c>
      <x:c r="U188" s="6" t="str">
        <x:v>21–40</x:v>
      </x:c>
      <x:c r="V188" s="6" t="str">
        <x:v>Content, internal authority and owner alignment</x:v>
      </x:c>
      <x:c r="W188" s="6" t="str">
        <x:v>Relevant supporting</x:v>
      </x:c>
      <x:c r="X188" s="6" t="n">
        <x:v>184</x:v>
      </x:c>
      <x:c r="Y188" s="6" t="str">
        <x:v>Unconfirmed — joint query/page data required</x:v>
      </x:c>
    </x:row>
    <x:row r="189" ht="42" customHeight="1">
      <x:c r="A189" s="6" t="str">
        <x:v>porsche air suspension dubai</x:v>
      </x:c>
      <x:c r="B189" s="14" t="n">
        <x:v>0</x:v>
      </x:c>
      <x:c r="C189" s="14" t="n">
        <x:v>87</x:v>
      </x:c>
      <x:c r="D189" s="15" t="n">
        <x:v>0</x:v>
      </x:c>
      <x:c r="E189" s="16" t="n">
        <x:v>27.37</x:v>
      </x:c>
      <x:c r="F189" s="6" t="str">
        <x:v>HIGH</x:v>
      </x:c>
      <x:c r="G189" s="17" t="n">
        <x:f>'Scoring'!I189</x:f>
        <x:v>79</x:v>
      </x:c>
      <x:c r="H189" s="6" t="str">
        <x:v>SPLIT</x:v>
      </x:c>
      <x:c r="I189" s="6" t="str">
        <x:v>porsche: Suspension repair</x:v>
      </x:c>
      <x:c r="J189" s="6" t="str">
        <x:v>Secondary</x:v>
      </x:c>
      <x:c r="K189" s="6" t="str">
        <x:v>Commercial service enquiry</x:v>
      </x:c>
      <x:c r="L189" s="6" t="str">
        <x:v>High</x:v>
      </x:c>
      <x:c r="M189" s="6" t="str">
        <x:v>https://digitecme.com/brands/porsche-service-dubai/suspension-repair</x:v>
      </x:c>
      <x:c r="N189" s="6" t="str">
        <x:v>Unknown — export has no query/page pairing</x:v>
      </x:c>
      <x:c r="O189" s="6" t="str">
        <x:v>Use dedicated service owner</x:v>
      </x:c>
      <x:c r="P189" s="6" t="str">
        <x:v>Average position 27.37 makes ranking the main issue; avoid a CTR-only rewrite.</x:v>
      </x:c>
      <x:c r="Q189" s="6" t="str">
        <x:v>porsche</x:v>
      </x:c>
      <x:c r="R189" s="6" t="str">
        <x:v>suspension-repair</x:v>
      </x:c>
      <x:c r="S189" s="6" t="str">
        <x:v>Dubai explicit</x:v>
      </x:c>
      <x:c r="T189" s="6" t="n">
        <x:v>5</x:v>
      </x:c>
      <x:c r="U189" s="6" t="str">
        <x:v>21–40</x:v>
      </x:c>
      <x:c r="V189" s="6" t="str">
        <x:v>Content, internal authority and owner alignment</x:v>
      </x:c>
      <x:c r="W189" s="6" t="str">
        <x:v>High-value commercial</x:v>
      </x:c>
      <x:c r="X189" s="6" t="n">
        <x:v>185</x:v>
      </x:c>
      <x:c r="Y189" s="6" t="str">
        <x:v>Unconfirmed — joint query/page data required</x:v>
      </x:c>
    </x:row>
    <x:row r="190" ht="42" customHeight="1">
      <x:c r="A190" s="6" t="str">
        <x:v>car brake repair dubai</x:v>
      </x:c>
      <x:c r="B190" s="14" t="n">
        <x:v>0</x:v>
      </x:c>
      <x:c r="C190" s="14" t="n">
        <x:v>87</x:v>
      </x:c>
      <x:c r="D190" s="15" t="n">
        <x:v>0</x:v>
      </x:c>
      <x:c r="E190" s="16" t="n">
        <x:v>35.87</x:v>
      </x:c>
      <x:c r="F190" s="6" t="str">
        <x:v>GROWTH</x:v>
      </x:c>
      <x:c r="G190" s="17" t="n">
        <x:f>'Scoring'!I190</x:f>
        <x:v>63.5</x:v>
      </x:c>
      <x:c r="H190" s="6" t="str">
        <x:v>SUPPORT</x:v>
      </x:c>
      <x:c r="I190" s="6" t="str">
        <x:v>All vehicles: Brake repair (English)</x:v>
      </x:c>
      <x:c r="J190" s="6" t="str">
        <x:v>Secondary</x:v>
      </x:c>
      <x:c r="K190" s="6" t="str">
        <x:v>Commercial service enquiry</x:v>
      </x:c>
      <x:c r="L190" s="6" t="str">
        <x:v>High</x:v>
      </x:c>
      <x:c r="M190" s="6" t="str">
        <x:v>https://digitecme.com/services/brake-repair-dubai</x:v>
      </x:c>
      <x:c r="N190" s="6" t="str">
        <x:v>Unknown — export has no query/page pairing</x:v>
      </x:c>
      <x:c r="O190" s="6" t="str">
        <x:v>Retain primary intent and support variants</x:v>
      </x:c>
      <x:c r="P190" s="6" t="str">
        <x:v>Average position 35.87 makes ranking the main issue; avoid a CTR-only rewrite.</x:v>
      </x:c>
      <x:c r="Q190" s="6" t="str">
        <x:v>All vehicles</x:v>
      </x:c>
      <x:c r="R190" s="6" t="str">
        <x:v>brake-repair</x:v>
      </x:c>
      <x:c r="S190" s="6" t="str">
        <x:v>Dubai explicit</x:v>
      </x:c>
      <x:c r="T190" s="6" t="n">
        <x:v>3</x:v>
      </x:c>
      <x:c r="U190" s="6" t="str">
        <x:v>21–40</x:v>
      </x:c>
      <x:c r="V190" s="6" t="str">
        <x:v>Content, internal authority and owner alignment</x:v>
      </x:c>
      <x:c r="W190" s="6" t="str">
        <x:v>Relevant supporting</x:v>
      </x:c>
      <x:c r="X190" s="6" t="n">
        <x:v>186</x:v>
      </x:c>
      <x:c r="Y190" s="6" t="str">
        <x:v>Unconfirmed — joint query/page data required</x:v>
      </x:c>
    </x:row>
    <x:row r="191" ht="42" customHeight="1">
      <x:c r="A191" s="6" t="str">
        <x:v>oil service dubai</x:v>
      </x:c>
      <x:c r="B191" s="14" t="n">
        <x:v>0</x:v>
      </x:c>
      <x:c r="C191" s="14" t="n">
        <x:v>87</x:v>
      </x:c>
      <x:c r="D191" s="15" t="n">
        <x:v>0</x:v>
      </x:c>
      <x:c r="E191" s="16" t="n">
        <x:v>42.21</x:v>
      </x:c>
      <x:c r="F191" s="6" t="str">
        <x:v>GROWTH</x:v>
      </x:c>
      <x:c r="G191" s="17" t="n">
        <x:f>'Scoring'!I191</x:f>
        <x:v>57.2</x:v>
      </x:c>
      <x:c r="H191" s="6" t="str">
        <x:v>SUPPORT</x:v>
      </x:c>
      <x:c r="I191" s="6" t="str">
        <x:v>All vehicles: Oil change (English)</x:v>
      </x:c>
      <x:c r="J191" s="6" t="str">
        <x:v>Secondary</x:v>
      </x:c>
      <x:c r="K191" s="6" t="str">
        <x:v>Commercial service enquiry</x:v>
      </x:c>
      <x:c r="L191" s="6" t="str">
        <x:v>High</x:v>
      </x:c>
      <x:c r="M191" s="6" t="str">
        <x:v>https://digitecme.com/services/oil-change-dubai</x:v>
      </x:c>
      <x:c r="N191" s="6" t="str">
        <x:v>Unknown — export has no query/page pairing</x:v>
      </x:c>
      <x:c r="O191" s="6" t="str">
        <x:v>Retain primary intent and support variants</x:v>
      </x:c>
      <x:c r="P191" s="6" t="str">
        <x:v>Average position 42.21 makes ranking the main issue; avoid a CTR-only rewrite.</x:v>
      </x:c>
      <x:c r="Q191" s="6" t="str">
        <x:v>All vehicles</x:v>
      </x:c>
      <x:c r="R191" s="6" t="str">
        <x:v>oil-change</x:v>
      </x:c>
      <x:c r="S191" s="6" t="str">
        <x:v>Dubai explicit</x:v>
      </x:c>
      <x:c r="T191" s="6" t="n">
        <x:v>3</x:v>
      </x:c>
      <x:c r="U191" s="6" t="str">
        <x:v>40+</x:v>
      </x:c>
      <x:c r="V191" s="6" t="str">
        <x:v>Relevance, capability, indexing and authority review</x:v>
      </x:c>
      <x:c r="W191" s="6" t="str">
        <x:v>Relevant supporting</x:v>
      </x:c>
      <x:c r="X191" s="6" t="n">
        <x:v>187</x:v>
      </x:c>
      <x:c r="Y191" s="6" t="str">
        <x:v>Unconfirmed — joint query/page data required</x:v>
      </x:c>
    </x:row>
    <x:row r="192" ht="42" customHeight="1">
      <x:c r="A192" s="6" t="str">
        <x:v>bmw transmission repair dubai</x:v>
      </x:c>
      <x:c r="B192" s="14" t="n">
        <x:v>0</x:v>
      </x:c>
      <x:c r="C192" s="14" t="n">
        <x:v>86</x:v>
      </x:c>
      <x:c r="D192" s="15" t="n">
        <x:v>0</x:v>
      </x:c>
      <x:c r="E192" s="16" t="n">
        <x:v>11.67</x:v>
      </x:c>
      <x:c r="F192" s="6" t="str">
        <x:v>CRITICAL</x:v>
      </x:c>
      <x:c r="G192" s="17" t="n">
        <x:f>'Scoring'!I192</x:f>
        <x:v>86.5</x:v>
      </x:c>
      <x:c r="H192" s="6" t="str">
        <x:v>SPLIT</x:v>
      </x:c>
      <x:c r="I192" s="6" t="str">
        <x:v>bmw: Transmission and gearbox repair</x:v>
      </x:c>
      <x:c r="J192" s="6" t="str">
        <x:v>Primary</x:v>
      </x:c>
      <x:c r="K192" s="6" t="str">
        <x:v>Commercial service enquiry</x:v>
      </x:c>
      <x:c r="L192" s="6" t="str">
        <x:v>High</x:v>
      </x:c>
      <x:c r="M192" s="6" t="str">
        <x:v>https://digitecme.com/brands/bmw-service-dubai/transmission-repair</x:v>
      </x:c>
      <x:c r="N192" s="6" t="str">
        <x:v>Unknown — export has no query/page pairing</x:v>
      </x:c>
      <x:c r="O192" s="6" t="str">
        <x:v>Use dedicated service owner</x:v>
      </x:c>
      <x:c r="P192" s="6" t="str">
        <x:v>86 impressions at average position 11.67; strengthen the appropriate intent owner and measure with a fresh comparable period.</x:v>
      </x:c>
      <x:c r="Q192" s="6" t="str">
        <x:v>bmw</x:v>
      </x:c>
      <x:c r="R192" s="6" t="str">
        <x:v>transmission-repair</x:v>
      </x:c>
      <x:c r="S192" s="6" t="str">
        <x:v>Dubai explicit</x:v>
      </x:c>
      <x:c r="T192" s="6" t="n">
        <x:v>5</x:v>
      </x:c>
      <x:c r="U192" s="6" t="str">
        <x:v>11–20</x:v>
      </x:c>
      <x:c r="V192" s="6" t="str">
        <x:v>Ranking and owner relevance</x:v>
      </x:c>
      <x:c r="W192" s="6" t="str">
        <x:v>High-value commercial</x:v>
      </x:c>
      <x:c r="X192" s="6" t="n">
        <x:v>188</x:v>
      </x:c>
      <x:c r="Y192" s="6" t="str">
        <x:v>Unconfirmed — joint query/page data required</x:v>
      </x:c>
    </x:row>
    <x:row r="193" ht="42" customHeight="1">
      <x:c r="A193" s="6" t="str">
        <x:v>rolls royce maintenance dubai</x:v>
      </x:c>
      <x:c r="B193" s="14" t="n">
        <x:v>0</x:v>
      </x:c>
      <x:c r="C193" s="14" t="n">
        <x:v>83</x:v>
      </x:c>
      <x:c r="D193" s="15" t="n">
        <x:v>0</x:v>
      </x:c>
      <x:c r="E193" s="16" t="n">
        <x:v>19.81</x:v>
      </x:c>
      <x:c r="F193" s="6" t="str">
        <x:v>HIGH</x:v>
      </x:c>
      <x:c r="G193" s="17" t="n">
        <x:f>'Scoring'!I193</x:f>
        <x:v>78.9</x:v>
      </x:c>
      <x:c r="H193" s="6" t="str">
        <x:v>SUPPORT</x:v>
      </x:c>
      <x:c r="I193" s="6" t="str">
        <x:v>rolls-royce: Service and repair</x:v>
      </x:c>
      <x:c r="J193" s="6" t="str">
        <x:v>Secondary</x:v>
      </x:c>
      <x:c r="K193" s="6" t="str">
        <x:v>Commercial service enquiry</x:v>
      </x:c>
      <x:c r="L193" s="6" t="str">
        <x:v>High</x:v>
      </x:c>
      <x:c r="M193" s="6" t="str">
        <x:v>https://digitecme.com/brands/rolls-royce-service-dubai</x:v>
      </x:c>
      <x:c r="N193" s="6" t="str">
        <x:v>Unknown — export has no query/page pairing</x:v>
      </x:c>
      <x:c r="O193" s="6" t="str">
        <x:v>Retain primary intent and support variants</x:v>
      </x:c>
      <x:c r="P193" s="6" t="str">
        <x:v>83 impressions at average position 19.81; strengthen the appropriate intent owner and measure with a fresh comparable period.</x:v>
      </x:c>
      <x:c r="Q193" s="6" t="str">
        <x:v>rolls-royce</x:v>
      </x:c>
      <x:c r="R193" s="6" t="str">
        <x:v>service-repair</x:v>
      </x:c>
      <x:c r="S193" s="6" t="str">
        <x:v>Dubai explicit</x:v>
      </x:c>
      <x:c r="T193" s="6" t="n">
        <x:v>5</x:v>
      </x:c>
      <x:c r="U193" s="6" t="str">
        <x:v>11–20</x:v>
      </x:c>
      <x:c r="V193" s="6" t="str">
        <x:v>Ranking and owner relevance</x:v>
      </x:c>
      <x:c r="W193" s="6" t="str">
        <x:v>Relevant supporting</x:v>
      </x:c>
      <x:c r="X193" s="6" t="n">
        <x:v>189</x:v>
      </x:c>
      <x:c r="Y193" s="6" t="str">
        <x:v>Unconfirmed — joint query/page data required</x:v>
      </x:c>
    </x:row>
    <x:row r="194" ht="42" customHeight="1">
      <x:c r="A194" s="6" t="str">
        <x:v>synthetic oil change dubai</x:v>
      </x:c>
      <x:c r="B194" s="14" t="n">
        <x:v>0</x:v>
      </x:c>
      <x:c r="C194" s="14" t="n">
        <x:v>82</x:v>
      </x:c>
      <x:c r="D194" s="15" t="n">
        <x:v>0</x:v>
      </x:c>
      <x:c r="E194" s="16" t="n">
        <x:v>38.46</x:v>
      </x:c>
      <x:c r="F194" s="6" t="str">
        <x:v>GROWTH</x:v>
      </x:c>
      <x:c r="G194" s="17" t="n">
        <x:f>'Scoring'!I194</x:f>
        <x:v>63.4</x:v>
      </x:c>
      <x:c r="H194" s="6" t="str">
        <x:v>SUPPORT</x:v>
      </x:c>
      <x:c r="I194" s="6" t="str">
        <x:v>All vehicles: Oil change (English)</x:v>
      </x:c>
      <x:c r="J194" s="6" t="str">
        <x:v>Secondary</x:v>
      </x:c>
      <x:c r="K194" s="6" t="str">
        <x:v>Commercial service enquiry</x:v>
      </x:c>
      <x:c r="L194" s="6" t="str">
        <x:v>High</x:v>
      </x:c>
      <x:c r="M194" s="6" t="str">
        <x:v>https://digitecme.com/services/oil-change-dubai</x:v>
      </x:c>
      <x:c r="N194" s="6" t="str">
        <x:v>Unknown — export has no query/page pairing</x:v>
      </x:c>
      <x:c r="O194" s="6" t="str">
        <x:v>Retain primary intent and support variants</x:v>
      </x:c>
      <x:c r="P194" s="6" t="str">
        <x:v>Average position 38.46 makes ranking the main issue; avoid a CTR-only rewrite.</x:v>
      </x:c>
      <x:c r="Q194" s="6" t="str">
        <x:v>All vehicles</x:v>
      </x:c>
      <x:c r="R194" s="6" t="str">
        <x:v>oil-change</x:v>
      </x:c>
      <x:c r="S194" s="6" t="str">
        <x:v>Dubai explicit</x:v>
      </x:c>
      <x:c r="T194" s="6" t="n">
        <x:v>3</x:v>
      </x:c>
      <x:c r="U194" s="6" t="str">
        <x:v>21–40</x:v>
      </x:c>
      <x:c r="V194" s="6" t="str">
        <x:v>Content, internal authority and owner alignment</x:v>
      </x:c>
      <x:c r="W194" s="6" t="str">
        <x:v>Relevant supporting</x:v>
      </x:c>
      <x:c r="X194" s="6" t="n">
        <x:v>190</x:v>
      </x:c>
      <x:c r="Y194" s="6" t="str">
        <x:v>Unconfirmed — joint query/page data required</x:v>
      </x:c>
    </x:row>
    <x:row r="195" ht="42" customHeight="1">
      <x:c r="A195" s="6" t="str">
        <x:v>nissan service center dubai</x:v>
      </x:c>
      <x:c r="B195" s="14" t="n">
        <x:v>0</x:v>
      </x:c>
      <x:c r="C195" s="14" t="n">
        <x:v>81</x:v>
      </x:c>
      <x:c r="D195" s="15" t="n">
        <x:v>0</x:v>
      </x:c>
      <x:c r="E195" s="16" t="n">
        <x:v>16.16</x:v>
      </x:c>
      <x:c r="F195" s="6" t="str">
        <x:v>HIGH</x:v>
      </x:c>
      <x:c r="G195" s="17" t="n">
        <x:f>'Scoring'!I195</x:f>
        <x:v>70.9</x:v>
      </x:c>
      <x:c r="H195" s="6" t="str">
        <x:v>PRIORITIZE</x:v>
      </x:c>
      <x:c r="I195" s="6" t="str">
        <x:v>nissan: Service and repair</x:v>
      </x:c>
      <x:c r="J195" s="6" t="str">
        <x:v>Primary</x:v>
      </x:c>
      <x:c r="K195" s="6" t="str">
        <x:v>Commercial service enquiry</x:v>
      </x:c>
      <x:c r="L195" s="6" t="str">
        <x:v>High</x:v>
      </x:c>
      <x:c r="M195" s="6" t="str">
        <x:v>https://digitecme.com/brands/nissan-service-dubai</x:v>
      </x:c>
      <x:c r="N195" s="6" t="str">
        <x:v>Unknown — export has no query/page pairing</x:v>
      </x:c>
      <x:c r="O195" s="6" t="str">
        <x:v>Strengthen this primary intent owner</x:v>
      </x:c>
      <x:c r="P195" s="6" t="str">
        <x:v>81 impressions at average position 16.16; strengthen the appropriate intent owner and measure with a fresh comparable period.</x:v>
      </x:c>
      <x:c r="Q195" s="6" t="str">
        <x:v>nissan</x:v>
      </x:c>
      <x:c r="R195" s="6" t="str">
        <x:v>service-repair</x:v>
      </x:c>
      <x:c r="S195" s="6" t="str">
        <x:v>Dubai explicit</x:v>
      </x:c>
      <x:c r="T195" s="6" t="n">
        <x:v>3</x:v>
      </x:c>
      <x:c r="U195" s="6" t="str">
        <x:v>11–20</x:v>
      </x:c>
      <x:c r="V195" s="6" t="str">
        <x:v>Ranking and owner relevance</x:v>
      </x:c>
      <x:c r="W195" s="6" t="str">
        <x:v>High-value commercial</x:v>
      </x:c>
      <x:c r="X195" s="6" t="n">
        <x:v>191</x:v>
      </x:c>
      <x:c r="Y195" s="6" t="str">
        <x:v>Unconfirmed — joint query/page data required</x:v>
      </x:c>
    </x:row>
    <x:row r="196" ht="42" customHeight="1">
      <x:c r="A196" s="6" t="str">
        <x:v>mercedes benz service dubai</x:v>
      </x:c>
      <x:c r="B196" s="14" t="n">
        <x:v>0</x:v>
      </x:c>
      <x:c r="C196" s="14" t="n">
        <x:v>80</x:v>
      </x:c>
      <x:c r="D196" s="15" t="n">
        <x:v>0</x:v>
      </x:c>
      <x:c r="E196" s="16" t="n">
        <x:v>15.1</x:v>
      </x:c>
      <x:c r="F196" s="6" t="str">
        <x:v>HIGH</x:v>
      </x:c>
      <x:c r="G196" s="17" t="n">
        <x:f>'Scoring'!I196</x:f>
        <x:v>78.9</x:v>
      </x:c>
      <x:c r="H196" s="6" t="str">
        <x:v>SUPPORT</x:v>
      </x:c>
      <x:c r="I196" s="6" t="str">
        <x:v>mercedes-benz: Service and repair (English)</x:v>
      </x:c>
      <x:c r="J196" s="6" t="str">
        <x:v>Secondary</x:v>
      </x:c>
      <x:c r="K196" s="6" t="str">
        <x:v>Commercial service enquiry</x:v>
      </x:c>
      <x:c r="L196" s="6" t="str">
        <x:v>High</x:v>
      </x:c>
      <x:c r="M196" s="6" t="str">
        <x:v>https://digitecme.com/brands/mercedes-benz-service-dubai</x:v>
      </x:c>
      <x:c r="N196" s="6" t="str">
        <x:v>Unknown — export has no query/page pairing</x:v>
      </x:c>
      <x:c r="O196" s="6" t="str">
        <x:v>Retain primary intent and support variants</x:v>
      </x:c>
      <x:c r="P196" s="6" t="str">
        <x:v>80 impressions at average position 15.10; strengthen the appropriate intent owner and measure with a fresh comparable period.</x:v>
      </x:c>
      <x:c r="Q196" s="6" t="str">
        <x:v>mercedes-benz</x:v>
      </x:c>
      <x:c r="R196" s="6" t="str">
        <x:v>service-repair</x:v>
      </x:c>
      <x:c r="S196" s="6" t="str">
        <x:v>Dubai explicit</x:v>
      </x:c>
      <x:c r="T196" s="6" t="n">
        <x:v>5</x:v>
      </x:c>
      <x:c r="U196" s="6" t="str">
        <x:v>11–20</x:v>
      </x:c>
      <x:c r="V196" s="6" t="str">
        <x:v>Ranking and owner relevance</x:v>
      </x:c>
      <x:c r="W196" s="6" t="str">
        <x:v>Relevant supporting</x:v>
      </x:c>
      <x:c r="X196" s="6" t="n">
        <x:v>192</x:v>
      </x:c>
      <x:c r="Y196" s="6" t="str">
        <x:v>Unconfirmed — joint query/page data required</x:v>
      </x:c>
    </x:row>
    <x:row r="197" ht="57" customHeight="1">
      <x:c r="A197" s="6" t="str">
        <x:v>mclaren repair abu dhabi</x:v>
      </x:c>
      <x:c r="B197" s="14" t="n">
        <x:v>0</x:v>
      </x:c>
      <x:c r="C197" s="14" t="n">
        <x:v>80</x:v>
      </x:c>
      <x:c r="D197" s="15" t="n">
        <x:v>0</x:v>
      </x:c>
      <x:c r="E197" s="16" t="n">
        <x:v>19.89</x:v>
      </x:c>
      <x:c r="F197" s="6" t="str">
        <x:v>DEPRIORITIZE</x:v>
      </x:c>
      <x:c r="G197" s="17" t="n">
        <x:f>'Scoring'!I197</x:f>
        <x:v>12.6</x:v>
      </x:c>
      <x:c r="H197" s="6" t="str">
        <x:v>DEPRIORITIZE</x:v>
      </x:c>
      <x:c r="I197" s="6" t="str">
        <x:v>mclaren: Service and repair (outside Dubai)</x:v>
      </x:c>
      <x:c r="J197" s="6" t="str">
        <x:v>Primary</x:v>
      </x:c>
      <x:c r="K197" s="6" t="str">
        <x:v>Commercial service enquiry</x:v>
      </x:c>
      <x:c r="L197" s="6" t="str">
        <x:v>Low</x:v>
      </x:c>
      <x:c r="M197" s="6" t="str">
        <x:v>https://digitecme.com/brands/mclaren-service-dubai</x:v>
      </x:c>
      <x:c r="N197" s="6" t="str">
        <x:v>Unknown — export has no query/page pairing</x:v>
      </x:c>
      <x:c r="O197" s="6" t="str">
        <x:v>Confirm scope or deprioritize</x:v>
      </x:c>
      <x:c r="P197" s="6" t="str">
        <x:v>Explicit destination differs from the Al Quoz workshop; do not claim a local branch or service coverage. 80 impressions at average position 19.89; strengthen the appropriate intent owner and measure with a fresh comparable period.</x:v>
      </x:c>
      <x:c r="Q197" s="6" t="str">
        <x:v>mclaren</x:v>
      </x:c>
      <x:c r="R197" s="6" t="str">
        <x:v>service-repair</x:v>
      </x:c>
      <x:c r="S197" s="6" t="str">
        <x:v>Outside Dubai</x:v>
      </x:c>
      <x:c r="T197" s="6" t="n">
        <x:v>1</x:v>
      </x:c>
      <x:c r="U197" s="6" t="str">
        <x:v>11–20</x:v>
      </x:c>
      <x:c r="V197" s="6" t="str">
        <x:v>Ranking and owner relevance</x:v>
      </x:c>
      <x:c r="W197" s="6" t="str">
        <x:v>Low-value</x:v>
      </x:c>
      <x:c r="X197" s="6" t="n">
        <x:v>193</x:v>
      </x:c>
      <x:c r="Y197" s="6" t="str">
        <x:v>Unconfirmed — joint query/page data required</x:v>
      </x:c>
    </x:row>
    <x:row r="198" ht="42" customHeight="1">
      <x:c r="A198" s="6" t="str">
        <x:v>mclaren maintenance dubai</x:v>
      </x:c>
      <x:c r="B198" s="14" t="n">
        <x:v>0</x:v>
      </x:c>
      <x:c r="C198" s="14" t="n">
        <x:v>79</x:v>
      </x:c>
      <x:c r="D198" s="15" t="n">
        <x:v>0</x:v>
      </x:c>
      <x:c r="E198" s="16" t="n">
        <x:v>13.46</x:v>
      </x:c>
      <x:c r="F198" s="6" t="str">
        <x:v>CRITICAL</x:v>
      </x:c>
      <x:c r="G198" s="17" t="n">
        <x:f>'Scoring'!I198</x:f>
        <x:v>86.3</x:v>
      </x:c>
      <x:c r="H198" s="6" t="str">
        <x:v>SUPPORT</x:v>
      </x:c>
      <x:c r="I198" s="6" t="str">
        <x:v>mclaren: Service and repair</x:v>
      </x:c>
      <x:c r="J198" s="6" t="str">
        <x:v>Secondary</x:v>
      </x:c>
      <x:c r="K198" s="6" t="str">
        <x:v>Commercial service enquiry</x:v>
      </x:c>
      <x:c r="L198" s="6" t="str">
        <x:v>High</x:v>
      </x:c>
      <x:c r="M198" s="6" t="str">
        <x:v>https://digitecme.com/brands/mclaren-service-dubai</x:v>
      </x:c>
      <x:c r="N198" s="6" t="str">
        <x:v>Unknown — export has no query/page pairing</x:v>
      </x:c>
      <x:c r="O198" s="6" t="str">
        <x:v>Retain primary intent and support variants</x:v>
      </x:c>
      <x:c r="P198" s="6" t="str">
        <x:v>79 impressions at average position 13.46; strengthen the appropriate intent owner and measure with a fresh comparable period.</x:v>
      </x:c>
      <x:c r="Q198" s="6" t="str">
        <x:v>mclaren</x:v>
      </x:c>
      <x:c r="R198" s="6" t="str">
        <x:v>service-repair</x:v>
      </x:c>
      <x:c r="S198" s="6" t="str">
        <x:v>Dubai explicit</x:v>
      </x:c>
      <x:c r="T198" s="6" t="n">
        <x:v>5</x:v>
      </x:c>
      <x:c r="U198" s="6" t="str">
        <x:v>11–20</x:v>
      </x:c>
      <x:c r="V198" s="6" t="str">
        <x:v>Ranking and owner relevance</x:v>
      </x:c>
      <x:c r="W198" s="6" t="str">
        <x:v>Relevant supporting</x:v>
      </x:c>
      <x:c r="X198" s="6" t="n">
        <x:v>194</x:v>
      </x:c>
      <x:c r="Y198" s="6" t="str">
        <x:v>Unconfirmed — joint query/page data required</x:v>
      </x:c>
    </x:row>
    <x:row r="199" ht="42" customHeight="1">
      <x:c r="A199" s="6" t="str">
        <x:v>aston martin brake repair dubai</x:v>
      </x:c>
      <x:c r="B199" s="14" t="n">
        <x:v>0</x:v>
      </x:c>
      <x:c r="C199" s="14" t="n">
        <x:v>79</x:v>
      </x:c>
      <x:c r="D199" s="15" t="n">
        <x:v>0</x:v>
      </x:c>
      <x:c r="E199" s="16" t="n">
        <x:v>13.85</x:v>
      </x:c>
      <x:c r="F199" s="6" t="str">
        <x:v>CRITICAL</x:v>
      </x:c>
      <x:c r="G199" s="17" t="n">
        <x:f>'Scoring'!I199</x:f>
        <x:v>86.3</x:v>
      </x:c>
      <x:c r="H199" s="6" t="str">
        <x:v>SPLIT</x:v>
      </x:c>
      <x:c r="I199" s="6" t="str">
        <x:v>aston-martin: Brake repair</x:v>
      </x:c>
      <x:c r="J199" s="6" t="str">
        <x:v>Primary</x:v>
      </x:c>
      <x:c r="K199" s="6" t="str">
        <x:v>Commercial service enquiry</x:v>
      </x:c>
      <x:c r="L199" s="6" t="str">
        <x:v>High</x:v>
      </x:c>
      <x:c r="M199" s="6" t="str">
        <x:v>https://digitecme.com/brands/aston-martin-service-dubai/brake-repair</x:v>
      </x:c>
      <x:c r="N199" s="6" t="str">
        <x:v>Unknown — export has no query/page pairing</x:v>
      </x:c>
      <x:c r="O199" s="6" t="str">
        <x:v>Use dedicated service owner</x:v>
      </x:c>
      <x:c r="P199" s="6" t="str">
        <x:v>79 impressions at average position 13.85; strengthen the appropriate intent owner and measure with a fresh comparable period.</x:v>
      </x:c>
      <x:c r="Q199" s="6" t="str">
        <x:v>aston-martin</x:v>
      </x:c>
      <x:c r="R199" s="6" t="str">
        <x:v>brake-repair</x:v>
      </x:c>
      <x:c r="S199" s="6" t="str">
        <x:v>Dubai explicit</x:v>
      </x:c>
      <x:c r="T199" s="6" t="n">
        <x:v>5</x:v>
      </x:c>
      <x:c r="U199" s="6" t="str">
        <x:v>11–20</x:v>
      </x:c>
      <x:c r="V199" s="6" t="str">
        <x:v>Ranking and owner relevance</x:v>
      </x:c>
      <x:c r="W199" s="6" t="str">
        <x:v>High-value commercial</x:v>
      </x:c>
      <x:c r="X199" s="6" t="n">
        <x:v>195</x:v>
      </x:c>
      <x:c r="Y199" s="6" t="str">
        <x:v>Unconfirmed — joint query/page data required</x:v>
      </x:c>
    </x:row>
    <x:row r="200" ht="57" customHeight="1">
      <x:c r="A200" s="6" t="str">
        <x:v>hummer engine repair dubai</x:v>
      </x:c>
      <x:c r="B200" s="14" t="n">
        <x:v>0</x:v>
      </x:c>
      <x:c r="C200" s="14" t="n">
        <x:v>79</x:v>
      </x:c>
      <x:c r="D200" s="15" t="n">
        <x:v>0</x:v>
      </x:c>
      <x:c r="E200" s="16" t="n">
        <x:v>26.37</x:v>
      </x:c>
      <x:c r="F200" s="6" t="str">
        <x:v>HIGH</x:v>
      </x:c>
      <x:c r="G200" s="17" t="n">
        <x:f>'Scoring'!I200</x:f>
        <x:v>70.8</x:v>
      </x:c>
      <x:c r="H200" s="6" t="str">
        <x:v>SPLIT</x:v>
      </x:c>
      <x:c r="I200" s="6" t="str">
        <x:v>hummer: Engine and mechanical repair</x:v>
      </x:c>
      <x:c r="J200" s="6" t="str">
        <x:v>Primary</x:v>
      </x:c>
      <x:c r="K200" s="6" t="str">
        <x:v>Commercial service enquiry</x:v>
      </x:c>
      <x:c r="L200" s="6" t="str">
        <x:v>High</x:v>
      </x:c>
      <x:c r="M200" s="6" t="str">
        <x:v>https://digitecme.com/brands/hummer-service-dubai</x:v>
      </x:c>
      <x:c r="N200" s="6" t="str">
        <x:v>Unknown — export has no query/page pairing</x:v>
      </x:c>
      <x:c r="O200" s="6" t="str">
        <x:v>Use dedicated service owner</x:v>
      </x:c>
      <x:c r="P200" s="6" t="str">
        <x:v>No existing specific indexable owner established; use a relevant hub section and confirm demand before a new page. Average position 26.37 makes ranking the main issue; avoid a CTR-only rewrite.</x:v>
      </x:c>
      <x:c r="Q200" s="6" t="str">
        <x:v>hummer</x:v>
      </x:c>
      <x:c r="R200" s="6" t="str">
        <x:v>mechanical-repair</x:v>
      </x:c>
      <x:c r="S200" s="6" t="str">
        <x:v>Dubai explicit</x:v>
      </x:c>
      <x:c r="T200" s="6" t="n">
        <x:v>3</x:v>
      </x:c>
      <x:c r="U200" s="6" t="str">
        <x:v>21–40</x:v>
      </x:c>
      <x:c r="V200" s="6" t="str">
        <x:v>Content, internal authority and owner alignment</x:v>
      </x:c>
      <x:c r="W200" s="6" t="str">
        <x:v>High-value commercial</x:v>
      </x:c>
      <x:c r="X200" s="6" t="n">
        <x:v>196</x:v>
      </x:c>
      <x:c r="Y200" s="6" t="str">
        <x:v>Unconfirmed — joint query/page data required</x:v>
      </x:c>
    </x:row>
    <x:row r="201" ht="42" customHeight="1">
      <x:c r="A201" s="6" t="str">
        <x:v>car oil change services in dubai</x:v>
      </x:c>
      <x:c r="B201" s="14" t="n">
        <x:v>0</x:v>
      </x:c>
      <x:c r="C201" s="14" t="n">
        <x:v>79</x:v>
      </x:c>
      <x:c r="D201" s="15" t="n">
        <x:v>0</x:v>
      </x:c>
      <x:c r="E201" s="16" t="n">
        <x:v>40.3</x:v>
      </x:c>
      <x:c r="F201" s="6" t="str">
        <x:v>GROWTH</x:v>
      </x:c>
      <x:c r="G201" s="17" t="n">
        <x:f>'Scoring'!I201</x:f>
        <x:v>57.1</x:v>
      </x:c>
      <x:c r="H201" s="6" t="str">
        <x:v>SUPPORT</x:v>
      </x:c>
      <x:c r="I201" s="6" t="str">
        <x:v>All vehicles: Oil change (English)</x:v>
      </x:c>
      <x:c r="J201" s="6" t="str">
        <x:v>Secondary</x:v>
      </x:c>
      <x:c r="K201" s="6" t="str">
        <x:v>Commercial service enquiry</x:v>
      </x:c>
      <x:c r="L201" s="6" t="str">
        <x:v>High</x:v>
      </x:c>
      <x:c r="M201" s="6" t="str">
        <x:v>https://digitecme.com/services/oil-change-dubai</x:v>
      </x:c>
      <x:c r="N201" s="6" t="str">
        <x:v>Unknown — export has no query/page pairing</x:v>
      </x:c>
      <x:c r="O201" s="6" t="str">
        <x:v>Retain primary intent and support variants</x:v>
      </x:c>
      <x:c r="P201" s="6" t="str">
        <x:v>Average position 40.30 makes ranking the main issue; avoid a CTR-only rewrite.</x:v>
      </x:c>
      <x:c r="Q201" s="6" t="str">
        <x:v>All vehicles</x:v>
      </x:c>
      <x:c r="R201" s="6" t="str">
        <x:v>oil-change</x:v>
      </x:c>
      <x:c r="S201" s="6" t="str">
        <x:v>Dubai explicit</x:v>
      </x:c>
      <x:c r="T201" s="6" t="n">
        <x:v>3</x:v>
      </x:c>
      <x:c r="U201" s="6" t="str">
        <x:v>40+</x:v>
      </x:c>
      <x:c r="V201" s="6" t="str">
        <x:v>Relevance, capability, indexing and authority review</x:v>
      </x:c>
      <x:c r="W201" s="6" t="str">
        <x:v>Relevant supporting</x:v>
      </x:c>
      <x:c r="X201" s="6" t="n">
        <x:v>197</x:v>
      </x:c>
      <x:c r="Y201" s="6" t="str">
        <x:v>Unconfirmed — joint query/page data required</x:v>
      </x:c>
    </x:row>
    <x:row r="202" ht="57" customHeight="1">
      <x:c r="A202" s="6" t="str">
        <x:v>tyre change dubai</x:v>
      </x:c>
      <x:c r="B202" s="14" t="n">
        <x:v>0</x:v>
      </x:c>
      <x:c r="C202" s="14" t="n">
        <x:v>79</x:v>
      </x:c>
      <x:c r="D202" s="15" t="n">
        <x:v>0</x:v>
      </x:c>
      <x:c r="E202" s="16" t="n">
        <x:v>70.77</x:v>
      </x:c>
      <x:c r="F202" s="6" t="str">
        <x:v>GROWTH</x:v>
      </x:c>
      <x:c r="G202" s="17" t="n">
        <x:f>'Scoring'!I202</x:f>
        <x:v>53.1</x:v>
      </x:c>
      <x:c r="H202" s="6" t="str">
        <x:v>SUPPORT</x:v>
      </x:c>
      <x:c r="I202" s="6" t="str">
        <x:v>All vehicles: Tyre repair</x:v>
      </x:c>
      <x:c r="J202" s="6" t="str">
        <x:v>Secondary</x:v>
      </x:c>
      <x:c r="K202" s="6" t="str">
        <x:v>Commercial service enquiry</x:v>
      </x:c>
      <x:c r="L202" s="6" t="str">
        <x:v>High</x:v>
      </x:c>
      <x:c r="M202" s="6" t="str">
        <x:v>https://digitecme.com/services/tire-repair-dubai</x:v>
      </x:c>
      <x:c r="N202" s="6" t="str">
        <x:v>Unknown — export has no query/page pairing</x:v>
      </x:c>
      <x:c r="O202" s="6" t="str">
        <x:v>Retain primary intent and support variants</x:v>
      </x:c>
      <x:c r="P202" s="6" t="str">
        <x:v>Relevant workshop tyre enquiry with lower assumed value than specialist repair; no mobile or roadside claim. Average position 70.77 makes ranking the main issue; avoid a CTR-only rewrite.</x:v>
      </x:c>
      <x:c r="Q202" s="6" t="str">
        <x:v>All vehicles</x:v>
      </x:c>
      <x:c r="R202" s="6" t="str">
        <x:v>tire-repair</x:v>
      </x:c>
      <x:c r="S202" s="6" t="str">
        <x:v>Dubai explicit</x:v>
      </x:c>
      <x:c r="T202" s="6" t="n">
        <x:v>2</x:v>
      </x:c>
      <x:c r="U202" s="6" t="str">
        <x:v>40+</x:v>
      </x:c>
      <x:c r="V202" s="6" t="str">
        <x:v>Relevance, capability, indexing and authority review</x:v>
      </x:c>
      <x:c r="W202" s="6" t="str">
        <x:v>Relevant supporting</x:v>
      </x:c>
      <x:c r="X202" s="6" t="n">
        <x:v>198</x:v>
      </x:c>
      <x:c r="Y202" s="6" t="str">
        <x:v>Unconfirmed — joint query/page data required</x:v>
      </x:c>
    </x:row>
    <x:row r="203" ht="57" customHeight="1">
      <x:c r="A203" s="6" t="str">
        <x:v>tire puncture repair near me</x:v>
      </x:c>
      <x:c r="B203" s="14" t="n">
        <x:v>0</x:v>
      </x:c>
      <x:c r="C203" s="14" t="n">
        <x:v>78</x:v>
      </x:c>
      <x:c r="D203" s="15" t="n">
        <x:v>0</x:v>
      </x:c>
      <x:c r="E203" s="16" t="n">
        <x:v>8.78</x:v>
      </x:c>
      <x:c r="F203" s="6" t="str">
        <x:v>GROWTH</x:v>
      </x:c>
      <x:c r="G203" s="17" t="n">
        <x:f>'Scoring'!I203</x:f>
        <x:v>84.3</x:v>
      </x:c>
      <x:c r="H203" s="6" t="str">
        <x:v>SUPPORT</x:v>
      </x:c>
      <x:c r="I203" s="6" t="str">
        <x:v>All vehicles: Tyre repair</x:v>
      </x:c>
      <x:c r="J203" s="6" t="str">
        <x:v>Secondary</x:v>
      </x:c>
      <x:c r="K203" s="6" t="str">
        <x:v>Commercial service enquiry</x:v>
      </x:c>
      <x:c r="L203" s="6" t="str">
        <x:v>High</x:v>
      </x:c>
      <x:c r="M203" s="6" t="str">
        <x:v>https://digitecme.com/services/tire-repair-dubai</x:v>
      </x:c>
      <x:c r="N203" s="6" t="str">
        <x:v>Unknown — export has no query/page pairing</x:v>
      </x:c>
      <x:c r="O203" s="6" t="str">
        <x:v>Retain primary intent and support variants</x:v>
      </x:c>
      <x:c r="P203" s="6" t="str">
        <x:v>Relevant workshop tyre enquiry with lower assumed value than specialist repair; no mobile or roadside claim. Zero clicks from 78 impressions at average position 8.78; inspect query/page, country/device and SERP before attributing this to the snippet.</x:v>
      </x:c>
      <x:c r="Q203" s="6" t="str">
        <x:v>All vehicles</x:v>
      </x:c>
      <x:c r="R203" s="6" t="str">
        <x:v>tire-repair</x:v>
      </x:c>
      <x:c r="S203" s="6" t="str">
        <x:v>Near me; location unknown</x:v>
      </x:c>
      <x:c r="T203" s="6" t="n">
        <x:v>2</x:v>
      </x:c>
      <x:c r="U203" s="6" t="str">
        <x:v>4–10</x:v>
      </x:c>
      <x:c r="V203" s="6" t="str">
        <x:v>Page-one CTR review and top-three relevance</x:v>
      </x:c>
      <x:c r="W203" s="6" t="str">
        <x:v>Relevant supporting</x:v>
      </x:c>
      <x:c r="X203" s="6" t="n">
        <x:v>199</x:v>
      </x:c>
      <x:c r="Y203" s="6" t="str">
        <x:v>Unconfirmed — joint query/page data required</x:v>
      </x:c>
    </x:row>
    <x:row r="204" ht="42" customHeight="1">
      <x:c r="A204" s="6" t="str">
        <x:v>porsche gearbox repair dubai</x:v>
      </x:c>
      <x:c r="B204" s="14" t="n">
        <x:v>0</x:v>
      </x:c>
      <x:c r="C204" s="14" t="n">
        <x:v>78</x:v>
      </x:c>
      <x:c r="D204" s="15" t="n">
        <x:v>0</x:v>
      </x:c>
      <x:c r="E204" s="16" t="n">
        <x:v>23.82</x:v>
      </x:c>
      <x:c r="F204" s="6" t="str">
        <x:v>HIGH</x:v>
      </x:c>
      <x:c r="G204" s="17" t="n">
        <x:f>'Scoring'!I204</x:f>
        <x:v>78.8</x:v>
      </x:c>
      <x:c r="H204" s="6" t="str">
        <x:v>SPLIT</x:v>
      </x:c>
      <x:c r="I204" s="6" t="str">
        <x:v>porsche: Transmission and gearbox repair</x:v>
      </x:c>
      <x:c r="J204" s="6" t="str">
        <x:v>Primary</x:v>
      </x:c>
      <x:c r="K204" s="6" t="str">
        <x:v>Commercial service enquiry</x:v>
      </x:c>
      <x:c r="L204" s="6" t="str">
        <x:v>High</x:v>
      </x:c>
      <x:c r="M204" s="6" t="str">
        <x:v>https://digitecme.com/brands/porsche-service-dubai/transmission-repair</x:v>
      </x:c>
      <x:c r="N204" s="6" t="str">
        <x:v>Unknown — export has no query/page pairing</x:v>
      </x:c>
      <x:c r="O204" s="6" t="str">
        <x:v>Use dedicated service owner</x:v>
      </x:c>
      <x:c r="P204" s="6" t="str">
        <x:v>Average position 23.82 makes ranking the main issue; avoid a CTR-only rewrite.</x:v>
      </x:c>
      <x:c r="Q204" s="6" t="str">
        <x:v>porsche</x:v>
      </x:c>
      <x:c r="R204" s="6" t="str">
        <x:v>transmission-repair</x:v>
      </x:c>
      <x:c r="S204" s="6" t="str">
        <x:v>Dubai explicit</x:v>
      </x:c>
      <x:c r="T204" s="6" t="n">
        <x:v>5</x:v>
      </x:c>
      <x:c r="U204" s="6" t="str">
        <x:v>21–40</x:v>
      </x:c>
      <x:c r="V204" s="6" t="str">
        <x:v>Content, internal authority and owner alignment</x:v>
      </x:c>
      <x:c r="W204" s="6" t="str">
        <x:v>High-value commercial</x:v>
      </x:c>
      <x:c r="X204" s="6" t="n">
        <x:v>200</x:v>
      </x:c>
      <x:c r="Y204" s="6" t="str">
        <x:v>Unconfirmed — joint query/page data required</x:v>
      </x:c>
    </x:row>
    <x:row r="205" ht="42" customHeight="1">
      <x:c r="A205" s="6" t="str">
        <x:v>best chevrolet workshop</x:v>
      </x:c>
      <x:c r="B205" s="14" t="n">
        <x:v>0</x:v>
      </x:c>
      <x:c r="C205" s="14" t="n">
        <x:v>78</x:v>
      </x:c>
      <x:c r="D205" s="15" t="n">
        <x:v>0</x:v>
      </x:c>
      <x:c r="E205" s="16" t="n">
        <x:v>25.24</x:v>
      </x:c>
      <x:c r="F205" s="6" t="str">
        <x:v>HIGH</x:v>
      </x:c>
      <x:c r="G205" s="17" t="n">
        <x:f>'Scoring'!I205</x:f>
        <x:v>65.8</x:v>
      </x:c>
      <x:c r="H205" s="6" t="str">
        <x:v>SUPPORT</x:v>
      </x:c>
      <x:c r="I205" s="6" t="str">
        <x:v>chevrolet: Service and repair</x:v>
      </x:c>
      <x:c r="J205" s="6" t="str">
        <x:v>Secondary</x:v>
      </x:c>
      <x:c r="K205" s="6" t="str">
        <x:v>Commercial service enquiry</x:v>
      </x:c>
      <x:c r="L205" s="6" t="str">
        <x:v>High</x:v>
      </x:c>
      <x:c r="M205" s="6" t="str">
        <x:v>https://digitecme.com/brands/chevrolet-service-dubai</x:v>
      </x:c>
      <x:c r="N205" s="6" t="str">
        <x:v>Unknown — export has no query/page pairing</x:v>
      </x:c>
      <x:c r="O205" s="6" t="str">
        <x:v>Retain primary intent and support variants</x:v>
      </x:c>
      <x:c r="P205" s="6" t="str">
        <x:v>Average position 25.24 makes ranking the main issue; avoid a CTR-only rewrite.</x:v>
      </x:c>
      <x:c r="Q205" s="6" t="str">
        <x:v>chevrolet</x:v>
      </x:c>
      <x:c r="R205" s="6" t="str">
        <x:v>service-repair</x:v>
      </x:c>
      <x:c r="S205" s="6" t="str">
        <x:v>Location unspecified</x:v>
      </x:c>
      <x:c r="T205" s="6" t="n">
        <x:v>3</x:v>
      </x:c>
      <x:c r="U205" s="6" t="str">
        <x:v>21–40</x:v>
      </x:c>
      <x:c r="V205" s="6" t="str">
        <x:v>Content, internal authority and owner alignment</x:v>
      </x:c>
      <x:c r="W205" s="6" t="str">
        <x:v>Relevant supporting</x:v>
      </x:c>
      <x:c r="X205" s="6" t="n">
        <x:v>201</x:v>
      </x:c>
      <x:c r="Y205" s="6" t="str">
        <x:v>Unconfirmed — joint query/page data required</x:v>
      </x:c>
    </x:row>
    <x:row r="206" ht="42" customHeight="1">
      <x:c r="A206" s="6" t="str">
        <x:v>car ac refill services dubai</x:v>
      </x:c>
      <x:c r="B206" s="14" t="n">
        <x:v>0</x:v>
      </x:c>
      <x:c r="C206" s="14" t="n">
        <x:v>78</x:v>
      </x:c>
      <x:c r="D206" s="15" t="n">
        <x:v>0</x:v>
      </x:c>
      <x:c r="E206" s="16" t="n">
        <x:v>30.12</x:v>
      </x:c>
      <x:c r="F206" s="6" t="str">
        <x:v>GROWTH</x:v>
      </x:c>
      <x:c r="G206" s="17" t="n">
        <x:f>'Scoring'!I206</x:f>
        <x:v>63.3</x:v>
      </x:c>
      <x:c r="H206" s="6" t="str">
        <x:v>SUPPORT</x:v>
      </x:c>
      <x:c r="I206" s="6" t="str">
        <x:v>All vehicles: AC repair</x:v>
      </x:c>
      <x:c r="J206" s="6" t="str">
        <x:v>Secondary</x:v>
      </x:c>
      <x:c r="K206" s="6" t="str">
        <x:v>Commercial service enquiry</x:v>
      </x:c>
      <x:c r="L206" s="6" t="str">
        <x:v>High</x:v>
      </x:c>
      <x:c r="M206" s="6" t="str">
        <x:v>https://digitecme.com/services/car-ac-repair-dubai</x:v>
      </x:c>
      <x:c r="N206" s="6" t="str">
        <x:v>Unknown — export has no query/page pairing</x:v>
      </x:c>
      <x:c r="O206" s="6" t="str">
        <x:v>Retain primary intent and support variants</x:v>
      </x:c>
      <x:c r="P206" s="6" t="str">
        <x:v>Average position 30.12 makes ranking the main issue; avoid a CTR-only rewrite.</x:v>
      </x:c>
      <x:c r="Q206" s="6" t="str">
        <x:v>All vehicles</x:v>
      </x:c>
      <x:c r="R206" s="6" t="str">
        <x:v>ac-repair</x:v>
      </x:c>
      <x:c r="S206" s="6" t="str">
        <x:v>Dubai explicit</x:v>
      </x:c>
      <x:c r="T206" s="6" t="n">
        <x:v>3</x:v>
      </x:c>
      <x:c r="U206" s="6" t="str">
        <x:v>21–40</x:v>
      </x:c>
      <x:c r="V206" s="6" t="str">
        <x:v>Content, internal authority and owner alignment</x:v>
      </x:c>
      <x:c r="W206" s="6" t="str">
        <x:v>Relevant supporting</x:v>
      </x:c>
      <x:c r="X206" s="6" t="n">
        <x:v>202</x:v>
      </x:c>
      <x:c r="Y206" s="6" t="str">
        <x:v>Unconfirmed — joint query/page data required</x:v>
      </x:c>
    </x:row>
    <x:row r="207" ht="57" customHeight="1">
      <x:c r="A207" s="6" t="str">
        <x:v>paint protection film in deira dubai</x:v>
      </x:c>
      <x:c r="B207" s="14" t="n">
        <x:v>0</x:v>
      </x:c>
      <x:c r="C207" s="14" t="n">
        <x:v>78</x:v>
      </x:c>
      <x:c r="D207" s="15" t="n">
        <x:v>0</x:v>
      </x:c>
      <x:c r="E207" s="16" t="n">
        <x:v>34.59</x:v>
      </x:c>
      <x:c r="F207" s="6" t="str">
        <x:v>GROWTH</x:v>
      </x:c>
      <x:c r="G207" s="17" t="n">
        <x:f>'Scoring'!I207</x:f>
        <x:v>71.3</x:v>
      </x:c>
      <x:c r="H207" s="6" t="str">
        <x:v>SUPPORT</x:v>
      </x:c>
      <x:c r="I207" s="6" t="str">
        <x:v>All vehicles: Paint protection film</x:v>
      </x:c>
      <x:c r="J207" s="6" t="str">
        <x:v>Secondary</x:v>
      </x:c>
      <x:c r="K207" s="6" t="str">
        <x:v>Commercial service enquiry</x:v>
      </x:c>
      <x:c r="L207" s="6" t="str">
        <x:v>High</x:v>
      </x:c>
      <x:c r="M207" s="6" t="str">
        <x:v>https://digitecme.com/services/paint-protection-film</x:v>
      </x:c>
      <x:c r="N207" s="6" t="str">
        <x:v>Unknown — export has no query/page pairing</x:v>
      </x:c>
      <x:c r="O207" s="6" t="str">
        <x:v>Retain primary intent and support variants</x:v>
      </x:c>
      <x:c r="P207" s="6" t="str">
        <x:v>Use the actual Al Quoz location; no district landing page or implied branch. Film intent belongs to the PPF page; vehicle and district terms are secondary context. Average position 34.59 makes ranking the main issue; avoid a CTR-only rewrite.</x:v>
      </x:c>
      <x:c r="Q207" s="6" t="str">
        <x:v>All vehicles</x:v>
      </x:c>
      <x:c r="R207" s="6" t="str">
        <x:v>ppf</x:v>
      </x:c>
      <x:c r="S207" s="6" t="str">
        <x:v>Other Dubai district</x:v>
      </x:c>
      <x:c r="T207" s="6" t="n">
        <x:v>5</x:v>
      </x:c>
      <x:c r="U207" s="6" t="str">
        <x:v>21–40</x:v>
      </x:c>
      <x:c r="V207" s="6" t="str">
        <x:v>Content, internal authority and owner alignment</x:v>
      </x:c>
      <x:c r="W207" s="6" t="str">
        <x:v>Relevant supporting</x:v>
      </x:c>
      <x:c r="X207" s="6" t="n">
        <x:v>203</x:v>
      </x:c>
      <x:c r="Y207" s="6" t="str">
        <x:v>Unconfirmed — joint query/page data required</x:v>
      </x:c>
    </x:row>
    <x:row r="208" ht="42" customHeight="1">
      <x:c r="A208" s="6" t="str">
        <x:v>car battery change</x:v>
      </x:c>
      <x:c r="B208" s="14" t="n">
        <x:v>0</x:v>
      </x:c>
      <x:c r="C208" s="14" t="n">
        <x:v>78</x:v>
      </x:c>
      <x:c r="D208" s="15" t="n">
        <x:v>0</x:v>
      </x:c>
      <x:c r="E208" s="16" t="n">
        <x:v>43.22</x:v>
      </x:c>
      <x:c r="F208" s="6" t="str">
        <x:v>GROWTH</x:v>
      </x:c>
      <x:c r="G208" s="17" t="n">
        <x:f>'Scoring'!I208</x:f>
        <x:v>52.1</x:v>
      </x:c>
      <x:c r="H208" s="6" t="str">
        <x:v>SUPPORT</x:v>
      </x:c>
      <x:c r="I208" s="6" t="str">
        <x:v>All vehicles: Battery service (English)</x:v>
      </x:c>
      <x:c r="J208" s="6" t="str">
        <x:v>Secondary</x:v>
      </x:c>
      <x:c r="K208" s="6" t="str">
        <x:v>Commercial service enquiry</x:v>
      </x:c>
      <x:c r="L208" s="6" t="str">
        <x:v>High</x:v>
      </x:c>
      <x:c r="M208" s="6" t="str">
        <x:v>https://digitecme.com/services/battery-replacement-dubai</x:v>
      </x:c>
      <x:c r="N208" s="6" t="str">
        <x:v>Unknown — export has no query/page pairing</x:v>
      </x:c>
      <x:c r="O208" s="6" t="str">
        <x:v>Retain primary intent and support variants</x:v>
      </x:c>
      <x:c r="P208" s="6" t="str">
        <x:v>Average position 43.22 makes ranking the main issue; avoid a CTR-only rewrite.</x:v>
      </x:c>
      <x:c r="Q208" s="6" t="str">
        <x:v>All vehicles</x:v>
      </x:c>
      <x:c r="R208" s="6" t="str">
        <x:v>battery-replacement</x:v>
      </x:c>
      <x:c r="S208" s="6" t="str">
        <x:v>Location unspecified</x:v>
      </x:c>
      <x:c r="T208" s="6" t="n">
        <x:v>3</x:v>
      </x:c>
      <x:c r="U208" s="6" t="str">
        <x:v>40+</x:v>
      </x:c>
      <x:c r="V208" s="6" t="str">
        <x:v>Relevance, capability, indexing and authority review</x:v>
      </x:c>
      <x:c r="W208" s="6" t="str">
        <x:v>Relevant supporting</x:v>
      </x:c>
      <x:c r="X208" s="6" t="n">
        <x:v>204</x:v>
      </x:c>
      <x:c r="Y208" s="6" t="str">
        <x:v>Unconfirmed — joint query/page data required</x:v>
      </x:c>
    </x:row>
    <x:row r="209" ht="42" customHeight="1">
      <x:c r="A209" s="6" t="str">
        <x:v>aston martin repair</x:v>
      </x:c>
      <x:c r="B209" s="14" t="n">
        <x:v>0</x:v>
      </x:c>
      <x:c r="C209" s="14" t="n">
        <x:v>77</x:v>
      </x:c>
      <x:c r="D209" s="15" t="n">
        <x:v>0</x:v>
      </x:c>
      <x:c r="E209" s="16" t="n">
        <x:v>20.82</x:v>
      </x:c>
      <x:c r="F209" s="6" t="str">
        <x:v>HIGH</x:v>
      </x:c>
      <x:c r="G209" s="17" t="n">
        <x:f>'Scoring'!I209</x:f>
        <x:v>73.8</x:v>
      </x:c>
      <x:c r="H209" s="6" t="str">
        <x:v>SUPPORT</x:v>
      </x:c>
      <x:c r="I209" s="6" t="str">
        <x:v>aston-martin: Service and repair</x:v>
      </x:c>
      <x:c r="J209" s="6" t="str">
        <x:v>Secondary</x:v>
      </x:c>
      <x:c r="K209" s="6" t="str">
        <x:v>Commercial service enquiry</x:v>
      </x:c>
      <x:c r="L209" s="6" t="str">
        <x:v>High</x:v>
      </x:c>
      <x:c r="M209" s="6" t="str">
        <x:v>https://digitecme.com/brands/aston-martin-service-dubai</x:v>
      </x:c>
      <x:c r="N209" s="6" t="str">
        <x:v>Unknown — export has no query/page pairing</x:v>
      </x:c>
      <x:c r="O209" s="6" t="str">
        <x:v>Retain primary intent and support variants</x:v>
      </x:c>
      <x:c r="P209" s="6" t="str">
        <x:v>Average position 20.82 makes ranking the main issue; avoid a CTR-only rewrite.</x:v>
      </x:c>
      <x:c r="Q209" s="6" t="str">
        <x:v>aston-martin</x:v>
      </x:c>
      <x:c r="R209" s="6" t="str">
        <x:v>service-repair</x:v>
      </x:c>
      <x:c r="S209" s="6" t="str">
        <x:v>Location unspecified</x:v>
      </x:c>
      <x:c r="T209" s="6" t="n">
        <x:v>5</x:v>
      </x:c>
      <x:c r="U209" s="6" t="str">
        <x:v>21–40</x:v>
      </x:c>
      <x:c r="V209" s="6" t="str">
        <x:v>Content, internal authority and owner alignment</x:v>
      </x:c>
      <x:c r="W209" s="6" t="str">
        <x:v>Relevant supporting</x:v>
      </x:c>
      <x:c r="X209" s="6" t="n">
        <x:v>205</x:v>
      </x:c>
      <x:c r="Y209" s="6" t="str">
        <x:v>Unconfirmed — joint query/page data required</x:v>
      </x:c>
    </x:row>
    <x:row r="210" ht="42" customHeight="1">
      <x:c r="A210" s="6" t="str">
        <x:v>auto body repair dubai</x:v>
      </x:c>
      <x:c r="B210" s="14" t="n">
        <x:v>0</x:v>
      </x:c>
      <x:c r="C210" s="14" t="n">
        <x:v>77</x:v>
      </x:c>
      <x:c r="D210" s="15" t="n">
        <x:v>0</x:v>
      </x:c>
      <x:c r="E210" s="16" t="n">
        <x:v>53.53</x:v>
      </x:c>
      <x:c r="F210" s="6" t="str">
        <x:v>GROWTH</x:v>
      </x:c>
      <x:c r="G210" s="17" t="n">
        <x:f>'Scoring'!I210</x:f>
        <x:v>57.1</x:v>
      </x:c>
      <x:c r="H210" s="6" t="str">
        <x:v>SUPPORT</x:v>
      </x:c>
      <x:c r="I210" s="6" t="str">
        <x:v>All vehicles: Body repair</x:v>
      </x:c>
      <x:c r="J210" s="6" t="str">
        <x:v>Secondary</x:v>
      </x:c>
      <x:c r="K210" s="6" t="str">
        <x:v>Commercial service enquiry</x:v>
      </x:c>
      <x:c r="L210" s="6" t="str">
        <x:v>High</x:v>
      </x:c>
      <x:c r="M210" s="6" t="str">
        <x:v>https://digitecme.com/services/car-body-repair-dubai</x:v>
      </x:c>
      <x:c r="N210" s="6" t="str">
        <x:v>Unknown — export has no query/page pairing</x:v>
      </x:c>
      <x:c r="O210" s="6" t="str">
        <x:v>Retain primary intent and support variants</x:v>
      </x:c>
      <x:c r="P210" s="6" t="str">
        <x:v>Average position 53.53 makes ranking the main issue; avoid a CTR-only rewrite.</x:v>
      </x:c>
      <x:c r="Q210" s="6" t="str">
        <x:v>All vehicles</x:v>
      </x:c>
      <x:c r="R210" s="6" t="str">
        <x:v>body-repair</x:v>
      </x:c>
      <x:c r="S210" s="6" t="str">
        <x:v>Dubai explicit</x:v>
      </x:c>
      <x:c r="T210" s="6" t="n">
        <x:v>3</x:v>
      </x:c>
      <x:c r="U210" s="6" t="str">
        <x:v>40+</x:v>
      </x:c>
      <x:c r="V210" s="6" t="str">
        <x:v>Relevance, capability, indexing and authority review</x:v>
      </x:c>
      <x:c r="W210" s="6" t="str">
        <x:v>Relevant supporting</x:v>
      </x:c>
      <x:c r="X210" s="6" t="n">
        <x:v>206</x:v>
      </x:c>
      <x:c r="Y210" s="6" t="str">
        <x:v>Unconfirmed — joint query/page data required</x:v>
      </x:c>
    </x:row>
    <x:row r="211" ht="42" customHeight="1">
      <x:c r="A211" s="6" t="str">
        <x:v>best ferrari garage in dubai</x:v>
      </x:c>
      <x:c r="B211" s="14" t="n">
        <x:v>0</x:v>
      </x:c>
      <x:c r="C211" s="14" t="n">
        <x:v>76</x:v>
      </x:c>
      <x:c r="D211" s="15" t="n">
        <x:v>0</x:v>
      </x:c>
      <x:c r="E211" s="16" t="n">
        <x:v>25.95</x:v>
      </x:c>
      <x:c r="F211" s="6" t="str">
        <x:v>HIGH</x:v>
      </x:c>
      <x:c r="G211" s="17" t="n">
        <x:f>'Scoring'!I211</x:f>
        <x:v>78.8</x:v>
      </x:c>
      <x:c r="H211" s="6" t="str">
        <x:v>SUPPORT</x:v>
      </x:c>
      <x:c r="I211" s="6" t="str">
        <x:v>ferrari: Service and repair</x:v>
      </x:c>
      <x:c r="J211" s="6" t="str">
        <x:v>Secondary</x:v>
      </x:c>
      <x:c r="K211" s="6" t="str">
        <x:v>Commercial service enquiry</x:v>
      </x:c>
      <x:c r="L211" s="6" t="str">
        <x:v>High</x:v>
      </x:c>
      <x:c r="M211" s="6" t="str">
        <x:v>https://digitecme.com/brands/ferrari-service-dubai</x:v>
      </x:c>
      <x:c r="N211" s="6" t="str">
        <x:v>Unknown — export has no query/page pairing</x:v>
      </x:c>
      <x:c r="O211" s="6" t="str">
        <x:v>Retain primary intent and support variants</x:v>
      </x:c>
      <x:c r="P211" s="6" t="str">
        <x:v>Average position 25.95 makes ranking the main issue; avoid a CTR-only rewrite.</x:v>
      </x:c>
      <x:c r="Q211" s="6" t="str">
        <x:v>ferrari</x:v>
      </x:c>
      <x:c r="R211" s="6" t="str">
        <x:v>service-repair</x:v>
      </x:c>
      <x:c r="S211" s="6" t="str">
        <x:v>Dubai explicit</x:v>
      </x:c>
      <x:c r="T211" s="6" t="n">
        <x:v>5</x:v>
      </x:c>
      <x:c r="U211" s="6" t="str">
        <x:v>21–40</x:v>
      </x:c>
      <x:c r="V211" s="6" t="str">
        <x:v>Content, internal authority and owner alignment</x:v>
      </x:c>
      <x:c r="W211" s="6" t="str">
        <x:v>Relevant supporting</x:v>
      </x:c>
      <x:c r="X211" s="6" t="n">
        <x:v>207</x:v>
      </x:c>
      <x:c r="Y211" s="6" t="str">
        <x:v>Unconfirmed — joint query/page data required</x:v>
      </x:c>
    </x:row>
    <x:row r="212" ht="57" customHeight="1">
      <x:c r="A212" s="6" t="str">
        <x:v>mercedes sound system upgrade in dubai</x:v>
      </x:c>
      <x:c r="B212" s="14" t="n">
        <x:v>0</x:v>
      </x:c>
      <x:c r="C212" s="14" t="n">
        <x:v>76</x:v>
      </x:c>
      <x:c r="D212" s="15" t="n">
        <x:v>0</x:v>
      </x:c>
      <x:c r="E212" s="16" t="n">
        <x:v>60.87</x:v>
      </x:c>
      <x:c r="F212" s="6" t="str">
        <x:v>DEPRIORITIZE</x:v>
      </x:c>
      <x:c r="G212" s="17" t="n">
        <x:f>'Scoring'!I212</x:f>
        <x:v>3.9</x:v>
      </x:c>
      <x:c r="H212" s="6" t="str">
        <x:v>DEPRIORITIZE</x:v>
      </x:c>
      <x:c r="I212" s="6" t="str">
        <x:v>mercedes-benz: Audio or interior retrofit</x:v>
      </x:c>
      <x:c r="J212" s="6" t="str">
        <x:v>Secondary</x:v>
      </x:c>
      <x:c r="K212" s="6" t="str">
        <x:v>Commercial capability enquiry</x:v>
      </x:c>
      <x:c r="L212" s="6" t="str">
        <x:v>Unverified</x:v>
      </x:c>
      <x:c r="M212" s="6" t="str"/>
      <x:c r="N212" s="6" t="str">
        <x:v>Unknown — export has no query/page pairing</x:v>
      </x:c>
      <x:c r="O212" s="6" t="str">
        <x:v>Confirm scope or deprioritize</x:v>
      </x:c>
      <x:c r="P212" s="6" t="str">
        <x:v>Specific retrofit or component repair capability is unconfirmed; do not publish a dedicated sales page before confirmation. Average position 60.87 makes ranking the main issue; avoid a CTR-only rewrite.</x:v>
      </x:c>
      <x:c r="Q212" s="6" t="str">
        <x:v>mercedes-benz</x:v>
      </x:c>
      <x:c r="R212" s="6" t="str">
        <x:v>audio-retrofit</x:v>
      </x:c>
      <x:c r="S212" s="6" t="str">
        <x:v>Dubai explicit</x:v>
      </x:c>
      <x:c r="T212" s="6" t="n">
        <x:v>1</x:v>
      </x:c>
      <x:c r="U212" s="6" t="str">
        <x:v>40+</x:v>
      </x:c>
      <x:c r="V212" s="6" t="str">
        <x:v>Relevance, capability, indexing and authority review</x:v>
      </x:c>
      <x:c r="W212" s="6" t="str">
        <x:v>Low-value</x:v>
      </x:c>
      <x:c r="X212" s="6" t="n">
        <x:v>208</x:v>
      </x:c>
      <x:c r="Y212" s="6" t="str">
        <x:v>Unconfirmed — joint query/page data required</x:v>
      </x:c>
    </x:row>
    <x:row r="213" ht="57" customHeight="1">
      <x:c r="A213" s="6" t="str">
        <x:v>puncher workshop near me</x:v>
      </x:c>
      <x:c r="B213" s="14" t="n">
        <x:v>0</x:v>
      </x:c>
      <x:c r="C213" s="14" t="n">
        <x:v>75</x:v>
      </x:c>
      <x:c r="D213" s="15" t="n">
        <x:v>0</x:v>
      </x:c>
      <x:c r="E213" s="16" t="n">
        <x:v>9.52</x:v>
      </x:c>
      <x:c r="F213" s="6" t="str">
        <x:v>GROWTH</x:v>
      </x:c>
      <x:c r="G213" s="17" t="n">
        <x:f>'Scoring'!I213</x:f>
        <x:v>84.3</x:v>
      </x:c>
      <x:c r="H213" s="6" t="str">
        <x:v>SUPPORT</x:v>
      </x:c>
      <x:c r="I213" s="6" t="str">
        <x:v>All vehicles: Tyre repair</x:v>
      </x:c>
      <x:c r="J213" s="6" t="str">
        <x:v>Secondary</x:v>
      </x:c>
      <x:c r="K213" s="6" t="str">
        <x:v>Commercial service enquiry</x:v>
      </x:c>
      <x:c r="L213" s="6" t="str">
        <x:v>High</x:v>
      </x:c>
      <x:c r="M213" s="6" t="str">
        <x:v>https://digitecme.com/services/tire-repair-dubai</x:v>
      </x:c>
      <x:c r="N213" s="6" t="str">
        <x:v>Unknown — export has no query/page pairing</x:v>
      </x:c>
      <x:c r="O213" s="6" t="str">
        <x:v>Retain primary intent and support variants</x:v>
      </x:c>
      <x:c r="P213" s="6" t="str">
        <x:v>Relevant workshop tyre enquiry with lower assumed value than specialist repair; no mobile or roadside claim. Zero clicks from 75 impressions at average position 9.52; inspect query/page, country/device and SERP before attributing this to the snippet.</x:v>
      </x:c>
      <x:c r="Q213" s="6" t="str">
        <x:v>All vehicles</x:v>
      </x:c>
      <x:c r="R213" s="6" t="str">
        <x:v>tire-repair</x:v>
      </x:c>
      <x:c r="S213" s="6" t="str">
        <x:v>Near me; location unknown</x:v>
      </x:c>
      <x:c r="T213" s="6" t="n">
        <x:v>2</x:v>
      </x:c>
      <x:c r="U213" s="6" t="str">
        <x:v>4–10</x:v>
      </x:c>
      <x:c r="V213" s="6" t="str">
        <x:v>Page-one CTR review and top-three relevance</x:v>
      </x:c>
      <x:c r="W213" s="6" t="str">
        <x:v>Relevant supporting</x:v>
      </x:c>
      <x:c r="X213" s="6" t="n">
        <x:v>209</x:v>
      </x:c>
      <x:c r="Y213" s="6" t="str">
        <x:v>Unconfirmed — joint query/page data required</x:v>
      </x:c>
    </x:row>
    <x:row r="214" ht="42" customHeight="1">
      <x:c r="A214" s="6" t="str">
        <x:v>bmw workshop dubai</x:v>
      </x:c>
      <x:c r="B214" s="14" t="n">
        <x:v>0</x:v>
      </x:c>
      <x:c r="C214" s="14" t="n">
        <x:v>75</x:v>
      </x:c>
      <x:c r="D214" s="15" t="n">
        <x:v>0</x:v>
      </x:c>
      <x:c r="E214" s="16" t="n">
        <x:v>21.52</x:v>
      </x:c>
      <x:c r="F214" s="6" t="str">
        <x:v>HIGH</x:v>
      </x:c>
      <x:c r="G214" s="17" t="n">
        <x:f>'Scoring'!I214</x:f>
        <x:v>78.8</x:v>
      </x:c>
      <x:c r="H214" s="6" t="str">
        <x:v>SUPPORT</x:v>
      </x:c>
      <x:c r="I214" s="6" t="str">
        <x:v>bmw: Service and repair (English)</x:v>
      </x:c>
      <x:c r="J214" s="6" t="str">
        <x:v>Secondary</x:v>
      </x:c>
      <x:c r="K214" s="6" t="str">
        <x:v>Commercial service enquiry</x:v>
      </x:c>
      <x:c r="L214" s="6" t="str">
        <x:v>High</x:v>
      </x:c>
      <x:c r="M214" s="6" t="str">
        <x:v>https://digitecme.com/brands/bmw-service-dubai</x:v>
      </x:c>
      <x:c r="N214" s="6" t="str">
        <x:v>Unknown — export has no query/page pairing</x:v>
      </x:c>
      <x:c r="O214" s="6" t="str">
        <x:v>Retain primary intent and support variants</x:v>
      </x:c>
      <x:c r="P214" s="6" t="str">
        <x:v>Average position 21.52 makes ranking the main issue; avoid a CTR-only rewrite.</x:v>
      </x:c>
      <x:c r="Q214" s="6" t="str">
        <x:v>bmw</x:v>
      </x:c>
      <x:c r="R214" s="6" t="str">
        <x:v>service-repair</x:v>
      </x:c>
      <x:c r="S214" s="6" t="str">
        <x:v>Dubai explicit</x:v>
      </x:c>
      <x:c r="T214" s="6" t="n">
        <x:v>5</x:v>
      </x:c>
      <x:c r="U214" s="6" t="str">
        <x:v>21–40</x:v>
      </x:c>
      <x:c r="V214" s="6" t="str">
        <x:v>Content, internal authority and owner alignment</x:v>
      </x:c>
      <x:c r="W214" s="6" t="str">
        <x:v>Relevant supporting</x:v>
      </x:c>
      <x:c r="X214" s="6" t="n">
        <x:v>210</x:v>
      </x:c>
      <x:c r="Y214" s="6" t="str">
        <x:v>Unconfirmed — joint query/page data required</x:v>
      </x:c>
    </x:row>
    <x:row r="215" ht="42" customHeight="1">
      <x:c r="A215" s="6" t="str">
        <x:v>nissan body shop</x:v>
      </x:c>
      <x:c r="B215" s="14" t="n">
        <x:v>0</x:v>
      </x:c>
      <x:c r="C215" s="14" t="n">
        <x:v>74</x:v>
      </x:c>
      <x:c r="D215" s="15" t="n">
        <x:v>0</x:v>
      </x:c>
      <x:c r="E215" s="16" t="n">
        <x:v>13.01</x:v>
      </x:c>
      <x:c r="F215" s="6" t="str">
        <x:v>CRITICAL</x:v>
      </x:c>
      <x:c r="G215" s="17" t="n">
        <x:f>'Scoring'!I215</x:f>
        <x:v>73.3</x:v>
      </x:c>
      <x:c r="H215" s="6" t="str">
        <x:v>SPLIT</x:v>
      </x:c>
      <x:c r="I215" s="6" t="str">
        <x:v>nissan: Body repair</x:v>
      </x:c>
      <x:c r="J215" s="6" t="str">
        <x:v>Secondary</x:v>
      </x:c>
      <x:c r="K215" s="6" t="str">
        <x:v>Commercial service enquiry</x:v>
      </x:c>
      <x:c r="L215" s="6" t="str">
        <x:v>High</x:v>
      </x:c>
      <x:c r="M215" s="6" t="str">
        <x:v>https://digitecme.com/brands/nissan-service-dubai/body-repair</x:v>
      </x:c>
      <x:c r="N215" s="6" t="str">
        <x:v>Unknown — export has no query/page pairing</x:v>
      </x:c>
      <x:c r="O215" s="6" t="str">
        <x:v>Use dedicated service owner</x:v>
      </x:c>
      <x:c r="P215" s="6" t="str">
        <x:v>74 impressions at average position 13.01; strengthen the appropriate intent owner and measure with a fresh comparable period.</x:v>
      </x:c>
      <x:c r="Q215" s="6" t="str">
        <x:v>nissan</x:v>
      </x:c>
      <x:c r="R215" s="6" t="str">
        <x:v>body-repair</x:v>
      </x:c>
      <x:c r="S215" s="6" t="str">
        <x:v>Location unspecified</x:v>
      </x:c>
      <x:c r="T215" s="6" t="n">
        <x:v>3</x:v>
      </x:c>
      <x:c r="U215" s="6" t="str">
        <x:v>11–20</x:v>
      </x:c>
      <x:c r="V215" s="6" t="str">
        <x:v>Ranking and owner relevance</x:v>
      </x:c>
      <x:c r="W215" s="6" t="str">
        <x:v>High-value commercial</x:v>
      </x:c>
      <x:c r="X215" s="6" t="n">
        <x:v>211</x:v>
      </x:c>
      <x:c r="Y215" s="6" t="str">
        <x:v>Unconfirmed — joint query/page data required</x:v>
      </x:c>
    </x:row>
    <x:row r="216" ht="42" customHeight="1">
      <x:c r="A216" s="6" t="str">
        <x:v>bentley workshop dubai</x:v>
      </x:c>
      <x:c r="B216" s="14" t="n">
        <x:v>0</x:v>
      </x:c>
      <x:c r="C216" s="14" t="n">
        <x:v>74</x:v>
      </x:c>
      <x:c r="D216" s="15" t="n">
        <x:v>0</x:v>
      </x:c>
      <x:c r="E216" s="16" t="n">
        <x:v>36.46</x:v>
      </x:c>
      <x:c r="F216" s="6" t="str">
        <x:v>GROWTH</x:v>
      </x:c>
      <x:c r="G216" s="17" t="n">
        <x:f>'Scoring'!I216</x:f>
        <x:v>71.3</x:v>
      </x:c>
      <x:c r="H216" s="6" t="str">
        <x:v>SUPPORT</x:v>
      </x:c>
      <x:c r="I216" s="6" t="str">
        <x:v>bentley: Service and repair (English)</x:v>
      </x:c>
      <x:c r="J216" s="6" t="str">
        <x:v>Secondary</x:v>
      </x:c>
      <x:c r="K216" s="6" t="str">
        <x:v>Commercial service enquiry</x:v>
      </x:c>
      <x:c r="L216" s="6" t="str">
        <x:v>High</x:v>
      </x:c>
      <x:c r="M216" s="6" t="str">
        <x:v>https://digitecme.com/brands/bentley-service-dubai</x:v>
      </x:c>
      <x:c r="N216" s="6" t="str">
        <x:v>Unknown — export has no query/page pairing</x:v>
      </x:c>
      <x:c r="O216" s="6" t="str">
        <x:v>Retain primary intent and support variants</x:v>
      </x:c>
      <x:c r="P216" s="6" t="str">
        <x:v>Average position 36.46 makes ranking the main issue; avoid a CTR-only rewrite.</x:v>
      </x:c>
      <x:c r="Q216" s="6" t="str">
        <x:v>bentley</x:v>
      </x:c>
      <x:c r="R216" s="6" t="str">
        <x:v>service-repair</x:v>
      </x:c>
      <x:c r="S216" s="6" t="str">
        <x:v>Dubai explicit</x:v>
      </x:c>
      <x:c r="T216" s="6" t="n">
        <x:v>5</x:v>
      </x:c>
      <x:c r="U216" s="6" t="str">
        <x:v>21–40</x:v>
      </x:c>
      <x:c r="V216" s="6" t="str">
        <x:v>Content, internal authority and owner alignment</x:v>
      </x:c>
      <x:c r="W216" s="6" t="str">
        <x:v>Relevant supporting</x:v>
      </x:c>
      <x:c r="X216" s="6" t="n">
        <x:v>212</x:v>
      </x:c>
      <x:c r="Y216" s="6" t="str">
        <x:v>Unconfirmed — joint query/page data required</x:v>
      </x:c>
    </x:row>
    <x:row r="217" ht="42" customHeight="1">
      <x:c r="A217" s="6" t="str">
        <x:v>rolls royce engine repair dubai</x:v>
      </x:c>
      <x:c r="B217" s="14" t="n">
        <x:v>0</x:v>
      </x:c>
      <x:c r="C217" s="14" t="n">
        <x:v>73</x:v>
      </x:c>
      <x:c r="D217" s="15" t="n">
        <x:v>0</x:v>
      </x:c>
      <x:c r="E217" s="16" t="n">
        <x:v>28.04</x:v>
      </x:c>
      <x:c r="F217" s="6" t="str">
        <x:v>HIGH</x:v>
      </x:c>
      <x:c r="G217" s="17" t="n">
        <x:f>'Scoring'!I217</x:f>
        <x:v>78.7</x:v>
      </x:c>
      <x:c r="H217" s="6" t="str">
        <x:v>SPLIT</x:v>
      </x:c>
      <x:c r="I217" s="6" t="str">
        <x:v>rolls-royce: Engine and mechanical repair</x:v>
      </x:c>
      <x:c r="J217" s="6" t="str">
        <x:v>Primary</x:v>
      </x:c>
      <x:c r="K217" s="6" t="str">
        <x:v>Commercial service enquiry</x:v>
      </x:c>
      <x:c r="L217" s="6" t="str">
        <x:v>High</x:v>
      </x:c>
      <x:c r="M217" s="6" t="str">
        <x:v>https://digitecme.com/brands/rolls-royce-service-dubai/mechanical-repair</x:v>
      </x:c>
      <x:c r="N217" s="6" t="str">
        <x:v>Unknown — export has no query/page pairing</x:v>
      </x:c>
      <x:c r="O217" s="6" t="str">
        <x:v>Use dedicated service owner</x:v>
      </x:c>
      <x:c r="P217" s="6" t="str">
        <x:v>Average position 28.04 makes ranking the main issue; avoid a CTR-only rewrite.</x:v>
      </x:c>
      <x:c r="Q217" s="6" t="str">
        <x:v>rolls-royce</x:v>
      </x:c>
      <x:c r="R217" s="6" t="str">
        <x:v>mechanical-repair</x:v>
      </x:c>
      <x:c r="S217" s="6" t="str">
        <x:v>Dubai explicit</x:v>
      </x:c>
      <x:c r="T217" s="6" t="n">
        <x:v>5</x:v>
      </x:c>
      <x:c r="U217" s="6" t="str">
        <x:v>21–40</x:v>
      </x:c>
      <x:c r="V217" s="6" t="str">
        <x:v>Content, internal authority and owner alignment</x:v>
      </x:c>
      <x:c r="W217" s="6" t="str">
        <x:v>High-value commercial</x:v>
      </x:c>
      <x:c r="X217" s="6" t="n">
        <x:v>213</x:v>
      </x:c>
      <x:c r="Y217" s="6" t="str">
        <x:v>Unconfirmed — joint query/page data required</x:v>
      </x:c>
    </x:row>
    <x:row r="218" ht="42" customHeight="1">
      <x:c r="A218" s="6" t="str">
        <x:v>ferrari specialist</x:v>
      </x:c>
      <x:c r="B218" s="14" t="n">
        <x:v>0</x:v>
      </x:c>
      <x:c r="C218" s="14" t="n">
        <x:v>73</x:v>
      </x:c>
      <x:c r="D218" s="15" t="n">
        <x:v>0</x:v>
      </x:c>
      <x:c r="E218" s="16" t="n">
        <x:v>29.59</x:v>
      </x:c>
      <x:c r="F218" s="6" t="str">
        <x:v>HIGH</x:v>
      </x:c>
      <x:c r="G218" s="17" t="n">
        <x:f>'Scoring'!I218</x:f>
        <x:v>73.7</x:v>
      </x:c>
      <x:c r="H218" s="6" t="str">
        <x:v>SUPPORT</x:v>
      </x:c>
      <x:c r="I218" s="6" t="str">
        <x:v>ferrari: Service and repair</x:v>
      </x:c>
      <x:c r="J218" s="6" t="str">
        <x:v>Secondary</x:v>
      </x:c>
      <x:c r="K218" s="6" t="str">
        <x:v>Commercial service enquiry</x:v>
      </x:c>
      <x:c r="L218" s="6" t="str">
        <x:v>High</x:v>
      </x:c>
      <x:c r="M218" s="6" t="str">
        <x:v>https://digitecme.com/brands/ferrari-service-dubai</x:v>
      </x:c>
      <x:c r="N218" s="6" t="str">
        <x:v>Unknown — export has no query/page pairing</x:v>
      </x:c>
      <x:c r="O218" s="6" t="str">
        <x:v>Retain primary intent and support variants</x:v>
      </x:c>
      <x:c r="P218" s="6" t="str">
        <x:v>Average position 29.59 makes ranking the main issue; avoid a CTR-only rewrite.</x:v>
      </x:c>
      <x:c r="Q218" s="6" t="str">
        <x:v>ferrari</x:v>
      </x:c>
      <x:c r="R218" s="6" t="str">
        <x:v>service-repair</x:v>
      </x:c>
      <x:c r="S218" s="6" t="str">
        <x:v>Location unspecified</x:v>
      </x:c>
      <x:c r="T218" s="6" t="n">
        <x:v>5</x:v>
      </x:c>
      <x:c r="U218" s="6" t="str">
        <x:v>21–40</x:v>
      </x:c>
      <x:c r="V218" s="6" t="str">
        <x:v>Content, internal authority and owner alignment</x:v>
      </x:c>
      <x:c r="W218" s="6" t="str">
        <x:v>Relevant supporting</x:v>
      </x:c>
      <x:c r="X218" s="6" t="n">
        <x:v>214</x:v>
      </x:c>
      <x:c r="Y218" s="6" t="str">
        <x:v>Unconfirmed — joint query/page data required</x:v>
      </x:c>
    </x:row>
    <x:row r="219" ht="42" customHeight="1">
      <x:c r="A219" s="6" t="str">
        <x:v>car battery change dubai</x:v>
      </x:c>
      <x:c r="B219" s="14" t="n">
        <x:v>0</x:v>
      </x:c>
      <x:c r="C219" s="14" t="n">
        <x:v>73</x:v>
      </x:c>
      <x:c r="D219" s="15" t="n">
        <x:v>0</x:v>
      </x:c>
      <x:c r="E219" s="16" t="n">
        <x:v>40.81</x:v>
      </x:c>
      <x:c r="F219" s="6" t="str">
        <x:v>GROWTH</x:v>
      </x:c>
      <x:c r="G219" s="17" t="n">
        <x:f>'Scoring'!I219</x:f>
        <x:v>57</x:v>
      </x:c>
      <x:c r="H219" s="6" t="str">
        <x:v>SUPPORT</x:v>
      </x:c>
      <x:c r="I219" s="6" t="str">
        <x:v>All vehicles: Battery service (English)</x:v>
      </x:c>
      <x:c r="J219" s="6" t="str">
        <x:v>Secondary</x:v>
      </x:c>
      <x:c r="K219" s="6" t="str">
        <x:v>Commercial service enquiry</x:v>
      </x:c>
      <x:c r="L219" s="6" t="str">
        <x:v>High</x:v>
      </x:c>
      <x:c r="M219" s="6" t="str">
        <x:v>https://digitecme.com/services/battery-replacement-dubai</x:v>
      </x:c>
      <x:c r="N219" s="6" t="str">
        <x:v>Unknown — export has no query/page pairing</x:v>
      </x:c>
      <x:c r="O219" s="6" t="str">
        <x:v>Retain primary intent and support variants</x:v>
      </x:c>
      <x:c r="P219" s="6" t="str">
        <x:v>Average position 40.81 makes ranking the main issue; avoid a CTR-only rewrite.</x:v>
      </x:c>
      <x:c r="Q219" s="6" t="str">
        <x:v>All vehicles</x:v>
      </x:c>
      <x:c r="R219" s="6" t="str">
        <x:v>battery-replacement</x:v>
      </x:c>
      <x:c r="S219" s="6" t="str">
        <x:v>Dubai explicit</x:v>
      </x:c>
      <x:c r="T219" s="6" t="n">
        <x:v>3</x:v>
      </x:c>
      <x:c r="U219" s="6" t="str">
        <x:v>40+</x:v>
      </x:c>
      <x:c r="V219" s="6" t="str">
        <x:v>Relevance, capability, indexing and authority review</x:v>
      </x:c>
      <x:c r="W219" s="6" t="str">
        <x:v>Relevant supporting</x:v>
      </x:c>
      <x:c r="X219" s="6" t="n">
        <x:v>215</x:v>
      </x:c>
      <x:c r="Y219" s="6" t="str">
        <x:v>Unconfirmed — joint query/page data required</x:v>
      </x:c>
    </x:row>
    <x:row r="220" ht="57" customHeight="1">
      <x:c r="A220" s="6" t="str">
        <x:v>best paint protection film al murar</x:v>
      </x:c>
      <x:c r="B220" s="14" t="n">
        <x:v>0</x:v>
      </x:c>
      <x:c r="C220" s="14" t="n">
        <x:v>73</x:v>
      </x:c>
      <x:c r="D220" s="15" t="n">
        <x:v>0</x:v>
      </x:c>
      <x:c r="E220" s="16" t="n">
        <x:v>73.6</x:v>
      </x:c>
      <x:c r="F220" s="6" t="str">
        <x:v>GROWTH</x:v>
      </x:c>
      <x:c r="G220" s="17" t="n">
        <x:f>'Scoring'!I220</x:f>
        <x:v>65</x:v>
      </x:c>
      <x:c r="H220" s="6" t="str">
        <x:v>SUPPORT</x:v>
      </x:c>
      <x:c r="I220" s="6" t="str">
        <x:v>All vehicles: Paint protection film</x:v>
      </x:c>
      <x:c r="J220" s="6" t="str">
        <x:v>Secondary</x:v>
      </x:c>
      <x:c r="K220" s="6" t="str">
        <x:v>Commercial service enquiry</x:v>
      </x:c>
      <x:c r="L220" s="6" t="str">
        <x:v>High</x:v>
      </x:c>
      <x:c r="M220" s="6" t="str">
        <x:v>https://digitecme.com/services/paint-protection-film</x:v>
      </x:c>
      <x:c r="N220" s="6" t="str">
        <x:v>Unknown — export has no query/page pairing</x:v>
      </x:c>
      <x:c r="O220" s="6" t="str">
        <x:v>Retain primary intent and support variants</x:v>
      </x:c>
      <x:c r="P220" s="6" t="str">
        <x:v>Use the actual Al Quoz location; no district landing page or implied branch. Film intent belongs to the PPF page; vehicle and district terms are secondary context. Average position 73.60 makes ranking the main issue; avoid a CTR-only rewrite.</x:v>
      </x:c>
      <x:c r="Q220" s="6" t="str">
        <x:v>All vehicles</x:v>
      </x:c>
      <x:c r="R220" s="6" t="str">
        <x:v>ppf</x:v>
      </x:c>
      <x:c r="S220" s="6" t="str">
        <x:v>Other Dubai district</x:v>
      </x:c>
      <x:c r="T220" s="6" t="n">
        <x:v>5</x:v>
      </x:c>
      <x:c r="U220" s="6" t="str">
        <x:v>40+</x:v>
      </x:c>
      <x:c r="V220" s="6" t="str">
        <x:v>Relevance, capability, indexing and authority review</x:v>
      </x:c>
      <x:c r="W220" s="6" t="str">
        <x:v>Relevant supporting</x:v>
      </x:c>
      <x:c r="X220" s="6" t="n">
        <x:v>216</x:v>
      </x:c>
      <x:c r="Y220" s="6" t="str">
        <x:v>Unconfirmed — joint query/page data required</x:v>
      </x:c>
    </x:row>
    <x:row r="221" ht="42" customHeight="1">
      <x:c r="A221" s="6" t="str">
        <x:v>ferrari service centre dubai</x:v>
      </x:c>
      <x:c r="B221" s="14" t="n">
        <x:v>0</x:v>
      </x:c>
      <x:c r="C221" s="14" t="n">
        <x:v>72</x:v>
      </x:c>
      <x:c r="D221" s="15" t="n">
        <x:v>0</x:v>
      </x:c>
      <x:c r="E221" s="16" t="n">
        <x:v>26.9</x:v>
      </x:c>
      <x:c r="F221" s="6" t="str">
        <x:v>HIGH</x:v>
      </x:c>
      <x:c r="G221" s="17" t="n">
        <x:f>'Scoring'!I221</x:f>
        <x:v>78.7</x:v>
      </x:c>
      <x:c r="H221" s="6" t="str">
        <x:v>SUPPORT</x:v>
      </x:c>
      <x:c r="I221" s="6" t="str">
        <x:v>ferrari: Service and repair</x:v>
      </x:c>
      <x:c r="J221" s="6" t="str">
        <x:v>Secondary</x:v>
      </x:c>
      <x:c r="K221" s="6" t="str">
        <x:v>Commercial service enquiry</x:v>
      </x:c>
      <x:c r="L221" s="6" t="str">
        <x:v>High</x:v>
      </x:c>
      <x:c r="M221" s="6" t="str">
        <x:v>https://digitecme.com/brands/ferrari-service-dubai</x:v>
      </x:c>
      <x:c r="N221" s="6" t="str">
        <x:v>Unknown — export has no query/page pairing</x:v>
      </x:c>
      <x:c r="O221" s="6" t="str">
        <x:v>Retain primary intent and support variants</x:v>
      </x:c>
      <x:c r="P221" s="6" t="str">
        <x:v>Average position 26.90 makes ranking the main issue; avoid a CTR-only rewrite.</x:v>
      </x:c>
      <x:c r="Q221" s="6" t="str">
        <x:v>ferrari</x:v>
      </x:c>
      <x:c r="R221" s="6" t="str">
        <x:v>service-repair</x:v>
      </x:c>
      <x:c r="S221" s="6" t="str">
        <x:v>Dubai explicit</x:v>
      </x:c>
      <x:c r="T221" s="6" t="n">
        <x:v>5</x:v>
      </x:c>
      <x:c r="U221" s="6" t="str">
        <x:v>21–40</x:v>
      </x:c>
      <x:c r="V221" s="6" t="str">
        <x:v>Content, internal authority and owner alignment</x:v>
      </x:c>
      <x:c r="W221" s="6" t="str">
        <x:v>Relevant supporting</x:v>
      </x:c>
      <x:c r="X221" s="6" t="n">
        <x:v>217</x:v>
      </x:c>
      <x:c r="Y221" s="6" t="str">
        <x:v>Unconfirmed — joint query/page data required</x:v>
      </x:c>
    </x:row>
    <x:row r="222" ht="42" customHeight="1">
      <x:c r="A222" s="6" t="str">
        <x:v>bmw coding service</x:v>
      </x:c>
      <x:c r="B222" s="14" t="n">
        <x:v>0</x:v>
      </x:c>
      <x:c r="C222" s="14" t="n">
        <x:v>72</x:v>
      </x:c>
      <x:c r="D222" s="15" t="n">
        <x:v>0</x:v>
      </x:c>
      <x:c r="E222" s="16" t="n">
        <x:v>36.72</x:v>
      </x:c>
      <x:c r="F222" s="6" t="str">
        <x:v>GROWTH</x:v>
      </x:c>
      <x:c r="G222" s="17" t="n">
        <x:f>'Scoring'!I222</x:f>
        <x:v>66.2</x:v>
      </x:c>
      <x:c r="H222" s="6" t="str">
        <x:v>SPLIT</x:v>
      </x:c>
      <x:c r="I222" s="6" t="str">
        <x:v>bmw: Diagnostics and supported coding</x:v>
      </x:c>
      <x:c r="J222" s="6" t="str">
        <x:v>Secondary</x:v>
      </x:c>
      <x:c r="K222" s="6" t="str">
        <x:v>Commercial service enquiry</x:v>
      </x:c>
      <x:c r="L222" s="6" t="str">
        <x:v>High</x:v>
      </x:c>
      <x:c r="M222" s="6" t="str">
        <x:v>https://digitecme.com/brands/bmw-service-dubai/engine-diagnostics</x:v>
      </x:c>
      <x:c r="N222" s="6" t="str">
        <x:v>Unknown — export has no query/page pairing</x:v>
      </x:c>
      <x:c r="O222" s="6" t="str">
        <x:v>Use dedicated service owner</x:v>
      </x:c>
      <x:c r="P222" s="6" t="str">
        <x:v>Average position 36.72 makes ranking the main issue; avoid a CTR-only rewrite.</x:v>
      </x:c>
      <x:c r="Q222" s="6" t="str">
        <x:v>bmw</x:v>
      </x:c>
      <x:c r="R222" s="6" t="str">
        <x:v>engine-diagnostics</x:v>
      </x:c>
      <x:c r="S222" s="6" t="str">
        <x:v>Location unspecified</x:v>
      </x:c>
      <x:c r="T222" s="6" t="n">
        <x:v>5</x:v>
      </x:c>
      <x:c r="U222" s="6" t="str">
        <x:v>21–40</x:v>
      </x:c>
      <x:c r="V222" s="6" t="str">
        <x:v>Content, internal authority and owner alignment</x:v>
      </x:c>
      <x:c r="W222" s="6" t="str">
        <x:v>High-value commercial</x:v>
      </x:c>
      <x:c r="X222" s="6" t="n">
        <x:v>218</x:v>
      </x:c>
      <x:c r="Y222" s="6" t="str">
        <x:v>Unconfirmed — joint query/page data required</x:v>
      </x:c>
    </x:row>
    <x:row r="223" ht="42" customHeight="1">
      <x:c r="A223" s="6" t="str">
        <x:v>jeep repair dubai</x:v>
      </x:c>
      <x:c r="B223" s="14" t="n">
        <x:v>0</x:v>
      </x:c>
      <x:c r="C223" s="14" t="n">
        <x:v>70</x:v>
      </x:c>
      <x:c r="D223" s="15" t="n">
        <x:v>0</x:v>
      </x:c>
      <x:c r="E223" s="16" t="n">
        <x:v>41.76</x:v>
      </x:c>
      <x:c r="F223" s="6" t="str">
        <x:v>GROWTH</x:v>
      </x:c>
      <x:c r="G223" s="17" t="n">
        <x:f>'Scoring'!I223</x:f>
        <x:v>56.9</x:v>
      </x:c>
      <x:c r="H223" s="6" t="str">
        <x:v>PRIORITIZE</x:v>
      </x:c>
      <x:c r="I223" s="6" t="str">
        <x:v>jeep: Service and repair (English)</x:v>
      </x:c>
      <x:c r="J223" s="6" t="str">
        <x:v>Primary</x:v>
      </x:c>
      <x:c r="K223" s="6" t="str">
        <x:v>Commercial service enquiry</x:v>
      </x:c>
      <x:c r="L223" s="6" t="str">
        <x:v>High</x:v>
      </x:c>
      <x:c r="M223" s="6" t="str">
        <x:v>https://digitecme.com/brands/jeep-service-dubai</x:v>
      </x:c>
      <x:c r="N223" s="6" t="str">
        <x:v>Unknown — export has no query/page pairing</x:v>
      </x:c>
      <x:c r="O223" s="6" t="str">
        <x:v>Strengthen this primary intent owner</x:v>
      </x:c>
      <x:c r="P223" s="6" t="str">
        <x:v>Average position 41.76 makes ranking the main issue; avoid a CTR-only rewrite.</x:v>
      </x:c>
      <x:c r="Q223" s="6" t="str">
        <x:v>jeep</x:v>
      </x:c>
      <x:c r="R223" s="6" t="str">
        <x:v>service-repair</x:v>
      </x:c>
      <x:c r="S223" s="6" t="str">
        <x:v>Dubai explicit</x:v>
      </x:c>
      <x:c r="T223" s="6" t="n">
        <x:v>3</x:v>
      </x:c>
      <x:c r="U223" s="6" t="str">
        <x:v>40+</x:v>
      </x:c>
      <x:c r="V223" s="6" t="str">
        <x:v>Relevance, capability, indexing and authority review</x:v>
      </x:c>
      <x:c r="W223" s="6" t="str">
        <x:v>High-value commercial</x:v>
      </x:c>
      <x:c r="X223" s="6" t="n">
        <x:v>219</x:v>
      </x:c>
      <x:c r="Y223" s="6" t="str">
        <x:v>Unconfirmed — joint query/page data required</x:v>
      </x:c>
    </x:row>
    <x:row r="224" ht="42" customHeight="1">
      <x:c r="A224" s="6" t="str">
        <x:v>mclaren oil change service dubai</x:v>
      </x:c>
      <x:c r="B224" s="14" t="n">
        <x:v>0</x:v>
      </x:c>
      <x:c r="C224" s="14" t="n">
        <x:v>69</x:v>
      </x:c>
      <x:c r="D224" s="15" t="n">
        <x:v>0</x:v>
      </x:c>
      <x:c r="E224" s="16" t="n">
        <x:v>14.96</x:v>
      </x:c>
      <x:c r="F224" s="6" t="str">
        <x:v>CRITICAL</x:v>
      </x:c>
      <x:c r="G224" s="17" t="n">
        <x:f>'Scoring'!I224</x:f>
        <x:v>86.2</x:v>
      </x:c>
      <x:c r="H224" s="6" t="str">
        <x:v>SPLIT</x:v>
      </x:c>
      <x:c r="I224" s="6" t="str">
        <x:v>mclaren: Oil change</x:v>
      </x:c>
      <x:c r="J224" s="6" t="str">
        <x:v>Primary</x:v>
      </x:c>
      <x:c r="K224" s="6" t="str">
        <x:v>Commercial service enquiry</x:v>
      </x:c>
      <x:c r="L224" s="6" t="str">
        <x:v>High</x:v>
      </x:c>
      <x:c r="M224" s="6" t="str">
        <x:v>https://digitecme.com/brands/mclaren-service-dubai/oil-change</x:v>
      </x:c>
      <x:c r="N224" s="6" t="str">
        <x:v>Unknown — export has no query/page pairing</x:v>
      </x:c>
      <x:c r="O224" s="6" t="str">
        <x:v>Use dedicated service owner</x:v>
      </x:c>
      <x:c r="P224" s="6" t="str">
        <x:v>69 impressions at average position 14.96; strengthen the appropriate intent owner and measure with a fresh comparable period.</x:v>
      </x:c>
      <x:c r="Q224" s="6" t="str">
        <x:v>mclaren</x:v>
      </x:c>
      <x:c r="R224" s="6" t="str">
        <x:v>oil-change</x:v>
      </x:c>
      <x:c r="S224" s="6" t="str">
        <x:v>Dubai explicit</x:v>
      </x:c>
      <x:c r="T224" s="6" t="n">
        <x:v>5</x:v>
      </x:c>
      <x:c r="U224" s="6" t="str">
        <x:v>11–20</x:v>
      </x:c>
      <x:c r="V224" s="6" t="str">
        <x:v>Ranking and owner relevance</x:v>
      </x:c>
      <x:c r="W224" s="6" t="str">
        <x:v>High-value commercial</x:v>
      </x:c>
      <x:c r="X224" s="6" t="n">
        <x:v>220</x:v>
      </x:c>
      <x:c r="Y224" s="6" t="str">
        <x:v>Unconfirmed — joint query/page data required</x:v>
      </x:c>
    </x:row>
    <x:row r="225" ht="42" customHeight="1">
      <x:c r="A225" s="6" t="str">
        <x:v>rolls royce workshop dubai</x:v>
      </x:c>
      <x:c r="B225" s="14" t="n">
        <x:v>0</x:v>
      </x:c>
      <x:c r="C225" s="14" t="n">
        <x:v>69</x:v>
      </x:c>
      <x:c r="D225" s="15" t="n">
        <x:v>0</x:v>
      </x:c>
      <x:c r="E225" s="16" t="n">
        <x:v>23.39</x:v>
      </x:c>
      <x:c r="F225" s="6" t="str">
        <x:v>HIGH</x:v>
      </x:c>
      <x:c r="G225" s="17" t="n">
        <x:f>'Scoring'!I225</x:f>
        <x:v>78.7</x:v>
      </x:c>
      <x:c r="H225" s="6" t="str">
        <x:v>SUPPORT</x:v>
      </x:c>
      <x:c r="I225" s="6" t="str">
        <x:v>rolls-royce: Service and repair</x:v>
      </x:c>
      <x:c r="J225" s="6" t="str">
        <x:v>Secondary</x:v>
      </x:c>
      <x:c r="K225" s="6" t="str">
        <x:v>Commercial service enquiry</x:v>
      </x:c>
      <x:c r="L225" s="6" t="str">
        <x:v>High</x:v>
      </x:c>
      <x:c r="M225" s="6" t="str">
        <x:v>https://digitecme.com/brands/rolls-royce-service-dubai</x:v>
      </x:c>
      <x:c r="N225" s="6" t="str">
        <x:v>Unknown — export has no query/page pairing</x:v>
      </x:c>
      <x:c r="O225" s="6" t="str">
        <x:v>Retain primary intent and support variants</x:v>
      </x:c>
      <x:c r="P225" s="6" t="str">
        <x:v>Average position 23.39 makes ranking the main issue; avoid a CTR-only rewrite.</x:v>
      </x:c>
      <x:c r="Q225" s="6" t="str">
        <x:v>rolls-royce</x:v>
      </x:c>
      <x:c r="R225" s="6" t="str">
        <x:v>service-repair</x:v>
      </x:c>
      <x:c r="S225" s="6" t="str">
        <x:v>Dubai explicit</x:v>
      </x:c>
      <x:c r="T225" s="6" t="n">
        <x:v>5</x:v>
      </x:c>
      <x:c r="U225" s="6" t="str">
        <x:v>21–40</x:v>
      </x:c>
      <x:c r="V225" s="6" t="str">
        <x:v>Content, internal authority and owner alignment</x:v>
      </x:c>
      <x:c r="W225" s="6" t="str">
        <x:v>Relevant supporting</x:v>
      </x:c>
      <x:c r="X225" s="6" t="n">
        <x:v>221</x:v>
      </x:c>
      <x:c r="Y225" s="6" t="str">
        <x:v>Unconfirmed — joint query/page data required</x:v>
      </x:c>
    </x:row>
    <x:row r="226" ht="42" customHeight="1">
      <x:c r="A226" s="6" t="str">
        <x:v>cadillac ac repair</x:v>
      </x:c>
      <x:c r="B226" s="14" t="n">
        <x:v>0</x:v>
      </x:c>
      <x:c r="C226" s="14" t="n">
        <x:v>69</x:v>
      </x:c>
      <x:c r="D226" s="15" t="n">
        <x:v>0</x:v>
      </x:c>
      <x:c r="E226" s="16" t="n">
        <x:v>46.3</x:v>
      </x:c>
      <x:c r="F226" s="6" t="str">
        <x:v>GROWTH</x:v>
      </x:c>
      <x:c r="G226" s="17" t="n">
        <x:f>'Scoring'!I226</x:f>
        <x:v>51.9</x:v>
      </x:c>
      <x:c r="H226" s="6" t="str">
        <x:v>SPLIT</x:v>
      </x:c>
      <x:c r="I226" s="6" t="str">
        <x:v>cadillac: AC repair</x:v>
      </x:c>
      <x:c r="J226" s="6" t="str">
        <x:v>Primary</x:v>
      </x:c>
      <x:c r="K226" s="6" t="str">
        <x:v>Commercial service enquiry</x:v>
      </x:c>
      <x:c r="L226" s="6" t="str">
        <x:v>High</x:v>
      </x:c>
      <x:c r="M226" s="6" t="str">
        <x:v>https://digitecme.com/brands/cadillac-service-dubai/ac-repair</x:v>
      </x:c>
      <x:c r="N226" s="6" t="str">
        <x:v>Unknown — export has no query/page pairing</x:v>
      </x:c>
      <x:c r="O226" s="6" t="str">
        <x:v>Use dedicated service owner</x:v>
      </x:c>
      <x:c r="P226" s="6" t="str">
        <x:v>Average position 46.30 makes ranking the main issue; avoid a CTR-only rewrite.</x:v>
      </x:c>
      <x:c r="Q226" s="6" t="str">
        <x:v>cadillac</x:v>
      </x:c>
      <x:c r="R226" s="6" t="str">
        <x:v>ac-repair</x:v>
      </x:c>
      <x:c r="S226" s="6" t="str">
        <x:v>Location unspecified</x:v>
      </x:c>
      <x:c r="T226" s="6" t="n">
        <x:v>3</x:v>
      </x:c>
      <x:c r="U226" s="6" t="str">
        <x:v>40+</x:v>
      </x:c>
      <x:c r="V226" s="6" t="str">
        <x:v>Relevance, capability, indexing and authority review</x:v>
      </x:c>
      <x:c r="W226" s="6" t="str">
        <x:v>High-value commercial</x:v>
      </x:c>
      <x:c r="X226" s="6" t="n">
        <x:v>222</x:v>
      </x:c>
      <x:c r="Y226" s="6" t="str">
        <x:v>Unconfirmed — joint query/page data required</x:v>
      </x:c>
    </x:row>
    <x:row r="227" ht="42" customHeight="1">
      <x:c r="A227" s="6" t="str">
        <x:v>bmw engine repair dubai</x:v>
      </x:c>
      <x:c r="B227" s="14" t="n">
        <x:v>0</x:v>
      </x:c>
      <x:c r="C227" s="14" t="n">
        <x:v>68</x:v>
      </x:c>
      <x:c r="D227" s="15" t="n">
        <x:v>0</x:v>
      </x:c>
      <x:c r="E227" s="16" t="n">
        <x:v>16.84</x:v>
      </x:c>
      <x:c r="F227" s="6" t="str">
        <x:v>HIGH</x:v>
      </x:c>
      <x:c r="G227" s="17" t="n">
        <x:f>'Scoring'!I227</x:f>
        <x:v>78.6</x:v>
      </x:c>
      <x:c r="H227" s="6" t="str">
        <x:v>SPLIT</x:v>
      </x:c>
      <x:c r="I227" s="6" t="str">
        <x:v>bmw: Engine and mechanical repair</x:v>
      </x:c>
      <x:c r="J227" s="6" t="str">
        <x:v>Primary</x:v>
      </x:c>
      <x:c r="K227" s="6" t="str">
        <x:v>Commercial service enquiry</x:v>
      </x:c>
      <x:c r="L227" s="6" t="str">
        <x:v>High</x:v>
      </x:c>
      <x:c r="M227" s="6" t="str">
        <x:v>https://digitecme.com/brands/bmw-service-dubai/mechanical-repair</x:v>
      </x:c>
      <x:c r="N227" s="6" t="str">
        <x:v>Unknown — export has no query/page pairing</x:v>
      </x:c>
      <x:c r="O227" s="6" t="str">
        <x:v>Use dedicated service owner</x:v>
      </x:c>
      <x:c r="P227" s="6" t="str">
        <x:v>68 impressions at average position 16.84; strengthen the appropriate intent owner and measure with a fresh comparable period.</x:v>
      </x:c>
      <x:c r="Q227" s="6" t="str">
        <x:v>bmw</x:v>
      </x:c>
      <x:c r="R227" s="6" t="str">
        <x:v>mechanical-repair</x:v>
      </x:c>
      <x:c r="S227" s="6" t="str">
        <x:v>Dubai explicit</x:v>
      </x:c>
      <x:c r="T227" s="6" t="n">
        <x:v>5</x:v>
      </x:c>
      <x:c r="U227" s="6" t="str">
        <x:v>11–20</x:v>
      </x:c>
      <x:c r="V227" s="6" t="str">
        <x:v>Ranking and owner relevance</x:v>
      </x:c>
      <x:c r="W227" s="6" t="str">
        <x:v>High-value commercial</x:v>
      </x:c>
      <x:c r="X227" s="6" t="n">
        <x:v>223</x:v>
      </x:c>
      <x:c r="Y227" s="6" t="str">
        <x:v>Unconfirmed — joint query/page data required</x:v>
      </x:c>
    </x:row>
    <x:row r="228" ht="42" customHeight="1">
      <x:c r="A228" s="6" t="str">
        <x:v>porsche transmission repair dubai</x:v>
      </x:c>
      <x:c r="B228" s="14" t="n">
        <x:v>0</x:v>
      </x:c>
      <x:c r="C228" s="14" t="n">
        <x:v>68</x:v>
      </x:c>
      <x:c r="D228" s="15" t="n">
        <x:v>0</x:v>
      </x:c>
      <x:c r="E228" s="16" t="n">
        <x:v>17.97</x:v>
      </x:c>
      <x:c r="F228" s="6" t="str">
        <x:v>HIGH</x:v>
      </x:c>
      <x:c r="G228" s="17" t="n">
        <x:f>'Scoring'!I228</x:f>
        <x:v>78.6</x:v>
      </x:c>
      <x:c r="H228" s="6" t="str">
        <x:v>SPLIT</x:v>
      </x:c>
      <x:c r="I228" s="6" t="str">
        <x:v>porsche: Transmission and gearbox repair</x:v>
      </x:c>
      <x:c r="J228" s="6" t="str">
        <x:v>Secondary</x:v>
      </x:c>
      <x:c r="K228" s="6" t="str">
        <x:v>Commercial service enquiry</x:v>
      </x:c>
      <x:c r="L228" s="6" t="str">
        <x:v>High</x:v>
      </x:c>
      <x:c r="M228" s="6" t="str">
        <x:v>https://digitecme.com/brands/porsche-service-dubai/transmission-repair</x:v>
      </x:c>
      <x:c r="N228" s="6" t="str">
        <x:v>Unknown — export has no query/page pairing</x:v>
      </x:c>
      <x:c r="O228" s="6" t="str">
        <x:v>Use dedicated service owner</x:v>
      </x:c>
      <x:c r="P228" s="6" t="str">
        <x:v>68 impressions at average position 17.97; strengthen the appropriate intent owner and measure with a fresh comparable period.</x:v>
      </x:c>
      <x:c r="Q228" s="6" t="str">
        <x:v>porsche</x:v>
      </x:c>
      <x:c r="R228" s="6" t="str">
        <x:v>transmission-repair</x:v>
      </x:c>
      <x:c r="S228" s="6" t="str">
        <x:v>Dubai explicit</x:v>
      </x:c>
      <x:c r="T228" s="6" t="n">
        <x:v>5</x:v>
      </x:c>
      <x:c r="U228" s="6" t="str">
        <x:v>11–20</x:v>
      </x:c>
      <x:c r="V228" s="6" t="str">
        <x:v>Ranking and owner relevance</x:v>
      </x:c>
      <x:c r="W228" s="6" t="str">
        <x:v>High-value commercial</x:v>
      </x:c>
      <x:c r="X228" s="6" t="n">
        <x:v>224</x:v>
      </x:c>
      <x:c r="Y228" s="6" t="str">
        <x:v>Unconfirmed — joint query/page data required</x:v>
      </x:c>
    </x:row>
    <x:row r="229" ht="42" customHeight="1">
      <x:c r="A229" s="6" t="str">
        <x:v>oil change in dubai</x:v>
      </x:c>
      <x:c r="B229" s="14" t="n">
        <x:v>0</x:v>
      </x:c>
      <x:c r="C229" s="14" t="n">
        <x:v>67</x:v>
      </x:c>
      <x:c r="D229" s="15" t="n">
        <x:v>0</x:v>
      </x:c>
      <x:c r="E229" s="16" t="n">
        <x:v>23.51</x:v>
      </x:c>
      <x:c r="F229" s="6" t="str">
        <x:v>HIGH</x:v>
      </x:c>
      <x:c r="G229" s="17" t="n">
        <x:f>'Scoring'!I229</x:f>
        <x:v>70.6</x:v>
      </x:c>
      <x:c r="H229" s="6" t="str">
        <x:v>SUPPORT</x:v>
      </x:c>
      <x:c r="I229" s="6" t="str">
        <x:v>All vehicles: Oil change (English)</x:v>
      </x:c>
      <x:c r="J229" s="6" t="str">
        <x:v>Secondary</x:v>
      </x:c>
      <x:c r="K229" s="6" t="str">
        <x:v>Commercial service enquiry</x:v>
      </x:c>
      <x:c r="L229" s="6" t="str">
        <x:v>High</x:v>
      </x:c>
      <x:c r="M229" s="6" t="str">
        <x:v>https://digitecme.com/services/oil-change-dubai</x:v>
      </x:c>
      <x:c r="N229" s="6" t="str">
        <x:v>Unknown — export has no query/page pairing</x:v>
      </x:c>
      <x:c r="O229" s="6" t="str">
        <x:v>Retain primary intent and support variants</x:v>
      </x:c>
      <x:c r="P229" s="6" t="str">
        <x:v>Average position 23.51 makes ranking the main issue; avoid a CTR-only rewrite.</x:v>
      </x:c>
      <x:c r="Q229" s="6" t="str">
        <x:v>All vehicles</x:v>
      </x:c>
      <x:c r="R229" s="6" t="str">
        <x:v>oil-change</x:v>
      </x:c>
      <x:c r="S229" s="6" t="str">
        <x:v>Dubai explicit</x:v>
      </x:c>
      <x:c r="T229" s="6" t="n">
        <x:v>3</x:v>
      </x:c>
      <x:c r="U229" s="6" t="str">
        <x:v>21–40</x:v>
      </x:c>
      <x:c r="V229" s="6" t="str">
        <x:v>Content, internal authority and owner alignment</x:v>
      </x:c>
      <x:c r="W229" s="6" t="str">
        <x:v>Relevant supporting</x:v>
      </x:c>
      <x:c r="X229" s="6" t="n">
        <x:v>225</x:v>
      </x:c>
      <x:c r="Y229" s="6" t="str">
        <x:v>Unconfirmed — joint query/page data required</x:v>
      </x:c>
    </x:row>
    <x:row r="230" ht="42" customHeight="1">
      <x:c r="A230" s="6" t="str">
        <x:v>mercedes ac repair</x:v>
      </x:c>
      <x:c r="B230" s="14" t="n">
        <x:v>0</x:v>
      </x:c>
      <x:c r="C230" s="14" t="n">
        <x:v>67</x:v>
      </x:c>
      <x:c r="D230" s="15" t="n">
        <x:v>0</x:v>
      </x:c>
      <x:c r="E230" s="16" t="n">
        <x:v>25.94</x:v>
      </x:c>
      <x:c r="F230" s="6" t="str">
        <x:v>HIGH</x:v>
      </x:c>
      <x:c r="G230" s="17" t="n">
        <x:f>'Scoring'!I230</x:f>
        <x:v>73.6</x:v>
      </x:c>
      <x:c r="H230" s="6" t="str">
        <x:v>SPLIT</x:v>
      </x:c>
      <x:c r="I230" s="6" t="str">
        <x:v>mercedes-benz: AC repair</x:v>
      </x:c>
      <x:c r="J230" s="6" t="str">
        <x:v>Secondary</x:v>
      </x:c>
      <x:c r="K230" s="6" t="str">
        <x:v>Commercial service enquiry</x:v>
      </x:c>
      <x:c r="L230" s="6" t="str">
        <x:v>High</x:v>
      </x:c>
      <x:c r="M230" s="6" t="str">
        <x:v>https://digitecme.com/services/mercedes-ac-repair-dubai</x:v>
      </x:c>
      <x:c r="N230" s="6" t="str">
        <x:v>Unknown — export has no query/page pairing</x:v>
      </x:c>
      <x:c r="O230" s="6" t="str">
        <x:v>Use dedicated service owner</x:v>
      </x:c>
      <x:c r="P230" s="6" t="str">
        <x:v>Average position 25.94 makes ranking the main issue; avoid a CTR-only rewrite.</x:v>
      </x:c>
      <x:c r="Q230" s="6" t="str">
        <x:v>mercedes-benz</x:v>
      </x:c>
      <x:c r="R230" s="6" t="str">
        <x:v>ac-repair</x:v>
      </x:c>
      <x:c r="S230" s="6" t="str">
        <x:v>Location unspecified</x:v>
      </x:c>
      <x:c r="T230" s="6" t="n">
        <x:v>5</x:v>
      </x:c>
      <x:c r="U230" s="6" t="str">
        <x:v>21–40</x:v>
      </x:c>
      <x:c r="V230" s="6" t="str">
        <x:v>Content, internal authority and owner alignment</x:v>
      </x:c>
      <x:c r="W230" s="6" t="str">
        <x:v>High-value commercial</x:v>
      </x:c>
      <x:c r="X230" s="6" t="n">
        <x:v>226</x:v>
      </x:c>
      <x:c r="Y230" s="6" t="str">
        <x:v>Unconfirmed — joint query/page data required</x:v>
      </x:c>
    </x:row>
    <x:row r="231" ht="42" customHeight="1">
      <x:c r="A231" s="6" t="str">
        <x:v>ferrari battery replacement dubai</x:v>
      </x:c>
      <x:c r="B231" s="14" t="n">
        <x:v>0</x:v>
      </x:c>
      <x:c r="C231" s="14" t="n">
        <x:v>67</x:v>
      </x:c>
      <x:c r="D231" s="15" t="n">
        <x:v>0</x:v>
      </x:c>
      <x:c r="E231" s="16" t="n">
        <x:v>31.45</x:v>
      </x:c>
      <x:c r="F231" s="6" t="str">
        <x:v>GROWTH</x:v>
      </x:c>
      <x:c r="G231" s="17" t="n">
        <x:f>'Scoring'!I231</x:f>
        <x:v>71.1</x:v>
      </x:c>
      <x:c r="H231" s="6" t="str">
        <x:v>SPLIT</x:v>
      </x:c>
      <x:c r="I231" s="6" t="str">
        <x:v>ferrari: Battery service</x:v>
      </x:c>
      <x:c r="J231" s="6" t="str">
        <x:v>Primary</x:v>
      </x:c>
      <x:c r="K231" s="6" t="str">
        <x:v>Commercial service enquiry</x:v>
      </x:c>
      <x:c r="L231" s="6" t="str">
        <x:v>High</x:v>
      </x:c>
      <x:c r="M231" s="6" t="str">
        <x:v>https://digitecme.com/brands/ferrari-service-dubai/battery-replacement</x:v>
      </x:c>
      <x:c r="N231" s="6" t="str">
        <x:v>Unknown — export has no query/page pairing</x:v>
      </x:c>
      <x:c r="O231" s="6" t="str">
        <x:v>Use dedicated service owner</x:v>
      </x:c>
      <x:c r="P231" s="6" t="str">
        <x:v>Average position 31.45 makes ranking the main issue; avoid a CTR-only rewrite.</x:v>
      </x:c>
      <x:c r="Q231" s="6" t="str">
        <x:v>ferrari</x:v>
      </x:c>
      <x:c r="R231" s="6" t="str">
        <x:v>battery-replacement</x:v>
      </x:c>
      <x:c r="S231" s="6" t="str">
        <x:v>Dubai explicit</x:v>
      </x:c>
      <x:c r="T231" s="6" t="n">
        <x:v>5</x:v>
      </x:c>
      <x:c r="U231" s="6" t="str">
        <x:v>21–40</x:v>
      </x:c>
      <x:c r="V231" s="6" t="str">
        <x:v>Content, internal authority and owner alignment</x:v>
      </x:c>
      <x:c r="W231" s="6" t="str">
        <x:v>High-value commercial</x:v>
      </x:c>
      <x:c r="X231" s="6" t="n">
        <x:v>227</x:v>
      </x:c>
      <x:c r="Y231" s="6" t="str">
        <x:v>Unconfirmed — joint query/page data required</x:v>
      </x:c>
    </x:row>
    <x:row r="232" ht="42" customHeight="1">
      <x:c r="A232" s="6" t="str">
        <x:v>audi transmission repair dubai</x:v>
      </x:c>
      <x:c r="B232" s="14" t="n">
        <x:v>0</x:v>
      </x:c>
      <x:c r="C232" s="14" t="n">
        <x:v>66</x:v>
      </x:c>
      <x:c r="D232" s="15" t="n">
        <x:v>0</x:v>
      </x:c>
      <x:c r="E232" s="16" t="n">
        <x:v>33.17</x:v>
      </x:c>
      <x:c r="F232" s="6" t="str">
        <x:v>GROWTH</x:v>
      </x:c>
      <x:c r="G232" s="17" t="n">
        <x:f>'Scoring'!I232</x:f>
        <x:v>71.1</x:v>
      </x:c>
      <x:c r="H232" s="6" t="str">
        <x:v>SPLIT</x:v>
      </x:c>
      <x:c r="I232" s="6" t="str">
        <x:v>audi: Transmission and gearbox repair</x:v>
      </x:c>
      <x:c r="J232" s="6" t="str">
        <x:v>Primary</x:v>
      </x:c>
      <x:c r="K232" s="6" t="str">
        <x:v>Commercial service enquiry</x:v>
      </x:c>
      <x:c r="L232" s="6" t="str">
        <x:v>High</x:v>
      </x:c>
      <x:c r="M232" s="6" t="str">
        <x:v>https://digitecme.com/brands/audi-service-dubai/transmission-repair</x:v>
      </x:c>
      <x:c r="N232" s="6" t="str">
        <x:v>Unknown — export has no query/page pairing</x:v>
      </x:c>
      <x:c r="O232" s="6" t="str">
        <x:v>Use dedicated service owner</x:v>
      </x:c>
      <x:c r="P232" s="6" t="str">
        <x:v>Average position 33.17 makes ranking the main issue; avoid a CTR-only rewrite.</x:v>
      </x:c>
      <x:c r="Q232" s="6" t="str">
        <x:v>audi</x:v>
      </x:c>
      <x:c r="R232" s="6" t="str">
        <x:v>transmission-repair</x:v>
      </x:c>
      <x:c r="S232" s="6" t="str">
        <x:v>Dubai explicit</x:v>
      </x:c>
      <x:c r="T232" s="6" t="n">
        <x:v>5</x:v>
      </x:c>
      <x:c r="U232" s="6" t="str">
        <x:v>21–40</x:v>
      </x:c>
      <x:c r="V232" s="6" t="str">
        <x:v>Content, internal authority and owner alignment</x:v>
      </x:c>
      <x:c r="W232" s="6" t="str">
        <x:v>High-value commercial</x:v>
      </x:c>
      <x:c r="X232" s="6" t="n">
        <x:v>228</x:v>
      </x:c>
      <x:c r="Y232" s="6" t="str">
        <x:v>Unconfirmed — joint query/page data required</x:v>
      </x:c>
    </x:row>
    <x:row r="233" ht="42" customHeight="1">
      <x:c r="A233" s="6" t="str">
        <x:v>bugatti service dubai</x:v>
      </x:c>
      <x:c r="B233" s="14" t="n">
        <x:v>0</x:v>
      </x:c>
      <x:c r="C233" s="14" t="n">
        <x:v>65</x:v>
      </x:c>
      <x:c r="D233" s="15" t="n">
        <x:v>0</x:v>
      </x:c>
      <x:c r="E233" s="16" t="n">
        <x:v>13.91</x:v>
      </x:c>
      <x:c r="F233" s="6" t="str">
        <x:v>CRITICAL</x:v>
      </x:c>
      <x:c r="G233" s="17" t="n">
        <x:f>'Scoring'!I233</x:f>
        <x:v>86.1</x:v>
      </x:c>
      <x:c r="H233" s="6" t="str">
        <x:v>SUPPORT</x:v>
      </x:c>
      <x:c r="I233" s="6" t="str">
        <x:v>bugatti: Service and repair</x:v>
      </x:c>
      <x:c r="J233" s="6" t="str">
        <x:v>Secondary</x:v>
      </x:c>
      <x:c r="K233" s="6" t="str">
        <x:v>Commercial service enquiry</x:v>
      </x:c>
      <x:c r="L233" s="6" t="str">
        <x:v>High</x:v>
      </x:c>
      <x:c r="M233" s="6" t="str">
        <x:v>https://digitecme.com/brands/bugatti-service-dubai</x:v>
      </x:c>
      <x:c r="N233" s="6" t="str">
        <x:v>Unknown — export has no query/page pairing</x:v>
      </x:c>
      <x:c r="O233" s="6" t="str">
        <x:v>Retain primary intent and support variants</x:v>
      </x:c>
      <x:c r="P233" s="6" t="str">
        <x:v>65 impressions at average position 13.91; strengthen the appropriate intent owner and measure with a fresh comparable period.</x:v>
      </x:c>
      <x:c r="Q233" s="6" t="str">
        <x:v>bugatti</x:v>
      </x:c>
      <x:c r="R233" s="6" t="str">
        <x:v>service-repair</x:v>
      </x:c>
      <x:c r="S233" s="6" t="str">
        <x:v>Dubai explicit</x:v>
      </x:c>
      <x:c r="T233" s="6" t="n">
        <x:v>5</x:v>
      </x:c>
      <x:c r="U233" s="6" t="str">
        <x:v>11–20</x:v>
      </x:c>
      <x:c r="V233" s="6" t="str">
        <x:v>Ranking and owner relevance</x:v>
      </x:c>
      <x:c r="W233" s="6" t="str">
        <x:v>Relevant supporting</x:v>
      </x:c>
      <x:c r="X233" s="6" t="n">
        <x:v>229</x:v>
      </x:c>
      <x:c r="Y233" s="6" t="str">
        <x:v>Unconfirmed — joint query/page data required</x:v>
      </x:c>
    </x:row>
    <x:row r="234" ht="42" customHeight="1">
      <x:c r="A234" s="6" t="str">
        <x:v>car diagnostic</x:v>
      </x:c>
      <x:c r="B234" s="14" t="n">
        <x:v>0</x:v>
      </x:c>
      <x:c r="C234" s="14" t="n">
        <x:v>65</x:v>
      </x:c>
      <x:c r="D234" s="15" t="n">
        <x:v>0</x:v>
      </x:c>
      <x:c r="E234" s="16" t="n">
        <x:v>45.02</x:v>
      </x:c>
      <x:c r="F234" s="6" t="str">
        <x:v>GROWTH</x:v>
      </x:c>
      <x:c r="G234" s="17" t="n">
        <x:f>'Scoring'!I234</x:f>
        <x:v>51.8</x:v>
      </x:c>
      <x:c r="H234" s="6" t="str">
        <x:v>SUPPORT</x:v>
      </x:c>
      <x:c r="I234" s="6" t="str">
        <x:v>All vehicles: Diagnostics and supported coding</x:v>
      </x:c>
      <x:c r="J234" s="6" t="str">
        <x:v>Secondary</x:v>
      </x:c>
      <x:c r="K234" s="6" t="str">
        <x:v>Commercial service enquiry</x:v>
      </x:c>
      <x:c r="L234" s="6" t="str">
        <x:v>High</x:v>
      </x:c>
      <x:c r="M234" s="6" t="str">
        <x:v>https://digitecme.com/services/car-diagnostics-dubai</x:v>
      </x:c>
      <x:c r="N234" s="6" t="str">
        <x:v>Unknown — export has no query/page pairing</x:v>
      </x:c>
      <x:c r="O234" s="6" t="str">
        <x:v>Retain primary intent and support variants</x:v>
      </x:c>
      <x:c r="P234" s="6" t="str">
        <x:v>Average position 45.02 makes ranking the main issue; avoid a CTR-only rewrite.</x:v>
      </x:c>
      <x:c r="Q234" s="6" t="str">
        <x:v>All vehicles</x:v>
      </x:c>
      <x:c r="R234" s="6" t="str">
        <x:v>engine-diagnostics</x:v>
      </x:c>
      <x:c r="S234" s="6" t="str">
        <x:v>Location unspecified</x:v>
      </x:c>
      <x:c r="T234" s="6" t="n">
        <x:v>3</x:v>
      </x:c>
      <x:c r="U234" s="6" t="str">
        <x:v>40+</x:v>
      </x:c>
      <x:c r="V234" s="6" t="str">
        <x:v>Relevance, capability, indexing and authority review</x:v>
      </x:c>
      <x:c r="W234" s="6" t="str">
        <x:v>Relevant supporting</x:v>
      </x:c>
      <x:c r="X234" s="6" t="n">
        <x:v>230</x:v>
      </x:c>
      <x:c r="Y234" s="6" t="str">
        <x:v>Unconfirmed — joint query/page data required</x:v>
      </x:c>
    </x:row>
    <x:row r="235" ht="57" customHeight="1">
      <x:c r="A235" s="6" t="str">
        <x:v>flat tire repair near me</x:v>
      </x:c>
      <x:c r="B235" s="14" t="n">
        <x:v>0</x:v>
      </x:c>
      <x:c r="C235" s="14" t="n">
        <x:v>64</x:v>
      </x:c>
      <x:c r="D235" s="15" t="n">
        <x:v>0</x:v>
      </x:c>
      <x:c r="E235" s="16" t="n">
        <x:v>9.92</x:v>
      </x:c>
      <x:c r="F235" s="6" t="str">
        <x:v>GROWTH</x:v>
      </x:c>
      <x:c r="G235" s="17" t="n">
        <x:f>'Scoring'!I235</x:f>
        <x:v>84</x:v>
      </x:c>
      <x:c r="H235" s="6" t="str">
        <x:v>SUPPORT</x:v>
      </x:c>
      <x:c r="I235" s="6" t="str">
        <x:v>All vehicles: Tyre repair</x:v>
      </x:c>
      <x:c r="J235" s="6" t="str">
        <x:v>Secondary</x:v>
      </x:c>
      <x:c r="K235" s="6" t="str">
        <x:v>Commercial service enquiry</x:v>
      </x:c>
      <x:c r="L235" s="6" t="str">
        <x:v>High</x:v>
      </x:c>
      <x:c r="M235" s="6" t="str">
        <x:v>https://digitecme.com/services/tire-repair-dubai</x:v>
      </x:c>
      <x:c r="N235" s="6" t="str">
        <x:v>Unknown — export has no query/page pairing</x:v>
      </x:c>
      <x:c r="O235" s="6" t="str">
        <x:v>Retain primary intent and support variants</x:v>
      </x:c>
      <x:c r="P235" s="6" t="str">
        <x:v>Relevant workshop tyre enquiry with lower assumed value than specialist repair; no mobile or roadside claim. Zero clicks from 64 impressions at average position 9.92; inspect query/page, country/device and SERP before attributing this to the snippet.</x:v>
      </x:c>
      <x:c r="Q235" s="6" t="str">
        <x:v>All vehicles</x:v>
      </x:c>
      <x:c r="R235" s="6" t="str">
        <x:v>tire-repair</x:v>
      </x:c>
      <x:c r="S235" s="6" t="str">
        <x:v>Near me; location unknown</x:v>
      </x:c>
      <x:c r="T235" s="6" t="n">
        <x:v>2</x:v>
      </x:c>
      <x:c r="U235" s="6" t="str">
        <x:v>4–10</x:v>
      </x:c>
      <x:c r="V235" s="6" t="str">
        <x:v>Page-one CTR review and top-three relevance</x:v>
      </x:c>
      <x:c r="W235" s="6" t="str">
        <x:v>Relevant supporting</x:v>
      </x:c>
      <x:c r="X235" s="6" t="n">
        <x:v>231</x:v>
      </x:c>
      <x:c r="Y235" s="6" t="str">
        <x:v>Unconfirmed — joint query/page data required</x:v>
      </x:c>
    </x:row>
    <x:row r="236" ht="42" customHeight="1">
      <x:c r="A236" s="6" t="str">
        <x:v>mercedes benz auto repair in dubai</x:v>
      </x:c>
      <x:c r="B236" s="14" t="n">
        <x:v>0</x:v>
      </x:c>
      <x:c r="C236" s="14" t="n">
        <x:v>64</x:v>
      </x:c>
      <x:c r="D236" s="15" t="n">
        <x:v>0</x:v>
      </x:c>
      <x:c r="E236" s="16" t="n">
        <x:v>18.59</x:v>
      </x:c>
      <x:c r="F236" s="6" t="str">
        <x:v>HIGH</x:v>
      </x:c>
      <x:c r="G236" s="17" t="n">
        <x:f>'Scoring'!I236</x:f>
        <x:v>78.5</x:v>
      </x:c>
      <x:c r="H236" s="6" t="str">
        <x:v>SUPPORT</x:v>
      </x:c>
      <x:c r="I236" s="6" t="str">
        <x:v>mercedes-benz: Service and repair (English)</x:v>
      </x:c>
      <x:c r="J236" s="6" t="str">
        <x:v>Secondary</x:v>
      </x:c>
      <x:c r="K236" s="6" t="str">
        <x:v>Commercial service enquiry</x:v>
      </x:c>
      <x:c r="L236" s="6" t="str">
        <x:v>High</x:v>
      </x:c>
      <x:c r="M236" s="6" t="str">
        <x:v>https://digitecme.com/brands/mercedes-benz-service-dubai</x:v>
      </x:c>
      <x:c r="N236" s="6" t="str">
        <x:v>Unknown — export has no query/page pairing</x:v>
      </x:c>
      <x:c r="O236" s="6" t="str">
        <x:v>Retain primary intent and support variants</x:v>
      </x:c>
      <x:c r="P236" s="6" t="str">
        <x:v>64 impressions at average position 18.59; strengthen the appropriate intent owner and measure with a fresh comparable period.</x:v>
      </x:c>
      <x:c r="Q236" s="6" t="str">
        <x:v>mercedes-benz</x:v>
      </x:c>
      <x:c r="R236" s="6" t="str">
        <x:v>service-repair</x:v>
      </x:c>
      <x:c r="S236" s="6" t="str">
        <x:v>Dubai explicit</x:v>
      </x:c>
      <x:c r="T236" s="6" t="n">
        <x:v>5</x:v>
      </x:c>
      <x:c r="U236" s="6" t="str">
        <x:v>11–20</x:v>
      </x:c>
      <x:c r="V236" s="6" t="str">
        <x:v>Ranking and owner relevance</x:v>
      </x:c>
      <x:c r="W236" s="6" t="str">
        <x:v>Relevant supporting</x:v>
      </x:c>
      <x:c r="X236" s="6" t="n">
        <x:v>232</x:v>
      </x:c>
      <x:c r="Y236" s="6" t="str">
        <x:v>Unconfirmed — joint query/page data required</x:v>
      </x:c>
    </x:row>
    <x:row r="237" ht="42" customHeight="1">
      <x:c r="A237" s="6" t="str">
        <x:v>audi battery replacement dubai</x:v>
      </x:c>
      <x:c r="B237" s="14" t="n">
        <x:v>0</x:v>
      </x:c>
      <x:c r="C237" s="14" t="n">
        <x:v>64</x:v>
      </x:c>
      <x:c r="D237" s="15" t="n">
        <x:v>0</x:v>
      </x:c>
      <x:c r="E237" s="16" t="n">
        <x:v>19.36</x:v>
      </x:c>
      <x:c r="F237" s="6" t="str">
        <x:v>HIGH</x:v>
      </x:c>
      <x:c r="G237" s="17" t="n">
        <x:f>'Scoring'!I237</x:f>
        <x:v>78.5</x:v>
      </x:c>
      <x:c r="H237" s="6" t="str">
        <x:v>SPLIT</x:v>
      </x:c>
      <x:c r="I237" s="6" t="str">
        <x:v>audi: Battery service</x:v>
      </x:c>
      <x:c r="J237" s="6" t="str">
        <x:v>Primary</x:v>
      </x:c>
      <x:c r="K237" s="6" t="str">
        <x:v>Commercial service enquiry</x:v>
      </x:c>
      <x:c r="L237" s="6" t="str">
        <x:v>High</x:v>
      </x:c>
      <x:c r="M237" s="6" t="str">
        <x:v>https://digitecme.com/brands/audi-service-dubai/battery-replacement</x:v>
      </x:c>
      <x:c r="N237" s="6" t="str">
        <x:v>Unknown — export has no query/page pairing</x:v>
      </x:c>
      <x:c r="O237" s="6" t="str">
        <x:v>Use dedicated service owner</x:v>
      </x:c>
      <x:c r="P237" s="6" t="str">
        <x:v>64 impressions at average position 19.36; strengthen the appropriate intent owner and measure with a fresh comparable period.</x:v>
      </x:c>
      <x:c r="Q237" s="6" t="str">
        <x:v>audi</x:v>
      </x:c>
      <x:c r="R237" s="6" t="str">
        <x:v>battery-replacement</x:v>
      </x:c>
      <x:c r="S237" s="6" t="str">
        <x:v>Dubai explicit</x:v>
      </x:c>
      <x:c r="T237" s="6" t="n">
        <x:v>5</x:v>
      </x:c>
      <x:c r="U237" s="6" t="str">
        <x:v>11–20</x:v>
      </x:c>
      <x:c r="V237" s="6" t="str">
        <x:v>Ranking and owner relevance</x:v>
      </x:c>
      <x:c r="W237" s="6" t="str">
        <x:v>High-value commercial</x:v>
      </x:c>
      <x:c r="X237" s="6" t="n">
        <x:v>233</x:v>
      </x:c>
      <x:c r="Y237" s="6" t="str">
        <x:v>Unconfirmed — joint query/page data required</x:v>
      </x:c>
    </x:row>
    <x:row r="238" ht="42" customHeight="1">
      <x:c r="A238" s="6" t="str">
        <x:v>land rover repair dubai</x:v>
      </x:c>
      <x:c r="B238" s="14" t="n">
        <x:v>0</x:v>
      </x:c>
      <x:c r="C238" s="14" t="n">
        <x:v>64</x:v>
      </x:c>
      <x:c r="D238" s="15" t="n">
        <x:v>0</x:v>
      </x:c>
      <x:c r="E238" s="16" t="n">
        <x:v>19.5</x:v>
      </x:c>
      <x:c r="F238" s="6" t="str">
        <x:v>HIGH</x:v>
      </x:c>
      <x:c r="G238" s="17" t="n">
        <x:f>'Scoring'!I238</x:f>
        <x:v>78.5</x:v>
      </x:c>
      <x:c r="H238" s="6" t="str">
        <x:v>PRIORITIZE</x:v>
      </x:c>
      <x:c r="I238" s="6" t="str">
        <x:v>land-rover: Service and repair</x:v>
      </x:c>
      <x:c r="J238" s="6" t="str">
        <x:v>Primary</x:v>
      </x:c>
      <x:c r="K238" s="6" t="str">
        <x:v>Commercial service enquiry</x:v>
      </x:c>
      <x:c r="L238" s="6" t="str">
        <x:v>High</x:v>
      </x:c>
      <x:c r="M238" s="6" t="str">
        <x:v>https://digitecme.com/brands/land-rover-service-dubai</x:v>
      </x:c>
      <x:c r="N238" s="6" t="str">
        <x:v>Unknown — export has no query/page pairing</x:v>
      </x:c>
      <x:c r="O238" s="6" t="str">
        <x:v>Strengthen this primary intent owner</x:v>
      </x:c>
      <x:c r="P238" s="6" t="str">
        <x:v>64 impressions at average position 19.50; strengthen the appropriate intent owner and measure with a fresh comparable period.</x:v>
      </x:c>
      <x:c r="Q238" s="6" t="str">
        <x:v>land-rover</x:v>
      </x:c>
      <x:c r="R238" s="6" t="str">
        <x:v>service-repair</x:v>
      </x:c>
      <x:c r="S238" s="6" t="str">
        <x:v>Dubai explicit</x:v>
      </x:c>
      <x:c r="T238" s="6" t="n">
        <x:v>5</x:v>
      </x:c>
      <x:c r="U238" s="6" t="str">
        <x:v>11–20</x:v>
      </x:c>
      <x:c r="V238" s="6" t="str">
        <x:v>Ranking and owner relevance</x:v>
      </x:c>
      <x:c r="W238" s="6" t="str">
        <x:v>High-value commercial</x:v>
      </x:c>
      <x:c r="X238" s="6" t="n">
        <x:v>234</x:v>
      </x:c>
      <x:c r="Y238" s="6" t="str">
        <x:v>Unconfirmed — joint query/page data required</x:v>
      </x:c>
    </x:row>
    <x:row r="239" ht="42" customHeight="1">
      <x:c r="A239" s="6" t="str">
        <x:v>car scanning and diagnostics in dubai</x:v>
      </x:c>
      <x:c r="B239" s="14" t="n">
        <x:v>0</x:v>
      </x:c>
      <x:c r="C239" s="14" t="n">
        <x:v>64</x:v>
      </x:c>
      <x:c r="D239" s="15" t="n">
        <x:v>0</x:v>
      </x:c>
      <x:c r="E239" s="16" t="n">
        <x:v>52.77</x:v>
      </x:c>
      <x:c r="F239" s="6" t="str">
        <x:v>GROWTH</x:v>
      </x:c>
      <x:c r="G239" s="17" t="n">
        <x:f>'Scoring'!I239</x:f>
        <x:v>56.8</x:v>
      </x:c>
      <x:c r="H239" s="6" t="str">
        <x:v>SUPPORT</x:v>
      </x:c>
      <x:c r="I239" s="6" t="str">
        <x:v>All vehicles: Diagnostics and supported coding</x:v>
      </x:c>
      <x:c r="J239" s="6" t="str">
        <x:v>Secondary</x:v>
      </x:c>
      <x:c r="K239" s="6" t="str">
        <x:v>Commercial service enquiry</x:v>
      </x:c>
      <x:c r="L239" s="6" t="str">
        <x:v>High</x:v>
      </x:c>
      <x:c r="M239" s="6" t="str">
        <x:v>https://digitecme.com/services/car-diagnostics-dubai</x:v>
      </x:c>
      <x:c r="N239" s="6" t="str">
        <x:v>Unknown — export has no query/page pairing</x:v>
      </x:c>
      <x:c r="O239" s="6" t="str">
        <x:v>Retain primary intent and support variants</x:v>
      </x:c>
      <x:c r="P239" s="6" t="str">
        <x:v>Average position 52.77 makes ranking the main issue; avoid a CTR-only rewrite.</x:v>
      </x:c>
      <x:c r="Q239" s="6" t="str">
        <x:v>All vehicles</x:v>
      </x:c>
      <x:c r="R239" s="6" t="str">
        <x:v>engine-diagnostics</x:v>
      </x:c>
      <x:c r="S239" s="6" t="str">
        <x:v>Dubai explicit</x:v>
      </x:c>
      <x:c r="T239" s="6" t="n">
        <x:v>3</x:v>
      </x:c>
      <x:c r="U239" s="6" t="str">
        <x:v>40+</x:v>
      </x:c>
      <x:c r="V239" s="6" t="str">
        <x:v>Relevance, capability, indexing and authority review</x:v>
      </x:c>
      <x:c r="W239" s="6" t="str">
        <x:v>Relevant supporting</x:v>
      </x:c>
      <x:c r="X239" s="6" t="n">
        <x:v>235</x:v>
      </x:c>
      <x:c r="Y239" s="6" t="str">
        <x:v>Unconfirmed — joint query/page data required</x:v>
      </x:c>
    </x:row>
    <x:row r="240" ht="42" customHeight="1">
      <x:c r="A240" s="6" t="str">
        <x:v>mclaren garage dubai</x:v>
      </x:c>
      <x:c r="B240" s="14" t="n">
        <x:v>0</x:v>
      </x:c>
      <x:c r="C240" s="14" t="n">
        <x:v>63</x:v>
      </x:c>
      <x:c r="D240" s="15" t="n">
        <x:v>0</x:v>
      </x:c>
      <x:c r="E240" s="16" t="n">
        <x:v>32.48</x:v>
      </x:c>
      <x:c r="F240" s="6" t="str">
        <x:v>GROWTH</x:v>
      </x:c>
      <x:c r="G240" s="17" t="n">
        <x:f>'Scoring'!I240</x:f>
        <x:v>71</x:v>
      </x:c>
      <x:c r="H240" s="6" t="str">
        <x:v>SUPPORT</x:v>
      </x:c>
      <x:c r="I240" s="6" t="str">
        <x:v>mclaren: Service and repair</x:v>
      </x:c>
      <x:c r="J240" s="6" t="str">
        <x:v>Secondary</x:v>
      </x:c>
      <x:c r="K240" s="6" t="str">
        <x:v>Commercial service enquiry</x:v>
      </x:c>
      <x:c r="L240" s="6" t="str">
        <x:v>High</x:v>
      </x:c>
      <x:c r="M240" s="6" t="str">
        <x:v>https://digitecme.com/brands/mclaren-service-dubai</x:v>
      </x:c>
      <x:c r="N240" s="6" t="str">
        <x:v>Unknown — export has no query/page pairing</x:v>
      </x:c>
      <x:c r="O240" s="6" t="str">
        <x:v>Retain primary intent and support variants</x:v>
      </x:c>
      <x:c r="P240" s="6" t="str">
        <x:v>Average position 32.48 makes ranking the main issue; avoid a CTR-only rewrite.</x:v>
      </x:c>
      <x:c r="Q240" s="6" t="str">
        <x:v>mclaren</x:v>
      </x:c>
      <x:c r="R240" s="6" t="str">
        <x:v>service-repair</x:v>
      </x:c>
      <x:c r="S240" s="6" t="str">
        <x:v>Dubai explicit</x:v>
      </x:c>
      <x:c r="T240" s="6" t="n">
        <x:v>5</x:v>
      </x:c>
      <x:c r="U240" s="6" t="str">
        <x:v>21–40</x:v>
      </x:c>
      <x:c r="V240" s="6" t="str">
        <x:v>Content, internal authority and owner alignment</x:v>
      </x:c>
      <x:c r="W240" s="6" t="str">
        <x:v>Relevant supporting</x:v>
      </x:c>
      <x:c r="X240" s="6" t="n">
        <x:v>236</x:v>
      </x:c>
      <x:c r="Y240" s="6" t="str">
        <x:v>Unconfirmed — joint query/page data required</x:v>
      </x:c>
    </x:row>
    <x:row r="241" ht="42" customHeight="1">
      <x:c r="A241" s="6" t="str">
        <x:v>oil change</x:v>
      </x:c>
      <x:c r="B241" s="14" t="n">
        <x:v>0</x:v>
      </x:c>
      <x:c r="C241" s="14" t="n">
        <x:v>63</x:v>
      </x:c>
      <x:c r="D241" s="15" t="n">
        <x:v>0</x:v>
      </x:c>
      <x:c r="E241" s="16" t="n">
        <x:v>32.63</x:v>
      </x:c>
      <x:c r="F241" s="6" t="str">
        <x:v>GROWTH</x:v>
      </x:c>
      <x:c r="G241" s="17" t="n">
        <x:f>'Scoring'!I241</x:f>
        <x:v>58</x:v>
      </x:c>
      <x:c r="H241" s="6" t="str">
        <x:v>SUPPORT</x:v>
      </x:c>
      <x:c r="I241" s="6" t="str">
        <x:v>All vehicles: Oil change (English)</x:v>
      </x:c>
      <x:c r="J241" s="6" t="str">
        <x:v>Secondary</x:v>
      </x:c>
      <x:c r="K241" s="6" t="str">
        <x:v>Commercial service enquiry</x:v>
      </x:c>
      <x:c r="L241" s="6" t="str">
        <x:v>High</x:v>
      </x:c>
      <x:c r="M241" s="6" t="str">
        <x:v>https://digitecme.com/services/oil-change-dubai</x:v>
      </x:c>
      <x:c r="N241" s="6" t="str">
        <x:v>Unknown — export has no query/page pairing</x:v>
      </x:c>
      <x:c r="O241" s="6" t="str">
        <x:v>Retain primary intent and support variants</x:v>
      </x:c>
      <x:c r="P241" s="6" t="str">
        <x:v>Average position 32.63 makes ranking the main issue; avoid a CTR-only rewrite.</x:v>
      </x:c>
      <x:c r="Q241" s="6" t="str">
        <x:v>All vehicles</x:v>
      </x:c>
      <x:c r="R241" s="6" t="str">
        <x:v>oil-change</x:v>
      </x:c>
      <x:c r="S241" s="6" t="str">
        <x:v>Location unspecified</x:v>
      </x:c>
      <x:c r="T241" s="6" t="n">
        <x:v>3</x:v>
      </x:c>
      <x:c r="U241" s="6" t="str">
        <x:v>21–40</x:v>
      </x:c>
      <x:c r="V241" s="6" t="str">
        <x:v>Content, internal authority and owner alignment</x:v>
      </x:c>
      <x:c r="W241" s="6" t="str">
        <x:v>Relevant supporting</x:v>
      </x:c>
      <x:c r="X241" s="6" t="n">
        <x:v>237</x:v>
      </x:c>
      <x:c r="Y241" s="6" t="str">
        <x:v>Unconfirmed — joint query/page data required</x:v>
      </x:c>
    </x:row>
    <x:row r="242" ht="42" customHeight="1">
      <x:c r="A242" s="6" t="str">
        <x:v>jeep service dubai</x:v>
      </x:c>
      <x:c r="B242" s="14" t="n">
        <x:v>0</x:v>
      </x:c>
      <x:c r="C242" s="14" t="n">
        <x:v>63</x:v>
      </x:c>
      <x:c r="D242" s="15" t="n">
        <x:v>0</x:v>
      </x:c>
      <x:c r="E242" s="16" t="n">
        <x:v>39.87</x:v>
      </x:c>
      <x:c r="F242" s="6" t="str">
        <x:v>GROWTH</x:v>
      </x:c>
      <x:c r="G242" s="17" t="n">
        <x:f>'Scoring'!I242</x:f>
        <x:v>63</x:v>
      </x:c>
      <x:c r="H242" s="6" t="str">
        <x:v>SUPPORT</x:v>
      </x:c>
      <x:c r="I242" s="6" t="str">
        <x:v>jeep: Service and repair (English)</x:v>
      </x:c>
      <x:c r="J242" s="6" t="str">
        <x:v>Secondary</x:v>
      </x:c>
      <x:c r="K242" s="6" t="str">
        <x:v>Commercial service enquiry</x:v>
      </x:c>
      <x:c r="L242" s="6" t="str">
        <x:v>High</x:v>
      </x:c>
      <x:c r="M242" s="6" t="str">
        <x:v>https://digitecme.com/brands/jeep-service-dubai</x:v>
      </x:c>
      <x:c r="N242" s="6" t="str">
        <x:v>Unknown — export has no query/page pairing</x:v>
      </x:c>
      <x:c r="O242" s="6" t="str">
        <x:v>Retain primary intent and support variants</x:v>
      </x:c>
      <x:c r="P242" s="6" t="str">
        <x:v>Average position 39.87 makes ranking the main issue; avoid a CTR-only rewrite.</x:v>
      </x:c>
      <x:c r="Q242" s="6" t="str">
        <x:v>jeep</x:v>
      </x:c>
      <x:c r="R242" s="6" t="str">
        <x:v>service-repair</x:v>
      </x:c>
      <x:c r="S242" s="6" t="str">
        <x:v>Dubai explicit</x:v>
      </x:c>
      <x:c r="T242" s="6" t="n">
        <x:v>3</x:v>
      </x:c>
      <x:c r="U242" s="6" t="str">
        <x:v>21–40</x:v>
      </x:c>
      <x:c r="V242" s="6" t="str">
        <x:v>Content, internal authority and owner alignment</x:v>
      </x:c>
      <x:c r="W242" s="6" t="str">
        <x:v>Relevant supporting</x:v>
      </x:c>
      <x:c r="X242" s="6" t="n">
        <x:v>238</x:v>
      </x:c>
      <x:c r="Y242" s="6" t="str">
        <x:v>Unconfirmed — joint query/page data required</x:v>
      </x:c>
    </x:row>
    <x:row r="243" ht="57" customHeight="1">
      <x:c r="A243" s="6" t="str">
        <x:v>tire change dubai</x:v>
      </x:c>
      <x:c r="B243" s="14" t="n">
        <x:v>0</x:v>
      </x:c>
      <x:c r="C243" s="14" t="n">
        <x:v>63</x:v>
      </x:c>
      <x:c r="D243" s="15" t="n">
        <x:v>0</x:v>
      </x:c>
      <x:c r="E243" s="16" t="n">
        <x:v>54.4</x:v>
      </x:c>
      <x:c r="F243" s="6" t="str">
        <x:v>GROWTH</x:v>
      </x:c>
      <x:c r="G243" s="17" t="n">
        <x:f>'Scoring'!I243</x:f>
        <x:v>52.8</x:v>
      </x:c>
      <x:c r="H243" s="6" t="str">
        <x:v>SUPPORT</x:v>
      </x:c>
      <x:c r="I243" s="6" t="str">
        <x:v>All vehicles: Tyre repair</x:v>
      </x:c>
      <x:c r="J243" s="6" t="str">
        <x:v>Secondary</x:v>
      </x:c>
      <x:c r="K243" s="6" t="str">
        <x:v>Commercial service enquiry</x:v>
      </x:c>
      <x:c r="L243" s="6" t="str">
        <x:v>High</x:v>
      </x:c>
      <x:c r="M243" s="6" t="str">
        <x:v>https://digitecme.com/services/tire-repair-dubai</x:v>
      </x:c>
      <x:c r="N243" s="6" t="str">
        <x:v>Unknown — export has no query/page pairing</x:v>
      </x:c>
      <x:c r="O243" s="6" t="str">
        <x:v>Retain primary intent and support variants</x:v>
      </x:c>
      <x:c r="P243" s="6" t="str">
        <x:v>Relevant workshop tyre enquiry with lower assumed value than specialist repair; no mobile or roadside claim. Average position 54.40 makes ranking the main issue; avoid a CTR-only rewrite.</x:v>
      </x:c>
      <x:c r="Q243" s="6" t="str">
        <x:v>All vehicles</x:v>
      </x:c>
      <x:c r="R243" s="6" t="str">
        <x:v>tire-repair</x:v>
      </x:c>
      <x:c r="S243" s="6" t="str">
        <x:v>Dubai explicit</x:v>
      </x:c>
      <x:c r="T243" s="6" t="n">
        <x:v>2</x:v>
      </x:c>
      <x:c r="U243" s="6" t="str">
        <x:v>40+</x:v>
      </x:c>
      <x:c r="V243" s="6" t="str">
        <x:v>Relevance, capability, indexing and authority review</x:v>
      </x:c>
      <x:c r="W243" s="6" t="str">
        <x:v>Relevant supporting</x:v>
      </x:c>
      <x:c r="X243" s="6" t="n">
        <x:v>239</x:v>
      </x:c>
      <x:c r="Y243" s="6" t="str">
        <x:v>Unconfirmed — joint query/page data required</x:v>
      </x:c>
    </x:row>
    <x:row r="244" ht="42" customHeight="1">
      <x:c r="A244" s="6" t="str">
        <x:v>mercedes minor service dubai</x:v>
      </x:c>
      <x:c r="B244" s="14" t="n">
        <x:v>0</x:v>
      </x:c>
      <x:c r="C244" s="14" t="n">
        <x:v>62</x:v>
      </x:c>
      <x:c r="D244" s="15" t="n">
        <x:v>0</x:v>
      </x:c>
      <x:c r="E244" s="16" t="n">
        <x:v>12.89</x:v>
      </x:c>
      <x:c r="F244" s="6" t="str">
        <x:v>CRITICAL</x:v>
      </x:c>
      <x:c r="G244" s="17" t="n">
        <x:f>'Scoring'!I244</x:f>
        <x:v>86</x:v>
      </x:c>
      <x:c r="H244" s="6" t="str">
        <x:v>SUPPORT</x:v>
      </x:c>
      <x:c r="I244" s="6" t="str">
        <x:v>mercedes-benz: Service and repair (English)</x:v>
      </x:c>
      <x:c r="J244" s="6" t="str">
        <x:v>Secondary</x:v>
      </x:c>
      <x:c r="K244" s="6" t="str">
        <x:v>Commercial service enquiry</x:v>
      </x:c>
      <x:c r="L244" s="6" t="str">
        <x:v>High</x:v>
      </x:c>
      <x:c r="M244" s="6" t="str">
        <x:v>https://digitecme.com/brands/mercedes-benz-service-dubai</x:v>
      </x:c>
      <x:c r="N244" s="6" t="str">
        <x:v>Unknown — export has no query/page pairing</x:v>
      </x:c>
      <x:c r="O244" s="6" t="str">
        <x:v>Retain primary intent and support variants</x:v>
      </x:c>
      <x:c r="P244" s="6" t="str">
        <x:v>62 impressions at average position 12.89; strengthen the appropriate intent owner and measure with a fresh comparable period.</x:v>
      </x:c>
      <x:c r="Q244" s="6" t="str">
        <x:v>mercedes-benz</x:v>
      </x:c>
      <x:c r="R244" s="6" t="str">
        <x:v>service-repair</x:v>
      </x:c>
      <x:c r="S244" s="6" t="str">
        <x:v>Dubai explicit</x:v>
      </x:c>
      <x:c r="T244" s="6" t="n">
        <x:v>5</x:v>
      </x:c>
      <x:c r="U244" s="6" t="str">
        <x:v>11–20</x:v>
      </x:c>
      <x:c r="V244" s="6" t="str">
        <x:v>Ranking and owner relevance</x:v>
      </x:c>
      <x:c r="W244" s="6" t="str">
        <x:v>Relevant supporting</x:v>
      </x:c>
      <x:c r="X244" s="6" t="n">
        <x:v>240</x:v>
      </x:c>
      <x:c r="Y244" s="6" t="str">
        <x:v>Unconfirmed — joint query/page data required</x:v>
      </x:c>
    </x:row>
    <x:row r="245" ht="42" customHeight="1">
      <x:c r="A245" s="6" t="str">
        <x:v>ferrari oil change in dubai</x:v>
      </x:c>
      <x:c r="B245" s="14" t="n">
        <x:v>0</x:v>
      </x:c>
      <x:c r="C245" s="14" t="n">
        <x:v>62</x:v>
      </x:c>
      <x:c r="D245" s="15" t="n">
        <x:v>0</x:v>
      </x:c>
      <x:c r="E245" s="16" t="n">
        <x:v>23.56</x:v>
      </x:c>
      <x:c r="F245" s="6" t="str">
        <x:v>HIGH</x:v>
      </x:c>
      <x:c r="G245" s="17" t="n">
        <x:f>'Scoring'!I245</x:f>
        <x:v>78.5</x:v>
      </x:c>
      <x:c r="H245" s="6" t="str">
        <x:v>SPLIT</x:v>
      </x:c>
      <x:c r="I245" s="6" t="str">
        <x:v>ferrari: Oil change</x:v>
      </x:c>
      <x:c r="J245" s="6" t="str">
        <x:v>Primary</x:v>
      </x:c>
      <x:c r="K245" s="6" t="str">
        <x:v>Commercial service enquiry</x:v>
      </x:c>
      <x:c r="L245" s="6" t="str">
        <x:v>High</x:v>
      </x:c>
      <x:c r="M245" s="6" t="str">
        <x:v>https://digitecme.com/brands/ferrari-service-dubai/oil-change</x:v>
      </x:c>
      <x:c r="N245" s="6" t="str">
        <x:v>Unknown — export has no query/page pairing</x:v>
      </x:c>
      <x:c r="O245" s="6" t="str">
        <x:v>Use dedicated service owner</x:v>
      </x:c>
      <x:c r="P245" s="6" t="str">
        <x:v>Average position 23.56 makes ranking the main issue; avoid a CTR-only rewrite.</x:v>
      </x:c>
      <x:c r="Q245" s="6" t="str">
        <x:v>ferrari</x:v>
      </x:c>
      <x:c r="R245" s="6" t="str">
        <x:v>oil-change</x:v>
      </x:c>
      <x:c r="S245" s="6" t="str">
        <x:v>Dubai explicit</x:v>
      </x:c>
      <x:c r="T245" s="6" t="n">
        <x:v>5</x:v>
      </x:c>
      <x:c r="U245" s="6" t="str">
        <x:v>21–40</x:v>
      </x:c>
      <x:c r="V245" s="6" t="str">
        <x:v>Content, internal authority and owner alignment</x:v>
      </x:c>
      <x:c r="W245" s="6" t="str">
        <x:v>High-value commercial</x:v>
      </x:c>
      <x:c r="X245" s="6" t="n">
        <x:v>241</x:v>
      </x:c>
      <x:c r="Y245" s="6" t="str">
        <x:v>Unconfirmed — joint query/page data required</x:v>
      </x:c>
    </x:row>
    <x:row r="246" ht="42" customHeight="1">
      <x:c r="A246" s="6" t="str">
        <x:v>aston martin maintenance dubai</x:v>
      </x:c>
      <x:c r="B246" s="14" t="n">
        <x:v>0</x:v>
      </x:c>
      <x:c r="C246" s="14" t="n">
        <x:v>62</x:v>
      </x:c>
      <x:c r="D246" s="15" t="n">
        <x:v>0</x:v>
      </x:c>
      <x:c r="E246" s="16" t="n">
        <x:v>23.6</x:v>
      </x:c>
      <x:c r="F246" s="6" t="str">
        <x:v>HIGH</x:v>
      </x:c>
      <x:c r="G246" s="17" t="n">
        <x:f>'Scoring'!I246</x:f>
        <x:v>78.5</x:v>
      </x:c>
      <x:c r="H246" s="6" t="str">
        <x:v>SUPPORT</x:v>
      </x:c>
      <x:c r="I246" s="6" t="str">
        <x:v>aston-martin: Service and repair</x:v>
      </x:c>
      <x:c r="J246" s="6" t="str">
        <x:v>Secondary</x:v>
      </x:c>
      <x:c r="K246" s="6" t="str">
        <x:v>Commercial service enquiry</x:v>
      </x:c>
      <x:c r="L246" s="6" t="str">
        <x:v>High</x:v>
      </x:c>
      <x:c r="M246" s="6" t="str">
        <x:v>https://digitecme.com/brands/aston-martin-service-dubai</x:v>
      </x:c>
      <x:c r="N246" s="6" t="str">
        <x:v>Unknown — export has no query/page pairing</x:v>
      </x:c>
      <x:c r="O246" s="6" t="str">
        <x:v>Retain primary intent and support variants</x:v>
      </x:c>
      <x:c r="P246" s="6" t="str">
        <x:v>Average position 23.60 makes ranking the main issue; avoid a CTR-only rewrite.</x:v>
      </x:c>
      <x:c r="Q246" s="6" t="str">
        <x:v>aston-martin</x:v>
      </x:c>
      <x:c r="R246" s="6" t="str">
        <x:v>service-repair</x:v>
      </x:c>
      <x:c r="S246" s="6" t="str">
        <x:v>Dubai explicit</x:v>
      </x:c>
      <x:c r="T246" s="6" t="n">
        <x:v>5</x:v>
      </x:c>
      <x:c r="U246" s="6" t="str">
        <x:v>21–40</x:v>
      </x:c>
      <x:c r="V246" s="6" t="str">
        <x:v>Content, internal authority and owner alignment</x:v>
      </x:c>
      <x:c r="W246" s="6" t="str">
        <x:v>Relevant supporting</x:v>
      </x:c>
      <x:c r="X246" s="6" t="n">
        <x:v>242</x:v>
      </x:c>
      <x:c r="Y246" s="6" t="str">
        <x:v>Unconfirmed — joint query/page data required</x:v>
      </x:c>
    </x:row>
    <x:row r="247" ht="42" customHeight="1">
      <x:c r="A247" s="6" t="str">
        <x:v>aston martin repair near me</x:v>
      </x:c>
      <x:c r="B247" s="14" t="n">
        <x:v>0</x:v>
      </x:c>
      <x:c r="C247" s="14" t="n">
        <x:v>62</x:v>
      </x:c>
      <x:c r="D247" s="15" t="n">
        <x:v>0</x:v>
      </x:c>
      <x:c r="E247" s="16" t="n">
        <x:v>30.98</x:v>
      </x:c>
      <x:c r="F247" s="6" t="str">
        <x:v>GROWTH</x:v>
      </x:c>
      <x:c r="G247" s="17" t="n">
        <x:f>'Scoring'!I247</x:f>
        <x:v>71</x:v>
      </x:c>
      <x:c r="H247" s="6" t="str">
        <x:v>SUPPORT</x:v>
      </x:c>
      <x:c r="I247" s="6" t="str">
        <x:v>aston-martin: Service and repair</x:v>
      </x:c>
      <x:c r="J247" s="6" t="str">
        <x:v>Secondary</x:v>
      </x:c>
      <x:c r="K247" s="6" t="str">
        <x:v>Commercial service enquiry</x:v>
      </x:c>
      <x:c r="L247" s="6" t="str">
        <x:v>High</x:v>
      </x:c>
      <x:c r="M247" s="6" t="str">
        <x:v>https://digitecme.com/brands/aston-martin-service-dubai</x:v>
      </x:c>
      <x:c r="N247" s="6" t="str">
        <x:v>Unknown — export has no query/page pairing</x:v>
      </x:c>
      <x:c r="O247" s="6" t="str">
        <x:v>Retain primary intent and support variants</x:v>
      </x:c>
      <x:c r="P247" s="6" t="str">
        <x:v>Average position 30.98 makes ranking the main issue; avoid a CTR-only rewrite.</x:v>
      </x:c>
      <x:c r="Q247" s="6" t="str">
        <x:v>aston-martin</x:v>
      </x:c>
      <x:c r="R247" s="6" t="str">
        <x:v>service-repair</x:v>
      </x:c>
      <x:c r="S247" s="6" t="str">
        <x:v>Near me; location unknown</x:v>
      </x:c>
      <x:c r="T247" s="6" t="n">
        <x:v>5</x:v>
      </x:c>
      <x:c r="U247" s="6" t="str">
        <x:v>21–40</x:v>
      </x:c>
      <x:c r="V247" s="6" t="str">
        <x:v>Content, internal authority and owner alignment</x:v>
      </x:c>
      <x:c r="W247" s="6" t="str">
        <x:v>Relevant supporting</x:v>
      </x:c>
      <x:c r="X247" s="6" t="n">
        <x:v>243</x:v>
      </x:c>
      <x:c r="Y247" s="6" t="str">
        <x:v>Unconfirmed — joint query/page data required</x:v>
      </x:c>
    </x:row>
    <x:row r="248" ht="42" customHeight="1">
      <x:c r="A248" s="6" t="str">
        <x:v>power steering repair</x:v>
      </x:c>
      <x:c r="B248" s="14" t="n">
        <x:v>0</x:v>
      </x:c>
      <x:c r="C248" s="14" t="n">
        <x:v>61</x:v>
      </x:c>
      <x:c r="D248" s="15" t="n">
        <x:v>0</x:v>
      </x:c>
      <x:c r="E248" s="16" t="n">
        <x:v>14.1</x:v>
      </x:c>
      <x:c r="F248" s="6" t="str">
        <x:v>CRITICAL</x:v>
      </x:c>
      <x:c r="G248" s="17" t="n">
        <x:f>'Scoring'!I248</x:f>
        <x:v>73</x:v>
      </x:c>
      <x:c r="H248" s="6" t="str">
        <x:v>SUPPORT</x:v>
      </x:c>
      <x:c r="I248" s="6" t="str">
        <x:v>All vehicles: Steering repair</x:v>
      </x:c>
      <x:c r="J248" s="6" t="str">
        <x:v>Secondary</x:v>
      </x:c>
      <x:c r="K248" s="6" t="str">
        <x:v>Commercial service enquiry</x:v>
      </x:c>
      <x:c r="L248" s="6" t="str">
        <x:v>High</x:v>
      </x:c>
      <x:c r="M248" s="6" t="str">
        <x:v>https://digitecme.com/services/steering-repair-dubai</x:v>
      </x:c>
      <x:c r="N248" s="6" t="str">
        <x:v>Unknown — export has no query/page pairing</x:v>
      </x:c>
      <x:c r="O248" s="6" t="str">
        <x:v>Retain primary intent and support variants</x:v>
      </x:c>
      <x:c r="P248" s="6" t="str">
        <x:v>61 impressions at average position 14.10; strengthen the appropriate intent owner and measure with a fresh comparable period.</x:v>
      </x:c>
      <x:c r="Q248" s="6" t="str">
        <x:v>All vehicles</x:v>
      </x:c>
      <x:c r="R248" s="6" t="str">
        <x:v>steering-repair</x:v>
      </x:c>
      <x:c r="S248" s="6" t="str">
        <x:v>Location unspecified</x:v>
      </x:c>
      <x:c r="T248" s="6" t="n">
        <x:v>3</x:v>
      </x:c>
      <x:c r="U248" s="6" t="str">
        <x:v>11–20</x:v>
      </x:c>
      <x:c r="V248" s="6" t="str">
        <x:v>Ranking and owner relevance</x:v>
      </x:c>
      <x:c r="W248" s="6" t="str">
        <x:v>Relevant supporting</x:v>
      </x:c>
      <x:c r="X248" s="6" t="n">
        <x:v>244</x:v>
      </x:c>
      <x:c r="Y248" s="6" t="str">
        <x:v>Unconfirmed — joint query/page data required</x:v>
      </x:c>
    </x:row>
    <x:row r="249" ht="42" customHeight="1">
      <x:c r="A249" s="6" t="str">
        <x:v>oil change service dubai</x:v>
      </x:c>
      <x:c r="B249" s="14" t="n">
        <x:v>0</x:v>
      </x:c>
      <x:c r="C249" s="14" t="n">
        <x:v>61</x:v>
      </x:c>
      <x:c r="D249" s="15" t="n">
        <x:v>0</x:v>
      </x:c>
      <x:c r="E249" s="16" t="n">
        <x:v>26.92</x:v>
      </x:c>
      <x:c r="F249" s="6" t="str">
        <x:v>HIGH</x:v>
      </x:c>
      <x:c r="G249" s="17" t="n">
        <x:f>'Scoring'!I249</x:f>
        <x:v>70.5</x:v>
      </x:c>
      <x:c r="H249" s="6" t="str">
        <x:v>SUPPORT</x:v>
      </x:c>
      <x:c r="I249" s="6" t="str">
        <x:v>All vehicles: Oil change (English)</x:v>
      </x:c>
      <x:c r="J249" s="6" t="str">
        <x:v>Secondary</x:v>
      </x:c>
      <x:c r="K249" s="6" t="str">
        <x:v>Commercial service enquiry</x:v>
      </x:c>
      <x:c r="L249" s="6" t="str">
        <x:v>High</x:v>
      </x:c>
      <x:c r="M249" s="6" t="str">
        <x:v>https://digitecme.com/services/oil-change-dubai</x:v>
      </x:c>
      <x:c r="N249" s="6" t="str">
        <x:v>Unknown — export has no query/page pairing</x:v>
      </x:c>
      <x:c r="O249" s="6" t="str">
        <x:v>Retain primary intent and support variants</x:v>
      </x:c>
      <x:c r="P249" s="6" t="str">
        <x:v>Average position 26.92 makes ranking the main issue; avoid a CTR-only rewrite.</x:v>
      </x:c>
      <x:c r="Q249" s="6" t="str">
        <x:v>All vehicles</x:v>
      </x:c>
      <x:c r="R249" s="6" t="str">
        <x:v>oil-change</x:v>
      </x:c>
      <x:c r="S249" s="6" t="str">
        <x:v>Dubai explicit</x:v>
      </x:c>
      <x:c r="T249" s="6" t="n">
        <x:v>3</x:v>
      </x:c>
      <x:c r="U249" s="6" t="str">
        <x:v>21–40</x:v>
      </x:c>
      <x:c r="V249" s="6" t="str">
        <x:v>Content, internal authority and owner alignment</x:v>
      </x:c>
      <x:c r="W249" s="6" t="str">
        <x:v>Relevant supporting</x:v>
      </x:c>
      <x:c r="X249" s="6" t="n">
        <x:v>245</x:v>
      </x:c>
      <x:c r="Y249" s="6" t="str">
        <x:v>Unconfirmed — joint query/page data required</x:v>
      </x:c>
    </x:row>
    <x:row r="250" ht="42" customHeight="1">
      <x:c r="A250" s="6" t="str">
        <x:v>best luxury car garages in dubai</x:v>
      </x:c>
      <x:c r="B250" s="14" t="n">
        <x:v>0</x:v>
      </x:c>
      <x:c r="C250" s="14" t="n">
        <x:v>61</x:v>
      </x:c>
      <x:c r="D250" s="15" t="n">
        <x:v>0</x:v>
      </x:c>
      <x:c r="E250" s="16" t="n">
        <x:v>34.2</x:v>
      </x:c>
      <x:c r="F250" s="6" t="str">
        <x:v>GROWTH</x:v>
      </x:c>
      <x:c r="G250" s="17" t="n">
        <x:f>'Scoring'!I250</x:f>
        <x:v>63</x:v>
      </x:c>
      <x:c r="H250" s="6" t="str">
        <x:v>SUPPORT</x:v>
      </x:c>
      <x:c r="I250" s="6" t="str">
        <x:v>All vehicles: General garage and repair (English)</x:v>
      </x:c>
      <x:c r="J250" s="6" t="str">
        <x:v>Secondary</x:v>
      </x:c>
      <x:c r="K250" s="6" t="str">
        <x:v>Commercial service enquiry</x:v>
      </x:c>
      <x:c r="L250" s="6" t="str">
        <x:v>High</x:v>
      </x:c>
      <x:c r="M250" s="6" t="str">
        <x:v>https://digitecme.com/services/car-garage-dubai</x:v>
      </x:c>
      <x:c r="N250" s="6" t="str">
        <x:v>Unknown — export has no query/page pairing</x:v>
      </x:c>
      <x:c r="O250" s="6" t="str">
        <x:v>Retain primary intent and support variants</x:v>
      </x:c>
      <x:c r="P250" s="6" t="str">
        <x:v>Average position 34.20 makes ranking the main issue; avoid a CTR-only rewrite.</x:v>
      </x:c>
      <x:c r="Q250" s="6" t="str">
        <x:v>All vehicles</x:v>
      </x:c>
      <x:c r="R250" s="6" t="str">
        <x:v>service-repair</x:v>
      </x:c>
      <x:c r="S250" s="6" t="str">
        <x:v>Dubai explicit</x:v>
      </x:c>
      <x:c r="T250" s="6" t="n">
        <x:v>3</x:v>
      </x:c>
      <x:c r="U250" s="6" t="str">
        <x:v>21–40</x:v>
      </x:c>
      <x:c r="V250" s="6" t="str">
        <x:v>Content, internal authority and owner alignment</x:v>
      </x:c>
      <x:c r="W250" s="6" t="str">
        <x:v>Relevant supporting</x:v>
      </x:c>
      <x:c r="X250" s="6" t="n">
        <x:v>246</x:v>
      </x:c>
      <x:c r="Y250" s="6" t="str">
        <x:v>Unconfirmed — joint query/page data required</x:v>
      </x:c>
    </x:row>
    <x:row r="251" ht="57" customHeight="1">
      <x:c r="A251" s="6" t="str">
        <x:v>best mini workshop abu dhabi</x:v>
      </x:c>
      <x:c r="B251" s="14" t="n">
        <x:v>0</x:v>
      </x:c>
      <x:c r="C251" s="14" t="n">
        <x:v>60</x:v>
      </x:c>
      <x:c r="D251" s="15" t="n">
        <x:v>0</x:v>
      </x:c>
      <x:c r="E251" s="16" t="n">
        <x:v>18.12</x:v>
      </x:c>
      <x:c r="F251" s="6" t="str">
        <x:v>DEPRIORITIZE</x:v>
      </x:c>
      <x:c r="G251" s="17" t="n">
        <x:f>'Scoring'!I251</x:f>
        <x:v>12.5</x:v>
      </x:c>
      <x:c r="H251" s="6" t="str">
        <x:v>DEPRIORITIZE</x:v>
      </x:c>
      <x:c r="I251" s="6" t="str">
        <x:v>mini: Service and repair (outside Dubai)</x:v>
      </x:c>
      <x:c r="J251" s="6" t="str">
        <x:v>Primary</x:v>
      </x:c>
      <x:c r="K251" s="6" t="str">
        <x:v>Commercial service enquiry</x:v>
      </x:c>
      <x:c r="L251" s="6" t="str">
        <x:v>Low</x:v>
      </x:c>
      <x:c r="M251" s="6" t="str">
        <x:v>https://digitecme.com/brands/mini-service-dubai</x:v>
      </x:c>
      <x:c r="N251" s="6" t="str">
        <x:v>Unknown — export has no query/page pairing</x:v>
      </x:c>
      <x:c r="O251" s="6" t="str">
        <x:v>Confirm scope or deprioritize</x:v>
      </x:c>
      <x:c r="P251" s="6" t="str">
        <x:v>Explicit destination differs from the Al Quoz workshop; do not claim a local branch or service coverage. 60 impressions at average position 18.12; strengthen the appropriate intent owner and measure with a fresh comparable period.</x:v>
      </x:c>
      <x:c r="Q251" s="6" t="str">
        <x:v>mini</x:v>
      </x:c>
      <x:c r="R251" s="6" t="str">
        <x:v>service-repair</x:v>
      </x:c>
      <x:c r="S251" s="6" t="str">
        <x:v>Outside Dubai</x:v>
      </x:c>
      <x:c r="T251" s="6" t="n">
        <x:v>1</x:v>
      </x:c>
      <x:c r="U251" s="6" t="str">
        <x:v>11–20</x:v>
      </x:c>
      <x:c r="V251" s="6" t="str">
        <x:v>Ranking and owner relevance</x:v>
      </x:c>
      <x:c r="W251" s="6" t="str">
        <x:v>Low-value</x:v>
      </x:c>
      <x:c r="X251" s="6" t="n">
        <x:v>247</x:v>
      </x:c>
      <x:c r="Y251" s="6" t="str">
        <x:v>Unconfirmed — joint query/page data required</x:v>
      </x:c>
    </x:row>
    <x:row r="252" ht="42" customHeight="1">
      <x:c r="A252" s="6" t="str">
        <x:v>ferrari engine repair dubai</x:v>
      </x:c>
      <x:c r="B252" s="14" t="n">
        <x:v>0</x:v>
      </x:c>
      <x:c r="C252" s="14" t="n">
        <x:v>59</x:v>
      </x:c>
      <x:c r="D252" s="15" t="n">
        <x:v>0</x:v>
      </x:c>
      <x:c r="E252" s="16" t="n">
        <x:v>34.34</x:v>
      </x:c>
      <x:c r="F252" s="6" t="str">
        <x:v>GROWTH</x:v>
      </x:c>
      <x:c r="G252" s="17" t="n">
        <x:f>'Scoring'!I252</x:f>
        <x:v>70.9</x:v>
      </x:c>
      <x:c r="H252" s="6" t="str">
        <x:v>SPLIT</x:v>
      </x:c>
      <x:c r="I252" s="6" t="str">
        <x:v>ferrari: Engine and mechanical repair</x:v>
      </x:c>
      <x:c r="J252" s="6" t="str">
        <x:v>Primary</x:v>
      </x:c>
      <x:c r="K252" s="6" t="str">
        <x:v>Commercial service enquiry</x:v>
      </x:c>
      <x:c r="L252" s="6" t="str">
        <x:v>High</x:v>
      </x:c>
      <x:c r="M252" s="6" t="str">
        <x:v>https://digitecme.com/brands/ferrari-service-dubai/mechanical-repair</x:v>
      </x:c>
      <x:c r="N252" s="6" t="str">
        <x:v>Unknown — export has no query/page pairing</x:v>
      </x:c>
      <x:c r="O252" s="6" t="str">
        <x:v>Use dedicated service owner</x:v>
      </x:c>
      <x:c r="P252" s="6" t="str">
        <x:v>Average position 34.34 makes ranking the main issue; avoid a CTR-only rewrite.</x:v>
      </x:c>
      <x:c r="Q252" s="6" t="str">
        <x:v>ferrari</x:v>
      </x:c>
      <x:c r="R252" s="6" t="str">
        <x:v>mechanical-repair</x:v>
      </x:c>
      <x:c r="S252" s="6" t="str">
        <x:v>Dubai explicit</x:v>
      </x:c>
      <x:c r="T252" s="6" t="n">
        <x:v>5</x:v>
      </x:c>
      <x:c r="U252" s="6" t="str">
        <x:v>21–40</x:v>
      </x:c>
      <x:c r="V252" s="6" t="str">
        <x:v>Content, internal authority and owner alignment</x:v>
      </x:c>
      <x:c r="W252" s="6" t="str">
        <x:v>High-value commercial</x:v>
      </x:c>
      <x:c r="X252" s="6" t="n">
        <x:v>248</x:v>
      </x:c>
      <x:c r="Y252" s="6" t="str">
        <x:v>Unconfirmed — joint query/page data required</x:v>
      </x:c>
    </x:row>
    <x:row r="253" ht="57" customHeight="1">
      <x:c r="A253" s="6" t="str">
        <x:v>tyre shop dip</x:v>
      </x:c>
      <x:c r="B253" s="14" t="n">
        <x:v>0</x:v>
      </x:c>
      <x:c r="C253" s="14" t="n">
        <x:v>59</x:v>
      </x:c>
      <x:c r="D253" s="15" t="n">
        <x:v>0</x:v>
      </x:c>
      <x:c r="E253" s="16" t="n">
        <x:v>60.05</x:v>
      </x:c>
      <x:c r="F253" s="6" t="str">
        <x:v>GROWTH</x:v>
      </x:c>
      <x:c r="G253" s="17" t="n">
        <x:f>'Scoring'!I253</x:f>
        <x:v>52.7</x:v>
      </x:c>
      <x:c r="H253" s="6" t="str">
        <x:v>SUPPORT</x:v>
      </x:c>
      <x:c r="I253" s="6" t="str">
        <x:v>All vehicles: Tyre repair</x:v>
      </x:c>
      <x:c r="J253" s="6" t="str">
        <x:v>Secondary</x:v>
      </x:c>
      <x:c r="K253" s="6" t="str">
        <x:v>Commercial service enquiry</x:v>
      </x:c>
      <x:c r="L253" s="6" t="str">
        <x:v>High</x:v>
      </x:c>
      <x:c r="M253" s="6" t="str">
        <x:v>https://digitecme.com/services/tire-repair-dubai</x:v>
      </x:c>
      <x:c r="N253" s="6" t="str">
        <x:v>Unknown — export has no query/page pairing</x:v>
      </x:c>
      <x:c r="O253" s="6" t="str">
        <x:v>Retain primary intent and support variants</x:v>
      </x:c>
      <x:c r="P253" s="6" t="str">
        <x:v>Use the actual Al Quoz location; no district landing page or implied branch. Relevant workshop tyre enquiry with lower assumed value than specialist repair; no mobile or roadside claim. Average position 60.05 makes ranking the main issue; avoid a CTR-only rewrite.</x:v>
      </x:c>
      <x:c r="Q253" s="6" t="str">
        <x:v>All vehicles</x:v>
      </x:c>
      <x:c r="R253" s="6" t="str">
        <x:v>tire-repair</x:v>
      </x:c>
      <x:c r="S253" s="6" t="str">
        <x:v>Other Dubai district</x:v>
      </x:c>
      <x:c r="T253" s="6" t="n">
        <x:v>2</x:v>
      </x:c>
      <x:c r="U253" s="6" t="str">
        <x:v>40+</x:v>
      </x:c>
      <x:c r="V253" s="6" t="str">
        <x:v>Relevance, capability, indexing and authority review</x:v>
      </x:c>
      <x:c r="W253" s="6" t="str">
        <x:v>Relevant supporting</x:v>
      </x:c>
      <x:c r="X253" s="6" t="n">
        <x:v>249</x:v>
      </x:c>
      <x:c r="Y253" s="6" t="str">
        <x:v>Unconfirmed — joint query/page data required</x:v>
      </x:c>
    </x:row>
    <x:row r="254" ht="42" customHeight="1">
      <x:c r="A254" s="6" t="str">
        <x:v>merceds repair</x:v>
      </x:c>
      <x:c r="B254" s="14" t="n">
        <x:v>0</x:v>
      </x:c>
      <x:c r="C254" s="14" t="n">
        <x:v>58</x:v>
      </x:c>
      <x:c r="D254" s="15" t="n">
        <x:v>0</x:v>
      </x:c>
      <x:c r="E254" s="16" t="n">
        <x:v>8.28</x:v>
      </x:c>
      <x:c r="F254" s="6" t="str">
        <x:v>CRITICAL</x:v>
      </x:c>
      <x:c r="G254" s="17" t="n">
        <x:f>'Scoring'!I254</x:f>
        <x:v>90.9</x:v>
      </x:c>
      <x:c r="H254" s="6" t="str">
        <x:v>SUPPORT</x:v>
      </x:c>
      <x:c r="I254" s="6" t="str">
        <x:v>mercedes-benz: Service and repair (English)</x:v>
      </x:c>
      <x:c r="J254" s="6" t="str">
        <x:v>Secondary</x:v>
      </x:c>
      <x:c r="K254" s="6" t="str">
        <x:v>Commercial service enquiry</x:v>
      </x:c>
      <x:c r="L254" s="6" t="str">
        <x:v>High</x:v>
      </x:c>
      <x:c r="M254" s="6" t="str">
        <x:v>https://digitecme.com/brands/mercedes-benz-service-dubai</x:v>
      </x:c>
      <x:c r="N254" s="6" t="str">
        <x:v>Unknown — export has no query/page pairing</x:v>
      </x:c>
      <x:c r="O254" s="6" t="str">
        <x:v>Retain primary intent and support variants</x:v>
      </x:c>
      <x:c r="P254" s="6" t="str">
        <x:v>Zero clicks from 58 impressions at average position 8.28; inspect query/page, country/device and SERP before attributing this to the snippet.</x:v>
      </x:c>
      <x:c r="Q254" s="6" t="str">
        <x:v>mercedes-benz</x:v>
      </x:c>
      <x:c r="R254" s="6" t="str">
        <x:v>service-repair</x:v>
      </x:c>
      <x:c r="S254" s="6" t="str">
        <x:v>Location unspecified</x:v>
      </x:c>
      <x:c r="T254" s="6" t="n">
        <x:v>5</x:v>
      </x:c>
      <x:c r="U254" s="6" t="str">
        <x:v>4–10</x:v>
      </x:c>
      <x:c r="V254" s="6" t="str">
        <x:v>Page-one CTR review and top-three relevance</x:v>
      </x:c>
      <x:c r="W254" s="6" t="str">
        <x:v>Relevant supporting</x:v>
      </x:c>
      <x:c r="X254" s="6" t="n">
        <x:v>250</x:v>
      </x:c>
      <x:c r="Y254" s="6" t="str">
        <x:v>Unconfirmed — joint query/page data required</x:v>
      </x:c>
    </x:row>
    <x:row r="255" ht="57" customHeight="1">
      <x:c r="A255" s="6" t="str">
        <x:v>puncture repair near me</x:v>
      </x:c>
      <x:c r="B255" s="14" t="n">
        <x:v>0</x:v>
      </x:c>
      <x:c r="C255" s="14" t="n">
        <x:v>58</x:v>
      </x:c>
      <x:c r="D255" s="15" t="n">
        <x:v>0</x:v>
      </x:c>
      <x:c r="E255" s="16" t="n">
        <x:v>9.1</x:v>
      </x:c>
      <x:c r="F255" s="6" t="str">
        <x:v>GROWTH</x:v>
      </x:c>
      <x:c r="G255" s="17" t="n">
        <x:f>'Scoring'!I255</x:f>
        <x:v>83.9</x:v>
      </x:c>
      <x:c r="H255" s="6" t="str">
        <x:v>SUPPORT</x:v>
      </x:c>
      <x:c r="I255" s="6" t="str">
        <x:v>All vehicles: Tyre repair</x:v>
      </x:c>
      <x:c r="J255" s="6" t="str">
        <x:v>Secondary</x:v>
      </x:c>
      <x:c r="K255" s="6" t="str">
        <x:v>Commercial service enquiry</x:v>
      </x:c>
      <x:c r="L255" s="6" t="str">
        <x:v>High</x:v>
      </x:c>
      <x:c r="M255" s="6" t="str">
        <x:v>https://digitecme.com/services/tire-repair-dubai</x:v>
      </x:c>
      <x:c r="N255" s="6" t="str">
        <x:v>Unknown — export has no query/page pairing</x:v>
      </x:c>
      <x:c r="O255" s="6" t="str">
        <x:v>Retain primary intent and support variants</x:v>
      </x:c>
      <x:c r="P255" s="6" t="str">
        <x:v>Relevant workshop tyre enquiry with lower assumed value than specialist repair; no mobile or roadside claim. Zero clicks from 58 impressions at average position 9.10; inspect query/page, country/device and SERP before attributing this to the snippet.</x:v>
      </x:c>
      <x:c r="Q255" s="6" t="str">
        <x:v>All vehicles</x:v>
      </x:c>
      <x:c r="R255" s="6" t="str">
        <x:v>tire-repair</x:v>
      </x:c>
      <x:c r="S255" s="6" t="str">
        <x:v>Near me; location unknown</x:v>
      </x:c>
      <x:c r="T255" s="6" t="n">
        <x:v>2</x:v>
      </x:c>
      <x:c r="U255" s="6" t="str">
        <x:v>4–10</x:v>
      </x:c>
      <x:c r="V255" s="6" t="str">
        <x:v>Page-one CTR review and top-three relevance</x:v>
      </x:c>
      <x:c r="W255" s="6" t="str">
        <x:v>Relevant supporting</x:v>
      </x:c>
      <x:c r="X255" s="6" t="n">
        <x:v>251</x:v>
      </x:c>
      <x:c r="Y255" s="6" t="str">
        <x:v>Unconfirmed — joint query/page data required</x:v>
      </x:c>
    </x:row>
    <x:row r="256" ht="42" customHeight="1">
      <x:c r="A256" s="6" t="str">
        <x:v>bmw car service dubai</x:v>
      </x:c>
      <x:c r="B256" s="14" t="n">
        <x:v>0</x:v>
      </x:c>
      <x:c r="C256" s="14" t="n">
        <x:v>58</x:v>
      </x:c>
      <x:c r="D256" s="15" t="n">
        <x:v>0</x:v>
      </x:c>
      <x:c r="E256" s="16" t="n">
        <x:v>25.03</x:v>
      </x:c>
      <x:c r="F256" s="6" t="str">
        <x:v>HIGH</x:v>
      </x:c>
      <x:c r="G256" s="17" t="n">
        <x:f>'Scoring'!I256</x:f>
        <x:v>78.4</x:v>
      </x:c>
      <x:c r="H256" s="6" t="str">
        <x:v>SUPPORT</x:v>
      </x:c>
      <x:c r="I256" s="6" t="str">
        <x:v>bmw: Service and repair (English)</x:v>
      </x:c>
      <x:c r="J256" s="6" t="str">
        <x:v>Secondary</x:v>
      </x:c>
      <x:c r="K256" s="6" t="str">
        <x:v>Commercial service enquiry</x:v>
      </x:c>
      <x:c r="L256" s="6" t="str">
        <x:v>High</x:v>
      </x:c>
      <x:c r="M256" s="6" t="str">
        <x:v>https://digitecme.com/brands/bmw-service-dubai</x:v>
      </x:c>
      <x:c r="N256" s="6" t="str">
        <x:v>Unknown — export has no query/page pairing</x:v>
      </x:c>
      <x:c r="O256" s="6" t="str">
        <x:v>Retain primary intent and support variants</x:v>
      </x:c>
      <x:c r="P256" s="6" t="str">
        <x:v>Average position 25.03 makes ranking the main issue; avoid a CTR-only rewrite.</x:v>
      </x:c>
      <x:c r="Q256" s="6" t="str">
        <x:v>bmw</x:v>
      </x:c>
      <x:c r="R256" s="6" t="str">
        <x:v>service-repair</x:v>
      </x:c>
      <x:c r="S256" s="6" t="str">
        <x:v>Dubai explicit</x:v>
      </x:c>
      <x:c r="T256" s="6" t="n">
        <x:v>5</x:v>
      </x:c>
      <x:c r="U256" s="6" t="str">
        <x:v>21–40</x:v>
      </x:c>
      <x:c r="V256" s="6" t="str">
        <x:v>Content, internal authority and owner alignment</x:v>
      </x:c>
      <x:c r="W256" s="6" t="str">
        <x:v>Relevant supporting</x:v>
      </x:c>
      <x:c r="X256" s="6" t="n">
        <x:v>252</x:v>
      </x:c>
      <x:c r="Y256" s="6" t="str">
        <x:v>Unconfirmed — joint query/page data required</x:v>
      </x:c>
    </x:row>
    <x:row r="257" ht="42" customHeight="1">
      <x:c r="A257" s="6" t="str">
        <x:v>ford oil change service in dubai</x:v>
      </x:c>
      <x:c r="B257" s="14" t="n">
        <x:v>0</x:v>
      </x:c>
      <x:c r="C257" s="14" t="n">
        <x:v>58</x:v>
      </x:c>
      <x:c r="D257" s="15" t="n">
        <x:v>0</x:v>
      </x:c>
      <x:c r="E257" s="16" t="n">
        <x:v>29.29</x:v>
      </x:c>
      <x:c r="F257" s="6" t="str">
        <x:v>HIGH</x:v>
      </x:c>
      <x:c r="G257" s="17" t="n">
        <x:f>'Scoring'!I257</x:f>
        <x:v>70.4</x:v>
      </x:c>
      <x:c r="H257" s="6" t="str">
        <x:v>SPLIT</x:v>
      </x:c>
      <x:c r="I257" s="6" t="str">
        <x:v>ford: Oil change</x:v>
      </x:c>
      <x:c r="J257" s="6" t="str">
        <x:v>Primary</x:v>
      </x:c>
      <x:c r="K257" s="6" t="str">
        <x:v>Commercial service enquiry</x:v>
      </x:c>
      <x:c r="L257" s="6" t="str">
        <x:v>High</x:v>
      </x:c>
      <x:c r="M257" s="6" t="str">
        <x:v>https://digitecme.com/brands/ford-service-dubai/oil-change</x:v>
      </x:c>
      <x:c r="N257" s="6" t="str">
        <x:v>Unknown — export has no query/page pairing</x:v>
      </x:c>
      <x:c r="O257" s="6" t="str">
        <x:v>Use dedicated service owner</x:v>
      </x:c>
      <x:c r="P257" s="6" t="str">
        <x:v>Average position 29.29 makes ranking the main issue; avoid a CTR-only rewrite.</x:v>
      </x:c>
      <x:c r="Q257" s="6" t="str">
        <x:v>ford</x:v>
      </x:c>
      <x:c r="R257" s="6" t="str">
        <x:v>oil-change</x:v>
      </x:c>
      <x:c r="S257" s="6" t="str">
        <x:v>Dubai explicit</x:v>
      </x:c>
      <x:c r="T257" s="6" t="n">
        <x:v>3</x:v>
      </x:c>
      <x:c r="U257" s="6" t="str">
        <x:v>21–40</x:v>
      </x:c>
      <x:c r="V257" s="6" t="str">
        <x:v>Content, internal authority and owner alignment</x:v>
      </x:c>
      <x:c r="W257" s="6" t="str">
        <x:v>High-value commercial</x:v>
      </x:c>
      <x:c r="X257" s="6" t="n">
        <x:v>253</x:v>
      </x:c>
      <x:c r="Y257" s="6" t="str">
        <x:v>Unconfirmed — joint query/page data required</x:v>
      </x:c>
    </x:row>
    <x:row r="258" ht="42" customHeight="1">
      <x:c r="A258" s="6" t="str">
        <x:v>self healing ppf</x:v>
      </x:c>
      <x:c r="B258" s="14" t="n">
        <x:v>0</x:v>
      </x:c>
      <x:c r="C258" s="14" t="n">
        <x:v>58</x:v>
      </x:c>
      <x:c r="D258" s="15" t="n">
        <x:v>0</x:v>
      </x:c>
      <x:c r="E258" s="16" t="n">
        <x:v>43.55</x:v>
      </x:c>
      <x:c r="F258" s="6" t="str">
        <x:v>GROWTH</x:v>
      </x:c>
      <x:c r="G258" s="17" t="n">
        <x:f>'Scoring'!I258</x:f>
        <x:v>59.7</x:v>
      </x:c>
      <x:c r="H258" s="6" t="str">
        <x:v>SUPPORT</x:v>
      </x:c>
      <x:c r="I258" s="6" t="str">
        <x:v>All vehicles: Paint protection film</x:v>
      </x:c>
      <x:c r="J258" s="6" t="str">
        <x:v>Secondary</x:v>
      </x:c>
      <x:c r="K258" s="6" t="str">
        <x:v>Commercial service enquiry</x:v>
      </x:c>
      <x:c r="L258" s="6" t="str">
        <x:v>High</x:v>
      </x:c>
      <x:c r="M258" s="6" t="str">
        <x:v>https://digitecme.com/services/paint-protection-film</x:v>
      </x:c>
      <x:c r="N258" s="6" t="str">
        <x:v>Unknown — export has no query/page pairing</x:v>
      </x:c>
      <x:c r="O258" s="6" t="str">
        <x:v>Retain primary intent and support variants</x:v>
      </x:c>
      <x:c r="P258" s="6" t="str">
        <x:v>Film intent belongs to the PPF page; vehicle and district terms are secondary context. Average position 43.55 makes ranking the main issue; avoid a CTR-only rewrite.</x:v>
      </x:c>
      <x:c r="Q258" s="6" t="str">
        <x:v>All vehicles</x:v>
      </x:c>
      <x:c r="R258" s="6" t="str">
        <x:v>ppf</x:v>
      </x:c>
      <x:c r="S258" s="6" t="str">
        <x:v>Location unspecified</x:v>
      </x:c>
      <x:c r="T258" s="6" t="n">
        <x:v>5</x:v>
      </x:c>
      <x:c r="U258" s="6" t="str">
        <x:v>40+</x:v>
      </x:c>
      <x:c r="V258" s="6" t="str">
        <x:v>Relevance, capability, indexing and authority review</x:v>
      </x:c>
      <x:c r="W258" s="6" t="str">
        <x:v>Relevant supporting</x:v>
      </x:c>
      <x:c r="X258" s="6" t="n">
        <x:v>254</x:v>
      </x:c>
      <x:c r="Y258" s="6" t="str">
        <x:v>Unconfirmed — joint query/page data required</x:v>
      </x:c>
    </x:row>
    <x:row r="259" ht="42" customHeight="1">
      <x:c r="A259" s="6" t="str">
        <x:v>صيانة بريكات السيارات</x:v>
      </x:c>
      <x:c r="B259" s="14" t="n">
        <x:v>0</x:v>
      </x:c>
      <x:c r="C259" s="14" t="n">
        <x:v>58</x:v>
      </x:c>
      <x:c r="D259" s="15" t="n">
        <x:v>0</x:v>
      </x:c>
      <x:c r="E259" s="16" t="n">
        <x:v>50.93</x:v>
      </x:c>
      <x:c r="F259" s="6" t="str">
        <x:v>GROWTH</x:v>
      </x:c>
      <x:c r="G259" s="17" t="n">
        <x:f>'Scoring'!I259</x:f>
        <x:v>51.7</x:v>
      </x:c>
      <x:c r="H259" s="6" t="str">
        <x:v>SUPPORT</x:v>
      </x:c>
      <x:c r="I259" s="6" t="str">
        <x:v>All vehicles: Brake repair (Arabic)</x:v>
      </x:c>
      <x:c r="J259" s="6" t="str">
        <x:v>Secondary</x:v>
      </x:c>
      <x:c r="K259" s="6" t="str">
        <x:v>Commercial service enquiry</x:v>
      </x:c>
      <x:c r="L259" s="6" t="str">
        <x:v>High</x:v>
      </x:c>
      <x:c r="M259" s="6" t="str">
        <x:v>https://digitecme.com/ar/services/brake-repair-dubai</x:v>
      </x:c>
      <x:c r="N259" s="6" t="str">
        <x:v>Unknown — export has no query/page pairing</x:v>
      </x:c>
      <x:c r="O259" s="6" t="str">
        <x:v>Retain primary intent and support variants</x:v>
      </x:c>
      <x:c r="P259" s="6" t="str">
        <x:v>Use the existing Arabic counterpart and verify its translation quality. Average position 50.93 makes ranking the main issue; avoid a CTR-only rewrite.</x:v>
      </x:c>
      <x:c r="Q259" s="6" t="str">
        <x:v>All vehicles</x:v>
      </x:c>
      <x:c r="R259" s="6" t="str">
        <x:v>brake-repair</x:v>
      </x:c>
      <x:c r="S259" s="6" t="str">
        <x:v>Location unspecified</x:v>
      </x:c>
      <x:c r="T259" s="6" t="n">
        <x:v>3</x:v>
      </x:c>
      <x:c r="U259" s="6" t="str">
        <x:v>40+</x:v>
      </x:c>
      <x:c r="V259" s="6" t="str">
        <x:v>Relevance, capability, indexing and authority review</x:v>
      </x:c>
      <x:c r="W259" s="6" t="str">
        <x:v>Relevant supporting</x:v>
      </x:c>
      <x:c r="X259" s="6" t="n">
        <x:v>255</x:v>
      </x:c>
      <x:c r="Y259" s="6" t="str">
        <x:v>Unconfirmed — joint query/page data required</x:v>
      </x:c>
    </x:row>
    <x:row r="260" ht="57" customHeight="1">
      <x:c r="A260" s="6" t="str">
        <x:v>gad mercedes</x:v>
      </x:c>
      <x:c r="B260" s="14" t="n">
        <x:v>0</x:v>
      </x:c>
      <x:c r="C260" s="14" t="n">
        <x:v>57</x:v>
      </x:c>
      <x:c r="D260" s="15" t="n">
        <x:v>0</x:v>
      </x:c>
      <x:c r="E260" s="16" t="n">
        <x:v>7.88</x:v>
      </x:c>
      <x:c r="F260" s="6" t="str">
        <x:v>CRITICAL</x:v>
      </x:c>
      <x:c r="G260" s="17" t="n">
        <x:f>'Scoring'!I260</x:f>
        <x:v>90.9</x:v>
      </x:c>
      <x:c r="H260" s="6" t="str">
        <x:v>SUPPORT</x:v>
      </x:c>
      <x:c r="I260" s="6" t="str">
        <x:v>All vehicles: Performance tuning</x:v>
      </x:c>
      <x:c r="J260" s="6" t="str">
        <x:v>Secondary</x:v>
      </x:c>
      <x:c r="K260" s="6" t="str">
        <x:v>Commercial service enquiry</x:v>
      </x:c>
      <x:c r="L260" s="6" t="str">
        <x:v>High</x:v>
      </x:c>
      <x:c r="M260" s="6" t="str">
        <x:v>https://digitecme.com/tuning</x:v>
      </x:c>
      <x:c r="N260" s="6" t="str">
        <x:v>Unknown — export has no query/page pairing</x:v>
      </x:c>
      <x:c r="O260" s="6" t="str">
        <x:v>Retain primary intent and support variants</x:v>
      </x:c>
      <x:c r="P260" s="6" t="str">
        <x:v>Use the existing tuning page; model scope and any GAD relationship require verified facts. Zero clicks from 57 impressions at average position 7.88; inspect query/page, country/device and SERP before attributing this to the snippet.</x:v>
      </x:c>
      <x:c r="Q260" s="6" t="str">
        <x:v>mercedes-benz</x:v>
      </x:c>
      <x:c r="R260" s="6" t="str">
        <x:v>tuning</x:v>
      </x:c>
      <x:c r="S260" s="6" t="str">
        <x:v>Location unspecified</x:v>
      </x:c>
      <x:c r="T260" s="6" t="n">
        <x:v>5</x:v>
      </x:c>
      <x:c r="U260" s="6" t="str">
        <x:v>4–10</x:v>
      </x:c>
      <x:c r="V260" s="6" t="str">
        <x:v>Page-one CTR review and top-three relevance</x:v>
      </x:c>
      <x:c r="W260" s="6" t="str">
        <x:v>Relevant supporting</x:v>
      </x:c>
      <x:c r="X260" s="6" t="n">
        <x:v>256</x:v>
      </x:c>
      <x:c r="Y260" s="6" t="str">
        <x:v>Unconfirmed — joint query/page data required</x:v>
      </x:c>
    </x:row>
    <x:row r="261" ht="42" customHeight="1">
      <x:c r="A261" s="6" t="str">
        <x:v>mclaren repair</x:v>
      </x:c>
      <x:c r="B261" s="14" t="n">
        <x:v>0</x:v>
      </x:c>
      <x:c r="C261" s="14" t="n">
        <x:v>57</x:v>
      </x:c>
      <x:c r="D261" s="15" t="n">
        <x:v>0</x:v>
      </x:c>
      <x:c r="E261" s="16" t="n">
        <x:v>10.74</x:v>
      </x:c>
      <x:c r="F261" s="6" t="str">
        <x:v>CRITICAL</x:v>
      </x:c>
      <x:c r="G261" s="17" t="n">
        <x:f>'Scoring'!I261</x:f>
        <x:v>80.9</x:v>
      </x:c>
      <x:c r="H261" s="6" t="str">
        <x:v>SUPPORT</x:v>
      </x:c>
      <x:c r="I261" s="6" t="str">
        <x:v>mclaren: Service and repair</x:v>
      </x:c>
      <x:c r="J261" s="6" t="str">
        <x:v>Secondary</x:v>
      </x:c>
      <x:c r="K261" s="6" t="str">
        <x:v>Commercial service enquiry</x:v>
      </x:c>
      <x:c r="L261" s="6" t="str">
        <x:v>High</x:v>
      </x:c>
      <x:c r="M261" s="6" t="str">
        <x:v>https://digitecme.com/brands/mclaren-service-dubai</x:v>
      </x:c>
      <x:c r="N261" s="6" t="str">
        <x:v>Unknown — export has no query/page pairing</x:v>
      </x:c>
      <x:c r="O261" s="6" t="str">
        <x:v>Retain primary intent and support variants</x:v>
      </x:c>
      <x:c r="P261" s="6" t="str">
        <x:v>57 impressions at average position 10.74; strengthen the appropriate intent owner and measure with a fresh comparable period.</x:v>
      </x:c>
      <x:c r="Q261" s="6" t="str">
        <x:v>mclaren</x:v>
      </x:c>
      <x:c r="R261" s="6" t="str">
        <x:v>service-repair</x:v>
      </x:c>
      <x:c r="S261" s="6" t="str">
        <x:v>Location unspecified</x:v>
      </x:c>
      <x:c r="T261" s="6" t="n">
        <x:v>5</x:v>
      </x:c>
      <x:c r="U261" s="6" t="str">
        <x:v>11–20</x:v>
      </x:c>
      <x:c r="V261" s="6" t="str">
        <x:v>Ranking and owner relevance</x:v>
      </x:c>
      <x:c r="W261" s="6" t="str">
        <x:v>Relevant supporting</x:v>
      </x:c>
      <x:c r="X261" s="6" t="n">
        <x:v>257</x:v>
      </x:c>
      <x:c r="Y261" s="6" t="str">
        <x:v>Unconfirmed — joint query/page data required</x:v>
      </x:c>
    </x:row>
    <x:row r="262" ht="42" customHeight="1">
      <x:c r="A262" s="6" t="str">
        <x:v>car oil change</x:v>
      </x:c>
      <x:c r="B262" s="14" t="n">
        <x:v>0</x:v>
      </x:c>
      <x:c r="C262" s="14" t="n">
        <x:v>57</x:v>
      </x:c>
      <x:c r="D262" s="15" t="n">
        <x:v>0</x:v>
      </x:c>
      <x:c r="E262" s="16" t="n">
        <x:v>33.72</x:v>
      </x:c>
      <x:c r="F262" s="6" t="str">
        <x:v>GROWTH</x:v>
      </x:c>
      <x:c r="G262" s="17" t="n">
        <x:f>'Scoring'!I262</x:f>
        <x:v>57.9</x:v>
      </x:c>
      <x:c r="H262" s="6" t="str">
        <x:v>SUPPORT</x:v>
      </x:c>
      <x:c r="I262" s="6" t="str">
        <x:v>All vehicles: Oil change (English)</x:v>
      </x:c>
      <x:c r="J262" s="6" t="str">
        <x:v>Secondary</x:v>
      </x:c>
      <x:c r="K262" s="6" t="str">
        <x:v>Commercial service enquiry</x:v>
      </x:c>
      <x:c r="L262" s="6" t="str">
        <x:v>High</x:v>
      </x:c>
      <x:c r="M262" s="6" t="str">
        <x:v>https://digitecme.com/services/oil-change-dubai</x:v>
      </x:c>
      <x:c r="N262" s="6" t="str">
        <x:v>Unknown — export has no query/page pairing</x:v>
      </x:c>
      <x:c r="O262" s="6" t="str">
        <x:v>Retain primary intent and support variants</x:v>
      </x:c>
      <x:c r="P262" s="6" t="str">
        <x:v>Average position 33.72 makes ranking the main issue; avoid a CTR-only rewrite.</x:v>
      </x:c>
      <x:c r="Q262" s="6" t="str">
        <x:v>All vehicles</x:v>
      </x:c>
      <x:c r="R262" s="6" t="str">
        <x:v>oil-change</x:v>
      </x:c>
      <x:c r="S262" s="6" t="str">
        <x:v>Location unspecified</x:v>
      </x:c>
      <x:c r="T262" s="6" t="n">
        <x:v>3</x:v>
      </x:c>
      <x:c r="U262" s="6" t="str">
        <x:v>21–40</x:v>
      </x:c>
      <x:c r="V262" s="6" t="str">
        <x:v>Content, internal authority and owner alignment</x:v>
      </x:c>
      <x:c r="W262" s="6" t="str">
        <x:v>Relevant supporting</x:v>
      </x:c>
      <x:c r="X262" s="6" t="n">
        <x:v>258</x:v>
      </x:c>
      <x:c r="Y262" s="6" t="str">
        <x:v>Unconfirmed — joint query/page data required</x:v>
      </x:c>
    </x:row>
    <x:row r="263" ht="42" customHeight="1">
      <x:c r="A263" s="6" t="str">
        <x:v>audi brake repair dubai</x:v>
      </x:c>
      <x:c r="B263" s="14" t="n">
        <x:v>0</x:v>
      </x:c>
      <x:c r="C263" s="14" t="n">
        <x:v>57</x:v>
      </x:c>
      <x:c r="D263" s="15" t="n">
        <x:v>0</x:v>
      </x:c>
      <x:c r="E263" s="16" t="n">
        <x:v>42.54</x:v>
      </x:c>
      <x:c r="F263" s="6" t="str">
        <x:v>GROWTH</x:v>
      </x:c>
      <x:c r="G263" s="17" t="n">
        <x:f>'Scoring'!I263</x:f>
        <x:v>64.6</x:v>
      </x:c>
      <x:c r="H263" s="6" t="str">
        <x:v>SPLIT</x:v>
      </x:c>
      <x:c r="I263" s="6" t="str">
        <x:v>audi: Brake repair</x:v>
      </x:c>
      <x:c r="J263" s="6" t="str">
        <x:v>Primary</x:v>
      </x:c>
      <x:c r="K263" s="6" t="str">
        <x:v>Commercial service enquiry</x:v>
      </x:c>
      <x:c r="L263" s="6" t="str">
        <x:v>High</x:v>
      </x:c>
      <x:c r="M263" s="6" t="str">
        <x:v>https://digitecme.com/brands/audi-service-dubai/brake-repair</x:v>
      </x:c>
      <x:c r="N263" s="6" t="str">
        <x:v>Unknown — export has no query/page pairing</x:v>
      </x:c>
      <x:c r="O263" s="6" t="str">
        <x:v>Use dedicated service owner</x:v>
      </x:c>
      <x:c r="P263" s="6" t="str">
        <x:v>Average position 42.54 makes ranking the main issue; avoid a CTR-only rewrite.</x:v>
      </x:c>
      <x:c r="Q263" s="6" t="str">
        <x:v>audi</x:v>
      </x:c>
      <x:c r="R263" s="6" t="str">
        <x:v>brake-repair</x:v>
      </x:c>
      <x:c r="S263" s="6" t="str">
        <x:v>Dubai explicit</x:v>
      </x:c>
      <x:c r="T263" s="6" t="n">
        <x:v>5</x:v>
      </x:c>
      <x:c r="U263" s="6" t="str">
        <x:v>40+</x:v>
      </x:c>
      <x:c r="V263" s="6" t="str">
        <x:v>Relevance, capability, indexing and authority review</x:v>
      </x:c>
      <x:c r="W263" s="6" t="str">
        <x:v>High-value commercial</x:v>
      </x:c>
      <x:c r="X263" s="6" t="n">
        <x:v>259</x:v>
      </x:c>
      <x:c r="Y263" s="6" t="str">
        <x:v>Unconfirmed — joint query/page data required</x:v>
      </x:c>
    </x:row>
    <x:row r="264" ht="42" customHeight="1">
      <x:c r="A264" s="6" t="str">
        <x:v>mercedes garage in dubai</x:v>
      </x:c>
      <x:c r="B264" s="14" t="n">
        <x:v>0</x:v>
      </x:c>
      <x:c r="C264" s="14" t="n">
        <x:v>56</x:v>
      </x:c>
      <x:c r="D264" s="15" t="n">
        <x:v>0</x:v>
      </x:c>
      <x:c r="E264" s="16" t="n">
        <x:v>8.98</x:v>
      </x:c>
      <x:c r="F264" s="6" t="str">
        <x:v>CRITICAL</x:v>
      </x:c>
      <x:c r="G264" s="17" t="n">
        <x:f>'Scoring'!I264</x:f>
        <x:v>95.9</x:v>
      </x:c>
      <x:c r="H264" s="6" t="str">
        <x:v>SUPPORT</x:v>
      </x:c>
      <x:c r="I264" s="6" t="str">
        <x:v>mercedes-benz: Service and repair (English)</x:v>
      </x:c>
      <x:c r="J264" s="6" t="str">
        <x:v>Secondary</x:v>
      </x:c>
      <x:c r="K264" s="6" t="str">
        <x:v>Commercial service enquiry</x:v>
      </x:c>
      <x:c r="L264" s="6" t="str">
        <x:v>High</x:v>
      </x:c>
      <x:c r="M264" s="6" t="str">
        <x:v>https://digitecme.com/brands/mercedes-benz-service-dubai</x:v>
      </x:c>
      <x:c r="N264" s="6" t="str">
        <x:v>Unknown — export has no query/page pairing</x:v>
      </x:c>
      <x:c r="O264" s="6" t="str">
        <x:v>Retain primary intent and support variants</x:v>
      </x:c>
      <x:c r="P264" s="6" t="str">
        <x:v>Zero clicks from 56 impressions at average position 8.98; inspect query/page, country/device and SERP before attributing this to the snippet.</x:v>
      </x:c>
      <x:c r="Q264" s="6" t="str">
        <x:v>mercedes-benz</x:v>
      </x:c>
      <x:c r="R264" s="6" t="str">
        <x:v>service-repair</x:v>
      </x:c>
      <x:c r="S264" s="6" t="str">
        <x:v>Dubai explicit</x:v>
      </x:c>
      <x:c r="T264" s="6" t="n">
        <x:v>5</x:v>
      </x:c>
      <x:c r="U264" s="6" t="str">
        <x:v>4–10</x:v>
      </x:c>
      <x:c r="V264" s="6" t="str">
        <x:v>Page-one CTR review and top-three relevance</x:v>
      </x:c>
      <x:c r="W264" s="6" t="str">
        <x:v>Relevant supporting</x:v>
      </x:c>
      <x:c r="X264" s="6" t="n">
        <x:v>260</x:v>
      </x:c>
      <x:c r="Y264" s="6" t="str">
        <x:v>Unconfirmed — joint query/page data required</x:v>
      </x:c>
    </x:row>
    <x:row r="265" ht="42" customHeight="1">
      <x:c r="A265" s="6" t="str">
        <x:v>car battery replacement in dubai</x:v>
      </x:c>
      <x:c r="B265" s="14" t="n">
        <x:v>0</x:v>
      </x:c>
      <x:c r="C265" s="14" t="n">
        <x:v>56</x:v>
      </x:c>
      <x:c r="D265" s="15" t="n">
        <x:v>0</x:v>
      </x:c>
      <x:c r="E265" s="16" t="n">
        <x:v>24.11</x:v>
      </x:c>
      <x:c r="F265" s="6" t="str">
        <x:v>HIGH</x:v>
      </x:c>
      <x:c r="G265" s="17" t="n">
        <x:f>'Scoring'!I265</x:f>
        <x:v>70.4</x:v>
      </x:c>
      <x:c r="H265" s="6" t="str">
        <x:v>SUPPORT</x:v>
      </x:c>
      <x:c r="I265" s="6" t="str">
        <x:v>All vehicles: Battery service (English)</x:v>
      </x:c>
      <x:c r="J265" s="6" t="str">
        <x:v>Secondary</x:v>
      </x:c>
      <x:c r="K265" s="6" t="str">
        <x:v>Commercial service enquiry</x:v>
      </x:c>
      <x:c r="L265" s="6" t="str">
        <x:v>High</x:v>
      </x:c>
      <x:c r="M265" s="6" t="str">
        <x:v>https://digitecme.com/services/battery-replacement-dubai</x:v>
      </x:c>
      <x:c r="N265" s="6" t="str">
        <x:v>Unknown — export has no query/page pairing</x:v>
      </x:c>
      <x:c r="O265" s="6" t="str">
        <x:v>Retain primary intent and support variants</x:v>
      </x:c>
      <x:c r="P265" s="6" t="str">
        <x:v>Average position 24.11 makes ranking the main issue; avoid a CTR-only rewrite.</x:v>
      </x:c>
      <x:c r="Q265" s="6" t="str">
        <x:v>All vehicles</x:v>
      </x:c>
      <x:c r="R265" s="6" t="str">
        <x:v>battery-replacement</x:v>
      </x:c>
      <x:c r="S265" s="6" t="str">
        <x:v>Dubai explicit</x:v>
      </x:c>
      <x:c r="T265" s="6" t="n">
        <x:v>3</x:v>
      </x:c>
      <x:c r="U265" s="6" t="str">
        <x:v>21–40</x:v>
      </x:c>
      <x:c r="V265" s="6" t="str">
        <x:v>Content, internal authority and owner alignment</x:v>
      </x:c>
      <x:c r="W265" s="6" t="str">
        <x:v>Relevant supporting</x:v>
      </x:c>
      <x:c r="X265" s="6" t="n">
        <x:v>261</x:v>
      </x:c>
      <x:c r="Y265" s="6" t="str">
        <x:v>Unconfirmed — joint query/page data required</x:v>
      </x:c>
    </x:row>
    <x:row r="266" ht="42" customHeight="1">
      <x:c r="A266" s="6" t="str">
        <x:v>aston martin transmission repair dubai</x:v>
      </x:c>
      <x:c r="B266" s="14" t="n">
        <x:v>0</x:v>
      </x:c>
      <x:c r="C266" s="14" t="n">
        <x:v>55</x:v>
      </x:c>
      <x:c r="D266" s="15" t="n">
        <x:v>0</x:v>
      </x:c>
      <x:c r="E266" s="16" t="n">
        <x:v>10.24</x:v>
      </x:c>
      <x:c r="F266" s="6" t="str">
        <x:v>CRITICAL</x:v>
      </x:c>
      <x:c r="G266" s="17" t="n">
        <x:f>'Scoring'!I266</x:f>
        <x:v>85.8</x:v>
      </x:c>
      <x:c r="H266" s="6" t="str">
        <x:v>SPLIT</x:v>
      </x:c>
      <x:c r="I266" s="6" t="str">
        <x:v>aston-martin: Transmission and gearbox repair</x:v>
      </x:c>
      <x:c r="J266" s="6" t="str">
        <x:v>Primary</x:v>
      </x:c>
      <x:c r="K266" s="6" t="str">
        <x:v>Commercial service enquiry</x:v>
      </x:c>
      <x:c r="L266" s="6" t="str">
        <x:v>High</x:v>
      </x:c>
      <x:c r="M266" s="6" t="str">
        <x:v>https://digitecme.com/brands/aston-martin-service-dubai/transmission-repair</x:v>
      </x:c>
      <x:c r="N266" s="6" t="str">
        <x:v>Unknown — export has no query/page pairing</x:v>
      </x:c>
      <x:c r="O266" s="6" t="str">
        <x:v>Use dedicated service owner</x:v>
      </x:c>
      <x:c r="P266" s="6" t="str">
        <x:v>55 impressions at average position 10.24; strengthen the appropriate intent owner and measure with a fresh comparable period.</x:v>
      </x:c>
      <x:c r="Q266" s="6" t="str">
        <x:v>aston-martin</x:v>
      </x:c>
      <x:c r="R266" s="6" t="str">
        <x:v>transmission-repair</x:v>
      </x:c>
      <x:c r="S266" s="6" t="str">
        <x:v>Dubai explicit</x:v>
      </x:c>
      <x:c r="T266" s="6" t="n">
        <x:v>5</x:v>
      </x:c>
      <x:c r="U266" s="6" t="str">
        <x:v>11–20</x:v>
      </x:c>
      <x:c r="V266" s="6" t="str">
        <x:v>Ranking and owner relevance</x:v>
      </x:c>
      <x:c r="W266" s="6" t="str">
        <x:v>High-value commercial</x:v>
      </x:c>
      <x:c r="X266" s="6" t="n">
        <x:v>262</x:v>
      </x:c>
      <x:c r="Y266" s="6" t="str">
        <x:v>Unconfirmed — joint query/page data required</x:v>
      </x:c>
    </x:row>
    <x:row r="267" ht="42" customHeight="1">
      <x:c r="A267" s="6" t="str">
        <x:v>car steering repair near me</x:v>
      </x:c>
      <x:c r="B267" s="14" t="n">
        <x:v>0</x:v>
      </x:c>
      <x:c r="C267" s="14" t="n">
        <x:v>55</x:v>
      </x:c>
      <x:c r="D267" s="15" t="n">
        <x:v>0</x:v>
      </x:c>
      <x:c r="E267" s="16" t="n">
        <x:v>13.93</x:v>
      </x:c>
      <x:c r="F267" s="6" t="str">
        <x:v>CRITICAL</x:v>
      </x:c>
      <x:c r="G267" s="17" t="n">
        <x:f>'Scoring'!I267</x:f>
        <x:v>77.8</x:v>
      </x:c>
      <x:c r="H267" s="6" t="str">
        <x:v>SUPPORT</x:v>
      </x:c>
      <x:c r="I267" s="6" t="str">
        <x:v>All vehicles: Steering repair</x:v>
      </x:c>
      <x:c r="J267" s="6" t="str">
        <x:v>Secondary</x:v>
      </x:c>
      <x:c r="K267" s="6" t="str">
        <x:v>Commercial service enquiry</x:v>
      </x:c>
      <x:c r="L267" s="6" t="str">
        <x:v>High</x:v>
      </x:c>
      <x:c r="M267" s="6" t="str">
        <x:v>https://digitecme.com/services/steering-repair-dubai</x:v>
      </x:c>
      <x:c r="N267" s="6" t="str">
        <x:v>Unknown — export has no query/page pairing</x:v>
      </x:c>
      <x:c r="O267" s="6" t="str">
        <x:v>Retain primary intent and support variants</x:v>
      </x:c>
      <x:c r="P267" s="6" t="str">
        <x:v>55 impressions at average position 13.93; strengthen the appropriate intent owner and measure with a fresh comparable period.</x:v>
      </x:c>
      <x:c r="Q267" s="6" t="str">
        <x:v>All vehicles</x:v>
      </x:c>
      <x:c r="R267" s="6" t="str">
        <x:v>steering-repair</x:v>
      </x:c>
      <x:c r="S267" s="6" t="str">
        <x:v>Near me; location unknown</x:v>
      </x:c>
      <x:c r="T267" s="6" t="n">
        <x:v>3</x:v>
      </x:c>
      <x:c r="U267" s="6" t="str">
        <x:v>11–20</x:v>
      </x:c>
      <x:c r="V267" s="6" t="str">
        <x:v>Ranking and owner relevance</x:v>
      </x:c>
      <x:c r="W267" s="6" t="str">
        <x:v>Relevant supporting</x:v>
      </x:c>
      <x:c r="X267" s="6" t="n">
        <x:v>263</x:v>
      </x:c>
      <x:c r="Y267" s="6" t="str">
        <x:v>Unconfirmed — joint query/page data required</x:v>
      </x:c>
    </x:row>
    <x:row r="268" ht="42" customHeight="1">
      <x:c r="A268" s="6" t="str">
        <x:v>ferrari repair</x:v>
      </x:c>
      <x:c r="B268" s="14" t="n">
        <x:v>0</x:v>
      </x:c>
      <x:c r="C268" s="14" t="n">
        <x:v>55</x:v>
      </x:c>
      <x:c r="D268" s="15" t="n">
        <x:v>0</x:v>
      </x:c>
      <x:c r="E268" s="16" t="n">
        <x:v>18.16</x:v>
      </x:c>
      <x:c r="F268" s="6" t="str">
        <x:v>HIGH</x:v>
      </x:c>
      <x:c r="G268" s="17" t="n">
        <x:f>'Scoring'!I268</x:f>
        <x:v>73.3</x:v>
      </x:c>
      <x:c r="H268" s="6" t="str">
        <x:v>SUPPORT</x:v>
      </x:c>
      <x:c r="I268" s="6" t="str">
        <x:v>ferrari: Service and repair</x:v>
      </x:c>
      <x:c r="J268" s="6" t="str">
        <x:v>Secondary</x:v>
      </x:c>
      <x:c r="K268" s="6" t="str">
        <x:v>Commercial service enquiry</x:v>
      </x:c>
      <x:c r="L268" s="6" t="str">
        <x:v>High</x:v>
      </x:c>
      <x:c r="M268" s="6" t="str">
        <x:v>https://digitecme.com/brands/ferrari-service-dubai</x:v>
      </x:c>
      <x:c r="N268" s="6" t="str">
        <x:v>Unknown — export has no query/page pairing</x:v>
      </x:c>
      <x:c r="O268" s="6" t="str">
        <x:v>Retain primary intent and support variants</x:v>
      </x:c>
      <x:c r="P268" s="6" t="str">
        <x:v>55 impressions at average position 18.16; strengthen the appropriate intent owner and measure with a fresh comparable period.</x:v>
      </x:c>
      <x:c r="Q268" s="6" t="str">
        <x:v>ferrari</x:v>
      </x:c>
      <x:c r="R268" s="6" t="str">
        <x:v>service-repair</x:v>
      </x:c>
      <x:c r="S268" s="6" t="str">
        <x:v>Location unspecified</x:v>
      </x:c>
      <x:c r="T268" s="6" t="n">
        <x:v>5</x:v>
      </x:c>
      <x:c r="U268" s="6" t="str">
        <x:v>11–20</x:v>
      </x:c>
      <x:c r="V268" s="6" t="str">
        <x:v>Ranking and owner relevance</x:v>
      </x:c>
      <x:c r="W268" s="6" t="str">
        <x:v>Relevant supporting</x:v>
      </x:c>
      <x:c r="X268" s="6" t="n">
        <x:v>264</x:v>
      </x:c>
      <x:c r="Y268" s="6" t="str">
        <x:v>Unconfirmed — joint query/page data required</x:v>
      </x:c>
    </x:row>
    <x:row r="269" ht="42" customHeight="1">
      <x:c r="A269" s="6" t="str">
        <x:v>bugatti workshop dubai</x:v>
      </x:c>
      <x:c r="B269" s="14" t="n">
        <x:v>0</x:v>
      </x:c>
      <x:c r="C269" s="14" t="n">
        <x:v>55</x:v>
      </x:c>
      <x:c r="D269" s="15" t="n">
        <x:v>0</x:v>
      </x:c>
      <x:c r="E269" s="16" t="n">
        <x:v>18.89</x:v>
      </x:c>
      <x:c r="F269" s="6" t="str">
        <x:v>HIGH</x:v>
      </x:c>
      <x:c r="G269" s="17" t="n">
        <x:f>'Scoring'!I269</x:f>
        <x:v>78.3</x:v>
      </x:c>
      <x:c r="H269" s="6" t="str">
        <x:v>SUPPORT</x:v>
      </x:c>
      <x:c r="I269" s="6" t="str">
        <x:v>bugatti: Service and repair</x:v>
      </x:c>
      <x:c r="J269" s="6" t="str">
        <x:v>Secondary</x:v>
      </x:c>
      <x:c r="K269" s="6" t="str">
        <x:v>Commercial service enquiry</x:v>
      </x:c>
      <x:c r="L269" s="6" t="str">
        <x:v>High</x:v>
      </x:c>
      <x:c r="M269" s="6" t="str">
        <x:v>https://digitecme.com/brands/bugatti-service-dubai</x:v>
      </x:c>
      <x:c r="N269" s="6" t="str">
        <x:v>Unknown — export has no query/page pairing</x:v>
      </x:c>
      <x:c r="O269" s="6" t="str">
        <x:v>Retain primary intent and support variants</x:v>
      </x:c>
      <x:c r="P269" s="6" t="str">
        <x:v>55 impressions at average position 18.89; strengthen the appropriate intent owner and measure with a fresh comparable period.</x:v>
      </x:c>
      <x:c r="Q269" s="6" t="str">
        <x:v>bugatti</x:v>
      </x:c>
      <x:c r="R269" s="6" t="str">
        <x:v>service-repair</x:v>
      </x:c>
      <x:c r="S269" s="6" t="str">
        <x:v>Dubai explicit</x:v>
      </x:c>
      <x:c r="T269" s="6" t="n">
        <x:v>5</x:v>
      </x:c>
      <x:c r="U269" s="6" t="str">
        <x:v>11–20</x:v>
      </x:c>
      <x:c r="V269" s="6" t="str">
        <x:v>Ranking and owner relevance</x:v>
      </x:c>
      <x:c r="W269" s="6" t="str">
        <x:v>Relevant supporting</x:v>
      </x:c>
      <x:c r="X269" s="6" t="n">
        <x:v>265</x:v>
      </x:c>
      <x:c r="Y269" s="6" t="str">
        <x:v>Unconfirmed — joint query/page data required</x:v>
      </x:c>
    </x:row>
    <x:row r="270" ht="42" customHeight="1">
      <x:c r="A270" s="6" t="str">
        <x:v>cadillac oil change dubai</x:v>
      </x:c>
      <x:c r="B270" s="14" t="n">
        <x:v>0</x:v>
      </x:c>
      <x:c r="C270" s="14" t="n">
        <x:v>55</x:v>
      </x:c>
      <x:c r="D270" s="15" t="n">
        <x:v>0</x:v>
      </x:c>
      <x:c r="E270" s="16" t="n">
        <x:v>21.36</x:v>
      </x:c>
      <x:c r="F270" s="6" t="str">
        <x:v>HIGH</x:v>
      </x:c>
      <x:c r="G270" s="17" t="n">
        <x:f>'Scoring'!I270</x:f>
        <x:v>70.3</x:v>
      </x:c>
      <x:c r="H270" s="6" t="str">
        <x:v>SPLIT</x:v>
      </x:c>
      <x:c r="I270" s="6" t="str">
        <x:v>cadillac: Oil change</x:v>
      </x:c>
      <x:c r="J270" s="6" t="str">
        <x:v>Primary</x:v>
      </x:c>
      <x:c r="K270" s="6" t="str">
        <x:v>Commercial service enquiry</x:v>
      </x:c>
      <x:c r="L270" s="6" t="str">
        <x:v>High</x:v>
      </x:c>
      <x:c r="M270" s="6" t="str">
        <x:v>https://digitecme.com/brands/cadillac-service-dubai/oil-change</x:v>
      </x:c>
      <x:c r="N270" s="6" t="str">
        <x:v>Unknown — export has no query/page pairing</x:v>
      </x:c>
      <x:c r="O270" s="6" t="str">
        <x:v>Use dedicated service owner</x:v>
      </x:c>
      <x:c r="P270" s="6" t="str">
        <x:v>Average position 21.36 makes ranking the main issue; avoid a CTR-only rewrite.</x:v>
      </x:c>
      <x:c r="Q270" s="6" t="str">
        <x:v>cadillac</x:v>
      </x:c>
      <x:c r="R270" s="6" t="str">
        <x:v>oil-change</x:v>
      </x:c>
      <x:c r="S270" s="6" t="str">
        <x:v>Dubai explicit</x:v>
      </x:c>
      <x:c r="T270" s="6" t="n">
        <x:v>3</x:v>
      </x:c>
      <x:c r="U270" s="6" t="str">
        <x:v>21–40</x:v>
      </x:c>
      <x:c r="V270" s="6" t="str">
        <x:v>Content, internal authority and owner alignment</x:v>
      </x:c>
      <x:c r="W270" s="6" t="str">
        <x:v>High-value commercial</x:v>
      </x:c>
      <x:c r="X270" s="6" t="n">
        <x:v>266</x:v>
      </x:c>
      <x:c r="Y270" s="6" t="str">
        <x:v>Unconfirmed — joint query/page data required</x:v>
      </x:c>
    </x:row>
    <x:row r="271" ht="42" customHeight="1">
      <x:c r="A271" s="6" t="str">
        <x:v>rolls royce repair in dubai</x:v>
      </x:c>
      <x:c r="B271" s="14" t="n">
        <x:v>0</x:v>
      </x:c>
      <x:c r="C271" s="14" t="n">
        <x:v>55</x:v>
      </x:c>
      <x:c r="D271" s="15" t="n">
        <x:v>0</x:v>
      </x:c>
      <x:c r="E271" s="16" t="n">
        <x:v>27.91</x:v>
      </x:c>
      <x:c r="F271" s="6" t="str">
        <x:v>HIGH</x:v>
      </x:c>
      <x:c r="G271" s="17" t="n">
        <x:f>'Scoring'!I271</x:f>
        <x:v>78.3</x:v>
      </x:c>
      <x:c r="H271" s="6" t="str">
        <x:v>SUPPORT</x:v>
      </x:c>
      <x:c r="I271" s="6" t="str">
        <x:v>rolls-royce: Service and repair</x:v>
      </x:c>
      <x:c r="J271" s="6" t="str">
        <x:v>Secondary</x:v>
      </x:c>
      <x:c r="K271" s="6" t="str">
        <x:v>Commercial service enquiry</x:v>
      </x:c>
      <x:c r="L271" s="6" t="str">
        <x:v>High</x:v>
      </x:c>
      <x:c r="M271" s="6" t="str">
        <x:v>https://digitecme.com/brands/rolls-royce-service-dubai</x:v>
      </x:c>
      <x:c r="N271" s="6" t="str">
        <x:v>Unknown — export has no query/page pairing</x:v>
      </x:c>
      <x:c r="O271" s="6" t="str">
        <x:v>Retain primary intent and support variants</x:v>
      </x:c>
      <x:c r="P271" s="6" t="str">
        <x:v>Average position 27.91 makes ranking the main issue; avoid a CTR-only rewrite.</x:v>
      </x:c>
      <x:c r="Q271" s="6" t="str">
        <x:v>rolls-royce</x:v>
      </x:c>
      <x:c r="R271" s="6" t="str">
        <x:v>service-repair</x:v>
      </x:c>
      <x:c r="S271" s="6" t="str">
        <x:v>Dubai explicit</x:v>
      </x:c>
      <x:c r="T271" s="6" t="n">
        <x:v>5</x:v>
      </x:c>
      <x:c r="U271" s="6" t="str">
        <x:v>21–40</x:v>
      </x:c>
      <x:c r="V271" s="6" t="str">
        <x:v>Content, internal authority and owner alignment</x:v>
      </x:c>
      <x:c r="W271" s="6" t="str">
        <x:v>Relevant supporting</x:v>
      </x:c>
      <x:c r="X271" s="6" t="n">
        <x:v>267</x:v>
      </x:c>
      <x:c r="Y271" s="6" t="str">
        <x:v>Unconfirmed — joint query/page data required</x:v>
      </x:c>
    </x:row>
    <x:row r="272" ht="42" customHeight="1">
      <x:c r="A272" s="6" t="str">
        <x:v>mercedes brake service dubai</x:v>
      </x:c>
      <x:c r="B272" s="14" t="n">
        <x:v>0</x:v>
      </x:c>
      <x:c r="C272" s="14" t="n">
        <x:v>55</x:v>
      </x:c>
      <x:c r="D272" s="15" t="n">
        <x:v>0</x:v>
      </x:c>
      <x:c r="E272" s="16" t="n">
        <x:v>31.35</x:v>
      </x:c>
      <x:c r="F272" s="6" t="str">
        <x:v>GROWTH</x:v>
      </x:c>
      <x:c r="G272" s="17" t="n">
        <x:f>'Scoring'!I272</x:f>
        <x:v>70.8</x:v>
      </x:c>
      <x:c r="H272" s="6" t="str">
        <x:v>SPLIT</x:v>
      </x:c>
      <x:c r="I272" s="6" t="str">
        <x:v>mercedes-benz: Brake repair</x:v>
      </x:c>
      <x:c r="J272" s="6" t="str">
        <x:v>Primary</x:v>
      </x:c>
      <x:c r="K272" s="6" t="str">
        <x:v>Commercial service enquiry</x:v>
      </x:c>
      <x:c r="L272" s="6" t="str">
        <x:v>High</x:v>
      </x:c>
      <x:c r="M272" s="6" t="str">
        <x:v>https://digitecme.com/services/mercedes-brake-repair-dubai</x:v>
      </x:c>
      <x:c r="N272" s="6" t="str">
        <x:v>Unknown — export has no query/page pairing</x:v>
      </x:c>
      <x:c r="O272" s="6" t="str">
        <x:v>Use dedicated service owner</x:v>
      </x:c>
      <x:c r="P272" s="6" t="str">
        <x:v>Average position 31.35 makes ranking the main issue; avoid a CTR-only rewrite.</x:v>
      </x:c>
      <x:c r="Q272" s="6" t="str">
        <x:v>mercedes-benz</x:v>
      </x:c>
      <x:c r="R272" s="6" t="str">
        <x:v>brake-repair</x:v>
      </x:c>
      <x:c r="S272" s="6" t="str">
        <x:v>Dubai explicit</x:v>
      </x:c>
      <x:c r="T272" s="6" t="n">
        <x:v>5</x:v>
      </x:c>
      <x:c r="U272" s="6" t="str">
        <x:v>21–40</x:v>
      </x:c>
      <x:c r="V272" s="6" t="str">
        <x:v>Content, internal authority and owner alignment</x:v>
      </x:c>
      <x:c r="W272" s="6" t="str">
        <x:v>High-value commercial</x:v>
      </x:c>
      <x:c r="X272" s="6" t="n">
        <x:v>268</x:v>
      </x:c>
      <x:c r="Y272" s="6" t="str">
        <x:v>Unconfirmed — joint query/page data required</x:v>
      </x:c>
    </x:row>
    <x:row r="273" ht="42" customHeight="1">
      <x:c r="A273" s="6" t="str">
        <x:v>auto air con</x:v>
      </x:c>
      <x:c r="B273" s="14" t="n">
        <x:v>0</x:v>
      </x:c>
      <x:c r="C273" s="14" t="n">
        <x:v>55</x:v>
      </x:c>
      <x:c r="D273" s="15" t="n">
        <x:v>0</x:v>
      </x:c>
      <x:c r="E273" s="16" t="n">
        <x:v>65.31</x:v>
      </x:c>
      <x:c r="F273" s="6" t="str">
        <x:v>GROWTH</x:v>
      </x:c>
      <x:c r="G273" s="17" t="n">
        <x:f>'Scoring'!I273</x:f>
        <x:v>51.6</x:v>
      </x:c>
      <x:c r="H273" s="6" t="str">
        <x:v>SUPPORT</x:v>
      </x:c>
      <x:c r="I273" s="6" t="str">
        <x:v>All vehicles: AC repair</x:v>
      </x:c>
      <x:c r="J273" s="6" t="str">
        <x:v>Secondary</x:v>
      </x:c>
      <x:c r="K273" s="6" t="str">
        <x:v>Commercial service enquiry</x:v>
      </x:c>
      <x:c r="L273" s="6" t="str">
        <x:v>High</x:v>
      </x:c>
      <x:c r="M273" s="6" t="str">
        <x:v>https://digitecme.com/services/car-ac-repair-dubai</x:v>
      </x:c>
      <x:c r="N273" s="6" t="str">
        <x:v>Unknown — export has no query/page pairing</x:v>
      </x:c>
      <x:c r="O273" s="6" t="str">
        <x:v>Retain primary intent and support variants</x:v>
      </x:c>
      <x:c r="P273" s="6" t="str">
        <x:v>Average position 65.31 makes ranking the main issue; avoid a CTR-only rewrite.</x:v>
      </x:c>
      <x:c r="Q273" s="6" t="str">
        <x:v>All vehicles</x:v>
      </x:c>
      <x:c r="R273" s="6" t="str">
        <x:v>ac-repair</x:v>
      </x:c>
      <x:c r="S273" s="6" t="str">
        <x:v>Location unspecified</x:v>
      </x:c>
      <x:c r="T273" s="6" t="n">
        <x:v>3</x:v>
      </x:c>
      <x:c r="U273" s="6" t="str">
        <x:v>40+</x:v>
      </x:c>
      <x:c r="V273" s="6" t="str">
        <x:v>Relevance, capability, indexing and authority review</x:v>
      </x:c>
      <x:c r="W273" s="6" t="str">
        <x:v>Relevant supporting</x:v>
      </x:c>
      <x:c r="X273" s="6" t="n">
        <x:v>269</x:v>
      </x:c>
      <x:c r="Y273" s="6" t="str">
        <x:v>Unconfirmed — joint query/page data required</x:v>
      </x:c>
    </x:row>
    <x:row r="274" ht="42" customHeight="1">
      <x:c r="A274" s="6" t="str">
        <x:v>nissan service center al quoz</x:v>
      </x:c>
      <x:c r="B274" s="14" t="n">
        <x:v>0</x:v>
      </x:c>
      <x:c r="C274" s="14" t="n">
        <x:v>54</x:v>
      </x:c>
      <x:c r="D274" s="15" t="n">
        <x:v>0</x:v>
      </x:c>
      <x:c r="E274" s="16" t="n">
        <x:v>9.3</x:v>
      </x:c>
      <x:c r="F274" s="6" t="str">
        <x:v>CRITICAL</x:v>
      </x:c>
      <x:c r="G274" s="17" t="n">
        <x:f>'Scoring'!I274</x:f>
        <x:v>87.8</x:v>
      </x:c>
      <x:c r="H274" s="6" t="str">
        <x:v>SUPPORT</x:v>
      </x:c>
      <x:c r="I274" s="6" t="str">
        <x:v>nissan: Service and repair</x:v>
      </x:c>
      <x:c r="J274" s="6" t="str">
        <x:v>Secondary</x:v>
      </x:c>
      <x:c r="K274" s="6" t="str">
        <x:v>Commercial service enquiry</x:v>
      </x:c>
      <x:c r="L274" s="6" t="str">
        <x:v>High</x:v>
      </x:c>
      <x:c r="M274" s="6" t="str">
        <x:v>https://digitecme.com/brands/nissan-service-dubai</x:v>
      </x:c>
      <x:c r="N274" s="6" t="str">
        <x:v>Unknown — export has no query/page pairing</x:v>
      </x:c>
      <x:c r="O274" s="6" t="str">
        <x:v>Retain primary intent and support variants</x:v>
      </x:c>
      <x:c r="P274" s="6" t="str">
        <x:v>Zero clicks from 54 impressions at average position 9.30; inspect query/page, country/device and SERP before attributing this to the snippet.</x:v>
      </x:c>
      <x:c r="Q274" s="6" t="str">
        <x:v>nissan</x:v>
      </x:c>
      <x:c r="R274" s="6" t="str">
        <x:v>service-repair</x:v>
      </x:c>
      <x:c r="S274" s="6" t="str">
        <x:v>Dubai explicit</x:v>
      </x:c>
      <x:c r="T274" s="6" t="n">
        <x:v>3</x:v>
      </x:c>
      <x:c r="U274" s="6" t="str">
        <x:v>4–10</x:v>
      </x:c>
      <x:c r="V274" s="6" t="str">
        <x:v>Page-one CTR review and top-three relevance</x:v>
      </x:c>
      <x:c r="W274" s="6" t="str">
        <x:v>Relevant supporting</x:v>
      </x:c>
      <x:c r="X274" s="6" t="n">
        <x:v>270</x:v>
      </x:c>
      <x:c r="Y274" s="6" t="str">
        <x:v>Unconfirmed — joint query/page data required</x:v>
      </x:c>
    </x:row>
    <x:row r="275" ht="42" customHeight="1">
      <x:c r="A275" s="6" t="str">
        <x:v>maserati workshop dubai</x:v>
      </x:c>
      <x:c r="B275" s="14" t="n">
        <x:v>0</x:v>
      </x:c>
      <x:c r="C275" s="14" t="n">
        <x:v>54</x:v>
      </x:c>
      <x:c r="D275" s="15" t="n">
        <x:v>0</x:v>
      </x:c>
      <x:c r="E275" s="16" t="n">
        <x:v>14.22</x:v>
      </x:c>
      <x:c r="F275" s="6" t="str">
        <x:v>CRITICAL</x:v>
      </x:c>
      <x:c r="G275" s="17" t="n">
        <x:f>'Scoring'!I275</x:f>
        <x:v>85.8</x:v>
      </x:c>
      <x:c r="H275" s="6" t="str">
        <x:v>PRIORITIZE</x:v>
      </x:c>
      <x:c r="I275" s="6" t="str">
        <x:v>maserati: Service and repair (English)</x:v>
      </x:c>
      <x:c r="J275" s="6" t="str">
        <x:v>Primary</x:v>
      </x:c>
      <x:c r="K275" s="6" t="str">
        <x:v>Commercial service enquiry</x:v>
      </x:c>
      <x:c r="L275" s="6" t="str">
        <x:v>High</x:v>
      </x:c>
      <x:c r="M275" s="6" t="str">
        <x:v>https://digitecme.com/brands/maserati-service-dubai</x:v>
      </x:c>
      <x:c r="N275" s="6" t="str">
        <x:v>Unknown — export has no query/page pairing</x:v>
      </x:c>
      <x:c r="O275" s="6" t="str">
        <x:v>Strengthen this primary intent owner</x:v>
      </x:c>
      <x:c r="P275" s="6" t="str">
        <x:v>54 impressions at average position 14.22; strengthen the appropriate intent owner and measure with a fresh comparable period.</x:v>
      </x:c>
      <x:c r="Q275" s="6" t="str">
        <x:v>maserati</x:v>
      </x:c>
      <x:c r="R275" s="6" t="str">
        <x:v>service-repair</x:v>
      </x:c>
      <x:c r="S275" s="6" t="str">
        <x:v>Dubai explicit</x:v>
      </x:c>
      <x:c r="T275" s="6" t="n">
        <x:v>5</x:v>
      </x:c>
      <x:c r="U275" s="6" t="str">
        <x:v>11–20</x:v>
      </x:c>
      <x:c r="V275" s="6" t="str">
        <x:v>Ranking and owner relevance</x:v>
      </x:c>
      <x:c r="W275" s="6" t="str">
        <x:v>High-value commercial</x:v>
      </x:c>
      <x:c r="X275" s="6" t="n">
        <x:v>271</x:v>
      </x:c>
      <x:c r="Y275" s="6" t="str">
        <x:v>Unconfirmed — joint query/page data required</x:v>
      </x:c>
    </x:row>
    <x:row r="276" ht="42" customHeight="1">
      <x:c r="A276" s="6" t="str">
        <x:v>bmw workshop dubai al quoz</x:v>
      </x:c>
      <x:c r="B276" s="14" t="n">
        <x:v>0</x:v>
      </x:c>
      <x:c r="C276" s="14" t="n">
        <x:v>54</x:v>
      </x:c>
      <x:c r="D276" s="15" t="n">
        <x:v>0</x:v>
      </x:c>
      <x:c r="E276" s="16" t="n">
        <x:v>14.52</x:v>
      </x:c>
      <x:c r="F276" s="6" t="str">
        <x:v>CRITICAL</x:v>
      </x:c>
      <x:c r="G276" s="17" t="n">
        <x:f>'Scoring'!I276</x:f>
        <x:v>85.8</x:v>
      </x:c>
      <x:c r="H276" s="6" t="str">
        <x:v>SUPPORT</x:v>
      </x:c>
      <x:c r="I276" s="6" t="str">
        <x:v>bmw: Service and repair (English)</x:v>
      </x:c>
      <x:c r="J276" s="6" t="str">
        <x:v>Secondary</x:v>
      </x:c>
      <x:c r="K276" s="6" t="str">
        <x:v>Commercial service enquiry</x:v>
      </x:c>
      <x:c r="L276" s="6" t="str">
        <x:v>High</x:v>
      </x:c>
      <x:c r="M276" s="6" t="str">
        <x:v>https://digitecme.com/brands/bmw-service-dubai</x:v>
      </x:c>
      <x:c r="N276" s="6" t="str">
        <x:v>Unknown — export has no query/page pairing</x:v>
      </x:c>
      <x:c r="O276" s="6" t="str">
        <x:v>Retain primary intent and support variants</x:v>
      </x:c>
      <x:c r="P276" s="6" t="str">
        <x:v>54 impressions at average position 14.52; strengthen the appropriate intent owner and measure with a fresh comparable period.</x:v>
      </x:c>
      <x:c r="Q276" s="6" t="str">
        <x:v>bmw</x:v>
      </x:c>
      <x:c r="R276" s="6" t="str">
        <x:v>service-repair</x:v>
      </x:c>
      <x:c r="S276" s="6" t="str">
        <x:v>Dubai explicit</x:v>
      </x:c>
      <x:c r="T276" s="6" t="n">
        <x:v>5</x:v>
      </x:c>
      <x:c r="U276" s="6" t="str">
        <x:v>11–20</x:v>
      </x:c>
      <x:c r="V276" s="6" t="str">
        <x:v>Ranking and owner relevance</x:v>
      </x:c>
      <x:c r="W276" s="6" t="str">
        <x:v>Relevant supporting</x:v>
      </x:c>
      <x:c r="X276" s="6" t="n">
        <x:v>272</x:v>
      </x:c>
      <x:c r="Y276" s="6" t="str">
        <x:v>Unconfirmed — joint query/page data required</x:v>
      </x:c>
    </x:row>
    <x:row r="277" ht="42" customHeight="1">
      <x:c r="A277" s="6" t="str">
        <x:v>bugatti maintenance dubai</x:v>
      </x:c>
      <x:c r="B277" s="14" t="n">
        <x:v>0</x:v>
      </x:c>
      <x:c r="C277" s="14" t="n">
        <x:v>54</x:v>
      </x:c>
      <x:c r="D277" s="15" t="n">
        <x:v>0</x:v>
      </x:c>
      <x:c r="E277" s="16" t="n">
        <x:v>19.89</x:v>
      </x:c>
      <x:c r="F277" s="6" t="str">
        <x:v>HIGH</x:v>
      </x:c>
      <x:c r="G277" s="17" t="n">
        <x:f>'Scoring'!I277</x:f>
        <x:v>78.3</x:v>
      </x:c>
      <x:c r="H277" s="6" t="str">
        <x:v>SUPPORT</x:v>
      </x:c>
      <x:c r="I277" s="6" t="str">
        <x:v>bugatti: Service and repair</x:v>
      </x:c>
      <x:c r="J277" s="6" t="str">
        <x:v>Secondary</x:v>
      </x:c>
      <x:c r="K277" s="6" t="str">
        <x:v>Commercial service enquiry</x:v>
      </x:c>
      <x:c r="L277" s="6" t="str">
        <x:v>High</x:v>
      </x:c>
      <x:c r="M277" s="6" t="str">
        <x:v>https://digitecme.com/brands/bugatti-service-dubai</x:v>
      </x:c>
      <x:c r="N277" s="6" t="str">
        <x:v>Unknown — export has no query/page pairing</x:v>
      </x:c>
      <x:c r="O277" s="6" t="str">
        <x:v>Retain primary intent and support variants</x:v>
      </x:c>
      <x:c r="P277" s="6" t="str">
        <x:v>54 impressions at average position 19.89; strengthen the appropriate intent owner and measure with a fresh comparable period.</x:v>
      </x:c>
      <x:c r="Q277" s="6" t="str">
        <x:v>bugatti</x:v>
      </x:c>
      <x:c r="R277" s="6" t="str">
        <x:v>service-repair</x:v>
      </x:c>
      <x:c r="S277" s="6" t="str">
        <x:v>Dubai explicit</x:v>
      </x:c>
      <x:c r="T277" s="6" t="n">
        <x:v>5</x:v>
      </x:c>
      <x:c r="U277" s="6" t="str">
        <x:v>11–20</x:v>
      </x:c>
      <x:c r="V277" s="6" t="str">
        <x:v>Ranking and owner relevance</x:v>
      </x:c>
      <x:c r="W277" s="6" t="str">
        <x:v>Relevant supporting</x:v>
      </x:c>
      <x:c r="X277" s="6" t="n">
        <x:v>273</x:v>
      </x:c>
      <x:c r="Y277" s="6" t="str">
        <x:v>Unconfirmed — joint query/page data required</x:v>
      </x:c>
    </x:row>
    <x:row r="278" ht="42" customHeight="1">
      <x:c r="A278" s="6" t="str">
        <x:v>mercedes service center</x:v>
      </x:c>
      <x:c r="B278" s="14" t="n">
        <x:v>0</x:v>
      </x:c>
      <x:c r="C278" s="14" t="n">
        <x:v>54</x:v>
      </x:c>
      <x:c r="D278" s="15" t="n">
        <x:v>0</x:v>
      </x:c>
      <x:c r="E278" s="16" t="n">
        <x:v>21.39</x:v>
      </x:c>
      <x:c r="F278" s="6" t="str">
        <x:v>HIGH</x:v>
      </x:c>
      <x:c r="G278" s="17" t="n">
        <x:f>'Scoring'!I278</x:f>
        <x:v>73.3</x:v>
      </x:c>
      <x:c r="H278" s="6" t="str">
        <x:v>SUPPORT</x:v>
      </x:c>
      <x:c r="I278" s="6" t="str">
        <x:v>mercedes-benz: Service and repair (English)</x:v>
      </x:c>
      <x:c r="J278" s="6" t="str">
        <x:v>Secondary</x:v>
      </x:c>
      <x:c r="K278" s="6" t="str">
        <x:v>Commercial service enquiry</x:v>
      </x:c>
      <x:c r="L278" s="6" t="str">
        <x:v>High</x:v>
      </x:c>
      <x:c r="M278" s="6" t="str">
        <x:v>https://digitecme.com/brands/mercedes-benz-service-dubai</x:v>
      </x:c>
      <x:c r="N278" s="6" t="str">
        <x:v>Unknown — export has no query/page pairing</x:v>
      </x:c>
      <x:c r="O278" s="6" t="str">
        <x:v>Retain primary intent and support variants</x:v>
      </x:c>
      <x:c r="P278" s="6" t="str">
        <x:v>Average position 21.39 makes ranking the main issue; avoid a CTR-only rewrite.</x:v>
      </x:c>
      <x:c r="Q278" s="6" t="str">
        <x:v>mercedes-benz</x:v>
      </x:c>
      <x:c r="R278" s="6" t="str">
        <x:v>service-repair</x:v>
      </x:c>
      <x:c r="S278" s="6" t="str">
        <x:v>Location unspecified</x:v>
      </x:c>
      <x:c r="T278" s="6" t="n">
        <x:v>5</x:v>
      </x:c>
      <x:c r="U278" s="6" t="str">
        <x:v>21–40</x:v>
      </x:c>
      <x:c r="V278" s="6" t="str">
        <x:v>Content, internal authority and owner alignment</x:v>
      </x:c>
      <x:c r="W278" s="6" t="str">
        <x:v>Relevant supporting</x:v>
      </x:c>
      <x:c r="X278" s="6" t="n">
        <x:v>274</x:v>
      </x:c>
      <x:c r="Y278" s="6" t="str">
        <x:v>Unconfirmed — joint query/page data required</x:v>
      </x:c>
    </x:row>
    <x:row r="279" ht="42" customHeight="1">
      <x:c r="A279" s="6" t="str">
        <x:v>car transmission repair dubai</x:v>
      </x:c>
      <x:c r="B279" s="14" t="n">
        <x:v>0</x:v>
      </x:c>
      <x:c r="C279" s="14" t="n">
        <x:v>54</x:v>
      </x:c>
      <x:c r="D279" s="15" t="n">
        <x:v>0</x:v>
      </x:c>
      <x:c r="E279" s="16" t="n">
        <x:v>38.2</x:v>
      </x:c>
      <x:c r="F279" s="6" t="str">
        <x:v>GROWTH</x:v>
      </x:c>
      <x:c r="G279" s="17" t="n">
        <x:f>'Scoring'!I279</x:f>
        <x:v>62.8</x:v>
      </x:c>
      <x:c r="H279" s="6" t="str">
        <x:v>SUPPORT</x:v>
      </x:c>
      <x:c r="I279" s="6" t="str">
        <x:v>All vehicles: Transmission and gearbox repair</x:v>
      </x:c>
      <x:c r="J279" s="6" t="str">
        <x:v>Secondary</x:v>
      </x:c>
      <x:c r="K279" s="6" t="str">
        <x:v>Commercial service enquiry</x:v>
      </x:c>
      <x:c r="L279" s="6" t="str">
        <x:v>High</x:v>
      </x:c>
      <x:c r="M279" s="6" t="str">
        <x:v>https://digitecme.com/services/car-service-dubai</x:v>
      </x:c>
      <x:c r="N279" s="6" t="str">
        <x:v>Unknown — export has no query/page pairing</x:v>
      </x:c>
      <x:c r="O279" s="6" t="str">
        <x:v>Retain primary intent and support variants</x:v>
      </x:c>
      <x:c r="P279" s="6" t="str">
        <x:v>Average position 38.20 makes ranking the main issue; avoid a CTR-only rewrite.</x:v>
      </x:c>
      <x:c r="Q279" s="6" t="str">
        <x:v>All vehicles</x:v>
      </x:c>
      <x:c r="R279" s="6" t="str">
        <x:v>transmission-repair</x:v>
      </x:c>
      <x:c r="S279" s="6" t="str">
        <x:v>Dubai explicit</x:v>
      </x:c>
      <x:c r="T279" s="6" t="n">
        <x:v>3</x:v>
      </x:c>
      <x:c r="U279" s="6" t="str">
        <x:v>21–40</x:v>
      </x:c>
      <x:c r="V279" s="6" t="str">
        <x:v>Content, internal authority and owner alignment</x:v>
      </x:c>
      <x:c r="W279" s="6" t="str">
        <x:v>Relevant supporting</x:v>
      </x:c>
      <x:c r="X279" s="6" t="n">
        <x:v>275</x:v>
      </x:c>
      <x:c r="Y279" s="6" t="str">
        <x:v>Unconfirmed — joint query/page data required</x:v>
      </x:c>
    </x:row>
    <x:row r="280" ht="42" customHeight="1">
      <x:c r="A280" s="6" t="str">
        <x:v>porsche workshop dubai</x:v>
      </x:c>
      <x:c r="B280" s="14" t="n">
        <x:v>0</x:v>
      </x:c>
      <x:c r="C280" s="14" t="n">
        <x:v>54</x:v>
      </x:c>
      <x:c r="D280" s="15" t="n">
        <x:v>0</x:v>
      </x:c>
      <x:c r="E280" s="16" t="n">
        <x:v>39.87</x:v>
      </x:c>
      <x:c r="F280" s="6" t="str">
        <x:v>GROWTH</x:v>
      </x:c>
      <x:c r="G280" s="17" t="n">
        <x:f>'Scoring'!I280</x:f>
        <x:v>70.8</x:v>
      </x:c>
      <x:c r="H280" s="6" t="str">
        <x:v>SUPPORT</x:v>
      </x:c>
      <x:c r="I280" s="6" t="str">
        <x:v>porsche: Service and repair (English)</x:v>
      </x:c>
      <x:c r="J280" s="6" t="str">
        <x:v>Secondary</x:v>
      </x:c>
      <x:c r="K280" s="6" t="str">
        <x:v>Commercial service enquiry</x:v>
      </x:c>
      <x:c r="L280" s="6" t="str">
        <x:v>High</x:v>
      </x:c>
      <x:c r="M280" s="6" t="str">
        <x:v>https://digitecme.com/brands/porsche-service-dubai</x:v>
      </x:c>
      <x:c r="N280" s="6" t="str">
        <x:v>Unknown — export has no query/page pairing</x:v>
      </x:c>
      <x:c r="O280" s="6" t="str">
        <x:v>Retain primary intent and support variants</x:v>
      </x:c>
      <x:c r="P280" s="6" t="str">
        <x:v>Average position 39.87 makes ranking the main issue; avoid a CTR-only rewrite.</x:v>
      </x:c>
      <x:c r="Q280" s="6" t="str">
        <x:v>porsche</x:v>
      </x:c>
      <x:c r="R280" s="6" t="str">
        <x:v>service-repair</x:v>
      </x:c>
      <x:c r="S280" s="6" t="str">
        <x:v>Dubai explicit</x:v>
      </x:c>
      <x:c r="T280" s="6" t="n">
        <x:v>5</x:v>
      </x:c>
      <x:c r="U280" s="6" t="str">
        <x:v>21–40</x:v>
      </x:c>
      <x:c r="V280" s="6" t="str">
        <x:v>Content, internal authority and owner alignment</x:v>
      </x:c>
      <x:c r="W280" s="6" t="str">
        <x:v>Relevant supporting</x:v>
      </x:c>
      <x:c r="X280" s="6" t="n">
        <x:v>276</x:v>
      </x:c>
      <x:c r="Y280" s="6" t="str">
        <x:v>Unconfirmed — joint query/page data required</x:v>
      </x:c>
    </x:row>
    <x:row r="281" ht="42" customHeight="1">
      <x:c r="A281" s="6" t="str">
        <x:v>car electrical repair in dubai</x:v>
      </x:c>
      <x:c r="B281" s="14" t="n">
        <x:v>0</x:v>
      </x:c>
      <x:c r="C281" s="14" t="n">
        <x:v>54</x:v>
      </x:c>
      <x:c r="D281" s="15" t="n">
        <x:v>0</x:v>
      </x:c>
      <x:c r="E281" s="16" t="n">
        <x:v>62.7</x:v>
      </x:c>
      <x:c r="F281" s="6" t="str">
        <x:v>GROWTH</x:v>
      </x:c>
      <x:c r="G281" s="17" t="n">
        <x:f>'Scoring'!I281</x:f>
        <x:v>56.6</x:v>
      </x:c>
      <x:c r="H281" s="6" t="str">
        <x:v>SUPPORT</x:v>
      </x:c>
      <x:c r="I281" s="6" t="str">
        <x:v>All vehicles: Electrical repair</x:v>
      </x:c>
      <x:c r="J281" s="6" t="str">
        <x:v>Secondary</x:v>
      </x:c>
      <x:c r="K281" s="6" t="str">
        <x:v>Commercial service enquiry</x:v>
      </x:c>
      <x:c r="L281" s="6" t="str">
        <x:v>High</x:v>
      </x:c>
      <x:c r="M281" s="6" t="str">
        <x:v>https://digitecme.com/services/auto-electrical-repair-dubai</x:v>
      </x:c>
      <x:c r="N281" s="6" t="str">
        <x:v>Unknown — export has no query/page pairing</x:v>
      </x:c>
      <x:c r="O281" s="6" t="str">
        <x:v>Retain primary intent and support variants</x:v>
      </x:c>
      <x:c r="P281" s="6" t="str">
        <x:v>Average position 62.70 makes ranking the main issue; avoid a CTR-only rewrite.</x:v>
      </x:c>
      <x:c r="Q281" s="6" t="str">
        <x:v>All vehicles</x:v>
      </x:c>
      <x:c r="R281" s="6" t="str">
        <x:v>electrical-repair</x:v>
      </x:c>
      <x:c r="S281" s="6" t="str">
        <x:v>Dubai explicit</x:v>
      </x:c>
      <x:c r="T281" s="6" t="n">
        <x:v>3</x:v>
      </x:c>
      <x:c r="U281" s="6" t="str">
        <x:v>40+</x:v>
      </x:c>
      <x:c r="V281" s="6" t="str">
        <x:v>Relevance, capability, indexing and authority review</x:v>
      </x:c>
      <x:c r="W281" s="6" t="str">
        <x:v>Relevant supporting</x:v>
      </x:c>
      <x:c r="X281" s="6" t="n">
        <x:v>277</x:v>
      </x:c>
      <x:c r="Y281" s="6" t="str">
        <x:v>Unconfirmed — joint query/page data required</x:v>
      </x:c>
    </x:row>
    <x:row r="282" ht="42" customHeight="1">
      <x:c r="A282" s="6" t="str">
        <x:v>steering box repair</x:v>
      </x:c>
      <x:c r="B282" s="14" t="n">
        <x:v>0</x:v>
      </x:c>
      <x:c r="C282" s="14" t="n">
        <x:v>53</x:v>
      </x:c>
      <x:c r="D282" s="15" t="n">
        <x:v>0</x:v>
      </x:c>
      <x:c r="E282" s="16" t="n">
        <x:v>14.23</x:v>
      </x:c>
      <x:c r="F282" s="6" t="str">
        <x:v>CRITICAL</x:v>
      </x:c>
      <x:c r="G282" s="17" t="n">
        <x:f>'Scoring'!I282</x:f>
        <x:v>72.8</x:v>
      </x:c>
      <x:c r="H282" s="6" t="str">
        <x:v>SUPPORT</x:v>
      </x:c>
      <x:c r="I282" s="6" t="str">
        <x:v>All vehicles: Steering repair</x:v>
      </x:c>
      <x:c r="J282" s="6" t="str">
        <x:v>Secondary</x:v>
      </x:c>
      <x:c r="K282" s="6" t="str">
        <x:v>Commercial service enquiry</x:v>
      </x:c>
      <x:c r="L282" s="6" t="str">
        <x:v>High</x:v>
      </x:c>
      <x:c r="M282" s="6" t="str">
        <x:v>https://digitecme.com/services/steering-repair-dubai</x:v>
      </x:c>
      <x:c r="N282" s="6" t="str">
        <x:v>Unknown — export has no query/page pairing</x:v>
      </x:c>
      <x:c r="O282" s="6" t="str">
        <x:v>Retain primary intent and support variants</x:v>
      </x:c>
      <x:c r="P282" s="6" t="str">
        <x:v>53 impressions at average position 14.23; strengthen the appropriate intent owner and measure with a fresh comparable period.</x:v>
      </x:c>
      <x:c r="Q282" s="6" t="str">
        <x:v>All vehicles</x:v>
      </x:c>
      <x:c r="R282" s="6" t="str">
        <x:v>steering-repair</x:v>
      </x:c>
      <x:c r="S282" s="6" t="str">
        <x:v>Location unspecified</x:v>
      </x:c>
      <x:c r="T282" s="6" t="n">
        <x:v>3</x:v>
      </x:c>
      <x:c r="U282" s="6" t="str">
        <x:v>11–20</x:v>
      </x:c>
      <x:c r="V282" s="6" t="str">
        <x:v>Ranking and owner relevance</x:v>
      </x:c>
      <x:c r="W282" s="6" t="str">
        <x:v>Relevant supporting</x:v>
      </x:c>
      <x:c r="X282" s="6" t="n">
        <x:v>278</x:v>
      </x:c>
      <x:c r="Y282" s="6" t="str">
        <x:v>Unconfirmed — joint query/page data required</x:v>
      </x:c>
    </x:row>
    <x:row r="283" ht="42" customHeight="1">
      <x:c r="A283" s="6" t="str">
        <x:v>rolls royce service center</x:v>
      </x:c>
      <x:c r="B283" s="14" t="n">
        <x:v>0</x:v>
      </x:c>
      <x:c r="C283" s="14" t="n">
        <x:v>53</x:v>
      </x:c>
      <x:c r="D283" s="15" t="n">
        <x:v>0</x:v>
      </x:c>
      <x:c r="E283" s="16" t="n">
        <x:v>16.53</x:v>
      </x:c>
      <x:c r="F283" s="6" t="str">
        <x:v>HIGH</x:v>
      </x:c>
      <x:c r="G283" s="17" t="n">
        <x:f>'Scoring'!I283</x:f>
        <x:v>73.3</x:v>
      </x:c>
      <x:c r="H283" s="6" t="str">
        <x:v>SUPPORT</x:v>
      </x:c>
      <x:c r="I283" s="6" t="str">
        <x:v>rolls-royce: Service and repair</x:v>
      </x:c>
      <x:c r="J283" s="6" t="str">
        <x:v>Secondary</x:v>
      </x:c>
      <x:c r="K283" s="6" t="str">
        <x:v>Commercial service enquiry</x:v>
      </x:c>
      <x:c r="L283" s="6" t="str">
        <x:v>High</x:v>
      </x:c>
      <x:c r="M283" s="6" t="str">
        <x:v>https://digitecme.com/brands/rolls-royce-service-dubai</x:v>
      </x:c>
      <x:c r="N283" s="6" t="str">
        <x:v>Unknown — export has no query/page pairing</x:v>
      </x:c>
      <x:c r="O283" s="6" t="str">
        <x:v>Retain primary intent and support variants</x:v>
      </x:c>
      <x:c r="P283" s="6" t="str">
        <x:v>53 impressions at average position 16.53; strengthen the appropriate intent owner and measure with a fresh comparable period.</x:v>
      </x:c>
      <x:c r="Q283" s="6" t="str">
        <x:v>rolls-royce</x:v>
      </x:c>
      <x:c r="R283" s="6" t="str">
        <x:v>service-repair</x:v>
      </x:c>
      <x:c r="S283" s="6" t="str">
        <x:v>Location unspecified</x:v>
      </x:c>
      <x:c r="T283" s="6" t="n">
        <x:v>5</x:v>
      </x:c>
      <x:c r="U283" s="6" t="str">
        <x:v>11–20</x:v>
      </x:c>
      <x:c r="V283" s="6" t="str">
        <x:v>Ranking and owner relevance</x:v>
      </x:c>
      <x:c r="W283" s="6" t="str">
        <x:v>Relevant supporting</x:v>
      </x:c>
      <x:c r="X283" s="6" t="n">
        <x:v>279</x:v>
      </x:c>
      <x:c r="Y283" s="6" t="str">
        <x:v>Unconfirmed — joint query/page data required</x:v>
      </x:c>
    </x:row>
    <x:row r="284" ht="72" customHeight="1">
      <x:c r="A284" s="6" t="str">
        <x:v>fuel system design dubai</x:v>
      </x:c>
      <x:c r="B284" s="14" t="n">
        <x:v>0</x:v>
      </x:c>
      <x:c r="C284" s="14" t="n">
        <x:v>53</x:v>
      </x:c>
      <x:c r="D284" s="15" t="n">
        <x:v>0</x:v>
      </x:c>
      <x:c r="E284" s="16" t="n">
        <x:v>25.47</x:v>
      </x:c>
      <x:c r="F284" s="6" t="str">
        <x:v>DEPRIORITIZE</x:v>
      </x:c>
      <x:c r="G284" s="17" t="n">
        <x:f>'Scoring'!I284</x:f>
        <x:v>6.2</x:v>
      </x:c>
      <x:c r="H284" s="6" t="str">
        <x:v>DEPRIORITIZE</x:v>
      </x:c>
      <x:c r="I284" s="6" t="str">
        <x:v>All vehicles: Performance tuning</x:v>
      </x:c>
      <x:c r="J284" s="6" t="str">
        <x:v>Secondary</x:v>
      </x:c>
      <x:c r="K284" s="6" t="str">
        <x:v>Commercial service enquiry</x:v>
      </x:c>
      <x:c r="L284" s="6" t="str">
        <x:v>Unverified</x:v>
      </x:c>
      <x:c r="M284" s="6" t="str">
        <x:v>https://digitecme.com/tuning</x:v>
      </x:c>
      <x:c r="N284" s="6" t="str">
        <x:v>Unknown — export has no query/page pairing</x:v>
      </x:c>
      <x:c r="O284" s="6" t="str">
        <x:v>Confirm scope or deprioritize</x:v>
      </x:c>
      <x:c r="P284" s="6" t="str">
        <x:v>Use the existing tuning page; model scope and any GAD relationship require verified facts. Product, high-voltage, delivery or specialist capability requires business confirmation; existing copy alone is not sufficient evidence. Average position 25.47 makes ranking the main issue; avoid a CTR-only rewrite.</x:v>
      </x:c>
      <x:c r="Q284" s="6" t="str">
        <x:v>All vehicles</x:v>
      </x:c>
      <x:c r="R284" s="6" t="str">
        <x:v>tuning</x:v>
      </x:c>
      <x:c r="S284" s="6" t="str">
        <x:v>Dubai explicit</x:v>
      </x:c>
      <x:c r="T284" s="6" t="n">
        <x:v>1</x:v>
      </x:c>
      <x:c r="U284" s="6" t="str">
        <x:v>21–40</x:v>
      </x:c>
      <x:c r="V284" s="6" t="str">
        <x:v>Content, internal authority and owner alignment</x:v>
      </x:c>
      <x:c r="W284" s="6" t="str">
        <x:v>Low-value</x:v>
      </x:c>
      <x:c r="X284" s="6" t="n">
        <x:v>280</x:v>
      </x:c>
      <x:c r="Y284" s="6" t="str">
        <x:v>Unconfirmed — joint query/page data required</x:v>
      </x:c>
    </x:row>
    <x:row r="285" ht="42" customHeight="1">
      <x:c r="A285" s="6" t="str">
        <x:v>dodge oil change in dubai</x:v>
      </x:c>
      <x:c r="B285" s="14" t="n">
        <x:v>0</x:v>
      </x:c>
      <x:c r="C285" s="14" t="n">
        <x:v>53</x:v>
      </x:c>
      <x:c r="D285" s="15" t="n">
        <x:v>0</x:v>
      </x:c>
      <x:c r="E285" s="16" t="n">
        <x:v>30.28</x:v>
      </x:c>
      <x:c r="F285" s="6" t="str">
        <x:v>GROWTH</x:v>
      </x:c>
      <x:c r="G285" s="17" t="n">
        <x:f>'Scoring'!I285</x:f>
        <x:v>62.8</x:v>
      </x:c>
      <x:c r="H285" s="6" t="str">
        <x:v>SPLIT</x:v>
      </x:c>
      <x:c r="I285" s="6" t="str">
        <x:v>dodge: Oil change</x:v>
      </x:c>
      <x:c r="J285" s="6" t="str">
        <x:v>Primary</x:v>
      </x:c>
      <x:c r="K285" s="6" t="str">
        <x:v>Commercial service enquiry</x:v>
      </x:c>
      <x:c r="L285" s="6" t="str">
        <x:v>High</x:v>
      </x:c>
      <x:c r="M285" s="6" t="str">
        <x:v>https://digitecme.com/brands/dodge-service-dubai/oil-change</x:v>
      </x:c>
      <x:c r="N285" s="6" t="str">
        <x:v>Unknown — export has no query/page pairing</x:v>
      </x:c>
      <x:c r="O285" s="6" t="str">
        <x:v>Use dedicated service owner</x:v>
      </x:c>
      <x:c r="P285" s="6" t="str">
        <x:v>Average position 30.28 makes ranking the main issue; avoid a CTR-only rewrite.</x:v>
      </x:c>
      <x:c r="Q285" s="6" t="str">
        <x:v>dodge</x:v>
      </x:c>
      <x:c r="R285" s="6" t="str">
        <x:v>oil-change</x:v>
      </x:c>
      <x:c r="S285" s="6" t="str">
        <x:v>Dubai explicit</x:v>
      </x:c>
      <x:c r="T285" s="6" t="n">
        <x:v>3</x:v>
      </x:c>
      <x:c r="U285" s="6" t="str">
        <x:v>21–40</x:v>
      </x:c>
      <x:c r="V285" s="6" t="str">
        <x:v>Content, internal authority and owner alignment</x:v>
      </x:c>
      <x:c r="W285" s="6" t="str">
        <x:v>High-value commercial</x:v>
      </x:c>
      <x:c r="X285" s="6" t="n">
        <x:v>281</x:v>
      </x:c>
      <x:c r="Y285" s="6" t="str">
        <x:v>Unconfirmed — joint query/page data required</x:v>
      </x:c>
    </x:row>
    <x:row r="286" ht="42" customHeight="1">
      <x:c r="A286" s="6" t="str">
        <x:v>lamborghini repair in dubai</x:v>
      </x:c>
      <x:c r="B286" s="14" t="n">
        <x:v>0</x:v>
      </x:c>
      <x:c r="C286" s="14" t="n">
        <x:v>53</x:v>
      </x:c>
      <x:c r="D286" s="15" t="n">
        <x:v>0</x:v>
      </x:c>
      <x:c r="E286" s="16" t="n">
        <x:v>35.23</x:v>
      </x:c>
      <x:c r="F286" s="6" t="str">
        <x:v>GROWTH</x:v>
      </x:c>
      <x:c r="G286" s="17" t="n">
        <x:f>'Scoring'!I286</x:f>
        <x:v>70.8</x:v>
      </x:c>
      <x:c r="H286" s="6" t="str">
        <x:v>SUPPORT</x:v>
      </x:c>
      <x:c r="I286" s="6" t="str">
        <x:v>lamborghini: Service and repair</x:v>
      </x:c>
      <x:c r="J286" s="6" t="str">
        <x:v>Secondary</x:v>
      </x:c>
      <x:c r="K286" s="6" t="str">
        <x:v>Commercial service enquiry</x:v>
      </x:c>
      <x:c r="L286" s="6" t="str">
        <x:v>High</x:v>
      </x:c>
      <x:c r="M286" s="6" t="str">
        <x:v>https://digitecme.com/brands/lamborghini-service-dubai</x:v>
      </x:c>
      <x:c r="N286" s="6" t="str">
        <x:v>Unknown — export has no query/page pairing</x:v>
      </x:c>
      <x:c r="O286" s="6" t="str">
        <x:v>Retain primary intent and support variants</x:v>
      </x:c>
      <x:c r="P286" s="6" t="str">
        <x:v>Average position 35.23 makes ranking the main issue; avoid a CTR-only rewrite.</x:v>
      </x:c>
      <x:c r="Q286" s="6" t="str">
        <x:v>lamborghini</x:v>
      </x:c>
      <x:c r="R286" s="6" t="str">
        <x:v>service-repair</x:v>
      </x:c>
      <x:c r="S286" s="6" t="str">
        <x:v>Dubai explicit</x:v>
      </x:c>
      <x:c r="T286" s="6" t="n">
        <x:v>5</x:v>
      </x:c>
      <x:c r="U286" s="6" t="str">
        <x:v>21–40</x:v>
      </x:c>
      <x:c r="V286" s="6" t="str">
        <x:v>Content, internal authority and owner alignment</x:v>
      </x:c>
      <x:c r="W286" s="6" t="str">
        <x:v>Relevant supporting</x:v>
      </x:c>
      <x:c r="X286" s="6" t="n">
        <x:v>282</x:v>
      </x:c>
      <x:c r="Y286" s="6" t="str">
        <x:v>Unconfirmed — joint query/page data required</x:v>
      </x:c>
    </x:row>
    <x:row r="287" ht="42" customHeight="1">
      <x:c r="A287" s="6" t="str">
        <x:v>car diagnostic service dubai</x:v>
      </x:c>
      <x:c r="B287" s="14" t="n">
        <x:v>0</x:v>
      </x:c>
      <x:c r="C287" s="14" t="n">
        <x:v>53</x:v>
      </x:c>
      <x:c r="D287" s="15" t="n">
        <x:v>0</x:v>
      </x:c>
      <x:c r="E287" s="16" t="n">
        <x:v>43.49</x:v>
      </x:c>
      <x:c r="F287" s="6" t="str">
        <x:v>GROWTH</x:v>
      </x:c>
      <x:c r="G287" s="17" t="n">
        <x:f>'Scoring'!I287</x:f>
        <x:v>56.5</x:v>
      </x:c>
      <x:c r="H287" s="6" t="str">
        <x:v>SUPPORT</x:v>
      </x:c>
      <x:c r="I287" s="6" t="str">
        <x:v>All vehicles: Diagnostics and supported coding</x:v>
      </x:c>
      <x:c r="J287" s="6" t="str">
        <x:v>Secondary</x:v>
      </x:c>
      <x:c r="K287" s="6" t="str">
        <x:v>Commercial service enquiry</x:v>
      </x:c>
      <x:c r="L287" s="6" t="str">
        <x:v>High</x:v>
      </x:c>
      <x:c r="M287" s="6" t="str">
        <x:v>https://digitecme.com/services/car-diagnostics-dubai</x:v>
      </x:c>
      <x:c r="N287" s="6" t="str">
        <x:v>Unknown — export has no query/page pairing</x:v>
      </x:c>
      <x:c r="O287" s="6" t="str">
        <x:v>Retain primary intent and support variants</x:v>
      </x:c>
      <x:c r="P287" s="6" t="str">
        <x:v>Average position 43.49 makes ranking the main issue; avoid a CTR-only rewrite.</x:v>
      </x:c>
      <x:c r="Q287" s="6" t="str">
        <x:v>All vehicles</x:v>
      </x:c>
      <x:c r="R287" s="6" t="str">
        <x:v>engine-diagnostics</x:v>
      </x:c>
      <x:c r="S287" s="6" t="str">
        <x:v>Dubai explicit</x:v>
      </x:c>
      <x:c r="T287" s="6" t="n">
        <x:v>3</x:v>
      </x:c>
      <x:c r="U287" s="6" t="str">
        <x:v>40+</x:v>
      </x:c>
      <x:c r="V287" s="6" t="str">
        <x:v>Relevance, capability, indexing and authority review</x:v>
      </x:c>
      <x:c r="W287" s="6" t="str">
        <x:v>Relevant supporting</x:v>
      </x:c>
      <x:c r="X287" s="6" t="n">
        <x:v>283</x:v>
      </x:c>
      <x:c r="Y287" s="6" t="str">
        <x:v>Unconfirmed — joint query/page data required</x:v>
      </x:c>
    </x:row>
    <x:row r="288" ht="57" customHeight="1">
      <x:c r="A288" s="6" t="str">
        <x:v>paint protection film in naif dubai</x:v>
      </x:c>
      <x:c r="B288" s="14" t="n">
        <x:v>0</x:v>
      </x:c>
      <x:c r="C288" s="14" t="n">
        <x:v>53</x:v>
      </x:c>
      <x:c r="D288" s="15" t="n">
        <x:v>0</x:v>
      </x:c>
      <x:c r="E288" s="16" t="n">
        <x:v>43.92</x:v>
      </x:c>
      <x:c r="F288" s="6" t="str">
        <x:v>GROWTH</x:v>
      </x:c>
      <x:c r="G288" s="17" t="n">
        <x:f>'Scoring'!I288</x:f>
        <x:v>64.5</x:v>
      </x:c>
      <x:c r="H288" s="6" t="str">
        <x:v>SUPPORT</x:v>
      </x:c>
      <x:c r="I288" s="6" t="str">
        <x:v>All vehicles: Paint protection film</x:v>
      </x:c>
      <x:c r="J288" s="6" t="str">
        <x:v>Secondary</x:v>
      </x:c>
      <x:c r="K288" s="6" t="str">
        <x:v>Commercial service enquiry</x:v>
      </x:c>
      <x:c r="L288" s="6" t="str">
        <x:v>High</x:v>
      </x:c>
      <x:c r="M288" s="6" t="str">
        <x:v>https://digitecme.com/services/paint-protection-film</x:v>
      </x:c>
      <x:c r="N288" s="6" t="str">
        <x:v>Unknown — export has no query/page pairing</x:v>
      </x:c>
      <x:c r="O288" s="6" t="str">
        <x:v>Retain primary intent and support variants</x:v>
      </x:c>
      <x:c r="P288" s="6" t="str">
        <x:v>Use the actual Al Quoz location; no district landing page or implied branch. Film intent belongs to the PPF page; vehicle and district terms are secondary context. Average position 43.92 makes ranking the main issue; avoid a CTR-only rewrite.</x:v>
      </x:c>
      <x:c r="Q288" s="6" t="str">
        <x:v>All vehicles</x:v>
      </x:c>
      <x:c r="R288" s="6" t="str">
        <x:v>ppf</x:v>
      </x:c>
      <x:c r="S288" s="6" t="str">
        <x:v>Other Dubai district</x:v>
      </x:c>
      <x:c r="T288" s="6" t="n">
        <x:v>5</x:v>
      </x:c>
      <x:c r="U288" s="6" t="str">
        <x:v>40+</x:v>
      </x:c>
      <x:c r="V288" s="6" t="str">
        <x:v>Relevance, capability, indexing and authority review</x:v>
      </x:c>
      <x:c r="W288" s="6" t="str">
        <x:v>Relevant supporting</x:v>
      </x:c>
      <x:c r="X288" s="6" t="n">
        <x:v>284</x:v>
      </x:c>
      <x:c r="Y288" s="6" t="str">
        <x:v>Unconfirmed — joint query/page data required</x:v>
      </x:c>
    </x:row>
    <x:row r="289" ht="42" customHeight="1">
      <x:c r="A289" s="6" t="str">
        <x:v>car servicing package</x:v>
      </x:c>
      <x:c r="B289" s="14" t="n">
        <x:v>0</x:v>
      </x:c>
      <x:c r="C289" s="14" t="n">
        <x:v>53</x:v>
      </x:c>
      <x:c r="D289" s="15" t="n">
        <x:v>0</x:v>
      </x:c>
      <x:c r="E289" s="16" t="n">
        <x:v>62.43</x:v>
      </x:c>
      <x:c r="F289" s="6" t="str">
        <x:v>GROWTH</x:v>
      </x:c>
      <x:c r="G289" s="17" t="n">
        <x:f>'Scoring'!I289</x:f>
        <x:v>51.5</x:v>
      </x:c>
      <x:c r="H289" s="6" t="str">
        <x:v>SUPPORT</x:v>
      </x:c>
      <x:c r="I289" s="6" t="str">
        <x:v>All vehicles: Scheduled car service</x:v>
      </x:c>
      <x:c r="J289" s="6" t="str">
        <x:v>Secondary</x:v>
      </x:c>
      <x:c r="K289" s="6" t="str">
        <x:v>Commercial service enquiry</x:v>
      </x:c>
      <x:c r="L289" s="6" t="str">
        <x:v>High</x:v>
      </x:c>
      <x:c r="M289" s="6" t="str">
        <x:v>https://digitecme.com/services/car-service-dubai</x:v>
      </x:c>
      <x:c r="N289" s="6" t="str">
        <x:v>Unknown — export has no query/page pairing</x:v>
      </x:c>
      <x:c r="O289" s="6" t="str">
        <x:v>Retain primary intent and support variants</x:v>
      </x:c>
      <x:c r="P289" s="6" t="str">
        <x:v>Average position 62.43 makes ranking the main issue; avoid a CTR-only rewrite.</x:v>
      </x:c>
      <x:c r="Q289" s="6" t="str">
        <x:v>All vehicles</x:v>
      </x:c>
      <x:c r="R289" s="6" t="str">
        <x:v>service-repair</x:v>
      </x:c>
      <x:c r="S289" s="6" t="str">
        <x:v>Location unspecified</x:v>
      </x:c>
      <x:c r="T289" s="6" t="n">
        <x:v>3</x:v>
      </x:c>
      <x:c r="U289" s="6" t="str">
        <x:v>40+</x:v>
      </x:c>
      <x:c r="V289" s="6" t="str">
        <x:v>Relevance, capability, indexing and authority review</x:v>
      </x:c>
      <x:c r="W289" s="6" t="str">
        <x:v>Relevant supporting</x:v>
      </x:c>
      <x:c r="X289" s="6" t="n">
        <x:v>285</x:v>
      </x:c>
      <x:c r="Y289" s="6" t="str">
        <x:v>Unconfirmed — joint query/page data required</x:v>
      </x:c>
    </x:row>
    <x:row r="290" ht="42" customHeight="1">
      <x:c r="A290" s="6" t="str">
        <x:v>car suspension repair</x:v>
      </x:c>
      <x:c r="B290" s="14" t="n">
        <x:v>0</x:v>
      </x:c>
      <x:c r="C290" s="14" t="n">
        <x:v>52</x:v>
      </x:c>
      <x:c r="D290" s="15" t="n">
        <x:v>0</x:v>
      </x:c>
      <x:c r="E290" s="16" t="n">
        <x:v>25.73</x:v>
      </x:c>
      <x:c r="F290" s="6" t="str">
        <x:v>HIGH</x:v>
      </x:c>
      <x:c r="G290" s="17" t="n">
        <x:f>'Scoring'!I290</x:f>
        <x:v>65.2</x:v>
      </x:c>
      <x:c r="H290" s="6" t="str">
        <x:v>SUPPORT</x:v>
      </x:c>
      <x:c r="I290" s="6" t="str">
        <x:v>All vehicles: Suspension repair (English)</x:v>
      </x:c>
      <x:c r="J290" s="6" t="str">
        <x:v>Secondary</x:v>
      </x:c>
      <x:c r="K290" s="6" t="str">
        <x:v>Commercial service enquiry</x:v>
      </x:c>
      <x:c r="L290" s="6" t="str">
        <x:v>High</x:v>
      </x:c>
      <x:c r="M290" s="6" t="str">
        <x:v>https://digitecme.com/services/suspension-repair-dubai</x:v>
      </x:c>
      <x:c r="N290" s="6" t="str">
        <x:v>Unknown — export has no query/page pairing</x:v>
      </x:c>
      <x:c r="O290" s="6" t="str">
        <x:v>Retain primary intent and support variants</x:v>
      </x:c>
      <x:c r="P290" s="6" t="str">
        <x:v>Average position 25.73 makes ranking the main issue; avoid a CTR-only rewrite.</x:v>
      </x:c>
      <x:c r="Q290" s="6" t="str">
        <x:v>All vehicles</x:v>
      </x:c>
      <x:c r="R290" s="6" t="str">
        <x:v>suspension-repair</x:v>
      </x:c>
      <x:c r="S290" s="6" t="str">
        <x:v>Location unspecified</x:v>
      </x:c>
      <x:c r="T290" s="6" t="n">
        <x:v>3</x:v>
      </x:c>
      <x:c r="U290" s="6" t="str">
        <x:v>21–40</x:v>
      </x:c>
      <x:c r="V290" s="6" t="str">
        <x:v>Content, internal authority and owner alignment</x:v>
      </x:c>
      <x:c r="W290" s="6" t="str">
        <x:v>Relevant supporting</x:v>
      </x:c>
      <x:c r="X290" s="6" t="n">
        <x:v>286</x:v>
      </x:c>
      <x:c r="Y290" s="6" t="str">
        <x:v>Unconfirmed — joint query/page data required</x:v>
      </x:c>
    </x:row>
    <x:row r="291" ht="42" customHeight="1">
      <x:c r="A291" s="6" t="str">
        <x:v>car workshop dubai</x:v>
      </x:c>
      <x:c r="B291" s="14" t="n">
        <x:v>0</x:v>
      </x:c>
      <x:c r="C291" s="14" t="n">
        <x:v>52</x:v>
      </x:c>
      <x:c r="D291" s="15" t="n">
        <x:v>0</x:v>
      </x:c>
      <x:c r="E291" s="16" t="n">
        <x:v>26.71</x:v>
      </x:c>
      <x:c r="F291" s="6" t="str">
        <x:v>HIGH</x:v>
      </x:c>
      <x:c r="G291" s="17" t="n">
        <x:f>'Scoring'!I291</x:f>
        <x:v>70.2</x:v>
      </x:c>
      <x:c r="H291" s="6" t="str">
        <x:v>SUPPORT</x:v>
      </x:c>
      <x:c r="I291" s="6" t="str">
        <x:v>All vehicles: General garage and repair (English)</x:v>
      </x:c>
      <x:c r="J291" s="6" t="str">
        <x:v>Secondary</x:v>
      </x:c>
      <x:c r="K291" s="6" t="str">
        <x:v>Commercial service enquiry</x:v>
      </x:c>
      <x:c r="L291" s="6" t="str">
        <x:v>High</x:v>
      </x:c>
      <x:c r="M291" s="6" t="str">
        <x:v>https://digitecme.com/services/car-garage-dubai</x:v>
      </x:c>
      <x:c r="N291" s="6" t="str">
        <x:v>Unknown — export has no query/page pairing</x:v>
      </x:c>
      <x:c r="O291" s="6" t="str">
        <x:v>Retain primary intent and support variants</x:v>
      </x:c>
      <x:c r="P291" s="6" t="str">
        <x:v>Average position 26.71 makes ranking the main issue; avoid a CTR-only rewrite.</x:v>
      </x:c>
      <x:c r="Q291" s="6" t="str">
        <x:v>All vehicles</x:v>
      </x:c>
      <x:c r="R291" s="6" t="str">
        <x:v>service-repair</x:v>
      </x:c>
      <x:c r="S291" s="6" t="str">
        <x:v>Dubai explicit</x:v>
      </x:c>
      <x:c r="T291" s="6" t="n">
        <x:v>3</x:v>
      </x:c>
      <x:c r="U291" s="6" t="str">
        <x:v>21–40</x:v>
      </x:c>
      <x:c r="V291" s="6" t="str">
        <x:v>Content, internal authority and owner alignment</x:v>
      </x:c>
      <x:c r="W291" s="6" t="str">
        <x:v>Relevant supporting</x:v>
      </x:c>
      <x:c r="X291" s="6" t="n">
        <x:v>287</x:v>
      </x:c>
      <x:c r="Y291" s="6" t="str">
        <x:v>Unconfirmed — joint query/page data required</x:v>
      </x:c>
    </x:row>
    <x:row r="292" ht="42" customHeight="1">
      <x:c r="A292" s="6" t="str">
        <x:v>mercedes body repair dubai</x:v>
      </x:c>
      <x:c r="B292" s="14" t="n">
        <x:v>0</x:v>
      </x:c>
      <x:c r="C292" s="14" t="n">
        <x:v>52</x:v>
      </x:c>
      <x:c r="D292" s="15" t="n">
        <x:v>0</x:v>
      </x:c>
      <x:c r="E292" s="16" t="n">
        <x:v>28.29</x:v>
      </x:c>
      <x:c r="F292" s="6" t="str">
        <x:v>HIGH</x:v>
      </x:c>
      <x:c r="G292" s="17" t="n">
        <x:f>'Scoring'!I292</x:f>
        <x:v>78.2</x:v>
      </x:c>
      <x:c r="H292" s="6" t="str">
        <x:v>SPLIT</x:v>
      </x:c>
      <x:c r="I292" s="6" t="str">
        <x:v>mercedes-benz: Body repair</x:v>
      </x:c>
      <x:c r="J292" s="6" t="str">
        <x:v>Primary</x:v>
      </x:c>
      <x:c r="K292" s="6" t="str">
        <x:v>Commercial service enquiry</x:v>
      </x:c>
      <x:c r="L292" s="6" t="str">
        <x:v>High</x:v>
      </x:c>
      <x:c r="M292" s="6" t="str">
        <x:v>https://digitecme.com/services/mercedes-body-repair-dubai</x:v>
      </x:c>
      <x:c r="N292" s="6" t="str">
        <x:v>Unknown — export has no query/page pairing</x:v>
      </x:c>
      <x:c r="O292" s="6" t="str">
        <x:v>Use dedicated service owner</x:v>
      </x:c>
      <x:c r="P292" s="6" t="str">
        <x:v>Average position 28.29 makes ranking the main issue; avoid a CTR-only rewrite.</x:v>
      </x:c>
      <x:c r="Q292" s="6" t="str">
        <x:v>mercedes-benz</x:v>
      </x:c>
      <x:c r="R292" s="6" t="str">
        <x:v>body-repair</x:v>
      </x:c>
      <x:c r="S292" s="6" t="str">
        <x:v>Dubai explicit</x:v>
      </x:c>
      <x:c r="T292" s="6" t="n">
        <x:v>5</x:v>
      </x:c>
      <x:c r="U292" s="6" t="str">
        <x:v>21–40</x:v>
      </x:c>
      <x:c r="V292" s="6" t="str">
        <x:v>Content, internal authority and owner alignment</x:v>
      </x:c>
      <x:c r="W292" s="6" t="str">
        <x:v>High-value commercial</x:v>
      </x:c>
      <x:c r="X292" s="6" t="n">
        <x:v>288</x:v>
      </x:c>
      <x:c r="Y292" s="6" t="str">
        <x:v>Unconfirmed — joint query/page data required</x:v>
      </x:c>
    </x:row>
    <x:row r="293" ht="42" customHeight="1">
      <x:c r="A293" s="6" t="str">
        <x:v>luxury car repair</x:v>
      </x:c>
      <x:c r="B293" s="14" t="n">
        <x:v>0</x:v>
      </x:c>
      <x:c r="C293" s="14" t="n">
        <x:v>52</x:v>
      </x:c>
      <x:c r="D293" s="15" t="n">
        <x:v>0</x:v>
      </x:c>
      <x:c r="E293" s="16" t="n">
        <x:v>32.42</x:v>
      </x:c>
      <x:c r="F293" s="6" t="str">
        <x:v>GROWTH</x:v>
      </x:c>
      <x:c r="G293" s="17" t="n">
        <x:f>'Scoring'!I293</x:f>
        <x:v>57.7</x:v>
      </x:c>
      <x:c r="H293" s="6" t="str">
        <x:v>SUPPORT</x:v>
      </x:c>
      <x:c r="I293" s="6" t="str">
        <x:v>All vehicles: General garage and repair (English)</x:v>
      </x:c>
      <x:c r="J293" s="6" t="str">
        <x:v>Secondary</x:v>
      </x:c>
      <x:c r="K293" s="6" t="str">
        <x:v>Commercial service enquiry</x:v>
      </x:c>
      <x:c r="L293" s="6" t="str">
        <x:v>High</x:v>
      </x:c>
      <x:c r="M293" s="6" t="str">
        <x:v>https://digitecme.com/services/car-garage-dubai</x:v>
      </x:c>
      <x:c r="N293" s="6" t="str">
        <x:v>Unknown — export has no query/page pairing</x:v>
      </x:c>
      <x:c r="O293" s="6" t="str">
        <x:v>Retain primary intent and support variants</x:v>
      </x:c>
      <x:c r="P293" s="6" t="str">
        <x:v>Average position 32.42 makes ranking the main issue; avoid a CTR-only rewrite.</x:v>
      </x:c>
      <x:c r="Q293" s="6" t="str">
        <x:v>All vehicles</x:v>
      </x:c>
      <x:c r="R293" s="6" t="str">
        <x:v>service-repair</x:v>
      </x:c>
      <x:c r="S293" s="6" t="str">
        <x:v>Location unspecified</x:v>
      </x:c>
      <x:c r="T293" s="6" t="n">
        <x:v>3</x:v>
      </x:c>
      <x:c r="U293" s="6" t="str">
        <x:v>21–40</x:v>
      </x:c>
      <x:c r="V293" s="6" t="str">
        <x:v>Content, internal authority and owner alignment</x:v>
      </x:c>
      <x:c r="W293" s="6" t="str">
        <x:v>Relevant supporting</x:v>
      </x:c>
      <x:c r="X293" s="6" t="n">
        <x:v>289</x:v>
      </x:c>
      <x:c r="Y293" s="6" t="str">
        <x:v>Unconfirmed — joint query/page data required</x:v>
      </x:c>
    </x:row>
    <x:row r="294" ht="42" customHeight="1">
      <x:c r="A294" s="6" t="str">
        <x:v>porsche specialist dubai</x:v>
      </x:c>
      <x:c r="B294" s="14" t="n">
        <x:v>0</x:v>
      </x:c>
      <x:c r="C294" s="14" t="n">
        <x:v>52</x:v>
      </x:c>
      <x:c r="D294" s="15" t="n">
        <x:v>0</x:v>
      </x:c>
      <x:c r="E294" s="16" t="n">
        <x:v>46.1</x:v>
      </x:c>
      <x:c r="F294" s="6" t="str">
        <x:v>GROWTH</x:v>
      </x:c>
      <x:c r="G294" s="17" t="n">
        <x:f>'Scoring'!I294</x:f>
        <x:v>64.5</x:v>
      </x:c>
      <x:c r="H294" s="6" t="str">
        <x:v>SUPPORT</x:v>
      </x:c>
      <x:c r="I294" s="6" t="str">
        <x:v>porsche: Service and repair (English)</x:v>
      </x:c>
      <x:c r="J294" s="6" t="str">
        <x:v>Secondary</x:v>
      </x:c>
      <x:c r="K294" s="6" t="str">
        <x:v>Commercial service enquiry</x:v>
      </x:c>
      <x:c r="L294" s="6" t="str">
        <x:v>High</x:v>
      </x:c>
      <x:c r="M294" s="6" t="str">
        <x:v>https://digitecme.com/brands/porsche-service-dubai</x:v>
      </x:c>
      <x:c r="N294" s="6" t="str">
        <x:v>Unknown — export has no query/page pairing</x:v>
      </x:c>
      <x:c r="O294" s="6" t="str">
        <x:v>Retain primary intent and support variants</x:v>
      </x:c>
      <x:c r="P294" s="6" t="str">
        <x:v>Average position 46.10 makes ranking the main issue; avoid a CTR-only rewrite.</x:v>
      </x:c>
      <x:c r="Q294" s="6" t="str">
        <x:v>porsche</x:v>
      </x:c>
      <x:c r="R294" s="6" t="str">
        <x:v>service-repair</x:v>
      </x:c>
      <x:c r="S294" s="6" t="str">
        <x:v>Dubai explicit</x:v>
      </x:c>
      <x:c r="T294" s="6" t="n">
        <x:v>5</x:v>
      </x:c>
      <x:c r="U294" s="6" t="str">
        <x:v>40+</x:v>
      </x:c>
      <x:c r="V294" s="6" t="str">
        <x:v>Relevance, capability, indexing and authority review</x:v>
      </x:c>
      <x:c r="W294" s="6" t="str">
        <x:v>Relevant supporting</x:v>
      </x:c>
      <x:c r="X294" s="6" t="n">
        <x:v>290</x:v>
      </x:c>
      <x:c r="Y294" s="6" t="str">
        <x:v>Unconfirmed — joint query/page data required</x:v>
      </x:c>
    </x:row>
    <x:row r="295" ht="42" customHeight="1">
      <x:c r="A295" s="6" t="str">
        <x:v>supercar service dubai</x:v>
      </x:c>
      <x:c r="B295" s="14" t="n">
        <x:v>0</x:v>
      </x:c>
      <x:c r="C295" s="14" t="n">
        <x:v>52</x:v>
      </x:c>
      <x:c r="D295" s="15" t="n">
        <x:v>0</x:v>
      </x:c>
      <x:c r="E295" s="16" t="n">
        <x:v>52.15</x:v>
      </x:c>
      <x:c r="F295" s="6" t="str">
        <x:v>GROWTH</x:v>
      </x:c>
      <x:c r="G295" s="17" t="n">
        <x:f>'Scoring'!I295</x:f>
        <x:v>56.5</x:v>
      </x:c>
      <x:c r="H295" s="6" t="str">
        <x:v>SUPPORT</x:v>
      </x:c>
      <x:c r="I295" s="6" t="str">
        <x:v>All vehicles: Scheduled car service</x:v>
      </x:c>
      <x:c r="J295" s="6" t="str">
        <x:v>Secondary</x:v>
      </x:c>
      <x:c r="K295" s="6" t="str">
        <x:v>Commercial service enquiry</x:v>
      </x:c>
      <x:c r="L295" s="6" t="str">
        <x:v>High</x:v>
      </x:c>
      <x:c r="M295" s="6" t="str">
        <x:v>https://digitecme.com/services/car-service-dubai</x:v>
      </x:c>
      <x:c r="N295" s="6" t="str">
        <x:v>Unknown — export has no query/page pairing</x:v>
      </x:c>
      <x:c r="O295" s="6" t="str">
        <x:v>Retain primary intent and support variants</x:v>
      </x:c>
      <x:c r="P295" s="6" t="str">
        <x:v>Average position 52.15 makes ranking the main issue; avoid a CTR-only rewrite.</x:v>
      </x:c>
      <x:c r="Q295" s="6" t="str">
        <x:v>All vehicles</x:v>
      </x:c>
      <x:c r="R295" s="6" t="str">
        <x:v>service-repair</x:v>
      </x:c>
      <x:c r="S295" s="6" t="str">
        <x:v>Dubai explicit</x:v>
      </x:c>
      <x:c r="T295" s="6" t="n">
        <x:v>3</x:v>
      </x:c>
      <x:c r="U295" s="6" t="str">
        <x:v>40+</x:v>
      </x:c>
      <x:c r="V295" s="6" t="str">
        <x:v>Relevance, capability, indexing and authority review</x:v>
      </x:c>
      <x:c r="W295" s="6" t="str">
        <x:v>Relevant supporting</x:v>
      </x:c>
      <x:c r="X295" s="6" t="n">
        <x:v>291</x:v>
      </x:c>
      <x:c r="Y295" s="6" t="str">
        <x:v>Unconfirmed — joint query/page data required</x:v>
      </x:c>
    </x:row>
    <x:row r="296" ht="57" customHeight="1">
      <x:c r="A296" s="6" t="str">
        <x:v>range rover sport subwoofer upgrade in dubai</x:v>
      </x:c>
      <x:c r="B296" s="14" t="n">
        <x:v>0</x:v>
      </x:c>
      <x:c r="C296" s="14" t="n">
        <x:v>52</x:v>
      </x:c>
      <x:c r="D296" s="15" t="n">
        <x:v>0</x:v>
      </x:c>
      <x:c r="E296" s="16" t="n">
        <x:v>90.42</x:v>
      </x:c>
      <x:c r="F296" s="6" t="str">
        <x:v>DEPRIORITIZE</x:v>
      </x:c>
      <x:c r="G296" s="17" t="n">
        <x:f>'Scoring'!I296</x:f>
        <x:v>3.8</x:v>
      </x:c>
      <x:c r="H296" s="6" t="str">
        <x:v>DEPRIORITIZE</x:v>
      </x:c>
      <x:c r="I296" s="6" t="str">
        <x:v>range-rover: Audio or interior retrofit</x:v>
      </x:c>
      <x:c r="J296" s="6" t="str">
        <x:v>Primary</x:v>
      </x:c>
      <x:c r="K296" s="6" t="str">
        <x:v>Commercial capability enquiry</x:v>
      </x:c>
      <x:c r="L296" s="6" t="str">
        <x:v>Unverified</x:v>
      </x:c>
      <x:c r="M296" s="6" t="str"/>
      <x:c r="N296" s="6" t="str">
        <x:v>Unknown — export has no query/page pairing</x:v>
      </x:c>
      <x:c r="O296" s="6" t="str">
        <x:v>Confirm scope or deprioritize</x:v>
      </x:c>
      <x:c r="P296" s="6" t="str">
        <x:v>Specific retrofit or component repair capability is unconfirmed; do not publish a dedicated sales page before confirmation. Average position 90.42 makes ranking the main issue; avoid a CTR-only rewrite.</x:v>
      </x:c>
      <x:c r="Q296" s="6" t="str">
        <x:v>range-rover</x:v>
      </x:c>
      <x:c r="R296" s="6" t="str">
        <x:v>audio-retrofit</x:v>
      </x:c>
      <x:c r="S296" s="6" t="str">
        <x:v>Dubai explicit</x:v>
      </x:c>
      <x:c r="T296" s="6" t="n">
        <x:v>1</x:v>
      </x:c>
      <x:c r="U296" s="6" t="str">
        <x:v>40+</x:v>
      </x:c>
      <x:c r="V296" s="6" t="str">
        <x:v>Relevance, capability, indexing and authority review</x:v>
      </x:c>
      <x:c r="W296" s="6" t="str">
        <x:v>Low-value</x:v>
      </x:c>
      <x:c r="X296" s="6" t="n">
        <x:v>292</x:v>
      </x:c>
      <x:c r="Y296" s="6" t="str">
        <x:v>Unconfirmed — joint query/page data required</x:v>
      </x:c>
    </x:row>
    <x:row r="297" ht="57" customHeight="1">
      <x:c r="A297" s="6" t="str">
        <x:v>gad performance</x:v>
      </x:c>
      <x:c r="B297" s="14" t="n">
        <x:v>0</x:v>
      </x:c>
      <x:c r="C297" s="14" t="n">
        <x:v>51</x:v>
      </x:c>
      <x:c r="D297" s="15" t="n">
        <x:v>0</x:v>
      </x:c>
      <x:c r="E297" s="16" t="n">
        <x:v>6.12</x:v>
      </x:c>
      <x:c r="F297" s="6" t="str">
        <x:v>CRITICAL</x:v>
      </x:c>
      <x:c r="G297" s="17" t="n">
        <x:f>'Scoring'!I297</x:f>
        <x:v>90.7</x:v>
      </x:c>
      <x:c r="H297" s="6" t="str">
        <x:v>SUPPORT</x:v>
      </x:c>
      <x:c r="I297" s="6" t="str">
        <x:v>All vehicles: Performance tuning</x:v>
      </x:c>
      <x:c r="J297" s="6" t="str">
        <x:v>Secondary</x:v>
      </x:c>
      <x:c r="K297" s="6" t="str">
        <x:v>Commercial service enquiry</x:v>
      </x:c>
      <x:c r="L297" s="6" t="str">
        <x:v>High</x:v>
      </x:c>
      <x:c r="M297" s="6" t="str">
        <x:v>https://digitecme.com/tuning</x:v>
      </x:c>
      <x:c r="N297" s="6" t="str">
        <x:v>Unknown — export has no query/page pairing</x:v>
      </x:c>
      <x:c r="O297" s="6" t="str">
        <x:v>Retain primary intent and support variants</x:v>
      </x:c>
      <x:c r="P297" s="6" t="str">
        <x:v>Use the existing tuning page; model scope and any GAD relationship require verified facts. Zero clicks from 51 impressions at average position 6.12; inspect query/page, country/device and SERP before attributing this to the snippet.</x:v>
      </x:c>
      <x:c r="Q297" s="6" t="str">
        <x:v>All vehicles</x:v>
      </x:c>
      <x:c r="R297" s="6" t="str">
        <x:v>tuning</x:v>
      </x:c>
      <x:c r="S297" s="6" t="str">
        <x:v>Location unspecified</x:v>
      </x:c>
      <x:c r="T297" s="6" t="n">
        <x:v>5</x:v>
      </x:c>
      <x:c r="U297" s="6" t="str">
        <x:v>4–10</x:v>
      </x:c>
      <x:c r="V297" s="6" t="str">
        <x:v>Page-one CTR review and top-three relevance</x:v>
      </x:c>
      <x:c r="W297" s="6" t="str">
        <x:v>Relevant supporting</x:v>
      </x:c>
      <x:c r="X297" s="6" t="n">
        <x:v>293</x:v>
      </x:c>
      <x:c r="Y297" s="6" t="str">
        <x:v>Unconfirmed — joint query/page data required</x:v>
      </x:c>
    </x:row>
    <x:row r="298" ht="42" customHeight="1">
      <x:c r="A298" s="6" t="str">
        <x:v>range rover body repair</x:v>
      </x:c>
      <x:c r="B298" s="14" t="n">
        <x:v>0</x:v>
      </x:c>
      <x:c r="C298" s="14" t="n">
        <x:v>51</x:v>
      </x:c>
      <x:c r="D298" s="15" t="n">
        <x:v>0</x:v>
      </x:c>
      <x:c r="E298" s="16" t="n">
        <x:v>14.37</x:v>
      </x:c>
      <x:c r="F298" s="6" t="str">
        <x:v>CRITICAL</x:v>
      </x:c>
      <x:c r="G298" s="17" t="n">
        <x:f>'Scoring'!I298</x:f>
        <x:v>80.7</x:v>
      </x:c>
      <x:c r="H298" s="6" t="str">
        <x:v>SPLIT</x:v>
      </x:c>
      <x:c r="I298" s="6" t="str">
        <x:v>range-rover: Body repair</x:v>
      </x:c>
      <x:c r="J298" s="6" t="str">
        <x:v>Secondary</x:v>
      </x:c>
      <x:c r="K298" s="6" t="str">
        <x:v>Commercial service enquiry</x:v>
      </x:c>
      <x:c r="L298" s="6" t="str">
        <x:v>High</x:v>
      </x:c>
      <x:c r="M298" s="6" t="str">
        <x:v>https://digitecme.com/brands/range-rover-service-dubai/body-repair</x:v>
      </x:c>
      <x:c r="N298" s="6" t="str">
        <x:v>Unknown — export has no query/page pairing</x:v>
      </x:c>
      <x:c r="O298" s="6" t="str">
        <x:v>Use dedicated service owner</x:v>
      </x:c>
      <x:c r="P298" s="6" t="str">
        <x:v>51 impressions at average position 14.37; strengthen the appropriate intent owner and measure with a fresh comparable period.</x:v>
      </x:c>
      <x:c r="Q298" s="6" t="str">
        <x:v>range-rover</x:v>
      </x:c>
      <x:c r="R298" s="6" t="str">
        <x:v>body-repair</x:v>
      </x:c>
      <x:c r="S298" s="6" t="str">
        <x:v>Location unspecified</x:v>
      </x:c>
      <x:c r="T298" s="6" t="n">
        <x:v>5</x:v>
      </x:c>
      <x:c r="U298" s="6" t="str">
        <x:v>11–20</x:v>
      </x:c>
      <x:c r="V298" s="6" t="str">
        <x:v>Ranking and owner relevance</x:v>
      </x:c>
      <x:c r="W298" s="6" t="str">
        <x:v>High-value commercial</x:v>
      </x:c>
      <x:c r="X298" s="6" t="n">
        <x:v>294</x:v>
      </x:c>
      <x:c r="Y298" s="6" t="str">
        <x:v>Unconfirmed — joint query/page data required</x:v>
      </x:c>
    </x:row>
    <x:row r="299" ht="42" customHeight="1">
      <x:c r="A299" s="6" t="str">
        <x:v>best car workshop in dubai</x:v>
      </x:c>
      <x:c r="B299" s="14" t="n">
        <x:v>0</x:v>
      </x:c>
      <x:c r="C299" s="14" t="n">
        <x:v>51</x:v>
      </x:c>
      <x:c r="D299" s="15" t="n">
        <x:v>0</x:v>
      </x:c>
      <x:c r="E299" s="16" t="n">
        <x:v>16.98</x:v>
      </x:c>
      <x:c r="F299" s="6" t="str">
        <x:v>HIGH</x:v>
      </x:c>
      <x:c r="G299" s="17" t="n">
        <x:f>'Scoring'!I299</x:f>
        <x:v>70.2</x:v>
      </x:c>
      <x:c r="H299" s="6" t="str">
        <x:v>SUPPORT</x:v>
      </x:c>
      <x:c r="I299" s="6" t="str">
        <x:v>All vehicles: General garage and repair (English)</x:v>
      </x:c>
      <x:c r="J299" s="6" t="str">
        <x:v>Secondary</x:v>
      </x:c>
      <x:c r="K299" s="6" t="str">
        <x:v>Commercial service enquiry</x:v>
      </x:c>
      <x:c r="L299" s="6" t="str">
        <x:v>High</x:v>
      </x:c>
      <x:c r="M299" s="6" t="str">
        <x:v>https://digitecme.com/services/car-garage-dubai</x:v>
      </x:c>
      <x:c r="N299" s="6" t="str">
        <x:v>Unknown — export has no query/page pairing</x:v>
      </x:c>
      <x:c r="O299" s="6" t="str">
        <x:v>Retain primary intent and support variants</x:v>
      </x:c>
      <x:c r="P299" s="6" t="str">
        <x:v>51 impressions at average position 16.98; strengthen the appropriate intent owner and measure with a fresh comparable period.</x:v>
      </x:c>
      <x:c r="Q299" s="6" t="str">
        <x:v>All vehicles</x:v>
      </x:c>
      <x:c r="R299" s="6" t="str">
        <x:v>service-repair</x:v>
      </x:c>
      <x:c r="S299" s="6" t="str">
        <x:v>Dubai explicit</x:v>
      </x:c>
      <x:c r="T299" s="6" t="n">
        <x:v>3</x:v>
      </x:c>
      <x:c r="U299" s="6" t="str">
        <x:v>11–20</x:v>
      </x:c>
      <x:c r="V299" s="6" t="str">
        <x:v>Ranking and owner relevance</x:v>
      </x:c>
      <x:c r="W299" s="6" t="str">
        <x:v>Relevant supporting</x:v>
      </x:c>
      <x:c r="X299" s="6" t="n">
        <x:v>295</x:v>
      </x:c>
      <x:c r="Y299" s="6" t="str">
        <x:v>Unconfirmed — joint query/page data required</x:v>
      </x:c>
    </x:row>
    <x:row r="300" ht="42" customHeight="1">
      <x:c r="A300" s="6" t="str">
        <x:v>porsche specialist near motor city</x:v>
      </x:c>
      <x:c r="B300" s="14" t="n">
        <x:v>0</x:v>
      </x:c>
      <x:c r="C300" s="14" t="n">
        <x:v>51</x:v>
      </x:c>
      <x:c r="D300" s="15" t="n">
        <x:v>0</x:v>
      </x:c>
      <x:c r="E300" s="16" t="n">
        <x:v>52.96</x:v>
      </x:c>
      <x:c r="F300" s="6" t="str">
        <x:v>GROWTH</x:v>
      </x:c>
      <x:c r="G300" s="17" t="n">
        <x:f>'Scoring'!I300</x:f>
        <x:v>64.5</x:v>
      </x:c>
      <x:c r="H300" s="6" t="str">
        <x:v>SUPPORT</x:v>
      </x:c>
      <x:c r="I300" s="6" t="str">
        <x:v>porsche: Service and repair (English)</x:v>
      </x:c>
      <x:c r="J300" s="6" t="str">
        <x:v>Secondary</x:v>
      </x:c>
      <x:c r="K300" s="6" t="str">
        <x:v>Commercial service enquiry</x:v>
      </x:c>
      <x:c r="L300" s="6" t="str">
        <x:v>High</x:v>
      </x:c>
      <x:c r="M300" s="6" t="str">
        <x:v>https://digitecme.com/brands/porsche-service-dubai</x:v>
      </x:c>
      <x:c r="N300" s="6" t="str">
        <x:v>Unknown — export has no query/page pairing</x:v>
      </x:c>
      <x:c r="O300" s="6" t="str">
        <x:v>Retain primary intent and support variants</x:v>
      </x:c>
      <x:c r="P300" s="6" t="str">
        <x:v>Use the actual Al Quoz location; no district landing page or implied branch. Average position 52.96 makes ranking the main issue; avoid a CTR-only rewrite.</x:v>
      </x:c>
      <x:c r="Q300" s="6" t="str">
        <x:v>porsche</x:v>
      </x:c>
      <x:c r="R300" s="6" t="str">
        <x:v>service-repair</x:v>
      </x:c>
      <x:c r="S300" s="6" t="str">
        <x:v>Other Dubai district</x:v>
      </x:c>
      <x:c r="T300" s="6" t="n">
        <x:v>5</x:v>
      </x:c>
      <x:c r="U300" s="6" t="str">
        <x:v>40+</x:v>
      </x:c>
      <x:c r="V300" s="6" t="str">
        <x:v>Relevance, capability, indexing and authority review</x:v>
      </x:c>
      <x:c r="W300" s="6" t="str">
        <x:v>Relevant supporting</x:v>
      </x:c>
      <x:c r="X300" s="6" t="n">
        <x:v>296</x:v>
      </x:c>
      <x:c r="Y300" s="6" t="str">
        <x:v>Unconfirmed — joint query/page data required</x:v>
      </x:c>
    </x:row>
    <x:row r="301" ht="42" customHeight="1">
      <x:c r="A301" s="6" t="str">
        <x:v>power steering specialists</x:v>
      </x:c>
      <x:c r="B301" s="14" t="n">
        <x:v>0</x:v>
      </x:c>
      <x:c r="C301" s="14" t="n">
        <x:v>50</x:v>
      </x:c>
      <x:c r="D301" s="15" t="n">
        <x:v>0</x:v>
      </x:c>
      <x:c r="E301" s="16" t="n">
        <x:v>6.28</x:v>
      </x:c>
      <x:c r="F301" s="6" t="str">
        <x:v>CRITICAL</x:v>
      </x:c>
      <x:c r="G301" s="17" t="n">
        <x:f>'Scoring'!I301</x:f>
        <x:v>82.7</x:v>
      </x:c>
      <x:c r="H301" s="6" t="str">
        <x:v>SUPPORT</x:v>
      </x:c>
      <x:c r="I301" s="6" t="str">
        <x:v>All vehicles: Steering repair</x:v>
      </x:c>
      <x:c r="J301" s="6" t="str">
        <x:v>Secondary</x:v>
      </x:c>
      <x:c r="K301" s="6" t="str">
        <x:v>Commercial service enquiry</x:v>
      </x:c>
      <x:c r="L301" s="6" t="str">
        <x:v>High</x:v>
      </x:c>
      <x:c r="M301" s="6" t="str">
        <x:v>https://digitecme.com/services/steering-repair-dubai</x:v>
      </x:c>
      <x:c r="N301" s="6" t="str">
        <x:v>Unknown — export has no query/page pairing</x:v>
      </x:c>
      <x:c r="O301" s="6" t="str">
        <x:v>Retain primary intent and support variants</x:v>
      </x:c>
      <x:c r="P301" s="6" t="str">
        <x:v>Zero clicks from 50 impressions at average position 6.28; inspect query/page, country/device and SERP before attributing this to the snippet.</x:v>
      </x:c>
      <x:c r="Q301" s="6" t="str">
        <x:v>All vehicles</x:v>
      </x:c>
      <x:c r="R301" s="6" t="str">
        <x:v>steering-repair</x:v>
      </x:c>
      <x:c r="S301" s="6" t="str">
        <x:v>Location unspecified</x:v>
      </x:c>
      <x:c r="T301" s="6" t="n">
        <x:v>3</x:v>
      </x:c>
      <x:c r="U301" s="6" t="str">
        <x:v>4–10</x:v>
      </x:c>
      <x:c r="V301" s="6" t="str">
        <x:v>Page-one CTR review and top-three relevance</x:v>
      </x:c>
      <x:c r="W301" s="6" t="str">
        <x:v>Relevant supporting</x:v>
      </x:c>
      <x:c r="X301" s="6" t="n">
        <x:v>297</x:v>
      </x:c>
      <x:c r="Y301" s="6" t="str">
        <x:v>Unconfirmed — joint query/page data required</x:v>
      </x:c>
    </x:row>
    <x:row r="302" ht="42" customHeight="1">
      <x:c r="A302" s="6" t="str">
        <x:v>porsche maintenance</x:v>
      </x:c>
      <x:c r="B302" s="14" t="n">
        <x:v>0</x:v>
      </x:c>
      <x:c r="C302" s="14" t="n">
        <x:v>50</x:v>
      </x:c>
      <x:c r="D302" s="15" t="n">
        <x:v>0</x:v>
      </x:c>
      <x:c r="E302" s="16" t="n">
        <x:v>9.18</x:v>
      </x:c>
      <x:c r="F302" s="6" t="str">
        <x:v>CRITICAL</x:v>
      </x:c>
      <x:c r="G302" s="17" t="n">
        <x:f>'Scoring'!I302</x:f>
        <x:v>90.7</x:v>
      </x:c>
      <x:c r="H302" s="6" t="str">
        <x:v>SUPPORT</x:v>
      </x:c>
      <x:c r="I302" s="6" t="str">
        <x:v>porsche: Service and repair (English)</x:v>
      </x:c>
      <x:c r="J302" s="6" t="str">
        <x:v>Secondary</x:v>
      </x:c>
      <x:c r="K302" s="6" t="str">
        <x:v>Commercial service enquiry</x:v>
      </x:c>
      <x:c r="L302" s="6" t="str">
        <x:v>High</x:v>
      </x:c>
      <x:c r="M302" s="6" t="str">
        <x:v>https://digitecme.com/brands/porsche-service-dubai</x:v>
      </x:c>
      <x:c r="N302" s="6" t="str">
        <x:v>Unknown — export has no query/page pairing</x:v>
      </x:c>
      <x:c r="O302" s="6" t="str">
        <x:v>Retain primary intent and support variants</x:v>
      </x:c>
      <x:c r="P302" s="6" t="str">
        <x:v>Zero clicks from 50 impressions at average position 9.18; inspect query/page, country/device and SERP before attributing this to the snippet.</x:v>
      </x:c>
      <x:c r="Q302" s="6" t="str">
        <x:v>porsche</x:v>
      </x:c>
      <x:c r="R302" s="6" t="str">
        <x:v>service-repair</x:v>
      </x:c>
      <x:c r="S302" s="6" t="str">
        <x:v>Location unspecified</x:v>
      </x:c>
      <x:c r="T302" s="6" t="n">
        <x:v>5</x:v>
      </x:c>
      <x:c r="U302" s="6" t="str">
        <x:v>4–10</x:v>
      </x:c>
      <x:c r="V302" s="6" t="str">
        <x:v>Page-one CTR review and top-three relevance</x:v>
      </x:c>
      <x:c r="W302" s="6" t="str">
        <x:v>Relevant supporting</x:v>
      </x:c>
      <x:c r="X302" s="6" t="n">
        <x:v>298</x:v>
      </x:c>
      <x:c r="Y302" s="6" t="str">
        <x:v>Unconfirmed — joint query/page data required</x:v>
      </x:c>
    </x:row>
    <x:row r="303" ht="42" customHeight="1">
      <x:c r="A303" s="6" t="str">
        <x:v>air suspension repair</x:v>
      </x:c>
      <x:c r="B303" s="14" t="n">
        <x:v>0</x:v>
      </x:c>
      <x:c r="C303" s="14" t="n">
        <x:v>50</x:v>
      </x:c>
      <x:c r="D303" s="15" t="n">
        <x:v>0</x:v>
      </x:c>
      <x:c r="E303" s="16" t="n">
        <x:v>14.92</x:v>
      </x:c>
      <x:c r="F303" s="6" t="str">
        <x:v>CRITICAL</x:v>
      </x:c>
      <x:c r="G303" s="17" t="n">
        <x:f>'Scoring'!I303</x:f>
        <x:v>72.7</x:v>
      </x:c>
      <x:c r="H303" s="6" t="str">
        <x:v>SUPPORT</x:v>
      </x:c>
      <x:c r="I303" s="6" t="str">
        <x:v>All vehicles: Suspension repair (English)</x:v>
      </x:c>
      <x:c r="J303" s="6" t="str">
        <x:v>Secondary</x:v>
      </x:c>
      <x:c r="K303" s="6" t="str">
        <x:v>Commercial service enquiry</x:v>
      </x:c>
      <x:c r="L303" s="6" t="str">
        <x:v>High</x:v>
      </x:c>
      <x:c r="M303" s="6" t="str">
        <x:v>https://digitecme.com/services/suspension-repair-dubai</x:v>
      </x:c>
      <x:c r="N303" s="6" t="str">
        <x:v>Unknown — export has no query/page pairing</x:v>
      </x:c>
      <x:c r="O303" s="6" t="str">
        <x:v>Retain primary intent and support variants</x:v>
      </x:c>
      <x:c r="P303" s="6" t="str">
        <x:v>50 impressions at average position 14.92; strengthen the appropriate intent owner and measure with a fresh comparable period.</x:v>
      </x:c>
      <x:c r="Q303" s="6" t="str">
        <x:v>All vehicles</x:v>
      </x:c>
      <x:c r="R303" s="6" t="str">
        <x:v>suspension-repair</x:v>
      </x:c>
      <x:c r="S303" s="6" t="str">
        <x:v>Location unspecified</x:v>
      </x:c>
      <x:c r="T303" s="6" t="n">
        <x:v>3</x:v>
      </x:c>
      <x:c r="U303" s="6" t="str">
        <x:v>11–20</x:v>
      </x:c>
      <x:c r="V303" s="6" t="str">
        <x:v>Ranking and owner relevance</x:v>
      </x:c>
      <x:c r="W303" s="6" t="str">
        <x:v>Relevant supporting</x:v>
      </x:c>
      <x:c r="X303" s="6" t="n">
        <x:v>299</x:v>
      </x:c>
      <x:c r="Y303" s="6" t="str">
        <x:v>Unconfirmed — joint query/page data required</x:v>
      </x:c>
    </x:row>
    <x:row r="304" ht="42" customHeight="1">
      <x:c r="A304" s="6" t="str">
        <x:v>bmw transmission service</x:v>
      </x:c>
      <x:c r="B304" s="14" t="n">
        <x:v>0</x:v>
      </x:c>
      <x:c r="C304" s="14" t="n">
        <x:v>50</x:v>
      </x:c>
      <x:c r="D304" s="15" t="n">
        <x:v>0</x:v>
      </x:c>
      <x:c r="E304" s="16" t="n">
        <x:v>19.9</x:v>
      </x:c>
      <x:c r="F304" s="6" t="str">
        <x:v>HIGH</x:v>
      </x:c>
      <x:c r="G304" s="17" t="n">
        <x:f>'Scoring'!I304</x:f>
        <x:v>73.2</x:v>
      </x:c>
      <x:c r="H304" s="6" t="str">
        <x:v>SPLIT</x:v>
      </x:c>
      <x:c r="I304" s="6" t="str">
        <x:v>bmw: Transmission and gearbox repair</x:v>
      </x:c>
      <x:c r="J304" s="6" t="str">
        <x:v>Secondary</x:v>
      </x:c>
      <x:c r="K304" s="6" t="str">
        <x:v>Commercial service enquiry</x:v>
      </x:c>
      <x:c r="L304" s="6" t="str">
        <x:v>High</x:v>
      </x:c>
      <x:c r="M304" s="6" t="str">
        <x:v>https://digitecme.com/brands/bmw-service-dubai/transmission-repair</x:v>
      </x:c>
      <x:c r="N304" s="6" t="str">
        <x:v>Unknown — export has no query/page pairing</x:v>
      </x:c>
      <x:c r="O304" s="6" t="str">
        <x:v>Use dedicated service owner</x:v>
      </x:c>
      <x:c r="P304" s="6" t="str">
        <x:v>50 impressions at average position 19.90; strengthen the appropriate intent owner and measure with a fresh comparable period.</x:v>
      </x:c>
      <x:c r="Q304" s="6" t="str">
        <x:v>bmw</x:v>
      </x:c>
      <x:c r="R304" s="6" t="str">
        <x:v>transmission-repair</x:v>
      </x:c>
      <x:c r="S304" s="6" t="str">
        <x:v>Location unspecified</x:v>
      </x:c>
      <x:c r="T304" s="6" t="n">
        <x:v>5</x:v>
      </x:c>
      <x:c r="U304" s="6" t="str">
        <x:v>11–20</x:v>
      </x:c>
      <x:c r="V304" s="6" t="str">
        <x:v>Ranking and owner relevance</x:v>
      </x:c>
      <x:c r="W304" s="6" t="str">
        <x:v>High-value commercial</x:v>
      </x:c>
      <x:c r="X304" s="6" t="n">
        <x:v>300</x:v>
      </x:c>
      <x:c r="Y304" s="6" t="str">
        <x:v>Unconfirmed — joint query/page data required</x:v>
      </x:c>
    </x:row>
    <x:row r="305" ht="42" customHeight="1">
      <x:c r="A305" s="6" t="str">
        <x:v>porsche performance tuning dubai</x:v>
      </x:c>
      <x:c r="B305" s="14" t="n">
        <x:v>0</x:v>
      </x:c>
      <x:c r="C305" s="14" t="n">
        <x:v>50</x:v>
      </x:c>
      <x:c r="D305" s="15" t="n">
        <x:v>0</x:v>
      </x:c>
      <x:c r="E305" s="16" t="n">
        <x:v>26.98</x:v>
      </x:c>
      <x:c r="F305" s="6" t="str">
        <x:v>HIGH</x:v>
      </x:c>
      <x:c r="G305" s="17" t="n">
        <x:f>'Scoring'!I305</x:f>
        <x:v>78.2</x:v>
      </x:c>
      <x:c r="H305" s="6" t="str">
        <x:v>SUPPORT</x:v>
      </x:c>
      <x:c r="I305" s="6" t="str">
        <x:v>All vehicles: Performance tuning</x:v>
      </x:c>
      <x:c r="J305" s="6" t="str">
        <x:v>Secondary</x:v>
      </x:c>
      <x:c r="K305" s="6" t="str">
        <x:v>Commercial service enquiry</x:v>
      </x:c>
      <x:c r="L305" s="6" t="str">
        <x:v>High</x:v>
      </x:c>
      <x:c r="M305" s="6" t="str">
        <x:v>https://digitecme.com/tuning</x:v>
      </x:c>
      <x:c r="N305" s="6" t="str">
        <x:v>Unknown — export has no query/page pairing</x:v>
      </x:c>
      <x:c r="O305" s="6" t="str">
        <x:v>Retain primary intent and support variants</x:v>
      </x:c>
      <x:c r="P305" s="6" t="str">
        <x:v>Use the existing tuning page; model scope and any GAD relationship require verified facts. Average position 26.98 makes ranking the main issue; avoid a CTR-only rewrite.</x:v>
      </x:c>
      <x:c r="Q305" s="6" t="str">
        <x:v>porsche</x:v>
      </x:c>
      <x:c r="R305" s="6" t="str">
        <x:v>tuning</x:v>
      </x:c>
      <x:c r="S305" s="6" t="str">
        <x:v>Dubai explicit</x:v>
      </x:c>
      <x:c r="T305" s="6" t="n">
        <x:v>5</x:v>
      </x:c>
      <x:c r="U305" s="6" t="str">
        <x:v>21–40</x:v>
      </x:c>
      <x:c r="V305" s="6" t="str">
        <x:v>Content, internal authority and owner alignment</x:v>
      </x:c>
      <x:c r="W305" s="6" t="str">
        <x:v>Relevant supporting</x:v>
      </x:c>
      <x:c r="X305" s="6" t="n">
        <x:v>301</x:v>
      </x:c>
      <x:c r="Y305" s="6" t="str">
        <x:v>Unconfirmed — joint query/page data required</x:v>
      </x:c>
    </x:row>
    <x:row r="306" ht="42" customHeight="1">
      <x:c r="A306" s="6" t="str">
        <x:v>chevrolet repair in dubai</x:v>
      </x:c>
      <x:c r="B306" s="14" t="n">
        <x:v>0</x:v>
      </x:c>
      <x:c r="C306" s="14" t="n">
        <x:v>50</x:v>
      </x:c>
      <x:c r="D306" s="15" t="n">
        <x:v>0</x:v>
      </x:c>
      <x:c r="E306" s="16" t="n">
        <x:v>28.06</x:v>
      </x:c>
      <x:c r="F306" s="6" t="str">
        <x:v>HIGH</x:v>
      </x:c>
      <x:c r="G306" s="17" t="n">
        <x:f>'Scoring'!I306</x:f>
        <x:v>70.2</x:v>
      </x:c>
      <x:c r="H306" s="6" t="str">
        <x:v>PRIORITIZE</x:v>
      </x:c>
      <x:c r="I306" s="6" t="str">
        <x:v>chevrolet: Service and repair</x:v>
      </x:c>
      <x:c r="J306" s="6" t="str">
        <x:v>Primary</x:v>
      </x:c>
      <x:c r="K306" s="6" t="str">
        <x:v>Commercial service enquiry</x:v>
      </x:c>
      <x:c r="L306" s="6" t="str">
        <x:v>High</x:v>
      </x:c>
      <x:c r="M306" s="6" t="str">
        <x:v>https://digitecme.com/brands/chevrolet-service-dubai</x:v>
      </x:c>
      <x:c r="N306" s="6" t="str">
        <x:v>Unknown — export has no query/page pairing</x:v>
      </x:c>
      <x:c r="O306" s="6" t="str">
        <x:v>Strengthen this primary intent owner</x:v>
      </x:c>
      <x:c r="P306" s="6" t="str">
        <x:v>Average position 28.06 makes ranking the main issue; avoid a CTR-only rewrite.</x:v>
      </x:c>
      <x:c r="Q306" s="6" t="str">
        <x:v>chevrolet</x:v>
      </x:c>
      <x:c r="R306" s="6" t="str">
        <x:v>service-repair</x:v>
      </x:c>
      <x:c r="S306" s="6" t="str">
        <x:v>Dubai explicit</x:v>
      </x:c>
      <x:c r="T306" s="6" t="n">
        <x:v>3</x:v>
      </x:c>
      <x:c r="U306" s="6" t="str">
        <x:v>21–40</x:v>
      </x:c>
      <x:c r="V306" s="6" t="str">
        <x:v>Content, internal authority and owner alignment</x:v>
      </x:c>
      <x:c r="W306" s="6" t="str">
        <x:v>High-value commercial</x:v>
      </x:c>
      <x:c r="X306" s="6" t="n">
        <x:v>302</x:v>
      </x:c>
      <x:c r="Y306" s="6" t="str">
        <x:v>Unconfirmed — joint query/page data required</x:v>
      </x:c>
    </x:row>
    <x:row r="307" ht="42" customHeight="1">
      <x:c r="A307" s="6" t="str">
        <x:v>lamborghini servicing</x:v>
      </x:c>
      <x:c r="B307" s="14" t="n">
        <x:v>0</x:v>
      </x:c>
      <x:c r="C307" s="14" t="n">
        <x:v>50</x:v>
      </x:c>
      <x:c r="D307" s="15" t="n">
        <x:v>0</x:v>
      </x:c>
      <x:c r="E307" s="16" t="n">
        <x:v>28.62</x:v>
      </x:c>
      <x:c r="F307" s="6" t="str">
        <x:v>HIGH</x:v>
      </x:c>
      <x:c r="G307" s="17" t="n">
        <x:f>'Scoring'!I307</x:f>
        <x:v>73.2</x:v>
      </x:c>
      <x:c r="H307" s="6" t="str">
        <x:v>SUPPORT</x:v>
      </x:c>
      <x:c r="I307" s="6" t="str">
        <x:v>lamborghini: Service and repair</x:v>
      </x:c>
      <x:c r="J307" s="6" t="str">
        <x:v>Secondary</x:v>
      </x:c>
      <x:c r="K307" s="6" t="str">
        <x:v>Commercial service enquiry</x:v>
      </x:c>
      <x:c r="L307" s="6" t="str">
        <x:v>High</x:v>
      </x:c>
      <x:c r="M307" s="6" t="str">
        <x:v>https://digitecme.com/brands/lamborghini-service-dubai</x:v>
      </x:c>
      <x:c r="N307" s="6" t="str">
        <x:v>Unknown — export has no query/page pairing</x:v>
      </x:c>
      <x:c r="O307" s="6" t="str">
        <x:v>Retain primary intent and support variants</x:v>
      </x:c>
      <x:c r="P307" s="6" t="str">
        <x:v>Average position 28.62 makes ranking the main issue; avoid a CTR-only rewrite.</x:v>
      </x:c>
      <x:c r="Q307" s="6" t="str">
        <x:v>lamborghini</x:v>
      </x:c>
      <x:c r="R307" s="6" t="str">
        <x:v>service-repair</x:v>
      </x:c>
      <x:c r="S307" s="6" t="str">
        <x:v>Location unspecified</x:v>
      </x:c>
      <x:c r="T307" s="6" t="n">
        <x:v>5</x:v>
      </x:c>
      <x:c r="U307" s="6" t="str">
        <x:v>21–40</x:v>
      </x:c>
      <x:c r="V307" s="6" t="str">
        <x:v>Content, internal authority and owner alignment</x:v>
      </x:c>
      <x:c r="W307" s="6" t="str">
        <x:v>Relevant supporting</x:v>
      </x:c>
      <x:c r="X307" s="6" t="n">
        <x:v>303</x:v>
      </x:c>
      <x:c r="Y307" s="6" t="str">
        <x:v>Unconfirmed — joint query/page data required</x:v>
      </x:c>
    </x:row>
    <x:row r="308" ht="42" customHeight="1">
      <x:c r="A308" s="6" t="str">
        <x:v>vehicle diagnostics dubai</x:v>
      </x:c>
      <x:c r="B308" s="14" t="n">
        <x:v>0</x:v>
      </x:c>
      <x:c r="C308" s="14" t="n">
        <x:v>50</x:v>
      </x:c>
      <x:c r="D308" s="15" t="n">
        <x:v>0</x:v>
      </x:c>
      <x:c r="E308" s="16" t="n">
        <x:v>42.06</x:v>
      </x:c>
      <x:c r="F308" s="6" t="str">
        <x:v>GROWTH</x:v>
      </x:c>
      <x:c r="G308" s="17" t="n">
        <x:f>'Scoring'!I308</x:f>
        <x:v>56.4</x:v>
      </x:c>
      <x:c r="H308" s="6" t="str">
        <x:v>SUPPORT</x:v>
      </x:c>
      <x:c r="I308" s="6" t="str">
        <x:v>All vehicles: Diagnostics and supported coding</x:v>
      </x:c>
      <x:c r="J308" s="6" t="str">
        <x:v>Secondary</x:v>
      </x:c>
      <x:c r="K308" s="6" t="str">
        <x:v>Commercial service enquiry</x:v>
      </x:c>
      <x:c r="L308" s="6" t="str">
        <x:v>High</x:v>
      </x:c>
      <x:c r="M308" s="6" t="str">
        <x:v>https://digitecme.com/services/car-diagnostics-dubai</x:v>
      </x:c>
      <x:c r="N308" s="6" t="str">
        <x:v>Unknown — export has no query/page pairing</x:v>
      </x:c>
      <x:c r="O308" s="6" t="str">
        <x:v>Retain primary intent and support variants</x:v>
      </x:c>
      <x:c r="P308" s="6" t="str">
        <x:v>Average position 42.06 makes ranking the main issue; avoid a CTR-only rewrite.</x:v>
      </x:c>
      <x:c r="Q308" s="6" t="str">
        <x:v>All vehicles</x:v>
      </x:c>
      <x:c r="R308" s="6" t="str">
        <x:v>engine-diagnostics</x:v>
      </x:c>
      <x:c r="S308" s="6" t="str">
        <x:v>Dubai explicit</x:v>
      </x:c>
      <x:c r="T308" s="6" t="n">
        <x:v>3</x:v>
      </x:c>
      <x:c r="U308" s="6" t="str">
        <x:v>40+</x:v>
      </x:c>
      <x:c r="V308" s="6" t="str">
        <x:v>Relevance, capability, indexing and authority review</x:v>
      </x:c>
      <x:c r="W308" s="6" t="str">
        <x:v>Relevant supporting</x:v>
      </x:c>
      <x:c r="X308" s="6" t="n">
        <x:v>304</x:v>
      </x:c>
      <x:c r="Y308" s="6" t="str">
        <x:v>Unconfirmed — joint query/page data required</x:v>
      </x:c>
    </x:row>
    <x:row r="309" ht="42" customHeight="1">
      <x:c r="A309" s="6" t="str">
        <x:v>car scanning dubai</x:v>
      </x:c>
      <x:c r="B309" s="14" t="n">
        <x:v>0</x:v>
      </x:c>
      <x:c r="C309" s="14" t="n">
        <x:v>50</x:v>
      </x:c>
      <x:c r="D309" s="15" t="n">
        <x:v>0</x:v>
      </x:c>
      <x:c r="E309" s="16" t="n">
        <x:v>61.5</x:v>
      </x:c>
      <x:c r="F309" s="6" t="str">
        <x:v>GROWTH</x:v>
      </x:c>
      <x:c r="G309" s="17" t="n">
        <x:f>'Scoring'!I309</x:f>
        <x:v>56.4</x:v>
      </x:c>
      <x:c r="H309" s="6" t="str">
        <x:v>SUPPORT</x:v>
      </x:c>
      <x:c r="I309" s="6" t="str">
        <x:v>All vehicles: Diagnostics and supported coding</x:v>
      </x:c>
      <x:c r="J309" s="6" t="str">
        <x:v>Secondary</x:v>
      </x:c>
      <x:c r="K309" s="6" t="str">
        <x:v>Commercial service enquiry</x:v>
      </x:c>
      <x:c r="L309" s="6" t="str">
        <x:v>High</x:v>
      </x:c>
      <x:c r="M309" s="6" t="str">
        <x:v>https://digitecme.com/services/car-diagnostics-dubai</x:v>
      </x:c>
      <x:c r="N309" s="6" t="str">
        <x:v>Unknown — export has no query/page pairing</x:v>
      </x:c>
      <x:c r="O309" s="6" t="str">
        <x:v>Retain primary intent and support variants</x:v>
      </x:c>
      <x:c r="P309" s="6" t="str">
        <x:v>Average position 61.50 makes ranking the main issue; avoid a CTR-only rewrite.</x:v>
      </x:c>
      <x:c r="Q309" s="6" t="str">
        <x:v>All vehicles</x:v>
      </x:c>
      <x:c r="R309" s="6" t="str">
        <x:v>engine-diagnostics</x:v>
      </x:c>
      <x:c r="S309" s="6" t="str">
        <x:v>Dubai explicit</x:v>
      </x:c>
      <x:c r="T309" s="6" t="n">
        <x:v>3</x:v>
      </x:c>
      <x:c r="U309" s="6" t="str">
        <x:v>40+</x:v>
      </x:c>
      <x:c r="V309" s="6" t="str">
        <x:v>Relevance, capability, indexing and authority review</x:v>
      </x:c>
      <x:c r="W309" s="6" t="str">
        <x:v>Relevant supporting</x:v>
      </x:c>
      <x:c r="X309" s="6" t="n">
        <x:v>305</x:v>
      </x:c>
      <x:c r="Y309" s="6" t="str">
        <x:v>Unconfirmed — joint query/page data required</x:v>
      </x:c>
    </x:row>
    <x:row r="310" ht="42" customHeight="1">
      <x:c r="A310" s="6" t="str">
        <x:v>power steering mechanic</x:v>
      </x:c>
      <x:c r="B310" s="14" t="n">
        <x:v>0</x:v>
      </x:c>
      <x:c r="C310" s="14" t="n">
        <x:v>49</x:v>
      </x:c>
      <x:c r="D310" s="15" t="n">
        <x:v>0</x:v>
      </x:c>
      <x:c r="E310" s="16" t="n">
        <x:v>8.1</x:v>
      </x:c>
      <x:c r="F310" s="6" t="str">
        <x:v>CRITICAL</x:v>
      </x:c>
      <x:c r="G310" s="17" t="n">
        <x:f>'Scoring'!I310</x:f>
        <x:v>82.7</x:v>
      </x:c>
      <x:c r="H310" s="6" t="str">
        <x:v>SUPPORT</x:v>
      </x:c>
      <x:c r="I310" s="6" t="str">
        <x:v>All vehicles: Steering repair</x:v>
      </x:c>
      <x:c r="J310" s="6" t="str">
        <x:v>Secondary</x:v>
      </x:c>
      <x:c r="K310" s="6" t="str">
        <x:v>Commercial service enquiry</x:v>
      </x:c>
      <x:c r="L310" s="6" t="str">
        <x:v>High</x:v>
      </x:c>
      <x:c r="M310" s="6" t="str">
        <x:v>https://digitecme.com/services/steering-repair-dubai</x:v>
      </x:c>
      <x:c r="N310" s="6" t="str">
        <x:v>Unknown — export has no query/page pairing</x:v>
      </x:c>
      <x:c r="O310" s="6" t="str">
        <x:v>Retain primary intent and support variants</x:v>
      </x:c>
      <x:c r="P310" s="6" t="str">
        <x:v>Zero clicks from 49 impressions at average position 8.10; inspect query/page, country/device and SERP before attributing this to the snippet.</x:v>
      </x:c>
      <x:c r="Q310" s="6" t="str">
        <x:v>All vehicles</x:v>
      </x:c>
      <x:c r="R310" s="6" t="str">
        <x:v>steering-repair</x:v>
      </x:c>
      <x:c r="S310" s="6" t="str">
        <x:v>Location unspecified</x:v>
      </x:c>
      <x:c r="T310" s="6" t="n">
        <x:v>3</x:v>
      </x:c>
      <x:c r="U310" s="6" t="str">
        <x:v>4–10</x:v>
      </x:c>
      <x:c r="V310" s="6" t="str">
        <x:v>Page-one CTR review and top-three relevance</x:v>
      </x:c>
      <x:c r="W310" s="6" t="str">
        <x:v>Relevant supporting</x:v>
      </x:c>
      <x:c r="X310" s="6" t="n">
        <x:v>306</x:v>
      </x:c>
      <x:c r="Y310" s="6" t="str">
        <x:v>Unconfirmed — joint query/page data required</x:v>
      </x:c>
    </x:row>
    <x:row r="311" ht="42" customHeight="1">
      <x:c r="A311" s="6" t="str">
        <x:v>power steering shop</x:v>
      </x:c>
      <x:c r="B311" s="14" t="n">
        <x:v>0</x:v>
      </x:c>
      <x:c r="C311" s="14" t="n">
        <x:v>49</x:v>
      </x:c>
      <x:c r="D311" s="15" t="n">
        <x:v>0</x:v>
      </x:c>
      <x:c r="E311" s="16" t="n">
        <x:v>10.22</x:v>
      </x:c>
      <x:c r="F311" s="6" t="str">
        <x:v>CRITICAL</x:v>
      </x:c>
      <x:c r="G311" s="17" t="n">
        <x:f>'Scoring'!I311</x:f>
        <x:v>72.7</x:v>
      </x:c>
      <x:c r="H311" s="6" t="str">
        <x:v>SUPPORT</x:v>
      </x:c>
      <x:c r="I311" s="6" t="str">
        <x:v>All vehicles: Steering repair</x:v>
      </x:c>
      <x:c r="J311" s="6" t="str">
        <x:v>Secondary</x:v>
      </x:c>
      <x:c r="K311" s="6" t="str">
        <x:v>Commercial service enquiry</x:v>
      </x:c>
      <x:c r="L311" s="6" t="str">
        <x:v>High</x:v>
      </x:c>
      <x:c r="M311" s="6" t="str">
        <x:v>https://digitecme.com/services/steering-repair-dubai</x:v>
      </x:c>
      <x:c r="N311" s="6" t="str">
        <x:v>Unknown — export has no query/page pairing</x:v>
      </x:c>
      <x:c r="O311" s="6" t="str">
        <x:v>Retain primary intent and support variants</x:v>
      </x:c>
      <x:c r="P311" s="6" t="str">
        <x:v>49 impressions at average position 10.22; strengthen the appropriate intent owner and measure with a fresh comparable period.</x:v>
      </x:c>
      <x:c r="Q311" s="6" t="str">
        <x:v>All vehicles</x:v>
      </x:c>
      <x:c r="R311" s="6" t="str">
        <x:v>steering-repair</x:v>
      </x:c>
      <x:c r="S311" s="6" t="str">
        <x:v>Location unspecified</x:v>
      </x:c>
      <x:c r="T311" s="6" t="n">
        <x:v>3</x:v>
      </x:c>
      <x:c r="U311" s="6" t="str">
        <x:v>11–20</x:v>
      </x:c>
      <x:c r="V311" s="6" t="str">
        <x:v>Ranking and owner relevance</x:v>
      </x:c>
      <x:c r="W311" s="6" t="str">
        <x:v>Relevant supporting</x:v>
      </x:c>
      <x:c r="X311" s="6" t="n">
        <x:v>307</x:v>
      </x:c>
      <x:c r="Y311" s="6" t="str">
        <x:v>Unconfirmed — joint query/page data required</x:v>
      </x:c>
    </x:row>
    <x:row r="312" ht="42" customHeight="1">
      <x:c r="A312" s="6" t="str">
        <x:v>nissan service</x:v>
      </x:c>
      <x:c r="B312" s="14" t="n">
        <x:v>0</x:v>
      </x:c>
      <x:c r="C312" s="14" t="n">
        <x:v>49</x:v>
      </x:c>
      <x:c r="D312" s="15" t="n">
        <x:v>0</x:v>
      </x:c>
      <x:c r="E312" s="16" t="n">
        <x:v>13.31</x:v>
      </x:c>
      <x:c r="F312" s="6" t="str">
        <x:v>CRITICAL</x:v>
      </x:c>
      <x:c r="G312" s="17" t="n">
        <x:f>'Scoring'!I312</x:f>
        <x:v>72.7</x:v>
      </x:c>
      <x:c r="H312" s="6" t="str">
        <x:v>SUPPORT</x:v>
      </x:c>
      <x:c r="I312" s="6" t="str">
        <x:v>nissan: Service and repair</x:v>
      </x:c>
      <x:c r="J312" s="6" t="str">
        <x:v>Secondary</x:v>
      </x:c>
      <x:c r="K312" s="6" t="str">
        <x:v>Commercial service enquiry</x:v>
      </x:c>
      <x:c r="L312" s="6" t="str">
        <x:v>High</x:v>
      </x:c>
      <x:c r="M312" s="6" t="str">
        <x:v>https://digitecme.com/brands/nissan-service-dubai</x:v>
      </x:c>
      <x:c r="N312" s="6" t="str">
        <x:v>Unknown — export has no query/page pairing</x:v>
      </x:c>
      <x:c r="O312" s="6" t="str">
        <x:v>Retain primary intent and support variants</x:v>
      </x:c>
      <x:c r="P312" s="6" t="str">
        <x:v>49 impressions at average position 13.31; strengthen the appropriate intent owner and measure with a fresh comparable period.</x:v>
      </x:c>
      <x:c r="Q312" s="6" t="str">
        <x:v>nissan</x:v>
      </x:c>
      <x:c r="R312" s="6" t="str">
        <x:v>service-repair</x:v>
      </x:c>
      <x:c r="S312" s="6" t="str">
        <x:v>Location unspecified</x:v>
      </x:c>
      <x:c r="T312" s="6" t="n">
        <x:v>3</x:v>
      </x:c>
      <x:c r="U312" s="6" t="str">
        <x:v>11–20</x:v>
      </x:c>
      <x:c r="V312" s="6" t="str">
        <x:v>Ranking and owner relevance</x:v>
      </x:c>
      <x:c r="W312" s="6" t="str">
        <x:v>Relevant supporting</x:v>
      </x:c>
      <x:c r="X312" s="6" t="n">
        <x:v>308</x:v>
      </x:c>
      <x:c r="Y312" s="6" t="str">
        <x:v>Unconfirmed — joint query/page data required</x:v>
      </x:c>
    </x:row>
    <x:row r="313" ht="42" customHeight="1">
      <x:c r="A313" s="6" t="str">
        <x:v>suspension repair near me</x:v>
      </x:c>
      <x:c r="B313" s="14" t="n">
        <x:v>0</x:v>
      </x:c>
      <x:c r="C313" s="14" t="n">
        <x:v>49</x:v>
      </x:c>
      <x:c r="D313" s="15" t="n">
        <x:v>0</x:v>
      </x:c>
      <x:c r="E313" s="16" t="n">
        <x:v>13.78</x:v>
      </x:c>
      <x:c r="F313" s="6" t="str">
        <x:v>CRITICAL</x:v>
      </x:c>
      <x:c r="G313" s="17" t="n">
        <x:f>'Scoring'!I313</x:f>
        <x:v>77.7</x:v>
      </x:c>
      <x:c r="H313" s="6" t="str">
        <x:v>SUPPORT</x:v>
      </x:c>
      <x:c r="I313" s="6" t="str">
        <x:v>All vehicles: Suspension repair (English)</x:v>
      </x:c>
      <x:c r="J313" s="6" t="str">
        <x:v>Secondary</x:v>
      </x:c>
      <x:c r="K313" s="6" t="str">
        <x:v>Commercial service enquiry</x:v>
      </x:c>
      <x:c r="L313" s="6" t="str">
        <x:v>High</x:v>
      </x:c>
      <x:c r="M313" s="6" t="str">
        <x:v>https://digitecme.com/services/suspension-repair-dubai</x:v>
      </x:c>
      <x:c r="N313" s="6" t="str">
        <x:v>Unknown — export has no query/page pairing</x:v>
      </x:c>
      <x:c r="O313" s="6" t="str">
        <x:v>Retain primary intent and support variants</x:v>
      </x:c>
      <x:c r="P313" s="6" t="str">
        <x:v>49 impressions at average position 13.78; strengthen the appropriate intent owner and measure with a fresh comparable period.</x:v>
      </x:c>
      <x:c r="Q313" s="6" t="str">
        <x:v>All vehicles</x:v>
      </x:c>
      <x:c r="R313" s="6" t="str">
        <x:v>suspension-repair</x:v>
      </x:c>
      <x:c r="S313" s="6" t="str">
        <x:v>Near me; location unknown</x:v>
      </x:c>
      <x:c r="T313" s="6" t="n">
        <x:v>3</x:v>
      </x:c>
      <x:c r="U313" s="6" t="str">
        <x:v>11–20</x:v>
      </x:c>
      <x:c r="V313" s="6" t="str">
        <x:v>Ranking and owner relevance</x:v>
      </x:c>
      <x:c r="W313" s="6" t="str">
        <x:v>Relevant supporting</x:v>
      </x:c>
      <x:c r="X313" s="6" t="n">
        <x:v>309</x:v>
      </x:c>
      <x:c r="Y313" s="6" t="str">
        <x:v>Unconfirmed — joint query/page data required</x:v>
      </x:c>
    </x:row>
    <x:row r="314" ht="42" customHeight="1">
      <x:c r="A314" s="6" t="str">
        <x:v>car body repair</x:v>
      </x:c>
      <x:c r="B314" s="14" t="n">
        <x:v>0</x:v>
      </x:c>
      <x:c r="C314" s="14" t="n">
        <x:v>49</x:v>
      </x:c>
      <x:c r="D314" s="15" t="n">
        <x:v>0</x:v>
      </x:c>
      <x:c r="E314" s="16" t="n">
        <x:v>28.12</x:v>
      </x:c>
      <x:c r="F314" s="6" t="str">
        <x:v>HIGH</x:v>
      </x:c>
      <x:c r="G314" s="17" t="n">
        <x:f>'Scoring'!I314</x:f>
        <x:v>65.2</x:v>
      </x:c>
      <x:c r="H314" s="6" t="str">
        <x:v>SUPPORT</x:v>
      </x:c>
      <x:c r="I314" s="6" t="str">
        <x:v>All vehicles: Body repair</x:v>
      </x:c>
      <x:c r="J314" s="6" t="str">
        <x:v>Secondary</x:v>
      </x:c>
      <x:c r="K314" s="6" t="str">
        <x:v>Commercial service enquiry</x:v>
      </x:c>
      <x:c r="L314" s="6" t="str">
        <x:v>High</x:v>
      </x:c>
      <x:c r="M314" s="6" t="str">
        <x:v>https://digitecme.com/services/car-body-repair-dubai</x:v>
      </x:c>
      <x:c r="N314" s="6" t="str">
        <x:v>Unknown — export has no query/page pairing</x:v>
      </x:c>
      <x:c r="O314" s="6" t="str">
        <x:v>Retain primary intent and support variants</x:v>
      </x:c>
      <x:c r="P314" s="6" t="str">
        <x:v>Average position 28.12 makes ranking the main issue; avoid a CTR-only rewrite.</x:v>
      </x:c>
      <x:c r="Q314" s="6" t="str">
        <x:v>All vehicles</x:v>
      </x:c>
      <x:c r="R314" s="6" t="str">
        <x:v>body-repair</x:v>
      </x:c>
      <x:c r="S314" s="6" t="str">
        <x:v>Location unspecified</x:v>
      </x:c>
      <x:c r="T314" s="6" t="n">
        <x:v>3</x:v>
      </x:c>
      <x:c r="U314" s="6" t="str">
        <x:v>21–40</x:v>
      </x:c>
      <x:c r="V314" s="6" t="str">
        <x:v>Content, internal authority and owner alignment</x:v>
      </x:c>
      <x:c r="W314" s="6" t="str">
        <x:v>Relevant supporting</x:v>
      </x:c>
      <x:c r="X314" s="6" t="n">
        <x:v>310</x:v>
      </x:c>
      <x:c r="Y314" s="6" t="str">
        <x:v>Unconfirmed — joint query/page data required</x:v>
      </x:c>
    </x:row>
    <x:row r="315" ht="42" customHeight="1">
      <x:c r="A315" s="6" t="str">
        <x:v>power steering repairs</x:v>
      </x:c>
      <x:c r="B315" s="14" t="n">
        <x:v>0</x:v>
      </x:c>
      <x:c r="C315" s="14" t="n">
        <x:v>48</x:v>
      </x:c>
      <x:c r="D315" s="15" t="n">
        <x:v>0</x:v>
      </x:c>
      <x:c r="E315" s="16" t="n">
        <x:v>8.79</x:v>
      </x:c>
      <x:c r="F315" s="6" t="str">
        <x:v>CRITICAL</x:v>
      </x:c>
      <x:c r="G315" s="17" t="n">
        <x:f>'Scoring'!I315</x:f>
        <x:v>82.6</x:v>
      </x:c>
      <x:c r="H315" s="6" t="str">
        <x:v>SUPPORT</x:v>
      </x:c>
      <x:c r="I315" s="6" t="str">
        <x:v>All vehicles: Steering repair</x:v>
      </x:c>
      <x:c r="J315" s="6" t="str">
        <x:v>Secondary</x:v>
      </x:c>
      <x:c r="K315" s="6" t="str">
        <x:v>Commercial service enquiry</x:v>
      </x:c>
      <x:c r="L315" s="6" t="str">
        <x:v>High</x:v>
      </x:c>
      <x:c r="M315" s="6" t="str">
        <x:v>https://digitecme.com/services/steering-repair-dubai</x:v>
      </x:c>
      <x:c r="N315" s="6" t="str">
        <x:v>Unknown — export has no query/page pairing</x:v>
      </x:c>
      <x:c r="O315" s="6" t="str">
        <x:v>Retain primary intent and support variants</x:v>
      </x:c>
      <x:c r="P315" s="6" t="str">
        <x:v>Zero clicks from 48 impressions at average position 8.79; inspect query/page, country/device and SERP before attributing this to the snippet.</x:v>
      </x:c>
      <x:c r="Q315" s="6" t="str">
        <x:v>All vehicles</x:v>
      </x:c>
      <x:c r="R315" s="6" t="str">
        <x:v>steering-repair</x:v>
      </x:c>
      <x:c r="S315" s="6" t="str">
        <x:v>Location unspecified</x:v>
      </x:c>
      <x:c r="T315" s="6" t="n">
        <x:v>3</x:v>
      </x:c>
      <x:c r="U315" s="6" t="str">
        <x:v>4–10</x:v>
      </x:c>
      <x:c r="V315" s="6" t="str">
        <x:v>Page-one CTR review and top-three relevance</x:v>
      </x:c>
      <x:c r="W315" s="6" t="str">
        <x:v>Relevant supporting</x:v>
      </x:c>
      <x:c r="X315" s="6" t="n">
        <x:v>311</x:v>
      </x:c>
      <x:c r="Y315" s="6" t="str">
        <x:v>Unconfirmed — joint query/page data required</x:v>
      </x:c>
    </x:row>
    <x:row r="316" ht="42" customHeight="1">
      <x:c r="A316" s="6" t="str">
        <x:v>power steering repair shop</x:v>
      </x:c>
      <x:c r="B316" s="14" t="n">
        <x:v>0</x:v>
      </x:c>
      <x:c r="C316" s="14" t="n">
        <x:v>47</x:v>
      </x:c>
      <x:c r="D316" s="15" t="n">
        <x:v>0</x:v>
      </x:c>
      <x:c r="E316" s="16" t="n">
        <x:v>6.28</x:v>
      </x:c>
      <x:c r="F316" s="6" t="str">
        <x:v>CRITICAL</x:v>
      </x:c>
      <x:c r="G316" s="17" t="n">
        <x:f>'Scoring'!I316</x:f>
        <x:v>82.6</x:v>
      </x:c>
      <x:c r="H316" s="6" t="str">
        <x:v>SUPPORT</x:v>
      </x:c>
      <x:c r="I316" s="6" t="str">
        <x:v>All vehicles: Steering repair</x:v>
      </x:c>
      <x:c r="J316" s="6" t="str">
        <x:v>Secondary</x:v>
      </x:c>
      <x:c r="K316" s="6" t="str">
        <x:v>Commercial service enquiry</x:v>
      </x:c>
      <x:c r="L316" s="6" t="str">
        <x:v>High</x:v>
      </x:c>
      <x:c r="M316" s="6" t="str">
        <x:v>https://digitecme.com/services/steering-repair-dubai</x:v>
      </x:c>
      <x:c r="N316" s="6" t="str">
        <x:v>Unknown — export has no query/page pairing</x:v>
      </x:c>
      <x:c r="O316" s="6" t="str">
        <x:v>Retain primary intent and support variants</x:v>
      </x:c>
      <x:c r="P316" s="6" t="str">
        <x:v>Zero clicks from 47 impressions at average position 6.28; inspect query/page, country/device and SERP before attributing this to the snippet.</x:v>
      </x:c>
      <x:c r="Q316" s="6" t="str">
        <x:v>All vehicles</x:v>
      </x:c>
      <x:c r="R316" s="6" t="str">
        <x:v>steering-repair</x:v>
      </x:c>
      <x:c r="S316" s="6" t="str">
        <x:v>Location unspecified</x:v>
      </x:c>
      <x:c r="T316" s="6" t="n">
        <x:v>3</x:v>
      </x:c>
      <x:c r="U316" s="6" t="str">
        <x:v>4–10</x:v>
      </x:c>
      <x:c r="V316" s="6" t="str">
        <x:v>Page-one CTR review and top-three relevance</x:v>
      </x:c>
      <x:c r="W316" s="6" t="str">
        <x:v>Relevant supporting</x:v>
      </x:c>
      <x:c r="X316" s="6" t="n">
        <x:v>312</x:v>
      </x:c>
      <x:c r="Y316" s="6" t="str">
        <x:v>Unconfirmed — joint query/page data required</x:v>
      </x:c>
    </x:row>
    <x:row r="317" ht="42" customHeight="1">
      <x:c r="A317" s="6" t="str">
        <x:v>ferrari repair in dubai</x:v>
      </x:c>
      <x:c r="B317" s="14" t="n">
        <x:v>0</x:v>
      </x:c>
      <x:c r="C317" s="14" t="n">
        <x:v>47</x:v>
      </x:c>
      <x:c r="D317" s="15" t="n">
        <x:v>0</x:v>
      </x:c>
      <x:c r="E317" s="16" t="n">
        <x:v>28.32</x:v>
      </x:c>
      <x:c r="F317" s="6" t="str">
        <x:v>HIGH</x:v>
      </x:c>
      <x:c r="G317" s="17" t="n">
        <x:f>'Scoring'!I317</x:f>
        <x:v>78.1</x:v>
      </x:c>
      <x:c r="H317" s="6" t="str">
        <x:v>SUPPORT</x:v>
      </x:c>
      <x:c r="I317" s="6" t="str">
        <x:v>ferrari: Service and repair</x:v>
      </x:c>
      <x:c r="J317" s="6" t="str">
        <x:v>Secondary</x:v>
      </x:c>
      <x:c r="K317" s="6" t="str">
        <x:v>Commercial service enquiry</x:v>
      </x:c>
      <x:c r="L317" s="6" t="str">
        <x:v>High</x:v>
      </x:c>
      <x:c r="M317" s="6" t="str">
        <x:v>https://digitecme.com/brands/ferrari-service-dubai</x:v>
      </x:c>
      <x:c r="N317" s="6" t="str">
        <x:v>Unknown — export has no query/page pairing</x:v>
      </x:c>
      <x:c r="O317" s="6" t="str">
        <x:v>Retain primary intent and support variants</x:v>
      </x:c>
      <x:c r="P317" s="6" t="str">
        <x:v>Average position 28.32 makes ranking the main issue; avoid a CTR-only rewrite.</x:v>
      </x:c>
      <x:c r="Q317" s="6" t="str">
        <x:v>ferrari</x:v>
      </x:c>
      <x:c r="R317" s="6" t="str">
        <x:v>service-repair</x:v>
      </x:c>
      <x:c r="S317" s="6" t="str">
        <x:v>Dubai explicit</x:v>
      </x:c>
      <x:c r="T317" s="6" t="n">
        <x:v>5</x:v>
      </x:c>
      <x:c r="U317" s="6" t="str">
        <x:v>21–40</x:v>
      </x:c>
      <x:c r="V317" s="6" t="str">
        <x:v>Content, internal authority and owner alignment</x:v>
      </x:c>
      <x:c r="W317" s="6" t="str">
        <x:v>Relevant supporting</x:v>
      </x:c>
      <x:c r="X317" s="6" t="n">
        <x:v>313</x:v>
      </x:c>
      <x:c r="Y317" s="6" t="str">
        <x:v>Unconfirmed — joint query/page data required</x:v>
      </x:c>
    </x:row>
    <x:row r="318" ht="42" customHeight="1">
      <x:c r="A318" s="6" t="str">
        <x:v>volkswagen service dubai</x:v>
      </x:c>
      <x:c r="B318" s="14" t="n">
        <x:v>0</x:v>
      </x:c>
      <x:c r="C318" s="14" t="n">
        <x:v>47</x:v>
      </x:c>
      <x:c r="D318" s="15" t="n">
        <x:v>0</x:v>
      </x:c>
      <x:c r="E318" s="16" t="n">
        <x:v>33.74</x:v>
      </x:c>
      <x:c r="F318" s="6" t="str">
        <x:v>GROWTH</x:v>
      </x:c>
      <x:c r="G318" s="17" t="n">
        <x:f>'Scoring'!I318</x:f>
        <x:v>62.6</x:v>
      </x:c>
      <x:c r="H318" s="6" t="str">
        <x:v>PRIORITIZE</x:v>
      </x:c>
      <x:c r="I318" s="6" t="str">
        <x:v>volkswagen: Service and repair (English)</x:v>
      </x:c>
      <x:c r="J318" s="6" t="str">
        <x:v>Primary</x:v>
      </x:c>
      <x:c r="K318" s="6" t="str">
        <x:v>Commercial service enquiry</x:v>
      </x:c>
      <x:c r="L318" s="6" t="str">
        <x:v>High</x:v>
      </x:c>
      <x:c r="M318" s="6" t="str">
        <x:v>https://digitecme.com/brands/volkswagen-service-dubai</x:v>
      </x:c>
      <x:c r="N318" s="6" t="str">
        <x:v>Unknown — export has no query/page pairing</x:v>
      </x:c>
      <x:c r="O318" s="6" t="str">
        <x:v>Strengthen this primary intent owner</x:v>
      </x:c>
      <x:c r="P318" s="6" t="str">
        <x:v>Average position 33.74 makes ranking the main issue; avoid a CTR-only rewrite.</x:v>
      </x:c>
      <x:c r="Q318" s="6" t="str">
        <x:v>volkswagen</x:v>
      </x:c>
      <x:c r="R318" s="6" t="str">
        <x:v>service-repair</x:v>
      </x:c>
      <x:c r="S318" s="6" t="str">
        <x:v>Dubai explicit</x:v>
      </x:c>
      <x:c r="T318" s="6" t="n">
        <x:v>3</x:v>
      </x:c>
      <x:c r="U318" s="6" t="str">
        <x:v>21–40</x:v>
      </x:c>
      <x:c r="V318" s="6" t="str">
        <x:v>Content, internal authority and owner alignment</x:v>
      </x:c>
      <x:c r="W318" s="6" t="str">
        <x:v>High-value commercial</x:v>
      </x:c>
      <x:c r="X318" s="6" t="n">
        <x:v>314</x:v>
      </x:c>
      <x:c r="Y318" s="6" t="str">
        <x:v>Unconfirmed — joint query/page data required</x:v>
      </x:c>
    </x:row>
    <x:row r="319" ht="42" customHeight="1">
      <x:c r="A319" s="6" t="str">
        <x:v>power steering rack repairs</x:v>
      </x:c>
      <x:c r="B319" s="14" t="n">
        <x:v>0</x:v>
      </x:c>
      <x:c r="C319" s="14" t="n">
        <x:v>46</x:v>
      </x:c>
      <x:c r="D319" s="15" t="n">
        <x:v>0</x:v>
      </x:c>
      <x:c r="E319" s="16" t="n">
        <x:v>11.74</x:v>
      </x:c>
      <x:c r="F319" s="6" t="str">
        <x:v>CRITICAL</x:v>
      </x:c>
      <x:c r="G319" s="17" t="n">
        <x:f>'Scoring'!I319</x:f>
        <x:v>72.6</x:v>
      </x:c>
      <x:c r="H319" s="6" t="str">
        <x:v>SUPPORT</x:v>
      </x:c>
      <x:c r="I319" s="6" t="str">
        <x:v>All vehicles: Steering repair</x:v>
      </x:c>
      <x:c r="J319" s="6" t="str">
        <x:v>Secondary</x:v>
      </x:c>
      <x:c r="K319" s="6" t="str">
        <x:v>Commercial service enquiry</x:v>
      </x:c>
      <x:c r="L319" s="6" t="str">
        <x:v>High</x:v>
      </x:c>
      <x:c r="M319" s="6" t="str">
        <x:v>https://digitecme.com/services/steering-repair-dubai</x:v>
      </x:c>
      <x:c r="N319" s="6" t="str">
        <x:v>Unknown — export has no query/page pairing</x:v>
      </x:c>
      <x:c r="O319" s="6" t="str">
        <x:v>Retain primary intent and support variants</x:v>
      </x:c>
      <x:c r="P319" s="6" t="str">
        <x:v>46 impressions at average position 11.74; strengthen the appropriate intent owner and measure with a fresh comparable period.</x:v>
      </x:c>
      <x:c r="Q319" s="6" t="str">
        <x:v>All vehicles</x:v>
      </x:c>
      <x:c r="R319" s="6" t="str">
        <x:v>steering-repair</x:v>
      </x:c>
      <x:c r="S319" s="6" t="str">
        <x:v>Location unspecified</x:v>
      </x:c>
      <x:c r="T319" s="6" t="n">
        <x:v>3</x:v>
      </x:c>
      <x:c r="U319" s="6" t="str">
        <x:v>11–20</x:v>
      </x:c>
      <x:c r="V319" s="6" t="str">
        <x:v>Ranking and owner relevance</x:v>
      </x:c>
      <x:c r="W319" s="6" t="str">
        <x:v>Relevant supporting</x:v>
      </x:c>
      <x:c r="X319" s="6" t="n">
        <x:v>315</x:v>
      </x:c>
      <x:c r="Y319" s="6" t="str">
        <x:v>Unconfirmed — joint query/page data required</x:v>
      </x:c>
    </x:row>
    <x:row r="320" ht="42" customHeight="1">
      <x:c r="A320" s="6" t="str">
        <x:v>range rover service dubai</x:v>
      </x:c>
      <x:c r="B320" s="14" t="n">
        <x:v>0</x:v>
      </x:c>
      <x:c r="C320" s="14" t="n">
        <x:v>46</x:v>
      </x:c>
      <x:c r="D320" s="15" t="n">
        <x:v>0</x:v>
      </x:c>
      <x:c r="E320" s="16" t="n">
        <x:v>12.5</x:v>
      </x:c>
      <x:c r="F320" s="6" t="str">
        <x:v>CRITICAL</x:v>
      </x:c>
      <x:c r="G320" s="17" t="n">
        <x:f>'Scoring'!I320</x:f>
        <x:v>85.6</x:v>
      </x:c>
      <x:c r="H320" s="6" t="str">
        <x:v>SUPPORT</x:v>
      </x:c>
      <x:c r="I320" s="6" t="str">
        <x:v>range-rover: Service and repair</x:v>
      </x:c>
      <x:c r="J320" s="6" t="str">
        <x:v>Secondary</x:v>
      </x:c>
      <x:c r="K320" s="6" t="str">
        <x:v>Commercial service enquiry</x:v>
      </x:c>
      <x:c r="L320" s="6" t="str">
        <x:v>High</x:v>
      </x:c>
      <x:c r="M320" s="6" t="str">
        <x:v>https://digitecme.com/brands/range-rover-service-dubai</x:v>
      </x:c>
      <x:c r="N320" s="6" t="str">
        <x:v>Unknown — export has no query/page pairing</x:v>
      </x:c>
      <x:c r="O320" s="6" t="str">
        <x:v>Retain primary intent and support variants</x:v>
      </x:c>
      <x:c r="P320" s="6" t="str">
        <x:v>46 impressions at average position 12.50; strengthen the appropriate intent owner and measure with a fresh comparable period.</x:v>
      </x:c>
      <x:c r="Q320" s="6" t="str">
        <x:v>range-rover</x:v>
      </x:c>
      <x:c r="R320" s="6" t="str">
        <x:v>service-repair</x:v>
      </x:c>
      <x:c r="S320" s="6" t="str">
        <x:v>Dubai explicit</x:v>
      </x:c>
      <x:c r="T320" s="6" t="n">
        <x:v>5</x:v>
      </x:c>
      <x:c r="U320" s="6" t="str">
        <x:v>11–20</x:v>
      </x:c>
      <x:c r="V320" s="6" t="str">
        <x:v>Ranking and owner relevance</x:v>
      </x:c>
      <x:c r="W320" s="6" t="str">
        <x:v>Relevant supporting</x:v>
      </x:c>
      <x:c r="X320" s="6" t="n">
        <x:v>316</x:v>
      </x:c>
      <x:c r="Y320" s="6" t="str">
        <x:v>Unconfirmed — joint query/page data required</x:v>
      </x:c>
    </x:row>
    <x:row r="321" ht="42" customHeight="1">
      <x:c r="A321" s="6" t="str">
        <x:v>rolls royce service center dubai</x:v>
      </x:c>
      <x:c r="B321" s="14" t="n">
        <x:v>0</x:v>
      </x:c>
      <x:c r="C321" s="14" t="n">
        <x:v>46</x:v>
      </x:c>
      <x:c r="D321" s="15" t="n">
        <x:v>0</x:v>
      </x:c>
      <x:c r="E321" s="16" t="n">
        <x:v>22.48</x:v>
      </x:c>
      <x:c r="F321" s="6" t="str">
        <x:v>HIGH</x:v>
      </x:c>
      <x:c r="G321" s="17" t="n">
        <x:f>'Scoring'!I321</x:f>
        <x:v>78.1</x:v>
      </x:c>
      <x:c r="H321" s="6" t="str">
        <x:v>SUPPORT</x:v>
      </x:c>
      <x:c r="I321" s="6" t="str">
        <x:v>rolls-royce: Service and repair</x:v>
      </x:c>
      <x:c r="J321" s="6" t="str">
        <x:v>Secondary</x:v>
      </x:c>
      <x:c r="K321" s="6" t="str">
        <x:v>Commercial service enquiry</x:v>
      </x:c>
      <x:c r="L321" s="6" t="str">
        <x:v>High</x:v>
      </x:c>
      <x:c r="M321" s="6" t="str">
        <x:v>https://digitecme.com/brands/rolls-royce-service-dubai</x:v>
      </x:c>
      <x:c r="N321" s="6" t="str">
        <x:v>Unknown — export has no query/page pairing</x:v>
      </x:c>
      <x:c r="O321" s="6" t="str">
        <x:v>Retain primary intent and support variants</x:v>
      </x:c>
      <x:c r="P321" s="6" t="str">
        <x:v>Average position 22.48 makes ranking the main issue; avoid a CTR-only rewrite.</x:v>
      </x:c>
      <x:c r="Q321" s="6" t="str">
        <x:v>rolls-royce</x:v>
      </x:c>
      <x:c r="R321" s="6" t="str">
        <x:v>service-repair</x:v>
      </x:c>
      <x:c r="S321" s="6" t="str">
        <x:v>Dubai explicit</x:v>
      </x:c>
      <x:c r="T321" s="6" t="n">
        <x:v>5</x:v>
      </x:c>
      <x:c r="U321" s="6" t="str">
        <x:v>21–40</x:v>
      </x:c>
      <x:c r="V321" s="6" t="str">
        <x:v>Content, internal authority and owner alignment</x:v>
      </x:c>
      <x:c r="W321" s="6" t="str">
        <x:v>Relevant supporting</x:v>
      </x:c>
      <x:c r="X321" s="6" t="n">
        <x:v>317</x:v>
      </x:c>
      <x:c r="Y321" s="6" t="str">
        <x:v>Unconfirmed — joint query/page data required</x:v>
      </x:c>
    </x:row>
    <x:row r="322" ht="42" customHeight="1">
      <x:c r="A322" s="6" t="str">
        <x:v>best bmw workshop abu dhabi</x:v>
      </x:c>
      <x:c r="B322" s="14" t="n">
        <x:v>0</x:v>
      </x:c>
      <x:c r="C322" s="14" t="n">
        <x:v>46</x:v>
      </x:c>
      <x:c r="D322" s="15" t="n">
        <x:v>0</x:v>
      </x:c>
      <x:c r="E322" s="16" t="n">
        <x:v>42.72</x:v>
      </x:c>
      <x:c r="F322" s="6" t="str">
        <x:v>DEPRIORITIZE</x:v>
      </x:c>
      <x:c r="G322" s="17" t="n">
        <x:f>'Scoring'!I322</x:f>
        <x:v>9.7</x:v>
      </x:c>
      <x:c r="H322" s="6" t="str">
        <x:v>DEPRIORITIZE</x:v>
      </x:c>
      <x:c r="I322" s="6" t="str">
        <x:v>bmw: Service and repair (outside Dubai)</x:v>
      </x:c>
      <x:c r="J322" s="6" t="str">
        <x:v>Primary</x:v>
      </x:c>
      <x:c r="K322" s="6" t="str">
        <x:v>Commercial service enquiry</x:v>
      </x:c>
      <x:c r="L322" s="6" t="str">
        <x:v>Low</x:v>
      </x:c>
      <x:c r="M322" s="6" t="str">
        <x:v>https://digitecme.com/brands/bmw-service-dubai</x:v>
      </x:c>
      <x:c r="N322" s="6" t="str">
        <x:v>Unknown — export has no query/page pairing</x:v>
      </x:c>
      <x:c r="O322" s="6" t="str">
        <x:v>Confirm scope or deprioritize</x:v>
      </x:c>
      <x:c r="P322" s="6" t="str">
        <x:v>Explicit destination differs from the Al Quoz workshop; do not claim a local branch or service coverage. Average position 42.72 makes ranking the main issue; avoid a CTR-only rewrite.</x:v>
      </x:c>
      <x:c r="Q322" s="6" t="str">
        <x:v>bmw</x:v>
      </x:c>
      <x:c r="R322" s="6" t="str">
        <x:v>service-repair</x:v>
      </x:c>
      <x:c r="S322" s="6" t="str">
        <x:v>Outside Dubai</x:v>
      </x:c>
      <x:c r="T322" s="6" t="n">
        <x:v>1</x:v>
      </x:c>
      <x:c r="U322" s="6" t="str">
        <x:v>40+</x:v>
      </x:c>
      <x:c r="V322" s="6" t="str">
        <x:v>Relevance, capability, indexing and authority review</x:v>
      </x:c>
      <x:c r="W322" s="6" t="str">
        <x:v>Low-value</x:v>
      </x:c>
      <x:c r="X322" s="6" t="n">
        <x:v>318</x:v>
      </x:c>
      <x:c r="Y322" s="6" t="str">
        <x:v>Unconfirmed — joint query/page data required</x:v>
      </x:c>
    </x:row>
    <x:row r="323" ht="42" customHeight="1">
      <x:c r="A323" s="6" t="str">
        <x:v>range rover workshop dubai</x:v>
      </x:c>
      <x:c r="B323" s="14" t="n">
        <x:v>0</x:v>
      </x:c>
      <x:c r="C323" s="14" t="n">
        <x:v>46</x:v>
      </x:c>
      <x:c r="D323" s="15" t="n">
        <x:v>0</x:v>
      </x:c>
      <x:c r="E323" s="16" t="n">
        <x:v>47.89</x:v>
      </x:c>
      <x:c r="F323" s="6" t="str">
        <x:v>GROWTH</x:v>
      </x:c>
      <x:c r="G323" s="17" t="n">
        <x:f>'Scoring'!I323</x:f>
        <x:v>64.3</x:v>
      </x:c>
      <x:c r="H323" s="6" t="str">
        <x:v>SUPPORT</x:v>
      </x:c>
      <x:c r="I323" s="6" t="str">
        <x:v>range-rover: Service and repair</x:v>
      </x:c>
      <x:c r="J323" s="6" t="str">
        <x:v>Secondary</x:v>
      </x:c>
      <x:c r="K323" s="6" t="str">
        <x:v>Commercial service enquiry</x:v>
      </x:c>
      <x:c r="L323" s="6" t="str">
        <x:v>High</x:v>
      </x:c>
      <x:c r="M323" s="6" t="str">
        <x:v>https://digitecme.com/brands/range-rover-service-dubai</x:v>
      </x:c>
      <x:c r="N323" s="6" t="str">
        <x:v>Unknown — export has no query/page pairing</x:v>
      </x:c>
      <x:c r="O323" s="6" t="str">
        <x:v>Retain primary intent and support variants</x:v>
      </x:c>
      <x:c r="P323" s="6" t="str">
        <x:v>Average position 47.89 makes ranking the main issue; avoid a CTR-only rewrite.</x:v>
      </x:c>
      <x:c r="Q323" s="6" t="str">
        <x:v>range-rover</x:v>
      </x:c>
      <x:c r="R323" s="6" t="str">
        <x:v>service-repair</x:v>
      </x:c>
      <x:c r="S323" s="6" t="str">
        <x:v>Dubai explicit</x:v>
      </x:c>
      <x:c r="T323" s="6" t="n">
        <x:v>5</x:v>
      </x:c>
      <x:c r="U323" s="6" t="str">
        <x:v>40+</x:v>
      </x:c>
      <x:c r="V323" s="6" t="str">
        <x:v>Relevance, capability, indexing and authority review</x:v>
      </x:c>
      <x:c r="W323" s="6" t="str">
        <x:v>Relevant supporting</x:v>
      </x:c>
      <x:c r="X323" s="6" t="n">
        <x:v>319</x:v>
      </x:c>
      <x:c r="Y323" s="6" t="str">
        <x:v>Unconfirmed — joint query/page data required</x:v>
      </x:c>
    </x:row>
    <x:row r="324" ht="42" customHeight="1">
      <x:c r="A324" s="6" t="str">
        <x:v>car wiring repair</x:v>
      </x:c>
      <x:c r="B324" s="14" t="n">
        <x:v>0</x:v>
      </x:c>
      <x:c r="C324" s="14" t="n">
        <x:v>46</x:v>
      </x:c>
      <x:c r="D324" s="15" t="n">
        <x:v>0</x:v>
      </x:c>
      <x:c r="E324" s="16" t="n">
        <x:v>50.89</x:v>
      </x:c>
      <x:c r="F324" s="6" t="str">
        <x:v>GROWTH</x:v>
      </x:c>
      <x:c r="G324" s="17" t="n">
        <x:f>'Scoring'!I324</x:f>
        <x:v>51.3</x:v>
      </x:c>
      <x:c r="H324" s="6" t="str">
        <x:v>SUPPORT</x:v>
      </x:c>
      <x:c r="I324" s="6" t="str">
        <x:v>All vehicles: Electrical repair</x:v>
      </x:c>
      <x:c r="J324" s="6" t="str">
        <x:v>Secondary</x:v>
      </x:c>
      <x:c r="K324" s="6" t="str">
        <x:v>Commercial service enquiry</x:v>
      </x:c>
      <x:c r="L324" s="6" t="str">
        <x:v>High</x:v>
      </x:c>
      <x:c r="M324" s="6" t="str">
        <x:v>https://digitecme.com/services/auto-electrical-repair-dubai</x:v>
      </x:c>
      <x:c r="N324" s="6" t="str">
        <x:v>Unknown — export has no query/page pairing</x:v>
      </x:c>
      <x:c r="O324" s="6" t="str">
        <x:v>Retain primary intent and support variants</x:v>
      </x:c>
      <x:c r="P324" s="6" t="str">
        <x:v>Average position 50.89 makes ranking the main issue; avoid a CTR-only rewrite.</x:v>
      </x:c>
      <x:c r="Q324" s="6" t="str">
        <x:v>All vehicles</x:v>
      </x:c>
      <x:c r="R324" s="6" t="str">
        <x:v>electrical-repair</x:v>
      </x:c>
      <x:c r="S324" s="6" t="str">
        <x:v>Location unspecified</x:v>
      </x:c>
      <x:c r="T324" s="6" t="n">
        <x:v>3</x:v>
      </x:c>
      <x:c r="U324" s="6" t="str">
        <x:v>40+</x:v>
      </x:c>
      <x:c r="V324" s="6" t="str">
        <x:v>Relevance, capability, indexing and authority review</x:v>
      </x:c>
      <x:c r="W324" s="6" t="str">
        <x:v>Relevant supporting</x:v>
      </x:c>
      <x:c r="X324" s="6" t="n">
        <x:v>320</x:v>
      </x:c>
      <x:c r="Y324" s="6" t="str">
        <x:v>Unconfirmed — joint query/page data required</x:v>
      </x:c>
    </x:row>
    <x:row r="325" ht="42" customHeight="1">
      <x:c r="A325" s="6" t="str">
        <x:v>bmw programing abu dhabi</x:v>
      </x:c>
      <x:c r="B325" s="14" t="n">
        <x:v>0</x:v>
      </x:c>
      <x:c r="C325" s="14" t="n">
        <x:v>46</x:v>
      </x:c>
      <x:c r="D325" s="15" t="n">
        <x:v>0</x:v>
      </x:c>
      <x:c r="E325" s="16" t="n">
        <x:v>54.46</x:v>
      </x:c>
      <x:c r="F325" s="6" t="str">
        <x:v>DEPRIORITIZE</x:v>
      </x:c>
      <x:c r="G325" s="17" t="n">
        <x:f>'Scoring'!I325</x:f>
        <x:v>9.7</x:v>
      </x:c>
      <x:c r="H325" s="6" t="str">
        <x:v>DEPRIORITIZE</x:v>
      </x:c>
      <x:c r="I325" s="6" t="str">
        <x:v>bmw: Diagnostics and supported coding (outside Dubai)</x:v>
      </x:c>
      <x:c r="J325" s="6" t="str">
        <x:v>Primary</x:v>
      </x:c>
      <x:c r="K325" s="6" t="str">
        <x:v>Commercial service enquiry</x:v>
      </x:c>
      <x:c r="L325" s="6" t="str">
        <x:v>Low</x:v>
      </x:c>
      <x:c r="M325" s="6" t="str">
        <x:v>https://digitecme.com/brands/bmw-service-dubai/engine-diagnostics</x:v>
      </x:c>
      <x:c r="N325" s="6" t="str">
        <x:v>Unknown — export has no query/page pairing</x:v>
      </x:c>
      <x:c r="O325" s="6" t="str">
        <x:v>Confirm scope or deprioritize</x:v>
      </x:c>
      <x:c r="P325" s="6" t="str">
        <x:v>Explicit destination differs from the Al Quoz workshop; do not claim a local branch or service coverage. Average position 54.46 makes ranking the main issue; avoid a CTR-only rewrite.</x:v>
      </x:c>
      <x:c r="Q325" s="6" t="str">
        <x:v>bmw</x:v>
      </x:c>
      <x:c r="R325" s="6" t="str">
        <x:v>engine-diagnostics</x:v>
      </x:c>
      <x:c r="S325" s="6" t="str">
        <x:v>Outside Dubai</x:v>
      </x:c>
      <x:c r="T325" s="6" t="n">
        <x:v>1</x:v>
      </x:c>
      <x:c r="U325" s="6" t="str">
        <x:v>40+</x:v>
      </x:c>
      <x:c r="V325" s="6" t="str">
        <x:v>Relevance, capability, indexing and authority review</x:v>
      </x:c>
      <x:c r="W325" s="6" t="str">
        <x:v>Low-value</x:v>
      </x:c>
      <x:c r="X325" s="6" t="n">
        <x:v>321</x:v>
      </x:c>
      <x:c r="Y325" s="6" t="str">
        <x:v>Unconfirmed — joint query/page data required</x:v>
      </x:c>
    </x:row>
    <x:row r="326" ht="42" customHeight="1">
      <x:c r="A326" s="6" t="str">
        <x:v>mercedes benz ac repair</x:v>
      </x:c>
      <x:c r="B326" s="14" t="n">
        <x:v>0</x:v>
      </x:c>
      <x:c r="C326" s="14" t="n">
        <x:v>45</x:v>
      </x:c>
      <x:c r="D326" s="15" t="n">
        <x:v>0</x:v>
      </x:c>
      <x:c r="E326" s="16" t="n">
        <x:v>18.62</x:v>
      </x:c>
      <x:c r="F326" s="6" t="str">
        <x:v>HIGH</x:v>
      </x:c>
      <x:c r="G326" s="17" t="n">
        <x:f>'Scoring'!I326</x:f>
        <x:v>73</x:v>
      </x:c>
      <x:c r="H326" s="6" t="str">
        <x:v>SPLIT</x:v>
      </x:c>
      <x:c r="I326" s="6" t="str">
        <x:v>mercedes-benz: AC repair</x:v>
      </x:c>
      <x:c r="J326" s="6" t="str">
        <x:v>Secondary</x:v>
      </x:c>
      <x:c r="K326" s="6" t="str">
        <x:v>Commercial service enquiry</x:v>
      </x:c>
      <x:c r="L326" s="6" t="str">
        <x:v>High</x:v>
      </x:c>
      <x:c r="M326" s="6" t="str">
        <x:v>https://digitecme.com/services/mercedes-ac-repair-dubai</x:v>
      </x:c>
      <x:c r="N326" s="6" t="str">
        <x:v>Unknown — export has no query/page pairing</x:v>
      </x:c>
      <x:c r="O326" s="6" t="str">
        <x:v>Use dedicated service owner</x:v>
      </x:c>
      <x:c r="P326" s="6" t="str">
        <x:v>45 impressions at average position 18.62; strengthen the appropriate intent owner and measure with a fresh comparable period.</x:v>
      </x:c>
      <x:c r="Q326" s="6" t="str">
        <x:v>mercedes-benz</x:v>
      </x:c>
      <x:c r="R326" s="6" t="str">
        <x:v>ac-repair</x:v>
      </x:c>
      <x:c r="S326" s="6" t="str">
        <x:v>Location unspecified</x:v>
      </x:c>
      <x:c r="T326" s="6" t="n">
        <x:v>5</x:v>
      </x:c>
      <x:c r="U326" s="6" t="str">
        <x:v>11–20</x:v>
      </x:c>
      <x:c r="V326" s="6" t="str">
        <x:v>Ranking and owner relevance</x:v>
      </x:c>
      <x:c r="W326" s="6" t="str">
        <x:v>High-value commercial</x:v>
      </x:c>
      <x:c r="X326" s="6" t="n">
        <x:v>322</x:v>
      </x:c>
      <x:c r="Y326" s="6" t="str">
        <x:v>Unconfirmed — joint query/page data required</x:v>
      </x:c>
    </x:row>
    <x:row r="327" ht="42" customHeight="1">
      <x:c r="A327" s="6" t="str">
        <x:v>audi specialist dubai</x:v>
      </x:c>
      <x:c r="B327" s="14" t="n">
        <x:v>0</x:v>
      </x:c>
      <x:c r="C327" s="14" t="n">
        <x:v>45</x:v>
      </x:c>
      <x:c r="D327" s="15" t="n">
        <x:v>0</x:v>
      </x:c>
      <x:c r="E327" s="16" t="n">
        <x:v>19.6</x:v>
      </x:c>
      <x:c r="F327" s="6" t="str">
        <x:v>HIGH</x:v>
      </x:c>
      <x:c r="G327" s="17" t="n">
        <x:f>'Scoring'!I327</x:f>
        <x:v>78</x:v>
      </x:c>
      <x:c r="H327" s="6" t="str">
        <x:v>PRIORITIZE</x:v>
      </x:c>
      <x:c r="I327" s="6" t="str">
        <x:v>audi: Service and repair (English)</x:v>
      </x:c>
      <x:c r="J327" s="6" t="str">
        <x:v>Primary</x:v>
      </x:c>
      <x:c r="K327" s="6" t="str">
        <x:v>Commercial service enquiry</x:v>
      </x:c>
      <x:c r="L327" s="6" t="str">
        <x:v>High</x:v>
      </x:c>
      <x:c r="M327" s="6" t="str">
        <x:v>https://digitecme.com/brands/audi-service-dubai</x:v>
      </x:c>
      <x:c r="N327" s="6" t="str">
        <x:v>Unknown — export has no query/page pairing</x:v>
      </x:c>
      <x:c r="O327" s="6" t="str">
        <x:v>Strengthen this primary intent owner</x:v>
      </x:c>
      <x:c r="P327" s="6" t="str">
        <x:v>45 impressions at average position 19.60; strengthen the appropriate intent owner and measure with a fresh comparable period.</x:v>
      </x:c>
      <x:c r="Q327" s="6" t="str">
        <x:v>audi</x:v>
      </x:c>
      <x:c r="R327" s="6" t="str">
        <x:v>service-repair</x:v>
      </x:c>
      <x:c r="S327" s="6" t="str">
        <x:v>Dubai explicit</x:v>
      </x:c>
      <x:c r="T327" s="6" t="n">
        <x:v>5</x:v>
      </x:c>
      <x:c r="U327" s="6" t="str">
        <x:v>11–20</x:v>
      </x:c>
      <x:c r="V327" s="6" t="str">
        <x:v>Ranking and owner relevance</x:v>
      </x:c>
      <x:c r="W327" s="6" t="str">
        <x:v>High-value commercial</x:v>
      </x:c>
      <x:c r="X327" s="6" t="n">
        <x:v>323</x:v>
      </x:c>
      <x:c r="Y327" s="6" t="str">
        <x:v>Unconfirmed — joint query/page data required</x:v>
      </x:c>
    </x:row>
    <x:row r="328" ht="42" customHeight="1">
      <x:c r="A328" s="6" t="str">
        <x:v>mercedes air conditioning repair</x:v>
      </x:c>
      <x:c r="B328" s="14" t="n">
        <x:v>0</x:v>
      </x:c>
      <x:c r="C328" s="14" t="n">
        <x:v>45</x:v>
      </x:c>
      <x:c r="D328" s="15" t="n">
        <x:v>0</x:v>
      </x:c>
      <x:c r="E328" s="16" t="n">
        <x:v>26.82</x:v>
      </x:c>
      <x:c r="F328" s="6" t="str">
        <x:v>HIGH</x:v>
      </x:c>
      <x:c r="G328" s="17" t="n">
        <x:f>'Scoring'!I328</x:f>
        <x:v>73</x:v>
      </x:c>
      <x:c r="H328" s="6" t="str">
        <x:v>SPLIT</x:v>
      </x:c>
      <x:c r="I328" s="6" t="str">
        <x:v>mercedes-benz: AC repair</x:v>
      </x:c>
      <x:c r="J328" s="6" t="str">
        <x:v>Secondary</x:v>
      </x:c>
      <x:c r="K328" s="6" t="str">
        <x:v>Commercial service enquiry</x:v>
      </x:c>
      <x:c r="L328" s="6" t="str">
        <x:v>High</x:v>
      </x:c>
      <x:c r="M328" s="6" t="str">
        <x:v>https://digitecme.com/services/mercedes-ac-repair-dubai</x:v>
      </x:c>
      <x:c r="N328" s="6" t="str">
        <x:v>Unknown — export has no query/page pairing</x:v>
      </x:c>
      <x:c r="O328" s="6" t="str">
        <x:v>Use dedicated service owner</x:v>
      </x:c>
      <x:c r="P328" s="6" t="str">
        <x:v>Average position 26.82 makes ranking the main issue; avoid a CTR-only rewrite.</x:v>
      </x:c>
      <x:c r="Q328" s="6" t="str">
        <x:v>mercedes-benz</x:v>
      </x:c>
      <x:c r="R328" s="6" t="str">
        <x:v>ac-repair</x:v>
      </x:c>
      <x:c r="S328" s="6" t="str">
        <x:v>Location unspecified</x:v>
      </x:c>
      <x:c r="T328" s="6" t="n">
        <x:v>5</x:v>
      </x:c>
      <x:c r="U328" s="6" t="str">
        <x:v>21–40</x:v>
      </x:c>
      <x:c r="V328" s="6" t="str">
        <x:v>Content, internal authority and owner alignment</x:v>
      </x:c>
      <x:c r="W328" s="6" t="str">
        <x:v>High-value commercial</x:v>
      </x:c>
      <x:c r="X328" s="6" t="n">
        <x:v>324</x:v>
      </x:c>
      <x:c r="Y328" s="6" t="str">
        <x:v>Unconfirmed — joint query/page data required</x:v>
      </x:c>
    </x:row>
    <x:row r="329" ht="42" customHeight="1">
      <x:c r="A329" s="6" t="str">
        <x:v>luxury car maintenance dubai</x:v>
      </x:c>
      <x:c r="B329" s="14" t="n">
        <x:v>0</x:v>
      </x:c>
      <x:c r="C329" s="14" t="n">
        <x:v>45</x:v>
      </x:c>
      <x:c r="D329" s="15" t="n">
        <x:v>0</x:v>
      </x:c>
      <x:c r="E329" s="16" t="n">
        <x:v>40.44</x:v>
      </x:c>
      <x:c r="F329" s="6" t="str">
        <x:v>GROWTH</x:v>
      </x:c>
      <x:c r="G329" s="17" t="n">
        <x:f>'Scoring'!I329</x:f>
        <x:v>56.3</x:v>
      </x:c>
      <x:c r="H329" s="6" t="str">
        <x:v>SUPPORT</x:v>
      </x:c>
      <x:c r="I329" s="6" t="str">
        <x:v>All vehicles: Scheduled car service</x:v>
      </x:c>
      <x:c r="J329" s="6" t="str">
        <x:v>Secondary</x:v>
      </x:c>
      <x:c r="K329" s="6" t="str">
        <x:v>Commercial service enquiry</x:v>
      </x:c>
      <x:c r="L329" s="6" t="str">
        <x:v>High</x:v>
      </x:c>
      <x:c r="M329" s="6" t="str">
        <x:v>https://digitecme.com/services/car-service-dubai</x:v>
      </x:c>
      <x:c r="N329" s="6" t="str">
        <x:v>Unknown — export has no query/page pairing</x:v>
      </x:c>
      <x:c r="O329" s="6" t="str">
        <x:v>Retain primary intent and support variants</x:v>
      </x:c>
      <x:c r="P329" s="6" t="str">
        <x:v>Average position 40.44 makes ranking the main issue; avoid a CTR-only rewrite.</x:v>
      </x:c>
      <x:c r="Q329" s="6" t="str">
        <x:v>All vehicles</x:v>
      </x:c>
      <x:c r="R329" s="6" t="str">
        <x:v>service-repair</x:v>
      </x:c>
      <x:c r="S329" s="6" t="str">
        <x:v>Dubai explicit</x:v>
      </x:c>
      <x:c r="T329" s="6" t="n">
        <x:v>3</x:v>
      </x:c>
      <x:c r="U329" s="6" t="str">
        <x:v>40+</x:v>
      </x:c>
      <x:c r="V329" s="6" t="str">
        <x:v>Relevance, capability, indexing and authority review</x:v>
      </x:c>
      <x:c r="W329" s="6" t="str">
        <x:v>Relevant supporting</x:v>
      </x:c>
      <x:c r="X329" s="6" t="n">
        <x:v>325</x:v>
      </x:c>
      <x:c r="Y329" s="6" t="str">
        <x:v>Unconfirmed — joint query/page data required</x:v>
      </x:c>
    </x:row>
    <x:row r="330" ht="42" customHeight="1">
      <x:c r="A330" s="6" t="str">
        <x:v>cadillac repair dubai</x:v>
      </x:c>
      <x:c r="B330" s="14" t="n">
        <x:v>0</x:v>
      </x:c>
      <x:c r="C330" s="14" t="n">
        <x:v>45</x:v>
      </x:c>
      <x:c r="D330" s="15" t="n">
        <x:v>0</x:v>
      </x:c>
      <x:c r="E330" s="16" t="n">
        <x:v>44.42</x:v>
      </x:c>
      <x:c r="F330" s="6" t="str">
        <x:v>GROWTH</x:v>
      </x:c>
      <x:c r="G330" s="17" t="n">
        <x:f>'Scoring'!I330</x:f>
        <x:v>56.3</x:v>
      </x:c>
      <x:c r="H330" s="6" t="str">
        <x:v>PRIORITIZE</x:v>
      </x:c>
      <x:c r="I330" s="6" t="str">
        <x:v>cadillac: Service and repair</x:v>
      </x:c>
      <x:c r="J330" s="6" t="str">
        <x:v>Primary</x:v>
      </x:c>
      <x:c r="K330" s="6" t="str">
        <x:v>Commercial service enquiry</x:v>
      </x:c>
      <x:c r="L330" s="6" t="str">
        <x:v>High</x:v>
      </x:c>
      <x:c r="M330" s="6" t="str">
        <x:v>https://digitecme.com/brands/cadillac-service-dubai</x:v>
      </x:c>
      <x:c r="N330" s="6" t="str">
        <x:v>Unknown — export has no query/page pairing</x:v>
      </x:c>
      <x:c r="O330" s="6" t="str">
        <x:v>Strengthen this primary intent owner</x:v>
      </x:c>
      <x:c r="P330" s="6" t="str">
        <x:v>Average position 44.42 makes ranking the main issue; avoid a CTR-only rewrite.</x:v>
      </x:c>
      <x:c r="Q330" s="6" t="str">
        <x:v>cadillac</x:v>
      </x:c>
      <x:c r="R330" s="6" t="str">
        <x:v>service-repair</x:v>
      </x:c>
      <x:c r="S330" s="6" t="str">
        <x:v>Dubai explicit</x:v>
      </x:c>
      <x:c r="T330" s="6" t="n">
        <x:v>3</x:v>
      </x:c>
      <x:c r="U330" s="6" t="str">
        <x:v>40+</x:v>
      </x:c>
      <x:c r="V330" s="6" t="str">
        <x:v>Relevance, capability, indexing and authority review</x:v>
      </x:c>
      <x:c r="W330" s="6" t="str">
        <x:v>High-value commercial</x:v>
      </x:c>
      <x:c r="X330" s="6" t="n">
        <x:v>326</x:v>
      </x:c>
      <x:c r="Y330" s="6" t="str">
        <x:v>Unconfirmed — joint query/page data required</x:v>
      </x:c>
    </x:row>
    <x:row r="331" ht="57" customHeight="1">
      <x:c r="A331" s="6" t="str">
        <x:v>cadillac xts touch screen replacement in dubai</x:v>
      </x:c>
      <x:c r="B331" s="14" t="n">
        <x:v>0</x:v>
      </x:c>
      <x:c r="C331" s="14" t="n">
        <x:v>45</x:v>
      </x:c>
      <x:c r="D331" s="15" t="n">
        <x:v>0</x:v>
      </x:c>
      <x:c r="E331" s="16" t="n">
        <x:v>48</x:v>
      </x:c>
      <x:c r="F331" s="6" t="str">
        <x:v>DEPRIORITIZE</x:v>
      </x:c>
      <x:c r="G331" s="17" t="n">
        <x:f>'Scoring'!I331</x:f>
        <x:v>3.8</x:v>
      </x:c>
      <x:c r="H331" s="6" t="str">
        <x:v>DEPRIORITIZE</x:v>
      </x:c>
      <x:c r="I331" s="6" t="str">
        <x:v>cadillac: Screen or head-unit repair</x:v>
      </x:c>
      <x:c r="J331" s="6" t="str">
        <x:v>Secondary</x:v>
      </x:c>
      <x:c r="K331" s="6" t="str">
        <x:v>Commercial capability enquiry</x:v>
      </x:c>
      <x:c r="L331" s="6" t="str">
        <x:v>Unverified</x:v>
      </x:c>
      <x:c r="M331" s="6" t="str"/>
      <x:c r="N331" s="6" t="str">
        <x:v>Unknown — export has no query/page pairing</x:v>
      </x:c>
      <x:c r="O331" s="6" t="str">
        <x:v>Confirm scope or deprioritize</x:v>
      </x:c>
      <x:c r="P331" s="6" t="str">
        <x:v>Specific retrofit or component repair capability is unconfirmed; do not publish a dedicated sales page before confirmation. Average position 48.00 makes ranking the main issue; avoid a CTR-only rewrite.</x:v>
      </x:c>
      <x:c r="Q331" s="6" t="str">
        <x:v>cadillac</x:v>
      </x:c>
      <x:c r="R331" s="6" t="str">
        <x:v>audio-retrofit</x:v>
      </x:c>
      <x:c r="S331" s="6" t="str">
        <x:v>Dubai explicit</x:v>
      </x:c>
      <x:c r="T331" s="6" t="n">
        <x:v>1</x:v>
      </x:c>
      <x:c r="U331" s="6" t="str">
        <x:v>40+</x:v>
      </x:c>
      <x:c r="V331" s="6" t="str">
        <x:v>Relevance, capability, indexing and authority review</x:v>
      </x:c>
      <x:c r="W331" s="6" t="str">
        <x:v>Low-value</x:v>
      </x:c>
      <x:c r="X331" s="6" t="n">
        <x:v>327</x:v>
      </x:c>
      <x:c r="Y331" s="6" t="str">
        <x:v>Unconfirmed — joint query/page data required</x:v>
      </x:c>
    </x:row>
    <x:row r="332" ht="42" customHeight="1">
      <x:c r="A332" s="6" t="str">
        <x:v>bentley service</x:v>
      </x:c>
      <x:c r="B332" s="14" t="n">
        <x:v>0</x:v>
      </x:c>
      <x:c r="C332" s="14" t="n">
        <x:v>45</x:v>
      </x:c>
      <x:c r="D332" s="15" t="n">
        <x:v>0</x:v>
      </x:c>
      <x:c r="E332" s="16" t="n">
        <x:v>51.56</x:v>
      </x:c>
      <x:c r="F332" s="6" t="str">
        <x:v>GROWTH</x:v>
      </x:c>
      <x:c r="G332" s="17" t="n">
        <x:f>'Scoring'!I332</x:f>
        <x:v>59.3</x:v>
      </x:c>
      <x:c r="H332" s="6" t="str">
        <x:v>SUPPORT</x:v>
      </x:c>
      <x:c r="I332" s="6" t="str">
        <x:v>bentley: Service and repair (English)</x:v>
      </x:c>
      <x:c r="J332" s="6" t="str">
        <x:v>Secondary</x:v>
      </x:c>
      <x:c r="K332" s="6" t="str">
        <x:v>Commercial service enquiry</x:v>
      </x:c>
      <x:c r="L332" s="6" t="str">
        <x:v>High</x:v>
      </x:c>
      <x:c r="M332" s="6" t="str">
        <x:v>https://digitecme.com/brands/bentley-service-dubai</x:v>
      </x:c>
      <x:c r="N332" s="6" t="str">
        <x:v>Unknown — export has no query/page pairing</x:v>
      </x:c>
      <x:c r="O332" s="6" t="str">
        <x:v>Retain primary intent and support variants</x:v>
      </x:c>
      <x:c r="P332" s="6" t="str">
        <x:v>Average position 51.56 makes ranking the main issue; avoid a CTR-only rewrite.</x:v>
      </x:c>
      <x:c r="Q332" s="6" t="str">
        <x:v>bentley</x:v>
      </x:c>
      <x:c r="R332" s="6" t="str">
        <x:v>service-repair</x:v>
      </x:c>
      <x:c r="S332" s="6" t="str">
        <x:v>Location unspecified</x:v>
      </x:c>
      <x:c r="T332" s="6" t="n">
        <x:v>5</x:v>
      </x:c>
      <x:c r="U332" s="6" t="str">
        <x:v>40+</x:v>
      </x:c>
      <x:c r="V332" s="6" t="str">
        <x:v>Relevance, capability, indexing and authority review</x:v>
      </x:c>
      <x:c r="W332" s="6" t="str">
        <x:v>Relevant supporting</x:v>
      </x:c>
      <x:c r="X332" s="6" t="n">
        <x:v>328</x:v>
      </x:c>
      <x:c r="Y332" s="6" t="str">
        <x:v>Unconfirmed — joint query/page data required</x:v>
      </x:c>
    </x:row>
    <x:row r="333" ht="42" customHeight="1">
      <x:c r="A333" s="6" t="str">
        <x:v>car servicing dubai</x:v>
      </x:c>
      <x:c r="B333" s="14" t="n">
        <x:v>0</x:v>
      </x:c>
      <x:c r="C333" s="14" t="n">
        <x:v>45</x:v>
      </x:c>
      <x:c r="D333" s="15" t="n">
        <x:v>0</x:v>
      </x:c>
      <x:c r="E333" s="16" t="n">
        <x:v>57.96</x:v>
      </x:c>
      <x:c r="F333" s="6" t="str">
        <x:v>GROWTH</x:v>
      </x:c>
      <x:c r="G333" s="17" t="n">
        <x:f>'Scoring'!I333</x:f>
        <x:v>56.3</x:v>
      </x:c>
      <x:c r="H333" s="6" t="str">
        <x:v>SUPPORT</x:v>
      </x:c>
      <x:c r="I333" s="6" t="str">
        <x:v>All vehicles: Scheduled car service</x:v>
      </x:c>
      <x:c r="J333" s="6" t="str">
        <x:v>Secondary</x:v>
      </x:c>
      <x:c r="K333" s="6" t="str">
        <x:v>Commercial service enquiry</x:v>
      </x:c>
      <x:c r="L333" s="6" t="str">
        <x:v>High</x:v>
      </x:c>
      <x:c r="M333" s="6" t="str">
        <x:v>https://digitecme.com/services/car-service-dubai</x:v>
      </x:c>
      <x:c r="N333" s="6" t="str">
        <x:v>Unknown — export has no query/page pairing</x:v>
      </x:c>
      <x:c r="O333" s="6" t="str">
        <x:v>Retain primary intent and support variants</x:v>
      </x:c>
      <x:c r="P333" s="6" t="str">
        <x:v>Average position 57.96 makes ranking the main issue; avoid a CTR-only rewrite.</x:v>
      </x:c>
      <x:c r="Q333" s="6" t="str">
        <x:v>All vehicles</x:v>
      </x:c>
      <x:c r="R333" s="6" t="str">
        <x:v>service-repair</x:v>
      </x:c>
      <x:c r="S333" s="6" t="str">
        <x:v>Dubai explicit</x:v>
      </x:c>
      <x:c r="T333" s="6" t="n">
        <x:v>3</x:v>
      </x:c>
      <x:c r="U333" s="6" t="str">
        <x:v>40+</x:v>
      </x:c>
      <x:c r="V333" s="6" t="str">
        <x:v>Relevance, capability, indexing and authority review</x:v>
      </x:c>
      <x:c r="W333" s="6" t="str">
        <x:v>Relevant supporting</x:v>
      </x:c>
      <x:c r="X333" s="6" t="n">
        <x:v>329</x:v>
      </x:c>
      <x:c r="Y333" s="6" t="str">
        <x:v>Unconfirmed — joint query/page data required</x:v>
      </x:c>
    </x:row>
    <x:row r="334" ht="57" customHeight="1">
      <x:c r="A334" s="6" t="str">
        <x:v>gad motor</x:v>
      </x:c>
      <x:c r="B334" s="14" t="n">
        <x:v>0</x:v>
      </x:c>
      <x:c r="C334" s="14" t="n">
        <x:v>44</x:v>
      </x:c>
      <x:c r="D334" s="15" t="n">
        <x:v>0</x:v>
      </x:c>
      <x:c r="E334" s="16" t="n">
        <x:v>11.27</x:v>
      </x:c>
      <x:c r="F334" s="6" t="str">
        <x:v>CRITICAL</x:v>
      </x:c>
      <x:c r="G334" s="17" t="n">
        <x:f>'Scoring'!I334</x:f>
        <x:v>80.5</x:v>
      </x:c>
      <x:c r="H334" s="6" t="str">
        <x:v>SUPPORT</x:v>
      </x:c>
      <x:c r="I334" s="6" t="str">
        <x:v>All vehicles: Performance tuning</x:v>
      </x:c>
      <x:c r="J334" s="6" t="str">
        <x:v>Secondary</x:v>
      </x:c>
      <x:c r="K334" s="6" t="str">
        <x:v>Commercial service enquiry</x:v>
      </x:c>
      <x:c r="L334" s="6" t="str">
        <x:v>High</x:v>
      </x:c>
      <x:c r="M334" s="6" t="str">
        <x:v>https://digitecme.com/tuning</x:v>
      </x:c>
      <x:c r="N334" s="6" t="str">
        <x:v>Unknown — export has no query/page pairing</x:v>
      </x:c>
      <x:c r="O334" s="6" t="str">
        <x:v>Retain primary intent and support variants</x:v>
      </x:c>
      <x:c r="P334" s="6" t="str">
        <x:v>Use the existing tuning page; model scope and any GAD relationship require verified facts. 44 impressions at average position 11.27; strengthen the appropriate intent owner and measure with a fresh comparable period.</x:v>
      </x:c>
      <x:c r="Q334" s="6" t="str">
        <x:v>All vehicles</x:v>
      </x:c>
      <x:c r="R334" s="6" t="str">
        <x:v>tuning</x:v>
      </x:c>
      <x:c r="S334" s="6" t="str">
        <x:v>Location unspecified</x:v>
      </x:c>
      <x:c r="T334" s="6" t="n">
        <x:v>5</x:v>
      </x:c>
      <x:c r="U334" s="6" t="str">
        <x:v>11–20</x:v>
      </x:c>
      <x:c r="V334" s="6" t="str">
        <x:v>Ranking and owner relevance</x:v>
      </x:c>
      <x:c r="W334" s="6" t="str">
        <x:v>Relevant supporting</x:v>
      </x:c>
      <x:c r="X334" s="6" t="n">
        <x:v>330</x:v>
      </x:c>
      <x:c r="Y334" s="6" t="str">
        <x:v>Unconfirmed — joint query/page data required</x:v>
      </x:c>
    </x:row>
    <x:row r="335" ht="42" customHeight="1">
      <x:c r="A335" s="6" t="str">
        <x:v>mercedes benz workshop dubai</x:v>
      </x:c>
      <x:c r="B335" s="14" t="n">
        <x:v>0</x:v>
      </x:c>
      <x:c r="C335" s="14" t="n">
        <x:v>44</x:v>
      </x:c>
      <x:c r="D335" s="15" t="n">
        <x:v>0</x:v>
      </x:c>
      <x:c r="E335" s="16" t="n">
        <x:v>18.64</x:v>
      </x:c>
      <x:c r="F335" s="6" t="str">
        <x:v>HIGH</x:v>
      </x:c>
      <x:c r="G335" s="17" t="n">
        <x:f>'Scoring'!I335</x:f>
        <x:v>78</x:v>
      </x:c>
      <x:c r="H335" s="6" t="str">
        <x:v>SUPPORT</x:v>
      </x:c>
      <x:c r="I335" s="6" t="str">
        <x:v>mercedes-benz: Service and repair (English)</x:v>
      </x:c>
      <x:c r="J335" s="6" t="str">
        <x:v>Secondary</x:v>
      </x:c>
      <x:c r="K335" s="6" t="str">
        <x:v>Commercial service enquiry</x:v>
      </x:c>
      <x:c r="L335" s="6" t="str">
        <x:v>High</x:v>
      </x:c>
      <x:c r="M335" s="6" t="str">
        <x:v>https://digitecme.com/brands/mercedes-benz-service-dubai</x:v>
      </x:c>
      <x:c r="N335" s="6" t="str">
        <x:v>Unknown — export has no query/page pairing</x:v>
      </x:c>
      <x:c r="O335" s="6" t="str">
        <x:v>Retain primary intent and support variants</x:v>
      </x:c>
      <x:c r="P335" s="6" t="str">
        <x:v>44 impressions at average position 18.64; strengthen the appropriate intent owner and measure with a fresh comparable period.</x:v>
      </x:c>
      <x:c r="Q335" s="6" t="str">
        <x:v>mercedes-benz</x:v>
      </x:c>
      <x:c r="R335" s="6" t="str">
        <x:v>service-repair</x:v>
      </x:c>
      <x:c r="S335" s="6" t="str">
        <x:v>Dubai explicit</x:v>
      </x:c>
      <x:c r="T335" s="6" t="n">
        <x:v>5</x:v>
      </x:c>
      <x:c r="U335" s="6" t="str">
        <x:v>11–20</x:v>
      </x:c>
      <x:c r="V335" s="6" t="str">
        <x:v>Ranking and owner relevance</x:v>
      </x:c>
      <x:c r="W335" s="6" t="str">
        <x:v>Relevant supporting</x:v>
      </x:c>
      <x:c r="X335" s="6" t="n">
        <x:v>331</x:v>
      </x:c>
      <x:c r="Y335" s="6" t="str">
        <x:v>Unconfirmed — joint query/page data required</x:v>
      </x:c>
    </x:row>
    <x:row r="336" ht="42" customHeight="1">
      <x:c r="A336" s="6" t="str">
        <x:v>car battery replacement near me</x:v>
      </x:c>
      <x:c r="B336" s="14" t="n">
        <x:v>0</x:v>
      </x:c>
      <x:c r="C336" s="14" t="n">
        <x:v>44</x:v>
      </x:c>
      <x:c r="D336" s="15" t="n">
        <x:v>0</x:v>
      </x:c>
      <x:c r="E336" s="16" t="n">
        <x:v>21.3</x:v>
      </x:c>
      <x:c r="F336" s="6" t="str">
        <x:v>HIGH</x:v>
      </x:c>
      <x:c r="G336" s="17" t="n">
        <x:f>'Scoring'!I336</x:f>
        <x:v>70</x:v>
      </x:c>
      <x:c r="H336" s="6" t="str">
        <x:v>SUPPORT</x:v>
      </x:c>
      <x:c r="I336" s="6" t="str">
        <x:v>All vehicles: Battery service (English)</x:v>
      </x:c>
      <x:c r="J336" s="6" t="str">
        <x:v>Secondary</x:v>
      </x:c>
      <x:c r="K336" s="6" t="str">
        <x:v>Commercial service enquiry</x:v>
      </x:c>
      <x:c r="L336" s="6" t="str">
        <x:v>High</x:v>
      </x:c>
      <x:c r="M336" s="6" t="str">
        <x:v>https://digitecme.com/services/battery-replacement-dubai</x:v>
      </x:c>
      <x:c r="N336" s="6" t="str">
        <x:v>Unknown — export has no query/page pairing</x:v>
      </x:c>
      <x:c r="O336" s="6" t="str">
        <x:v>Retain primary intent and support variants</x:v>
      </x:c>
      <x:c r="P336" s="6" t="str">
        <x:v>Average position 21.30 makes ranking the main issue; avoid a CTR-only rewrite.</x:v>
      </x:c>
      <x:c r="Q336" s="6" t="str">
        <x:v>All vehicles</x:v>
      </x:c>
      <x:c r="R336" s="6" t="str">
        <x:v>battery-replacement</x:v>
      </x:c>
      <x:c r="S336" s="6" t="str">
        <x:v>Near me; location unknown</x:v>
      </x:c>
      <x:c r="T336" s="6" t="n">
        <x:v>3</x:v>
      </x:c>
      <x:c r="U336" s="6" t="str">
        <x:v>21–40</x:v>
      </x:c>
      <x:c r="V336" s="6" t="str">
        <x:v>Content, internal authority and owner alignment</x:v>
      </x:c>
      <x:c r="W336" s="6" t="str">
        <x:v>Relevant supporting</x:v>
      </x:c>
      <x:c r="X336" s="6" t="n">
        <x:v>332</x:v>
      </x:c>
      <x:c r="Y336" s="6" t="str">
        <x:v>Unconfirmed — joint query/page data required</x:v>
      </x:c>
    </x:row>
    <x:row r="337" ht="42" customHeight="1">
      <x:c r="A337" s="6" t="str">
        <x:v>صيانة اودي</x:v>
      </x:c>
      <x:c r="B337" s="14" t="n">
        <x:v>0</x:v>
      </x:c>
      <x:c r="C337" s="14" t="n">
        <x:v>44</x:v>
      </x:c>
      <x:c r="D337" s="15" t="n">
        <x:v>0</x:v>
      </x:c>
      <x:c r="E337" s="16" t="n">
        <x:v>24.09</x:v>
      </x:c>
      <x:c r="F337" s="6" t="str">
        <x:v>HIGH</x:v>
      </x:c>
      <x:c r="G337" s="17" t="n">
        <x:f>'Scoring'!I337</x:f>
        <x:v>73</x:v>
      </x:c>
      <x:c r="H337" s="6" t="str">
        <x:v>PRIORITIZE</x:v>
      </x:c>
      <x:c r="I337" s="6" t="str">
        <x:v>audi: Service and repair (Arabic)</x:v>
      </x:c>
      <x:c r="J337" s="6" t="str">
        <x:v>Primary</x:v>
      </x:c>
      <x:c r="K337" s="6" t="str">
        <x:v>Commercial service enquiry</x:v>
      </x:c>
      <x:c r="L337" s="6" t="str">
        <x:v>High</x:v>
      </x:c>
      <x:c r="M337" s="6" t="str">
        <x:v>https://digitecme.com/ar/brands/audi-service-dubai</x:v>
      </x:c>
      <x:c r="N337" s="6" t="str">
        <x:v>Unknown — export has no query/page pairing</x:v>
      </x:c>
      <x:c r="O337" s="6" t="str">
        <x:v>Strengthen this primary intent owner</x:v>
      </x:c>
      <x:c r="P337" s="6" t="str">
        <x:v>Use the existing Arabic counterpart and verify its translation quality. Average position 24.09 makes ranking the main issue; avoid a CTR-only rewrite.</x:v>
      </x:c>
      <x:c r="Q337" s="6" t="str">
        <x:v>audi</x:v>
      </x:c>
      <x:c r="R337" s="6" t="str">
        <x:v>service-repair</x:v>
      </x:c>
      <x:c r="S337" s="6" t="str">
        <x:v>Location unspecified</x:v>
      </x:c>
      <x:c r="T337" s="6" t="n">
        <x:v>5</x:v>
      </x:c>
      <x:c r="U337" s="6" t="str">
        <x:v>21–40</x:v>
      </x:c>
      <x:c r="V337" s="6" t="str">
        <x:v>Content, internal authority and owner alignment</x:v>
      </x:c>
      <x:c r="W337" s="6" t="str">
        <x:v>High-value commercial</x:v>
      </x:c>
      <x:c r="X337" s="6" t="n">
        <x:v>333</x:v>
      </x:c>
      <x:c r="Y337" s="6" t="str">
        <x:v>Unconfirmed — joint query/page data required</x:v>
      </x:c>
    </x:row>
    <x:row r="338" ht="42" customHeight="1">
      <x:c r="A338" s="6" t="str">
        <x:v>mercedes benz repair</x:v>
      </x:c>
      <x:c r="B338" s="14" t="n">
        <x:v>0</x:v>
      </x:c>
      <x:c r="C338" s="14" t="n">
        <x:v>44</x:v>
      </x:c>
      <x:c r="D338" s="15" t="n">
        <x:v>0</x:v>
      </x:c>
      <x:c r="E338" s="16" t="n">
        <x:v>28.55</x:v>
      </x:c>
      <x:c r="F338" s="6" t="str">
        <x:v>HIGH</x:v>
      </x:c>
      <x:c r="G338" s="17" t="n">
        <x:f>'Scoring'!I338</x:f>
        <x:v>73</x:v>
      </x:c>
      <x:c r="H338" s="6" t="str">
        <x:v>SUPPORT</x:v>
      </x:c>
      <x:c r="I338" s="6" t="str">
        <x:v>mercedes-benz: Service and repair (English)</x:v>
      </x:c>
      <x:c r="J338" s="6" t="str">
        <x:v>Secondary</x:v>
      </x:c>
      <x:c r="K338" s="6" t="str">
        <x:v>Commercial service enquiry</x:v>
      </x:c>
      <x:c r="L338" s="6" t="str">
        <x:v>High</x:v>
      </x:c>
      <x:c r="M338" s="6" t="str">
        <x:v>https://digitecme.com/brands/mercedes-benz-service-dubai</x:v>
      </x:c>
      <x:c r="N338" s="6" t="str">
        <x:v>Unknown — export has no query/page pairing</x:v>
      </x:c>
      <x:c r="O338" s="6" t="str">
        <x:v>Retain primary intent and support variants</x:v>
      </x:c>
      <x:c r="P338" s="6" t="str">
        <x:v>Average position 28.55 makes ranking the main issue; avoid a CTR-only rewrite.</x:v>
      </x:c>
      <x:c r="Q338" s="6" t="str">
        <x:v>mercedes-benz</x:v>
      </x:c>
      <x:c r="R338" s="6" t="str">
        <x:v>service-repair</x:v>
      </x:c>
      <x:c r="S338" s="6" t="str">
        <x:v>Location unspecified</x:v>
      </x:c>
      <x:c r="T338" s="6" t="n">
        <x:v>5</x:v>
      </x:c>
      <x:c r="U338" s="6" t="str">
        <x:v>21–40</x:v>
      </x:c>
      <x:c r="V338" s="6" t="str">
        <x:v>Content, internal authority and owner alignment</x:v>
      </x:c>
      <x:c r="W338" s="6" t="str">
        <x:v>Relevant supporting</x:v>
      </x:c>
      <x:c r="X338" s="6" t="n">
        <x:v>334</x:v>
      </x:c>
      <x:c r="Y338" s="6" t="str">
        <x:v>Unconfirmed — joint query/page data required</x:v>
      </x:c>
    </x:row>
    <x:row r="339" ht="57" customHeight="1">
      <x:c r="A339" s="6" t="str">
        <x:v>ditec dubai</x:v>
      </x:c>
      <x:c r="B339" s="14" t="n">
        <x:v>0</x:v>
      </x:c>
      <x:c r="C339" s="14" t="n">
        <x:v>44</x:v>
      </x:c>
      <x:c r="D339" s="15" t="n">
        <x:v>0</x:v>
      </x:c>
      <x:c r="E339" s="16" t="n">
        <x:v>55.32</x:v>
      </x:c>
      <x:c r="F339" s="6" t="str">
        <x:v>IGNORE</x:v>
      </x:c>
      <x:c r="G339" s="17" t="n">
        <x:f>'Scoring'!I339</x:f>
        <x:v>0</x:v>
      </x:c>
      <x:c r="H339" s="6" t="str">
        <x:v>IGNORE</x:v>
      </x:c>
      <x:c r="I339" s="6" t="str">
        <x:v>Excluded: Unrelated or wrong location</x:v>
      </x:c>
      <x:c r="J339" s="6" t="str">
        <x:v>Primary</x:v>
      </x:c>
      <x:c r="K339" s="6" t="str">
        <x:v>Other or mismatched intent</x:v>
      </x:c>
      <x:c r="L339" s="6" t="str">
        <x:v>None</x:v>
      </x:c>
      <x:c r="M339" s="6" t="str"/>
      <x:c r="N339" s="6" t="str">
        <x:v>Unknown — export has no query/page pairing</x:v>
      </x:c>
      <x:c r="O339" s="6" t="str">
        <x:v>Do not target</x:v>
      </x:c>
      <x:c r="P339" s="6" t="str">
        <x:v>Dealer, product, industrial, unrelated entity or non-service intent does not match the independent workshop offer. Average position 55.32 makes ranking the main issue; avoid a CTR-only rewrite.</x:v>
      </x:c>
      <x:c r="Q339" s="6" t="str">
        <x:v>All vehicles</x:v>
      </x:c>
      <x:c r="R339" s="6" t="str">
        <x:v>service-repair</x:v>
      </x:c>
      <x:c r="S339" s="6" t="str">
        <x:v>Dubai explicit</x:v>
      </x:c>
      <x:c r="T339" s="6" t="n">
        <x:v>0</x:v>
      </x:c>
      <x:c r="U339" s="6" t="str">
        <x:v>40+</x:v>
      </x:c>
      <x:c r="V339" s="6" t="str">
        <x:v>Relevance, capability, indexing and authority review</x:v>
      </x:c>
      <x:c r="W339" s="6" t="str">
        <x:v>Irrelevant</x:v>
      </x:c>
      <x:c r="X339" s="6" t="n">
        <x:v>335</x:v>
      </x:c>
      <x:c r="Y339" s="6" t="str">
        <x:v>Unconfirmed — joint query/page data required</x:v>
      </x:c>
    </x:row>
    <x:row r="340" ht="57" customHeight="1">
      <x:c r="A340" s="6" t="str">
        <x:v>rox01 soft close door</x:v>
      </x:c>
      <x:c r="B340" s="14" t="n">
        <x:v>0</x:v>
      </x:c>
      <x:c r="C340" s="14" t="n">
        <x:v>43</x:v>
      </x:c>
      <x:c r="D340" s="15" t="n">
        <x:v>0</x:v>
      </x:c>
      <x:c r="E340" s="16" t="n">
        <x:v>7.58</x:v>
      </x:c>
      <x:c r="F340" s="6" t="str">
        <x:v>CRITICAL</x:v>
      </x:c>
      <x:c r="G340" s="17" t="n">
        <x:f>'Scoring'!I340</x:f>
        <x:v>48.7</x:v>
      </x:c>
      <x:c r="H340" s="6" t="str">
        <x:v>SPLIT</x:v>
      </x:c>
      <x:c r="I340" s="6" t="str">
        <x:v>rox: Soft close doors</x:v>
      </x:c>
      <x:c r="J340" s="6" t="str">
        <x:v>Primary</x:v>
      </x:c>
      <x:c r="K340" s="6" t="str">
        <x:v>Commercial service enquiry</x:v>
      </x:c>
      <x:c r="L340" s="6" t="str">
        <x:v>Medium</x:v>
      </x:c>
      <x:c r="M340" s="6" t="str">
        <x:v>https://digitecme.com/brands/rox-service-dubai/soft-close-door-installation</x:v>
      </x:c>
      <x:c r="N340" s="6" t="str">
        <x:v>Unknown — export has no query/page pairing</x:v>
      </x:c>
      <x:c r="O340" s="6" t="str">
        <x:v>Use dedicated service owner</x:v>
      </x:c>
      <x:c r="P340" s="6" t="str">
        <x:v>Existing specific page is noindex; assess service evidence and distinct content before changing indexation. Zero clicks from 43 impressions at average position 7.58; inspect query/page, country/device and SERP before attributing this to the snippet.</x:v>
      </x:c>
      <x:c r="Q340" s="6" t="str">
        <x:v>rox</x:v>
      </x:c>
      <x:c r="R340" s="6" t="str">
        <x:v>soft-close-door-installation</x:v>
      </x:c>
      <x:c r="S340" s="6" t="str">
        <x:v>Location unspecified</x:v>
      </x:c>
      <x:c r="T340" s="6" t="n">
        <x:v>3</x:v>
      </x:c>
      <x:c r="U340" s="6" t="str">
        <x:v>4–10</x:v>
      </x:c>
      <x:c r="V340" s="6" t="str">
        <x:v>Page-one CTR review and top-three relevance</x:v>
      </x:c>
      <x:c r="W340" s="6" t="str">
        <x:v>High-value commercial</x:v>
      </x:c>
      <x:c r="X340" s="6" t="n">
        <x:v>336</x:v>
      </x:c>
      <x:c r="Y340" s="6" t="str">
        <x:v>Unconfirmed — joint query/page data required</x:v>
      </x:c>
    </x:row>
    <x:row r="341" ht="42" customHeight="1">
      <x:c r="A341" s="6" t="str">
        <x:v>car muffler repair</x:v>
      </x:c>
      <x:c r="B341" s="14" t="n">
        <x:v>0</x:v>
      </x:c>
      <x:c r="C341" s="14" t="n">
        <x:v>43</x:v>
      </x:c>
      <x:c r="D341" s="15" t="n">
        <x:v>0</x:v>
      </x:c>
      <x:c r="E341" s="16" t="n">
        <x:v>9.33</x:v>
      </x:c>
      <x:c r="F341" s="6" t="str">
        <x:v>CRITICAL</x:v>
      </x:c>
      <x:c r="G341" s="17" t="n">
        <x:f>'Scoring'!I341</x:f>
        <x:v>82.5</x:v>
      </x:c>
      <x:c r="H341" s="6" t="str">
        <x:v>SUPPORT</x:v>
      </x:c>
      <x:c r="I341" s="6" t="str">
        <x:v>All vehicles: Exhaust repair</x:v>
      </x:c>
      <x:c r="J341" s="6" t="str">
        <x:v>Secondary</x:v>
      </x:c>
      <x:c r="K341" s="6" t="str">
        <x:v>Commercial service enquiry</x:v>
      </x:c>
      <x:c r="L341" s="6" t="str">
        <x:v>High</x:v>
      </x:c>
      <x:c r="M341" s="6" t="str">
        <x:v>https://digitecme.com/services/exhaust-repair-dubai</x:v>
      </x:c>
      <x:c r="N341" s="6" t="str">
        <x:v>Unknown — export has no query/page pairing</x:v>
      </x:c>
      <x:c r="O341" s="6" t="str">
        <x:v>Retain primary intent and support variants</x:v>
      </x:c>
      <x:c r="P341" s="6" t="str">
        <x:v>Zero clicks from 43 impressions at average position 9.33; inspect query/page, country/device and SERP before attributing this to the snippet.</x:v>
      </x:c>
      <x:c r="Q341" s="6" t="str">
        <x:v>All vehicles</x:v>
      </x:c>
      <x:c r="R341" s="6" t="str">
        <x:v>exhaust-repair</x:v>
      </x:c>
      <x:c r="S341" s="6" t="str">
        <x:v>Location unspecified</x:v>
      </x:c>
      <x:c r="T341" s="6" t="n">
        <x:v>3</x:v>
      </x:c>
      <x:c r="U341" s="6" t="str">
        <x:v>4–10</x:v>
      </x:c>
      <x:c r="V341" s="6" t="str">
        <x:v>Page-one CTR review and top-three relevance</x:v>
      </x:c>
      <x:c r="W341" s="6" t="str">
        <x:v>Relevant supporting</x:v>
      </x:c>
      <x:c r="X341" s="6" t="n">
        <x:v>337</x:v>
      </x:c>
      <x:c r="Y341" s="6" t="str">
        <x:v>Unconfirmed — joint query/page data required</x:v>
      </x:c>
    </x:row>
    <x:row r="342" ht="57" customHeight="1">
      <x:c r="A342" s="6" t="str">
        <x:v>porsche diagnostics dip2</x:v>
      </x:c>
      <x:c r="B342" s="14" t="n">
        <x:v>0</x:v>
      </x:c>
      <x:c r="C342" s="14" t="n">
        <x:v>43</x:v>
      </x:c>
      <x:c r="D342" s="15" t="n">
        <x:v>0</x:v>
      </x:c>
      <x:c r="E342" s="16" t="n">
        <x:v>9.81</x:v>
      </x:c>
      <x:c r="F342" s="6" t="str">
        <x:v>CRITICAL</x:v>
      </x:c>
      <x:c r="G342" s="17" t="n">
        <x:f>'Scoring'!I342</x:f>
        <x:v>95.5</x:v>
      </x:c>
      <x:c r="H342" s="6" t="str">
        <x:v>SPLIT</x:v>
      </x:c>
      <x:c r="I342" s="6" t="str">
        <x:v>porsche: Diagnostics and supported coding</x:v>
      </x:c>
      <x:c r="J342" s="6" t="str">
        <x:v>Secondary</x:v>
      </x:c>
      <x:c r="K342" s="6" t="str">
        <x:v>Commercial service enquiry</x:v>
      </x:c>
      <x:c r="L342" s="6" t="str">
        <x:v>High</x:v>
      </x:c>
      <x:c r="M342" s="6" t="str">
        <x:v>https://digitecme.com/brands/porsche-service-dubai/engine-diagnostics</x:v>
      </x:c>
      <x:c r="N342" s="6" t="str">
        <x:v>Unknown — export has no query/page pairing</x:v>
      </x:c>
      <x:c r="O342" s="6" t="str">
        <x:v>Use dedicated service owner</x:v>
      </x:c>
      <x:c r="P342" s="6" t="str">
        <x:v>Use the actual Al Quoz location; no district landing page or implied branch. Zero clicks from 43 impressions at average position 9.81; inspect query/page, country/device and SERP before attributing this to the snippet.</x:v>
      </x:c>
      <x:c r="Q342" s="6" t="str">
        <x:v>porsche</x:v>
      </x:c>
      <x:c r="R342" s="6" t="str">
        <x:v>engine-diagnostics</x:v>
      </x:c>
      <x:c r="S342" s="6" t="str">
        <x:v>Other Dubai district</x:v>
      </x:c>
      <x:c r="T342" s="6" t="n">
        <x:v>5</x:v>
      </x:c>
      <x:c r="U342" s="6" t="str">
        <x:v>4–10</x:v>
      </x:c>
      <x:c r="V342" s="6" t="str">
        <x:v>Page-one CTR review and top-three relevance</x:v>
      </x:c>
      <x:c r="W342" s="6" t="str">
        <x:v>High-value commercial</x:v>
      </x:c>
      <x:c r="X342" s="6" t="n">
        <x:v>338</x:v>
      </x:c>
      <x:c r="Y342" s="6" t="str">
        <x:v>Unconfirmed — joint query/page data required</x:v>
      </x:c>
    </x:row>
    <x:row r="343" ht="42" customHeight="1">
      <x:c r="A343" s="6" t="str">
        <x:v>mercedes benz workshop</x:v>
      </x:c>
      <x:c r="B343" s="14" t="n">
        <x:v>0</x:v>
      </x:c>
      <x:c r="C343" s="14" t="n">
        <x:v>43</x:v>
      </x:c>
      <x:c r="D343" s="15" t="n">
        <x:v>0</x:v>
      </x:c>
      <x:c r="E343" s="16" t="n">
        <x:v>16.91</x:v>
      </x:c>
      <x:c r="F343" s="6" t="str">
        <x:v>HIGH</x:v>
      </x:c>
      <x:c r="G343" s="17" t="n">
        <x:f>'Scoring'!I343</x:f>
        <x:v>73</x:v>
      </x:c>
      <x:c r="H343" s="6" t="str">
        <x:v>SUPPORT</x:v>
      </x:c>
      <x:c r="I343" s="6" t="str">
        <x:v>mercedes-benz: Service and repair (English)</x:v>
      </x:c>
      <x:c r="J343" s="6" t="str">
        <x:v>Secondary</x:v>
      </x:c>
      <x:c r="K343" s="6" t="str">
        <x:v>Commercial service enquiry</x:v>
      </x:c>
      <x:c r="L343" s="6" t="str">
        <x:v>High</x:v>
      </x:c>
      <x:c r="M343" s="6" t="str">
        <x:v>https://digitecme.com/brands/mercedes-benz-service-dubai</x:v>
      </x:c>
      <x:c r="N343" s="6" t="str">
        <x:v>Unknown — export has no query/page pairing</x:v>
      </x:c>
      <x:c r="O343" s="6" t="str">
        <x:v>Retain primary intent and support variants</x:v>
      </x:c>
      <x:c r="P343" s="6" t="str">
        <x:v>43 impressions at average position 16.91; strengthen the appropriate intent owner and measure with a fresh comparable period.</x:v>
      </x:c>
      <x:c r="Q343" s="6" t="str">
        <x:v>mercedes-benz</x:v>
      </x:c>
      <x:c r="R343" s="6" t="str">
        <x:v>service-repair</x:v>
      </x:c>
      <x:c r="S343" s="6" t="str">
        <x:v>Location unspecified</x:v>
      </x:c>
      <x:c r="T343" s="6" t="n">
        <x:v>5</x:v>
      </x:c>
      <x:c r="U343" s="6" t="str">
        <x:v>11–20</x:v>
      </x:c>
      <x:c r="V343" s="6" t="str">
        <x:v>Ranking and owner relevance</x:v>
      </x:c>
      <x:c r="W343" s="6" t="str">
        <x:v>Relevant supporting</x:v>
      </x:c>
      <x:c r="X343" s="6" t="n">
        <x:v>339</x:v>
      </x:c>
      <x:c r="Y343" s="6" t="str">
        <x:v>Unconfirmed — joint query/page data required</x:v>
      </x:c>
    </x:row>
    <x:row r="344" ht="42" customHeight="1">
      <x:c r="A344" s="6" t="str">
        <x:v>audi oil change dubai</x:v>
      </x:c>
      <x:c r="B344" s="14" t="n">
        <x:v>0</x:v>
      </x:c>
      <x:c r="C344" s="14" t="n">
        <x:v>43</x:v>
      </x:c>
      <x:c r="D344" s="15" t="n">
        <x:v>0</x:v>
      </x:c>
      <x:c r="E344" s="16" t="n">
        <x:v>17.74</x:v>
      </x:c>
      <x:c r="F344" s="6" t="str">
        <x:v>HIGH</x:v>
      </x:c>
      <x:c r="G344" s="17" t="n">
        <x:f>'Scoring'!I344</x:f>
        <x:v>78</x:v>
      </x:c>
      <x:c r="H344" s="6" t="str">
        <x:v>SPLIT</x:v>
      </x:c>
      <x:c r="I344" s="6" t="str">
        <x:v>audi: Oil change</x:v>
      </x:c>
      <x:c r="J344" s="6" t="str">
        <x:v>Primary</x:v>
      </x:c>
      <x:c r="K344" s="6" t="str">
        <x:v>Commercial service enquiry</x:v>
      </x:c>
      <x:c r="L344" s="6" t="str">
        <x:v>High</x:v>
      </x:c>
      <x:c r="M344" s="6" t="str">
        <x:v>https://digitecme.com/brands/audi-service-dubai/oil-change</x:v>
      </x:c>
      <x:c r="N344" s="6" t="str">
        <x:v>Unknown — export has no query/page pairing</x:v>
      </x:c>
      <x:c r="O344" s="6" t="str">
        <x:v>Use dedicated service owner</x:v>
      </x:c>
      <x:c r="P344" s="6" t="str">
        <x:v>43 impressions at average position 17.74; strengthen the appropriate intent owner and measure with a fresh comparable period.</x:v>
      </x:c>
      <x:c r="Q344" s="6" t="str">
        <x:v>audi</x:v>
      </x:c>
      <x:c r="R344" s="6" t="str">
        <x:v>oil-change</x:v>
      </x:c>
      <x:c r="S344" s="6" t="str">
        <x:v>Dubai explicit</x:v>
      </x:c>
      <x:c r="T344" s="6" t="n">
        <x:v>5</x:v>
      </x:c>
      <x:c r="U344" s="6" t="str">
        <x:v>11–20</x:v>
      </x:c>
      <x:c r="V344" s="6" t="str">
        <x:v>Ranking and owner relevance</x:v>
      </x:c>
      <x:c r="W344" s="6" t="str">
        <x:v>High-value commercial</x:v>
      </x:c>
      <x:c r="X344" s="6" t="n">
        <x:v>340</x:v>
      </x:c>
      <x:c r="Y344" s="6" t="str">
        <x:v>Unconfirmed — joint query/page data required</x:v>
      </x:c>
    </x:row>
    <x:row r="345" ht="42" customHeight="1">
      <x:c r="A345" s="6" t="str">
        <x:v>battery replacement near me</x:v>
      </x:c>
      <x:c r="B345" s="14" t="n">
        <x:v>0</x:v>
      </x:c>
      <x:c r="C345" s="14" t="n">
        <x:v>43</x:v>
      </x:c>
      <x:c r="D345" s="15" t="n">
        <x:v>0</x:v>
      </x:c>
      <x:c r="E345" s="16" t="n">
        <x:v>23</x:v>
      </x:c>
      <x:c r="F345" s="6" t="str">
        <x:v>HIGH</x:v>
      </x:c>
      <x:c r="G345" s="17" t="n">
        <x:f>'Scoring'!I345</x:f>
        <x:v>70</x:v>
      </x:c>
      <x:c r="H345" s="6" t="str">
        <x:v>SUPPORT</x:v>
      </x:c>
      <x:c r="I345" s="6" t="str">
        <x:v>All vehicles: Battery service (English)</x:v>
      </x:c>
      <x:c r="J345" s="6" t="str">
        <x:v>Secondary</x:v>
      </x:c>
      <x:c r="K345" s="6" t="str">
        <x:v>Commercial service enquiry</x:v>
      </x:c>
      <x:c r="L345" s="6" t="str">
        <x:v>High</x:v>
      </x:c>
      <x:c r="M345" s="6" t="str">
        <x:v>https://digitecme.com/services/battery-replacement-dubai</x:v>
      </x:c>
      <x:c r="N345" s="6" t="str">
        <x:v>Unknown — export has no query/page pairing</x:v>
      </x:c>
      <x:c r="O345" s="6" t="str">
        <x:v>Retain primary intent and support variants</x:v>
      </x:c>
      <x:c r="P345" s="6" t="str">
        <x:v>Average position 23.00 makes ranking the main issue; avoid a CTR-only rewrite.</x:v>
      </x:c>
      <x:c r="Q345" s="6" t="str">
        <x:v>All vehicles</x:v>
      </x:c>
      <x:c r="R345" s="6" t="str">
        <x:v>battery-replacement</x:v>
      </x:c>
      <x:c r="S345" s="6" t="str">
        <x:v>Near me; location unknown</x:v>
      </x:c>
      <x:c r="T345" s="6" t="n">
        <x:v>3</x:v>
      </x:c>
      <x:c r="U345" s="6" t="str">
        <x:v>21–40</x:v>
      </x:c>
      <x:c r="V345" s="6" t="str">
        <x:v>Content, internal authority and owner alignment</x:v>
      </x:c>
      <x:c r="W345" s="6" t="str">
        <x:v>Relevant supporting</x:v>
      </x:c>
      <x:c r="X345" s="6" t="n">
        <x:v>341</x:v>
      </x:c>
      <x:c r="Y345" s="6" t="str">
        <x:v>Unconfirmed — joint query/page data required</x:v>
      </x:c>
    </x:row>
    <x:row r="346" ht="42" customHeight="1">
      <x:c r="A346" s="6" t="str">
        <x:v>lamborghini engine repair dubai</x:v>
      </x:c>
      <x:c r="B346" s="14" t="n">
        <x:v>0</x:v>
      </x:c>
      <x:c r="C346" s="14" t="n">
        <x:v>43</x:v>
      </x:c>
      <x:c r="D346" s="15" t="n">
        <x:v>0</x:v>
      </x:c>
      <x:c r="E346" s="16" t="n">
        <x:v>31.58</x:v>
      </x:c>
      <x:c r="F346" s="6" t="str">
        <x:v>GROWTH</x:v>
      </x:c>
      <x:c r="G346" s="17" t="n">
        <x:f>'Scoring'!I346</x:f>
        <x:v>70.5</x:v>
      </x:c>
      <x:c r="H346" s="6" t="str">
        <x:v>SPLIT</x:v>
      </x:c>
      <x:c r="I346" s="6" t="str">
        <x:v>lamborghini: Engine and mechanical repair</x:v>
      </x:c>
      <x:c r="J346" s="6" t="str">
        <x:v>Primary</x:v>
      </x:c>
      <x:c r="K346" s="6" t="str">
        <x:v>Commercial service enquiry</x:v>
      </x:c>
      <x:c r="L346" s="6" t="str">
        <x:v>High</x:v>
      </x:c>
      <x:c r="M346" s="6" t="str">
        <x:v>https://digitecme.com/brands/lamborghini-service-dubai/mechanical-repair</x:v>
      </x:c>
      <x:c r="N346" s="6" t="str">
        <x:v>Unknown — export has no query/page pairing</x:v>
      </x:c>
      <x:c r="O346" s="6" t="str">
        <x:v>Use dedicated service owner</x:v>
      </x:c>
      <x:c r="P346" s="6" t="str">
        <x:v>Average position 31.58 makes ranking the main issue; avoid a CTR-only rewrite.</x:v>
      </x:c>
      <x:c r="Q346" s="6" t="str">
        <x:v>lamborghini</x:v>
      </x:c>
      <x:c r="R346" s="6" t="str">
        <x:v>mechanical-repair</x:v>
      </x:c>
      <x:c r="S346" s="6" t="str">
        <x:v>Dubai explicit</x:v>
      </x:c>
      <x:c r="T346" s="6" t="n">
        <x:v>5</x:v>
      </x:c>
      <x:c r="U346" s="6" t="str">
        <x:v>21–40</x:v>
      </x:c>
      <x:c r="V346" s="6" t="str">
        <x:v>Content, internal authority and owner alignment</x:v>
      </x:c>
      <x:c r="W346" s="6" t="str">
        <x:v>High-value commercial</x:v>
      </x:c>
      <x:c r="X346" s="6" t="n">
        <x:v>342</x:v>
      </x:c>
      <x:c r="Y346" s="6" t="str">
        <x:v>Unconfirmed — joint query/page data required</x:v>
      </x:c>
    </x:row>
    <x:row r="347" ht="42" customHeight="1">
      <x:c r="A347" s="6" t="str">
        <x:v>porsche repair</x:v>
      </x:c>
      <x:c r="B347" s="14" t="n">
        <x:v>0</x:v>
      </x:c>
      <x:c r="C347" s="14" t="n">
        <x:v>43</x:v>
      </x:c>
      <x:c r="D347" s="15" t="n">
        <x:v>0</x:v>
      </x:c>
      <x:c r="E347" s="16" t="n">
        <x:v>37.77</x:v>
      </x:c>
      <x:c r="F347" s="6" t="str">
        <x:v>GROWTH</x:v>
      </x:c>
      <x:c r="G347" s="17" t="n">
        <x:f>'Scoring'!I347</x:f>
        <x:v>65.5</x:v>
      </x:c>
      <x:c r="H347" s="6" t="str">
        <x:v>SUPPORT</x:v>
      </x:c>
      <x:c r="I347" s="6" t="str">
        <x:v>porsche: Service and repair (English)</x:v>
      </x:c>
      <x:c r="J347" s="6" t="str">
        <x:v>Secondary</x:v>
      </x:c>
      <x:c r="K347" s="6" t="str">
        <x:v>Commercial service enquiry</x:v>
      </x:c>
      <x:c r="L347" s="6" t="str">
        <x:v>High</x:v>
      </x:c>
      <x:c r="M347" s="6" t="str">
        <x:v>https://digitecme.com/brands/porsche-service-dubai</x:v>
      </x:c>
      <x:c r="N347" s="6" t="str">
        <x:v>Unknown — export has no query/page pairing</x:v>
      </x:c>
      <x:c r="O347" s="6" t="str">
        <x:v>Retain primary intent and support variants</x:v>
      </x:c>
      <x:c r="P347" s="6" t="str">
        <x:v>Average position 37.77 makes ranking the main issue; avoid a CTR-only rewrite.</x:v>
      </x:c>
      <x:c r="Q347" s="6" t="str">
        <x:v>porsche</x:v>
      </x:c>
      <x:c r="R347" s="6" t="str">
        <x:v>service-repair</x:v>
      </x:c>
      <x:c r="S347" s="6" t="str">
        <x:v>Location unspecified</x:v>
      </x:c>
      <x:c r="T347" s="6" t="n">
        <x:v>5</x:v>
      </x:c>
      <x:c r="U347" s="6" t="str">
        <x:v>21–40</x:v>
      </x:c>
      <x:c r="V347" s="6" t="str">
        <x:v>Content, internal authority and owner alignment</x:v>
      </x:c>
      <x:c r="W347" s="6" t="str">
        <x:v>Relevant supporting</x:v>
      </x:c>
      <x:c r="X347" s="6" t="n">
        <x:v>343</x:v>
      </x:c>
      <x:c r="Y347" s="6" t="str">
        <x:v>Unconfirmed — joint query/page data required</x:v>
      </x:c>
    </x:row>
    <x:row r="348" ht="42" customHeight="1">
      <x:c r="A348" s="6" t="str">
        <x:v>mercedes repair near me</x:v>
      </x:c>
      <x:c r="B348" s="14" t="n">
        <x:v>0</x:v>
      </x:c>
      <x:c r="C348" s="14" t="n">
        <x:v>42</x:v>
      </x:c>
      <x:c r="D348" s="15" t="n">
        <x:v>0</x:v>
      </x:c>
      <x:c r="E348" s="16" t="n">
        <x:v>18.69</x:v>
      </x:c>
      <x:c r="F348" s="6" t="str">
        <x:v>HIGH</x:v>
      </x:c>
      <x:c r="G348" s="17" t="n">
        <x:f>'Scoring'!I348</x:f>
        <x:v>77.9</x:v>
      </x:c>
      <x:c r="H348" s="6" t="str">
        <x:v>SUPPORT</x:v>
      </x:c>
      <x:c r="I348" s="6" t="str">
        <x:v>mercedes-benz: Service and repair (English)</x:v>
      </x:c>
      <x:c r="J348" s="6" t="str">
        <x:v>Secondary</x:v>
      </x:c>
      <x:c r="K348" s="6" t="str">
        <x:v>Commercial service enquiry</x:v>
      </x:c>
      <x:c r="L348" s="6" t="str">
        <x:v>High</x:v>
      </x:c>
      <x:c r="M348" s="6" t="str">
        <x:v>https://digitecme.com/brands/mercedes-benz-service-dubai</x:v>
      </x:c>
      <x:c r="N348" s="6" t="str">
        <x:v>Unknown — export has no query/page pairing</x:v>
      </x:c>
      <x:c r="O348" s="6" t="str">
        <x:v>Retain primary intent and support variants</x:v>
      </x:c>
      <x:c r="P348" s="6" t="str">
        <x:v>42 impressions at average position 18.69; strengthen the appropriate intent owner and measure with a fresh comparable period.</x:v>
      </x:c>
      <x:c r="Q348" s="6" t="str">
        <x:v>mercedes-benz</x:v>
      </x:c>
      <x:c r="R348" s="6" t="str">
        <x:v>service-repair</x:v>
      </x:c>
      <x:c r="S348" s="6" t="str">
        <x:v>Near me; location unknown</x:v>
      </x:c>
      <x:c r="T348" s="6" t="n">
        <x:v>5</x:v>
      </x:c>
      <x:c r="U348" s="6" t="str">
        <x:v>11–20</x:v>
      </x:c>
      <x:c r="V348" s="6" t="str">
        <x:v>Ranking and owner relevance</x:v>
      </x:c>
      <x:c r="W348" s="6" t="str">
        <x:v>Relevant supporting</x:v>
      </x:c>
      <x:c r="X348" s="6" t="n">
        <x:v>344</x:v>
      </x:c>
      <x:c r="Y348" s="6" t="str">
        <x:v>Unconfirmed — joint query/page data required</x:v>
      </x:c>
    </x:row>
    <x:row r="349" ht="42" customHeight="1">
      <x:c r="A349" s="6" t="str">
        <x:v>engine diagnostics dubai</x:v>
      </x:c>
      <x:c r="B349" s="14" t="n">
        <x:v>0</x:v>
      </x:c>
      <x:c r="C349" s="14" t="n">
        <x:v>42</x:v>
      </x:c>
      <x:c r="D349" s="15" t="n">
        <x:v>0</x:v>
      </x:c>
      <x:c r="E349" s="16" t="n">
        <x:v>29.4</x:v>
      </x:c>
      <x:c r="F349" s="6" t="str">
        <x:v>HIGH</x:v>
      </x:c>
      <x:c r="G349" s="17" t="n">
        <x:f>'Scoring'!I349</x:f>
        <x:v>69.9</x:v>
      </x:c>
      <x:c r="H349" s="6" t="str">
        <x:v>SUPPORT</x:v>
      </x:c>
      <x:c r="I349" s="6" t="str">
        <x:v>All vehicles: Diagnostics and supported coding</x:v>
      </x:c>
      <x:c r="J349" s="6" t="str">
        <x:v>Secondary</x:v>
      </x:c>
      <x:c r="K349" s="6" t="str">
        <x:v>Commercial service enquiry</x:v>
      </x:c>
      <x:c r="L349" s="6" t="str">
        <x:v>High</x:v>
      </x:c>
      <x:c r="M349" s="6" t="str">
        <x:v>https://digitecme.com/services/car-diagnostics-dubai</x:v>
      </x:c>
      <x:c r="N349" s="6" t="str">
        <x:v>Unknown — export has no query/page pairing</x:v>
      </x:c>
      <x:c r="O349" s="6" t="str">
        <x:v>Retain primary intent and support variants</x:v>
      </x:c>
      <x:c r="P349" s="6" t="str">
        <x:v>Average position 29.40 makes ranking the main issue; avoid a CTR-only rewrite.</x:v>
      </x:c>
      <x:c r="Q349" s="6" t="str">
        <x:v>All vehicles</x:v>
      </x:c>
      <x:c r="R349" s="6" t="str">
        <x:v>engine-diagnostics</x:v>
      </x:c>
      <x:c r="S349" s="6" t="str">
        <x:v>Dubai explicit</x:v>
      </x:c>
      <x:c r="T349" s="6" t="n">
        <x:v>3</x:v>
      </x:c>
      <x:c r="U349" s="6" t="str">
        <x:v>21–40</x:v>
      </x:c>
      <x:c r="V349" s="6" t="str">
        <x:v>Content, internal authority and owner alignment</x:v>
      </x:c>
      <x:c r="W349" s="6" t="str">
        <x:v>Relevant supporting</x:v>
      </x:c>
      <x:c r="X349" s="6" t="n">
        <x:v>345</x:v>
      </x:c>
      <x:c r="Y349" s="6" t="str">
        <x:v>Unconfirmed — joint query/page data required</x:v>
      </x:c>
    </x:row>
    <x:row r="350" ht="42" customHeight="1">
      <x:c r="A350" s="6" t="str">
        <x:v>car oil change service in dubai</x:v>
      </x:c>
      <x:c r="B350" s="14" t="n">
        <x:v>0</x:v>
      </x:c>
      <x:c r="C350" s="14" t="n">
        <x:v>42</x:v>
      </x:c>
      <x:c r="D350" s="15" t="n">
        <x:v>0</x:v>
      </x:c>
      <x:c r="E350" s="16" t="n">
        <x:v>36.19</x:v>
      </x:c>
      <x:c r="F350" s="6" t="str">
        <x:v>GROWTH</x:v>
      </x:c>
      <x:c r="G350" s="17" t="n">
        <x:f>'Scoring'!I350</x:f>
        <x:v>62.4</x:v>
      </x:c>
      <x:c r="H350" s="6" t="str">
        <x:v>SUPPORT</x:v>
      </x:c>
      <x:c r="I350" s="6" t="str">
        <x:v>All vehicles: Oil change (English)</x:v>
      </x:c>
      <x:c r="J350" s="6" t="str">
        <x:v>Secondary</x:v>
      </x:c>
      <x:c r="K350" s="6" t="str">
        <x:v>Commercial service enquiry</x:v>
      </x:c>
      <x:c r="L350" s="6" t="str">
        <x:v>High</x:v>
      </x:c>
      <x:c r="M350" s="6" t="str">
        <x:v>https://digitecme.com/services/oil-change-dubai</x:v>
      </x:c>
      <x:c r="N350" s="6" t="str">
        <x:v>Unknown — export has no query/page pairing</x:v>
      </x:c>
      <x:c r="O350" s="6" t="str">
        <x:v>Retain primary intent and support variants</x:v>
      </x:c>
      <x:c r="P350" s="6" t="str">
        <x:v>Average position 36.19 makes ranking the main issue; avoid a CTR-only rewrite.</x:v>
      </x:c>
      <x:c r="Q350" s="6" t="str">
        <x:v>All vehicles</x:v>
      </x:c>
      <x:c r="R350" s="6" t="str">
        <x:v>oil-change</x:v>
      </x:c>
      <x:c r="S350" s="6" t="str">
        <x:v>Dubai explicit</x:v>
      </x:c>
      <x:c r="T350" s="6" t="n">
        <x:v>3</x:v>
      </x:c>
      <x:c r="U350" s="6" t="str">
        <x:v>21–40</x:v>
      </x:c>
      <x:c r="V350" s="6" t="str">
        <x:v>Content, internal authority and owner alignment</x:v>
      </x:c>
      <x:c r="W350" s="6" t="str">
        <x:v>Relevant supporting</x:v>
      </x:c>
      <x:c r="X350" s="6" t="n">
        <x:v>346</x:v>
      </x:c>
      <x:c r="Y350" s="6" t="str">
        <x:v>Unconfirmed — joint query/page data required</x:v>
      </x:c>
    </x:row>
    <x:row r="351" ht="42" customHeight="1">
      <x:c r="A351" s="6" t="str">
        <x:v>gearbox specialist</x:v>
      </x:c>
      <x:c r="B351" s="14" t="n">
        <x:v>0</x:v>
      </x:c>
      <x:c r="C351" s="14" t="n">
        <x:v>42</x:v>
      </x:c>
      <x:c r="D351" s="15" t="n">
        <x:v>0</x:v>
      </x:c>
      <x:c r="E351" s="16" t="n">
        <x:v>43.76</x:v>
      </x:c>
      <x:c r="F351" s="6" t="str">
        <x:v>GROWTH</x:v>
      </x:c>
      <x:c r="G351" s="17" t="n">
        <x:f>'Scoring'!I351</x:f>
        <x:v>51.2</x:v>
      </x:c>
      <x:c r="H351" s="6" t="str">
        <x:v>SUPPORT</x:v>
      </x:c>
      <x:c r="I351" s="6" t="str">
        <x:v>All vehicles: Transmission and gearbox repair</x:v>
      </x:c>
      <x:c r="J351" s="6" t="str">
        <x:v>Secondary</x:v>
      </x:c>
      <x:c r="K351" s="6" t="str">
        <x:v>Commercial service enquiry</x:v>
      </x:c>
      <x:c r="L351" s="6" t="str">
        <x:v>High</x:v>
      </x:c>
      <x:c r="M351" s="6" t="str">
        <x:v>https://digitecme.com/services/car-service-dubai</x:v>
      </x:c>
      <x:c r="N351" s="6" t="str">
        <x:v>Unknown — export has no query/page pairing</x:v>
      </x:c>
      <x:c r="O351" s="6" t="str">
        <x:v>Retain primary intent and support variants</x:v>
      </x:c>
      <x:c r="P351" s="6" t="str">
        <x:v>Average position 43.76 makes ranking the main issue; avoid a CTR-only rewrite.</x:v>
      </x:c>
      <x:c r="Q351" s="6" t="str">
        <x:v>All vehicles</x:v>
      </x:c>
      <x:c r="R351" s="6" t="str">
        <x:v>transmission-repair</x:v>
      </x:c>
      <x:c r="S351" s="6" t="str">
        <x:v>Location unspecified</x:v>
      </x:c>
      <x:c r="T351" s="6" t="n">
        <x:v>3</x:v>
      </x:c>
      <x:c r="U351" s="6" t="str">
        <x:v>40+</x:v>
      </x:c>
      <x:c r="V351" s="6" t="str">
        <x:v>Relevance, capability, indexing and authority review</x:v>
      </x:c>
      <x:c r="W351" s="6" t="str">
        <x:v>Relevant supporting</x:v>
      </x:c>
      <x:c r="X351" s="6" t="n">
        <x:v>347</x:v>
      </x:c>
      <x:c r="Y351" s="6" t="str">
        <x:v>Unconfirmed — joint query/page data required</x:v>
      </x:c>
    </x:row>
    <x:row r="352" ht="42" customHeight="1">
      <x:c r="A352" s="6" t="str">
        <x:v>car silencer repair near me</x:v>
      </x:c>
      <x:c r="B352" s="14" t="n">
        <x:v>0</x:v>
      </x:c>
      <x:c r="C352" s="14" t="n">
        <x:v>41</x:v>
      </x:c>
      <x:c r="D352" s="15" t="n">
        <x:v>0</x:v>
      </x:c>
      <x:c r="E352" s="16" t="n">
        <x:v>7.39</x:v>
      </x:c>
      <x:c r="F352" s="6" t="str">
        <x:v>CRITICAL</x:v>
      </x:c>
      <x:c r="G352" s="17" t="n">
        <x:f>'Scoring'!I352</x:f>
        <x:v>87.4</x:v>
      </x:c>
      <x:c r="H352" s="6" t="str">
        <x:v>SUPPORT</x:v>
      </x:c>
      <x:c r="I352" s="6" t="str">
        <x:v>All vehicles: Exhaust repair</x:v>
      </x:c>
      <x:c r="J352" s="6" t="str">
        <x:v>Secondary</x:v>
      </x:c>
      <x:c r="K352" s="6" t="str">
        <x:v>Commercial service enquiry</x:v>
      </x:c>
      <x:c r="L352" s="6" t="str">
        <x:v>High</x:v>
      </x:c>
      <x:c r="M352" s="6" t="str">
        <x:v>https://digitecme.com/services/exhaust-repair-dubai</x:v>
      </x:c>
      <x:c r="N352" s="6" t="str">
        <x:v>Unknown — export has no query/page pairing</x:v>
      </x:c>
      <x:c r="O352" s="6" t="str">
        <x:v>Retain primary intent and support variants</x:v>
      </x:c>
      <x:c r="P352" s="6" t="str">
        <x:v>Zero clicks from 41 impressions at average position 7.39; inspect query/page, country/device and SERP before attributing this to the snippet.</x:v>
      </x:c>
      <x:c r="Q352" s="6" t="str">
        <x:v>All vehicles</x:v>
      </x:c>
      <x:c r="R352" s="6" t="str">
        <x:v>exhaust-repair</x:v>
      </x:c>
      <x:c r="S352" s="6" t="str">
        <x:v>Near me; location unknown</x:v>
      </x:c>
      <x:c r="T352" s="6" t="n">
        <x:v>3</x:v>
      </x:c>
      <x:c r="U352" s="6" t="str">
        <x:v>4–10</x:v>
      </x:c>
      <x:c r="V352" s="6" t="str">
        <x:v>Page-one CTR review and top-three relevance</x:v>
      </x:c>
      <x:c r="W352" s="6" t="str">
        <x:v>Relevant supporting</x:v>
      </x:c>
      <x:c r="X352" s="6" t="n">
        <x:v>348</x:v>
      </x:c>
      <x:c r="Y352" s="6" t="str">
        <x:v>Unconfirmed — joint query/page data required</x:v>
      </x:c>
    </x:row>
    <x:row r="353" ht="42" customHeight="1">
      <x:c r="A353" s="6" t="str">
        <x:v>steering repair near me</x:v>
      </x:c>
      <x:c r="B353" s="14" t="n">
        <x:v>0</x:v>
      </x:c>
      <x:c r="C353" s="14" t="n">
        <x:v>41</x:v>
      </x:c>
      <x:c r="D353" s="15" t="n">
        <x:v>0</x:v>
      </x:c>
      <x:c r="E353" s="16" t="n">
        <x:v>12.12</x:v>
      </x:c>
      <x:c r="F353" s="6" t="str">
        <x:v>CRITICAL</x:v>
      </x:c>
      <x:c r="G353" s="17" t="n">
        <x:f>'Scoring'!I353</x:f>
        <x:v>77.4</x:v>
      </x:c>
      <x:c r="H353" s="6" t="str">
        <x:v>SUPPORT</x:v>
      </x:c>
      <x:c r="I353" s="6" t="str">
        <x:v>All vehicles: Steering repair</x:v>
      </x:c>
      <x:c r="J353" s="6" t="str">
        <x:v>Secondary</x:v>
      </x:c>
      <x:c r="K353" s="6" t="str">
        <x:v>Commercial service enquiry</x:v>
      </x:c>
      <x:c r="L353" s="6" t="str">
        <x:v>High</x:v>
      </x:c>
      <x:c r="M353" s="6" t="str">
        <x:v>https://digitecme.com/services/steering-repair-dubai</x:v>
      </x:c>
      <x:c r="N353" s="6" t="str">
        <x:v>Unknown — export has no query/page pairing</x:v>
      </x:c>
      <x:c r="O353" s="6" t="str">
        <x:v>Retain primary intent and support variants</x:v>
      </x:c>
      <x:c r="P353" s="6" t="str">
        <x:v>41 impressions at average position 12.12; strengthen the appropriate intent owner and measure with a fresh comparable period.</x:v>
      </x:c>
      <x:c r="Q353" s="6" t="str">
        <x:v>All vehicles</x:v>
      </x:c>
      <x:c r="R353" s="6" t="str">
        <x:v>steering-repair</x:v>
      </x:c>
      <x:c r="S353" s="6" t="str">
        <x:v>Near me; location unknown</x:v>
      </x:c>
      <x:c r="T353" s="6" t="n">
        <x:v>3</x:v>
      </x:c>
      <x:c r="U353" s="6" t="str">
        <x:v>11–20</x:v>
      </x:c>
      <x:c r="V353" s="6" t="str">
        <x:v>Ranking and owner relevance</x:v>
      </x:c>
      <x:c r="W353" s="6" t="str">
        <x:v>Relevant supporting</x:v>
      </x:c>
      <x:c r="X353" s="6" t="n">
        <x:v>349</x:v>
      </x:c>
      <x:c r="Y353" s="6" t="str">
        <x:v>Unconfirmed — joint query/page data required</x:v>
      </x:c>
    </x:row>
    <x:row r="354" ht="42" customHeight="1">
      <x:c r="A354" s="6" t="str">
        <x:v>mercedes car repair</x:v>
      </x:c>
      <x:c r="B354" s="14" t="n">
        <x:v>0</x:v>
      </x:c>
      <x:c r="C354" s="14" t="n">
        <x:v>41</x:v>
      </x:c>
      <x:c r="D354" s="15" t="n">
        <x:v>0</x:v>
      </x:c>
      <x:c r="E354" s="16" t="n">
        <x:v>27.1</x:v>
      </x:c>
      <x:c r="F354" s="6" t="str">
        <x:v>HIGH</x:v>
      </x:c>
      <x:c r="G354" s="17" t="n">
        <x:f>'Scoring'!I354</x:f>
        <x:v>72.9</x:v>
      </x:c>
      <x:c r="H354" s="6" t="str">
        <x:v>SUPPORT</x:v>
      </x:c>
      <x:c r="I354" s="6" t="str">
        <x:v>mercedes-benz: Service and repair (English)</x:v>
      </x:c>
      <x:c r="J354" s="6" t="str">
        <x:v>Secondary</x:v>
      </x:c>
      <x:c r="K354" s="6" t="str">
        <x:v>Commercial service enquiry</x:v>
      </x:c>
      <x:c r="L354" s="6" t="str">
        <x:v>High</x:v>
      </x:c>
      <x:c r="M354" s="6" t="str">
        <x:v>https://digitecme.com/brands/mercedes-benz-service-dubai</x:v>
      </x:c>
      <x:c r="N354" s="6" t="str">
        <x:v>Unknown — export has no query/page pairing</x:v>
      </x:c>
      <x:c r="O354" s="6" t="str">
        <x:v>Retain primary intent and support variants</x:v>
      </x:c>
      <x:c r="P354" s="6" t="str">
        <x:v>Average position 27.10 makes ranking the main issue; avoid a CTR-only rewrite.</x:v>
      </x:c>
      <x:c r="Q354" s="6" t="str">
        <x:v>mercedes-benz</x:v>
      </x:c>
      <x:c r="R354" s="6" t="str">
        <x:v>service-repair</x:v>
      </x:c>
      <x:c r="S354" s="6" t="str">
        <x:v>Location unspecified</x:v>
      </x:c>
      <x:c r="T354" s="6" t="n">
        <x:v>5</x:v>
      </x:c>
      <x:c r="U354" s="6" t="str">
        <x:v>21–40</x:v>
      </x:c>
      <x:c r="V354" s="6" t="str">
        <x:v>Content, internal authority and owner alignment</x:v>
      </x:c>
      <x:c r="W354" s="6" t="str">
        <x:v>Relevant supporting</x:v>
      </x:c>
      <x:c r="X354" s="6" t="n">
        <x:v>350</x:v>
      </x:c>
      <x:c r="Y354" s="6" t="str">
        <x:v>Unconfirmed — joint query/page data required</x:v>
      </x:c>
    </x:row>
    <x:row r="355" ht="42" customHeight="1">
      <x:c r="A355" s="6" t="str">
        <x:v>jeep oil change service in dubai</x:v>
      </x:c>
      <x:c r="B355" s="14" t="n">
        <x:v>0</x:v>
      </x:c>
      <x:c r="C355" s="14" t="n">
        <x:v>41</x:v>
      </x:c>
      <x:c r="D355" s="15" t="n">
        <x:v>0</x:v>
      </x:c>
      <x:c r="E355" s="16" t="n">
        <x:v>30.37</x:v>
      </x:c>
      <x:c r="F355" s="6" t="str">
        <x:v>GROWTH</x:v>
      </x:c>
      <x:c r="G355" s="17" t="n">
        <x:f>'Scoring'!I355</x:f>
        <x:v>62.4</x:v>
      </x:c>
      <x:c r="H355" s="6" t="str">
        <x:v>SPLIT</x:v>
      </x:c>
      <x:c r="I355" s="6" t="str">
        <x:v>jeep: Oil change</x:v>
      </x:c>
      <x:c r="J355" s="6" t="str">
        <x:v>Primary</x:v>
      </x:c>
      <x:c r="K355" s="6" t="str">
        <x:v>Commercial service enquiry</x:v>
      </x:c>
      <x:c r="L355" s="6" t="str">
        <x:v>High</x:v>
      </x:c>
      <x:c r="M355" s="6" t="str">
        <x:v>https://digitecme.com/brands/jeep-service-dubai/oil-change</x:v>
      </x:c>
      <x:c r="N355" s="6" t="str">
        <x:v>Unknown — export has no query/page pairing</x:v>
      </x:c>
      <x:c r="O355" s="6" t="str">
        <x:v>Use dedicated service owner</x:v>
      </x:c>
      <x:c r="P355" s="6" t="str">
        <x:v>Average position 30.37 makes ranking the main issue; avoid a CTR-only rewrite.</x:v>
      </x:c>
      <x:c r="Q355" s="6" t="str">
        <x:v>jeep</x:v>
      </x:c>
      <x:c r="R355" s="6" t="str">
        <x:v>oil-change</x:v>
      </x:c>
      <x:c r="S355" s="6" t="str">
        <x:v>Dubai explicit</x:v>
      </x:c>
      <x:c r="T355" s="6" t="n">
        <x:v>3</x:v>
      </x:c>
      <x:c r="U355" s="6" t="str">
        <x:v>21–40</x:v>
      </x:c>
      <x:c r="V355" s="6" t="str">
        <x:v>Content, internal authority and owner alignment</x:v>
      </x:c>
      <x:c r="W355" s="6" t="str">
        <x:v>High-value commercial</x:v>
      </x:c>
      <x:c r="X355" s="6" t="n">
        <x:v>351</x:v>
      </x:c>
      <x:c r="Y355" s="6" t="str">
        <x:v>Unconfirmed — joint query/page data required</x:v>
      </x:c>
    </x:row>
    <x:row r="356" ht="42" customHeight="1">
      <x:c r="A356" s="6" t="str">
        <x:v>ppf protection dubai</x:v>
      </x:c>
      <x:c r="B356" s="14" t="n">
        <x:v>0</x:v>
      </x:c>
      <x:c r="C356" s="14" t="n">
        <x:v>41</x:v>
      </x:c>
      <x:c r="D356" s="15" t="n">
        <x:v>0</x:v>
      </x:c>
      <x:c r="E356" s="16" t="n">
        <x:v>33.8</x:v>
      </x:c>
      <x:c r="F356" s="6" t="str">
        <x:v>GROWTH</x:v>
      </x:c>
      <x:c r="G356" s="17" t="n">
        <x:f>'Scoring'!I356</x:f>
        <x:v>70.4</x:v>
      </x:c>
      <x:c r="H356" s="6" t="str">
        <x:v>SUPPORT</x:v>
      </x:c>
      <x:c r="I356" s="6" t="str">
        <x:v>All vehicles: Paint protection film</x:v>
      </x:c>
      <x:c r="J356" s="6" t="str">
        <x:v>Secondary</x:v>
      </x:c>
      <x:c r="K356" s="6" t="str">
        <x:v>Commercial service enquiry</x:v>
      </x:c>
      <x:c r="L356" s="6" t="str">
        <x:v>High</x:v>
      </x:c>
      <x:c r="M356" s="6" t="str">
        <x:v>https://digitecme.com/services/paint-protection-film</x:v>
      </x:c>
      <x:c r="N356" s="6" t="str">
        <x:v>Unknown — export has no query/page pairing</x:v>
      </x:c>
      <x:c r="O356" s="6" t="str">
        <x:v>Retain primary intent and support variants</x:v>
      </x:c>
      <x:c r="P356" s="6" t="str">
        <x:v>Film intent belongs to the PPF page; vehicle and district terms are secondary context. Average position 33.80 makes ranking the main issue; avoid a CTR-only rewrite.</x:v>
      </x:c>
      <x:c r="Q356" s="6" t="str">
        <x:v>All vehicles</x:v>
      </x:c>
      <x:c r="R356" s="6" t="str">
        <x:v>ppf</x:v>
      </x:c>
      <x:c r="S356" s="6" t="str">
        <x:v>Dubai explicit</x:v>
      </x:c>
      <x:c r="T356" s="6" t="n">
        <x:v>5</x:v>
      </x:c>
      <x:c r="U356" s="6" t="str">
        <x:v>21–40</x:v>
      </x:c>
      <x:c r="V356" s="6" t="str">
        <x:v>Content, internal authority and owner alignment</x:v>
      </x:c>
      <x:c r="W356" s="6" t="str">
        <x:v>Relevant supporting</x:v>
      </x:c>
      <x:c r="X356" s="6" t="n">
        <x:v>352</x:v>
      </x:c>
      <x:c r="Y356" s="6" t="str">
        <x:v>Unconfirmed — joint query/page data required</x:v>
      </x:c>
    </x:row>
    <x:row r="357" ht="42" customHeight="1">
      <x:c r="A357" s="6" t="str">
        <x:v>collision repair dubai</x:v>
      </x:c>
      <x:c r="B357" s="14" t="n">
        <x:v>0</x:v>
      </x:c>
      <x:c r="C357" s="14" t="n">
        <x:v>41</x:v>
      </x:c>
      <x:c r="D357" s="15" t="n">
        <x:v>0</x:v>
      </x:c>
      <x:c r="E357" s="16" t="n">
        <x:v>43.41</x:v>
      </x:c>
      <x:c r="F357" s="6" t="str">
        <x:v>GROWTH</x:v>
      </x:c>
      <x:c r="G357" s="17" t="n">
        <x:f>'Scoring'!I357</x:f>
        <x:v>56.2</x:v>
      </x:c>
      <x:c r="H357" s="6" t="str">
        <x:v>SUPPORT</x:v>
      </x:c>
      <x:c r="I357" s="6" t="str">
        <x:v>All vehicles: Body repair</x:v>
      </x:c>
      <x:c r="J357" s="6" t="str">
        <x:v>Secondary</x:v>
      </x:c>
      <x:c r="K357" s="6" t="str">
        <x:v>Commercial service enquiry</x:v>
      </x:c>
      <x:c r="L357" s="6" t="str">
        <x:v>High</x:v>
      </x:c>
      <x:c r="M357" s="6" t="str">
        <x:v>https://digitecme.com/services/car-body-repair-dubai</x:v>
      </x:c>
      <x:c r="N357" s="6" t="str">
        <x:v>Unknown — export has no query/page pairing</x:v>
      </x:c>
      <x:c r="O357" s="6" t="str">
        <x:v>Retain primary intent and support variants</x:v>
      </x:c>
      <x:c r="P357" s="6" t="str">
        <x:v>Average position 43.41 makes ranking the main issue; avoid a CTR-only rewrite.</x:v>
      </x:c>
      <x:c r="Q357" s="6" t="str">
        <x:v>All vehicles</x:v>
      </x:c>
      <x:c r="R357" s="6" t="str">
        <x:v>body-repair</x:v>
      </x:c>
      <x:c r="S357" s="6" t="str">
        <x:v>Dubai explicit</x:v>
      </x:c>
      <x:c r="T357" s="6" t="n">
        <x:v>3</x:v>
      </x:c>
      <x:c r="U357" s="6" t="str">
        <x:v>40+</x:v>
      </x:c>
      <x:c r="V357" s="6" t="str">
        <x:v>Relevance, capability, indexing and authority review</x:v>
      </x:c>
      <x:c r="W357" s="6" t="str">
        <x:v>Relevant supporting</x:v>
      </x:c>
      <x:c r="X357" s="6" t="n">
        <x:v>353</x:v>
      </x:c>
      <x:c r="Y357" s="6" t="str">
        <x:v>Unconfirmed — joint query/page data required</x:v>
      </x:c>
    </x:row>
    <x:row r="358" ht="42" customHeight="1">
      <x:c r="A358" s="6" t="str">
        <x:v>ferrari garage in dubai</x:v>
      </x:c>
      <x:c r="B358" s="14" t="n">
        <x:v>0</x:v>
      </x:c>
      <x:c r="C358" s="14" t="n">
        <x:v>41</x:v>
      </x:c>
      <x:c r="D358" s="15" t="n">
        <x:v>0</x:v>
      </x:c>
      <x:c r="E358" s="16" t="n">
        <x:v>43.59</x:v>
      </x:c>
      <x:c r="F358" s="6" t="str">
        <x:v>GROWTH</x:v>
      </x:c>
      <x:c r="G358" s="17" t="n">
        <x:f>'Scoring'!I358</x:f>
        <x:v>64.2</x:v>
      </x:c>
      <x:c r="H358" s="6" t="str">
        <x:v>SUPPORT</x:v>
      </x:c>
      <x:c r="I358" s="6" t="str">
        <x:v>ferrari: Service and repair</x:v>
      </x:c>
      <x:c r="J358" s="6" t="str">
        <x:v>Secondary</x:v>
      </x:c>
      <x:c r="K358" s="6" t="str">
        <x:v>Commercial service enquiry</x:v>
      </x:c>
      <x:c r="L358" s="6" t="str">
        <x:v>High</x:v>
      </x:c>
      <x:c r="M358" s="6" t="str">
        <x:v>https://digitecme.com/brands/ferrari-service-dubai</x:v>
      </x:c>
      <x:c r="N358" s="6" t="str">
        <x:v>Unknown — export has no query/page pairing</x:v>
      </x:c>
      <x:c r="O358" s="6" t="str">
        <x:v>Retain primary intent and support variants</x:v>
      </x:c>
      <x:c r="P358" s="6" t="str">
        <x:v>Average position 43.59 makes ranking the main issue; avoid a CTR-only rewrite.</x:v>
      </x:c>
      <x:c r="Q358" s="6" t="str">
        <x:v>ferrari</x:v>
      </x:c>
      <x:c r="R358" s="6" t="str">
        <x:v>service-repair</x:v>
      </x:c>
      <x:c r="S358" s="6" t="str">
        <x:v>Dubai explicit</x:v>
      </x:c>
      <x:c r="T358" s="6" t="n">
        <x:v>5</x:v>
      </x:c>
      <x:c r="U358" s="6" t="str">
        <x:v>40+</x:v>
      </x:c>
      <x:c r="V358" s="6" t="str">
        <x:v>Relevance, capability, indexing and authority review</x:v>
      </x:c>
      <x:c r="W358" s="6" t="str">
        <x:v>Relevant supporting</x:v>
      </x:c>
      <x:c r="X358" s="6" t="n">
        <x:v>354</x:v>
      </x:c>
      <x:c r="Y358" s="6" t="str">
        <x:v>Unconfirmed — joint query/page data required</x:v>
      </x:c>
    </x:row>
    <x:row r="359" ht="42" customHeight="1">
      <x:c r="A359" s="6" t="str">
        <x:v>ppf spectre</x:v>
      </x:c>
      <x:c r="B359" s="14" t="n">
        <x:v>0</x:v>
      </x:c>
      <x:c r="C359" s="14" t="n">
        <x:v>41</x:v>
      </x:c>
      <x:c r="D359" s="15" t="n">
        <x:v>0</x:v>
      </x:c>
      <x:c r="E359" s="16" t="n">
        <x:v>46.46</x:v>
      </x:c>
      <x:c r="F359" s="6" t="str">
        <x:v>GROWTH</x:v>
      </x:c>
      <x:c r="G359" s="17" t="n">
        <x:f>'Scoring'!I359</x:f>
        <x:v>59.2</x:v>
      </x:c>
      <x:c r="H359" s="6" t="str">
        <x:v>SUPPORT</x:v>
      </x:c>
      <x:c r="I359" s="6" t="str">
        <x:v>All vehicles: Paint protection film</x:v>
      </x:c>
      <x:c r="J359" s="6" t="str">
        <x:v>Secondary</x:v>
      </x:c>
      <x:c r="K359" s="6" t="str">
        <x:v>Commercial service enquiry</x:v>
      </x:c>
      <x:c r="L359" s="6" t="str">
        <x:v>High</x:v>
      </x:c>
      <x:c r="M359" s="6" t="str">
        <x:v>https://digitecme.com/services/paint-protection-film</x:v>
      </x:c>
      <x:c r="N359" s="6" t="str">
        <x:v>Unknown — export has no query/page pairing</x:v>
      </x:c>
      <x:c r="O359" s="6" t="str">
        <x:v>Retain primary intent and support variants</x:v>
      </x:c>
      <x:c r="P359" s="6" t="str">
        <x:v>Film intent belongs to the PPF page; vehicle and district terms are secondary context. Average position 46.46 makes ranking the main issue; avoid a CTR-only rewrite.</x:v>
      </x:c>
      <x:c r="Q359" s="6" t="str">
        <x:v>All vehicles</x:v>
      </x:c>
      <x:c r="R359" s="6" t="str">
        <x:v>ppf</x:v>
      </x:c>
      <x:c r="S359" s="6" t="str">
        <x:v>Location unspecified</x:v>
      </x:c>
      <x:c r="T359" s="6" t="n">
        <x:v>5</x:v>
      </x:c>
      <x:c r="U359" s="6" t="str">
        <x:v>40+</x:v>
      </x:c>
      <x:c r="V359" s="6" t="str">
        <x:v>Relevance, capability, indexing and authority review</x:v>
      </x:c>
      <x:c r="W359" s="6" t="str">
        <x:v>Relevant supporting</x:v>
      </x:c>
      <x:c r="X359" s="6" t="n">
        <x:v>355</x:v>
      </x:c>
      <x:c r="Y359" s="6" t="str">
        <x:v>Unconfirmed — joint query/page data required</x:v>
      </x:c>
    </x:row>
    <x:row r="360" ht="42" customHeight="1">
      <x:c r="A360" s="6" t="str">
        <x:v>bmw brake repair dubai</x:v>
      </x:c>
      <x:c r="B360" s="14" t="n">
        <x:v>0</x:v>
      </x:c>
      <x:c r="C360" s="14" t="n">
        <x:v>40</x:v>
      </x:c>
      <x:c r="D360" s="15" t="n">
        <x:v>0</x:v>
      </x:c>
      <x:c r="E360" s="16" t="n">
        <x:v>12.4</x:v>
      </x:c>
      <x:c r="F360" s="6" t="str">
        <x:v>CRITICAL</x:v>
      </x:c>
      <x:c r="G360" s="17" t="n">
        <x:f>'Scoring'!I360</x:f>
        <x:v>85.4</x:v>
      </x:c>
      <x:c r="H360" s="6" t="str">
        <x:v>SPLIT</x:v>
      </x:c>
      <x:c r="I360" s="6" t="str">
        <x:v>bmw: Brake repair</x:v>
      </x:c>
      <x:c r="J360" s="6" t="str">
        <x:v>Primary</x:v>
      </x:c>
      <x:c r="K360" s="6" t="str">
        <x:v>Commercial service enquiry</x:v>
      </x:c>
      <x:c r="L360" s="6" t="str">
        <x:v>High</x:v>
      </x:c>
      <x:c r="M360" s="6" t="str">
        <x:v>https://digitecme.com/brands/bmw-service-dubai/brake-repair</x:v>
      </x:c>
      <x:c r="N360" s="6" t="str">
        <x:v>Unknown — export has no query/page pairing</x:v>
      </x:c>
      <x:c r="O360" s="6" t="str">
        <x:v>Use dedicated service owner</x:v>
      </x:c>
      <x:c r="P360" s="6" t="str">
        <x:v>40 impressions at average position 12.40; strengthen the appropriate intent owner and measure with a fresh comparable period.</x:v>
      </x:c>
      <x:c r="Q360" s="6" t="str">
        <x:v>bmw</x:v>
      </x:c>
      <x:c r="R360" s="6" t="str">
        <x:v>brake-repair</x:v>
      </x:c>
      <x:c r="S360" s="6" t="str">
        <x:v>Dubai explicit</x:v>
      </x:c>
      <x:c r="T360" s="6" t="n">
        <x:v>5</x:v>
      </x:c>
      <x:c r="U360" s="6" t="str">
        <x:v>11–20</x:v>
      </x:c>
      <x:c r="V360" s="6" t="str">
        <x:v>Ranking and owner relevance</x:v>
      </x:c>
      <x:c r="W360" s="6" t="str">
        <x:v>High-value commercial</x:v>
      </x:c>
      <x:c r="X360" s="6" t="n">
        <x:v>356</x:v>
      </x:c>
      <x:c r="Y360" s="6" t="str">
        <x:v>Unconfirmed — joint query/page data required</x:v>
      </x:c>
    </x:row>
    <x:row r="361" ht="42" customHeight="1">
      <x:c r="A361" s="6" t="str">
        <x:v>bmw maintenance dubai</x:v>
      </x:c>
      <x:c r="B361" s="14" t="n">
        <x:v>0</x:v>
      </x:c>
      <x:c r="C361" s="14" t="n">
        <x:v>40</x:v>
      </x:c>
      <x:c r="D361" s="15" t="n">
        <x:v>0</x:v>
      </x:c>
      <x:c r="E361" s="16" t="n">
        <x:v>16.32</x:v>
      </x:c>
      <x:c r="F361" s="6" t="str">
        <x:v>HIGH</x:v>
      </x:c>
      <x:c r="G361" s="17" t="n">
        <x:f>'Scoring'!I361</x:f>
        <x:v>77.9</x:v>
      </x:c>
      <x:c r="H361" s="6" t="str">
        <x:v>SUPPORT</x:v>
      </x:c>
      <x:c r="I361" s="6" t="str">
        <x:v>bmw: Service and repair (English)</x:v>
      </x:c>
      <x:c r="J361" s="6" t="str">
        <x:v>Secondary</x:v>
      </x:c>
      <x:c r="K361" s="6" t="str">
        <x:v>Commercial service enquiry</x:v>
      </x:c>
      <x:c r="L361" s="6" t="str">
        <x:v>High</x:v>
      </x:c>
      <x:c r="M361" s="6" t="str">
        <x:v>https://digitecme.com/brands/bmw-service-dubai</x:v>
      </x:c>
      <x:c r="N361" s="6" t="str">
        <x:v>Unknown — export has no query/page pairing</x:v>
      </x:c>
      <x:c r="O361" s="6" t="str">
        <x:v>Retain primary intent and support variants</x:v>
      </x:c>
      <x:c r="P361" s="6" t="str">
        <x:v>40 impressions at average position 16.32; strengthen the appropriate intent owner and measure with a fresh comparable period.</x:v>
      </x:c>
      <x:c r="Q361" s="6" t="str">
        <x:v>bmw</x:v>
      </x:c>
      <x:c r="R361" s="6" t="str">
        <x:v>service-repair</x:v>
      </x:c>
      <x:c r="S361" s="6" t="str">
        <x:v>Dubai explicit</x:v>
      </x:c>
      <x:c r="T361" s="6" t="n">
        <x:v>5</x:v>
      </x:c>
      <x:c r="U361" s="6" t="str">
        <x:v>11–20</x:v>
      </x:c>
      <x:c r="V361" s="6" t="str">
        <x:v>Ranking and owner relevance</x:v>
      </x:c>
      <x:c r="W361" s="6" t="str">
        <x:v>Relevant supporting</x:v>
      </x:c>
      <x:c r="X361" s="6" t="n">
        <x:v>357</x:v>
      </x:c>
      <x:c r="Y361" s="6" t="str">
        <x:v>Unconfirmed — joint query/page data required</x:v>
      </x:c>
    </x:row>
    <x:row r="362" ht="42" customHeight="1">
      <x:c r="A362" s="6" t="str">
        <x:v>mercedes workshop</x:v>
      </x:c>
      <x:c r="B362" s="14" t="n">
        <x:v>0</x:v>
      </x:c>
      <x:c r="C362" s="14" t="n">
        <x:v>40</x:v>
      </x:c>
      <x:c r="D362" s="15" t="n">
        <x:v>0</x:v>
      </x:c>
      <x:c r="E362" s="16" t="n">
        <x:v>20.07</x:v>
      </x:c>
      <x:c r="F362" s="6" t="str">
        <x:v>HIGH</x:v>
      </x:c>
      <x:c r="G362" s="17" t="n">
        <x:f>'Scoring'!I362</x:f>
        <x:v>72.9</x:v>
      </x:c>
      <x:c r="H362" s="6" t="str">
        <x:v>SUPPORT</x:v>
      </x:c>
      <x:c r="I362" s="6" t="str">
        <x:v>mercedes-benz: Service and repair (English)</x:v>
      </x:c>
      <x:c r="J362" s="6" t="str">
        <x:v>Secondary</x:v>
      </x:c>
      <x:c r="K362" s="6" t="str">
        <x:v>Commercial service enquiry</x:v>
      </x:c>
      <x:c r="L362" s="6" t="str">
        <x:v>High</x:v>
      </x:c>
      <x:c r="M362" s="6" t="str">
        <x:v>https://digitecme.com/brands/mercedes-benz-service-dubai</x:v>
      </x:c>
      <x:c r="N362" s="6" t="str">
        <x:v>Unknown — export has no query/page pairing</x:v>
      </x:c>
      <x:c r="O362" s="6" t="str">
        <x:v>Retain primary intent and support variants</x:v>
      </x:c>
      <x:c r="P362" s="6" t="str">
        <x:v>Average position 20.07 makes ranking the main issue; avoid a CTR-only rewrite.</x:v>
      </x:c>
      <x:c r="Q362" s="6" t="str">
        <x:v>mercedes-benz</x:v>
      </x:c>
      <x:c r="R362" s="6" t="str">
        <x:v>service-repair</x:v>
      </x:c>
      <x:c r="S362" s="6" t="str">
        <x:v>Location unspecified</x:v>
      </x:c>
      <x:c r="T362" s="6" t="n">
        <x:v>5</x:v>
      </x:c>
      <x:c r="U362" s="6" t="str">
        <x:v>21–40</x:v>
      </x:c>
      <x:c r="V362" s="6" t="str">
        <x:v>Content, internal authority and owner alignment</x:v>
      </x:c>
      <x:c r="W362" s="6" t="str">
        <x:v>Relevant supporting</x:v>
      </x:c>
      <x:c r="X362" s="6" t="n">
        <x:v>358</x:v>
      </x:c>
      <x:c r="Y362" s="6" t="str">
        <x:v>Unconfirmed — joint query/page data required</x:v>
      </x:c>
    </x:row>
    <x:row r="363" ht="42" customHeight="1">
      <x:c r="A363" s="6" t="str">
        <x:v>nissan workshop dubai</x:v>
      </x:c>
      <x:c r="B363" s="14" t="n">
        <x:v>0</x:v>
      </x:c>
      <x:c r="C363" s="14" t="n">
        <x:v>40</x:v>
      </x:c>
      <x:c r="D363" s="15" t="n">
        <x:v>0</x:v>
      </x:c>
      <x:c r="E363" s="16" t="n">
        <x:v>26.62</x:v>
      </x:c>
      <x:c r="F363" s="6" t="str">
        <x:v>HIGH</x:v>
      </x:c>
      <x:c r="G363" s="17" t="n">
        <x:f>'Scoring'!I363</x:f>
        <x:v>69.9</x:v>
      </x:c>
      <x:c r="H363" s="6" t="str">
        <x:v>SUPPORT</x:v>
      </x:c>
      <x:c r="I363" s="6" t="str">
        <x:v>nissan: Service and repair</x:v>
      </x:c>
      <x:c r="J363" s="6" t="str">
        <x:v>Secondary</x:v>
      </x:c>
      <x:c r="K363" s="6" t="str">
        <x:v>Commercial service enquiry</x:v>
      </x:c>
      <x:c r="L363" s="6" t="str">
        <x:v>High</x:v>
      </x:c>
      <x:c r="M363" s="6" t="str">
        <x:v>https://digitecme.com/brands/nissan-service-dubai</x:v>
      </x:c>
      <x:c r="N363" s="6" t="str">
        <x:v>Unknown — export has no query/page pairing</x:v>
      </x:c>
      <x:c r="O363" s="6" t="str">
        <x:v>Retain primary intent and support variants</x:v>
      </x:c>
      <x:c r="P363" s="6" t="str">
        <x:v>Average position 26.62 makes ranking the main issue; avoid a CTR-only rewrite.</x:v>
      </x:c>
      <x:c r="Q363" s="6" t="str">
        <x:v>nissan</x:v>
      </x:c>
      <x:c r="R363" s="6" t="str">
        <x:v>service-repair</x:v>
      </x:c>
      <x:c r="S363" s="6" t="str">
        <x:v>Dubai explicit</x:v>
      </x:c>
      <x:c r="T363" s="6" t="n">
        <x:v>3</x:v>
      </x:c>
      <x:c r="U363" s="6" t="str">
        <x:v>21–40</x:v>
      </x:c>
      <x:c r="V363" s="6" t="str">
        <x:v>Content, internal authority and owner alignment</x:v>
      </x:c>
      <x:c r="W363" s="6" t="str">
        <x:v>Relevant supporting</x:v>
      </x:c>
      <x:c r="X363" s="6" t="n">
        <x:v>359</x:v>
      </x:c>
      <x:c r="Y363" s="6" t="str">
        <x:v>Unconfirmed — joint query/page data required</x:v>
      </x:c>
    </x:row>
    <x:row r="364" ht="42" customHeight="1">
      <x:c r="A364" s="6" t="str">
        <x:v>audi suspension repair dubai</x:v>
      </x:c>
      <x:c r="B364" s="14" t="n">
        <x:v>0</x:v>
      </x:c>
      <x:c r="C364" s="14" t="n">
        <x:v>40</x:v>
      </x:c>
      <x:c r="D364" s="15" t="n">
        <x:v>0</x:v>
      </x:c>
      <x:c r="E364" s="16" t="n">
        <x:v>34.55</x:v>
      </x:c>
      <x:c r="F364" s="6" t="str">
        <x:v>GROWTH</x:v>
      </x:c>
      <x:c r="G364" s="17" t="n">
        <x:f>'Scoring'!I364</x:f>
        <x:v>70.4</x:v>
      </x:c>
      <x:c r="H364" s="6" t="str">
        <x:v>SPLIT</x:v>
      </x:c>
      <x:c r="I364" s="6" t="str">
        <x:v>audi: Suspension repair</x:v>
      </x:c>
      <x:c r="J364" s="6" t="str">
        <x:v>Primary</x:v>
      </x:c>
      <x:c r="K364" s="6" t="str">
        <x:v>Commercial service enquiry</x:v>
      </x:c>
      <x:c r="L364" s="6" t="str">
        <x:v>High</x:v>
      </x:c>
      <x:c r="M364" s="6" t="str">
        <x:v>https://digitecme.com/brands/audi-service-dubai/suspension-repair</x:v>
      </x:c>
      <x:c r="N364" s="6" t="str">
        <x:v>Unknown — export has no query/page pairing</x:v>
      </x:c>
      <x:c r="O364" s="6" t="str">
        <x:v>Use dedicated service owner</x:v>
      </x:c>
      <x:c r="P364" s="6" t="str">
        <x:v>Average position 34.55 makes ranking the main issue; avoid a CTR-only rewrite.</x:v>
      </x:c>
      <x:c r="Q364" s="6" t="str">
        <x:v>audi</x:v>
      </x:c>
      <x:c r="R364" s="6" t="str">
        <x:v>suspension-repair</x:v>
      </x:c>
      <x:c r="S364" s="6" t="str">
        <x:v>Dubai explicit</x:v>
      </x:c>
      <x:c r="T364" s="6" t="n">
        <x:v>5</x:v>
      </x:c>
      <x:c r="U364" s="6" t="str">
        <x:v>21–40</x:v>
      </x:c>
      <x:c r="V364" s="6" t="str">
        <x:v>Content, internal authority and owner alignment</x:v>
      </x:c>
      <x:c r="W364" s="6" t="str">
        <x:v>High-value commercial</x:v>
      </x:c>
      <x:c r="X364" s="6" t="n">
        <x:v>360</x:v>
      </x:c>
      <x:c r="Y364" s="6" t="str">
        <x:v>Unconfirmed — joint query/page data required</x:v>
      </x:c>
    </x:row>
    <x:row r="365" ht="57" customHeight="1">
      <x:c r="A365" s="6" t="str">
        <x:v>automotive paint protection</x:v>
      </x:c>
      <x:c r="B365" s="14" t="n">
        <x:v>0</x:v>
      </x:c>
      <x:c r="C365" s="14" t="n">
        <x:v>40</x:v>
      </x:c>
      <x:c r="D365" s="15" t="n">
        <x:v>0</x:v>
      </x:c>
      <x:c r="E365" s="16" t="n">
        <x:v>34.85</x:v>
      </x:c>
      <x:c r="F365" s="6" t="str">
        <x:v>GROWTH</x:v>
      </x:c>
      <x:c r="G365" s="17" t="n">
        <x:f>'Scoring'!I365</x:f>
        <x:v>65.4</x:v>
      </x:c>
      <x:c r="H365" s="6" t="str">
        <x:v>SUPPORT</x:v>
      </x:c>
      <x:c r="I365" s="6" t="str">
        <x:v>All vehicles: Paint care and protection comparison</x:v>
      </x:c>
      <x:c r="J365" s="6" t="str">
        <x:v>Secondary</x:v>
      </x:c>
      <x:c r="K365" s="6" t="str">
        <x:v>Commercial service enquiry</x:v>
      </x:c>
      <x:c r="L365" s="6" t="str">
        <x:v>High</x:v>
      </x:c>
      <x:c r="M365" s="6" t="str">
        <x:v>https://digitecme.com/services/paint-protection-dubai</x:v>
      </x:c>
      <x:c r="N365" s="6" t="str">
        <x:v>Unknown — export has no query/page pairing</x:v>
      </x:c>
      <x:c r="O365" s="6" t="str">
        <x:v>Retain primary intent and support variants</x:v>
      </x:c>
      <x:c r="P365" s="6" t="str">
        <x:v>Broad protection intent is mixed; the comparison hub should direct film and coating enquiries to their specialist pages. Average position 34.85 makes ranking the main issue; avoid a CTR-only rewrite.</x:v>
      </x:c>
      <x:c r="Q365" s="6" t="str">
        <x:v>All vehicles</x:v>
      </x:c>
      <x:c r="R365" s="6" t="str">
        <x:v>paint-care</x:v>
      </x:c>
      <x:c r="S365" s="6" t="str">
        <x:v>Location unspecified</x:v>
      </x:c>
      <x:c r="T365" s="6" t="n">
        <x:v>5</x:v>
      </x:c>
      <x:c r="U365" s="6" t="str">
        <x:v>21–40</x:v>
      </x:c>
      <x:c r="V365" s="6" t="str">
        <x:v>Content, internal authority and owner alignment</x:v>
      </x:c>
      <x:c r="W365" s="6" t="str">
        <x:v>Relevant supporting</x:v>
      </x:c>
      <x:c r="X365" s="6" t="n">
        <x:v>361</x:v>
      </x:c>
      <x:c r="Y365" s="6" t="str">
        <x:v>Unconfirmed — joint query/page data required</x:v>
      </x:c>
    </x:row>
    <x:row r="366" ht="42" customHeight="1">
      <x:c r="A366" s="6" t="str">
        <x:v>تصليح تعليق السيارة في دبي</x:v>
      </x:c>
      <x:c r="B366" s="14" t="n">
        <x:v>0</x:v>
      </x:c>
      <x:c r="C366" s="14" t="n">
        <x:v>40</x:v>
      </x:c>
      <x:c r="D366" s="15" t="n">
        <x:v>0</x:v>
      </x:c>
      <x:c r="E366" s="16" t="n">
        <x:v>41.08</x:v>
      </x:c>
      <x:c r="F366" s="6" t="str">
        <x:v>GROWTH</x:v>
      </x:c>
      <x:c r="G366" s="17" t="n">
        <x:f>'Scoring'!I366</x:f>
        <x:v>56.1</x:v>
      </x:c>
      <x:c r="H366" s="6" t="str">
        <x:v>PRIORITIZE</x:v>
      </x:c>
      <x:c r="I366" s="6" t="str">
        <x:v>All vehicles: Suspension repair (Arabic)</x:v>
      </x:c>
      <x:c r="J366" s="6" t="str">
        <x:v>Primary</x:v>
      </x:c>
      <x:c r="K366" s="6" t="str">
        <x:v>Commercial service enquiry</x:v>
      </x:c>
      <x:c r="L366" s="6" t="str">
        <x:v>High</x:v>
      </x:c>
      <x:c r="M366" s="6" t="str">
        <x:v>https://digitecme.com/ar/services/suspension-repair-dubai</x:v>
      </x:c>
      <x:c r="N366" s="6" t="str">
        <x:v>Unknown — export has no query/page pairing</x:v>
      </x:c>
      <x:c r="O366" s="6" t="str">
        <x:v>Strengthen this primary intent owner</x:v>
      </x:c>
      <x:c r="P366" s="6" t="str">
        <x:v>Use the existing Arabic counterpart and verify its translation quality. Average position 41.08 makes ranking the main issue; avoid a CTR-only rewrite.</x:v>
      </x:c>
      <x:c r="Q366" s="6" t="str">
        <x:v>All vehicles</x:v>
      </x:c>
      <x:c r="R366" s="6" t="str">
        <x:v>suspension-repair</x:v>
      </x:c>
      <x:c r="S366" s="6" t="str">
        <x:v>Dubai explicit</x:v>
      </x:c>
      <x:c r="T366" s="6" t="n">
        <x:v>3</x:v>
      </x:c>
      <x:c r="U366" s="6" t="str">
        <x:v>40+</x:v>
      </x:c>
      <x:c r="V366" s="6" t="str">
        <x:v>Relevance, capability, indexing and authority review</x:v>
      </x:c>
      <x:c r="W366" s="6" t="str">
        <x:v>High-value commercial</x:v>
      </x:c>
      <x:c r="X366" s="6" t="n">
        <x:v>362</x:v>
      </x:c>
      <x:c r="Y366" s="6" t="str">
        <x:v>Unconfirmed — joint query/page data required</x:v>
      </x:c>
    </x:row>
    <x:row r="367" ht="57" customHeight="1">
      <x:c r="A367" s="6" t="str">
        <x:v>digi</x:v>
      </x:c>
      <x:c r="B367" s="14" t="n">
        <x:v>0</x:v>
      </x:c>
      <x:c r="C367" s="14" t="n">
        <x:v>39</x:v>
      </x:c>
      <x:c r="D367" s="15" t="n">
        <x:v>0</x:v>
      </x:c>
      <x:c r="E367" s="16" t="n">
        <x:v>6.03</x:v>
      </x:c>
      <x:c r="F367" s="6" t="str">
        <x:v>IGNORE</x:v>
      </x:c>
      <x:c r="G367" s="17" t="n">
        <x:f>'Scoring'!I367</x:f>
        <x:v>0</x:v>
      </x:c>
      <x:c r="H367" s="6" t="str">
        <x:v>IGNORE</x:v>
      </x:c>
      <x:c r="I367" s="6" t="str">
        <x:v>Excluded: Unrelated or wrong location</x:v>
      </x:c>
      <x:c r="J367" s="6" t="str">
        <x:v>Secondary</x:v>
      </x:c>
      <x:c r="K367" s="6" t="str">
        <x:v>Other or mismatched intent</x:v>
      </x:c>
      <x:c r="L367" s="6" t="str">
        <x:v>None</x:v>
      </x:c>
      <x:c r="M367" s="6" t="str"/>
      <x:c r="N367" s="6" t="str">
        <x:v>Unknown — export has no query/page pairing</x:v>
      </x:c>
      <x:c r="O367" s="6" t="str">
        <x:v>Do not target</x:v>
      </x:c>
      <x:c r="P367" s="6" t="str">
        <x:v>Dealer, product, industrial, unrelated entity or non-service intent does not match the independent workshop offer. Zero clicks from 39 impressions at average position 6.03; inspect query/page, country/device and SERP before attributing this to the snippet.</x:v>
      </x:c>
      <x:c r="Q367" s="6" t="str">
        <x:v>All vehicles</x:v>
      </x:c>
      <x:c r="R367" s="6" t="str">
        <x:v>service-repair</x:v>
      </x:c>
      <x:c r="S367" s="6" t="str">
        <x:v>Location unspecified</x:v>
      </x:c>
      <x:c r="T367" s="6" t="n">
        <x:v>0</x:v>
      </x:c>
      <x:c r="U367" s="6" t="str">
        <x:v>4–10</x:v>
      </x:c>
      <x:c r="V367" s="6" t="str">
        <x:v>Page-one CTR review and top-three relevance</x:v>
      </x:c>
      <x:c r="W367" s="6" t="str">
        <x:v>Irrelevant</x:v>
      </x:c>
      <x:c r="X367" s="6" t="n">
        <x:v>363</x:v>
      </x:c>
      <x:c r="Y367" s="6" t="str">
        <x:v>Unconfirmed — joint query/page data required</x:v>
      </x:c>
    </x:row>
    <x:row r="368" ht="42" customHeight="1">
      <x:c r="A368" s="6" t="str">
        <x:v>mercedes benz garage dubai</x:v>
      </x:c>
      <x:c r="B368" s="14" t="n">
        <x:v>0</x:v>
      </x:c>
      <x:c r="C368" s="14" t="n">
        <x:v>39</x:v>
      </x:c>
      <x:c r="D368" s="15" t="n">
        <x:v>0</x:v>
      </x:c>
      <x:c r="E368" s="16" t="n">
        <x:v>9.74</x:v>
      </x:c>
      <x:c r="F368" s="6" t="str">
        <x:v>CRITICAL</x:v>
      </x:c>
      <x:c r="G368" s="17" t="n">
        <x:f>'Scoring'!I368</x:f>
        <x:v>95.3</x:v>
      </x:c>
      <x:c r="H368" s="6" t="str">
        <x:v>SUPPORT</x:v>
      </x:c>
      <x:c r="I368" s="6" t="str">
        <x:v>mercedes-benz: Service and repair (English)</x:v>
      </x:c>
      <x:c r="J368" s="6" t="str">
        <x:v>Secondary</x:v>
      </x:c>
      <x:c r="K368" s="6" t="str">
        <x:v>Commercial service enquiry</x:v>
      </x:c>
      <x:c r="L368" s="6" t="str">
        <x:v>High</x:v>
      </x:c>
      <x:c r="M368" s="6" t="str">
        <x:v>https://digitecme.com/brands/mercedes-benz-service-dubai</x:v>
      </x:c>
      <x:c r="N368" s="6" t="str">
        <x:v>Unknown — export has no query/page pairing</x:v>
      </x:c>
      <x:c r="O368" s="6" t="str">
        <x:v>Retain primary intent and support variants</x:v>
      </x:c>
      <x:c r="P368" s="6" t="str">
        <x:v>Zero clicks from 39 impressions at average position 9.74; inspect query/page, country/device and SERP before attributing this to the snippet.</x:v>
      </x:c>
      <x:c r="Q368" s="6" t="str">
        <x:v>mercedes-benz</x:v>
      </x:c>
      <x:c r="R368" s="6" t="str">
        <x:v>service-repair</x:v>
      </x:c>
      <x:c r="S368" s="6" t="str">
        <x:v>Dubai explicit</x:v>
      </x:c>
      <x:c r="T368" s="6" t="n">
        <x:v>5</x:v>
      </x:c>
      <x:c r="U368" s="6" t="str">
        <x:v>4–10</x:v>
      </x:c>
      <x:c r="V368" s="6" t="str">
        <x:v>Page-one CTR review and top-three relevance</x:v>
      </x:c>
      <x:c r="W368" s="6" t="str">
        <x:v>Relevant supporting</x:v>
      </x:c>
      <x:c r="X368" s="6" t="n">
        <x:v>364</x:v>
      </x:c>
      <x:c r="Y368" s="6" t="str">
        <x:v>Unconfirmed — joint query/page data required</x:v>
      </x:c>
    </x:row>
    <x:row r="369" ht="42" customHeight="1">
      <x:c r="A369" s="6" t="str">
        <x:v>exhaust shop near me</x:v>
      </x:c>
      <x:c r="B369" s="14" t="n">
        <x:v>0</x:v>
      </x:c>
      <x:c r="C369" s="14" t="n">
        <x:v>39</x:v>
      </x:c>
      <x:c r="D369" s="15" t="n">
        <x:v>0</x:v>
      </x:c>
      <x:c r="E369" s="16" t="n">
        <x:v>10.51</x:v>
      </x:c>
      <x:c r="F369" s="6" t="str">
        <x:v>CRITICAL</x:v>
      </x:c>
      <x:c r="G369" s="17" t="n">
        <x:f>'Scoring'!I369</x:f>
        <x:v>77.3</x:v>
      </x:c>
      <x:c r="H369" s="6" t="str">
        <x:v>SUPPORT</x:v>
      </x:c>
      <x:c r="I369" s="6" t="str">
        <x:v>All vehicles: Exhaust repair</x:v>
      </x:c>
      <x:c r="J369" s="6" t="str">
        <x:v>Secondary</x:v>
      </x:c>
      <x:c r="K369" s="6" t="str">
        <x:v>Commercial service enquiry</x:v>
      </x:c>
      <x:c r="L369" s="6" t="str">
        <x:v>High</x:v>
      </x:c>
      <x:c r="M369" s="6" t="str">
        <x:v>https://digitecme.com/services/exhaust-repair-dubai</x:v>
      </x:c>
      <x:c r="N369" s="6" t="str">
        <x:v>Unknown — export has no query/page pairing</x:v>
      </x:c>
      <x:c r="O369" s="6" t="str">
        <x:v>Retain primary intent and support variants</x:v>
      </x:c>
      <x:c r="P369" s="6" t="str">
        <x:v>39 impressions at average position 10.51; strengthen the appropriate intent owner and measure with a fresh comparable period.</x:v>
      </x:c>
      <x:c r="Q369" s="6" t="str">
        <x:v>All vehicles</x:v>
      </x:c>
      <x:c r="R369" s="6" t="str">
        <x:v>exhaust-repair</x:v>
      </x:c>
      <x:c r="S369" s="6" t="str">
        <x:v>Near me; location unknown</x:v>
      </x:c>
      <x:c r="T369" s="6" t="n">
        <x:v>3</x:v>
      </x:c>
      <x:c r="U369" s="6" t="str">
        <x:v>11–20</x:v>
      </x:c>
      <x:c r="V369" s="6" t="str">
        <x:v>Ranking and owner relevance</x:v>
      </x:c>
      <x:c r="W369" s="6" t="str">
        <x:v>Relevant supporting</x:v>
      </x:c>
      <x:c r="X369" s="6" t="n">
        <x:v>365</x:v>
      </x:c>
      <x:c r="Y369" s="6" t="str">
        <x:v>Unconfirmed — joint query/page data required</x:v>
      </x:c>
    </x:row>
    <x:row r="370" ht="42" customHeight="1">
      <x:c r="A370" s="6" t="str">
        <x:v>porsche battery replacement dubai</x:v>
      </x:c>
      <x:c r="B370" s="14" t="n">
        <x:v>0</x:v>
      </x:c>
      <x:c r="C370" s="14" t="n">
        <x:v>39</x:v>
      </x:c>
      <x:c r="D370" s="15" t="n">
        <x:v>0</x:v>
      </x:c>
      <x:c r="E370" s="16" t="n">
        <x:v>20.97</x:v>
      </x:c>
      <x:c r="F370" s="6" t="str">
        <x:v>HIGH</x:v>
      </x:c>
      <x:c r="G370" s="17" t="n">
        <x:f>'Scoring'!I370</x:f>
        <x:v>77.8</x:v>
      </x:c>
      <x:c r="H370" s="6" t="str">
        <x:v>SPLIT</x:v>
      </x:c>
      <x:c r="I370" s="6" t="str">
        <x:v>porsche: Battery service</x:v>
      </x:c>
      <x:c r="J370" s="6" t="str">
        <x:v>Primary</x:v>
      </x:c>
      <x:c r="K370" s="6" t="str">
        <x:v>Commercial service enquiry</x:v>
      </x:c>
      <x:c r="L370" s="6" t="str">
        <x:v>High</x:v>
      </x:c>
      <x:c r="M370" s="6" t="str">
        <x:v>https://digitecme.com/brands/porsche-service-dubai/battery-replacement</x:v>
      </x:c>
      <x:c r="N370" s="6" t="str">
        <x:v>Unknown — export has no query/page pairing</x:v>
      </x:c>
      <x:c r="O370" s="6" t="str">
        <x:v>Use dedicated service owner</x:v>
      </x:c>
      <x:c r="P370" s="6" t="str">
        <x:v>Average position 20.97 makes ranking the main issue; avoid a CTR-only rewrite.</x:v>
      </x:c>
      <x:c r="Q370" s="6" t="str">
        <x:v>porsche</x:v>
      </x:c>
      <x:c r="R370" s="6" t="str">
        <x:v>battery-replacement</x:v>
      </x:c>
      <x:c r="S370" s="6" t="str">
        <x:v>Dubai explicit</x:v>
      </x:c>
      <x:c r="T370" s="6" t="n">
        <x:v>5</x:v>
      </x:c>
      <x:c r="U370" s="6" t="str">
        <x:v>21–40</x:v>
      </x:c>
      <x:c r="V370" s="6" t="str">
        <x:v>Content, internal authority and owner alignment</x:v>
      </x:c>
      <x:c r="W370" s="6" t="str">
        <x:v>High-value commercial</x:v>
      </x:c>
      <x:c r="X370" s="6" t="n">
        <x:v>366</x:v>
      </x:c>
      <x:c r="Y370" s="6" t="str">
        <x:v>Unconfirmed — joint query/page data required</x:v>
      </x:c>
    </x:row>
    <x:row r="371" ht="42" customHeight="1">
      <x:c r="A371" s="6" t="str">
        <x:v>bmw servicing</x:v>
      </x:c>
      <x:c r="B371" s="14" t="n">
        <x:v>0</x:v>
      </x:c>
      <x:c r="C371" s="14" t="n">
        <x:v>39</x:v>
      </x:c>
      <x:c r="D371" s="15" t="n">
        <x:v>0</x:v>
      </x:c>
      <x:c r="E371" s="16" t="n">
        <x:v>27.85</x:v>
      </x:c>
      <x:c r="F371" s="6" t="str">
        <x:v>HIGH</x:v>
      </x:c>
      <x:c r="G371" s="17" t="n">
        <x:f>'Scoring'!I371</x:f>
        <x:v>72.8</x:v>
      </x:c>
      <x:c r="H371" s="6" t="str">
        <x:v>SUPPORT</x:v>
      </x:c>
      <x:c r="I371" s="6" t="str">
        <x:v>bmw: Service and repair (English)</x:v>
      </x:c>
      <x:c r="J371" s="6" t="str">
        <x:v>Secondary</x:v>
      </x:c>
      <x:c r="K371" s="6" t="str">
        <x:v>Commercial service enquiry</x:v>
      </x:c>
      <x:c r="L371" s="6" t="str">
        <x:v>High</x:v>
      </x:c>
      <x:c r="M371" s="6" t="str">
        <x:v>https://digitecme.com/brands/bmw-service-dubai</x:v>
      </x:c>
      <x:c r="N371" s="6" t="str">
        <x:v>Unknown — export has no query/page pairing</x:v>
      </x:c>
      <x:c r="O371" s="6" t="str">
        <x:v>Retain primary intent and support variants</x:v>
      </x:c>
      <x:c r="P371" s="6" t="str">
        <x:v>Average position 27.85 makes ranking the main issue; avoid a CTR-only rewrite.</x:v>
      </x:c>
      <x:c r="Q371" s="6" t="str">
        <x:v>bmw</x:v>
      </x:c>
      <x:c r="R371" s="6" t="str">
        <x:v>service-repair</x:v>
      </x:c>
      <x:c r="S371" s="6" t="str">
        <x:v>Location unspecified</x:v>
      </x:c>
      <x:c r="T371" s="6" t="n">
        <x:v>5</x:v>
      </x:c>
      <x:c r="U371" s="6" t="str">
        <x:v>21–40</x:v>
      </x:c>
      <x:c r="V371" s="6" t="str">
        <x:v>Content, internal authority and owner alignment</x:v>
      </x:c>
      <x:c r="W371" s="6" t="str">
        <x:v>Relevant supporting</x:v>
      </x:c>
      <x:c r="X371" s="6" t="n">
        <x:v>367</x:v>
      </x:c>
      <x:c r="Y371" s="6" t="str">
        <x:v>Unconfirmed — joint query/page data required</x:v>
      </x:c>
    </x:row>
    <x:row r="372" ht="42" customHeight="1">
      <x:c r="A372" s="6" t="str">
        <x:v>hummer repair dubai</x:v>
      </x:c>
      <x:c r="B372" s="14" t="n">
        <x:v>0</x:v>
      </x:c>
      <x:c r="C372" s="14" t="n">
        <x:v>39</x:v>
      </x:c>
      <x:c r="D372" s="15" t="n">
        <x:v>0</x:v>
      </x:c>
      <x:c r="E372" s="16" t="n">
        <x:v>29.49</x:v>
      </x:c>
      <x:c r="F372" s="6" t="str">
        <x:v>HIGH</x:v>
      </x:c>
      <x:c r="G372" s="17" t="n">
        <x:f>'Scoring'!I372</x:f>
        <x:v>69.8</x:v>
      </x:c>
      <x:c r="H372" s="6" t="str">
        <x:v>PRIORITIZE</x:v>
      </x:c>
      <x:c r="I372" s="6" t="str">
        <x:v>hummer: Service and repair</x:v>
      </x:c>
      <x:c r="J372" s="6" t="str">
        <x:v>Primary</x:v>
      </x:c>
      <x:c r="K372" s="6" t="str">
        <x:v>Commercial service enquiry</x:v>
      </x:c>
      <x:c r="L372" s="6" t="str">
        <x:v>High</x:v>
      </x:c>
      <x:c r="M372" s="6" t="str">
        <x:v>https://digitecme.com/brands/hummer-service-dubai</x:v>
      </x:c>
      <x:c r="N372" s="6" t="str">
        <x:v>Unknown — export has no query/page pairing</x:v>
      </x:c>
      <x:c r="O372" s="6" t="str">
        <x:v>Strengthen this primary intent owner</x:v>
      </x:c>
      <x:c r="P372" s="6" t="str">
        <x:v>Average position 29.49 makes ranking the main issue; avoid a CTR-only rewrite.</x:v>
      </x:c>
      <x:c r="Q372" s="6" t="str">
        <x:v>hummer</x:v>
      </x:c>
      <x:c r="R372" s="6" t="str">
        <x:v>service-repair</x:v>
      </x:c>
      <x:c r="S372" s="6" t="str">
        <x:v>Dubai explicit</x:v>
      </x:c>
      <x:c r="T372" s="6" t="n">
        <x:v>3</x:v>
      </x:c>
      <x:c r="U372" s="6" t="str">
        <x:v>21–40</x:v>
      </x:c>
      <x:c r="V372" s="6" t="str">
        <x:v>Content, internal authority and owner alignment</x:v>
      </x:c>
      <x:c r="W372" s="6" t="str">
        <x:v>High-value commercial</x:v>
      </x:c>
      <x:c r="X372" s="6" t="n">
        <x:v>368</x:v>
      </x:c>
      <x:c r="Y372" s="6" t="str">
        <x:v>Unconfirmed — joint query/page data required</x:v>
      </x:c>
    </x:row>
    <x:row r="373" ht="42" customHeight="1">
      <x:c r="A373" s="6" t="str">
        <x:v>gear box repair services in dubai</x:v>
      </x:c>
      <x:c r="B373" s="14" t="n">
        <x:v>0</x:v>
      </x:c>
      <x:c r="C373" s="14" t="n">
        <x:v>39</x:v>
      </x:c>
      <x:c r="D373" s="15" t="n">
        <x:v>0</x:v>
      </x:c>
      <x:c r="E373" s="16" t="n">
        <x:v>32.92</x:v>
      </x:c>
      <x:c r="F373" s="6" t="str">
        <x:v>GROWTH</x:v>
      </x:c>
      <x:c r="G373" s="17" t="n">
        <x:f>'Scoring'!I373</x:f>
        <x:v>62.3</x:v>
      </x:c>
      <x:c r="H373" s="6" t="str">
        <x:v>SUPPORT</x:v>
      </x:c>
      <x:c r="I373" s="6" t="str">
        <x:v>All vehicles: Transmission and gearbox repair</x:v>
      </x:c>
      <x:c r="J373" s="6" t="str">
        <x:v>Secondary</x:v>
      </x:c>
      <x:c r="K373" s="6" t="str">
        <x:v>Commercial service enquiry</x:v>
      </x:c>
      <x:c r="L373" s="6" t="str">
        <x:v>High</x:v>
      </x:c>
      <x:c r="M373" s="6" t="str">
        <x:v>https://digitecme.com/services/car-service-dubai</x:v>
      </x:c>
      <x:c r="N373" s="6" t="str">
        <x:v>Unknown — export has no query/page pairing</x:v>
      </x:c>
      <x:c r="O373" s="6" t="str">
        <x:v>Retain primary intent and support variants</x:v>
      </x:c>
      <x:c r="P373" s="6" t="str">
        <x:v>Average position 32.92 makes ranking the main issue; avoid a CTR-only rewrite.</x:v>
      </x:c>
      <x:c r="Q373" s="6" t="str">
        <x:v>All vehicles</x:v>
      </x:c>
      <x:c r="R373" s="6" t="str">
        <x:v>transmission-repair</x:v>
      </x:c>
      <x:c r="S373" s="6" t="str">
        <x:v>Dubai explicit</x:v>
      </x:c>
      <x:c r="T373" s="6" t="n">
        <x:v>3</x:v>
      </x:c>
      <x:c r="U373" s="6" t="str">
        <x:v>21–40</x:v>
      </x:c>
      <x:c r="V373" s="6" t="str">
        <x:v>Content, internal authority and owner alignment</x:v>
      </x:c>
      <x:c r="W373" s="6" t="str">
        <x:v>Relevant supporting</x:v>
      </x:c>
      <x:c r="X373" s="6" t="n">
        <x:v>369</x:v>
      </x:c>
      <x:c r="Y373" s="6" t="str">
        <x:v>Unconfirmed — joint query/page data required</x:v>
      </x:c>
    </x:row>
    <x:row r="374" ht="42" customHeight="1">
      <x:c r="A374" s="6" t="str">
        <x:v>car engine oil change dubai</x:v>
      </x:c>
      <x:c r="B374" s="14" t="n">
        <x:v>0</x:v>
      </x:c>
      <x:c r="C374" s="14" t="n">
        <x:v>39</x:v>
      </x:c>
      <x:c r="D374" s="15" t="n">
        <x:v>0</x:v>
      </x:c>
      <x:c r="E374" s="16" t="n">
        <x:v>38.03</x:v>
      </x:c>
      <x:c r="F374" s="6" t="str">
        <x:v>GROWTH</x:v>
      </x:c>
      <x:c r="G374" s="17" t="n">
        <x:f>'Scoring'!I374</x:f>
        <x:v>62.3</x:v>
      </x:c>
      <x:c r="H374" s="6" t="str">
        <x:v>SUPPORT</x:v>
      </x:c>
      <x:c r="I374" s="6" t="str">
        <x:v>All vehicles: Oil change (English)</x:v>
      </x:c>
      <x:c r="J374" s="6" t="str">
        <x:v>Secondary</x:v>
      </x:c>
      <x:c r="K374" s="6" t="str">
        <x:v>Commercial service enquiry</x:v>
      </x:c>
      <x:c r="L374" s="6" t="str">
        <x:v>High</x:v>
      </x:c>
      <x:c r="M374" s="6" t="str">
        <x:v>https://digitecme.com/services/oil-change-dubai</x:v>
      </x:c>
      <x:c r="N374" s="6" t="str">
        <x:v>Unknown — export has no query/page pairing</x:v>
      </x:c>
      <x:c r="O374" s="6" t="str">
        <x:v>Retain primary intent and support variants</x:v>
      </x:c>
      <x:c r="P374" s="6" t="str">
        <x:v>Average position 38.03 makes ranking the main issue; avoid a CTR-only rewrite.</x:v>
      </x:c>
      <x:c r="Q374" s="6" t="str">
        <x:v>All vehicles</x:v>
      </x:c>
      <x:c r="R374" s="6" t="str">
        <x:v>oil-change</x:v>
      </x:c>
      <x:c r="S374" s="6" t="str">
        <x:v>Dubai explicit</x:v>
      </x:c>
      <x:c r="T374" s="6" t="n">
        <x:v>3</x:v>
      </x:c>
      <x:c r="U374" s="6" t="str">
        <x:v>21–40</x:v>
      </x:c>
      <x:c r="V374" s="6" t="str">
        <x:v>Content, internal authority and owner alignment</x:v>
      </x:c>
      <x:c r="W374" s="6" t="str">
        <x:v>Relevant supporting</x:v>
      </x:c>
      <x:c r="X374" s="6" t="n">
        <x:v>370</x:v>
      </x:c>
      <x:c r="Y374" s="6" t="str">
        <x:v>Unconfirmed — joint query/page data required</x:v>
      </x:c>
    </x:row>
    <x:row r="375" ht="42" customHeight="1">
      <x:c r="A375" s="6" t="str">
        <x:v>volkswagen brake repair</x:v>
      </x:c>
      <x:c r="B375" s="14" t="n">
        <x:v>0</x:v>
      </x:c>
      <x:c r="C375" s="14" t="n">
        <x:v>39</x:v>
      </x:c>
      <x:c r="D375" s="15" t="n">
        <x:v>0</x:v>
      </x:c>
      <x:c r="E375" s="16" t="n">
        <x:v>42.54</x:v>
      </x:c>
      <x:c r="F375" s="6" t="str">
        <x:v>GROWTH</x:v>
      </x:c>
      <x:c r="G375" s="17" t="n">
        <x:f>'Scoring'!I375</x:f>
        <x:v>51.1</x:v>
      </x:c>
      <x:c r="H375" s="6" t="str">
        <x:v>SPLIT</x:v>
      </x:c>
      <x:c r="I375" s="6" t="str">
        <x:v>volkswagen: Brake repair</x:v>
      </x:c>
      <x:c r="J375" s="6" t="str">
        <x:v>Primary</x:v>
      </x:c>
      <x:c r="K375" s="6" t="str">
        <x:v>Commercial service enquiry</x:v>
      </x:c>
      <x:c r="L375" s="6" t="str">
        <x:v>High</x:v>
      </x:c>
      <x:c r="M375" s="6" t="str">
        <x:v>https://digitecme.com/brands/volkswagen-service-dubai/brake-repair</x:v>
      </x:c>
      <x:c r="N375" s="6" t="str">
        <x:v>Unknown — export has no query/page pairing</x:v>
      </x:c>
      <x:c r="O375" s="6" t="str">
        <x:v>Use dedicated service owner</x:v>
      </x:c>
      <x:c r="P375" s="6" t="str">
        <x:v>Average position 42.54 makes ranking the main issue; avoid a CTR-only rewrite.</x:v>
      </x:c>
      <x:c r="Q375" s="6" t="str">
        <x:v>volkswagen</x:v>
      </x:c>
      <x:c r="R375" s="6" t="str">
        <x:v>brake-repair</x:v>
      </x:c>
      <x:c r="S375" s="6" t="str">
        <x:v>Location unspecified</x:v>
      </x:c>
      <x:c r="T375" s="6" t="n">
        <x:v>3</x:v>
      </x:c>
      <x:c r="U375" s="6" t="str">
        <x:v>40+</x:v>
      </x:c>
      <x:c r="V375" s="6" t="str">
        <x:v>Relevance, capability, indexing and authority review</x:v>
      </x:c>
      <x:c r="W375" s="6" t="str">
        <x:v>High-value commercial</x:v>
      </x:c>
      <x:c r="X375" s="6" t="n">
        <x:v>371</x:v>
      </x:c>
      <x:c r="Y375" s="6" t="str">
        <x:v>Unconfirmed — joint query/page data required</x:v>
      </x:c>
    </x:row>
    <x:row r="376" ht="42" customHeight="1">
      <x:c r="A376" s="6" t="str">
        <x:v>car brake repair in dubai</x:v>
      </x:c>
      <x:c r="B376" s="14" t="n">
        <x:v>0</x:v>
      </x:c>
      <x:c r="C376" s="14" t="n">
        <x:v>39</x:v>
      </x:c>
      <x:c r="D376" s="15" t="n">
        <x:v>0</x:v>
      </x:c>
      <x:c r="E376" s="16" t="n">
        <x:v>43.9</x:v>
      </x:c>
      <x:c r="F376" s="6" t="str">
        <x:v>GROWTH</x:v>
      </x:c>
      <x:c r="G376" s="17" t="n">
        <x:f>'Scoring'!I376</x:f>
        <x:v>56.1</x:v>
      </x:c>
      <x:c r="H376" s="6" t="str">
        <x:v>SUPPORT</x:v>
      </x:c>
      <x:c r="I376" s="6" t="str">
        <x:v>All vehicles: Brake repair (English)</x:v>
      </x:c>
      <x:c r="J376" s="6" t="str">
        <x:v>Secondary</x:v>
      </x:c>
      <x:c r="K376" s="6" t="str">
        <x:v>Commercial service enquiry</x:v>
      </x:c>
      <x:c r="L376" s="6" t="str">
        <x:v>High</x:v>
      </x:c>
      <x:c r="M376" s="6" t="str">
        <x:v>https://digitecme.com/services/brake-repair-dubai</x:v>
      </x:c>
      <x:c r="N376" s="6" t="str">
        <x:v>Unknown — export has no query/page pairing</x:v>
      </x:c>
      <x:c r="O376" s="6" t="str">
        <x:v>Retain primary intent and support variants</x:v>
      </x:c>
      <x:c r="P376" s="6" t="str">
        <x:v>Average position 43.90 makes ranking the main issue; avoid a CTR-only rewrite.</x:v>
      </x:c>
      <x:c r="Q376" s="6" t="str">
        <x:v>All vehicles</x:v>
      </x:c>
      <x:c r="R376" s="6" t="str">
        <x:v>brake-repair</x:v>
      </x:c>
      <x:c r="S376" s="6" t="str">
        <x:v>Dubai explicit</x:v>
      </x:c>
      <x:c r="T376" s="6" t="n">
        <x:v>3</x:v>
      </x:c>
      <x:c r="U376" s="6" t="str">
        <x:v>40+</x:v>
      </x:c>
      <x:c r="V376" s="6" t="str">
        <x:v>Relevance, capability, indexing and authority review</x:v>
      </x:c>
      <x:c r="W376" s="6" t="str">
        <x:v>Relevant supporting</x:v>
      </x:c>
      <x:c r="X376" s="6" t="n">
        <x:v>372</x:v>
      </x:c>
      <x:c r="Y376" s="6" t="str">
        <x:v>Unconfirmed — joint query/page data required</x:v>
      </x:c>
    </x:row>
    <x:row r="377" ht="42" customHeight="1">
      <x:c r="A377" s="6" t="str">
        <x:v>luxury car garage dubai</x:v>
      </x:c>
      <x:c r="B377" s="14" t="n">
        <x:v>0</x:v>
      </x:c>
      <x:c r="C377" s="14" t="n">
        <x:v>39</x:v>
      </x:c>
      <x:c r="D377" s="15" t="n">
        <x:v>0</x:v>
      </x:c>
      <x:c r="E377" s="16" t="n">
        <x:v>45.97</x:v>
      </x:c>
      <x:c r="F377" s="6" t="str">
        <x:v>GROWTH</x:v>
      </x:c>
      <x:c r="G377" s="17" t="n">
        <x:f>'Scoring'!I377</x:f>
        <x:v>56.1</x:v>
      </x:c>
      <x:c r="H377" s="6" t="str">
        <x:v>SUPPORT</x:v>
      </x:c>
      <x:c r="I377" s="6" t="str">
        <x:v>All vehicles: General garage and repair (English)</x:v>
      </x:c>
      <x:c r="J377" s="6" t="str">
        <x:v>Secondary</x:v>
      </x:c>
      <x:c r="K377" s="6" t="str">
        <x:v>Commercial service enquiry</x:v>
      </x:c>
      <x:c r="L377" s="6" t="str">
        <x:v>High</x:v>
      </x:c>
      <x:c r="M377" s="6" t="str">
        <x:v>https://digitecme.com/services/car-garage-dubai</x:v>
      </x:c>
      <x:c r="N377" s="6" t="str">
        <x:v>Unknown — export has no query/page pairing</x:v>
      </x:c>
      <x:c r="O377" s="6" t="str">
        <x:v>Retain primary intent and support variants</x:v>
      </x:c>
      <x:c r="P377" s="6" t="str">
        <x:v>Average position 45.97 makes ranking the main issue; avoid a CTR-only rewrite.</x:v>
      </x:c>
      <x:c r="Q377" s="6" t="str">
        <x:v>All vehicles</x:v>
      </x:c>
      <x:c r="R377" s="6" t="str">
        <x:v>service-repair</x:v>
      </x:c>
      <x:c r="S377" s="6" t="str">
        <x:v>Dubai explicit</x:v>
      </x:c>
      <x:c r="T377" s="6" t="n">
        <x:v>3</x:v>
      </x:c>
      <x:c r="U377" s="6" t="str">
        <x:v>40+</x:v>
      </x:c>
      <x:c r="V377" s="6" t="str">
        <x:v>Relevance, capability, indexing and authority review</x:v>
      </x:c>
      <x:c r="W377" s="6" t="str">
        <x:v>Relevant supporting</x:v>
      </x:c>
      <x:c r="X377" s="6" t="n">
        <x:v>373</x:v>
      </x:c>
      <x:c r="Y377" s="6" t="str">
        <x:v>Unconfirmed — joint query/page data required</x:v>
      </x:c>
    </x:row>
    <x:row r="378" ht="57" customHeight="1">
      <x:c r="A378" s="6" t="str">
        <x:v>digi tech</x:v>
      </x:c>
      <x:c r="B378" s="14" t="n">
        <x:v>0</x:v>
      </x:c>
      <x:c r="C378" s="14" t="n">
        <x:v>38</x:v>
      </x:c>
      <x:c r="D378" s="15" t="n">
        <x:v>0</x:v>
      </x:c>
      <x:c r="E378" s="16" t="n">
        <x:v>5.08</x:v>
      </x:c>
      <x:c r="F378" s="6" t="str">
        <x:v>DEPRIORITIZE</x:v>
      </x:c>
      <x:c r="G378" s="17" t="n">
        <x:f>'Scoring'!I378</x:f>
        <x:v>50.2</x:v>
      </x:c>
      <x:c r="H378" s="6" t="str">
        <x:v>DEPRIORITIZE</x:v>
      </x:c>
      <x:c r="I378" s="6" t="str">
        <x:v>DIGI-TEC: Business navigation</x:v>
      </x:c>
      <x:c r="J378" s="6" t="str">
        <x:v>Secondary</x:v>
      </x:c>
      <x:c r="K378" s="6" t="str">
        <x:v>Navigational</x:v>
      </x:c>
      <x:c r="L378" s="6" t="str">
        <x:v>Medium</x:v>
      </x:c>
      <x:c r="M378" s="6" t="str">
        <x:v>https://digitecme.com/</x:v>
      </x:c>
      <x:c r="N378" s="6" t="str">
        <x:v>Unknown — export has no query/page pairing</x:v>
      </x:c>
      <x:c r="O378" s="6" t="str">
        <x:v>Confirm scope or deprioritize</x:v>
      </x:c>
      <x:c r="P378" s="6" t="str">
        <x:v>Ambiguous business-name variant; automotive intent cannot be established from this export. Zero clicks from 38 impressions at average position 5.08; inspect query/page, country/device and SERP before attributing this to the snippet.</x:v>
      </x:c>
      <x:c r="Q378" s="6" t="str">
        <x:v>DIGI-TEC</x:v>
      </x:c>
      <x:c r="R378" s="6" t="str">
        <x:v>brand-navigation</x:v>
      </x:c>
      <x:c r="S378" s="6" t="str">
        <x:v>Location unspecified</x:v>
      </x:c>
      <x:c r="T378" s="6" t="n">
        <x:v>3</x:v>
      </x:c>
      <x:c r="U378" s="6" t="str">
        <x:v>4–10</x:v>
      </x:c>
      <x:c r="V378" s="6" t="str">
        <x:v>Page-one CTR review and top-three relevance</x:v>
      </x:c>
      <x:c r="W378" s="6" t="str">
        <x:v>Relevant supporting</x:v>
      </x:c>
      <x:c r="X378" s="6" t="n">
        <x:v>374</x:v>
      </x:c>
      <x:c r="Y378" s="6" t="str">
        <x:v>Unconfirmed — joint query/page data required</x:v>
      </x:c>
    </x:row>
    <x:row r="379" ht="42" customHeight="1">
      <x:c r="A379" s="6" t="str">
        <x:v>car battery change near me</x:v>
      </x:c>
      <x:c r="B379" s="14" t="n">
        <x:v>0</x:v>
      </x:c>
      <x:c r="C379" s="14" t="n">
        <x:v>38</x:v>
      </x:c>
      <x:c r="D379" s="15" t="n">
        <x:v>0</x:v>
      </x:c>
      <x:c r="E379" s="16" t="n">
        <x:v>13.03</x:v>
      </x:c>
      <x:c r="F379" s="6" t="str">
        <x:v>CRITICAL</x:v>
      </x:c>
      <x:c r="G379" s="17" t="n">
        <x:f>'Scoring'!I379</x:f>
        <x:v>77.3</x:v>
      </x:c>
      <x:c r="H379" s="6" t="str">
        <x:v>SUPPORT</x:v>
      </x:c>
      <x:c r="I379" s="6" t="str">
        <x:v>All vehicles: Battery service (English)</x:v>
      </x:c>
      <x:c r="J379" s="6" t="str">
        <x:v>Secondary</x:v>
      </x:c>
      <x:c r="K379" s="6" t="str">
        <x:v>Commercial service enquiry</x:v>
      </x:c>
      <x:c r="L379" s="6" t="str">
        <x:v>High</x:v>
      </x:c>
      <x:c r="M379" s="6" t="str">
        <x:v>https://digitecme.com/services/battery-replacement-dubai</x:v>
      </x:c>
      <x:c r="N379" s="6" t="str">
        <x:v>Unknown — export has no query/page pairing</x:v>
      </x:c>
      <x:c r="O379" s="6" t="str">
        <x:v>Retain primary intent and support variants</x:v>
      </x:c>
      <x:c r="P379" s="6" t="str">
        <x:v>38 impressions at average position 13.03; strengthen the appropriate intent owner and measure with a fresh comparable period.</x:v>
      </x:c>
      <x:c r="Q379" s="6" t="str">
        <x:v>All vehicles</x:v>
      </x:c>
      <x:c r="R379" s="6" t="str">
        <x:v>battery-replacement</x:v>
      </x:c>
      <x:c r="S379" s="6" t="str">
        <x:v>Near me; location unknown</x:v>
      </x:c>
      <x:c r="T379" s="6" t="n">
        <x:v>3</x:v>
      </x:c>
      <x:c r="U379" s="6" t="str">
        <x:v>11–20</x:v>
      </x:c>
      <x:c r="V379" s="6" t="str">
        <x:v>Ranking and owner relevance</x:v>
      </x:c>
      <x:c r="W379" s="6" t="str">
        <x:v>Relevant supporting</x:v>
      </x:c>
      <x:c r="X379" s="6" t="n">
        <x:v>375</x:v>
      </x:c>
      <x:c r="Y379" s="6" t="str">
        <x:v>Unconfirmed — joint query/page data required</x:v>
      </x:c>
    </x:row>
    <x:row r="380" ht="42" customHeight="1">
      <x:c r="A380" s="6" t="str">
        <x:v>porsche electrical repair dubai</x:v>
      </x:c>
      <x:c r="B380" s="14" t="n">
        <x:v>0</x:v>
      </x:c>
      <x:c r="C380" s="14" t="n">
        <x:v>38</x:v>
      </x:c>
      <x:c r="D380" s="15" t="n">
        <x:v>0</x:v>
      </x:c>
      <x:c r="E380" s="16" t="n">
        <x:v>20.76</x:v>
      </x:c>
      <x:c r="F380" s="6" t="str">
        <x:v>HIGH</x:v>
      </x:c>
      <x:c r="G380" s="17" t="n">
        <x:f>'Scoring'!I380</x:f>
        <x:v>77.8</x:v>
      </x:c>
      <x:c r="H380" s="6" t="str">
        <x:v>SPLIT</x:v>
      </x:c>
      <x:c r="I380" s="6" t="str">
        <x:v>porsche: Electrical repair</x:v>
      </x:c>
      <x:c r="J380" s="6" t="str">
        <x:v>Primary</x:v>
      </x:c>
      <x:c r="K380" s="6" t="str">
        <x:v>Commercial service enquiry</x:v>
      </x:c>
      <x:c r="L380" s="6" t="str">
        <x:v>High</x:v>
      </x:c>
      <x:c r="M380" s="6" t="str">
        <x:v>https://digitecme.com/brands/porsche-service-dubai/electrical-repair</x:v>
      </x:c>
      <x:c r="N380" s="6" t="str">
        <x:v>Unknown — export has no query/page pairing</x:v>
      </x:c>
      <x:c r="O380" s="6" t="str">
        <x:v>Use dedicated service owner</x:v>
      </x:c>
      <x:c r="P380" s="6" t="str">
        <x:v>Average position 20.76 makes ranking the main issue; avoid a CTR-only rewrite.</x:v>
      </x:c>
      <x:c r="Q380" s="6" t="str">
        <x:v>porsche</x:v>
      </x:c>
      <x:c r="R380" s="6" t="str">
        <x:v>electrical-repair</x:v>
      </x:c>
      <x:c r="S380" s="6" t="str">
        <x:v>Dubai explicit</x:v>
      </x:c>
      <x:c r="T380" s="6" t="n">
        <x:v>5</x:v>
      </x:c>
      <x:c r="U380" s="6" t="str">
        <x:v>21–40</x:v>
      </x:c>
      <x:c r="V380" s="6" t="str">
        <x:v>Content, internal authority and owner alignment</x:v>
      </x:c>
      <x:c r="W380" s="6" t="str">
        <x:v>High-value commercial</x:v>
      </x:c>
      <x:c r="X380" s="6" t="n">
        <x:v>376</x:v>
      </x:c>
      <x:c r="Y380" s="6" t="str">
        <x:v>Unconfirmed — joint query/page data required</x:v>
      </x:c>
    </x:row>
    <x:row r="381" ht="42" customHeight="1">
      <x:c r="A381" s="6" t="str">
        <x:v>volkswagen repair dubai</x:v>
      </x:c>
      <x:c r="B381" s="14" t="n">
        <x:v>0</x:v>
      </x:c>
      <x:c r="C381" s="14" t="n">
        <x:v>38</x:v>
      </x:c>
      <x:c r="D381" s="15" t="n">
        <x:v>0</x:v>
      </x:c>
      <x:c r="E381" s="16" t="n">
        <x:v>35.82</x:v>
      </x:c>
      <x:c r="F381" s="6" t="str">
        <x:v>GROWTH</x:v>
      </x:c>
      <x:c r="G381" s="17" t="n">
        <x:f>'Scoring'!I381</x:f>
        <x:v>62.3</x:v>
      </x:c>
      <x:c r="H381" s="6" t="str">
        <x:v>SUPPORT</x:v>
      </x:c>
      <x:c r="I381" s="6" t="str">
        <x:v>volkswagen: Service and repair (English)</x:v>
      </x:c>
      <x:c r="J381" s="6" t="str">
        <x:v>Secondary</x:v>
      </x:c>
      <x:c r="K381" s="6" t="str">
        <x:v>Commercial service enquiry</x:v>
      </x:c>
      <x:c r="L381" s="6" t="str">
        <x:v>High</x:v>
      </x:c>
      <x:c r="M381" s="6" t="str">
        <x:v>https://digitecme.com/brands/volkswagen-service-dubai</x:v>
      </x:c>
      <x:c r="N381" s="6" t="str">
        <x:v>Unknown — export has no query/page pairing</x:v>
      </x:c>
      <x:c r="O381" s="6" t="str">
        <x:v>Retain primary intent and support variants</x:v>
      </x:c>
      <x:c r="P381" s="6" t="str">
        <x:v>Average position 35.82 makes ranking the main issue; avoid a CTR-only rewrite.</x:v>
      </x:c>
      <x:c r="Q381" s="6" t="str">
        <x:v>volkswagen</x:v>
      </x:c>
      <x:c r="R381" s="6" t="str">
        <x:v>service-repair</x:v>
      </x:c>
      <x:c r="S381" s="6" t="str">
        <x:v>Dubai explicit</x:v>
      </x:c>
      <x:c r="T381" s="6" t="n">
        <x:v>3</x:v>
      </x:c>
      <x:c r="U381" s="6" t="str">
        <x:v>21–40</x:v>
      </x:c>
      <x:c r="V381" s="6" t="str">
        <x:v>Content, internal authority and owner alignment</x:v>
      </x:c>
      <x:c r="W381" s="6" t="str">
        <x:v>Relevant supporting</x:v>
      </x:c>
      <x:c r="X381" s="6" t="n">
        <x:v>377</x:v>
      </x:c>
      <x:c r="Y381" s="6" t="str">
        <x:v>Unconfirmed — joint query/page data required</x:v>
      </x:c>
    </x:row>
    <x:row r="382" ht="42" customHeight="1">
      <x:c r="A382" s="6" t="str">
        <x:v>change battery dubai</x:v>
      </x:c>
      <x:c r="B382" s="14" t="n">
        <x:v>0</x:v>
      </x:c>
      <x:c r="C382" s="14" t="n">
        <x:v>38</x:v>
      </x:c>
      <x:c r="D382" s="15" t="n">
        <x:v>0</x:v>
      </x:c>
      <x:c r="E382" s="16" t="n">
        <x:v>38.18</x:v>
      </x:c>
      <x:c r="F382" s="6" t="str">
        <x:v>GROWTH</x:v>
      </x:c>
      <x:c r="G382" s="17" t="n">
        <x:f>'Scoring'!I382</x:f>
        <x:v>62.3</x:v>
      </x:c>
      <x:c r="H382" s="6" t="str">
        <x:v>SUPPORT</x:v>
      </x:c>
      <x:c r="I382" s="6" t="str">
        <x:v>All vehicles: Battery service (English)</x:v>
      </x:c>
      <x:c r="J382" s="6" t="str">
        <x:v>Secondary</x:v>
      </x:c>
      <x:c r="K382" s="6" t="str">
        <x:v>Commercial service enquiry</x:v>
      </x:c>
      <x:c r="L382" s="6" t="str">
        <x:v>High</x:v>
      </x:c>
      <x:c r="M382" s="6" t="str">
        <x:v>https://digitecme.com/services/battery-replacement-dubai</x:v>
      </x:c>
      <x:c r="N382" s="6" t="str">
        <x:v>Unknown — export has no query/page pairing</x:v>
      </x:c>
      <x:c r="O382" s="6" t="str">
        <x:v>Retain primary intent and support variants</x:v>
      </x:c>
      <x:c r="P382" s="6" t="str">
        <x:v>Average position 38.18 makes ranking the main issue; avoid a CTR-only rewrite.</x:v>
      </x:c>
      <x:c r="Q382" s="6" t="str">
        <x:v>All vehicles</x:v>
      </x:c>
      <x:c r="R382" s="6" t="str">
        <x:v>battery-replacement</x:v>
      </x:c>
      <x:c r="S382" s="6" t="str">
        <x:v>Dubai explicit</x:v>
      </x:c>
      <x:c r="T382" s="6" t="n">
        <x:v>3</x:v>
      </x:c>
      <x:c r="U382" s="6" t="str">
        <x:v>21–40</x:v>
      </x:c>
      <x:c r="V382" s="6" t="str">
        <x:v>Content, internal authority and owner alignment</x:v>
      </x:c>
      <x:c r="W382" s="6" t="str">
        <x:v>Relevant supporting</x:v>
      </x:c>
      <x:c r="X382" s="6" t="n">
        <x:v>378</x:v>
      </x:c>
      <x:c r="Y382" s="6" t="str">
        <x:v>Unconfirmed — joint query/page data required</x:v>
      </x:c>
    </x:row>
    <x:row r="383" ht="42" customHeight="1">
      <x:c r="A383" s="6" t="str">
        <x:v>mercedes benz transmission repair</x:v>
      </x:c>
      <x:c r="B383" s="14" t="n">
        <x:v>0</x:v>
      </x:c>
      <x:c r="C383" s="14" t="n">
        <x:v>38</x:v>
      </x:c>
      <x:c r="D383" s="15" t="n">
        <x:v>0</x:v>
      </x:c>
      <x:c r="E383" s="16" t="n">
        <x:v>39.5</x:v>
      </x:c>
      <x:c r="F383" s="6" t="str">
        <x:v>GROWTH</x:v>
      </x:c>
      <x:c r="G383" s="17" t="n">
        <x:f>'Scoring'!I383</x:f>
        <x:v>65.3</x:v>
      </x:c>
      <x:c r="H383" s="6" t="str">
        <x:v>SPLIT</x:v>
      </x:c>
      <x:c r="I383" s="6" t="str">
        <x:v>mercedes-benz: Transmission and gearbox repair</x:v>
      </x:c>
      <x:c r="J383" s="6" t="str">
        <x:v>Secondary</x:v>
      </x:c>
      <x:c r="K383" s="6" t="str">
        <x:v>Commercial service enquiry</x:v>
      </x:c>
      <x:c r="L383" s="6" t="str">
        <x:v>High</x:v>
      </x:c>
      <x:c r="M383" s="6" t="str">
        <x:v>https://digitecme.com/services/mercedes-transmission-repair-dubai</x:v>
      </x:c>
      <x:c r="N383" s="6" t="str">
        <x:v>Unknown — export has no query/page pairing</x:v>
      </x:c>
      <x:c r="O383" s="6" t="str">
        <x:v>Use dedicated service owner</x:v>
      </x:c>
      <x:c r="P383" s="6" t="str">
        <x:v>Average position 39.50 makes ranking the main issue; avoid a CTR-only rewrite.</x:v>
      </x:c>
      <x:c r="Q383" s="6" t="str">
        <x:v>mercedes-benz</x:v>
      </x:c>
      <x:c r="R383" s="6" t="str">
        <x:v>transmission-repair</x:v>
      </x:c>
      <x:c r="S383" s="6" t="str">
        <x:v>Location unspecified</x:v>
      </x:c>
      <x:c r="T383" s="6" t="n">
        <x:v>5</x:v>
      </x:c>
      <x:c r="U383" s="6" t="str">
        <x:v>21–40</x:v>
      </x:c>
      <x:c r="V383" s="6" t="str">
        <x:v>Content, internal authority and owner alignment</x:v>
      </x:c>
      <x:c r="W383" s="6" t="str">
        <x:v>High-value commercial</x:v>
      </x:c>
      <x:c r="X383" s="6" t="n">
        <x:v>379</x:v>
      </x:c>
      <x:c r="Y383" s="6" t="str">
        <x:v>Unconfirmed — joint query/page data required</x:v>
      </x:c>
    </x:row>
    <x:row r="384" ht="42" customHeight="1">
      <x:c r="A384" s="6" t="str">
        <x:v>best bmw shop abu dhabi</x:v>
      </x:c>
      <x:c r="B384" s="14" t="n">
        <x:v>0</x:v>
      </x:c>
      <x:c r="C384" s="14" t="n">
        <x:v>38</x:v>
      </x:c>
      <x:c r="D384" s="15" t="n">
        <x:v>0</x:v>
      </x:c>
      <x:c r="E384" s="16" t="n">
        <x:v>44.37</x:v>
      </x:c>
      <x:c r="F384" s="6" t="str">
        <x:v>DEPRIORITIZE</x:v>
      </x:c>
      <x:c r="G384" s="17" t="n">
        <x:f>'Scoring'!I384</x:f>
        <x:v>9.6</x:v>
      </x:c>
      <x:c r="H384" s="6" t="str">
        <x:v>DEPRIORITIZE</x:v>
      </x:c>
      <x:c r="I384" s="6" t="str">
        <x:v>bmw: Service and repair (outside Dubai)</x:v>
      </x:c>
      <x:c r="J384" s="6" t="str">
        <x:v>Secondary</x:v>
      </x:c>
      <x:c r="K384" s="6" t="str">
        <x:v>Commercial service enquiry</x:v>
      </x:c>
      <x:c r="L384" s="6" t="str">
        <x:v>Low</x:v>
      </x:c>
      <x:c r="M384" s="6" t="str">
        <x:v>https://digitecme.com/brands/bmw-service-dubai</x:v>
      </x:c>
      <x:c r="N384" s="6" t="str">
        <x:v>Unknown — export has no query/page pairing</x:v>
      </x:c>
      <x:c r="O384" s="6" t="str">
        <x:v>Confirm scope or deprioritize</x:v>
      </x:c>
      <x:c r="P384" s="6" t="str">
        <x:v>Explicit destination differs from the Al Quoz workshop; do not claim a local branch or service coverage. Average position 44.37 makes ranking the main issue; avoid a CTR-only rewrite.</x:v>
      </x:c>
      <x:c r="Q384" s="6" t="str">
        <x:v>bmw</x:v>
      </x:c>
      <x:c r="R384" s="6" t="str">
        <x:v>service-repair</x:v>
      </x:c>
      <x:c r="S384" s="6" t="str">
        <x:v>Outside Dubai</x:v>
      </x:c>
      <x:c r="T384" s="6" t="n">
        <x:v>1</x:v>
      </x:c>
      <x:c r="U384" s="6" t="str">
        <x:v>40+</x:v>
      </x:c>
      <x:c r="V384" s="6" t="str">
        <x:v>Relevance, capability, indexing and authority review</x:v>
      </x:c>
      <x:c r="W384" s="6" t="str">
        <x:v>Low-value</x:v>
      </x:c>
      <x:c r="X384" s="6" t="n">
        <x:v>380</x:v>
      </x:c>
      <x:c r="Y384" s="6" t="str">
        <x:v>Unconfirmed — joint query/page data required</x:v>
      </x:c>
    </x:row>
    <x:row r="385" ht="42" customHeight="1">
      <x:c r="A385" s="6" t="str">
        <x:v>range rover repair specialist in dubai</x:v>
      </x:c>
      <x:c r="B385" s="14" t="n">
        <x:v>0</x:v>
      </x:c>
      <x:c r="C385" s="14" t="n">
        <x:v>38</x:v>
      </x:c>
      <x:c r="D385" s="15" t="n">
        <x:v>0</x:v>
      </x:c>
      <x:c r="E385" s="16" t="n">
        <x:v>47.32</x:v>
      </x:c>
      <x:c r="F385" s="6" t="str">
        <x:v>GROWTH</x:v>
      </x:c>
      <x:c r="G385" s="17" t="n">
        <x:f>'Scoring'!I385</x:f>
        <x:v>64.1</x:v>
      </x:c>
      <x:c r="H385" s="6" t="str">
        <x:v>SUPPORT</x:v>
      </x:c>
      <x:c r="I385" s="6" t="str">
        <x:v>range-rover: Service and repair</x:v>
      </x:c>
      <x:c r="J385" s="6" t="str">
        <x:v>Secondary</x:v>
      </x:c>
      <x:c r="K385" s="6" t="str">
        <x:v>Commercial service enquiry</x:v>
      </x:c>
      <x:c r="L385" s="6" t="str">
        <x:v>High</x:v>
      </x:c>
      <x:c r="M385" s="6" t="str">
        <x:v>https://digitecme.com/brands/range-rover-service-dubai</x:v>
      </x:c>
      <x:c r="N385" s="6" t="str">
        <x:v>Unknown — export has no query/page pairing</x:v>
      </x:c>
      <x:c r="O385" s="6" t="str">
        <x:v>Retain primary intent and support variants</x:v>
      </x:c>
      <x:c r="P385" s="6" t="str">
        <x:v>Average position 47.32 makes ranking the main issue; avoid a CTR-only rewrite.</x:v>
      </x:c>
      <x:c r="Q385" s="6" t="str">
        <x:v>range-rover</x:v>
      </x:c>
      <x:c r="R385" s="6" t="str">
        <x:v>service-repair</x:v>
      </x:c>
      <x:c r="S385" s="6" t="str">
        <x:v>Dubai explicit</x:v>
      </x:c>
      <x:c r="T385" s="6" t="n">
        <x:v>5</x:v>
      </x:c>
      <x:c r="U385" s="6" t="str">
        <x:v>40+</x:v>
      </x:c>
      <x:c r="V385" s="6" t="str">
        <x:v>Relevance, capability, indexing and authority review</x:v>
      </x:c>
      <x:c r="W385" s="6" t="str">
        <x:v>Relevant supporting</x:v>
      </x:c>
      <x:c r="X385" s="6" t="n">
        <x:v>381</x:v>
      </x:c>
      <x:c r="Y385" s="6" t="str">
        <x:v>Unconfirmed — joint query/page data required</x:v>
      </x:c>
    </x:row>
    <x:row r="386" ht="42" customHeight="1">
      <x:c r="A386" s="6" t="str">
        <x:v>best porsche workshop abu dhabi</x:v>
      </x:c>
      <x:c r="B386" s="14" t="n">
        <x:v>0</x:v>
      </x:c>
      <x:c r="C386" s="14" t="n">
        <x:v>38</x:v>
      </x:c>
      <x:c r="D386" s="15" t="n">
        <x:v>0</x:v>
      </x:c>
      <x:c r="E386" s="16" t="n">
        <x:v>51.61</x:v>
      </x:c>
      <x:c r="F386" s="6" t="str">
        <x:v>DEPRIORITIZE</x:v>
      </x:c>
      <x:c r="G386" s="17" t="n">
        <x:f>'Scoring'!I386</x:f>
        <x:v>9.6</x:v>
      </x:c>
      <x:c r="H386" s="6" t="str">
        <x:v>DEPRIORITIZE</x:v>
      </x:c>
      <x:c r="I386" s="6" t="str">
        <x:v>porsche: Service and repair (outside Dubai)</x:v>
      </x:c>
      <x:c r="J386" s="6" t="str">
        <x:v>Primary</x:v>
      </x:c>
      <x:c r="K386" s="6" t="str">
        <x:v>Commercial service enquiry</x:v>
      </x:c>
      <x:c r="L386" s="6" t="str">
        <x:v>Low</x:v>
      </x:c>
      <x:c r="M386" s="6" t="str">
        <x:v>https://digitecme.com/brands/porsche-service-dubai</x:v>
      </x:c>
      <x:c r="N386" s="6" t="str">
        <x:v>Unknown — export has no query/page pairing</x:v>
      </x:c>
      <x:c r="O386" s="6" t="str">
        <x:v>Confirm scope or deprioritize</x:v>
      </x:c>
      <x:c r="P386" s="6" t="str">
        <x:v>Explicit destination differs from the Al Quoz workshop; do not claim a local branch or service coverage. Average position 51.61 makes ranking the main issue; avoid a CTR-only rewrite.</x:v>
      </x:c>
      <x:c r="Q386" s="6" t="str">
        <x:v>porsche</x:v>
      </x:c>
      <x:c r="R386" s="6" t="str">
        <x:v>service-repair</x:v>
      </x:c>
      <x:c r="S386" s="6" t="str">
        <x:v>Outside Dubai</x:v>
      </x:c>
      <x:c r="T386" s="6" t="n">
        <x:v>1</x:v>
      </x:c>
      <x:c r="U386" s="6" t="str">
        <x:v>40+</x:v>
      </x:c>
      <x:c r="V386" s="6" t="str">
        <x:v>Relevance, capability, indexing and authority review</x:v>
      </x:c>
      <x:c r="W386" s="6" t="str">
        <x:v>Low-value</x:v>
      </x:c>
      <x:c r="X386" s="6" t="n">
        <x:v>382</x:v>
      </x:c>
      <x:c r="Y386" s="6" t="str">
        <x:v>Unconfirmed — joint query/page data required</x:v>
      </x:c>
    </x:row>
    <x:row r="387" ht="42" customHeight="1">
      <x:c r="A387" s="6" t="str">
        <x:v>mechanical electrical repair dubai</x:v>
      </x:c>
      <x:c r="B387" s="14" t="n">
        <x:v>0</x:v>
      </x:c>
      <x:c r="C387" s="14" t="n">
        <x:v>38</x:v>
      </x:c>
      <x:c r="D387" s="15" t="n">
        <x:v>0</x:v>
      </x:c>
      <x:c r="E387" s="16" t="n">
        <x:v>70.82</x:v>
      </x:c>
      <x:c r="F387" s="6" t="str">
        <x:v>GROWTH</x:v>
      </x:c>
      <x:c r="G387" s="17" t="n">
        <x:f>'Scoring'!I387</x:f>
        <x:v>56.1</x:v>
      </x:c>
      <x:c r="H387" s="6" t="str">
        <x:v>SUPPORT</x:v>
      </x:c>
      <x:c r="I387" s="6" t="str">
        <x:v>All vehicles: Electrical repair</x:v>
      </x:c>
      <x:c r="J387" s="6" t="str">
        <x:v>Secondary</x:v>
      </x:c>
      <x:c r="K387" s="6" t="str">
        <x:v>Commercial service enquiry</x:v>
      </x:c>
      <x:c r="L387" s="6" t="str">
        <x:v>High</x:v>
      </x:c>
      <x:c r="M387" s="6" t="str">
        <x:v>https://digitecme.com/services/auto-electrical-repair-dubai</x:v>
      </x:c>
      <x:c r="N387" s="6" t="str">
        <x:v>Unknown — export has no query/page pairing</x:v>
      </x:c>
      <x:c r="O387" s="6" t="str">
        <x:v>Retain primary intent and support variants</x:v>
      </x:c>
      <x:c r="P387" s="6" t="str">
        <x:v>Average position 70.82 makes ranking the main issue; avoid a CTR-only rewrite.</x:v>
      </x:c>
      <x:c r="Q387" s="6" t="str">
        <x:v>All vehicles</x:v>
      </x:c>
      <x:c r="R387" s="6" t="str">
        <x:v>electrical-repair</x:v>
      </x:c>
      <x:c r="S387" s="6" t="str">
        <x:v>Dubai explicit</x:v>
      </x:c>
      <x:c r="T387" s="6" t="n">
        <x:v>3</x:v>
      </x:c>
      <x:c r="U387" s="6" t="str">
        <x:v>40+</x:v>
      </x:c>
      <x:c r="V387" s="6" t="str">
        <x:v>Relevance, capability, indexing and authority review</x:v>
      </x:c>
      <x:c r="W387" s="6" t="str">
        <x:v>Relevant supporting</x:v>
      </x:c>
      <x:c r="X387" s="6" t="n">
        <x:v>383</x:v>
      </x:c>
      <x:c r="Y387" s="6" t="str">
        <x:v>Unconfirmed — joint query/page data required</x:v>
      </x:c>
    </x:row>
    <x:row r="388" ht="42" customHeight="1">
      <x:c r="A388" s="6" t="str">
        <x:v>bugatti service center dubai</x:v>
      </x:c>
      <x:c r="B388" s="14" t="n">
        <x:v>0</x:v>
      </x:c>
      <x:c r="C388" s="14" t="n">
        <x:v>37</x:v>
      </x:c>
      <x:c r="D388" s="15" t="n">
        <x:v>0</x:v>
      </x:c>
      <x:c r="E388" s="16" t="n">
        <x:v>18.57</x:v>
      </x:c>
      <x:c r="F388" s="6" t="str">
        <x:v>HIGH</x:v>
      </x:c>
      <x:c r="G388" s="17" t="n">
        <x:f>'Scoring'!I388</x:f>
        <x:v>77.8</x:v>
      </x:c>
      <x:c r="H388" s="6" t="str">
        <x:v>SUPPORT</x:v>
      </x:c>
      <x:c r="I388" s="6" t="str">
        <x:v>bugatti: Service and repair</x:v>
      </x:c>
      <x:c r="J388" s="6" t="str">
        <x:v>Secondary</x:v>
      </x:c>
      <x:c r="K388" s="6" t="str">
        <x:v>Commercial service enquiry</x:v>
      </x:c>
      <x:c r="L388" s="6" t="str">
        <x:v>High</x:v>
      </x:c>
      <x:c r="M388" s="6" t="str">
        <x:v>https://digitecme.com/brands/bugatti-service-dubai</x:v>
      </x:c>
      <x:c r="N388" s="6" t="str">
        <x:v>Unknown — export has no query/page pairing</x:v>
      </x:c>
      <x:c r="O388" s="6" t="str">
        <x:v>Retain primary intent and support variants</x:v>
      </x:c>
      <x:c r="P388" s="6" t="str">
        <x:v>37 impressions at average position 18.57; strengthen the appropriate intent owner and measure with a fresh comparable period.</x:v>
      </x:c>
      <x:c r="Q388" s="6" t="str">
        <x:v>bugatti</x:v>
      </x:c>
      <x:c r="R388" s="6" t="str">
        <x:v>service-repair</x:v>
      </x:c>
      <x:c r="S388" s="6" t="str">
        <x:v>Dubai explicit</x:v>
      </x:c>
      <x:c r="T388" s="6" t="n">
        <x:v>5</x:v>
      </x:c>
      <x:c r="U388" s="6" t="str">
        <x:v>11–20</x:v>
      </x:c>
      <x:c r="V388" s="6" t="str">
        <x:v>Ranking and owner relevance</x:v>
      </x:c>
      <x:c r="W388" s="6" t="str">
        <x:v>Relevant supporting</x:v>
      </x:c>
      <x:c r="X388" s="6" t="n">
        <x:v>384</x:v>
      </x:c>
      <x:c r="Y388" s="6" t="str">
        <x:v>Unconfirmed — joint query/page data required</x:v>
      </x:c>
    </x:row>
    <x:row r="389" ht="42" customHeight="1">
      <x:c r="A389" s="6" t="str">
        <x:v>exhaust repair</x:v>
      </x:c>
      <x:c r="B389" s="14" t="n">
        <x:v>0</x:v>
      </x:c>
      <x:c r="C389" s="14" t="n">
        <x:v>37</x:v>
      </x:c>
      <x:c r="D389" s="15" t="n">
        <x:v>0</x:v>
      </x:c>
      <x:c r="E389" s="16" t="n">
        <x:v>20.97</x:v>
      </x:c>
      <x:c r="F389" s="6" t="str">
        <x:v>HIGH</x:v>
      </x:c>
      <x:c r="G389" s="17" t="n">
        <x:f>'Scoring'!I389</x:f>
        <x:v>64.8</x:v>
      </x:c>
      <x:c r="H389" s="6" t="str">
        <x:v>SUPPORT</x:v>
      </x:c>
      <x:c r="I389" s="6" t="str">
        <x:v>All vehicles: Exhaust repair</x:v>
      </x:c>
      <x:c r="J389" s="6" t="str">
        <x:v>Secondary</x:v>
      </x:c>
      <x:c r="K389" s="6" t="str">
        <x:v>Commercial service enquiry</x:v>
      </x:c>
      <x:c r="L389" s="6" t="str">
        <x:v>High</x:v>
      </x:c>
      <x:c r="M389" s="6" t="str">
        <x:v>https://digitecme.com/services/exhaust-repair-dubai</x:v>
      </x:c>
      <x:c r="N389" s="6" t="str">
        <x:v>Unknown — export has no query/page pairing</x:v>
      </x:c>
      <x:c r="O389" s="6" t="str">
        <x:v>Retain primary intent and support variants</x:v>
      </x:c>
      <x:c r="P389" s="6" t="str">
        <x:v>Average position 20.97 makes ranking the main issue; avoid a CTR-only rewrite.</x:v>
      </x:c>
      <x:c r="Q389" s="6" t="str">
        <x:v>All vehicles</x:v>
      </x:c>
      <x:c r="R389" s="6" t="str">
        <x:v>exhaust-repair</x:v>
      </x:c>
      <x:c r="S389" s="6" t="str">
        <x:v>Location unspecified</x:v>
      </x:c>
      <x:c r="T389" s="6" t="n">
        <x:v>3</x:v>
      </x:c>
      <x:c r="U389" s="6" t="str">
        <x:v>21–40</x:v>
      </x:c>
      <x:c r="V389" s="6" t="str">
        <x:v>Content, internal authority and owner alignment</x:v>
      </x:c>
      <x:c r="W389" s="6" t="str">
        <x:v>Relevant supporting</x:v>
      </x:c>
      <x:c r="X389" s="6" t="n">
        <x:v>385</x:v>
      </x:c>
      <x:c r="Y389" s="6" t="str">
        <x:v>Unconfirmed — joint query/page data required</x:v>
      </x:c>
    </x:row>
    <x:row r="390" ht="42" customHeight="1">
      <x:c r="A390" s="6" t="str">
        <x:v>brake repair near me</x:v>
      </x:c>
      <x:c r="B390" s="14" t="n">
        <x:v>0</x:v>
      </x:c>
      <x:c r="C390" s="14" t="n">
        <x:v>37</x:v>
      </x:c>
      <x:c r="D390" s="15" t="n">
        <x:v>0</x:v>
      </x:c>
      <x:c r="E390" s="16" t="n">
        <x:v>24.24</x:v>
      </x:c>
      <x:c r="F390" s="6" t="str">
        <x:v>HIGH</x:v>
      </x:c>
      <x:c r="G390" s="17" t="n">
        <x:f>'Scoring'!I390</x:f>
        <x:v>69.8</x:v>
      </x:c>
      <x:c r="H390" s="6" t="str">
        <x:v>SUPPORT</x:v>
      </x:c>
      <x:c r="I390" s="6" t="str">
        <x:v>All vehicles: Brake repair (English)</x:v>
      </x:c>
      <x:c r="J390" s="6" t="str">
        <x:v>Secondary</x:v>
      </x:c>
      <x:c r="K390" s="6" t="str">
        <x:v>Commercial service enquiry</x:v>
      </x:c>
      <x:c r="L390" s="6" t="str">
        <x:v>High</x:v>
      </x:c>
      <x:c r="M390" s="6" t="str">
        <x:v>https://digitecme.com/services/brake-repair-dubai</x:v>
      </x:c>
      <x:c r="N390" s="6" t="str">
        <x:v>Unknown — export has no query/page pairing</x:v>
      </x:c>
      <x:c r="O390" s="6" t="str">
        <x:v>Retain primary intent and support variants</x:v>
      </x:c>
      <x:c r="P390" s="6" t="str">
        <x:v>Average position 24.24 makes ranking the main issue; avoid a CTR-only rewrite.</x:v>
      </x:c>
      <x:c r="Q390" s="6" t="str">
        <x:v>All vehicles</x:v>
      </x:c>
      <x:c r="R390" s="6" t="str">
        <x:v>brake-repair</x:v>
      </x:c>
      <x:c r="S390" s="6" t="str">
        <x:v>Near me; location unknown</x:v>
      </x:c>
      <x:c r="T390" s="6" t="n">
        <x:v>3</x:v>
      </x:c>
      <x:c r="U390" s="6" t="str">
        <x:v>21–40</x:v>
      </x:c>
      <x:c r="V390" s="6" t="str">
        <x:v>Content, internal authority and owner alignment</x:v>
      </x:c>
      <x:c r="W390" s="6" t="str">
        <x:v>Relevant supporting</x:v>
      </x:c>
      <x:c r="X390" s="6" t="n">
        <x:v>386</x:v>
      </x:c>
      <x:c r="Y390" s="6" t="str">
        <x:v>Unconfirmed — joint query/page data required</x:v>
      </x:c>
    </x:row>
    <x:row r="391" ht="57" customHeight="1">
      <x:c r="A391" s="6" t="str">
        <x:v>tire repair service dubai</x:v>
      </x:c>
      <x:c r="B391" s="14" t="n">
        <x:v>0</x:v>
      </x:c>
      <x:c r="C391" s="14" t="n">
        <x:v>37</x:v>
      </x:c>
      <x:c r="D391" s="15" t="n">
        <x:v>0</x:v>
      </x:c>
      <x:c r="E391" s="16" t="n">
        <x:v>28.03</x:v>
      </x:c>
      <x:c r="F391" s="6" t="str">
        <x:v>GROWTH</x:v>
      </x:c>
      <x:c r="G391" s="17" t="n">
        <x:f>'Scoring'!I391</x:f>
        <x:v>65.8</x:v>
      </x:c>
      <x:c r="H391" s="6" t="str">
        <x:v>SUPPORT</x:v>
      </x:c>
      <x:c r="I391" s="6" t="str">
        <x:v>All vehicles: Tyre repair</x:v>
      </x:c>
      <x:c r="J391" s="6" t="str">
        <x:v>Secondary</x:v>
      </x:c>
      <x:c r="K391" s="6" t="str">
        <x:v>Commercial service enquiry</x:v>
      </x:c>
      <x:c r="L391" s="6" t="str">
        <x:v>High</x:v>
      </x:c>
      <x:c r="M391" s="6" t="str">
        <x:v>https://digitecme.com/services/tire-repair-dubai</x:v>
      </x:c>
      <x:c r="N391" s="6" t="str">
        <x:v>Unknown — export has no query/page pairing</x:v>
      </x:c>
      <x:c r="O391" s="6" t="str">
        <x:v>Retain primary intent and support variants</x:v>
      </x:c>
      <x:c r="P391" s="6" t="str">
        <x:v>Relevant workshop tyre enquiry with lower assumed value than specialist repair; no mobile or roadside claim. Average position 28.03 makes ranking the main issue; avoid a CTR-only rewrite.</x:v>
      </x:c>
      <x:c r="Q391" s="6" t="str">
        <x:v>All vehicles</x:v>
      </x:c>
      <x:c r="R391" s="6" t="str">
        <x:v>tire-repair</x:v>
      </x:c>
      <x:c r="S391" s="6" t="str">
        <x:v>Dubai explicit</x:v>
      </x:c>
      <x:c r="T391" s="6" t="n">
        <x:v>2</x:v>
      </x:c>
      <x:c r="U391" s="6" t="str">
        <x:v>21–40</x:v>
      </x:c>
      <x:c r="V391" s="6" t="str">
        <x:v>Content, internal authority and owner alignment</x:v>
      </x:c>
      <x:c r="W391" s="6" t="str">
        <x:v>Relevant supporting</x:v>
      </x:c>
      <x:c r="X391" s="6" t="n">
        <x:v>387</x:v>
      </x:c>
      <x:c r="Y391" s="6" t="str">
        <x:v>Unconfirmed — joint query/page data required</x:v>
      </x:c>
    </x:row>
    <x:row r="392" ht="42" customHeight="1">
      <x:c r="A392" s="6" t="str">
        <x:v>mazda service centers in dubai</x:v>
      </x:c>
      <x:c r="B392" s="14" t="n">
        <x:v>0</x:v>
      </x:c>
      <x:c r="C392" s="14" t="n">
        <x:v>37</x:v>
      </x:c>
      <x:c r="D392" s="15" t="n">
        <x:v>0</x:v>
      </x:c>
      <x:c r="E392" s="16" t="n">
        <x:v>32</x:v>
      </x:c>
      <x:c r="F392" s="6" t="str">
        <x:v>GROWTH</x:v>
      </x:c>
      <x:c r="G392" s="17" t="n">
        <x:f>'Scoring'!I392</x:f>
        <x:v>62.3</x:v>
      </x:c>
      <x:c r="H392" s="6" t="str">
        <x:v>PRIORITIZE</x:v>
      </x:c>
      <x:c r="I392" s="6" t="str">
        <x:v>mazda: Service and repair (English)</x:v>
      </x:c>
      <x:c r="J392" s="6" t="str">
        <x:v>Primary</x:v>
      </x:c>
      <x:c r="K392" s="6" t="str">
        <x:v>Commercial service enquiry</x:v>
      </x:c>
      <x:c r="L392" s="6" t="str">
        <x:v>High</x:v>
      </x:c>
      <x:c r="M392" s="6" t="str">
        <x:v>https://digitecme.com/brands/mazda-service-dubai</x:v>
      </x:c>
      <x:c r="N392" s="6" t="str">
        <x:v>Unknown — export has no query/page pairing</x:v>
      </x:c>
      <x:c r="O392" s="6" t="str">
        <x:v>Strengthen this primary intent owner</x:v>
      </x:c>
      <x:c r="P392" s="6" t="str">
        <x:v>Average position 32.00 makes ranking the main issue; avoid a CTR-only rewrite.</x:v>
      </x:c>
      <x:c r="Q392" s="6" t="str">
        <x:v>mazda</x:v>
      </x:c>
      <x:c r="R392" s="6" t="str">
        <x:v>service-repair</x:v>
      </x:c>
      <x:c r="S392" s="6" t="str">
        <x:v>Dubai explicit</x:v>
      </x:c>
      <x:c r="T392" s="6" t="n">
        <x:v>3</x:v>
      </x:c>
      <x:c r="U392" s="6" t="str">
        <x:v>21–40</x:v>
      </x:c>
      <x:c r="V392" s="6" t="str">
        <x:v>Content, internal authority and owner alignment</x:v>
      </x:c>
      <x:c r="W392" s="6" t="str">
        <x:v>High-value commercial</x:v>
      </x:c>
      <x:c r="X392" s="6" t="n">
        <x:v>388</x:v>
      </x:c>
      <x:c r="Y392" s="6" t="str">
        <x:v>Unconfirmed — joint query/page data required</x:v>
      </x:c>
    </x:row>
    <x:row r="393" ht="42" customHeight="1">
      <x:c r="A393" s="6" t="str">
        <x:v>car paint protection film</x:v>
      </x:c>
      <x:c r="B393" s="14" t="n">
        <x:v>0</x:v>
      </x:c>
      <x:c r="C393" s="14" t="n">
        <x:v>37</x:v>
      </x:c>
      <x:c r="D393" s="15" t="n">
        <x:v>0</x:v>
      </x:c>
      <x:c r="E393" s="16" t="n">
        <x:v>40.05</x:v>
      </x:c>
      <x:c r="F393" s="6" t="str">
        <x:v>GROWTH</x:v>
      </x:c>
      <x:c r="G393" s="17" t="n">
        <x:f>'Scoring'!I393</x:f>
        <x:v>59</x:v>
      </x:c>
      <x:c r="H393" s="6" t="str">
        <x:v>SUPPORT</x:v>
      </x:c>
      <x:c r="I393" s="6" t="str">
        <x:v>All vehicles: Paint protection film</x:v>
      </x:c>
      <x:c r="J393" s="6" t="str">
        <x:v>Secondary</x:v>
      </x:c>
      <x:c r="K393" s="6" t="str">
        <x:v>Commercial service enquiry</x:v>
      </x:c>
      <x:c r="L393" s="6" t="str">
        <x:v>High</x:v>
      </x:c>
      <x:c r="M393" s="6" t="str">
        <x:v>https://digitecme.com/services/paint-protection-film</x:v>
      </x:c>
      <x:c r="N393" s="6" t="str">
        <x:v>Unknown — export has no query/page pairing</x:v>
      </x:c>
      <x:c r="O393" s="6" t="str">
        <x:v>Retain primary intent and support variants</x:v>
      </x:c>
      <x:c r="P393" s="6" t="str">
        <x:v>Film intent belongs to the PPF page; vehicle and district terms are secondary context. Average position 40.05 makes ranking the main issue; avoid a CTR-only rewrite.</x:v>
      </x:c>
      <x:c r="Q393" s="6" t="str">
        <x:v>All vehicles</x:v>
      </x:c>
      <x:c r="R393" s="6" t="str">
        <x:v>ppf</x:v>
      </x:c>
      <x:c r="S393" s="6" t="str">
        <x:v>Location unspecified</x:v>
      </x:c>
      <x:c r="T393" s="6" t="n">
        <x:v>5</x:v>
      </x:c>
      <x:c r="U393" s="6" t="str">
        <x:v>40+</x:v>
      </x:c>
      <x:c r="V393" s="6" t="str">
        <x:v>Relevance, capability, indexing and authority review</x:v>
      </x:c>
      <x:c r="W393" s="6" t="str">
        <x:v>Relevant supporting</x:v>
      </x:c>
      <x:c r="X393" s="6" t="n">
        <x:v>389</x:v>
      </x:c>
      <x:c r="Y393" s="6" t="str">
        <x:v>Unconfirmed — joint query/page data required</x:v>
      </x:c>
    </x:row>
    <x:row r="394" ht="42" customHeight="1">
      <x:c r="A394" s="6" t="str">
        <x:v>auto garage in dubai</x:v>
      </x:c>
      <x:c r="B394" s="14" t="n">
        <x:v>0</x:v>
      </x:c>
      <x:c r="C394" s="14" t="n">
        <x:v>37</x:v>
      </x:c>
      <x:c r="D394" s="15" t="n">
        <x:v>0</x:v>
      </x:c>
      <x:c r="E394" s="16" t="n">
        <x:v>85.7</x:v>
      </x:c>
      <x:c r="F394" s="6" t="str">
        <x:v>GROWTH</x:v>
      </x:c>
      <x:c r="G394" s="17" t="n">
        <x:f>'Scoring'!I394</x:f>
        <x:v>56</x:v>
      </x:c>
      <x:c r="H394" s="6" t="str">
        <x:v>SUPPORT</x:v>
      </x:c>
      <x:c r="I394" s="6" t="str">
        <x:v>All vehicles: General garage and repair (English)</x:v>
      </x:c>
      <x:c r="J394" s="6" t="str">
        <x:v>Secondary</x:v>
      </x:c>
      <x:c r="K394" s="6" t="str">
        <x:v>Commercial service enquiry</x:v>
      </x:c>
      <x:c r="L394" s="6" t="str">
        <x:v>High</x:v>
      </x:c>
      <x:c r="M394" s="6" t="str">
        <x:v>https://digitecme.com/services/car-garage-dubai</x:v>
      </x:c>
      <x:c r="N394" s="6" t="str">
        <x:v>Unknown — export has no query/page pairing</x:v>
      </x:c>
      <x:c r="O394" s="6" t="str">
        <x:v>Retain primary intent and support variants</x:v>
      </x:c>
      <x:c r="P394" s="6" t="str">
        <x:v>Average position 85.70 makes ranking the main issue; avoid a CTR-only rewrite.</x:v>
      </x:c>
      <x:c r="Q394" s="6" t="str">
        <x:v>All vehicles</x:v>
      </x:c>
      <x:c r="R394" s="6" t="str">
        <x:v>service-repair</x:v>
      </x:c>
      <x:c r="S394" s="6" t="str">
        <x:v>Dubai explicit</x:v>
      </x:c>
      <x:c r="T394" s="6" t="n">
        <x:v>3</x:v>
      </x:c>
      <x:c r="U394" s="6" t="str">
        <x:v>40+</x:v>
      </x:c>
      <x:c r="V394" s="6" t="str">
        <x:v>Relevance, capability, indexing and authority review</x:v>
      </x:c>
      <x:c r="W394" s="6" t="str">
        <x:v>Relevant supporting</x:v>
      </x:c>
      <x:c r="X394" s="6" t="n">
        <x:v>390</x:v>
      </x:c>
      <x:c r="Y394" s="6" t="str">
        <x:v>Unconfirmed — joint query/page data required</x:v>
      </x:c>
    </x:row>
    <x:row r="395" ht="42" customHeight="1">
      <x:c r="A395" s="6" t="str">
        <x:v>mercedes battery replacement near me</x:v>
      </x:c>
      <x:c r="B395" s="14" t="n">
        <x:v>0</x:v>
      </x:c>
      <x:c r="C395" s="14" t="n">
        <x:v>36</x:v>
      </x:c>
      <x:c r="D395" s="15" t="n">
        <x:v>0</x:v>
      </x:c>
      <x:c r="E395" s="16" t="n">
        <x:v>9.08</x:v>
      </x:c>
      <x:c r="F395" s="6" t="str">
        <x:v>CRITICAL</x:v>
      </x:c>
      <x:c r="G395" s="17" t="n">
        <x:f>'Scoring'!I395</x:f>
        <x:v>95.2</x:v>
      </x:c>
      <x:c r="H395" s="6" t="str">
        <x:v>SPLIT</x:v>
      </x:c>
      <x:c r="I395" s="6" t="str">
        <x:v>mercedes-benz: Battery service</x:v>
      </x:c>
      <x:c r="J395" s="6" t="str">
        <x:v>Secondary</x:v>
      </x:c>
      <x:c r="K395" s="6" t="str">
        <x:v>Commercial service enquiry</x:v>
      </x:c>
      <x:c r="L395" s="6" t="str">
        <x:v>High</x:v>
      </x:c>
      <x:c r="M395" s="6" t="str">
        <x:v>https://digitecme.com/services/mercedes-battery-replacement-dubai</x:v>
      </x:c>
      <x:c r="N395" s="6" t="str">
        <x:v>Unknown — export has no query/page pairing</x:v>
      </x:c>
      <x:c r="O395" s="6" t="str">
        <x:v>Use dedicated service owner</x:v>
      </x:c>
      <x:c r="P395" s="6" t="str">
        <x:v>Zero clicks from 36 impressions at average position 9.08; inspect query/page, country/device and SERP before attributing this to the snippet.</x:v>
      </x:c>
      <x:c r="Q395" s="6" t="str">
        <x:v>mercedes-benz</x:v>
      </x:c>
      <x:c r="R395" s="6" t="str">
        <x:v>battery-replacement</x:v>
      </x:c>
      <x:c r="S395" s="6" t="str">
        <x:v>Near me; location unknown</x:v>
      </x:c>
      <x:c r="T395" s="6" t="n">
        <x:v>5</x:v>
      </x:c>
      <x:c r="U395" s="6" t="str">
        <x:v>4–10</x:v>
      </x:c>
      <x:c r="V395" s="6" t="str">
        <x:v>Page-one CTR review and top-three relevance</x:v>
      </x:c>
      <x:c r="W395" s="6" t="str">
        <x:v>High-value commercial</x:v>
      </x:c>
      <x:c r="X395" s="6" t="n">
        <x:v>391</x:v>
      </x:c>
      <x:c r="Y395" s="6" t="str">
        <x:v>Unconfirmed — joint query/page data required</x:v>
      </x:c>
    </x:row>
    <x:row r="396" ht="42" customHeight="1">
      <x:c r="A396" s="6" t="str">
        <x:v>bmw workshop</x:v>
      </x:c>
      <x:c r="B396" s="14" t="n">
        <x:v>0</x:v>
      </x:c>
      <x:c r="C396" s="14" t="n">
        <x:v>36</x:v>
      </x:c>
      <x:c r="D396" s="15" t="n">
        <x:v>0</x:v>
      </x:c>
      <x:c r="E396" s="16" t="n">
        <x:v>10.03</x:v>
      </x:c>
      <x:c r="F396" s="6" t="str">
        <x:v>CRITICAL</x:v>
      </x:c>
      <x:c r="G396" s="17" t="n">
        <x:f>'Scoring'!I396</x:f>
        <x:v>80.2</x:v>
      </x:c>
      <x:c r="H396" s="6" t="str">
        <x:v>SUPPORT</x:v>
      </x:c>
      <x:c r="I396" s="6" t="str">
        <x:v>bmw: Service and repair (English)</x:v>
      </x:c>
      <x:c r="J396" s="6" t="str">
        <x:v>Secondary</x:v>
      </x:c>
      <x:c r="K396" s="6" t="str">
        <x:v>Commercial service enquiry</x:v>
      </x:c>
      <x:c r="L396" s="6" t="str">
        <x:v>High</x:v>
      </x:c>
      <x:c r="M396" s="6" t="str">
        <x:v>https://digitecme.com/brands/bmw-service-dubai</x:v>
      </x:c>
      <x:c r="N396" s="6" t="str">
        <x:v>Unknown — export has no query/page pairing</x:v>
      </x:c>
      <x:c r="O396" s="6" t="str">
        <x:v>Retain primary intent and support variants</x:v>
      </x:c>
      <x:c r="P396" s="6" t="str">
        <x:v>36 impressions at average position 10.03; strengthen the appropriate intent owner and measure with a fresh comparable period.</x:v>
      </x:c>
      <x:c r="Q396" s="6" t="str">
        <x:v>bmw</x:v>
      </x:c>
      <x:c r="R396" s="6" t="str">
        <x:v>service-repair</x:v>
      </x:c>
      <x:c r="S396" s="6" t="str">
        <x:v>Location unspecified</x:v>
      </x:c>
      <x:c r="T396" s="6" t="n">
        <x:v>5</x:v>
      </x:c>
      <x:c r="U396" s="6" t="str">
        <x:v>11–20</x:v>
      </x:c>
      <x:c r="V396" s="6" t="str">
        <x:v>Ranking and owner relevance</x:v>
      </x:c>
      <x:c r="W396" s="6" t="str">
        <x:v>Relevant supporting</x:v>
      </x:c>
      <x:c r="X396" s="6" t="n">
        <x:v>392</x:v>
      </x:c>
      <x:c r="Y396" s="6" t="str">
        <x:v>Unconfirmed — joint query/page data required</x:v>
      </x:c>
    </x:row>
    <x:row r="397" ht="42" customHeight="1">
      <x:c r="A397" s="6" t="str">
        <x:v>porsche body repair</x:v>
      </x:c>
      <x:c r="B397" s="14" t="n">
        <x:v>0</x:v>
      </x:c>
      <x:c r="C397" s="14" t="n">
        <x:v>36</x:v>
      </x:c>
      <x:c r="D397" s="15" t="n">
        <x:v>0</x:v>
      </x:c>
      <x:c r="E397" s="16" t="n">
        <x:v>13.39</x:v>
      </x:c>
      <x:c r="F397" s="6" t="str">
        <x:v>CRITICAL</x:v>
      </x:c>
      <x:c r="G397" s="17" t="n">
        <x:f>'Scoring'!I397</x:f>
        <x:v>80.2</x:v>
      </x:c>
      <x:c r="H397" s="6" t="str">
        <x:v>SPLIT</x:v>
      </x:c>
      <x:c r="I397" s="6" t="str">
        <x:v>porsche: Body repair (English)</x:v>
      </x:c>
      <x:c r="J397" s="6" t="str">
        <x:v>Secondary</x:v>
      </x:c>
      <x:c r="K397" s="6" t="str">
        <x:v>Commercial service enquiry</x:v>
      </x:c>
      <x:c r="L397" s="6" t="str">
        <x:v>High</x:v>
      </x:c>
      <x:c r="M397" s="6" t="str">
        <x:v>https://digitecme.com/brands/porsche-service-dubai/body-repair</x:v>
      </x:c>
      <x:c r="N397" s="6" t="str">
        <x:v>Unknown — export has no query/page pairing</x:v>
      </x:c>
      <x:c r="O397" s="6" t="str">
        <x:v>Use dedicated service owner</x:v>
      </x:c>
      <x:c r="P397" s="6" t="str">
        <x:v>36 impressions at average position 13.39; strengthen the appropriate intent owner and measure with a fresh comparable period.</x:v>
      </x:c>
      <x:c r="Q397" s="6" t="str">
        <x:v>porsche</x:v>
      </x:c>
      <x:c r="R397" s="6" t="str">
        <x:v>body-repair</x:v>
      </x:c>
      <x:c r="S397" s="6" t="str">
        <x:v>Location unspecified</x:v>
      </x:c>
      <x:c r="T397" s="6" t="n">
        <x:v>5</x:v>
      </x:c>
      <x:c r="U397" s="6" t="str">
        <x:v>11–20</x:v>
      </x:c>
      <x:c r="V397" s="6" t="str">
        <x:v>Ranking and owner relevance</x:v>
      </x:c>
      <x:c r="W397" s="6" t="str">
        <x:v>High-value commercial</x:v>
      </x:c>
      <x:c r="X397" s="6" t="n">
        <x:v>393</x:v>
      </x:c>
      <x:c r="Y397" s="6" t="str">
        <x:v>Unconfirmed — joint query/page data required</x:v>
      </x:c>
    </x:row>
    <x:row r="398" ht="42" customHeight="1">
      <x:c r="A398" s="6" t="str">
        <x:v>land rover transmission repair dubai</x:v>
      </x:c>
      <x:c r="B398" s="14" t="n">
        <x:v>0</x:v>
      </x:c>
      <x:c r="C398" s="14" t="n">
        <x:v>36</x:v>
      </x:c>
      <x:c r="D398" s="15" t="n">
        <x:v>0</x:v>
      </x:c>
      <x:c r="E398" s="16" t="n">
        <x:v>18.08</x:v>
      </x:c>
      <x:c r="F398" s="6" t="str">
        <x:v>HIGH</x:v>
      </x:c>
      <x:c r="G398" s="17" t="n">
        <x:f>'Scoring'!I398</x:f>
        <x:v>77.7</x:v>
      </x:c>
      <x:c r="H398" s="6" t="str">
        <x:v>SPLIT</x:v>
      </x:c>
      <x:c r="I398" s="6" t="str">
        <x:v>land-rover: Transmission and gearbox repair</x:v>
      </x:c>
      <x:c r="J398" s="6" t="str">
        <x:v>Primary</x:v>
      </x:c>
      <x:c r="K398" s="6" t="str">
        <x:v>Commercial service enquiry</x:v>
      </x:c>
      <x:c r="L398" s="6" t="str">
        <x:v>High</x:v>
      </x:c>
      <x:c r="M398" s="6" t="str">
        <x:v>https://digitecme.com/brands/land-rover-service-dubai/transmission-repair</x:v>
      </x:c>
      <x:c r="N398" s="6" t="str">
        <x:v>Unknown — export has no query/page pairing</x:v>
      </x:c>
      <x:c r="O398" s="6" t="str">
        <x:v>Use dedicated service owner</x:v>
      </x:c>
      <x:c r="P398" s="6" t="str">
        <x:v>36 impressions at average position 18.08; strengthen the appropriate intent owner and measure with a fresh comparable period.</x:v>
      </x:c>
      <x:c r="Q398" s="6" t="str">
        <x:v>land-rover</x:v>
      </x:c>
      <x:c r="R398" s="6" t="str">
        <x:v>transmission-repair</x:v>
      </x:c>
      <x:c r="S398" s="6" t="str">
        <x:v>Dubai explicit</x:v>
      </x:c>
      <x:c r="T398" s="6" t="n">
        <x:v>5</x:v>
      </x:c>
      <x:c r="U398" s="6" t="str">
        <x:v>11–20</x:v>
      </x:c>
      <x:c r="V398" s="6" t="str">
        <x:v>Ranking and owner relevance</x:v>
      </x:c>
      <x:c r="W398" s="6" t="str">
        <x:v>High-value commercial</x:v>
      </x:c>
      <x:c r="X398" s="6" t="n">
        <x:v>394</x:v>
      </x:c>
      <x:c r="Y398" s="6" t="str">
        <x:v>Unconfirmed — joint query/page data required</x:v>
      </x:c>
    </x:row>
    <x:row r="399" ht="42" customHeight="1">
      <x:c r="A399" s="6" t="str">
        <x:v>hummer service dubai</x:v>
      </x:c>
      <x:c r="B399" s="14" t="n">
        <x:v>0</x:v>
      </x:c>
      <x:c r="C399" s="14" t="n">
        <x:v>36</x:v>
      </x:c>
      <x:c r="D399" s="15" t="n">
        <x:v>0</x:v>
      </x:c>
      <x:c r="E399" s="16" t="n">
        <x:v>20.22</x:v>
      </x:c>
      <x:c r="F399" s="6" t="str">
        <x:v>HIGH</x:v>
      </x:c>
      <x:c r="G399" s="17" t="n">
        <x:f>'Scoring'!I399</x:f>
        <x:v>69.7</x:v>
      </x:c>
      <x:c r="H399" s="6" t="str">
        <x:v>SUPPORT</x:v>
      </x:c>
      <x:c r="I399" s="6" t="str">
        <x:v>hummer: Service and repair</x:v>
      </x:c>
      <x:c r="J399" s="6" t="str">
        <x:v>Secondary</x:v>
      </x:c>
      <x:c r="K399" s="6" t="str">
        <x:v>Commercial service enquiry</x:v>
      </x:c>
      <x:c r="L399" s="6" t="str">
        <x:v>High</x:v>
      </x:c>
      <x:c r="M399" s="6" t="str">
        <x:v>https://digitecme.com/brands/hummer-service-dubai</x:v>
      </x:c>
      <x:c r="N399" s="6" t="str">
        <x:v>Unknown — export has no query/page pairing</x:v>
      </x:c>
      <x:c r="O399" s="6" t="str">
        <x:v>Retain primary intent and support variants</x:v>
      </x:c>
      <x:c r="P399" s="6" t="str">
        <x:v>Average position 20.22 makes ranking the main issue; avoid a CTR-only rewrite.</x:v>
      </x:c>
      <x:c r="Q399" s="6" t="str">
        <x:v>hummer</x:v>
      </x:c>
      <x:c r="R399" s="6" t="str">
        <x:v>service-repair</x:v>
      </x:c>
      <x:c r="S399" s="6" t="str">
        <x:v>Dubai explicit</x:v>
      </x:c>
      <x:c r="T399" s="6" t="n">
        <x:v>3</x:v>
      </x:c>
      <x:c r="U399" s="6" t="str">
        <x:v>21–40</x:v>
      </x:c>
      <x:c r="V399" s="6" t="str">
        <x:v>Content, internal authority and owner alignment</x:v>
      </x:c>
      <x:c r="W399" s="6" t="str">
        <x:v>Relevant supporting</x:v>
      </x:c>
      <x:c r="X399" s="6" t="n">
        <x:v>395</x:v>
      </x:c>
      <x:c r="Y399" s="6" t="str">
        <x:v>Unconfirmed — joint query/page data required</x:v>
      </x:c>
    </x:row>
    <x:row r="400" ht="42" customHeight="1">
      <x:c r="A400" s="6" t="str">
        <x:v>bmw specialist dubai</x:v>
      </x:c>
      <x:c r="B400" s="14" t="n">
        <x:v>0</x:v>
      </x:c>
      <x:c r="C400" s="14" t="n">
        <x:v>36</x:v>
      </x:c>
      <x:c r="D400" s="15" t="n">
        <x:v>0</x:v>
      </x:c>
      <x:c r="E400" s="16" t="n">
        <x:v>20.31</x:v>
      </x:c>
      <x:c r="F400" s="6" t="str">
        <x:v>HIGH</x:v>
      </x:c>
      <x:c r="G400" s="17" t="n">
        <x:f>'Scoring'!I400</x:f>
        <x:v>77.7</x:v>
      </x:c>
      <x:c r="H400" s="6" t="str">
        <x:v>SUPPORT</x:v>
      </x:c>
      <x:c r="I400" s="6" t="str">
        <x:v>bmw: Service and repair (English)</x:v>
      </x:c>
      <x:c r="J400" s="6" t="str">
        <x:v>Secondary</x:v>
      </x:c>
      <x:c r="K400" s="6" t="str">
        <x:v>Commercial service enquiry</x:v>
      </x:c>
      <x:c r="L400" s="6" t="str">
        <x:v>High</x:v>
      </x:c>
      <x:c r="M400" s="6" t="str">
        <x:v>https://digitecme.com/brands/bmw-service-dubai</x:v>
      </x:c>
      <x:c r="N400" s="6" t="str">
        <x:v>Unknown — export has no query/page pairing</x:v>
      </x:c>
      <x:c r="O400" s="6" t="str">
        <x:v>Retain primary intent and support variants</x:v>
      </x:c>
      <x:c r="P400" s="6" t="str">
        <x:v>Average position 20.31 makes ranking the main issue; avoid a CTR-only rewrite.</x:v>
      </x:c>
      <x:c r="Q400" s="6" t="str">
        <x:v>bmw</x:v>
      </x:c>
      <x:c r="R400" s="6" t="str">
        <x:v>service-repair</x:v>
      </x:c>
      <x:c r="S400" s="6" t="str">
        <x:v>Dubai explicit</x:v>
      </x:c>
      <x:c r="T400" s="6" t="n">
        <x:v>5</x:v>
      </x:c>
      <x:c r="U400" s="6" t="str">
        <x:v>21–40</x:v>
      </x:c>
      <x:c r="V400" s="6" t="str">
        <x:v>Content, internal authority and owner alignment</x:v>
      </x:c>
      <x:c r="W400" s="6" t="str">
        <x:v>Relevant supporting</x:v>
      </x:c>
      <x:c r="X400" s="6" t="n">
        <x:v>396</x:v>
      </x:c>
      <x:c r="Y400" s="6" t="str">
        <x:v>Unconfirmed — joint query/page data required</x:v>
      </x:c>
    </x:row>
    <x:row r="401" ht="42" customHeight="1">
      <x:c r="A401" s="6" t="str">
        <x:v>lamborghini service center</x:v>
      </x:c>
      <x:c r="B401" s="14" t="n">
        <x:v>0</x:v>
      </x:c>
      <x:c r="C401" s="14" t="n">
        <x:v>36</x:v>
      </x:c>
      <x:c r="D401" s="15" t="n">
        <x:v>0</x:v>
      </x:c>
      <x:c r="E401" s="16" t="n">
        <x:v>23.36</x:v>
      </x:c>
      <x:c r="F401" s="6" t="str">
        <x:v>HIGH</x:v>
      </x:c>
      <x:c r="G401" s="17" t="n">
        <x:f>'Scoring'!I401</x:f>
        <x:v>72.7</x:v>
      </x:c>
      <x:c r="H401" s="6" t="str">
        <x:v>SUPPORT</x:v>
      </x:c>
      <x:c r="I401" s="6" t="str">
        <x:v>lamborghini: Service and repair</x:v>
      </x:c>
      <x:c r="J401" s="6" t="str">
        <x:v>Secondary</x:v>
      </x:c>
      <x:c r="K401" s="6" t="str">
        <x:v>Commercial service enquiry</x:v>
      </x:c>
      <x:c r="L401" s="6" t="str">
        <x:v>High</x:v>
      </x:c>
      <x:c r="M401" s="6" t="str">
        <x:v>https://digitecme.com/brands/lamborghini-service-dubai</x:v>
      </x:c>
      <x:c r="N401" s="6" t="str">
        <x:v>Unknown — export has no query/page pairing</x:v>
      </x:c>
      <x:c r="O401" s="6" t="str">
        <x:v>Retain primary intent and support variants</x:v>
      </x:c>
      <x:c r="P401" s="6" t="str">
        <x:v>Average position 23.36 makes ranking the main issue; avoid a CTR-only rewrite.</x:v>
      </x:c>
      <x:c r="Q401" s="6" t="str">
        <x:v>lamborghini</x:v>
      </x:c>
      <x:c r="R401" s="6" t="str">
        <x:v>service-repair</x:v>
      </x:c>
      <x:c r="S401" s="6" t="str">
        <x:v>Location unspecified</x:v>
      </x:c>
      <x:c r="T401" s="6" t="n">
        <x:v>5</x:v>
      </x:c>
      <x:c r="U401" s="6" t="str">
        <x:v>21–40</x:v>
      </x:c>
      <x:c r="V401" s="6" t="str">
        <x:v>Content, internal authority and owner alignment</x:v>
      </x:c>
      <x:c r="W401" s="6" t="str">
        <x:v>Relevant supporting</x:v>
      </x:c>
      <x:c r="X401" s="6" t="n">
        <x:v>397</x:v>
      </x:c>
      <x:c r="Y401" s="6" t="str">
        <x:v>Unconfirmed — joint query/page data required</x:v>
      </x:c>
    </x:row>
    <x:row r="402" ht="42" customHeight="1">
      <x:c r="A402" s="6" t="str">
        <x:v>ورشة صيانة بنتلي</x:v>
      </x:c>
      <x:c r="B402" s="14" t="n">
        <x:v>0</x:v>
      </x:c>
      <x:c r="C402" s="14" t="n">
        <x:v>36</x:v>
      </x:c>
      <x:c r="D402" s="15" t="n">
        <x:v>0</x:v>
      </x:c>
      <x:c r="E402" s="16" t="n">
        <x:v>41.61</x:v>
      </x:c>
      <x:c r="F402" s="6" t="str">
        <x:v>GROWTH</x:v>
      </x:c>
      <x:c r="G402" s="17" t="n">
        <x:f>'Scoring'!I402</x:f>
        <x:v>59</x:v>
      </x:c>
      <x:c r="H402" s="6" t="str">
        <x:v>PRIORITIZE</x:v>
      </x:c>
      <x:c r="I402" s="6" t="str">
        <x:v>bentley: Service and repair (Arabic)</x:v>
      </x:c>
      <x:c r="J402" s="6" t="str">
        <x:v>Primary</x:v>
      </x:c>
      <x:c r="K402" s="6" t="str">
        <x:v>Commercial service enquiry</x:v>
      </x:c>
      <x:c r="L402" s="6" t="str">
        <x:v>High</x:v>
      </x:c>
      <x:c r="M402" s="6" t="str">
        <x:v>https://digitecme.com/ar/brands/bentley-service-dubai</x:v>
      </x:c>
      <x:c r="N402" s="6" t="str">
        <x:v>Unknown — export has no query/page pairing</x:v>
      </x:c>
      <x:c r="O402" s="6" t="str">
        <x:v>Strengthen this primary intent owner</x:v>
      </x:c>
      <x:c r="P402" s="6" t="str">
        <x:v>Use the existing Arabic counterpart and verify its translation quality. Average position 41.61 makes ranking the main issue; avoid a CTR-only rewrite.</x:v>
      </x:c>
      <x:c r="Q402" s="6" t="str">
        <x:v>bentley</x:v>
      </x:c>
      <x:c r="R402" s="6" t="str">
        <x:v>service-repair</x:v>
      </x:c>
      <x:c r="S402" s="6" t="str">
        <x:v>Location unspecified</x:v>
      </x:c>
      <x:c r="T402" s="6" t="n">
        <x:v>5</x:v>
      </x:c>
      <x:c r="U402" s="6" t="str">
        <x:v>40+</x:v>
      </x:c>
      <x:c r="V402" s="6" t="str">
        <x:v>Relevance, capability, indexing and authority review</x:v>
      </x:c>
      <x:c r="W402" s="6" t="str">
        <x:v>High-value commercial</x:v>
      </x:c>
      <x:c r="X402" s="6" t="n">
        <x:v>398</x:v>
      </x:c>
      <x:c r="Y402" s="6" t="str">
        <x:v>Unconfirmed — joint query/page data required</x:v>
      </x:c>
    </x:row>
    <x:row r="403" ht="42" customHeight="1">
      <x:c r="A403" s="6" t="str">
        <x:v>bmw diagnostics dubai</x:v>
      </x:c>
      <x:c r="B403" s="14" t="n">
        <x:v>0</x:v>
      </x:c>
      <x:c r="C403" s="14" t="n">
        <x:v>35</x:v>
      </x:c>
      <x:c r="D403" s="15" t="n">
        <x:v>0</x:v>
      </x:c>
      <x:c r="E403" s="16" t="n">
        <x:v>14.09</x:v>
      </x:c>
      <x:c r="F403" s="6" t="str">
        <x:v>CRITICAL</x:v>
      </x:c>
      <x:c r="G403" s="17" t="n">
        <x:f>'Scoring'!I403</x:f>
        <x:v>85.2</x:v>
      </x:c>
      <x:c r="H403" s="6" t="str">
        <x:v>SPLIT</x:v>
      </x:c>
      <x:c r="I403" s="6" t="str">
        <x:v>bmw: Diagnostics and supported coding</x:v>
      </x:c>
      <x:c r="J403" s="6" t="str">
        <x:v>Primary</x:v>
      </x:c>
      <x:c r="K403" s="6" t="str">
        <x:v>Commercial service enquiry</x:v>
      </x:c>
      <x:c r="L403" s="6" t="str">
        <x:v>High</x:v>
      </x:c>
      <x:c r="M403" s="6" t="str">
        <x:v>https://digitecme.com/brands/bmw-service-dubai/engine-diagnostics</x:v>
      </x:c>
      <x:c r="N403" s="6" t="str">
        <x:v>Unknown — export has no query/page pairing</x:v>
      </x:c>
      <x:c r="O403" s="6" t="str">
        <x:v>Use dedicated service owner</x:v>
      </x:c>
      <x:c r="P403" s="6" t="str">
        <x:v>35 impressions at average position 14.09; strengthen the appropriate intent owner and measure with a fresh comparable period.</x:v>
      </x:c>
      <x:c r="Q403" s="6" t="str">
        <x:v>bmw</x:v>
      </x:c>
      <x:c r="R403" s="6" t="str">
        <x:v>engine-diagnostics</x:v>
      </x:c>
      <x:c r="S403" s="6" t="str">
        <x:v>Dubai explicit</x:v>
      </x:c>
      <x:c r="T403" s="6" t="n">
        <x:v>5</x:v>
      </x:c>
      <x:c r="U403" s="6" t="str">
        <x:v>11–20</x:v>
      </x:c>
      <x:c r="V403" s="6" t="str">
        <x:v>Ranking and owner relevance</x:v>
      </x:c>
      <x:c r="W403" s="6" t="str">
        <x:v>High-value commercial</x:v>
      </x:c>
      <x:c r="X403" s="6" t="n">
        <x:v>399</x:v>
      </x:c>
      <x:c r="Y403" s="6" t="str">
        <x:v>Unconfirmed — joint query/page data required</x:v>
      </x:c>
    </x:row>
    <x:row r="404" ht="42" customHeight="1">
      <x:c r="A404" s="6" t="str">
        <x:v>car exhaust repair</x:v>
      </x:c>
      <x:c r="B404" s="14" t="n">
        <x:v>0</x:v>
      </x:c>
      <x:c r="C404" s="14" t="n">
        <x:v>35</x:v>
      </x:c>
      <x:c r="D404" s="15" t="n">
        <x:v>0</x:v>
      </x:c>
      <x:c r="E404" s="16" t="n">
        <x:v>16.71</x:v>
      </x:c>
      <x:c r="F404" s="6" t="str">
        <x:v>HIGH</x:v>
      </x:c>
      <x:c r="G404" s="17" t="n">
        <x:f>'Scoring'!I404</x:f>
        <x:v>64.7</x:v>
      </x:c>
      <x:c r="H404" s="6" t="str">
        <x:v>SUPPORT</x:v>
      </x:c>
      <x:c r="I404" s="6" t="str">
        <x:v>All vehicles: Exhaust repair</x:v>
      </x:c>
      <x:c r="J404" s="6" t="str">
        <x:v>Secondary</x:v>
      </x:c>
      <x:c r="K404" s="6" t="str">
        <x:v>Commercial service enquiry</x:v>
      </x:c>
      <x:c r="L404" s="6" t="str">
        <x:v>High</x:v>
      </x:c>
      <x:c r="M404" s="6" t="str">
        <x:v>https://digitecme.com/services/exhaust-repair-dubai</x:v>
      </x:c>
      <x:c r="N404" s="6" t="str">
        <x:v>Unknown — export has no query/page pairing</x:v>
      </x:c>
      <x:c r="O404" s="6" t="str">
        <x:v>Retain primary intent and support variants</x:v>
      </x:c>
      <x:c r="P404" s="6" t="str">
        <x:v>35 impressions at average position 16.71; strengthen the appropriate intent owner and measure with a fresh comparable period.</x:v>
      </x:c>
      <x:c r="Q404" s="6" t="str">
        <x:v>All vehicles</x:v>
      </x:c>
      <x:c r="R404" s="6" t="str">
        <x:v>exhaust-repair</x:v>
      </x:c>
      <x:c r="S404" s="6" t="str">
        <x:v>Location unspecified</x:v>
      </x:c>
      <x:c r="T404" s="6" t="n">
        <x:v>3</x:v>
      </x:c>
      <x:c r="U404" s="6" t="str">
        <x:v>11–20</x:v>
      </x:c>
      <x:c r="V404" s="6" t="str">
        <x:v>Ranking and owner relevance</x:v>
      </x:c>
      <x:c r="W404" s="6" t="str">
        <x:v>Relevant supporting</x:v>
      </x:c>
      <x:c r="X404" s="6" t="n">
        <x:v>400</x:v>
      </x:c>
      <x:c r="Y404" s="6" t="str">
        <x:v>Unconfirmed — joint query/page data required</x:v>
      </x:c>
    </x:row>
    <x:row r="405" ht="42" customHeight="1">
      <x:c r="A405" s="6" t="str">
        <x:v>ورشة صيانة اودي</x:v>
      </x:c>
      <x:c r="B405" s="14" t="n">
        <x:v>0</x:v>
      </x:c>
      <x:c r="C405" s="14" t="n">
        <x:v>35</x:v>
      </x:c>
      <x:c r="D405" s="15" t="n">
        <x:v>0</x:v>
      </x:c>
      <x:c r="E405" s="16" t="n">
        <x:v>22.23</x:v>
      </x:c>
      <x:c r="F405" s="6" t="str">
        <x:v>HIGH</x:v>
      </x:c>
      <x:c r="G405" s="17" t="n">
        <x:f>'Scoring'!I405</x:f>
        <x:v>72.7</x:v>
      </x:c>
      <x:c r="H405" s="6" t="str">
        <x:v>SUPPORT</x:v>
      </x:c>
      <x:c r="I405" s="6" t="str">
        <x:v>audi: Service and repair (Arabic)</x:v>
      </x:c>
      <x:c r="J405" s="6" t="str">
        <x:v>Secondary</x:v>
      </x:c>
      <x:c r="K405" s="6" t="str">
        <x:v>Commercial service enquiry</x:v>
      </x:c>
      <x:c r="L405" s="6" t="str">
        <x:v>High</x:v>
      </x:c>
      <x:c r="M405" s="6" t="str">
        <x:v>https://digitecme.com/ar/brands/audi-service-dubai</x:v>
      </x:c>
      <x:c r="N405" s="6" t="str">
        <x:v>Unknown — export has no query/page pairing</x:v>
      </x:c>
      <x:c r="O405" s="6" t="str">
        <x:v>Retain primary intent and support variants</x:v>
      </x:c>
      <x:c r="P405" s="6" t="str">
        <x:v>Use the existing Arabic counterpart and verify its translation quality. Average position 22.23 makes ranking the main issue; avoid a CTR-only rewrite.</x:v>
      </x:c>
      <x:c r="Q405" s="6" t="str">
        <x:v>audi</x:v>
      </x:c>
      <x:c r="R405" s="6" t="str">
        <x:v>service-repair</x:v>
      </x:c>
      <x:c r="S405" s="6" t="str">
        <x:v>Location unspecified</x:v>
      </x:c>
      <x:c r="T405" s="6" t="n">
        <x:v>5</x:v>
      </x:c>
      <x:c r="U405" s="6" t="str">
        <x:v>21–40</x:v>
      </x:c>
      <x:c r="V405" s="6" t="str">
        <x:v>Content, internal authority and owner alignment</x:v>
      </x:c>
      <x:c r="W405" s="6" t="str">
        <x:v>Relevant supporting</x:v>
      </x:c>
      <x:c r="X405" s="6" t="n">
        <x:v>401</x:v>
      </x:c>
      <x:c r="Y405" s="6" t="str">
        <x:v>Unconfirmed — joint query/page data required</x:v>
      </x:c>
    </x:row>
    <x:row r="406" ht="42" customHeight="1">
      <x:c r="A406" s="6" t="str">
        <x:v>mercedes mechanic</x:v>
      </x:c>
      <x:c r="B406" s="14" t="n">
        <x:v>0</x:v>
      </x:c>
      <x:c r="C406" s="14" t="n">
        <x:v>35</x:v>
      </x:c>
      <x:c r="D406" s="15" t="n">
        <x:v>0</x:v>
      </x:c>
      <x:c r="E406" s="16" t="n">
        <x:v>22.43</x:v>
      </x:c>
      <x:c r="F406" s="6" t="str">
        <x:v>HIGH</x:v>
      </x:c>
      <x:c r="G406" s="17" t="n">
        <x:f>'Scoring'!I406</x:f>
        <x:v>72.7</x:v>
      </x:c>
      <x:c r="H406" s="6" t="str">
        <x:v>SUPPORT</x:v>
      </x:c>
      <x:c r="I406" s="6" t="str">
        <x:v>mercedes-benz: Service and repair (English)</x:v>
      </x:c>
      <x:c r="J406" s="6" t="str">
        <x:v>Secondary</x:v>
      </x:c>
      <x:c r="K406" s="6" t="str">
        <x:v>Commercial service enquiry</x:v>
      </x:c>
      <x:c r="L406" s="6" t="str">
        <x:v>High</x:v>
      </x:c>
      <x:c r="M406" s="6" t="str">
        <x:v>https://digitecme.com/brands/mercedes-benz-service-dubai</x:v>
      </x:c>
      <x:c r="N406" s="6" t="str">
        <x:v>Unknown — export has no query/page pairing</x:v>
      </x:c>
      <x:c r="O406" s="6" t="str">
        <x:v>Retain primary intent and support variants</x:v>
      </x:c>
      <x:c r="P406" s="6" t="str">
        <x:v>Average position 22.43 makes ranking the main issue; avoid a CTR-only rewrite.</x:v>
      </x:c>
      <x:c r="Q406" s="6" t="str">
        <x:v>mercedes-benz</x:v>
      </x:c>
      <x:c r="R406" s="6" t="str">
        <x:v>service-repair</x:v>
      </x:c>
      <x:c r="S406" s="6" t="str">
        <x:v>Location unspecified</x:v>
      </x:c>
      <x:c r="T406" s="6" t="n">
        <x:v>5</x:v>
      </x:c>
      <x:c r="U406" s="6" t="str">
        <x:v>21–40</x:v>
      </x:c>
      <x:c r="V406" s="6" t="str">
        <x:v>Content, internal authority and owner alignment</x:v>
      </x:c>
      <x:c r="W406" s="6" t="str">
        <x:v>Relevant supporting</x:v>
      </x:c>
      <x:c r="X406" s="6" t="n">
        <x:v>402</x:v>
      </x:c>
      <x:c r="Y406" s="6" t="str">
        <x:v>Unconfirmed — joint query/page data required</x:v>
      </x:c>
    </x:row>
    <x:row r="407" ht="42" customHeight="1">
      <x:c r="A407" s="6" t="str">
        <x:v>transmission repair</x:v>
      </x:c>
      <x:c r="B407" s="14" t="n">
        <x:v>0</x:v>
      </x:c>
      <x:c r="C407" s="14" t="n">
        <x:v>35</x:v>
      </x:c>
      <x:c r="D407" s="15" t="n">
        <x:v>0</x:v>
      </x:c>
      <x:c r="E407" s="16" t="n">
        <x:v>22.54</x:v>
      </x:c>
      <x:c r="F407" s="6" t="str">
        <x:v>HIGH</x:v>
      </x:c>
      <x:c r="G407" s="17" t="n">
        <x:f>'Scoring'!I407</x:f>
        <x:v>64.7</x:v>
      </x:c>
      <x:c r="H407" s="6" t="str">
        <x:v>SUPPORT</x:v>
      </x:c>
      <x:c r="I407" s="6" t="str">
        <x:v>All vehicles: Transmission and gearbox repair</x:v>
      </x:c>
      <x:c r="J407" s="6" t="str">
        <x:v>Secondary</x:v>
      </x:c>
      <x:c r="K407" s="6" t="str">
        <x:v>Commercial service enquiry</x:v>
      </x:c>
      <x:c r="L407" s="6" t="str">
        <x:v>High</x:v>
      </x:c>
      <x:c r="M407" s="6" t="str">
        <x:v>https://digitecme.com/services/car-service-dubai</x:v>
      </x:c>
      <x:c r="N407" s="6" t="str">
        <x:v>Unknown — export has no query/page pairing</x:v>
      </x:c>
      <x:c r="O407" s="6" t="str">
        <x:v>Retain primary intent and support variants</x:v>
      </x:c>
      <x:c r="P407" s="6" t="str">
        <x:v>Average position 22.54 makes ranking the main issue; avoid a CTR-only rewrite.</x:v>
      </x:c>
      <x:c r="Q407" s="6" t="str">
        <x:v>All vehicles</x:v>
      </x:c>
      <x:c r="R407" s="6" t="str">
        <x:v>transmission-repair</x:v>
      </x:c>
      <x:c r="S407" s="6" t="str">
        <x:v>Location unspecified</x:v>
      </x:c>
      <x:c r="T407" s="6" t="n">
        <x:v>3</x:v>
      </x:c>
      <x:c r="U407" s="6" t="str">
        <x:v>21–40</x:v>
      </x:c>
      <x:c r="V407" s="6" t="str">
        <x:v>Content, internal authority and owner alignment</x:v>
      </x:c>
      <x:c r="W407" s="6" t="str">
        <x:v>Relevant supporting</x:v>
      </x:c>
      <x:c r="X407" s="6" t="n">
        <x:v>403</x:v>
      </x:c>
      <x:c r="Y407" s="6" t="str">
        <x:v>Unconfirmed — joint query/page data required</x:v>
      </x:c>
    </x:row>
    <x:row r="408" ht="42" customHeight="1">
      <x:c r="A408" s="6" t="str">
        <x:v>jaguar repair specialist</x:v>
      </x:c>
      <x:c r="B408" s="14" t="n">
        <x:v>0</x:v>
      </x:c>
      <x:c r="C408" s="14" t="n">
        <x:v>35</x:v>
      </x:c>
      <x:c r="D408" s="15" t="n">
        <x:v>0</x:v>
      </x:c>
      <x:c r="E408" s="16" t="n">
        <x:v>37.37</x:v>
      </x:c>
      <x:c r="F408" s="6" t="str">
        <x:v>GROWTH</x:v>
      </x:c>
      <x:c r="G408" s="17" t="n">
        <x:f>'Scoring'!I408</x:f>
        <x:v>57.2</x:v>
      </x:c>
      <x:c r="H408" s="6" t="str">
        <x:v>SUPPORT</x:v>
      </x:c>
      <x:c r="I408" s="6" t="str">
        <x:v>jaguar: Service and repair</x:v>
      </x:c>
      <x:c r="J408" s="6" t="str">
        <x:v>Secondary</x:v>
      </x:c>
      <x:c r="K408" s="6" t="str">
        <x:v>Commercial service enquiry</x:v>
      </x:c>
      <x:c r="L408" s="6" t="str">
        <x:v>High</x:v>
      </x:c>
      <x:c r="M408" s="6" t="str">
        <x:v>https://digitecme.com/brands/jaguar-service-dubai</x:v>
      </x:c>
      <x:c r="N408" s="6" t="str">
        <x:v>Unknown — export has no query/page pairing</x:v>
      </x:c>
      <x:c r="O408" s="6" t="str">
        <x:v>Retain primary intent and support variants</x:v>
      </x:c>
      <x:c r="P408" s="6" t="str">
        <x:v>Average position 37.37 makes ranking the main issue; avoid a CTR-only rewrite.</x:v>
      </x:c>
      <x:c r="Q408" s="6" t="str">
        <x:v>jaguar</x:v>
      </x:c>
      <x:c r="R408" s="6" t="str">
        <x:v>service-repair</x:v>
      </x:c>
      <x:c r="S408" s="6" t="str">
        <x:v>Location unspecified</x:v>
      </x:c>
      <x:c r="T408" s="6" t="n">
        <x:v>3</x:v>
      </x:c>
      <x:c r="U408" s="6" t="str">
        <x:v>21–40</x:v>
      </x:c>
      <x:c r="V408" s="6" t="str">
        <x:v>Content, internal authority and owner alignment</x:v>
      </x:c>
      <x:c r="W408" s="6" t="str">
        <x:v>Relevant supporting</x:v>
      </x:c>
      <x:c r="X408" s="6" t="n">
        <x:v>404</x:v>
      </x:c>
      <x:c r="Y408" s="6" t="str">
        <x:v>Unconfirmed — joint query/page data required</x:v>
      </x:c>
    </x:row>
    <x:row r="409" ht="57" customHeight="1">
      <x:c r="A409" s="6" t="str">
        <x:v>vehicle paint protection</x:v>
      </x:c>
      <x:c r="B409" s="14" t="n">
        <x:v>0</x:v>
      </x:c>
      <x:c r="C409" s="14" t="n">
        <x:v>35</x:v>
      </x:c>
      <x:c r="D409" s="15" t="n">
        <x:v>0</x:v>
      </x:c>
      <x:c r="E409" s="16" t="n">
        <x:v>38.54</x:v>
      </x:c>
      <x:c r="F409" s="6" t="str">
        <x:v>GROWTH</x:v>
      </x:c>
      <x:c r="G409" s="17" t="n">
        <x:f>'Scoring'!I409</x:f>
        <x:v>65.2</x:v>
      </x:c>
      <x:c r="H409" s="6" t="str">
        <x:v>SUPPORT</x:v>
      </x:c>
      <x:c r="I409" s="6" t="str">
        <x:v>All vehicles: Paint care and protection comparison</x:v>
      </x:c>
      <x:c r="J409" s="6" t="str">
        <x:v>Secondary</x:v>
      </x:c>
      <x:c r="K409" s="6" t="str">
        <x:v>Commercial service enquiry</x:v>
      </x:c>
      <x:c r="L409" s="6" t="str">
        <x:v>High</x:v>
      </x:c>
      <x:c r="M409" s="6" t="str">
        <x:v>https://digitecme.com/services/paint-protection-dubai</x:v>
      </x:c>
      <x:c r="N409" s="6" t="str">
        <x:v>Unknown — export has no query/page pairing</x:v>
      </x:c>
      <x:c r="O409" s="6" t="str">
        <x:v>Retain primary intent and support variants</x:v>
      </x:c>
      <x:c r="P409" s="6" t="str">
        <x:v>Broad protection intent is mixed; the comparison hub should direct film and coating enquiries to their specialist pages. Average position 38.54 makes ranking the main issue; avoid a CTR-only rewrite.</x:v>
      </x:c>
      <x:c r="Q409" s="6" t="str">
        <x:v>All vehicles</x:v>
      </x:c>
      <x:c r="R409" s="6" t="str">
        <x:v>paint-care</x:v>
      </x:c>
      <x:c r="S409" s="6" t="str">
        <x:v>Location unspecified</x:v>
      </x:c>
      <x:c r="T409" s="6" t="n">
        <x:v>5</x:v>
      </x:c>
      <x:c r="U409" s="6" t="str">
        <x:v>21–40</x:v>
      </x:c>
      <x:c r="V409" s="6" t="str">
        <x:v>Content, internal authority and owner alignment</x:v>
      </x:c>
      <x:c r="W409" s="6" t="str">
        <x:v>Relevant supporting</x:v>
      </x:c>
      <x:c r="X409" s="6" t="n">
        <x:v>405</x:v>
      </x:c>
      <x:c r="Y409" s="6" t="str">
        <x:v>Unconfirmed — joint query/page data required</x:v>
      </x:c>
    </x:row>
    <x:row r="410" ht="42" customHeight="1">
      <x:c r="A410" s="6" t="str">
        <x:v>engine oil change</x:v>
      </x:c>
      <x:c r="B410" s="14" t="n">
        <x:v>0</x:v>
      </x:c>
      <x:c r="C410" s="14" t="n">
        <x:v>35</x:v>
      </x:c>
      <x:c r="D410" s="15" t="n">
        <x:v>0</x:v>
      </x:c>
      <x:c r="E410" s="16" t="n">
        <x:v>42.23</x:v>
      </x:c>
      <x:c r="F410" s="6" t="str">
        <x:v>GROWTH</x:v>
      </x:c>
      <x:c r="G410" s="17" t="n">
        <x:f>'Scoring'!I410</x:f>
        <x:v>50.9</x:v>
      </x:c>
      <x:c r="H410" s="6" t="str">
        <x:v>SUPPORT</x:v>
      </x:c>
      <x:c r="I410" s="6" t="str">
        <x:v>All vehicles: Oil change (English)</x:v>
      </x:c>
      <x:c r="J410" s="6" t="str">
        <x:v>Secondary</x:v>
      </x:c>
      <x:c r="K410" s="6" t="str">
        <x:v>Commercial service enquiry</x:v>
      </x:c>
      <x:c r="L410" s="6" t="str">
        <x:v>High</x:v>
      </x:c>
      <x:c r="M410" s="6" t="str">
        <x:v>https://digitecme.com/services/oil-change-dubai</x:v>
      </x:c>
      <x:c r="N410" s="6" t="str">
        <x:v>Unknown — export has no query/page pairing</x:v>
      </x:c>
      <x:c r="O410" s="6" t="str">
        <x:v>Retain primary intent and support variants</x:v>
      </x:c>
      <x:c r="P410" s="6" t="str">
        <x:v>Average position 42.23 makes ranking the main issue; avoid a CTR-only rewrite.</x:v>
      </x:c>
      <x:c r="Q410" s="6" t="str">
        <x:v>All vehicles</x:v>
      </x:c>
      <x:c r="R410" s="6" t="str">
        <x:v>oil-change</x:v>
      </x:c>
      <x:c r="S410" s="6" t="str">
        <x:v>Location unspecified</x:v>
      </x:c>
      <x:c r="T410" s="6" t="n">
        <x:v>3</x:v>
      </x:c>
      <x:c r="U410" s="6" t="str">
        <x:v>40+</x:v>
      </x:c>
      <x:c r="V410" s="6" t="str">
        <x:v>Relevance, capability, indexing and authority review</x:v>
      </x:c>
      <x:c r="W410" s="6" t="str">
        <x:v>Relevant supporting</x:v>
      </x:c>
      <x:c r="X410" s="6" t="n">
        <x:v>406</x:v>
      </x:c>
      <x:c r="Y410" s="6" t="str">
        <x:v>Unconfirmed — joint query/page data required</x:v>
      </x:c>
    </x:row>
    <x:row r="411" ht="42" customHeight="1">
      <x:c r="A411" s="6" t="str">
        <x:v>maybach service center dubai</x:v>
      </x:c>
      <x:c r="B411" s="14" t="n">
        <x:v>0</x:v>
      </x:c>
      <x:c r="C411" s="14" t="n">
        <x:v>34</x:v>
      </x:c>
      <x:c r="D411" s="15" t="n">
        <x:v>0</x:v>
      </x:c>
      <x:c r="E411" s="16" t="n">
        <x:v>16.79</x:v>
      </x:c>
      <x:c r="F411" s="6" t="str">
        <x:v>HIGH</x:v>
      </x:c>
      <x:c r="G411" s="17" t="n">
        <x:f>'Scoring'!I411</x:f>
        <x:v>77.6</x:v>
      </x:c>
      <x:c r="H411" s="6" t="str">
        <x:v>PRIORITIZE</x:v>
      </x:c>
      <x:c r="I411" s="6" t="str">
        <x:v>maybach: Service and repair</x:v>
      </x:c>
      <x:c r="J411" s="6" t="str">
        <x:v>Primary</x:v>
      </x:c>
      <x:c r="K411" s="6" t="str">
        <x:v>Commercial service enquiry</x:v>
      </x:c>
      <x:c r="L411" s="6" t="str">
        <x:v>High</x:v>
      </x:c>
      <x:c r="M411" s="6" t="str">
        <x:v>https://digitecme.com/brands/maybach-service-dubai</x:v>
      </x:c>
      <x:c r="N411" s="6" t="str">
        <x:v>Unknown — export has no query/page pairing</x:v>
      </x:c>
      <x:c r="O411" s="6" t="str">
        <x:v>Strengthen this primary intent owner</x:v>
      </x:c>
      <x:c r="P411" s="6" t="str">
        <x:v>34 impressions at average position 16.79; strengthen the appropriate intent owner and measure with a fresh comparable period.</x:v>
      </x:c>
      <x:c r="Q411" s="6" t="str">
        <x:v>maybach</x:v>
      </x:c>
      <x:c r="R411" s="6" t="str">
        <x:v>service-repair</x:v>
      </x:c>
      <x:c r="S411" s="6" t="str">
        <x:v>Dubai explicit</x:v>
      </x:c>
      <x:c r="T411" s="6" t="n">
        <x:v>5</x:v>
      </x:c>
      <x:c r="U411" s="6" t="str">
        <x:v>11–20</x:v>
      </x:c>
      <x:c r="V411" s="6" t="str">
        <x:v>Ranking and owner relevance</x:v>
      </x:c>
      <x:c r="W411" s="6" t="str">
        <x:v>High-value commercial</x:v>
      </x:c>
      <x:c r="X411" s="6" t="n">
        <x:v>407</x:v>
      </x:c>
      <x:c r="Y411" s="6" t="str">
        <x:v>Unconfirmed — joint query/page data required</x:v>
      </x:c>
    </x:row>
    <x:row r="412" ht="42" customHeight="1">
      <x:c r="A412" s="6" t="str">
        <x:v>mclaren transmission repair dubai</x:v>
      </x:c>
      <x:c r="B412" s="14" t="n">
        <x:v>0</x:v>
      </x:c>
      <x:c r="C412" s="14" t="n">
        <x:v>34</x:v>
      </x:c>
      <x:c r="D412" s="15" t="n">
        <x:v>0</x:v>
      </x:c>
      <x:c r="E412" s="16" t="n">
        <x:v>21.21</x:v>
      </x:c>
      <x:c r="F412" s="6" t="str">
        <x:v>HIGH</x:v>
      </x:c>
      <x:c r="G412" s="17" t="n">
        <x:f>'Scoring'!I412</x:f>
        <x:v>77.6</x:v>
      </x:c>
      <x:c r="H412" s="6" t="str">
        <x:v>SPLIT</x:v>
      </x:c>
      <x:c r="I412" s="6" t="str">
        <x:v>mclaren: Transmission and gearbox repair</x:v>
      </x:c>
      <x:c r="J412" s="6" t="str">
        <x:v>Primary</x:v>
      </x:c>
      <x:c r="K412" s="6" t="str">
        <x:v>Commercial service enquiry</x:v>
      </x:c>
      <x:c r="L412" s="6" t="str">
        <x:v>High</x:v>
      </x:c>
      <x:c r="M412" s="6" t="str">
        <x:v>https://digitecme.com/brands/mclaren-service-dubai/transmission-repair</x:v>
      </x:c>
      <x:c r="N412" s="6" t="str">
        <x:v>Unknown — export has no query/page pairing</x:v>
      </x:c>
      <x:c r="O412" s="6" t="str">
        <x:v>Use dedicated service owner</x:v>
      </x:c>
      <x:c r="P412" s="6" t="str">
        <x:v>Average position 21.21 makes ranking the main issue; avoid a CTR-only rewrite.</x:v>
      </x:c>
      <x:c r="Q412" s="6" t="str">
        <x:v>mclaren</x:v>
      </x:c>
      <x:c r="R412" s="6" t="str">
        <x:v>transmission-repair</x:v>
      </x:c>
      <x:c r="S412" s="6" t="str">
        <x:v>Dubai explicit</x:v>
      </x:c>
      <x:c r="T412" s="6" t="n">
        <x:v>5</x:v>
      </x:c>
      <x:c r="U412" s="6" t="str">
        <x:v>21–40</x:v>
      </x:c>
      <x:c r="V412" s="6" t="str">
        <x:v>Content, internal authority and owner alignment</x:v>
      </x:c>
      <x:c r="W412" s="6" t="str">
        <x:v>High-value commercial</x:v>
      </x:c>
      <x:c r="X412" s="6" t="n">
        <x:v>408</x:v>
      </x:c>
      <x:c r="Y412" s="6" t="str">
        <x:v>Unconfirmed — joint query/page data required</x:v>
      </x:c>
    </x:row>
    <x:row r="413" ht="42" customHeight="1">
      <x:c r="A413" s="6" t="str">
        <x:v>chrysler repair dubai</x:v>
      </x:c>
      <x:c r="B413" s="14" t="n">
        <x:v>0</x:v>
      </x:c>
      <x:c r="C413" s="14" t="n">
        <x:v>34</x:v>
      </x:c>
      <x:c r="D413" s="15" t="n">
        <x:v>0</x:v>
      </x:c>
      <x:c r="E413" s="16" t="n">
        <x:v>23.59</x:v>
      </x:c>
      <x:c r="F413" s="6" t="str">
        <x:v>HIGH</x:v>
      </x:c>
      <x:c r="G413" s="17" t="n">
        <x:f>'Scoring'!I413</x:f>
        <x:v>69.6</x:v>
      </x:c>
      <x:c r="H413" s="6" t="str">
        <x:v>PRIORITIZE</x:v>
      </x:c>
      <x:c r="I413" s="6" t="str">
        <x:v>chrysler: Service and repair</x:v>
      </x:c>
      <x:c r="J413" s="6" t="str">
        <x:v>Primary</x:v>
      </x:c>
      <x:c r="K413" s="6" t="str">
        <x:v>Commercial service enquiry</x:v>
      </x:c>
      <x:c r="L413" s="6" t="str">
        <x:v>High</x:v>
      </x:c>
      <x:c r="M413" s="6" t="str">
        <x:v>https://digitecme.com/brands/chrysler-service-dubai</x:v>
      </x:c>
      <x:c r="N413" s="6" t="str">
        <x:v>Unknown — export has no query/page pairing</x:v>
      </x:c>
      <x:c r="O413" s="6" t="str">
        <x:v>Strengthen this primary intent owner</x:v>
      </x:c>
      <x:c r="P413" s="6" t="str">
        <x:v>Average position 23.59 makes ranking the main issue; avoid a CTR-only rewrite.</x:v>
      </x:c>
      <x:c r="Q413" s="6" t="str">
        <x:v>chrysler</x:v>
      </x:c>
      <x:c r="R413" s="6" t="str">
        <x:v>service-repair</x:v>
      </x:c>
      <x:c r="S413" s="6" t="str">
        <x:v>Dubai explicit</x:v>
      </x:c>
      <x:c r="T413" s="6" t="n">
        <x:v>3</x:v>
      </x:c>
      <x:c r="U413" s="6" t="str">
        <x:v>21–40</x:v>
      </x:c>
      <x:c r="V413" s="6" t="str">
        <x:v>Content, internal authority and owner alignment</x:v>
      </x:c>
      <x:c r="W413" s="6" t="str">
        <x:v>High-value commercial</x:v>
      </x:c>
      <x:c r="X413" s="6" t="n">
        <x:v>409</x:v>
      </x:c>
      <x:c r="Y413" s="6" t="str">
        <x:v>Unconfirmed — joint query/page data required</x:v>
      </x:c>
    </x:row>
    <x:row r="414" ht="42" customHeight="1">
      <x:c r="A414" s="6" t="str">
        <x:v>porsche suspension service dubai</x:v>
      </x:c>
      <x:c r="B414" s="14" t="n">
        <x:v>0</x:v>
      </x:c>
      <x:c r="C414" s="14" t="n">
        <x:v>34</x:v>
      </x:c>
      <x:c r="D414" s="15" t="n">
        <x:v>0</x:v>
      </x:c>
      <x:c r="E414" s="16" t="n">
        <x:v>37.65</x:v>
      </x:c>
      <x:c r="F414" s="6" t="str">
        <x:v>GROWTH</x:v>
      </x:c>
      <x:c r="G414" s="17" t="n">
        <x:f>'Scoring'!I414</x:f>
        <x:v>70.1</x:v>
      </x:c>
      <x:c r="H414" s="6" t="str">
        <x:v>SPLIT</x:v>
      </x:c>
      <x:c r="I414" s="6" t="str">
        <x:v>porsche: Suspension repair</x:v>
      </x:c>
      <x:c r="J414" s="6" t="str">
        <x:v>Secondary</x:v>
      </x:c>
      <x:c r="K414" s="6" t="str">
        <x:v>Commercial service enquiry</x:v>
      </x:c>
      <x:c r="L414" s="6" t="str">
        <x:v>High</x:v>
      </x:c>
      <x:c r="M414" s="6" t="str">
        <x:v>https://digitecme.com/brands/porsche-service-dubai/suspension-repair</x:v>
      </x:c>
      <x:c r="N414" s="6" t="str">
        <x:v>Unknown — export has no query/page pairing</x:v>
      </x:c>
      <x:c r="O414" s="6" t="str">
        <x:v>Use dedicated service owner</x:v>
      </x:c>
      <x:c r="P414" s="6" t="str">
        <x:v>Average position 37.65 makes ranking the main issue; avoid a CTR-only rewrite.</x:v>
      </x:c>
      <x:c r="Q414" s="6" t="str">
        <x:v>porsche</x:v>
      </x:c>
      <x:c r="R414" s="6" t="str">
        <x:v>suspension-repair</x:v>
      </x:c>
      <x:c r="S414" s="6" t="str">
        <x:v>Dubai explicit</x:v>
      </x:c>
      <x:c r="T414" s="6" t="n">
        <x:v>5</x:v>
      </x:c>
      <x:c r="U414" s="6" t="str">
        <x:v>21–40</x:v>
      </x:c>
      <x:c r="V414" s="6" t="str">
        <x:v>Content, internal authority and owner alignment</x:v>
      </x:c>
      <x:c r="W414" s="6" t="str">
        <x:v>High-value commercial</x:v>
      </x:c>
      <x:c r="X414" s="6" t="n">
        <x:v>410</x:v>
      </x:c>
      <x:c r="Y414" s="6" t="str">
        <x:v>Unconfirmed — joint query/page data required</x:v>
      </x:c>
    </x:row>
    <x:row r="415" ht="57" customHeight="1">
      <x:c r="A415" s="6" t="str">
        <x:v>steering wheel restoration dubai</x:v>
      </x:c>
      <x:c r="B415" s="14" t="n">
        <x:v>0</x:v>
      </x:c>
      <x:c r="C415" s="14" t="n">
        <x:v>34</x:v>
      </x:c>
      <x:c r="D415" s="15" t="n">
        <x:v>0</x:v>
      </x:c>
      <x:c r="E415" s="16" t="n">
        <x:v>38.56</x:v>
      </x:c>
      <x:c r="F415" s="6" t="str">
        <x:v>DEPRIORITIZE</x:v>
      </x:c>
      <x:c r="G415" s="17" t="n">
        <x:f>'Scoring'!I415</x:f>
        <x:v>4.4</x:v>
      </x:c>
      <x:c r="H415" s="6" t="str">
        <x:v>DEPRIORITIZE</x:v>
      </x:c>
      <x:c r="I415" s="6" t="str">
        <x:v>Unspecified brand: Audio or interior retrofit</x:v>
      </x:c>
      <x:c r="J415" s="6" t="str">
        <x:v>Primary</x:v>
      </x:c>
      <x:c r="K415" s="6" t="str">
        <x:v>Commercial capability enquiry</x:v>
      </x:c>
      <x:c r="L415" s="6" t="str">
        <x:v>Unverified</x:v>
      </x:c>
      <x:c r="M415" s="6" t="str"/>
      <x:c r="N415" s="6" t="str">
        <x:v>Unknown — export has no query/page pairing</x:v>
      </x:c>
      <x:c r="O415" s="6" t="str">
        <x:v>Confirm scope or deprioritize</x:v>
      </x:c>
      <x:c r="P415" s="6" t="str">
        <x:v>Specific retrofit or component repair capability is unconfirmed; do not publish a dedicated sales page before confirmation. Average position 38.56 makes ranking the main issue; avoid a CTR-only rewrite.</x:v>
      </x:c>
      <x:c r="Q415" s="6" t="str">
        <x:v>All vehicles</x:v>
      </x:c>
      <x:c r="R415" s="6" t="str">
        <x:v>audio-retrofit</x:v>
      </x:c>
      <x:c r="S415" s="6" t="str">
        <x:v>Dubai explicit</x:v>
      </x:c>
      <x:c r="T415" s="6" t="n">
        <x:v>1</x:v>
      </x:c>
      <x:c r="U415" s="6" t="str">
        <x:v>21–40</x:v>
      </x:c>
      <x:c r="V415" s="6" t="str">
        <x:v>Content, internal authority and owner alignment</x:v>
      </x:c>
      <x:c r="W415" s="6" t="str">
        <x:v>Low-value</x:v>
      </x:c>
      <x:c r="X415" s="6" t="n">
        <x:v>411</x:v>
      </x:c>
      <x:c r="Y415" s="6" t="str">
        <x:v>Unconfirmed — joint query/page data required</x:v>
      </x:c>
    </x:row>
    <x:row r="416" ht="42" customHeight="1">
      <x:c r="A416" s="6" t="str">
        <x:v>lamborghini car service in dubai</x:v>
      </x:c>
      <x:c r="B416" s="14" t="n">
        <x:v>0</x:v>
      </x:c>
      <x:c r="C416" s="14" t="n">
        <x:v>34</x:v>
      </x:c>
      <x:c r="D416" s="15" t="n">
        <x:v>0</x:v>
      </x:c>
      <x:c r="E416" s="16" t="n">
        <x:v>39</x:v>
      </x:c>
      <x:c r="F416" s="6" t="str">
        <x:v>GROWTH</x:v>
      </x:c>
      <x:c r="G416" s="17" t="n">
        <x:f>'Scoring'!I416</x:f>
        <x:v>70.1</x:v>
      </x:c>
      <x:c r="H416" s="6" t="str">
        <x:v>SUPPORT</x:v>
      </x:c>
      <x:c r="I416" s="6" t="str">
        <x:v>lamborghini: Service and repair</x:v>
      </x:c>
      <x:c r="J416" s="6" t="str">
        <x:v>Secondary</x:v>
      </x:c>
      <x:c r="K416" s="6" t="str">
        <x:v>Commercial service enquiry</x:v>
      </x:c>
      <x:c r="L416" s="6" t="str">
        <x:v>High</x:v>
      </x:c>
      <x:c r="M416" s="6" t="str">
        <x:v>https://digitecme.com/brands/lamborghini-service-dubai</x:v>
      </x:c>
      <x:c r="N416" s="6" t="str">
        <x:v>Unknown — export has no query/page pairing</x:v>
      </x:c>
      <x:c r="O416" s="6" t="str">
        <x:v>Retain primary intent and support variants</x:v>
      </x:c>
      <x:c r="P416" s="6" t="str">
        <x:v>Average position 39.00 makes ranking the main issue; avoid a CTR-only rewrite.</x:v>
      </x:c>
      <x:c r="Q416" s="6" t="str">
        <x:v>lamborghini</x:v>
      </x:c>
      <x:c r="R416" s="6" t="str">
        <x:v>service-repair</x:v>
      </x:c>
      <x:c r="S416" s="6" t="str">
        <x:v>Dubai explicit</x:v>
      </x:c>
      <x:c r="T416" s="6" t="n">
        <x:v>5</x:v>
      </x:c>
      <x:c r="U416" s="6" t="str">
        <x:v>21–40</x:v>
      </x:c>
      <x:c r="V416" s="6" t="str">
        <x:v>Content, internal authority and owner alignment</x:v>
      </x:c>
      <x:c r="W416" s="6" t="str">
        <x:v>Relevant supporting</x:v>
      </x:c>
      <x:c r="X416" s="6" t="n">
        <x:v>412</x:v>
      </x:c>
      <x:c r="Y416" s="6" t="str">
        <x:v>Unconfirmed — joint query/page data required</x:v>
      </x:c>
    </x:row>
    <x:row r="417" ht="42" customHeight="1">
      <x:c r="A417" s="6" t="str">
        <x:v>تغيير زيت السيارة في دبي</x:v>
      </x:c>
      <x:c r="B417" s="14" t="n">
        <x:v>0</x:v>
      </x:c>
      <x:c r="C417" s="14" t="n">
        <x:v>34</x:v>
      </x:c>
      <x:c r="D417" s="15" t="n">
        <x:v>0</x:v>
      </x:c>
      <x:c r="E417" s="16" t="n">
        <x:v>40.32</x:v>
      </x:c>
      <x:c r="F417" s="6" t="str">
        <x:v>GROWTH</x:v>
      </x:c>
      <x:c r="G417" s="17" t="n">
        <x:f>'Scoring'!I417</x:f>
        <x:v>55.9</x:v>
      </x:c>
      <x:c r="H417" s="6" t="str">
        <x:v>PRIORITIZE</x:v>
      </x:c>
      <x:c r="I417" s="6" t="str">
        <x:v>All vehicles: Oil change (Arabic)</x:v>
      </x:c>
      <x:c r="J417" s="6" t="str">
        <x:v>Primary</x:v>
      </x:c>
      <x:c r="K417" s="6" t="str">
        <x:v>Commercial service enquiry</x:v>
      </x:c>
      <x:c r="L417" s="6" t="str">
        <x:v>High</x:v>
      </x:c>
      <x:c r="M417" s="6" t="str">
        <x:v>https://digitecme.com/ar/services/oil-change-dubai</x:v>
      </x:c>
      <x:c r="N417" s="6" t="str">
        <x:v>Unknown — export has no query/page pairing</x:v>
      </x:c>
      <x:c r="O417" s="6" t="str">
        <x:v>Strengthen this primary intent owner</x:v>
      </x:c>
      <x:c r="P417" s="6" t="str">
        <x:v>Use the existing Arabic counterpart and verify its translation quality. Average position 40.32 makes ranking the main issue; avoid a CTR-only rewrite.</x:v>
      </x:c>
      <x:c r="Q417" s="6" t="str">
        <x:v>All vehicles</x:v>
      </x:c>
      <x:c r="R417" s="6" t="str">
        <x:v>oil-change</x:v>
      </x:c>
      <x:c r="S417" s="6" t="str">
        <x:v>Dubai explicit</x:v>
      </x:c>
      <x:c r="T417" s="6" t="n">
        <x:v>3</x:v>
      </x:c>
      <x:c r="U417" s="6" t="str">
        <x:v>40+</x:v>
      </x:c>
      <x:c r="V417" s="6" t="str">
        <x:v>Relevance, capability, indexing and authority review</x:v>
      </x:c>
      <x:c r="W417" s="6" t="str">
        <x:v>High-value commercial</x:v>
      </x:c>
      <x:c r="X417" s="6" t="n">
        <x:v>413</x:v>
      </x:c>
      <x:c r="Y417" s="6" t="str">
        <x:v>Unconfirmed — joint query/page data required</x:v>
      </x:c>
    </x:row>
    <x:row r="418" ht="42" customHeight="1">
      <x:c r="A418" s="6" t="str">
        <x:v>cadillac repair</x:v>
      </x:c>
      <x:c r="B418" s="14" t="n">
        <x:v>0</x:v>
      </x:c>
      <x:c r="C418" s="14" t="n">
        <x:v>34</x:v>
      </x:c>
      <x:c r="D418" s="15" t="n">
        <x:v>0</x:v>
      </x:c>
      <x:c r="E418" s="16" t="n">
        <x:v>44.56</x:v>
      </x:c>
      <x:c r="F418" s="6" t="str">
        <x:v>GROWTH</x:v>
      </x:c>
      <x:c r="G418" s="17" t="n">
        <x:f>'Scoring'!I418</x:f>
        <x:v>50.9</x:v>
      </x:c>
      <x:c r="H418" s="6" t="str">
        <x:v>SUPPORT</x:v>
      </x:c>
      <x:c r="I418" s="6" t="str">
        <x:v>cadillac: Service and repair</x:v>
      </x:c>
      <x:c r="J418" s="6" t="str">
        <x:v>Secondary</x:v>
      </x:c>
      <x:c r="K418" s="6" t="str">
        <x:v>Commercial service enquiry</x:v>
      </x:c>
      <x:c r="L418" s="6" t="str">
        <x:v>High</x:v>
      </x:c>
      <x:c r="M418" s="6" t="str">
        <x:v>https://digitecme.com/brands/cadillac-service-dubai</x:v>
      </x:c>
      <x:c r="N418" s="6" t="str">
        <x:v>Unknown — export has no query/page pairing</x:v>
      </x:c>
      <x:c r="O418" s="6" t="str">
        <x:v>Retain primary intent and support variants</x:v>
      </x:c>
      <x:c r="P418" s="6" t="str">
        <x:v>Average position 44.56 makes ranking the main issue; avoid a CTR-only rewrite.</x:v>
      </x:c>
      <x:c r="Q418" s="6" t="str">
        <x:v>cadillac</x:v>
      </x:c>
      <x:c r="R418" s="6" t="str">
        <x:v>service-repair</x:v>
      </x:c>
      <x:c r="S418" s="6" t="str">
        <x:v>Location unspecified</x:v>
      </x:c>
      <x:c r="T418" s="6" t="n">
        <x:v>3</x:v>
      </x:c>
      <x:c r="U418" s="6" t="str">
        <x:v>40+</x:v>
      </x:c>
      <x:c r="V418" s="6" t="str">
        <x:v>Relevance, capability, indexing and authority review</x:v>
      </x:c>
      <x:c r="W418" s="6" t="str">
        <x:v>Relevant supporting</x:v>
      </x:c>
      <x:c r="X418" s="6" t="n">
        <x:v>414</x:v>
      </x:c>
      <x:c r="Y418" s="6" t="str">
        <x:v>Unconfirmed — joint query/page data required</x:v>
      </x:c>
    </x:row>
    <x:row r="419" ht="57" customHeight="1">
      <x:c r="A419" s="6" t="str">
        <x:v>تصليح بنتلى ابوظبي</x:v>
      </x:c>
      <x:c r="B419" s="14" t="n">
        <x:v>0</x:v>
      </x:c>
      <x:c r="C419" s="14" t="n">
        <x:v>34</x:v>
      </x:c>
      <x:c r="D419" s="15" t="n">
        <x:v>0</x:v>
      </x:c>
      <x:c r="E419" s="16" t="n">
        <x:v>57.44</x:v>
      </x:c>
      <x:c r="F419" s="6" t="str">
        <x:v>DEPRIORITIZE</x:v>
      </x:c>
      <x:c r="G419" s="17" t="n">
        <x:f>'Scoring'!I419</x:f>
        <x:v>9.6</x:v>
      </x:c>
      <x:c r="H419" s="6" t="str">
        <x:v>DEPRIORITIZE</x:v>
      </x:c>
      <x:c r="I419" s="6" t="str">
        <x:v>bentley: Service and repair (outside Dubai)</x:v>
      </x:c>
      <x:c r="J419" s="6" t="str">
        <x:v>Primary</x:v>
      </x:c>
      <x:c r="K419" s="6" t="str">
        <x:v>Commercial service enquiry</x:v>
      </x:c>
      <x:c r="L419" s="6" t="str">
        <x:v>Low</x:v>
      </x:c>
      <x:c r="M419" s="6" t="str">
        <x:v>https://digitecme.com/ar/brands/bentley-service-dubai</x:v>
      </x:c>
      <x:c r="N419" s="6" t="str">
        <x:v>Unknown — export has no query/page pairing</x:v>
      </x:c>
      <x:c r="O419" s="6" t="str">
        <x:v>Confirm scope or deprioritize</x:v>
      </x:c>
      <x:c r="P419" s="6" t="str">
        <x:v>Explicit destination differs from the Al Quoz workshop; do not claim a local branch or service coverage. Use the existing Arabic counterpart and verify its translation quality. Average position 57.44 makes ranking the main issue; avoid a CTR-only rewrite.</x:v>
      </x:c>
      <x:c r="Q419" s="6" t="str">
        <x:v>bentley</x:v>
      </x:c>
      <x:c r="R419" s="6" t="str">
        <x:v>service-repair</x:v>
      </x:c>
      <x:c r="S419" s="6" t="str">
        <x:v>Outside Dubai</x:v>
      </x:c>
      <x:c r="T419" s="6" t="n">
        <x:v>1</x:v>
      </x:c>
      <x:c r="U419" s="6" t="str">
        <x:v>40+</x:v>
      </x:c>
      <x:c r="V419" s="6" t="str">
        <x:v>Relevance, capability, indexing and authority review</x:v>
      </x:c>
      <x:c r="W419" s="6" t="str">
        <x:v>Low-value</x:v>
      </x:c>
      <x:c r="X419" s="6" t="n">
        <x:v>415</x:v>
      </x:c>
      <x:c r="Y419" s="6" t="str">
        <x:v>Unconfirmed — joint query/page data required</x:v>
      </x:c>
    </x:row>
    <x:row r="420" ht="42" customHeight="1">
      <x:c r="A420" s="6" t="str">
        <x:v>mercedes brake repair</x:v>
      </x:c>
      <x:c r="B420" s="14" t="n">
        <x:v>0</x:v>
      </x:c>
      <x:c r="C420" s="14" t="n">
        <x:v>34</x:v>
      </x:c>
      <x:c r="D420" s="15" t="n">
        <x:v>0</x:v>
      </x:c>
      <x:c r="E420" s="16" t="n">
        <x:v>57.79</x:v>
      </x:c>
      <x:c r="F420" s="6" t="str">
        <x:v>GROWTH</x:v>
      </x:c>
      <x:c r="G420" s="17" t="n">
        <x:f>'Scoring'!I420</x:f>
        <x:v>58.9</x:v>
      </x:c>
      <x:c r="H420" s="6" t="str">
        <x:v>SPLIT</x:v>
      </x:c>
      <x:c r="I420" s="6" t="str">
        <x:v>mercedes-benz: Brake repair</x:v>
      </x:c>
      <x:c r="J420" s="6" t="str">
        <x:v>Secondary</x:v>
      </x:c>
      <x:c r="K420" s="6" t="str">
        <x:v>Commercial service enquiry</x:v>
      </x:c>
      <x:c r="L420" s="6" t="str">
        <x:v>High</x:v>
      </x:c>
      <x:c r="M420" s="6" t="str">
        <x:v>https://digitecme.com/services/mercedes-brake-repair-dubai</x:v>
      </x:c>
      <x:c r="N420" s="6" t="str">
        <x:v>Unknown — export has no query/page pairing</x:v>
      </x:c>
      <x:c r="O420" s="6" t="str">
        <x:v>Use dedicated service owner</x:v>
      </x:c>
      <x:c r="P420" s="6" t="str">
        <x:v>Average position 57.79 makes ranking the main issue; avoid a CTR-only rewrite.</x:v>
      </x:c>
      <x:c r="Q420" s="6" t="str">
        <x:v>mercedes-benz</x:v>
      </x:c>
      <x:c r="R420" s="6" t="str">
        <x:v>brake-repair</x:v>
      </x:c>
      <x:c r="S420" s="6" t="str">
        <x:v>Location unspecified</x:v>
      </x:c>
      <x:c r="T420" s="6" t="n">
        <x:v>5</x:v>
      </x:c>
      <x:c r="U420" s="6" t="str">
        <x:v>40+</x:v>
      </x:c>
      <x:c r="V420" s="6" t="str">
        <x:v>Relevance, capability, indexing and authority review</x:v>
      </x:c>
      <x:c r="W420" s="6" t="str">
        <x:v>High-value commercial</x:v>
      </x:c>
      <x:c r="X420" s="6" t="n">
        <x:v>416</x:v>
      </x:c>
      <x:c r="Y420" s="6" t="str">
        <x:v>Unconfirmed — joint query/page data required</x:v>
      </x:c>
    </x:row>
    <x:row r="421" ht="57" customHeight="1">
      <x:c r="A421" s="6" t="str">
        <x:v>best tyre change dubai</x:v>
      </x:c>
      <x:c r="B421" s="14" t="n">
        <x:v>0</x:v>
      </x:c>
      <x:c r="C421" s="14" t="n">
        <x:v>34</x:v>
      </x:c>
      <x:c r="D421" s="15" t="n">
        <x:v>0</x:v>
      </x:c>
      <x:c r="E421" s="16" t="n">
        <x:v>83.15</x:v>
      </x:c>
      <x:c r="F421" s="6" t="str">
        <x:v>GROWTH</x:v>
      </x:c>
      <x:c r="G421" s="17" t="n">
        <x:f>'Scoring'!I421</x:f>
        <x:v>51.9</x:v>
      </x:c>
      <x:c r="H421" s="6" t="str">
        <x:v>SUPPORT</x:v>
      </x:c>
      <x:c r="I421" s="6" t="str">
        <x:v>All vehicles: Tyre repair</x:v>
      </x:c>
      <x:c r="J421" s="6" t="str">
        <x:v>Secondary</x:v>
      </x:c>
      <x:c r="K421" s="6" t="str">
        <x:v>Commercial service enquiry</x:v>
      </x:c>
      <x:c r="L421" s="6" t="str">
        <x:v>High</x:v>
      </x:c>
      <x:c r="M421" s="6" t="str">
        <x:v>https://digitecme.com/services/tire-repair-dubai</x:v>
      </x:c>
      <x:c r="N421" s="6" t="str">
        <x:v>Unknown — export has no query/page pairing</x:v>
      </x:c>
      <x:c r="O421" s="6" t="str">
        <x:v>Retain primary intent and support variants</x:v>
      </x:c>
      <x:c r="P421" s="6" t="str">
        <x:v>Relevant workshop tyre enquiry with lower assumed value than specialist repair; no mobile or roadside claim. Average position 83.15 makes ranking the main issue; avoid a CTR-only rewrite.</x:v>
      </x:c>
      <x:c r="Q421" s="6" t="str">
        <x:v>All vehicles</x:v>
      </x:c>
      <x:c r="R421" s="6" t="str">
        <x:v>tire-repair</x:v>
      </x:c>
      <x:c r="S421" s="6" t="str">
        <x:v>Dubai explicit</x:v>
      </x:c>
      <x:c r="T421" s="6" t="n">
        <x:v>2</x:v>
      </x:c>
      <x:c r="U421" s="6" t="str">
        <x:v>40+</x:v>
      </x:c>
      <x:c r="V421" s="6" t="str">
        <x:v>Relevance, capability, indexing and authority review</x:v>
      </x:c>
      <x:c r="W421" s="6" t="str">
        <x:v>Relevant supporting</x:v>
      </x:c>
      <x:c r="X421" s="6" t="n">
        <x:v>417</x:v>
      </x:c>
      <x:c r="Y421" s="6" t="str">
        <x:v>Unconfirmed — joint query/page data required</x:v>
      </x:c>
    </x:row>
    <x:row r="422" ht="42" customHeight="1">
      <x:c r="A422" s="6" t="str">
        <x:v>porsche workshop</x:v>
      </x:c>
      <x:c r="B422" s="14" t="n">
        <x:v>0</x:v>
      </x:c>
      <x:c r="C422" s="14" t="n">
        <x:v>33</x:v>
      </x:c>
      <x:c r="D422" s="15" t="n">
        <x:v>0</x:v>
      </x:c>
      <x:c r="E422" s="16" t="n">
        <x:v>12</x:v>
      </x:c>
      <x:c r="F422" s="6" t="str">
        <x:v>CRITICAL</x:v>
      </x:c>
      <x:c r="G422" s="17" t="n">
        <x:f>'Scoring'!I422</x:f>
        <x:v>80.1</x:v>
      </x:c>
      <x:c r="H422" s="6" t="str">
        <x:v>SUPPORT</x:v>
      </x:c>
      <x:c r="I422" s="6" t="str">
        <x:v>porsche: Service and repair (English)</x:v>
      </x:c>
      <x:c r="J422" s="6" t="str">
        <x:v>Secondary</x:v>
      </x:c>
      <x:c r="K422" s="6" t="str">
        <x:v>Commercial service enquiry</x:v>
      </x:c>
      <x:c r="L422" s="6" t="str">
        <x:v>High</x:v>
      </x:c>
      <x:c r="M422" s="6" t="str">
        <x:v>https://digitecme.com/brands/porsche-service-dubai</x:v>
      </x:c>
      <x:c r="N422" s="6" t="str">
        <x:v>Unknown — export has no query/page pairing</x:v>
      </x:c>
      <x:c r="O422" s="6" t="str">
        <x:v>Retain primary intent and support variants</x:v>
      </x:c>
      <x:c r="P422" s="6" t="str">
        <x:v>33 impressions at average position 12.00; strengthen the appropriate intent owner and measure with a fresh comparable period.</x:v>
      </x:c>
      <x:c r="Q422" s="6" t="str">
        <x:v>porsche</x:v>
      </x:c>
      <x:c r="R422" s="6" t="str">
        <x:v>service-repair</x:v>
      </x:c>
      <x:c r="S422" s="6" t="str">
        <x:v>Location unspecified</x:v>
      </x:c>
      <x:c r="T422" s="6" t="n">
        <x:v>5</x:v>
      </x:c>
      <x:c r="U422" s="6" t="str">
        <x:v>11–20</x:v>
      </x:c>
      <x:c r="V422" s="6" t="str">
        <x:v>Ranking and owner relevance</x:v>
      </x:c>
      <x:c r="W422" s="6" t="str">
        <x:v>Relevant supporting</x:v>
      </x:c>
      <x:c r="X422" s="6" t="n">
        <x:v>418</x:v>
      </x:c>
      <x:c r="Y422" s="6" t="str">
        <x:v>Unconfirmed — joint query/page data required</x:v>
      </x:c>
    </x:row>
    <x:row r="423" ht="42" customHeight="1">
      <x:c r="A423" s="6" t="str">
        <x:v>volkswagen workshop dubai</x:v>
      </x:c>
      <x:c r="B423" s="14" t="n">
        <x:v>0</x:v>
      </x:c>
      <x:c r="C423" s="14" t="n">
        <x:v>33</x:v>
      </x:c>
      <x:c r="D423" s="15" t="n">
        <x:v>0</x:v>
      </x:c>
      <x:c r="E423" s="16" t="n">
        <x:v>23.61</x:v>
      </x:c>
      <x:c r="F423" s="6" t="str">
        <x:v>HIGH</x:v>
      </x:c>
      <x:c r="G423" s="17" t="n">
        <x:f>'Scoring'!I423</x:f>
        <x:v>69.6</x:v>
      </x:c>
      <x:c r="H423" s="6" t="str">
        <x:v>SUPPORT</x:v>
      </x:c>
      <x:c r="I423" s="6" t="str">
        <x:v>volkswagen: Service and repair (English)</x:v>
      </x:c>
      <x:c r="J423" s="6" t="str">
        <x:v>Secondary</x:v>
      </x:c>
      <x:c r="K423" s="6" t="str">
        <x:v>Commercial service enquiry</x:v>
      </x:c>
      <x:c r="L423" s="6" t="str">
        <x:v>High</x:v>
      </x:c>
      <x:c r="M423" s="6" t="str">
        <x:v>https://digitecme.com/brands/volkswagen-service-dubai</x:v>
      </x:c>
      <x:c r="N423" s="6" t="str">
        <x:v>Unknown — export has no query/page pairing</x:v>
      </x:c>
      <x:c r="O423" s="6" t="str">
        <x:v>Retain primary intent and support variants</x:v>
      </x:c>
      <x:c r="P423" s="6" t="str">
        <x:v>Average position 23.61 makes ranking the main issue; avoid a CTR-only rewrite.</x:v>
      </x:c>
      <x:c r="Q423" s="6" t="str">
        <x:v>volkswagen</x:v>
      </x:c>
      <x:c r="R423" s="6" t="str">
        <x:v>service-repair</x:v>
      </x:c>
      <x:c r="S423" s="6" t="str">
        <x:v>Dubai explicit</x:v>
      </x:c>
      <x:c r="T423" s="6" t="n">
        <x:v>3</x:v>
      </x:c>
      <x:c r="U423" s="6" t="str">
        <x:v>21–40</x:v>
      </x:c>
      <x:c r="V423" s="6" t="str">
        <x:v>Content, internal authority and owner alignment</x:v>
      </x:c>
      <x:c r="W423" s="6" t="str">
        <x:v>Relevant supporting</x:v>
      </x:c>
      <x:c r="X423" s="6" t="n">
        <x:v>419</x:v>
      </x:c>
      <x:c r="Y423" s="6" t="str">
        <x:v>Unconfirmed — joint query/page data required</x:v>
      </x:c>
    </x:row>
    <x:row r="424" ht="42" customHeight="1">
      <x:c r="A424" s="6" t="str">
        <x:v>porsche tuning dubai</x:v>
      </x:c>
      <x:c r="B424" s="14" t="n">
        <x:v>0</x:v>
      </x:c>
      <x:c r="C424" s="14" t="n">
        <x:v>33</x:v>
      </x:c>
      <x:c r="D424" s="15" t="n">
        <x:v>0</x:v>
      </x:c>
      <x:c r="E424" s="16" t="n">
        <x:v>30.61</x:v>
      </x:c>
      <x:c r="F424" s="6" t="str">
        <x:v>GROWTH</x:v>
      </x:c>
      <x:c r="G424" s="17" t="n">
        <x:f>'Scoring'!I424</x:f>
        <x:v>70.1</x:v>
      </x:c>
      <x:c r="H424" s="6" t="str">
        <x:v>SUPPORT</x:v>
      </x:c>
      <x:c r="I424" s="6" t="str">
        <x:v>All vehicles: Performance tuning</x:v>
      </x:c>
      <x:c r="J424" s="6" t="str">
        <x:v>Secondary</x:v>
      </x:c>
      <x:c r="K424" s="6" t="str">
        <x:v>Commercial service enquiry</x:v>
      </x:c>
      <x:c r="L424" s="6" t="str">
        <x:v>High</x:v>
      </x:c>
      <x:c r="M424" s="6" t="str">
        <x:v>https://digitecme.com/tuning</x:v>
      </x:c>
      <x:c r="N424" s="6" t="str">
        <x:v>Unknown — export has no query/page pairing</x:v>
      </x:c>
      <x:c r="O424" s="6" t="str">
        <x:v>Retain primary intent and support variants</x:v>
      </x:c>
      <x:c r="P424" s="6" t="str">
        <x:v>Use the existing tuning page; model scope and any GAD relationship require verified facts. Average position 30.61 makes ranking the main issue; avoid a CTR-only rewrite.</x:v>
      </x:c>
      <x:c r="Q424" s="6" t="str">
        <x:v>porsche</x:v>
      </x:c>
      <x:c r="R424" s="6" t="str">
        <x:v>tuning</x:v>
      </x:c>
      <x:c r="S424" s="6" t="str">
        <x:v>Dubai explicit</x:v>
      </x:c>
      <x:c r="T424" s="6" t="n">
        <x:v>5</x:v>
      </x:c>
      <x:c r="U424" s="6" t="str">
        <x:v>21–40</x:v>
      </x:c>
      <x:c r="V424" s="6" t="str">
        <x:v>Content, internal authority and owner alignment</x:v>
      </x:c>
      <x:c r="W424" s="6" t="str">
        <x:v>Relevant supporting</x:v>
      </x:c>
      <x:c r="X424" s="6" t="n">
        <x:v>420</x:v>
      </x:c>
      <x:c r="Y424" s="6" t="str">
        <x:v>Unconfirmed — joint query/page data required</x:v>
      </x:c>
    </x:row>
    <x:row r="425" ht="42" customHeight="1">
      <x:c r="A425" s="6" t="str">
        <x:v>car accident repair dubai</x:v>
      </x:c>
      <x:c r="B425" s="14" t="n">
        <x:v>0</x:v>
      </x:c>
      <x:c r="C425" s="14" t="n">
        <x:v>33</x:v>
      </x:c>
      <x:c r="D425" s="15" t="n">
        <x:v>0</x:v>
      </x:c>
      <x:c r="E425" s="16" t="n">
        <x:v>41.33</x:v>
      </x:c>
      <x:c r="F425" s="6" t="str">
        <x:v>GROWTH</x:v>
      </x:c>
      <x:c r="G425" s="17" t="n">
        <x:f>'Scoring'!I425</x:f>
        <x:v>55.9</x:v>
      </x:c>
      <x:c r="H425" s="6" t="str">
        <x:v>SUPPORT</x:v>
      </x:c>
      <x:c r="I425" s="6" t="str">
        <x:v>All vehicles: Body repair</x:v>
      </x:c>
      <x:c r="J425" s="6" t="str">
        <x:v>Secondary</x:v>
      </x:c>
      <x:c r="K425" s="6" t="str">
        <x:v>Commercial service enquiry</x:v>
      </x:c>
      <x:c r="L425" s="6" t="str">
        <x:v>High</x:v>
      </x:c>
      <x:c r="M425" s="6" t="str">
        <x:v>https://digitecme.com/services/car-body-repair-dubai</x:v>
      </x:c>
      <x:c r="N425" s="6" t="str">
        <x:v>Unknown — export has no query/page pairing</x:v>
      </x:c>
      <x:c r="O425" s="6" t="str">
        <x:v>Retain primary intent and support variants</x:v>
      </x:c>
      <x:c r="P425" s="6" t="str">
        <x:v>Average position 41.33 makes ranking the main issue; avoid a CTR-only rewrite.</x:v>
      </x:c>
      <x:c r="Q425" s="6" t="str">
        <x:v>All vehicles</x:v>
      </x:c>
      <x:c r="R425" s="6" t="str">
        <x:v>body-repair</x:v>
      </x:c>
      <x:c r="S425" s="6" t="str">
        <x:v>Dubai explicit</x:v>
      </x:c>
      <x:c r="T425" s="6" t="n">
        <x:v>3</x:v>
      </x:c>
      <x:c r="U425" s="6" t="str">
        <x:v>40+</x:v>
      </x:c>
      <x:c r="V425" s="6" t="str">
        <x:v>Relevance, capability, indexing and authority review</x:v>
      </x:c>
      <x:c r="W425" s="6" t="str">
        <x:v>Relevant supporting</x:v>
      </x:c>
      <x:c r="X425" s="6" t="n">
        <x:v>421</x:v>
      </x:c>
      <x:c r="Y425" s="6" t="str">
        <x:v>Unconfirmed — joint query/page data required</x:v>
      </x:c>
    </x:row>
    <x:row r="426" ht="42" customHeight="1">
      <x:c r="A426" s="6" t="str">
        <x:v>bentley servicing</x:v>
      </x:c>
      <x:c r="B426" s="14" t="n">
        <x:v>0</x:v>
      </x:c>
      <x:c r="C426" s="14" t="n">
        <x:v>33</x:v>
      </x:c>
      <x:c r="D426" s="15" t="n">
        <x:v>0</x:v>
      </x:c>
      <x:c r="E426" s="16" t="n">
        <x:v>46.27</x:v>
      </x:c>
      <x:c r="F426" s="6" t="str">
        <x:v>GROWTH</x:v>
      </x:c>
      <x:c r="G426" s="17" t="n">
        <x:f>'Scoring'!I426</x:f>
        <x:v>58.9</x:v>
      </x:c>
      <x:c r="H426" s="6" t="str">
        <x:v>SUPPORT</x:v>
      </x:c>
      <x:c r="I426" s="6" t="str">
        <x:v>bentley: Service and repair (English)</x:v>
      </x:c>
      <x:c r="J426" s="6" t="str">
        <x:v>Secondary</x:v>
      </x:c>
      <x:c r="K426" s="6" t="str">
        <x:v>Commercial service enquiry</x:v>
      </x:c>
      <x:c r="L426" s="6" t="str">
        <x:v>High</x:v>
      </x:c>
      <x:c r="M426" s="6" t="str">
        <x:v>https://digitecme.com/brands/bentley-service-dubai</x:v>
      </x:c>
      <x:c r="N426" s="6" t="str">
        <x:v>Unknown — export has no query/page pairing</x:v>
      </x:c>
      <x:c r="O426" s="6" t="str">
        <x:v>Retain primary intent and support variants</x:v>
      </x:c>
      <x:c r="P426" s="6" t="str">
        <x:v>Average position 46.27 makes ranking the main issue; avoid a CTR-only rewrite.</x:v>
      </x:c>
      <x:c r="Q426" s="6" t="str">
        <x:v>bentley</x:v>
      </x:c>
      <x:c r="R426" s="6" t="str">
        <x:v>service-repair</x:v>
      </x:c>
      <x:c r="S426" s="6" t="str">
        <x:v>Location unspecified</x:v>
      </x:c>
      <x:c r="T426" s="6" t="n">
        <x:v>5</x:v>
      </x:c>
      <x:c r="U426" s="6" t="str">
        <x:v>40+</x:v>
      </x:c>
      <x:c r="V426" s="6" t="str">
        <x:v>Relevance, capability, indexing and authority review</x:v>
      </x:c>
      <x:c r="W426" s="6" t="str">
        <x:v>Relevant supporting</x:v>
      </x:c>
      <x:c r="X426" s="6" t="n">
        <x:v>422</x:v>
      </x:c>
      <x:c r="Y426" s="6" t="str">
        <x:v>Unconfirmed — joint query/page data required</x:v>
      </x:c>
    </x:row>
    <x:row r="427" ht="42" customHeight="1">
      <x:c r="A427" s="6" t="str">
        <x:v>chevrolet car service in dubai</x:v>
      </x:c>
      <x:c r="B427" s="14" t="n">
        <x:v>0</x:v>
      </x:c>
      <x:c r="C427" s="14" t="n">
        <x:v>33</x:v>
      </x:c>
      <x:c r="D427" s="15" t="n">
        <x:v>0</x:v>
      </x:c>
      <x:c r="E427" s="16" t="n">
        <x:v>46.33</x:v>
      </x:c>
      <x:c r="F427" s="6" t="str">
        <x:v>GROWTH</x:v>
      </x:c>
      <x:c r="G427" s="17" t="n">
        <x:f>'Scoring'!I427</x:f>
        <x:v>55.9</x:v>
      </x:c>
      <x:c r="H427" s="6" t="str">
        <x:v>SUPPORT</x:v>
      </x:c>
      <x:c r="I427" s="6" t="str">
        <x:v>chevrolet: Service and repair</x:v>
      </x:c>
      <x:c r="J427" s="6" t="str">
        <x:v>Secondary</x:v>
      </x:c>
      <x:c r="K427" s="6" t="str">
        <x:v>Commercial service enquiry</x:v>
      </x:c>
      <x:c r="L427" s="6" t="str">
        <x:v>High</x:v>
      </x:c>
      <x:c r="M427" s="6" t="str">
        <x:v>https://digitecme.com/brands/chevrolet-service-dubai</x:v>
      </x:c>
      <x:c r="N427" s="6" t="str">
        <x:v>Unknown — export has no query/page pairing</x:v>
      </x:c>
      <x:c r="O427" s="6" t="str">
        <x:v>Retain primary intent and support variants</x:v>
      </x:c>
      <x:c r="P427" s="6" t="str">
        <x:v>Average position 46.33 makes ranking the main issue; avoid a CTR-only rewrite.</x:v>
      </x:c>
      <x:c r="Q427" s="6" t="str">
        <x:v>chevrolet</x:v>
      </x:c>
      <x:c r="R427" s="6" t="str">
        <x:v>service-repair</x:v>
      </x:c>
      <x:c r="S427" s="6" t="str">
        <x:v>Dubai explicit</x:v>
      </x:c>
      <x:c r="T427" s="6" t="n">
        <x:v>3</x:v>
      </x:c>
      <x:c r="U427" s="6" t="str">
        <x:v>40+</x:v>
      </x:c>
      <x:c r="V427" s="6" t="str">
        <x:v>Relevance, capability, indexing and authority review</x:v>
      </x:c>
      <x:c r="W427" s="6" t="str">
        <x:v>Relevant supporting</x:v>
      </x:c>
      <x:c r="X427" s="6" t="n">
        <x:v>423</x:v>
      </x:c>
      <x:c r="Y427" s="6" t="str">
        <x:v>Unconfirmed — joint query/page data required</x:v>
      </x:c>
    </x:row>
    <x:row r="428" ht="42" customHeight="1">
      <x:c r="A428" s="6" t="str">
        <x:v>car maintenance dubai</x:v>
      </x:c>
      <x:c r="B428" s="14" t="n">
        <x:v>0</x:v>
      </x:c>
      <x:c r="C428" s="14" t="n">
        <x:v>33</x:v>
      </x:c>
      <x:c r="D428" s="15" t="n">
        <x:v>0</x:v>
      </x:c>
      <x:c r="E428" s="16" t="n">
        <x:v>53.3</x:v>
      </x:c>
      <x:c r="F428" s="6" t="str">
        <x:v>GROWTH</x:v>
      </x:c>
      <x:c r="G428" s="17" t="n">
        <x:f>'Scoring'!I428</x:f>
        <x:v>55.9</x:v>
      </x:c>
      <x:c r="H428" s="6" t="str">
        <x:v>SUPPORT</x:v>
      </x:c>
      <x:c r="I428" s="6" t="str">
        <x:v>All vehicles: Scheduled car service</x:v>
      </x:c>
      <x:c r="J428" s="6" t="str">
        <x:v>Secondary</x:v>
      </x:c>
      <x:c r="K428" s="6" t="str">
        <x:v>Commercial service enquiry</x:v>
      </x:c>
      <x:c r="L428" s="6" t="str">
        <x:v>High</x:v>
      </x:c>
      <x:c r="M428" s="6" t="str">
        <x:v>https://digitecme.com/services/car-service-dubai</x:v>
      </x:c>
      <x:c r="N428" s="6" t="str">
        <x:v>Unknown — export has no query/page pairing</x:v>
      </x:c>
      <x:c r="O428" s="6" t="str">
        <x:v>Retain primary intent and support variants</x:v>
      </x:c>
      <x:c r="P428" s="6" t="str">
        <x:v>Average position 53.30 makes ranking the main issue; avoid a CTR-only rewrite.</x:v>
      </x:c>
      <x:c r="Q428" s="6" t="str">
        <x:v>All vehicles</x:v>
      </x:c>
      <x:c r="R428" s="6" t="str">
        <x:v>service-repair</x:v>
      </x:c>
      <x:c r="S428" s="6" t="str">
        <x:v>Dubai explicit</x:v>
      </x:c>
      <x:c r="T428" s="6" t="n">
        <x:v>3</x:v>
      </x:c>
      <x:c r="U428" s="6" t="str">
        <x:v>40+</x:v>
      </x:c>
      <x:c r="V428" s="6" t="str">
        <x:v>Relevance, capability, indexing and authority review</x:v>
      </x:c>
      <x:c r="W428" s="6" t="str">
        <x:v>Relevant supporting</x:v>
      </x:c>
      <x:c r="X428" s="6" t="n">
        <x:v>424</x:v>
      </x:c>
      <x:c r="Y428" s="6" t="str">
        <x:v>Unconfirmed — joint query/page data required</x:v>
      </x:c>
    </x:row>
    <x:row r="429" ht="42" customHeight="1">
      <x:c r="A429" s="6" t="str">
        <x:v>car garage dubai</x:v>
      </x:c>
      <x:c r="B429" s="14" t="n">
        <x:v>0</x:v>
      </x:c>
      <x:c r="C429" s="14" t="n">
        <x:v>33</x:v>
      </x:c>
      <x:c r="D429" s="15" t="n">
        <x:v>0</x:v>
      </x:c>
      <x:c r="E429" s="16" t="n">
        <x:v>65.03</x:v>
      </x:c>
      <x:c r="F429" s="6" t="str">
        <x:v>GROWTH</x:v>
      </x:c>
      <x:c r="G429" s="17" t="n">
        <x:f>'Scoring'!I429</x:f>
        <x:v>55.9</x:v>
      </x:c>
      <x:c r="H429" s="6" t="str">
        <x:v>SUPPORT</x:v>
      </x:c>
      <x:c r="I429" s="6" t="str">
        <x:v>All vehicles: General garage and repair (English)</x:v>
      </x:c>
      <x:c r="J429" s="6" t="str">
        <x:v>Secondary</x:v>
      </x:c>
      <x:c r="K429" s="6" t="str">
        <x:v>Commercial service enquiry</x:v>
      </x:c>
      <x:c r="L429" s="6" t="str">
        <x:v>High</x:v>
      </x:c>
      <x:c r="M429" s="6" t="str">
        <x:v>https://digitecme.com/services/car-garage-dubai</x:v>
      </x:c>
      <x:c r="N429" s="6" t="str">
        <x:v>Unknown — export has no query/page pairing</x:v>
      </x:c>
      <x:c r="O429" s="6" t="str">
        <x:v>Retain primary intent and support variants</x:v>
      </x:c>
      <x:c r="P429" s="6" t="str">
        <x:v>Average position 65.03 makes ranking the main issue; avoid a CTR-only rewrite.</x:v>
      </x:c>
      <x:c r="Q429" s="6" t="str">
        <x:v>All vehicles</x:v>
      </x:c>
      <x:c r="R429" s="6" t="str">
        <x:v>service-repair</x:v>
      </x:c>
      <x:c r="S429" s="6" t="str">
        <x:v>Dubai explicit</x:v>
      </x:c>
      <x:c r="T429" s="6" t="n">
        <x:v>3</x:v>
      </x:c>
      <x:c r="U429" s="6" t="str">
        <x:v>40+</x:v>
      </x:c>
      <x:c r="V429" s="6" t="str">
        <x:v>Relevance, capability, indexing and authority review</x:v>
      </x:c>
      <x:c r="W429" s="6" t="str">
        <x:v>Relevant supporting</x:v>
      </x:c>
      <x:c r="X429" s="6" t="n">
        <x:v>425</x:v>
      </x:c>
      <x:c r="Y429" s="6" t="str">
        <x:v>Unconfirmed — joint query/page data required</x:v>
      </x:c>
    </x:row>
    <x:row r="430" ht="42" customHeight="1">
      <x:c r="A430" s="6" t="str">
        <x:v>steering column repair shops</x:v>
      </x:c>
      <x:c r="B430" s="14" t="n">
        <x:v>0</x:v>
      </x:c>
      <x:c r="C430" s="14" t="n">
        <x:v>32</x:v>
      </x:c>
      <x:c r="D430" s="15" t="n">
        <x:v>0</x:v>
      </x:c>
      <x:c r="E430" s="16" t="n">
        <x:v>15.22</x:v>
      </x:c>
      <x:c r="F430" s="6" t="str">
        <x:v>HIGH</x:v>
      </x:c>
      <x:c r="G430" s="17" t="n">
        <x:f>'Scoring'!I430</x:f>
        <x:v>64.6</x:v>
      </x:c>
      <x:c r="H430" s="6" t="str">
        <x:v>SUPPORT</x:v>
      </x:c>
      <x:c r="I430" s="6" t="str">
        <x:v>All vehicles: Steering repair</x:v>
      </x:c>
      <x:c r="J430" s="6" t="str">
        <x:v>Secondary</x:v>
      </x:c>
      <x:c r="K430" s="6" t="str">
        <x:v>Commercial service enquiry</x:v>
      </x:c>
      <x:c r="L430" s="6" t="str">
        <x:v>High</x:v>
      </x:c>
      <x:c r="M430" s="6" t="str">
        <x:v>https://digitecme.com/services/steering-repair-dubai</x:v>
      </x:c>
      <x:c r="N430" s="6" t="str">
        <x:v>Unknown — export has no query/page pairing</x:v>
      </x:c>
      <x:c r="O430" s="6" t="str">
        <x:v>Retain primary intent and support variants</x:v>
      </x:c>
      <x:c r="P430" s="6" t="str">
        <x:v>32 impressions at average position 15.22; strengthen the appropriate intent owner and measure with a fresh comparable period.</x:v>
      </x:c>
      <x:c r="Q430" s="6" t="str">
        <x:v>All vehicles</x:v>
      </x:c>
      <x:c r="R430" s="6" t="str">
        <x:v>steering-repair</x:v>
      </x:c>
      <x:c r="S430" s="6" t="str">
        <x:v>Location unspecified</x:v>
      </x:c>
      <x:c r="T430" s="6" t="n">
        <x:v>3</x:v>
      </x:c>
      <x:c r="U430" s="6" t="str">
        <x:v>11–20</x:v>
      </x:c>
      <x:c r="V430" s="6" t="str">
        <x:v>Ranking and owner relevance</x:v>
      </x:c>
      <x:c r="W430" s="6" t="str">
        <x:v>Relevant supporting</x:v>
      </x:c>
      <x:c r="X430" s="6" t="n">
        <x:v>426</x:v>
      </x:c>
      <x:c r="Y430" s="6" t="str">
        <x:v>Unconfirmed — joint query/page data required</x:v>
      </x:c>
    </x:row>
    <x:row r="431" ht="57" customHeight="1">
      <x:c r="A431" s="6" t="str">
        <x:v>porsche targa service dubai</x:v>
      </x:c>
      <x:c r="B431" s="14" t="n">
        <x:v>0</x:v>
      </x:c>
      <x:c r="C431" s="14" t="n">
        <x:v>32</x:v>
      </x:c>
      <x:c r="D431" s="15" t="n">
        <x:v>0</x:v>
      </x:c>
      <x:c r="E431" s="16" t="n">
        <x:v>28.16</x:v>
      </x:c>
      <x:c r="F431" s="6" t="str">
        <x:v>HIGH</x:v>
      </x:c>
      <x:c r="G431" s="17" t="n">
        <x:f>'Scoring'!I431</x:f>
        <x:v>77.6</x:v>
      </x:c>
      <x:c r="H431" s="6" t="str">
        <x:v>PRIORITIZE</x:v>
      </x:c>
      <x:c r="I431" s="6" t="str">
        <x:v>porsche: 911 service and model variants</x:v>
      </x:c>
      <x:c r="J431" s="6" t="str">
        <x:v>Primary</x:v>
      </x:c>
      <x:c r="K431" s="6" t="str">
        <x:v>Commercial service enquiry</x:v>
      </x:c>
      <x:c r="L431" s="6" t="str">
        <x:v>High</x:v>
      </x:c>
      <x:c r="M431" s="6" t="str">
        <x:v>https://digitecme.com/blog/porsche-911-service-dubai-guide</x:v>
      </x:c>
      <x:c r="N431" s="6" t="str">
        <x:v>Unknown — export has no query/page pairing</x:v>
      </x:c>
      <x:c r="O431" s="6" t="str">
        <x:v>Strengthen this primary intent owner</x:v>
      </x:c>
      <x:c r="P431" s="6" t="str">
        <x:v>Support the existing 911 page with model-specific sections; no separate Targa/Carrera/GT3 page justified by this export. Average position 28.16 makes ranking the main issue; avoid a CTR-only rewrite.</x:v>
      </x:c>
      <x:c r="Q431" s="6" t="str">
        <x:v>porsche</x:v>
      </x:c>
      <x:c r="R431" s="6" t="str">
        <x:v>service-repair</x:v>
      </x:c>
      <x:c r="S431" s="6" t="str">
        <x:v>Dubai explicit</x:v>
      </x:c>
      <x:c r="T431" s="6" t="n">
        <x:v>5</x:v>
      </x:c>
      <x:c r="U431" s="6" t="str">
        <x:v>21–40</x:v>
      </x:c>
      <x:c r="V431" s="6" t="str">
        <x:v>Content, internal authority and owner alignment</x:v>
      </x:c>
      <x:c r="W431" s="6" t="str">
        <x:v>High-value commercial</x:v>
      </x:c>
      <x:c r="X431" s="6" t="n">
        <x:v>427</x:v>
      </x:c>
      <x:c r="Y431" s="6" t="str">
        <x:v>Unconfirmed — joint query/page data required</x:v>
      </x:c>
    </x:row>
    <x:row r="432" ht="42" customHeight="1">
      <x:c r="A432" s="6" t="str">
        <x:v>audi service dubai</x:v>
      </x:c>
      <x:c r="B432" s="14" t="n">
        <x:v>0</x:v>
      </x:c>
      <x:c r="C432" s="14" t="n">
        <x:v>32</x:v>
      </x:c>
      <x:c r="D432" s="15" t="n">
        <x:v>0</x:v>
      </x:c>
      <x:c r="E432" s="16" t="n">
        <x:v>28.53</x:v>
      </x:c>
      <x:c r="F432" s="6" t="str">
        <x:v>HIGH</x:v>
      </x:c>
      <x:c r="G432" s="17" t="n">
        <x:f>'Scoring'!I432</x:f>
        <x:v>77.6</x:v>
      </x:c>
      <x:c r="H432" s="6" t="str">
        <x:v>SUPPORT</x:v>
      </x:c>
      <x:c r="I432" s="6" t="str">
        <x:v>audi: Service and repair (English)</x:v>
      </x:c>
      <x:c r="J432" s="6" t="str">
        <x:v>Secondary</x:v>
      </x:c>
      <x:c r="K432" s="6" t="str">
        <x:v>Commercial service enquiry</x:v>
      </x:c>
      <x:c r="L432" s="6" t="str">
        <x:v>High</x:v>
      </x:c>
      <x:c r="M432" s="6" t="str">
        <x:v>https://digitecme.com/brands/audi-service-dubai</x:v>
      </x:c>
      <x:c r="N432" s="6" t="str">
        <x:v>Unknown — export has no query/page pairing</x:v>
      </x:c>
      <x:c r="O432" s="6" t="str">
        <x:v>Retain primary intent and support variants</x:v>
      </x:c>
      <x:c r="P432" s="6" t="str">
        <x:v>Average position 28.53 makes ranking the main issue; avoid a CTR-only rewrite.</x:v>
      </x:c>
      <x:c r="Q432" s="6" t="str">
        <x:v>audi</x:v>
      </x:c>
      <x:c r="R432" s="6" t="str">
        <x:v>service-repair</x:v>
      </x:c>
      <x:c r="S432" s="6" t="str">
        <x:v>Dubai explicit</x:v>
      </x:c>
      <x:c r="T432" s="6" t="n">
        <x:v>5</x:v>
      </x:c>
      <x:c r="U432" s="6" t="str">
        <x:v>21–40</x:v>
      </x:c>
      <x:c r="V432" s="6" t="str">
        <x:v>Content, internal authority and owner alignment</x:v>
      </x:c>
      <x:c r="W432" s="6" t="str">
        <x:v>Relevant supporting</x:v>
      </x:c>
      <x:c r="X432" s="6" t="n">
        <x:v>428</x:v>
      </x:c>
      <x:c r="Y432" s="6" t="str">
        <x:v>Unconfirmed — joint query/page data required</x:v>
      </x:c>
    </x:row>
    <x:row r="433" ht="42" customHeight="1">
      <x:c r="A433" s="6" t="str">
        <x:v>ferrari service centre</x:v>
      </x:c>
      <x:c r="B433" s="14" t="n">
        <x:v>0</x:v>
      </x:c>
      <x:c r="C433" s="14" t="n">
        <x:v>32</x:v>
      </x:c>
      <x:c r="D433" s="15" t="n">
        <x:v>0</x:v>
      </x:c>
      <x:c r="E433" s="16" t="n">
        <x:v>30.56</x:v>
      </x:c>
      <x:c r="F433" s="6" t="str">
        <x:v>GROWTH</x:v>
      </x:c>
      <x:c r="G433" s="17" t="n">
        <x:f>'Scoring'!I433</x:f>
        <x:v>65.1</x:v>
      </x:c>
      <x:c r="H433" s="6" t="str">
        <x:v>SUPPORT</x:v>
      </x:c>
      <x:c r="I433" s="6" t="str">
        <x:v>ferrari: Service and repair</x:v>
      </x:c>
      <x:c r="J433" s="6" t="str">
        <x:v>Secondary</x:v>
      </x:c>
      <x:c r="K433" s="6" t="str">
        <x:v>Commercial service enquiry</x:v>
      </x:c>
      <x:c r="L433" s="6" t="str">
        <x:v>High</x:v>
      </x:c>
      <x:c r="M433" s="6" t="str">
        <x:v>https://digitecme.com/brands/ferrari-service-dubai</x:v>
      </x:c>
      <x:c r="N433" s="6" t="str">
        <x:v>Unknown — export has no query/page pairing</x:v>
      </x:c>
      <x:c r="O433" s="6" t="str">
        <x:v>Retain primary intent and support variants</x:v>
      </x:c>
      <x:c r="P433" s="6" t="str">
        <x:v>Average position 30.56 makes ranking the main issue; avoid a CTR-only rewrite.</x:v>
      </x:c>
      <x:c r="Q433" s="6" t="str">
        <x:v>ferrari</x:v>
      </x:c>
      <x:c r="R433" s="6" t="str">
        <x:v>service-repair</x:v>
      </x:c>
      <x:c r="S433" s="6" t="str">
        <x:v>Location unspecified</x:v>
      </x:c>
      <x:c r="T433" s="6" t="n">
        <x:v>5</x:v>
      </x:c>
      <x:c r="U433" s="6" t="str">
        <x:v>21–40</x:v>
      </x:c>
      <x:c r="V433" s="6" t="str">
        <x:v>Content, internal authority and owner alignment</x:v>
      </x:c>
      <x:c r="W433" s="6" t="str">
        <x:v>Relevant supporting</x:v>
      </x:c>
      <x:c r="X433" s="6" t="n">
        <x:v>429</x:v>
      </x:c>
      <x:c r="Y433" s="6" t="str">
        <x:v>Unconfirmed — joint query/page data required</x:v>
      </x:c>
    </x:row>
    <x:row r="434" ht="42" customHeight="1">
      <x:c r="A434" s="6" t="str">
        <x:v>service for bmw</x:v>
      </x:c>
      <x:c r="B434" s="14" t="n">
        <x:v>0</x:v>
      </x:c>
      <x:c r="C434" s="14" t="n">
        <x:v>32</x:v>
      </x:c>
      <x:c r="D434" s="15" t="n">
        <x:v>0</x:v>
      </x:c>
      <x:c r="E434" s="16" t="n">
        <x:v>30.97</x:v>
      </x:c>
      <x:c r="F434" s="6" t="str">
        <x:v>GROWTH</x:v>
      </x:c>
      <x:c r="G434" s="17" t="n">
        <x:f>'Scoring'!I434</x:f>
        <x:v>65.1</x:v>
      </x:c>
      <x:c r="H434" s="6" t="str">
        <x:v>SUPPORT</x:v>
      </x:c>
      <x:c r="I434" s="6" t="str">
        <x:v>bmw: Service and repair (English)</x:v>
      </x:c>
      <x:c r="J434" s="6" t="str">
        <x:v>Secondary</x:v>
      </x:c>
      <x:c r="K434" s="6" t="str">
        <x:v>Commercial service enquiry</x:v>
      </x:c>
      <x:c r="L434" s="6" t="str">
        <x:v>High</x:v>
      </x:c>
      <x:c r="M434" s="6" t="str">
        <x:v>https://digitecme.com/brands/bmw-service-dubai</x:v>
      </x:c>
      <x:c r="N434" s="6" t="str">
        <x:v>Unknown — export has no query/page pairing</x:v>
      </x:c>
      <x:c r="O434" s="6" t="str">
        <x:v>Retain primary intent and support variants</x:v>
      </x:c>
      <x:c r="P434" s="6" t="str">
        <x:v>Average position 30.97 makes ranking the main issue; avoid a CTR-only rewrite.</x:v>
      </x:c>
      <x:c r="Q434" s="6" t="str">
        <x:v>bmw</x:v>
      </x:c>
      <x:c r="R434" s="6" t="str">
        <x:v>service-repair</x:v>
      </x:c>
      <x:c r="S434" s="6" t="str">
        <x:v>Location unspecified</x:v>
      </x:c>
      <x:c r="T434" s="6" t="n">
        <x:v>5</x:v>
      </x:c>
      <x:c r="U434" s="6" t="str">
        <x:v>21–40</x:v>
      </x:c>
      <x:c r="V434" s="6" t="str">
        <x:v>Content, internal authority and owner alignment</x:v>
      </x:c>
      <x:c r="W434" s="6" t="str">
        <x:v>Relevant supporting</x:v>
      </x:c>
      <x:c r="X434" s="6" t="n">
        <x:v>430</x:v>
      </x:c>
      <x:c r="Y434" s="6" t="str">
        <x:v>Unconfirmed — joint query/page data required</x:v>
      </x:c>
    </x:row>
    <x:row r="435" ht="42" customHeight="1">
      <x:c r="A435" s="6" t="str">
        <x:v>porsche engine repair dubai</x:v>
      </x:c>
      <x:c r="B435" s="14" t="n">
        <x:v>0</x:v>
      </x:c>
      <x:c r="C435" s="14" t="n">
        <x:v>32</x:v>
      </x:c>
      <x:c r="D435" s="15" t="n">
        <x:v>0</x:v>
      </x:c>
      <x:c r="E435" s="16" t="n">
        <x:v>36.22</x:v>
      </x:c>
      <x:c r="F435" s="6" t="str">
        <x:v>GROWTH</x:v>
      </x:c>
      <x:c r="G435" s="17" t="n">
        <x:f>'Scoring'!I435</x:f>
        <x:v>70.1</x:v>
      </x:c>
      <x:c r="H435" s="6" t="str">
        <x:v>SPLIT</x:v>
      </x:c>
      <x:c r="I435" s="6" t="str">
        <x:v>porsche: Engine and mechanical repair</x:v>
      </x:c>
      <x:c r="J435" s="6" t="str">
        <x:v>Primary</x:v>
      </x:c>
      <x:c r="K435" s="6" t="str">
        <x:v>Commercial service enquiry</x:v>
      </x:c>
      <x:c r="L435" s="6" t="str">
        <x:v>High</x:v>
      </x:c>
      <x:c r="M435" s="6" t="str">
        <x:v>https://digitecme.com/brands/porsche-service-dubai/mechanical-repair</x:v>
      </x:c>
      <x:c r="N435" s="6" t="str">
        <x:v>Unknown — export has no query/page pairing</x:v>
      </x:c>
      <x:c r="O435" s="6" t="str">
        <x:v>Use dedicated service owner</x:v>
      </x:c>
      <x:c r="P435" s="6" t="str">
        <x:v>Average position 36.22 makes ranking the main issue; avoid a CTR-only rewrite.</x:v>
      </x:c>
      <x:c r="Q435" s="6" t="str">
        <x:v>porsche</x:v>
      </x:c>
      <x:c r="R435" s="6" t="str">
        <x:v>mechanical-repair</x:v>
      </x:c>
      <x:c r="S435" s="6" t="str">
        <x:v>Dubai explicit</x:v>
      </x:c>
      <x:c r="T435" s="6" t="n">
        <x:v>5</x:v>
      </x:c>
      <x:c r="U435" s="6" t="str">
        <x:v>21–40</x:v>
      </x:c>
      <x:c r="V435" s="6" t="str">
        <x:v>Content, internal authority and owner alignment</x:v>
      </x:c>
      <x:c r="W435" s="6" t="str">
        <x:v>High-value commercial</x:v>
      </x:c>
      <x:c r="X435" s="6" t="n">
        <x:v>431</x:v>
      </x:c>
      <x:c r="Y435" s="6" t="str">
        <x:v>Unconfirmed — joint query/page data required</x:v>
      </x:c>
    </x:row>
    <x:row r="436" ht="42" customHeight="1">
      <x:c r="A436" s="6" t="str">
        <x:v>car diagnostic near me</x:v>
      </x:c>
      <x:c r="B436" s="14" t="n">
        <x:v>0</x:v>
      </x:c>
      <x:c r="C436" s="14" t="n">
        <x:v>32</x:v>
      </x:c>
      <x:c r="D436" s="15" t="n">
        <x:v>0</x:v>
      </x:c>
      <x:c r="E436" s="16" t="n">
        <x:v>42.38</x:v>
      </x:c>
      <x:c r="F436" s="6" t="str">
        <x:v>GROWTH</x:v>
      </x:c>
      <x:c r="G436" s="17" t="n">
        <x:f>'Scoring'!I436</x:f>
        <x:v>55.8</x:v>
      </x:c>
      <x:c r="H436" s="6" t="str">
        <x:v>SUPPORT</x:v>
      </x:c>
      <x:c r="I436" s="6" t="str">
        <x:v>All vehicles: Diagnostics and supported coding</x:v>
      </x:c>
      <x:c r="J436" s="6" t="str">
        <x:v>Secondary</x:v>
      </x:c>
      <x:c r="K436" s="6" t="str">
        <x:v>Commercial service enquiry</x:v>
      </x:c>
      <x:c r="L436" s="6" t="str">
        <x:v>High</x:v>
      </x:c>
      <x:c r="M436" s="6" t="str">
        <x:v>https://digitecme.com/services/car-diagnostics-dubai</x:v>
      </x:c>
      <x:c r="N436" s="6" t="str">
        <x:v>Unknown — export has no query/page pairing</x:v>
      </x:c>
      <x:c r="O436" s="6" t="str">
        <x:v>Retain primary intent and support variants</x:v>
      </x:c>
      <x:c r="P436" s="6" t="str">
        <x:v>Average position 42.38 makes ranking the main issue; avoid a CTR-only rewrite.</x:v>
      </x:c>
      <x:c r="Q436" s="6" t="str">
        <x:v>All vehicles</x:v>
      </x:c>
      <x:c r="R436" s="6" t="str">
        <x:v>engine-diagnostics</x:v>
      </x:c>
      <x:c r="S436" s="6" t="str">
        <x:v>Near me; location unknown</x:v>
      </x:c>
      <x:c r="T436" s="6" t="n">
        <x:v>3</x:v>
      </x:c>
      <x:c r="U436" s="6" t="str">
        <x:v>40+</x:v>
      </x:c>
      <x:c r="V436" s="6" t="str">
        <x:v>Relevance, capability, indexing and authority review</x:v>
      </x:c>
      <x:c r="W436" s="6" t="str">
        <x:v>Relevant supporting</x:v>
      </x:c>
      <x:c r="X436" s="6" t="n">
        <x:v>432</x:v>
      </x:c>
      <x:c r="Y436" s="6" t="str">
        <x:v>Unconfirmed — joint query/page data required</x:v>
      </x:c>
    </x:row>
    <x:row r="437" ht="42" customHeight="1">
      <x:c r="A437" s="6" t="str">
        <x:v>muffler repair dubai</x:v>
      </x:c>
      <x:c r="B437" s="14" t="n">
        <x:v>0</x:v>
      </x:c>
      <x:c r="C437" s="14" t="n">
        <x:v>31</x:v>
      </x:c>
      <x:c r="D437" s="15" t="n">
        <x:v>0</x:v>
      </x:c>
      <x:c r="E437" s="16" t="n">
        <x:v>7.55</x:v>
      </x:c>
      <x:c r="F437" s="6" t="str">
        <x:v>CRITICAL</x:v>
      </x:c>
      <x:c r="G437" s="17" t="n">
        <x:f>'Scoring'!I437</x:f>
        <x:v>87</x:v>
      </x:c>
      <x:c r="H437" s="6" t="str">
        <x:v>SUPPORT</x:v>
      </x:c>
      <x:c r="I437" s="6" t="str">
        <x:v>All vehicles: Exhaust repair</x:v>
      </x:c>
      <x:c r="J437" s="6" t="str">
        <x:v>Secondary</x:v>
      </x:c>
      <x:c r="K437" s="6" t="str">
        <x:v>Commercial service enquiry</x:v>
      </x:c>
      <x:c r="L437" s="6" t="str">
        <x:v>High</x:v>
      </x:c>
      <x:c r="M437" s="6" t="str">
        <x:v>https://digitecme.com/services/exhaust-repair-dubai</x:v>
      </x:c>
      <x:c r="N437" s="6" t="str">
        <x:v>Unknown — export has no query/page pairing</x:v>
      </x:c>
      <x:c r="O437" s="6" t="str">
        <x:v>Retain primary intent and support variants</x:v>
      </x:c>
      <x:c r="P437" s="6" t="str">
        <x:v>Zero clicks from 31 impressions at average position 7.55; inspect query/page, country/device and SERP before attributing this to the snippet.</x:v>
      </x:c>
      <x:c r="Q437" s="6" t="str">
        <x:v>All vehicles</x:v>
      </x:c>
      <x:c r="R437" s="6" t="str">
        <x:v>exhaust-repair</x:v>
      </x:c>
      <x:c r="S437" s="6" t="str">
        <x:v>Dubai explicit</x:v>
      </x:c>
      <x:c r="T437" s="6" t="n">
        <x:v>3</x:v>
      </x:c>
      <x:c r="U437" s="6" t="str">
        <x:v>4–10</x:v>
      </x:c>
      <x:c r="V437" s="6" t="str">
        <x:v>Page-one CTR review and top-three relevance</x:v>
      </x:c>
      <x:c r="W437" s="6" t="str">
        <x:v>Relevant supporting</x:v>
      </x:c>
      <x:c r="X437" s="6" t="n">
        <x:v>433</x:v>
      </x:c>
      <x:c r="Y437" s="6" t="str">
        <x:v>Unconfirmed — joint query/page data required</x:v>
      </x:c>
    </x:row>
    <x:row r="438" ht="42" customHeight="1">
      <x:c r="A438" s="6" t="str">
        <x:v>bmw transmission repair in dubai</x:v>
      </x:c>
      <x:c r="B438" s="14" t="n">
        <x:v>0</x:v>
      </x:c>
      <x:c r="C438" s="14" t="n">
        <x:v>31</x:v>
      </x:c>
      <x:c r="D438" s="15" t="n">
        <x:v>0</x:v>
      </x:c>
      <x:c r="E438" s="16" t="n">
        <x:v>8.42</x:v>
      </x:c>
      <x:c r="F438" s="6" t="str">
        <x:v>CRITICAL</x:v>
      </x:c>
      <x:c r="G438" s="17" t="n">
        <x:f>'Scoring'!I438</x:f>
        <x:v>95</x:v>
      </x:c>
      <x:c r="H438" s="6" t="str">
        <x:v>SPLIT</x:v>
      </x:c>
      <x:c r="I438" s="6" t="str">
        <x:v>bmw: Transmission and gearbox repair</x:v>
      </x:c>
      <x:c r="J438" s="6" t="str">
        <x:v>Secondary</x:v>
      </x:c>
      <x:c r="K438" s="6" t="str">
        <x:v>Commercial service enquiry</x:v>
      </x:c>
      <x:c r="L438" s="6" t="str">
        <x:v>High</x:v>
      </x:c>
      <x:c r="M438" s="6" t="str">
        <x:v>https://digitecme.com/brands/bmw-service-dubai/transmission-repair</x:v>
      </x:c>
      <x:c r="N438" s="6" t="str">
        <x:v>Unknown — export has no query/page pairing</x:v>
      </x:c>
      <x:c r="O438" s="6" t="str">
        <x:v>Use dedicated service owner</x:v>
      </x:c>
      <x:c r="P438" s="6" t="str">
        <x:v>Zero clicks from 31 impressions at average position 8.42; inspect query/page, country/device and SERP before attributing this to the snippet.</x:v>
      </x:c>
      <x:c r="Q438" s="6" t="str">
        <x:v>bmw</x:v>
      </x:c>
      <x:c r="R438" s="6" t="str">
        <x:v>transmission-repair</x:v>
      </x:c>
      <x:c r="S438" s="6" t="str">
        <x:v>Dubai explicit</x:v>
      </x:c>
      <x:c r="T438" s="6" t="n">
        <x:v>5</x:v>
      </x:c>
      <x:c r="U438" s="6" t="str">
        <x:v>4–10</x:v>
      </x:c>
      <x:c r="V438" s="6" t="str">
        <x:v>Page-one CTR review and top-three relevance</x:v>
      </x:c>
      <x:c r="W438" s="6" t="str">
        <x:v>High-value commercial</x:v>
      </x:c>
      <x:c r="X438" s="6" t="n">
        <x:v>434</x:v>
      </x:c>
      <x:c r="Y438" s="6" t="str">
        <x:v>Unconfirmed — joint query/page data required</x:v>
      </x:c>
    </x:row>
    <x:row r="439" ht="42" customHeight="1">
      <x:c r="A439" s="6" t="str">
        <x:v>audi body shop dubai</x:v>
      </x:c>
      <x:c r="B439" s="14" t="n">
        <x:v>0</x:v>
      </x:c>
      <x:c r="C439" s="14" t="n">
        <x:v>31</x:v>
      </x:c>
      <x:c r="D439" s="15" t="n">
        <x:v>0</x:v>
      </x:c>
      <x:c r="E439" s="16" t="n">
        <x:v>10</x:v>
      </x:c>
      <x:c r="F439" s="6" t="str">
        <x:v>CRITICAL</x:v>
      </x:c>
      <x:c r="G439" s="17" t="n">
        <x:f>'Scoring'!I439</x:f>
        <x:v>95</x:v>
      </x:c>
      <x:c r="H439" s="6" t="str">
        <x:v>SPLIT</x:v>
      </x:c>
      <x:c r="I439" s="6" t="str">
        <x:v>audi: Body repair</x:v>
      </x:c>
      <x:c r="J439" s="6" t="str">
        <x:v>Primary</x:v>
      </x:c>
      <x:c r="K439" s="6" t="str">
        <x:v>Commercial service enquiry</x:v>
      </x:c>
      <x:c r="L439" s="6" t="str">
        <x:v>High</x:v>
      </x:c>
      <x:c r="M439" s="6" t="str">
        <x:v>https://digitecme.com/brands/audi-service-dubai/body-repair</x:v>
      </x:c>
      <x:c r="N439" s="6" t="str">
        <x:v>Unknown — export has no query/page pairing</x:v>
      </x:c>
      <x:c r="O439" s="6" t="str">
        <x:v>Use dedicated service owner</x:v>
      </x:c>
      <x:c r="P439" s="6" t="str">
        <x:v>Zero clicks from 31 impressions at average position 10.00; inspect query/page, country/device and SERP before attributing this to the snippet.</x:v>
      </x:c>
      <x:c r="Q439" s="6" t="str">
        <x:v>audi</x:v>
      </x:c>
      <x:c r="R439" s="6" t="str">
        <x:v>body-repair</x:v>
      </x:c>
      <x:c r="S439" s="6" t="str">
        <x:v>Dubai explicit</x:v>
      </x:c>
      <x:c r="T439" s="6" t="n">
        <x:v>5</x:v>
      </x:c>
      <x:c r="U439" s="6" t="str">
        <x:v>4–10</x:v>
      </x:c>
      <x:c r="V439" s="6" t="str">
        <x:v>Page-one CTR review and top-three relevance</x:v>
      </x:c>
      <x:c r="W439" s="6" t="str">
        <x:v>High-value commercial</x:v>
      </x:c>
      <x:c r="X439" s="6" t="n">
        <x:v>435</x:v>
      </x:c>
      <x:c r="Y439" s="6" t="str">
        <x:v>Unconfirmed — joint query/page data required</x:v>
      </x:c>
    </x:row>
    <x:row r="440" ht="42" customHeight="1">
      <x:c r="A440" s="6" t="str">
        <x:v>mercedes dubai service</x:v>
      </x:c>
      <x:c r="B440" s="14" t="n">
        <x:v>0</x:v>
      </x:c>
      <x:c r="C440" s="14" t="n">
        <x:v>31</x:v>
      </x:c>
      <x:c r="D440" s="15" t="n">
        <x:v>0</x:v>
      </x:c>
      <x:c r="E440" s="16" t="n">
        <x:v>13.03</x:v>
      </x:c>
      <x:c r="F440" s="6" t="str">
        <x:v>CRITICAL</x:v>
      </x:c>
      <x:c r="G440" s="17" t="n">
        <x:f>'Scoring'!I440</x:f>
        <x:v>85</x:v>
      </x:c>
      <x:c r="H440" s="6" t="str">
        <x:v>SUPPORT</x:v>
      </x:c>
      <x:c r="I440" s="6" t="str">
        <x:v>mercedes-benz: Service and repair (English)</x:v>
      </x:c>
      <x:c r="J440" s="6" t="str">
        <x:v>Secondary</x:v>
      </x:c>
      <x:c r="K440" s="6" t="str">
        <x:v>Commercial service enquiry</x:v>
      </x:c>
      <x:c r="L440" s="6" t="str">
        <x:v>High</x:v>
      </x:c>
      <x:c r="M440" s="6" t="str">
        <x:v>https://digitecme.com/brands/mercedes-benz-service-dubai</x:v>
      </x:c>
      <x:c r="N440" s="6" t="str">
        <x:v>Unknown — export has no query/page pairing</x:v>
      </x:c>
      <x:c r="O440" s="6" t="str">
        <x:v>Retain primary intent and support variants</x:v>
      </x:c>
      <x:c r="P440" s="6" t="str">
        <x:v>31 impressions at average position 13.03; strengthen the appropriate intent owner and measure with a fresh comparable period.</x:v>
      </x:c>
      <x:c r="Q440" s="6" t="str">
        <x:v>mercedes-benz</x:v>
      </x:c>
      <x:c r="R440" s="6" t="str">
        <x:v>service-repair</x:v>
      </x:c>
      <x:c r="S440" s="6" t="str">
        <x:v>Dubai explicit</x:v>
      </x:c>
      <x:c r="T440" s="6" t="n">
        <x:v>5</x:v>
      </x:c>
      <x:c r="U440" s="6" t="str">
        <x:v>11–20</x:v>
      </x:c>
      <x:c r="V440" s="6" t="str">
        <x:v>Ranking and owner relevance</x:v>
      </x:c>
      <x:c r="W440" s="6" t="str">
        <x:v>Relevant supporting</x:v>
      </x:c>
      <x:c r="X440" s="6" t="n">
        <x:v>436</x:v>
      </x:c>
      <x:c r="Y440" s="6" t="str">
        <x:v>Unconfirmed — joint query/page data required</x:v>
      </x:c>
    </x:row>
    <x:row r="441" ht="42" customHeight="1">
      <x:c r="A441" s="6" t="str">
        <x:v>mclaren service center</x:v>
      </x:c>
      <x:c r="B441" s="14" t="n">
        <x:v>0</x:v>
      </x:c>
      <x:c r="C441" s="14" t="n">
        <x:v>31</x:v>
      </x:c>
      <x:c r="D441" s="15" t="n">
        <x:v>0</x:v>
      </x:c>
      <x:c r="E441" s="16" t="n">
        <x:v>14.48</x:v>
      </x:c>
      <x:c r="F441" s="6" t="str">
        <x:v>CRITICAL</x:v>
      </x:c>
      <x:c r="G441" s="17" t="n">
        <x:f>'Scoring'!I441</x:f>
        <x:v>80</x:v>
      </x:c>
      <x:c r="H441" s="6" t="str">
        <x:v>SUPPORT</x:v>
      </x:c>
      <x:c r="I441" s="6" t="str">
        <x:v>mclaren: Service and repair</x:v>
      </x:c>
      <x:c r="J441" s="6" t="str">
        <x:v>Secondary</x:v>
      </x:c>
      <x:c r="K441" s="6" t="str">
        <x:v>Commercial service enquiry</x:v>
      </x:c>
      <x:c r="L441" s="6" t="str">
        <x:v>High</x:v>
      </x:c>
      <x:c r="M441" s="6" t="str">
        <x:v>https://digitecme.com/brands/mclaren-service-dubai</x:v>
      </x:c>
      <x:c r="N441" s="6" t="str">
        <x:v>Unknown — export has no query/page pairing</x:v>
      </x:c>
      <x:c r="O441" s="6" t="str">
        <x:v>Retain primary intent and support variants</x:v>
      </x:c>
      <x:c r="P441" s="6" t="str">
        <x:v>31 impressions at average position 14.48; strengthen the appropriate intent owner and measure with a fresh comparable period.</x:v>
      </x:c>
      <x:c r="Q441" s="6" t="str">
        <x:v>mclaren</x:v>
      </x:c>
      <x:c r="R441" s="6" t="str">
        <x:v>service-repair</x:v>
      </x:c>
      <x:c r="S441" s="6" t="str">
        <x:v>Location unspecified</x:v>
      </x:c>
      <x:c r="T441" s="6" t="n">
        <x:v>5</x:v>
      </x:c>
      <x:c r="U441" s="6" t="str">
        <x:v>11–20</x:v>
      </x:c>
      <x:c r="V441" s="6" t="str">
        <x:v>Ranking and owner relevance</x:v>
      </x:c>
      <x:c r="W441" s="6" t="str">
        <x:v>Relevant supporting</x:v>
      </x:c>
      <x:c r="X441" s="6" t="n">
        <x:v>437</x:v>
      </x:c>
      <x:c r="Y441" s="6" t="str">
        <x:v>Unconfirmed — joint query/page data required</x:v>
      </x:c>
    </x:row>
    <x:row r="442" ht="57" customHeight="1">
      <x:c r="A442" s="6" t="str">
        <x:v>خدمة maserati</x:v>
      </x:c>
      <x:c r="B442" s="14" t="n">
        <x:v>0</x:v>
      </x:c>
      <x:c r="C442" s="14" t="n">
        <x:v>31</x:v>
      </x:c>
      <x:c r="D442" s="15" t="n">
        <x:v>0</x:v>
      </x:c>
      <x:c r="E442" s="16" t="n">
        <x:v>15</x:v>
      </x:c>
      <x:c r="F442" s="6" t="str">
        <x:v>CRITICAL</x:v>
      </x:c>
      <x:c r="G442" s="17" t="n">
        <x:f>'Scoring'!I442</x:f>
        <x:v>80</x:v>
      </x:c>
      <x:c r="H442" s="6" t="str">
        <x:v>PRIORITIZE</x:v>
      </x:c>
      <x:c r="I442" s="6" t="str">
        <x:v>maserati: Service and repair (Arabic)</x:v>
      </x:c>
      <x:c r="J442" s="6" t="str">
        <x:v>Primary</x:v>
      </x:c>
      <x:c r="K442" s="6" t="str">
        <x:v>Commercial service enquiry</x:v>
      </x:c>
      <x:c r="L442" s="6" t="str">
        <x:v>High</x:v>
      </x:c>
      <x:c r="M442" s="6" t="str">
        <x:v>https://digitecme.com/ar/brands/maserati-service-dubai</x:v>
      </x:c>
      <x:c r="N442" s="6" t="str">
        <x:v>Unknown — export has no query/page pairing</x:v>
      </x:c>
      <x:c r="O442" s="6" t="str">
        <x:v>Strengthen this primary intent owner</x:v>
      </x:c>
      <x:c r="P442" s="6" t="str">
        <x:v>Use the existing Arabic counterpart and verify its translation quality. 31 impressions at average position 15.00; strengthen the appropriate intent owner and measure with a fresh comparable period.</x:v>
      </x:c>
      <x:c r="Q442" s="6" t="str">
        <x:v>maserati</x:v>
      </x:c>
      <x:c r="R442" s="6" t="str">
        <x:v>service-repair</x:v>
      </x:c>
      <x:c r="S442" s="6" t="str">
        <x:v>Location unspecified</x:v>
      </x:c>
      <x:c r="T442" s="6" t="n">
        <x:v>5</x:v>
      </x:c>
      <x:c r="U442" s="6" t="str">
        <x:v>11–20</x:v>
      </x:c>
      <x:c r="V442" s="6" t="str">
        <x:v>Ranking and owner relevance</x:v>
      </x:c>
      <x:c r="W442" s="6" t="str">
        <x:v>High-value commercial</x:v>
      </x:c>
      <x:c r="X442" s="6" t="n">
        <x:v>438</x:v>
      </x:c>
      <x:c r="Y442" s="6" t="str">
        <x:v>Unconfirmed — joint query/page data required</x:v>
      </x:c>
    </x:row>
    <x:row r="443" ht="42" customHeight="1">
      <x:c r="A443" s="6" t="str">
        <x:v>volkswagen ac repair</x:v>
      </x:c>
      <x:c r="B443" s="14" t="n">
        <x:v>0</x:v>
      </x:c>
      <x:c r="C443" s="14" t="n">
        <x:v>31</x:v>
      </x:c>
      <x:c r="D443" s="15" t="n">
        <x:v>0</x:v>
      </x:c>
      <x:c r="E443" s="16" t="n">
        <x:v>16.1</x:v>
      </x:c>
      <x:c r="F443" s="6" t="str">
        <x:v>HIGH</x:v>
      </x:c>
      <x:c r="G443" s="17" t="n">
        <x:f>'Scoring'!I443</x:f>
        <x:v>64.5</x:v>
      </x:c>
      <x:c r="H443" s="6" t="str">
        <x:v>SPLIT</x:v>
      </x:c>
      <x:c r="I443" s="6" t="str">
        <x:v>volkswagen: AC repair</x:v>
      </x:c>
      <x:c r="J443" s="6" t="str">
        <x:v>Secondary</x:v>
      </x:c>
      <x:c r="K443" s="6" t="str">
        <x:v>Commercial service enquiry</x:v>
      </x:c>
      <x:c r="L443" s="6" t="str">
        <x:v>High</x:v>
      </x:c>
      <x:c r="M443" s="6" t="str">
        <x:v>https://digitecme.com/brands/volkswagen-service-dubai/ac-repair</x:v>
      </x:c>
      <x:c r="N443" s="6" t="str">
        <x:v>Unknown — export has no query/page pairing</x:v>
      </x:c>
      <x:c r="O443" s="6" t="str">
        <x:v>Use dedicated service owner</x:v>
      </x:c>
      <x:c r="P443" s="6" t="str">
        <x:v>31 impressions at average position 16.10; strengthen the appropriate intent owner and measure with a fresh comparable period.</x:v>
      </x:c>
      <x:c r="Q443" s="6" t="str">
        <x:v>volkswagen</x:v>
      </x:c>
      <x:c r="R443" s="6" t="str">
        <x:v>ac-repair</x:v>
      </x:c>
      <x:c r="S443" s="6" t="str">
        <x:v>Location unspecified</x:v>
      </x:c>
      <x:c r="T443" s="6" t="n">
        <x:v>3</x:v>
      </x:c>
      <x:c r="U443" s="6" t="str">
        <x:v>11–20</x:v>
      </x:c>
      <x:c r="V443" s="6" t="str">
        <x:v>Ranking and owner relevance</x:v>
      </x:c>
      <x:c r="W443" s="6" t="str">
        <x:v>High-value commercial</x:v>
      </x:c>
      <x:c r="X443" s="6" t="n">
        <x:v>439</x:v>
      </x:c>
      <x:c r="Y443" s="6" t="str">
        <x:v>Unconfirmed — joint query/page data required</x:v>
      </x:c>
    </x:row>
    <x:row r="444" ht="42" customHeight="1">
      <x:c r="A444" s="6" t="str">
        <x:v>nissan repair dubai</x:v>
      </x:c>
      <x:c r="B444" s="14" t="n">
        <x:v>0</x:v>
      </x:c>
      <x:c r="C444" s="14" t="n">
        <x:v>31</x:v>
      </x:c>
      <x:c r="D444" s="15" t="n">
        <x:v>0</x:v>
      </x:c>
      <x:c r="E444" s="16" t="n">
        <x:v>16.58</x:v>
      </x:c>
      <x:c r="F444" s="6" t="str">
        <x:v>HIGH</x:v>
      </x:c>
      <x:c r="G444" s="17" t="n">
        <x:f>'Scoring'!I444</x:f>
        <x:v>69.5</x:v>
      </x:c>
      <x:c r="H444" s="6" t="str">
        <x:v>SUPPORT</x:v>
      </x:c>
      <x:c r="I444" s="6" t="str">
        <x:v>nissan: Service and repair</x:v>
      </x:c>
      <x:c r="J444" s="6" t="str">
        <x:v>Secondary</x:v>
      </x:c>
      <x:c r="K444" s="6" t="str">
        <x:v>Commercial service enquiry</x:v>
      </x:c>
      <x:c r="L444" s="6" t="str">
        <x:v>High</x:v>
      </x:c>
      <x:c r="M444" s="6" t="str">
        <x:v>https://digitecme.com/brands/nissan-service-dubai</x:v>
      </x:c>
      <x:c r="N444" s="6" t="str">
        <x:v>Unknown — export has no query/page pairing</x:v>
      </x:c>
      <x:c r="O444" s="6" t="str">
        <x:v>Retain primary intent and support variants</x:v>
      </x:c>
      <x:c r="P444" s="6" t="str">
        <x:v>31 impressions at average position 16.58; strengthen the appropriate intent owner and measure with a fresh comparable period.</x:v>
      </x:c>
      <x:c r="Q444" s="6" t="str">
        <x:v>nissan</x:v>
      </x:c>
      <x:c r="R444" s="6" t="str">
        <x:v>service-repair</x:v>
      </x:c>
      <x:c r="S444" s="6" t="str">
        <x:v>Dubai explicit</x:v>
      </x:c>
      <x:c r="T444" s="6" t="n">
        <x:v>3</x:v>
      </x:c>
      <x:c r="U444" s="6" t="str">
        <x:v>11–20</x:v>
      </x:c>
      <x:c r="V444" s="6" t="str">
        <x:v>Ranking and owner relevance</x:v>
      </x:c>
      <x:c r="W444" s="6" t="str">
        <x:v>Relevant supporting</x:v>
      </x:c>
      <x:c r="X444" s="6" t="n">
        <x:v>440</x:v>
      </x:c>
      <x:c r="Y444" s="6" t="str">
        <x:v>Unconfirmed — joint query/page data required</x:v>
      </x:c>
    </x:row>
    <x:row r="445" ht="42" customHeight="1">
      <x:c r="A445" s="6" t="str">
        <x:v>porsche engine diagnostics</x:v>
      </x:c>
      <x:c r="B445" s="14" t="n">
        <x:v>0</x:v>
      </x:c>
      <x:c r="C445" s="14" t="n">
        <x:v>31</x:v>
      </x:c>
      <x:c r="D445" s="15" t="n">
        <x:v>0</x:v>
      </x:c>
      <x:c r="E445" s="16" t="n">
        <x:v>21.58</x:v>
      </x:c>
      <x:c r="F445" s="6" t="str">
        <x:v>HIGH</x:v>
      </x:c>
      <x:c r="G445" s="17" t="n">
        <x:f>'Scoring'!I445</x:f>
        <x:v>72.5</x:v>
      </x:c>
      <x:c r="H445" s="6" t="str">
        <x:v>SPLIT</x:v>
      </x:c>
      <x:c r="I445" s="6" t="str">
        <x:v>porsche: Diagnostics and supported coding</x:v>
      </x:c>
      <x:c r="J445" s="6" t="str">
        <x:v>Secondary</x:v>
      </x:c>
      <x:c r="K445" s="6" t="str">
        <x:v>Commercial service enquiry</x:v>
      </x:c>
      <x:c r="L445" s="6" t="str">
        <x:v>High</x:v>
      </x:c>
      <x:c r="M445" s="6" t="str">
        <x:v>https://digitecme.com/brands/porsche-service-dubai/engine-diagnostics</x:v>
      </x:c>
      <x:c r="N445" s="6" t="str">
        <x:v>Unknown — export has no query/page pairing</x:v>
      </x:c>
      <x:c r="O445" s="6" t="str">
        <x:v>Use dedicated service owner</x:v>
      </x:c>
      <x:c r="P445" s="6" t="str">
        <x:v>Average position 21.58 makes ranking the main issue; avoid a CTR-only rewrite.</x:v>
      </x:c>
      <x:c r="Q445" s="6" t="str">
        <x:v>porsche</x:v>
      </x:c>
      <x:c r="R445" s="6" t="str">
        <x:v>engine-diagnostics</x:v>
      </x:c>
      <x:c r="S445" s="6" t="str">
        <x:v>Location unspecified</x:v>
      </x:c>
      <x:c r="T445" s="6" t="n">
        <x:v>5</x:v>
      </x:c>
      <x:c r="U445" s="6" t="str">
        <x:v>21–40</x:v>
      </x:c>
      <x:c r="V445" s="6" t="str">
        <x:v>Content, internal authority and owner alignment</x:v>
      </x:c>
      <x:c r="W445" s="6" t="str">
        <x:v>High-value commercial</x:v>
      </x:c>
      <x:c r="X445" s="6" t="n">
        <x:v>441</x:v>
      </x:c>
      <x:c r="Y445" s="6" t="str">
        <x:v>Unconfirmed — joint query/page data required</x:v>
      </x:c>
    </x:row>
    <x:row r="446" ht="57" customHeight="1">
      <x:c r="A446" s="6" t="str">
        <x:v>nissan authorised service centre</x:v>
      </x:c>
      <x:c r="B446" s="14" t="n">
        <x:v>0</x:v>
      </x:c>
      <x:c r="C446" s="14" t="n">
        <x:v>31</x:v>
      </x:c>
      <x:c r="D446" s="15" t="n">
        <x:v>0</x:v>
      </x:c>
      <x:c r="E446" s="16" t="n">
        <x:v>23.84</x:v>
      </x:c>
      <x:c r="F446" s="6" t="str">
        <x:v>IGNORE</x:v>
      </x:c>
      <x:c r="G446" s="17" t="n">
        <x:f>'Scoring'!I446</x:f>
        <x:v>0</x:v>
      </x:c>
      <x:c r="H446" s="6" t="str">
        <x:v>IGNORE</x:v>
      </x:c>
      <x:c r="I446" s="6" t="str">
        <x:v>Excluded: Dealer or showroom</x:v>
      </x:c>
      <x:c r="J446" s="6" t="str">
        <x:v>Secondary</x:v>
      </x:c>
      <x:c r="K446" s="6" t="str">
        <x:v>Other or mismatched intent</x:v>
      </x:c>
      <x:c r="L446" s="6" t="str">
        <x:v>None</x:v>
      </x:c>
      <x:c r="M446" s="6" t="str"/>
      <x:c r="N446" s="6" t="str">
        <x:v>Unknown — export has no query/page pairing</x:v>
      </x:c>
      <x:c r="O446" s="6" t="str">
        <x:v>Do not target</x:v>
      </x:c>
      <x:c r="P446" s="6" t="str">
        <x:v>Dealer, product, industrial, unrelated entity or non-service intent does not match the independent workshop offer. Average position 23.84 makes ranking the main issue; avoid a CTR-only rewrite.</x:v>
      </x:c>
      <x:c r="Q446" s="6" t="str">
        <x:v>nissan</x:v>
      </x:c>
      <x:c r="R446" s="6" t="str">
        <x:v>service-repair</x:v>
      </x:c>
      <x:c r="S446" s="6" t="str">
        <x:v>Location unspecified</x:v>
      </x:c>
      <x:c r="T446" s="6" t="n">
        <x:v>0</x:v>
      </x:c>
      <x:c r="U446" s="6" t="str">
        <x:v>21–40</x:v>
      </x:c>
      <x:c r="V446" s="6" t="str">
        <x:v>Content, internal authority and owner alignment</x:v>
      </x:c>
      <x:c r="W446" s="6" t="str">
        <x:v>Irrelevant</x:v>
      </x:c>
      <x:c r="X446" s="6" t="n">
        <x:v>442</x:v>
      </x:c>
      <x:c r="Y446" s="6" t="str">
        <x:v>Unconfirmed — joint query/page data required</x:v>
      </x:c>
    </x:row>
    <x:row r="447" ht="42" customHeight="1">
      <x:c r="A447" s="6" t="str">
        <x:v>best car service center in dubai</x:v>
      </x:c>
      <x:c r="B447" s="14" t="n">
        <x:v>0</x:v>
      </x:c>
      <x:c r="C447" s="14" t="n">
        <x:v>31</x:v>
      </x:c>
      <x:c r="D447" s="15" t="n">
        <x:v>0</x:v>
      </x:c>
      <x:c r="E447" s="16" t="n">
        <x:v>23.87</x:v>
      </x:c>
      <x:c r="F447" s="6" t="str">
        <x:v>HIGH</x:v>
      </x:c>
      <x:c r="G447" s="17" t="n">
        <x:f>'Scoring'!I447</x:f>
        <x:v>69.5</x:v>
      </x:c>
      <x:c r="H447" s="6" t="str">
        <x:v>SUPPORT</x:v>
      </x:c>
      <x:c r="I447" s="6" t="str">
        <x:v>All vehicles: Scheduled car service</x:v>
      </x:c>
      <x:c r="J447" s="6" t="str">
        <x:v>Secondary</x:v>
      </x:c>
      <x:c r="K447" s="6" t="str">
        <x:v>Commercial service enquiry</x:v>
      </x:c>
      <x:c r="L447" s="6" t="str">
        <x:v>High</x:v>
      </x:c>
      <x:c r="M447" s="6" t="str">
        <x:v>https://digitecme.com/services/car-service-dubai</x:v>
      </x:c>
      <x:c r="N447" s="6" t="str">
        <x:v>Unknown — export has no query/page pairing</x:v>
      </x:c>
      <x:c r="O447" s="6" t="str">
        <x:v>Retain primary intent and support variants</x:v>
      </x:c>
      <x:c r="P447" s="6" t="str">
        <x:v>Average position 23.87 makes ranking the main issue; avoid a CTR-only rewrite.</x:v>
      </x:c>
      <x:c r="Q447" s="6" t="str">
        <x:v>All vehicles</x:v>
      </x:c>
      <x:c r="R447" s="6" t="str">
        <x:v>service-repair</x:v>
      </x:c>
      <x:c r="S447" s="6" t="str">
        <x:v>Dubai explicit</x:v>
      </x:c>
      <x:c r="T447" s="6" t="n">
        <x:v>3</x:v>
      </x:c>
      <x:c r="U447" s="6" t="str">
        <x:v>21–40</x:v>
      </x:c>
      <x:c r="V447" s="6" t="str">
        <x:v>Content, internal authority and owner alignment</x:v>
      </x:c>
      <x:c r="W447" s="6" t="str">
        <x:v>Relevant supporting</x:v>
      </x:c>
      <x:c r="X447" s="6" t="n">
        <x:v>443</x:v>
      </x:c>
      <x:c r="Y447" s="6" t="str">
        <x:v>Unconfirmed — joint query/page data required</x:v>
      </x:c>
    </x:row>
    <x:row r="448" ht="42" customHeight="1">
      <x:c r="A448" s="6" t="str">
        <x:v>cadillac service dubai</x:v>
      </x:c>
      <x:c r="B448" s="14" t="n">
        <x:v>0</x:v>
      </x:c>
      <x:c r="C448" s="14" t="n">
        <x:v>31</x:v>
      </x:c>
      <x:c r="D448" s="15" t="n">
        <x:v>0</x:v>
      </x:c>
      <x:c r="E448" s="16" t="n">
        <x:v>26.87</x:v>
      </x:c>
      <x:c r="F448" s="6" t="str">
        <x:v>HIGH</x:v>
      </x:c>
      <x:c r="G448" s="17" t="n">
        <x:f>'Scoring'!I448</x:f>
        <x:v>69.5</x:v>
      </x:c>
      <x:c r="H448" s="6" t="str">
        <x:v>SUPPORT</x:v>
      </x:c>
      <x:c r="I448" s="6" t="str">
        <x:v>cadillac: Service and repair</x:v>
      </x:c>
      <x:c r="J448" s="6" t="str">
        <x:v>Secondary</x:v>
      </x:c>
      <x:c r="K448" s="6" t="str">
        <x:v>Commercial service enquiry</x:v>
      </x:c>
      <x:c r="L448" s="6" t="str">
        <x:v>High</x:v>
      </x:c>
      <x:c r="M448" s="6" t="str">
        <x:v>https://digitecme.com/brands/cadillac-service-dubai</x:v>
      </x:c>
      <x:c r="N448" s="6" t="str">
        <x:v>Unknown — export has no query/page pairing</x:v>
      </x:c>
      <x:c r="O448" s="6" t="str">
        <x:v>Retain primary intent and support variants</x:v>
      </x:c>
      <x:c r="P448" s="6" t="str">
        <x:v>Average position 26.87 makes ranking the main issue; avoid a CTR-only rewrite.</x:v>
      </x:c>
      <x:c r="Q448" s="6" t="str">
        <x:v>cadillac</x:v>
      </x:c>
      <x:c r="R448" s="6" t="str">
        <x:v>service-repair</x:v>
      </x:c>
      <x:c r="S448" s="6" t="str">
        <x:v>Dubai explicit</x:v>
      </x:c>
      <x:c r="T448" s="6" t="n">
        <x:v>3</x:v>
      </x:c>
      <x:c r="U448" s="6" t="str">
        <x:v>21–40</x:v>
      </x:c>
      <x:c r="V448" s="6" t="str">
        <x:v>Content, internal authority and owner alignment</x:v>
      </x:c>
      <x:c r="W448" s="6" t="str">
        <x:v>Relevant supporting</x:v>
      </x:c>
      <x:c r="X448" s="6" t="n">
        <x:v>444</x:v>
      </x:c>
      <x:c r="Y448" s="6" t="str">
        <x:v>Unconfirmed — joint query/page data required</x:v>
      </x:c>
    </x:row>
    <x:row r="449" ht="42" customHeight="1">
      <x:c r="A449" s="6" t="str">
        <x:v>cadillac repair specialist</x:v>
      </x:c>
      <x:c r="B449" s="14" t="n">
        <x:v>0</x:v>
      </x:c>
      <x:c r="C449" s="14" t="n">
        <x:v>31</x:v>
      </x:c>
      <x:c r="D449" s="15" t="n">
        <x:v>0</x:v>
      </x:c>
      <x:c r="E449" s="16" t="n">
        <x:v>39.55</x:v>
      </x:c>
      <x:c r="F449" s="6" t="str">
        <x:v>GROWTH</x:v>
      </x:c>
      <x:c r="G449" s="17" t="n">
        <x:f>'Scoring'!I449</x:f>
        <x:v>57</x:v>
      </x:c>
      <x:c r="H449" s="6" t="str">
        <x:v>SUPPORT</x:v>
      </x:c>
      <x:c r="I449" s="6" t="str">
        <x:v>cadillac: Service and repair</x:v>
      </x:c>
      <x:c r="J449" s="6" t="str">
        <x:v>Secondary</x:v>
      </x:c>
      <x:c r="K449" s="6" t="str">
        <x:v>Commercial service enquiry</x:v>
      </x:c>
      <x:c r="L449" s="6" t="str">
        <x:v>High</x:v>
      </x:c>
      <x:c r="M449" s="6" t="str">
        <x:v>https://digitecme.com/brands/cadillac-service-dubai</x:v>
      </x:c>
      <x:c r="N449" s="6" t="str">
        <x:v>Unknown — export has no query/page pairing</x:v>
      </x:c>
      <x:c r="O449" s="6" t="str">
        <x:v>Retain primary intent and support variants</x:v>
      </x:c>
      <x:c r="P449" s="6" t="str">
        <x:v>Average position 39.55 makes ranking the main issue; avoid a CTR-only rewrite.</x:v>
      </x:c>
      <x:c r="Q449" s="6" t="str">
        <x:v>cadillac</x:v>
      </x:c>
      <x:c r="R449" s="6" t="str">
        <x:v>service-repair</x:v>
      </x:c>
      <x:c r="S449" s="6" t="str">
        <x:v>Location unspecified</x:v>
      </x:c>
      <x:c r="T449" s="6" t="n">
        <x:v>3</x:v>
      </x:c>
      <x:c r="U449" s="6" t="str">
        <x:v>21–40</x:v>
      </x:c>
      <x:c r="V449" s="6" t="str">
        <x:v>Content, internal authority and owner alignment</x:v>
      </x:c>
      <x:c r="W449" s="6" t="str">
        <x:v>Relevant supporting</x:v>
      </x:c>
      <x:c r="X449" s="6" t="n">
        <x:v>445</x:v>
      </x:c>
      <x:c r="Y449" s="6" t="str">
        <x:v>Unconfirmed — joint query/page data required</x:v>
      </x:c>
    </x:row>
    <x:row r="450" ht="42" customHeight="1">
      <x:c r="A450" s="6" t="str">
        <x:v>car engine service dubai</x:v>
      </x:c>
      <x:c r="B450" s="14" t="n">
        <x:v>0</x:v>
      </x:c>
      <x:c r="C450" s="14" t="n">
        <x:v>31</x:v>
      </x:c>
      <x:c r="D450" s="15" t="n">
        <x:v>0</x:v>
      </x:c>
      <x:c r="E450" s="16" t="n">
        <x:v>49.9</x:v>
      </x:c>
      <x:c r="F450" s="6" t="str">
        <x:v>GROWTH</x:v>
      </x:c>
      <x:c r="G450" s="17" t="n">
        <x:f>'Scoring'!I450</x:f>
        <x:v>55.8</x:v>
      </x:c>
      <x:c r="H450" s="6" t="str">
        <x:v>PRIORITIZE</x:v>
      </x:c>
      <x:c r="I450" s="6" t="str">
        <x:v>All vehicles: Engine and mechanical repair</x:v>
      </x:c>
      <x:c r="J450" s="6" t="str">
        <x:v>Primary</x:v>
      </x:c>
      <x:c r="K450" s="6" t="str">
        <x:v>Commercial service enquiry</x:v>
      </x:c>
      <x:c r="L450" s="6" t="str">
        <x:v>High</x:v>
      </x:c>
      <x:c r="M450" s="6" t="str">
        <x:v>https://digitecme.com/services/mechanical-repair-dubai</x:v>
      </x:c>
      <x:c r="N450" s="6" t="str">
        <x:v>Unknown — export has no query/page pairing</x:v>
      </x:c>
      <x:c r="O450" s="6" t="str">
        <x:v>Strengthen this primary intent owner</x:v>
      </x:c>
      <x:c r="P450" s="6" t="str">
        <x:v>Average position 49.90 makes ranking the main issue; avoid a CTR-only rewrite.</x:v>
      </x:c>
      <x:c r="Q450" s="6" t="str">
        <x:v>All vehicles</x:v>
      </x:c>
      <x:c r="R450" s="6" t="str">
        <x:v>mechanical-repair</x:v>
      </x:c>
      <x:c r="S450" s="6" t="str">
        <x:v>Dubai explicit</x:v>
      </x:c>
      <x:c r="T450" s="6" t="n">
        <x:v>3</x:v>
      </x:c>
      <x:c r="U450" s="6" t="str">
        <x:v>40+</x:v>
      </x:c>
      <x:c r="V450" s="6" t="str">
        <x:v>Relevance, capability, indexing and authority review</x:v>
      </x:c>
      <x:c r="W450" s="6" t="str">
        <x:v>High-value commercial</x:v>
      </x:c>
      <x:c r="X450" s="6" t="n">
        <x:v>446</x:v>
      </x:c>
      <x:c r="Y450" s="6" t="str">
        <x:v>Unconfirmed — joint query/page data required</x:v>
      </x:c>
    </x:row>
    <x:row r="451" ht="57" customHeight="1">
      <x:c r="A451" s="6" t="str">
        <x:v>تصليح اودى ابو ظبي</x:v>
      </x:c>
      <x:c r="B451" s="14" t="n">
        <x:v>0</x:v>
      </x:c>
      <x:c r="C451" s="14" t="n">
        <x:v>31</x:v>
      </x:c>
      <x:c r="D451" s="15" t="n">
        <x:v>0</x:v>
      </x:c>
      <x:c r="E451" s="16" t="n">
        <x:v>51.13</x:v>
      </x:c>
      <x:c r="F451" s="6" t="str">
        <x:v>DEPRIORITIZE</x:v>
      </x:c>
      <x:c r="G451" s="17" t="n">
        <x:f>'Scoring'!I451</x:f>
        <x:v>9.6</x:v>
      </x:c>
      <x:c r="H451" s="6" t="str">
        <x:v>DEPRIORITIZE</x:v>
      </x:c>
      <x:c r="I451" s="6" t="str">
        <x:v>audi: Service and repair (outside Dubai)</x:v>
      </x:c>
      <x:c r="J451" s="6" t="str">
        <x:v>Primary</x:v>
      </x:c>
      <x:c r="K451" s="6" t="str">
        <x:v>Commercial service enquiry</x:v>
      </x:c>
      <x:c r="L451" s="6" t="str">
        <x:v>Low</x:v>
      </x:c>
      <x:c r="M451" s="6" t="str">
        <x:v>https://digitecme.com/ar/brands/audi-service-dubai</x:v>
      </x:c>
      <x:c r="N451" s="6" t="str">
        <x:v>Unknown — export has no query/page pairing</x:v>
      </x:c>
      <x:c r="O451" s="6" t="str">
        <x:v>Confirm scope or deprioritize</x:v>
      </x:c>
      <x:c r="P451" s="6" t="str">
        <x:v>Explicit destination differs from the Al Quoz workshop; do not claim a local branch or service coverage. Use the existing Arabic counterpart and verify its translation quality. Average position 51.13 makes ranking the main issue; avoid a CTR-only rewrite.</x:v>
      </x:c>
      <x:c r="Q451" s="6" t="str">
        <x:v>audi</x:v>
      </x:c>
      <x:c r="R451" s="6" t="str">
        <x:v>service-repair</x:v>
      </x:c>
      <x:c r="S451" s="6" t="str">
        <x:v>Outside Dubai</x:v>
      </x:c>
      <x:c r="T451" s="6" t="n">
        <x:v>1</x:v>
      </x:c>
      <x:c r="U451" s="6" t="str">
        <x:v>40+</x:v>
      </x:c>
      <x:c r="V451" s="6" t="str">
        <x:v>Relevance, capability, indexing and authority review</x:v>
      </x:c>
      <x:c r="W451" s="6" t="str">
        <x:v>Low-value</x:v>
      </x:c>
      <x:c r="X451" s="6" t="n">
        <x:v>447</x:v>
      </x:c>
      <x:c r="Y451" s="6" t="str">
        <x:v>Unconfirmed — joint query/page data required</x:v>
      </x:c>
    </x:row>
    <x:row r="452" ht="42" customHeight="1">
      <x:c r="A452" s="6" t="str">
        <x:v>mercedes-benz repair dubai</x:v>
      </x:c>
      <x:c r="B452" s="14" t="n">
        <x:v>0</x:v>
      </x:c>
      <x:c r="C452" s="14" t="n">
        <x:v>30</x:v>
      </x:c>
      <x:c r="D452" s="15" t="n">
        <x:v>0</x:v>
      </x:c>
      <x:c r="E452" s="16" t="n">
        <x:v>4.33</x:v>
      </x:c>
      <x:c r="F452" s="6" t="str">
        <x:v>CRITICAL</x:v>
      </x:c>
      <x:c r="G452" s="17" t="n">
        <x:f>'Scoring'!I452</x:f>
        <x:v>95</x:v>
      </x:c>
      <x:c r="H452" s="6" t="str">
        <x:v>SUPPORT</x:v>
      </x:c>
      <x:c r="I452" s="6" t="str">
        <x:v>mercedes-benz: Service and repair (English)</x:v>
      </x:c>
      <x:c r="J452" s="6" t="str">
        <x:v>Secondary</x:v>
      </x:c>
      <x:c r="K452" s="6" t="str">
        <x:v>Commercial service enquiry</x:v>
      </x:c>
      <x:c r="L452" s="6" t="str">
        <x:v>High</x:v>
      </x:c>
      <x:c r="M452" s="6" t="str">
        <x:v>https://digitecme.com/brands/mercedes-benz-service-dubai</x:v>
      </x:c>
      <x:c r="N452" s="6" t="str">
        <x:v>Unknown — export has no query/page pairing</x:v>
      </x:c>
      <x:c r="O452" s="6" t="str">
        <x:v>Retain primary intent and support variants</x:v>
      </x:c>
      <x:c r="P452" s="6" t="str">
        <x:v>Zero clicks from 30 impressions at average position 4.33; inspect query/page, country/device and SERP before attributing this to the snippet.</x:v>
      </x:c>
      <x:c r="Q452" s="6" t="str">
        <x:v>mercedes-benz</x:v>
      </x:c>
      <x:c r="R452" s="6" t="str">
        <x:v>service-repair</x:v>
      </x:c>
      <x:c r="S452" s="6" t="str">
        <x:v>Dubai explicit</x:v>
      </x:c>
      <x:c r="T452" s="6" t="n">
        <x:v>5</x:v>
      </x:c>
      <x:c r="U452" s="6" t="str">
        <x:v>4–10</x:v>
      </x:c>
      <x:c r="V452" s="6" t="str">
        <x:v>Page-one CTR review and top-three relevance</x:v>
      </x:c>
      <x:c r="W452" s="6" t="str">
        <x:v>Relevant supporting</x:v>
      </x:c>
      <x:c r="X452" s="6" t="n">
        <x:v>448</x:v>
      </x:c>
      <x:c r="Y452" s="6" t="str">
        <x:v>Unconfirmed — joint query/page data required</x:v>
      </x:c>
    </x:row>
    <x:row r="453" ht="42" customHeight="1">
      <x:c r="A453" s="6" t="str">
        <x:v>car exhaust repair near me</x:v>
      </x:c>
      <x:c r="B453" s="14" t="n">
        <x:v>0</x:v>
      </x:c>
      <x:c r="C453" s="14" t="n">
        <x:v>30</x:v>
      </x:c>
      <x:c r="D453" s="15" t="n">
        <x:v>0</x:v>
      </x:c>
      <x:c r="E453" s="16" t="n">
        <x:v>8.2</x:v>
      </x:c>
      <x:c r="F453" s="6" t="str">
        <x:v>CRITICAL</x:v>
      </x:c>
      <x:c r="G453" s="17" t="n">
        <x:f>'Scoring'!I453</x:f>
        <x:v>87</x:v>
      </x:c>
      <x:c r="H453" s="6" t="str">
        <x:v>SUPPORT</x:v>
      </x:c>
      <x:c r="I453" s="6" t="str">
        <x:v>All vehicles: Exhaust repair</x:v>
      </x:c>
      <x:c r="J453" s="6" t="str">
        <x:v>Secondary</x:v>
      </x:c>
      <x:c r="K453" s="6" t="str">
        <x:v>Commercial service enquiry</x:v>
      </x:c>
      <x:c r="L453" s="6" t="str">
        <x:v>High</x:v>
      </x:c>
      <x:c r="M453" s="6" t="str">
        <x:v>https://digitecme.com/services/exhaust-repair-dubai</x:v>
      </x:c>
      <x:c r="N453" s="6" t="str">
        <x:v>Unknown — export has no query/page pairing</x:v>
      </x:c>
      <x:c r="O453" s="6" t="str">
        <x:v>Retain primary intent and support variants</x:v>
      </x:c>
      <x:c r="P453" s="6" t="str">
        <x:v>Zero clicks from 30 impressions at average position 8.20; inspect query/page, country/device and SERP before attributing this to the snippet.</x:v>
      </x:c>
      <x:c r="Q453" s="6" t="str">
        <x:v>All vehicles</x:v>
      </x:c>
      <x:c r="R453" s="6" t="str">
        <x:v>exhaust-repair</x:v>
      </x:c>
      <x:c r="S453" s="6" t="str">
        <x:v>Near me; location unknown</x:v>
      </x:c>
      <x:c r="T453" s="6" t="n">
        <x:v>3</x:v>
      </x:c>
      <x:c r="U453" s="6" t="str">
        <x:v>4–10</x:v>
      </x:c>
      <x:c r="V453" s="6" t="str">
        <x:v>Page-one CTR review and top-three relevance</x:v>
      </x:c>
      <x:c r="W453" s="6" t="str">
        <x:v>Relevant supporting</x:v>
      </x:c>
      <x:c r="X453" s="6" t="n">
        <x:v>449</x:v>
      </x:c>
      <x:c r="Y453" s="6" t="str">
        <x:v>Unconfirmed — joint query/page data required</x:v>
      </x:c>
    </x:row>
    <x:row r="454" ht="42" customHeight="1">
      <x:c r="A454" s="6" t="str">
        <x:v>mclaren service center near me</x:v>
      </x:c>
      <x:c r="B454" s="14" t="n">
        <x:v>0</x:v>
      </x:c>
      <x:c r="C454" s="14" t="n">
        <x:v>30</x:v>
      </x:c>
      <x:c r="D454" s="15" t="n">
        <x:v>0</x:v>
      </x:c>
      <x:c r="E454" s="16" t="n">
        <x:v>13.13</x:v>
      </x:c>
      <x:c r="F454" s="6" t="str">
        <x:v>CRITICAL</x:v>
      </x:c>
      <x:c r="G454" s="17" t="n">
        <x:f>'Scoring'!I454</x:f>
        <x:v>85</x:v>
      </x:c>
      <x:c r="H454" s="6" t="str">
        <x:v>SUPPORT</x:v>
      </x:c>
      <x:c r="I454" s="6" t="str">
        <x:v>mclaren: Service and repair</x:v>
      </x:c>
      <x:c r="J454" s="6" t="str">
        <x:v>Secondary</x:v>
      </x:c>
      <x:c r="K454" s="6" t="str">
        <x:v>Commercial service enquiry</x:v>
      </x:c>
      <x:c r="L454" s="6" t="str">
        <x:v>High</x:v>
      </x:c>
      <x:c r="M454" s="6" t="str">
        <x:v>https://digitecme.com/brands/mclaren-service-dubai</x:v>
      </x:c>
      <x:c r="N454" s="6" t="str">
        <x:v>Unknown — export has no query/page pairing</x:v>
      </x:c>
      <x:c r="O454" s="6" t="str">
        <x:v>Retain primary intent and support variants</x:v>
      </x:c>
      <x:c r="P454" s="6" t="str">
        <x:v>30 impressions at average position 13.13; strengthen the appropriate intent owner and measure with a fresh comparable period.</x:v>
      </x:c>
      <x:c r="Q454" s="6" t="str">
        <x:v>mclaren</x:v>
      </x:c>
      <x:c r="R454" s="6" t="str">
        <x:v>service-repair</x:v>
      </x:c>
      <x:c r="S454" s="6" t="str">
        <x:v>Near me; location unknown</x:v>
      </x:c>
      <x:c r="T454" s="6" t="n">
        <x:v>5</x:v>
      </x:c>
      <x:c r="U454" s="6" t="str">
        <x:v>11–20</x:v>
      </x:c>
      <x:c r="V454" s="6" t="str">
        <x:v>Ranking and owner relevance</x:v>
      </x:c>
      <x:c r="W454" s="6" t="str">
        <x:v>Relevant supporting</x:v>
      </x:c>
      <x:c r="X454" s="6" t="n">
        <x:v>450</x:v>
      </x:c>
      <x:c r="Y454" s="6" t="str">
        <x:v>Unconfirmed — joint query/page data required</x:v>
      </x:c>
    </x:row>
    <x:row r="455" ht="42" customHeight="1">
      <x:c r="A455" s="6" t="str">
        <x:v>maybach service center</x:v>
      </x:c>
      <x:c r="B455" s="14" t="n">
        <x:v>0</x:v>
      </x:c>
      <x:c r="C455" s="14" t="n">
        <x:v>30</x:v>
      </x:c>
      <x:c r="D455" s="15" t="n">
        <x:v>0</x:v>
      </x:c>
      <x:c r="E455" s="16" t="n">
        <x:v>15.87</x:v>
      </x:c>
      <x:c r="F455" s="6" t="str">
        <x:v>HIGH</x:v>
      </x:c>
      <x:c r="G455" s="17" t="n">
        <x:f>'Scoring'!I455</x:f>
        <x:v>72.5</x:v>
      </x:c>
      <x:c r="H455" s="6" t="str">
        <x:v>SUPPORT</x:v>
      </x:c>
      <x:c r="I455" s="6" t="str">
        <x:v>maybach: Service and repair</x:v>
      </x:c>
      <x:c r="J455" s="6" t="str">
        <x:v>Secondary</x:v>
      </x:c>
      <x:c r="K455" s="6" t="str">
        <x:v>Commercial service enquiry</x:v>
      </x:c>
      <x:c r="L455" s="6" t="str">
        <x:v>High</x:v>
      </x:c>
      <x:c r="M455" s="6" t="str">
        <x:v>https://digitecme.com/brands/maybach-service-dubai</x:v>
      </x:c>
      <x:c r="N455" s="6" t="str">
        <x:v>Unknown — export has no query/page pairing</x:v>
      </x:c>
      <x:c r="O455" s="6" t="str">
        <x:v>Retain primary intent and support variants</x:v>
      </x:c>
      <x:c r="P455" s="6" t="str">
        <x:v>30 impressions at average position 15.87; strengthen the appropriate intent owner and measure with a fresh comparable period.</x:v>
      </x:c>
      <x:c r="Q455" s="6" t="str">
        <x:v>maybach</x:v>
      </x:c>
      <x:c r="R455" s="6" t="str">
        <x:v>service-repair</x:v>
      </x:c>
      <x:c r="S455" s="6" t="str">
        <x:v>Location unspecified</x:v>
      </x:c>
      <x:c r="T455" s="6" t="n">
        <x:v>5</x:v>
      </x:c>
      <x:c r="U455" s="6" t="str">
        <x:v>11–20</x:v>
      </x:c>
      <x:c r="V455" s="6" t="str">
        <x:v>Ranking and owner relevance</x:v>
      </x:c>
      <x:c r="W455" s="6" t="str">
        <x:v>Relevant supporting</x:v>
      </x:c>
      <x:c r="X455" s="6" t="n">
        <x:v>451</x:v>
      </x:c>
      <x:c r="Y455" s="6" t="str">
        <x:v>Unconfirmed — joint query/page data required</x:v>
      </x:c>
    </x:row>
    <x:row r="456" ht="42" customHeight="1">
      <x:c r="A456" s="6" t="str">
        <x:v>steering system repair</x:v>
      </x:c>
      <x:c r="B456" s="14" t="n">
        <x:v>0</x:v>
      </x:c>
      <x:c r="C456" s="14" t="n">
        <x:v>30</x:v>
      </x:c>
      <x:c r="D456" s="15" t="n">
        <x:v>0</x:v>
      </x:c>
      <x:c r="E456" s="16" t="n">
        <x:v>20.53</x:v>
      </x:c>
      <x:c r="F456" s="6" t="str">
        <x:v>HIGH</x:v>
      </x:c>
      <x:c r="G456" s="17" t="n">
        <x:f>'Scoring'!I456</x:f>
        <x:v>64.5</x:v>
      </x:c>
      <x:c r="H456" s="6" t="str">
        <x:v>SUPPORT</x:v>
      </x:c>
      <x:c r="I456" s="6" t="str">
        <x:v>All vehicles: Steering repair</x:v>
      </x:c>
      <x:c r="J456" s="6" t="str">
        <x:v>Secondary</x:v>
      </x:c>
      <x:c r="K456" s="6" t="str">
        <x:v>Commercial service enquiry</x:v>
      </x:c>
      <x:c r="L456" s="6" t="str">
        <x:v>High</x:v>
      </x:c>
      <x:c r="M456" s="6" t="str">
        <x:v>https://digitecme.com/services/steering-repair-dubai</x:v>
      </x:c>
      <x:c r="N456" s="6" t="str">
        <x:v>Unknown — export has no query/page pairing</x:v>
      </x:c>
      <x:c r="O456" s="6" t="str">
        <x:v>Retain primary intent and support variants</x:v>
      </x:c>
      <x:c r="P456" s="6" t="str">
        <x:v>Average position 20.53 makes ranking the main issue; avoid a CTR-only rewrite.</x:v>
      </x:c>
      <x:c r="Q456" s="6" t="str">
        <x:v>All vehicles</x:v>
      </x:c>
      <x:c r="R456" s="6" t="str">
        <x:v>steering-repair</x:v>
      </x:c>
      <x:c r="S456" s="6" t="str">
        <x:v>Location unspecified</x:v>
      </x:c>
      <x:c r="T456" s="6" t="n">
        <x:v>3</x:v>
      </x:c>
      <x:c r="U456" s="6" t="str">
        <x:v>21–40</x:v>
      </x:c>
      <x:c r="V456" s="6" t="str">
        <x:v>Content, internal authority and owner alignment</x:v>
      </x:c>
      <x:c r="W456" s="6" t="str">
        <x:v>Relevant supporting</x:v>
      </x:c>
      <x:c r="X456" s="6" t="n">
        <x:v>452</x:v>
      </x:c>
      <x:c r="Y456" s="6" t="str">
        <x:v>Unconfirmed — joint query/page data required</x:v>
      </x:c>
    </x:row>
    <x:row r="457" ht="42" customHeight="1">
      <x:c r="A457" s="6" t="str">
        <x:v>brake repair</x:v>
      </x:c>
      <x:c r="B457" s="14" t="n">
        <x:v>0</x:v>
      </x:c>
      <x:c r="C457" s="14" t="n">
        <x:v>30</x:v>
      </x:c>
      <x:c r="D457" s="15" t="n">
        <x:v>0</x:v>
      </x:c>
      <x:c r="E457" s="16" t="n">
        <x:v>20.9</x:v>
      </x:c>
      <x:c r="F457" s="6" t="str">
        <x:v>HIGH</x:v>
      </x:c>
      <x:c r="G457" s="17" t="n">
        <x:f>'Scoring'!I457</x:f>
        <x:v>64.5</x:v>
      </x:c>
      <x:c r="H457" s="6" t="str">
        <x:v>SUPPORT</x:v>
      </x:c>
      <x:c r="I457" s="6" t="str">
        <x:v>All vehicles: Brake repair (English)</x:v>
      </x:c>
      <x:c r="J457" s="6" t="str">
        <x:v>Secondary</x:v>
      </x:c>
      <x:c r="K457" s="6" t="str">
        <x:v>Commercial service enquiry</x:v>
      </x:c>
      <x:c r="L457" s="6" t="str">
        <x:v>High</x:v>
      </x:c>
      <x:c r="M457" s="6" t="str">
        <x:v>https://digitecme.com/services/brake-repair-dubai</x:v>
      </x:c>
      <x:c r="N457" s="6" t="str">
        <x:v>Unknown — export has no query/page pairing</x:v>
      </x:c>
      <x:c r="O457" s="6" t="str">
        <x:v>Retain primary intent and support variants</x:v>
      </x:c>
      <x:c r="P457" s="6" t="str">
        <x:v>Average position 20.90 makes ranking the main issue; avoid a CTR-only rewrite.</x:v>
      </x:c>
      <x:c r="Q457" s="6" t="str">
        <x:v>All vehicles</x:v>
      </x:c>
      <x:c r="R457" s="6" t="str">
        <x:v>brake-repair</x:v>
      </x:c>
      <x:c r="S457" s="6" t="str">
        <x:v>Location unspecified</x:v>
      </x:c>
      <x:c r="T457" s="6" t="n">
        <x:v>3</x:v>
      </x:c>
      <x:c r="U457" s="6" t="str">
        <x:v>21–40</x:v>
      </x:c>
      <x:c r="V457" s="6" t="str">
        <x:v>Content, internal authority and owner alignment</x:v>
      </x:c>
      <x:c r="W457" s="6" t="str">
        <x:v>Relevant supporting</x:v>
      </x:c>
      <x:c r="X457" s="6" t="n">
        <x:v>453</x:v>
      </x:c>
      <x:c r="Y457" s="6" t="str">
        <x:v>Unconfirmed — joint query/page data required</x:v>
      </x:c>
    </x:row>
    <x:row r="458" ht="42" customHeight="1">
      <x:c r="A458" s="6" t="str">
        <x:v>lotus repair dubai</x:v>
      </x:c>
      <x:c r="B458" s="14" t="n">
        <x:v>0</x:v>
      </x:c>
      <x:c r="C458" s="14" t="n">
        <x:v>30</x:v>
      </x:c>
      <x:c r="D458" s="15" t="n">
        <x:v>0</x:v>
      </x:c>
      <x:c r="E458" s="16" t="n">
        <x:v>21.97</x:v>
      </x:c>
      <x:c r="F458" s="6" t="str">
        <x:v>HIGH</x:v>
      </x:c>
      <x:c r="G458" s="17" t="n">
        <x:f>'Scoring'!I458</x:f>
        <x:v>77.5</x:v>
      </x:c>
      <x:c r="H458" s="6" t="str">
        <x:v>PRIORITIZE</x:v>
      </x:c>
      <x:c r="I458" s="6" t="str">
        <x:v>lotus: Service and repair</x:v>
      </x:c>
      <x:c r="J458" s="6" t="str">
        <x:v>Primary</x:v>
      </x:c>
      <x:c r="K458" s="6" t="str">
        <x:v>Commercial service enquiry</x:v>
      </x:c>
      <x:c r="L458" s="6" t="str">
        <x:v>High</x:v>
      </x:c>
      <x:c r="M458" s="6" t="str">
        <x:v>https://digitecme.com/brands/lotus-service-dubai</x:v>
      </x:c>
      <x:c r="N458" s="6" t="str">
        <x:v>Unknown — export has no query/page pairing</x:v>
      </x:c>
      <x:c r="O458" s="6" t="str">
        <x:v>Strengthen this primary intent owner</x:v>
      </x:c>
      <x:c r="P458" s="6" t="str">
        <x:v>Average position 21.97 makes ranking the main issue; avoid a CTR-only rewrite.</x:v>
      </x:c>
      <x:c r="Q458" s="6" t="str">
        <x:v>lotus</x:v>
      </x:c>
      <x:c r="R458" s="6" t="str">
        <x:v>service-repair</x:v>
      </x:c>
      <x:c r="S458" s="6" t="str">
        <x:v>Dubai explicit</x:v>
      </x:c>
      <x:c r="T458" s="6" t="n">
        <x:v>5</x:v>
      </x:c>
      <x:c r="U458" s="6" t="str">
        <x:v>21–40</x:v>
      </x:c>
      <x:c r="V458" s="6" t="str">
        <x:v>Content, internal authority and owner alignment</x:v>
      </x:c>
      <x:c r="W458" s="6" t="str">
        <x:v>High-value commercial</x:v>
      </x:c>
      <x:c r="X458" s="6" t="n">
        <x:v>454</x:v>
      </x:c>
      <x:c r="Y458" s="6" t="str">
        <x:v>Unconfirmed — joint query/page data required</x:v>
      </x:c>
    </x:row>
    <x:row r="459" ht="57" customHeight="1">
      <x:c r="A459" s="6" t="str">
        <x:v>lotus transmission repair dubai</x:v>
      </x:c>
      <x:c r="B459" s="14" t="n">
        <x:v>0</x:v>
      </x:c>
      <x:c r="C459" s="14" t="n">
        <x:v>30</x:v>
      </x:c>
      <x:c r="D459" s="15" t="n">
        <x:v>0</x:v>
      </x:c>
      <x:c r="E459" s="16" t="n">
        <x:v>27.57</x:v>
      </x:c>
      <x:c r="F459" s="6" t="str">
        <x:v>HIGH</x:v>
      </x:c>
      <x:c r="G459" s="17" t="n">
        <x:f>'Scoring'!I459</x:f>
        <x:v>45.5</x:v>
      </x:c>
      <x:c r="H459" s="6" t="str">
        <x:v>SPLIT</x:v>
      </x:c>
      <x:c r="I459" s="6" t="str">
        <x:v>lotus: Transmission and gearbox repair</x:v>
      </x:c>
      <x:c r="J459" s="6" t="str">
        <x:v>Primary</x:v>
      </x:c>
      <x:c r="K459" s="6" t="str">
        <x:v>Commercial service enquiry</x:v>
      </x:c>
      <x:c r="L459" s="6" t="str">
        <x:v>Medium</x:v>
      </x:c>
      <x:c r="M459" s="6" t="str">
        <x:v>https://digitecme.com/brands/lotus-service-dubai/transmission-repair</x:v>
      </x:c>
      <x:c r="N459" s="6" t="str">
        <x:v>Unknown — export has no query/page pairing</x:v>
      </x:c>
      <x:c r="O459" s="6" t="str">
        <x:v>Use dedicated service owner</x:v>
      </x:c>
      <x:c r="P459" s="6" t="str">
        <x:v>Existing specific page is noindex; assess service evidence and distinct content before changing indexation. Average position 27.57 makes ranking the main issue; avoid a CTR-only rewrite.</x:v>
      </x:c>
      <x:c r="Q459" s="6" t="str">
        <x:v>lotus</x:v>
      </x:c>
      <x:c r="R459" s="6" t="str">
        <x:v>transmission-repair</x:v>
      </x:c>
      <x:c r="S459" s="6" t="str">
        <x:v>Dubai explicit</x:v>
      </x:c>
      <x:c r="T459" s="6" t="n">
        <x:v>5</x:v>
      </x:c>
      <x:c r="U459" s="6" t="str">
        <x:v>21–40</x:v>
      </x:c>
      <x:c r="V459" s="6" t="str">
        <x:v>Content, internal authority and owner alignment</x:v>
      </x:c>
      <x:c r="W459" s="6" t="str">
        <x:v>High-value commercial</x:v>
      </x:c>
      <x:c r="X459" s="6" t="n">
        <x:v>455</x:v>
      </x:c>
      <x:c r="Y459" s="6" t="str">
        <x:v>Unconfirmed — joint query/page data required</x:v>
      </x:c>
    </x:row>
    <x:row r="460" ht="42" customHeight="1">
      <x:c r="A460" s="6" t="str">
        <x:v>افضل ورشة صيانة اودي</x:v>
      </x:c>
      <x:c r="B460" s="14" t="n">
        <x:v>0</x:v>
      </x:c>
      <x:c r="C460" s="14" t="n">
        <x:v>30</x:v>
      </x:c>
      <x:c r="D460" s="15" t="n">
        <x:v>0</x:v>
      </x:c>
      <x:c r="E460" s="16" t="n">
        <x:v>28.3</x:v>
      </x:c>
      <x:c r="F460" s="6" t="str">
        <x:v>HIGH</x:v>
      </x:c>
      <x:c r="G460" s="17" t="n">
        <x:f>'Scoring'!I460</x:f>
        <x:v>72.5</x:v>
      </x:c>
      <x:c r="H460" s="6" t="str">
        <x:v>SUPPORT</x:v>
      </x:c>
      <x:c r="I460" s="6" t="str">
        <x:v>audi: Service and repair (Arabic)</x:v>
      </x:c>
      <x:c r="J460" s="6" t="str">
        <x:v>Secondary</x:v>
      </x:c>
      <x:c r="K460" s="6" t="str">
        <x:v>Commercial service enquiry</x:v>
      </x:c>
      <x:c r="L460" s="6" t="str">
        <x:v>High</x:v>
      </x:c>
      <x:c r="M460" s="6" t="str">
        <x:v>https://digitecme.com/ar/brands/audi-service-dubai</x:v>
      </x:c>
      <x:c r="N460" s="6" t="str">
        <x:v>Unknown — export has no query/page pairing</x:v>
      </x:c>
      <x:c r="O460" s="6" t="str">
        <x:v>Retain primary intent and support variants</x:v>
      </x:c>
      <x:c r="P460" s="6" t="str">
        <x:v>Use the existing Arabic counterpart and verify its translation quality. Average position 28.30 makes ranking the main issue; avoid a CTR-only rewrite.</x:v>
      </x:c>
      <x:c r="Q460" s="6" t="str">
        <x:v>audi</x:v>
      </x:c>
      <x:c r="R460" s="6" t="str">
        <x:v>service-repair</x:v>
      </x:c>
      <x:c r="S460" s="6" t="str">
        <x:v>Location unspecified</x:v>
      </x:c>
      <x:c r="T460" s="6" t="n">
        <x:v>5</x:v>
      </x:c>
      <x:c r="U460" s="6" t="str">
        <x:v>21–40</x:v>
      </x:c>
      <x:c r="V460" s="6" t="str">
        <x:v>Content, internal authority and owner alignment</x:v>
      </x:c>
      <x:c r="W460" s="6" t="str">
        <x:v>Relevant supporting</x:v>
      </x:c>
      <x:c r="X460" s="6" t="n">
        <x:v>456</x:v>
      </x:c>
      <x:c r="Y460" s="6" t="str">
        <x:v>Unconfirmed — joint query/page data required</x:v>
      </x:c>
    </x:row>
    <x:row r="461" ht="42" customHeight="1">
      <x:c r="A461" s="6" t="str">
        <x:v>porsche transmission service dubai</x:v>
      </x:c>
      <x:c r="B461" s="14" t="n">
        <x:v>0</x:v>
      </x:c>
      <x:c r="C461" s="14" t="n">
        <x:v>30</x:v>
      </x:c>
      <x:c r="D461" s="15" t="n">
        <x:v>0</x:v>
      </x:c>
      <x:c r="E461" s="16" t="n">
        <x:v>28.33</x:v>
      </x:c>
      <x:c r="F461" s="6" t="str">
        <x:v>HIGH</x:v>
      </x:c>
      <x:c r="G461" s="17" t="n">
        <x:f>'Scoring'!I461</x:f>
        <x:v>77.5</x:v>
      </x:c>
      <x:c r="H461" s="6" t="str">
        <x:v>SPLIT</x:v>
      </x:c>
      <x:c r="I461" s="6" t="str">
        <x:v>porsche: Transmission and gearbox repair</x:v>
      </x:c>
      <x:c r="J461" s="6" t="str">
        <x:v>Secondary</x:v>
      </x:c>
      <x:c r="K461" s="6" t="str">
        <x:v>Commercial service enquiry</x:v>
      </x:c>
      <x:c r="L461" s="6" t="str">
        <x:v>High</x:v>
      </x:c>
      <x:c r="M461" s="6" t="str">
        <x:v>https://digitecme.com/brands/porsche-service-dubai/transmission-repair</x:v>
      </x:c>
      <x:c r="N461" s="6" t="str">
        <x:v>Unknown — export has no query/page pairing</x:v>
      </x:c>
      <x:c r="O461" s="6" t="str">
        <x:v>Use dedicated service owner</x:v>
      </x:c>
      <x:c r="P461" s="6" t="str">
        <x:v>Average position 28.33 makes ranking the main issue; avoid a CTR-only rewrite.</x:v>
      </x:c>
      <x:c r="Q461" s="6" t="str">
        <x:v>porsche</x:v>
      </x:c>
      <x:c r="R461" s="6" t="str">
        <x:v>transmission-repair</x:v>
      </x:c>
      <x:c r="S461" s="6" t="str">
        <x:v>Dubai explicit</x:v>
      </x:c>
      <x:c r="T461" s="6" t="n">
        <x:v>5</x:v>
      </x:c>
      <x:c r="U461" s="6" t="str">
        <x:v>21–40</x:v>
      </x:c>
      <x:c r="V461" s="6" t="str">
        <x:v>Content, internal authority and owner alignment</x:v>
      </x:c>
      <x:c r="W461" s="6" t="str">
        <x:v>High-value commercial</x:v>
      </x:c>
      <x:c r="X461" s="6" t="n">
        <x:v>457</x:v>
      </x:c>
      <x:c r="Y461" s="6" t="str">
        <x:v>Unconfirmed — joint query/page data required</x:v>
      </x:c>
    </x:row>
    <x:row r="462" ht="42" customHeight="1">
      <x:c r="A462" s="6" t="str">
        <x:v>mercedes body repair</x:v>
      </x:c>
      <x:c r="B462" s="14" t="n">
        <x:v>0</x:v>
      </x:c>
      <x:c r="C462" s="14" t="n">
        <x:v>30</x:v>
      </x:c>
      <x:c r="D462" s="15" t="n">
        <x:v>0</x:v>
      </x:c>
      <x:c r="E462" s="16" t="n">
        <x:v>31.57</x:v>
      </x:c>
      <x:c r="F462" s="6" t="str">
        <x:v>GROWTH</x:v>
      </x:c>
      <x:c r="G462" s="17" t="n">
        <x:f>'Scoring'!I462</x:f>
        <x:v>65</x:v>
      </x:c>
      <x:c r="H462" s="6" t="str">
        <x:v>SPLIT</x:v>
      </x:c>
      <x:c r="I462" s="6" t="str">
        <x:v>mercedes-benz: Body repair</x:v>
      </x:c>
      <x:c r="J462" s="6" t="str">
        <x:v>Secondary</x:v>
      </x:c>
      <x:c r="K462" s="6" t="str">
        <x:v>Commercial service enquiry</x:v>
      </x:c>
      <x:c r="L462" s="6" t="str">
        <x:v>High</x:v>
      </x:c>
      <x:c r="M462" s="6" t="str">
        <x:v>https://digitecme.com/services/mercedes-body-repair-dubai</x:v>
      </x:c>
      <x:c r="N462" s="6" t="str">
        <x:v>Unknown — export has no query/page pairing</x:v>
      </x:c>
      <x:c r="O462" s="6" t="str">
        <x:v>Use dedicated service owner</x:v>
      </x:c>
      <x:c r="P462" s="6" t="str">
        <x:v>Average position 31.57 makes ranking the main issue; avoid a CTR-only rewrite.</x:v>
      </x:c>
      <x:c r="Q462" s="6" t="str">
        <x:v>mercedes-benz</x:v>
      </x:c>
      <x:c r="R462" s="6" t="str">
        <x:v>body-repair</x:v>
      </x:c>
      <x:c r="S462" s="6" t="str">
        <x:v>Location unspecified</x:v>
      </x:c>
      <x:c r="T462" s="6" t="n">
        <x:v>5</x:v>
      </x:c>
      <x:c r="U462" s="6" t="str">
        <x:v>21–40</x:v>
      </x:c>
      <x:c r="V462" s="6" t="str">
        <x:v>Content, internal authority and owner alignment</x:v>
      </x:c>
      <x:c r="W462" s="6" t="str">
        <x:v>High-value commercial</x:v>
      </x:c>
      <x:c r="X462" s="6" t="n">
        <x:v>458</x:v>
      </x:c>
      <x:c r="Y462" s="6" t="str">
        <x:v>Unconfirmed — joint query/page data required</x:v>
      </x:c>
    </x:row>
    <x:row r="463" ht="42" customHeight="1">
      <x:c r="A463" s="6" t="str">
        <x:v>porsche performance service dubai</x:v>
      </x:c>
      <x:c r="B463" s="14" t="n">
        <x:v>0</x:v>
      </x:c>
      <x:c r="C463" s="14" t="n">
        <x:v>30</x:v>
      </x:c>
      <x:c r="D463" s="15" t="n">
        <x:v>0</x:v>
      </x:c>
      <x:c r="E463" s="16" t="n">
        <x:v>38.4</x:v>
      </x:c>
      <x:c r="F463" s="6" t="str">
        <x:v>GROWTH</x:v>
      </x:c>
      <x:c r="G463" s="17" t="n">
        <x:f>'Scoring'!I463</x:f>
        <x:v>70</x:v>
      </x:c>
      <x:c r="H463" s="6" t="str">
        <x:v>SUPPORT</x:v>
      </x:c>
      <x:c r="I463" s="6" t="str">
        <x:v>All vehicles: Performance tuning</x:v>
      </x:c>
      <x:c r="J463" s="6" t="str">
        <x:v>Secondary</x:v>
      </x:c>
      <x:c r="K463" s="6" t="str">
        <x:v>Commercial service enquiry</x:v>
      </x:c>
      <x:c r="L463" s="6" t="str">
        <x:v>High</x:v>
      </x:c>
      <x:c r="M463" s="6" t="str">
        <x:v>https://digitecme.com/tuning</x:v>
      </x:c>
      <x:c r="N463" s="6" t="str">
        <x:v>Unknown — export has no query/page pairing</x:v>
      </x:c>
      <x:c r="O463" s="6" t="str">
        <x:v>Retain primary intent and support variants</x:v>
      </x:c>
      <x:c r="P463" s="6" t="str">
        <x:v>Use the existing tuning page; model scope and any GAD relationship require verified facts. Average position 38.40 makes ranking the main issue; avoid a CTR-only rewrite.</x:v>
      </x:c>
      <x:c r="Q463" s="6" t="str">
        <x:v>porsche</x:v>
      </x:c>
      <x:c r="R463" s="6" t="str">
        <x:v>tuning</x:v>
      </x:c>
      <x:c r="S463" s="6" t="str">
        <x:v>Dubai explicit</x:v>
      </x:c>
      <x:c r="T463" s="6" t="n">
        <x:v>5</x:v>
      </x:c>
      <x:c r="U463" s="6" t="str">
        <x:v>21–40</x:v>
      </x:c>
      <x:c r="V463" s="6" t="str">
        <x:v>Content, internal authority and owner alignment</x:v>
      </x:c>
      <x:c r="W463" s="6" t="str">
        <x:v>Relevant supporting</x:v>
      </x:c>
      <x:c r="X463" s="6" t="n">
        <x:v>459</x:v>
      </x:c>
      <x:c r="Y463" s="6" t="str">
        <x:v>Unconfirmed — joint query/page data required</x:v>
      </x:c>
    </x:row>
    <x:row r="464" ht="42" customHeight="1">
      <x:c r="A464" s="6" t="str">
        <x:v>jeep repair specialist</x:v>
      </x:c>
      <x:c r="B464" s="14" t="n">
        <x:v>0</x:v>
      </x:c>
      <x:c r="C464" s="14" t="n">
        <x:v>30</x:v>
      </x:c>
      <x:c r="D464" s="15" t="n">
        <x:v>0</x:v>
      </x:c>
      <x:c r="E464" s="16" t="n">
        <x:v>47.03</x:v>
      </x:c>
      <x:c r="F464" s="6" t="str">
        <x:v>GROWTH</x:v>
      </x:c>
      <x:c r="G464" s="17" t="n">
        <x:f>'Scoring'!I464</x:f>
        <x:v>50.7</x:v>
      </x:c>
      <x:c r="H464" s="6" t="str">
        <x:v>SUPPORT</x:v>
      </x:c>
      <x:c r="I464" s="6" t="str">
        <x:v>jeep: Service and repair (English)</x:v>
      </x:c>
      <x:c r="J464" s="6" t="str">
        <x:v>Secondary</x:v>
      </x:c>
      <x:c r="K464" s="6" t="str">
        <x:v>Commercial service enquiry</x:v>
      </x:c>
      <x:c r="L464" s="6" t="str">
        <x:v>High</x:v>
      </x:c>
      <x:c r="M464" s="6" t="str">
        <x:v>https://digitecme.com/brands/jeep-service-dubai</x:v>
      </x:c>
      <x:c r="N464" s="6" t="str">
        <x:v>Unknown — export has no query/page pairing</x:v>
      </x:c>
      <x:c r="O464" s="6" t="str">
        <x:v>Retain primary intent and support variants</x:v>
      </x:c>
      <x:c r="P464" s="6" t="str">
        <x:v>Average position 47.03 makes ranking the main issue; avoid a CTR-only rewrite.</x:v>
      </x:c>
      <x:c r="Q464" s="6" t="str">
        <x:v>jeep</x:v>
      </x:c>
      <x:c r="R464" s="6" t="str">
        <x:v>service-repair</x:v>
      </x:c>
      <x:c r="S464" s="6" t="str">
        <x:v>Location unspecified</x:v>
      </x:c>
      <x:c r="T464" s="6" t="n">
        <x:v>3</x:v>
      </x:c>
      <x:c r="U464" s="6" t="str">
        <x:v>40+</x:v>
      </x:c>
      <x:c r="V464" s="6" t="str">
        <x:v>Relevance, capability, indexing and authority review</x:v>
      </x:c>
      <x:c r="W464" s="6" t="str">
        <x:v>Relevant supporting</x:v>
      </x:c>
      <x:c r="X464" s="6" t="n">
        <x:v>460</x:v>
      </x:c>
      <x:c r="Y464" s="6" t="str">
        <x:v>Unconfirmed — joint query/page data required</x:v>
      </x:c>
    </x:row>
    <x:row r="465" ht="42" customHeight="1">
      <x:c r="A465" s="6" t="str">
        <x:v>vw repair specialist</x:v>
      </x:c>
      <x:c r="B465" s="14" t="n">
        <x:v>0</x:v>
      </x:c>
      <x:c r="C465" s="14" t="n">
        <x:v>30</x:v>
      </x:c>
      <x:c r="D465" s="15" t="n">
        <x:v>0</x:v>
      </x:c>
      <x:c r="E465" s="16" t="n">
        <x:v>49.43</x:v>
      </x:c>
      <x:c r="F465" s="6" t="str">
        <x:v>GROWTH</x:v>
      </x:c>
      <x:c r="G465" s="17" t="n">
        <x:f>'Scoring'!I465</x:f>
        <x:v>50.7</x:v>
      </x:c>
      <x:c r="H465" s="6" t="str">
        <x:v>SUPPORT</x:v>
      </x:c>
      <x:c r="I465" s="6" t="str">
        <x:v>volkswagen: Service and repair (English)</x:v>
      </x:c>
      <x:c r="J465" s="6" t="str">
        <x:v>Secondary</x:v>
      </x:c>
      <x:c r="K465" s="6" t="str">
        <x:v>Commercial service enquiry</x:v>
      </x:c>
      <x:c r="L465" s="6" t="str">
        <x:v>High</x:v>
      </x:c>
      <x:c r="M465" s="6" t="str">
        <x:v>https://digitecme.com/brands/volkswagen-service-dubai</x:v>
      </x:c>
      <x:c r="N465" s="6" t="str">
        <x:v>Unknown — export has no query/page pairing</x:v>
      </x:c>
      <x:c r="O465" s="6" t="str">
        <x:v>Retain primary intent and support variants</x:v>
      </x:c>
      <x:c r="P465" s="6" t="str">
        <x:v>Average position 49.43 makes ranking the main issue; avoid a CTR-only rewrite.</x:v>
      </x:c>
      <x:c r="Q465" s="6" t="str">
        <x:v>volkswagen</x:v>
      </x:c>
      <x:c r="R465" s="6" t="str">
        <x:v>service-repair</x:v>
      </x:c>
      <x:c r="S465" s="6" t="str">
        <x:v>Location unspecified</x:v>
      </x:c>
      <x:c r="T465" s="6" t="n">
        <x:v>3</x:v>
      </x:c>
      <x:c r="U465" s="6" t="str">
        <x:v>40+</x:v>
      </x:c>
      <x:c r="V465" s="6" t="str">
        <x:v>Relevance, capability, indexing and authority review</x:v>
      </x:c>
      <x:c r="W465" s="6" t="str">
        <x:v>Relevant supporting</x:v>
      </x:c>
      <x:c r="X465" s="6" t="n">
        <x:v>461</x:v>
      </x:c>
      <x:c r="Y465" s="6" t="str">
        <x:v>Unconfirmed — joint query/page data required</x:v>
      </x:c>
    </x:row>
    <x:row r="466" ht="42" customHeight="1">
      <x:c r="A466" s="6" t="str">
        <x:v>vw repair</x:v>
      </x:c>
      <x:c r="B466" s="14" t="n">
        <x:v>0</x:v>
      </x:c>
      <x:c r="C466" s="14" t="n">
        <x:v>30</x:v>
      </x:c>
      <x:c r="D466" s="15" t="n">
        <x:v>0</x:v>
      </x:c>
      <x:c r="E466" s="16" t="n">
        <x:v>53.07</x:v>
      </x:c>
      <x:c r="F466" s="6" t="str">
        <x:v>GROWTH</x:v>
      </x:c>
      <x:c r="G466" s="17" t="n">
        <x:f>'Scoring'!I466</x:f>
        <x:v>50.7</x:v>
      </x:c>
      <x:c r="H466" s="6" t="str">
        <x:v>SUPPORT</x:v>
      </x:c>
      <x:c r="I466" s="6" t="str">
        <x:v>volkswagen: Service and repair (English)</x:v>
      </x:c>
      <x:c r="J466" s="6" t="str">
        <x:v>Secondary</x:v>
      </x:c>
      <x:c r="K466" s="6" t="str">
        <x:v>Commercial service enquiry</x:v>
      </x:c>
      <x:c r="L466" s="6" t="str">
        <x:v>High</x:v>
      </x:c>
      <x:c r="M466" s="6" t="str">
        <x:v>https://digitecme.com/brands/volkswagen-service-dubai</x:v>
      </x:c>
      <x:c r="N466" s="6" t="str">
        <x:v>Unknown — export has no query/page pairing</x:v>
      </x:c>
      <x:c r="O466" s="6" t="str">
        <x:v>Retain primary intent and support variants</x:v>
      </x:c>
      <x:c r="P466" s="6" t="str">
        <x:v>Average position 53.07 makes ranking the main issue; avoid a CTR-only rewrite.</x:v>
      </x:c>
      <x:c r="Q466" s="6" t="str">
        <x:v>volkswagen</x:v>
      </x:c>
      <x:c r="R466" s="6" t="str">
        <x:v>service-repair</x:v>
      </x:c>
      <x:c r="S466" s="6" t="str">
        <x:v>Location unspecified</x:v>
      </x:c>
      <x:c r="T466" s="6" t="n">
        <x:v>3</x:v>
      </x:c>
      <x:c r="U466" s="6" t="str">
        <x:v>40+</x:v>
      </x:c>
      <x:c r="V466" s="6" t="str">
        <x:v>Relevance, capability, indexing and authority review</x:v>
      </x:c>
      <x:c r="W466" s="6" t="str">
        <x:v>Relevant supporting</x:v>
      </x:c>
      <x:c r="X466" s="6" t="n">
        <x:v>462</x:v>
      </x:c>
      <x:c r="Y466" s="6" t="str">
        <x:v>Unconfirmed — joint query/page data required</x:v>
      </x:c>
    </x:row>
    <x:row r="467" ht="42" customHeight="1">
      <x:c r="A467" s="6" t="str">
        <x:v>best porsche garage abu dhabi</x:v>
      </x:c>
      <x:c r="B467" s="14" t="n">
        <x:v>0</x:v>
      </x:c>
      <x:c r="C467" s="14" t="n">
        <x:v>30</x:v>
      </x:c>
      <x:c r="D467" s="15" t="n">
        <x:v>0</x:v>
      </x:c>
      <x:c r="E467" s="16" t="n">
        <x:v>55.53</x:v>
      </x:c>
      <x:c r="F467" s="6" t="str">
        <x:v>DEPRIORITIZE</x:v>
      </x:c>
      <x:c r="G467" s="17" t="n">
        <x:f>'Scoring'!I467</x:f>
        <x:v>9.5</x:v>
      </x:c>
      <x:c r="H467" s="6" t="str">
        <x:v>DEPRIORITIZE</x:v>
      </x:c>
      <x:c r="I467" s="6" t="str">
        <x:v>porsche: Service and repair (outside Dubai)</x:v>
      </x:c>
      <x:c r="J467" s="6" t="str">
        <x:v>Secondary</x:v>
      </x:c>
      <x:c r="K467" s="6" t="str">
        <x:v>Commercial service enquiry</x:v>
      </x:c>
      <x:c r="L467" s="6" t="str">
        <x:v>Low</x:v>
      </x:c>
      <x:c r="M467" s="6" t="str">
        <x:v>https://digitecme.com/brands/porsche-service-dubai</x:v>
      </x:c>
      <x:c r="N467" s="6" t="str">
        <x:v>Unknown — export has no query/page pairing</x:v>
      </x:c>
      <x:c r="O467" s="6" t="str">
        <x:v>Confirm scope or deprioritize</x:v>
      </x:c>
      <x:c r="P467" s="6" t="str">
        <x:v>Explicit destination differs from the Al Quoz workshop; do not claim a local branch or service coverage. Average position 55.53 makes ranking the main issue; avoid a CTR-only rewrite.</x:v>
      </x:c>
      <x:c r="Q467" s="6" t="str">
        <x:v>porsche</x:v>
      </x:c>
      <x:c r="R467" s="6" t="str">
        <x:v>service-repair</x:v>
      </x:c>
      <x:c r="S467" s="6" t="str">
        <x:v>Outside Dubai</x:v>
      </x:c>
      <x:c r="T467" s="6" t="n">
        <x:v>1</x:v>
      </x:c>
      <x:c r="U467" s="6" t="str">
        <x:v>40+</x:v>
      </x:c>
      <x:c r="V467" s="6" t="str">
        <x:v>Relevance, capability, indexing and authority review</x:v>
      </x:c>
      <x:c r="W467" s="6" t="str">
        <x:v>Low-value</x:v>
      </x:c>
      <x:c r="X467" s="6" t="n">
        <x:v>463</x:v>
      </x:c>
      <x:c r="Y467" s="6" t="str">
        <x:v>Unconfirmed — joint query/page data required</x:v>
      </x:c>
    </x:row>
    <x:row r="468" ht="42" customHeight="1">
      <x:c r="A468" s="6" t="str">
        <x:v>صيانة مرسيدس</x:v>
      </x:c>
      <x:c r="B468" s="14" t="n">
        <x:v>0</x:v>
      </x:c>
      <x:c r="C468" s="14" t="n">
        <x:v>30</x:v>
      </x:c>
      <x:c r="D468" s="15" t="n">
        <x:v>0</x:v>
      </x:c>
      <x:c r="E468" s="16" t="n">
        <x:v>59.9</x:v>
      </x:c>
      <x:c r="F468" s="6" t="str">
        <x:v>GROWTH</x:v>
      </x:c>
      <x:c r="G468" s="17" t="n">
        <x:f>'Scoring'!I468</x:f>
        <x:v>58.7</x:v>
      </x:c>
      <x:c r="H468" s="6" t="str">
        <x:v>PRIORITIZE</x:v>
      </x:c>
      <x:c r="I468" s="6" t="str">
        <x:v>mercedes-benz: Service and repair (Arabic)</x:v>
      </x:c>
      <x:c r="J468" s="6" t="str">
        <x:v>Primary</x:v>
      </x:c>
      <x:c r="K468" s="6" t="str">
        <x:v>Commercial service enquiry</x:v>
      </x:c>
      <x:c r="L468" s="6" t="str">
        <x:v>High</x:v>
      </x:c>
      <x:c r="M468" s="6" t="str">
        <x:v>https://digitecme.com/ar/brands/mercedes-benz-service-dubai</x:v>
      </x:c>
      <x:c r="N468" s="6" t="str">
        <x:v>Unknown — export has no query/page pairing</x:v>
      </x:c>
      <x:c r="O468" s="6" t="str">
        <x:v>Strengthen this primary intent owner</x:v>
      </x:c>
      <x:c r="P468" s="6" t="str">
        <x:v>Use the existing Arabic counterpart and verify its translation quality. Average position 59.90 makes ranking the main issue; avoid a CTR-only rewrite.</x:v>
      </x:c>
      <x:c r="Q468" s="6" t="str">
        <x:v>mercedes-benz</x:v>
      </x:c>
      <x:c r="R468" s="6" t="str">
        <x:v>service-repair</x:v>
      </x:c>
      <x:c r="S468" s="6" t="str">
        <x:v>Location unspecified</x:v>
      </x:c>
      <x:c r="T468" s="6" t="n">
        <x:v>5</x:v>
      </x:c>
      <x:c r="U468" s="6" t="str">
        <x:v>40+</x:v>
      </x:c>
      <x:c r="V468" s="6" t="str">
        <x:v>Relevance, capability, indexing and authority review</x:v>
      </x:c>
      <x:c r="W468" s="6" t="str">
        <x:v>High-value commercial</x:v>
      </x:c>
      <x:c r="X468" s="6" t="n">
        <x:v>464</x:v>
      </x:c>
      <x:c r="Y468" s="6" t="str">
        <x:v>Unconfirmed — joint query/page data required</x:v>
      </x:c>
    </x:row>
    <x:row r="469" ht="42" customHeight="1">
      <x:c r="A469" s="6" t="str">
        <x:v>best porsche mechanic abu dhabi</x:v>
      </x:c>
      <x:c r="B469" s="14" t="n">
        <x:v>0</x:v>
      </x:c>
      <x:c r="C469" s="14" t="n">
        <x:v>30</x:v>
      </x:c>
      <x:c r="D469" s="15" t="n">
        <x:v>0</x:v>
      </x:c>
      <x:c r="E469" s="16" t="n">
        <x:v>62.27</x:v>
      </x:c>
      <x:c r="F469" s="6" t="str">
        <x:v>DEPRIORITIZE</x:v>
      </x:c>
      <x:c r="G469" s="17" t="n">
        <x:f>'Scoring'!I469</x:f>
        <x:v>9.5</x:v>
      </x:c>
      <x:c r="H469" s="6" t="str">
        <x:v>DEPRIORITIZE</x:v>
      </x:c>
      <x:c r="I469" s="6" t="str">
        <x:v>porsche: Service and repair (outside Dubai)</x:v>
      </x:c>
      <x:c r="J469" s="6" t="str">
        <x:v>Secondary</x:v>
      </x:c>
      <x:c r="K469" s="6" t="str">
        <x:v>Commercial service enquiry</x:v>
      </x:c>
      <x:c r="L469" s="6" t="str">
        <x:v>Low</x:v>
      </x:c>
      <x:c r="M469" s="6" t="str">
        <x:v>https://digitecme.com/brands/porsche-service-dubai</x:v>
      </x:c>
      <x:c r="N469" s="6" t="str">
        <x:v>Unknown — export has no query/page pairing</x:v>
      </x:c>
      <x:c r="O469" s="6" t="str">
        <x:v>Confirm scope or deprioritize</x:v>
      </x:c>
      <x:c r="P469" s="6" t="str">
        <x:v>Explicit destination differs from the Al Quoz workshop; do not claim a local branch or service coverage. Average position 62.27 makes ranking the main issue; avoid a CTR-only rewrite.</x:v>
      </x:c>
      <x:c r="Q469" s="6" t="str">
        <x:v>porsche</x:v>
      </x:c>
      <x:c r="R469" s="6" t="str">
        <x:v>service-repair</x:v>
      </x:c>
      <x:c r="S469" s="6" t="str">
        <x:v>Outside Dubai</x:v>
      </x:c>
      <x:c r="T469" s="6" t="n">
        <x:v>1</x:v>
      </x:c>
      <x:c r="U469" s="6" t="str">
        <x:v>40+</x:v>
      </x:c>
      <x:c r="V469" s="6" t="str">
        <x:v>Relevance, capability, indexing and authority review</x:v>
      </x:c>
      <x:c r="W469" s="6" t="str">
        <x:v>Low-value</x:v>
      </x:c>
      <x:c r="X469" s="6" t="n">
        <x:v>465</x:v>
      </x:c>
      <x:c r="Y469" s="6" t="str">
        <x:v>Unconfirmed — joint query/page data required</x:v>
      </x:c>
    </x:row>
    <x:row r="470" ht="42" customHeight="1">
      <x:c r="A470" s="6" t="str">
        <x:v>porsche repair specialist</x:v>
      </x:c>
      <x:c r="B470" s="14" t="n">
        <x:v>0</x:v>
      </x:c>
      <x:c r="C470" s="14" t="n">
        <x:v>30</x:v>
      </x:c>
      <x:c r="D470" s="15" t="n">
        <x:v>0</x:v>
      </x:c>
      <x:c r="E470" s="16" t="n">
        <x:v>66.37</x:v>
      </x:c>
      <x:c r="F470" s="6" t="str">
        <x:v>GROWTH</x:v>
      </x:c>
      <x:c r="G470" s="17" t="n">
        <x:f>'Scoring'!I470</x:f>
        <x:v>58.7</x:v>
      </x:c>
      <x:c r="H470" s="6" t="str">
        <x:v>SUPPORT</x:v>
      </x:c>
      <x:c r="I470" s="6" t="str">
        <x:v>porsche: Service and repair (English)</x:v>
      </x:c>
      <x:c r="J470" s="6" t="str">
        <x:v>Secondary</x:v>
      </x:c>
      <x:c r="K470" s="6" t="str">
        <x:v>Commercial service enquiry</x:v>
      </x:c>
      <x:c r="L470" s="6" t="str">
        <x:v>High</x:v>
      </x:c>
      <x:c r="M470" s="6" t="str">
        <x:v>https://digitecme.com/brands/porsche-service-dubai</x:v>
      </x:c>
      <x:c r="N470" s="6" t="str">
        <x:v>Unknown — export has no query/page pairing</x:v>
      </x:c>
      <x:c r="O470" s="6" t="str">
        <x:v>Retain primary intent and support variants</x:v>
      </x:c>
      <x:c r="P470" s="6" t="str">
        <x:v>Average position 66.37 makes ranking the main issue; avoid a CTR-only rewrite.</x:v>
      </x:c>
      <x:c r="Q470" s="6" t="str">
        <x:v>porsche</x:v>
      </x:c>
      <x:c r="R470" s="6" t="str">
        <x:v>service-repair</x:v>
      </x:c>
      <x:c r="S470" s="6" t="str">
        <x:v>Location unspecified</x:v>
      </x:c>
      <x:c r="T470" s="6" t="n">
        <x:v>5</x:v>
      </x:c>
      <x:c r="U470" s="6" t="str">
        <x:v>40+</x:v>
      </x:c>
      <x:c r="V470" s="6" t="str">
        <x:v>Relevance, capability, indexing and authority review</x:v>
      </x:c>
      <x:c r="W470" s="6" t="str">
        <x:v>Relevant supporting</x:v>
      </x:c>
      <x:c r="X470" s="6" t="n">
        <x:v>466</x:v>
      </x:c>
      <x:c r="Y470" s="6" t="str">
        <x:v>Unconfirmed — joint query/page data required</x:v>
      </x:c>
    </x:row>
    <x:row r="471" ht="42" customHeight="1">
      <x:c r="A471" s="6" t="str">
        <x:v>car brake service</x:v>
      </x:c>
      <x:c r="B471" s="14" t="n">
        <x:v>0</x:v>
      </x:c>
      <x:c r="C471" s="14" t="n">
        <x:v>30</x:v>
      </x:c>
      <x:c r="D471" s="15" t="n">
        <x:v>0</x:v>
      </x:c>
      <x:c r="E471" s="16" t="n">
        <x:v>71.77</x:v>
      </x:c>
      <x:c r="F471" s="6" t="str">
        <x:v>GROWTH</x:v>
      </x:c>
      <x:c r="G471" s="17" t="n">
        <x:f>'Scoring'!I471</x:f>
        <x:v>50.7</x:v>
      </x:c>
      <x:c r="H471" s="6" t="str">
        <x:v>SUPPORT</x:v>
      </x:c>
      <x:c r="I471" s="6" t="str">
        <x:v>All vehicles: Brake repair (English)</x:v>
      </x:c>
      <x:c r="J471" s="6" t="str">
        <x:v>Secondary</x:v>
      </x:c>
      <x:c r="K471" s="6" t="str">
        <x:v>Commercial service enquiry</x:v>
      </x:c>
      <x:c r="L471" s="6" t="str">
        <x:v>High</x:v>
      </x:c>
      <x:c r="M471" s="6" t="str">
        <x:v>https://digitecme.com/services/brake-repair-dubai</x:v>
      </x:c>
      <x:c r="N471" s="6" t="str">
        <x:v>Unknown — export has no query/page pairing</x:v>
      </x:c>
      <x:c r="O471" s="6" t="str">
        <x:v>Retain primary intent and support variants</x:v>
      </x:c>
      <x:c r="P471" s="6" t="str">
        <x:v>Average position 71.77 makes ranking the main issue; avoid a CTR-only rewrite.</x:v>
      </x:c>
      <x:c r="Q471" s="6" t="str">
        <x:v>All vehicles</x:v>
      </x:c>
      <x:c r="R471" s="6" t="str">
        <x:v>brake-repair</x:v>
      </x:c>
      <x:c r="S471" s="6" t="str">
        <x:v>Location unspecified</x:v>
      </x:c>
      <x:c r="T471" s="6" t="n">
        <x:v>3</x:v>
      </x:c>
      <x:c r="U471" s="6" t="str">
        <x:v>40+</x:v>
      </x:c>
      <x:c r="V471" s="6" t="str">
        <x:v>Relevance, capability, indexing and authority review</x:v>
      </x:c>
      <x:c r="W471" s="6" t="str">
        <x:v>Relevant supporting</x:v>
      </x:c>
      <x:c r="X471" s="6" t="n">
        <x:v>467</x:v>
      </x:c>
      <x:c r="Y471" s="6" t="str">
        <x:v>Unconfirmed — joint query/page data required</x:v>
      </x:c>
    </x:row>
    <x:row r="472" ht="42" customHeight="1">
      <x:c r="A472" s="6" t="str">
        <x:v>best lamborghini service center dubai</x:v>
      </x:c>
      <x:c r="B472" s="14" t="n">
        <x:v>0</x:v>
      </x:c>
      <x:c r="C472" s="14" t="n">
        <x:v>29</x:v>
      </x:c>
      <x:c r="D472" s="15" t="n">
        <x:v>0</x:v>
      </x:c>
      <x:c r="E472" s="16" t="n">
        <x:v>11.52</x:v>
      </x:c>
      <x:c r="F472" s="6" t="str">
        <x:v>CRITICAL</x:v>
      </x:c>
      <x:c r="G472" s="17" t="n">
        <x:f>'Scoring'!I472</x:f>
        <x:v>84.9</x:v>
      </x:c>
      <x:c r="H472" s="6" t="str">
        <x:v>SUPPORT</x:v>
      </x:c>
      <x:c r="I472" s="6" t="str">
        <x:v>lamborghini: Service and repair</x:v>
      </x:c>
      <x:c r="J472" s="6" t="str">
        <x:v>Secondary</x:v>
      </x:c>
      <x:c r="K472" s="6" t="str">
        <x:v>Commercial service enquiry</x:v>
      </x:c>
      <x:c r="L472" s="6" t="str">
        <x:v>High</x:v>
      </x:c>
      <x:c r="M472" s="6" t="str">
        <x:v>https://digitecme.com/brands/lamborghini-service-dubai</x:v>
      </x:c>
      <x:c r="N472" s="6" t="str">
        <x:v>Unknown — export has no query/page pairing</x:v>
      </x:c>
      <x:c r="O472" s="6" t="str">
        <x:v>Retain primary intent and support variants</x:v>
      </x:c>
      <x:c r="P472" s="6" t="str">
        <x:v>29 impressions at average position 11.52; strengthen the appropriate intent owner and measure with a fresh comparable period.</x:v>
      </x:c>
      <x:c r="Q472" s="6" t="str">
        <x:v>lamborghini</x:v>
      </x:c>
      <x:c r="R472" s="6" t="str">
        <x:v>service-repair</x:v>
      </x:c>
      <x:c r="S472" s="6" t="str">
        <x:v>Dubai explicit</x:v>
      </x:c>
      <x:c r="T472" s="6" t="n">
        <x:v>5</x:v>
      </x:c>
      <x:c r="U472" s="6" t="str">
        <x:v>11–20</x:v>
      </x:c>
      <x:c r="V472" s="6" t="str">
        <x:v>Ranking and owner relevance</x:v>
      </x:c>
      <x:c r="W472" s="6" t="str">
        <x:v>Relevant supporting</x:v>
      </x:c>
      <x:c r="X472" s="6" t="n">
        <x:v>468</x:v>
      </x:c>
      <x:c r="Y472" s="6" t="str">
        <x:v>Unconfirmed — joint query/page data required</x:v>
      </x:c>
    </x:row>
    <x:row r="473" ht="42" customHeight="1">
      <x:c r="A473" s="6" t="str">
        <x:v>mclaren service</x:v>
      </x:c>
      <x:c r="B473" s="14" t="n">
        <x:v>0</x:v>
      </x:c>
      <x:c r="C473" s="14" t="n">
        <x:v>29</x:v>
      </x:c>
      <x:c r="D473" s="15" t="n">
        <x:v>0</x:v>
      </x:c>
      <x:c r="E473" s="16" t="n">
        <x:v>13.66</x:v>
      </x:c>
      <x:c r="F473" s="6" t="str">
        <x:v>CRITICAL</x:v>
      </x:c>
      <x:c r="G473" s="17" t="n">
        <x:f>'Scoring'!I473</x:f>
        <x:v>79.9</x:v>
      </x:c>
      <x:c r="H473" s="6" t="str">
        <x:v>SUPPORT</x:v>
      </x:c>
      <x:c r="I473" s="6" t="str">
        <x:v>mclaren: Service and repair</x:v>
      </x:c>
      <x:c r="J473" s="6" t="str">
        <x:v>Secondary</x:v>
      </x:c>
      <x:c r="K473" s="6" t="str">
        <x:v>Commercial service enquiry</x:v>
      </x:c>
      <x:c r="L473" s="6" t="str">
        <x:v>High</x:v>
      </x:c>
      <x:c r="M473" s="6" t="str">
        <x:v>https://digitecme.com/brands/mclaren-service-dubai</x:v>
      </x:c>
      <x:c r="N473" s="6" t="str">
        <x:v>Unknown — export has no query/page pairing</x:v>
      </x:c>
      <x:c r="O473" s="6" t="str">
        <x:v>Retain primary intent and support variants</x:v>
      </x:c>
      <x:c r="P473" s="6" t="str">
        <x:v>29 impressions at average position 13.66; strengthen the appropriate intent owner and measure with a fresh comparable period.</x:v>
      </x:c>
      <x:c r="Q473" s="6" t="str">
        <x:v>mclaren</x:v>
      </x:c>
      <x:c r="R473" s="6" t="str">
        <x:v>service-repair</x:v>
      </x:c>
      <x:c r="S473" s="6" t="str">
        <x:v>Location unspecified</x:v>
      </x:c>
      <x:c r="T473" s="6" t="n">
        <x:v>5</x:v>
      </x:c>
      <x:c r="U473" s="6" t="str">
        <x:v>11–20</x:v>
      </x:c>
      <x:c r="V473" s="6" t="str">
        <x:v>Ranking and owner relevance</x:v>
      </x:c>
      <x:c r="W473" s="6" t="str">
        <x:v>Relevant supporting</x:v>
      </x:c>
      <x:c r="X473" s="6" t="n">
        <x:v>469</x:v>
      </x:c>
      <x:c r="Y473" s="6" t="str">
        <x:v>Unconfirmed — joint query/page data required</x:v>
      </x:c>
    </x:row>
    <x:row r="474" ht="42" customHeight="1">
      <x:c r="A474" s="6" t="str">
        <x:v>porsche oil change</x:v>
      </x:c>
      <x:c r="B474" s="14" t="n">
        <x:v>0</x:v>
      </x:c>
      <x:c r="C474" s="14" t="n">
        <x:v>29</x:v>
      </x:c>
      <x:c r="D474" s="15" t="n">
        <x:v>0</x:v>
      </x:c>
      <x:c r="E474" s="16" t="n">
        <x:v>17.28</x:v>
      </x:c>
      <x:c r="F474" s="6" t="str">
        <x:v>HIGH</x:v>
      </x:c>
      <x:c r="G474" s="17" t="n">
        <x:f>'Scoring'!I474</x:f>
        <x:v>72.4</x:v>
      </x:c>
      <x:c r="H474" s="6" t="str">
        <x:v>SPLIT</x:v>
      </x:c>
      <x:c r="I474" s="6" t="str">
        <x:v>porsche: Oil change</x:v>
      </x:c>
      <x:c r="J474" s="6" t="str">
        <x:v>Secondary</x:v>
      </x:c>
      <x:c r="K474" s="6" t="str">
        <x:v>Commercial service enquiry</x:v>
      </x:c>
      <x:c r="L474" s="6" t="str">
        <x:v>High</x:v>
      </x:c>
      <x:c r="M474" s="6" t="str">
        <x:v>https://digitecme.com/brands/porsche-service-dubai/oil-change</x:v>
      </x:c>
      <x:c r="N474" s="6" t="str">
        <x:v>Unknown — export has no query/page pairing</x:v>
      </x:c>
      <x:c r="O474" s="6" t="str">
        <x:v>Use dedicated service owner</x:v>
      </x:c>
      <x:c r="P474" s="6" t="str">
        <x:v>29 impressions at average position 17.28; strengthen the appropriate intent owner and measure with a fresh comparable period.</x:v>
      </x:c>
      <x:c r="Q474" s="6" t="str">
        <x:v>porsche</x:v>
      </x:c>
      <x:c r="R474" s="6" t="str">
        <x:v>oil-change</x:v>
      </x:c>
      <x:c r="S474" s="6" t="str">
        <x:v>Location unspecified</x:v>
      </x:c>
      <x:c r="T474" s="6" t="n">
        <x:v>5</x:v>
      </x:c>
      <x:c r="U474" s="6" t="str">
        <x:v>11–20</x:v>
      </x:c>
      <x:c r="V474" s="6" t="str">
        <x:v>Ranking and owner relevance</x:v>
      </x:c>
      <x:c r="W474" s="6" t="str">
        <x:v>High-value commercial</x:v>
      </x:c>
      <x:c r="X474" s="6" t="n">
        <x:v>470</x:v>
      </x:c>
      <x:c r="Y474" s="6" t="str">
        <x:v>Unconfirmed — joint query/page data required</x:v>
      </x:c>
    </x:row>
    <x:row r="475" ht="42" customHeight="1">
      <x:c r="A475" s="6" t="str">
        <x:v>lamborghini repair</x:v>
      </x:c>
      <x:c r="B475" s="14" t="n">
        <x:v>0</x:v>
      </x:c>
      <x:c r="C475" s="14" t="n">
        <x:v>29</x:v>
      </x:c>
      <x:c r="D475" s="15" t="n">
        <x:v>0</x:v>
      </x:c>
      <x:c r="E475" s="16" t="n">
        <x:v>18.55</x:v>
      </x:c>
      <x:c r="F475" s="6" t="str">
        <x:v>HIGH</x:v>
      </x:c>
      <x:c r="G475" s="17" t="n">
        <x:f>'Scoring'!I475</x:f>
        <x:v>72.4</x:v>
      </x:c>
      <x:c r="H475" s="6" t="str">
        <x:v>SUPPORT</x:v>
      </x:c>
      <x:c r="I475" s="6" t="str">
        <x:v>lamborghini: Service and repair</x:v>
      </x:c>
      <x:c r="J475" s="6" t="str">
        <x:v>Secondary</x:v>
      </x:c>
      <x:c r="K475" s="6" t="str">
        <x:v>Commercial service enquiry</x:v>
      </x:c>
      <x:c r="L475" s="6" t="str">
        <x:v>High</x:v>
      </x:c>
      <x:c r="M475" s="6" t="str">
        <x:v>https://digitecme.com/brands/lamborghini-service-dubai</x:v>
      </x:c>
      <x:c r="N475" s="6" t="str">
        <x:v>Unknown — export has no query/page pairing</x:v>
      </x:c>
      <x:c r="O475" s="6" t="str">
        <x:v>Retain primary intent and support variants</x:v>
      </x:c>
      <x:c r="P475" s="6" t="str">
        <x:v>29 impressions at average position 18.55; strengthen the appropriate intent owner and measure with a fresh comparable period.</x:v>
      </x:c>
      <x:c r="Q475" s="6" t="str">
        <x:v>lamborghini</x:v>
      </x:c>
      <x:c r="R475" s="6" t="str">
        <x:v>service-repair</x:v>
      </x:c>
      <x:c r="S475" s="6" t="str">
        <x:v>Location unspecified</x:v>
      </x:c>
      <x:c r="T475" s="6" t="n">
        <x:v>5</x:v>
      </x:c>
      <x:c r="U475" s="6" t="str">
        <x:v>11–20</x:v>
      </x:c>
      <x:c r="V475" s="6" t="str">
        <x:v>Ranking and owner relevance</x:v>
      </x:c>
      <x:c r="W475" s="6" t="str">
        <x:v>Relevant supporting</x:v>
      </x:c>
      <x:c r="X475" s="6" t="n">
        <x:v>471</x:v>
      </x:c>
      <x:c r="Y475" s="6" t="str">
        <x:v>Unconfirmed — joint query/page data required</x:v>
      </x:c>
    </x:row>
    <x:row r="476" ht="42" customHeight="1">
      <x:c r="A476" s="6" t="str">
        <x:v>bmw transmission repair</x:v>
      </x:c>
      <x:c r="B476" s="14" t="n">
        <x:v>0</x:v>
      </x:c>
      <x:c r="C476" s="14" t="n">
        <x:v>29</x:v>
      </x:c>
      <x:c r="D476" s="15" t="n">
        <x:v>0</x:v>
      </x:c>
      <x:c r="E476" s="16" t="n">
        <x:v>22.03</x:v>
      </x:c>
      <x:c r="F476" s="6" t="str">
        <x:v>HIGH</x:v>
      </x:c>
      <x:c r="G476" s="17" t="n">
        <x:f>'Scoring'!I476</x:f>
        <x:v>72.4</x:v>
      </x:c>
      <x:c r="H476" s="6" t="str">
        <x:v>SPLIT</x:v>
      </x:c>
      <x:c r="I476" s="6" t="str">
        <x:v>bmw: Transmission and gearbox repair</x:v>
      </x:c>
      <x:c r="J476" s="6" t="str">
        <x:v>Secondary</x:v>
      </x:c>
      <x:c r="K476" s="6" t="str">
        <x:v>Commercial service enquiry</x:v>
      </x:c>
      <x:c r="L476" s="6" t="str">
        <x:v>High</x:v>
      </x:c>
      <x:c r="M476" s="6" t="str">
        <x:v>https://digitecme.com/brands/bmw-service-dubai/transmission-repair</x:v>
      </x:c>
      <x:c r="N476" s="6" t="str">
        <x:v>Unknown — export has no query/page pairing</x:v>
      </x:c>
      <x:c r="O476" s="6" t="str">
        <x:v>Use dedicated service owner</x:v>
      </x:c>
      <x:c r="P476" s="6" t="str">
        <x:v>Average position 22.03 makes ranking the main issue; avoid a CTR-only rewrite.</x:v>
      </x:c>
      <x:c r="Q476" s="6" t="str">
        <x:v>bmw</x:v>
      </x:c>
      <x:c r="R476" s="6" t="str">
        <x:v>transmission-repair</x:v>
      </x:c>
      <x:c r="S476" s="6" t="str">
        <x:v>Location unspecified</x:v>
      </x:c>
      <x:c r="T476" s="6" t="n">
        <x:v>5</x:v>
      </x:c>
      <x:c r="U476" s="6" t="str">
        <x:v>21–40</x:v>
      </x:c>
      <x:c r="V476" s="6" t="str">
        <x:v>Content, internal authority and owner alignment</x:v>
      </x:c>
      <x:c r="W476" s="6" t="str">
        <x:v>High-value commercial</x:v>
      </x:c>
      <x:c r="X476" s="6" t="n">
        <x:v>472</x:v>
      </x:c>
      <x:c r="Y476" s="6" t="str">
        <x:v>Unconfirmed — joint query/page data required</x:v>
      </x:c>
    </x:row>
    <x:row r="477" ht="42" customHeight="1">
      <x:c r="A477" s="6" t="str">
        <x:v>lamborghini specialist dubai</x:v>
      </x:c>
      <x:c r="B477" s="14" t="n">
        <x:v>0</x:v>
      </x:c>
      <x:c r="C477" s="14" t="n">
        <x:v>29</x:v>
      </x:c>
      <x:c r="D477" s="15" t="n">
        <x:v>0</x:v>
      </x:c>
      <x:c r="E477" s="16" t="n">
        <x:v>25.24</x:v>
      </x:c>
      <x:c r="F477" s="6" t="str">
        <x:v>HIGH</x:v>
      </x:c>
      <x:c r="G477" s="17" t="n">
        <x:f>'Scoring'!I477</x:f>
        <x:v>77.4</x:v>
      </x:c>
      <x:c r="H477" s="6" t="str">
        <x:v>SUPPORT</x:v>
      </x:c>
      <x:c r="I477" s="6" t="str">
        <x:v>lamborghini: Service and repair</x:v>
      </x:c>
      <x:c r="J477" s="6" t="str">
        <x:v>Secondary</x:v>
      </x:c>
      <x:c r="K477" s="6" t="str">
        <x:v>Commercial service enquiry</x:v>
      </x:c>
      <x:c r="L477" s="6" t="str">
        <x:v>High</x:v>
      </x:c>
      <x:c r="M477" s="6" t="str">
        <x:v>https://digitecme.com/brands/lamborghini-service-dubai</x:v>
      </x:c>
      <x:c r="N477" s="6" t="str">
        <x:v>Unknown — export has no query/page pairing</x:v>
      </x:c>
      <x:c r="O477" s="6" t="str">
        <x:v>Retain primary intent and support variants</x:v>
      </x:c>
      <x:c r="P477" s="6" t="str">
        <x:v>Average position 25.24 makes ranking the main issue; avoid a CTR-only rewrite.</x:v>
      </x:c>
      <x:c r="Q477" s="6" t="str">
        <x:v>lamborghini</x:v>
      </x:c>
      <x:c r="R477" s="6" t="str">
        <x:v>service-repair</x:v>
      </x:c>
      <x:c r="S477" s="6" t="str">
        <x:v>Dubai explicit</x:v>
      </x:c>
      <x:c r="T477" s="6" t="n">
        <x:v>5</x:v>
      </x:c>
      <x:c r="U477" s="6" t="str">
        <x:v>21–40</x:v>
      </x:c>
      <x:c r="V477" s="6" t="str">
        <x:v>Content, internal authority and owner alignment</x:v>
      </x:c>
      <x:c r="W477" s="6" t="str">
        <x:v>Relevant supporting</x:v>
      </x:c>
      <x:c r="X477" s="6" t="n">
        <x:v>473</x:v>
      </x:c>
      <x:c r="Y477" s="6" t="str">
        <x:v>Unconfirmed — joint query/page data required</x:v>
      </x:c>
    </x:row>
    <x:row r="478" ht="57" customHeight="1">
      <x:c r="A478" s="6" t="str">
        <x:v>nissan authorised service centre near me</x:v>
      </x:c>
      <x:c r="B478" s="14" t="n">
        <x:v>0</x:v>
      </x:c>
      <x:c r="C478" s="14" t="n">
        <x:v>29</x:v>
      </x:c>
      <x:c r="D478" s="15" t="n">
        <x:v>0</x:v>
      </x:c>
      <x:c r="E478" s="16" t="n">
        <x:v>25.72</x:v>
      </x:c>
      <x:c r="F478" s="6" t="str">
        <x:v>IGNORE</x:v>
      </x:c>
      <x:c r="G478" s="17" t="n">
        <x:f>'Scoring'!I478</x:f>
        <x:v>0</x:v>
      </x:c>
      <x:c r="H478" s="6" t="str">
        <x:v>IGNORE</x:v>
      </x:c>
      <x:c r="I478" s="6" t="str">
        <x:v>Excluded: Dealer or showroom</x:v>
      </x:c>
      <x:c r="J478" s="6" t="str">
        <x:v>Secondary</x:v>
      </x:c>
      <x:c r="K478" s="6" t="str">
        <x:v>Other or mismatched intent</x:v>
      </x:c>
      <x:c r="L478" s="6" t="str">
        <x:v>None</x:v>
      </x:c>
      <x:c r="M478" s="6" t="str"/>
      <x:c r="N478" s="6" t="str">
        <x:v>Unknown — export has no query/page pairing</x:v>
      </x:c>
      <x:c r="O478" s="6" t="str">
        <x:v>Do not target</x:v>
      </x:c>
      <x:c r="P478" s="6" t="str">
        <x:v>Dealer, product, industrial, unrelated entity or non-service intent does not match the independent workshop offer. Average position 25.72 makes ranking the main issue; avoid a CTR-only rewrite.</x:v>
      </x:c>
      <x:c r="Q478" s="6" t="str">
        <x:v>nissan</x:v>
      </x:c>
      <x:c r="R478" s="6" t="str">
        <x:v>service-repair</x:v>
      </x:c>
      <x:c r="S478" s="6" t="str">
        <x:v>Near me; location unknown</x:v>
      </x:c>
      <x:c r="T478" s="6" t="n">
        <x:v>0</x:v>
      </x:c>
      <x:c r="U478" s="6" t="str">
        <x:v>21–40</x:v>
      </x:c>
      <x:c r="V478" s="6" t="str">
        <x:v>Content, internal authority and owner alignment</x:v>
      </x:c>
      <x:c r="W478" s="6" t="str">
        <x:v>Irrelevant</x:v>
      </x:c>
      <x:c r="X478" s="6" t="n">
        <x:v>474</x:v>
      </x:c>
      <x:c r="Y478" s="6" t="str">
        <x:v>Unconfirmed — joint query/page data required</x:v>
      </x:c>
    </x:row>
    <x:row r="479" ht="42" customHeight="1">
      <x:c r="A479" s="6" t="str">
        <x:v>chrysler repair shop near me</x:v>
      </x:c>
      <x:c r="B479" s="14" t="n">
        <x:v>0</x:v>
      </x:c>
      <x:c r="C479" s="14" t="n">
        <x:v>29</x:v>
      </x:c>
      <x:c r="D479" s="15" t="n">
        <x:v>0</x:v>
      </x:c>
      <x:c r="E479" s="16" t="n">
        <x:v>29.62</x:v>
      </x:c>
      <x:c r="F479" s="6" t="str">
        <x:v>HIGH</x:v>
      </x:c>
      <x:c r="G479" s="17" t="n">
        <x:f>'Scoring'!I479</x:f>
        <x:v>69.4</x:v>
      </x:c>
      <x:c r="H479" s="6" t="str">
        <x:v>SUPPORT</x:v>
      </x:c>
      <x:c r="I479" s="6" t="str">
        <x:v>chrysler: Service and repair</x:v>
      </x:c>
      <x:c r="J479" s="6" t="str">
        <x:v>Secondary</x:v>
      </x:c>
      <x:c r="K479" s="6" t="str">
        <x:v>Commercial service enquiry</x:v>
      </x:c>
      <x:c r="L479" s="6" t="str">
        <x:v>High</x:v>
      </x:c>
      <x:c r="M479" s="6" t="str">
        <x:v>https://digitecme.com/brands/chrysler-service-dubai</x:v>
      </x:c>
      <x:c r="N479" s="6" t="str">
        <x:v>Unknown — export has no query/page pairing</x:v>
      </x:c>
      <x:c r="O479" s="6" t="str">
        <x:v>Retain primary intent and support variants</x:v>
      </x:c>
      <x:c r="P479" s="6" t="str">
        <x:v>Average position 29.62 makes ranking the main issue; avoid a CTR-only rewrite.</x:v>
      </x:c>
      <x:c r="Q479" s="6" t="str">
        <x:v>chrysler</x:v>
      </x:c>
      <x:c r="R479" s="6" t="str">
        <x:v>service-repair</x:v>
      </x:c>
      <x:c r="S479" s="6" t="str">
        <x:v>Near me; location unknown</x:v>
      </x:c>
      <x:c r="T479" s="6" t="n">
        <x:v>3</x:v>
      </x:c>
      <x:c r="U479" s="6" t="str">
        <x:v>21–40</x:v>
      </x:c>
      <x:c r="V479" s="6" t="str">
        <x:v>Content, internal authority and owner alignment</x:v>
      </x:c>
      <x:c r="W479" s="6" t="str">
        <x:v>Relevant supporting</x:v>
      </x:c>
      <x:c r="X479" s="6" t="n">
        <x:v>475</x:v>
      </x:c>
      <x:c r="Y479" s="6" t="str">
        <x:v>Unconfirmed — joint query/page data required</x:v>
      </x:c>
    </x:row>
    <x:row r="480" ht="42" customHeight="1">
      <x:c r="A480" s="6" t="str">
        <x:v>bmw battery replacement</x:v>
      </x:c>
      <x:c r="B480" s="14" t="n">
        <x:v>0</x:v>
      </x:c>
      <x:c r="C480" s="14" t="n">
        <x:v>29</x:v>
      </x:c>
      <x:c r="D480" s="15" t="n">
        <x:v>0</x:v>
      </x:c>
      <x:c r="E480" s="16" t="n">
        <x:v>30.03</x:v>
      </x:c>
      <x:c r="F480" s="6" t="str">
        <x:v>GROWTH</x:v>
      </x:c>
      <x:c r="G480" s="17" t="n">
        <x:f>'Scoring'!I480</x:f>
        <x:v>64.9</x:v>
      </x:c>
      <x:c r="H480" s="6" t="str">
        <x:v>SPLIT</x:v>
      </x:c>
      <x:c r="I480" s="6" t="str">
        <x:v>bmw: Battery service</x:v>
      </x:c>
      <x:c r="J480" s="6" t="str">
        <x:v>Secondary</x:v>
      </x:c>
      <x:c r="K480" s="6" t="str">
        <x:v>Commercial service enquiry</x:v>
      </x:c>
      <x:c r="L480" s="6" t="str">
        <x:v>High</x:v>
      </x:c>
      <x:c r="M480" s="6" t="str">
        <x:v>https://digitecme.com/brands/bmw-service-dubai/battery-replacement</x:v>
      </x:c>
      <x:c r="N480" s="6" t="str">
        <x:v>Unknown — export has no query/page pairing</x:v>
      </x:c>
      <x:c r="O480" s="6" t="str">
        <x:v>Use dedicated service owner</x:v>
      </x:c>
      <x:c r="P480" s="6" t="str">
        <x:v>Average position 30.03 makes ranking the main issue; avoid a CTR-only rewrite.</x:v>
      </x:c>
      <x:c r="Q480" s="6" t="str">
        <x:v>bmw</x:v>
      </x:c>
      <x:c r="R480" s="6" t="str">
        <x:v>battery-replacement</x:v>
      </x:c>
      <x:c r="S480" s="6" t="str">
        <x:v>Location unspecified</x:v>
      </x:c>
      <x:c r="T480" s="6" t="n">
        <x:v>5</x:v>
      </x:c>
      <x:c r="U480" s="6" t="str">
        <x:v>21–40</x:v>
      </x:c>
      <x:c r="V480" s="6" t="str">
        <x:v>Content, internal authority and owner alignment</x:v>
      </x:c>
      <x:c r="W480" s="6" t="str">
        <x:v>High-value commercial</x:v>
      </x:c>
      <x:c r="X480" s="6" t="n">
        <x:v>476</x:v>
      </x:c>
      <x:c r="Y480" s="6" t="str">
        <x:v>Unconfirmed — joint query/page data required</x:v>
      </x:c>
    </x:row>
    <x:row r="481" ht="57" customHeight="1">
      <x:c r="A481" s="6" t="str">
        <x:v>car paint protection in dubai</x:v>
      </x:c>
      <x:c r="B481" s="14" t="n">
        <x:v>0</x:v>
      </x:c>
      <x:c r="C481" s="14" t="n">
        <x:v>29</x:v>
      </x:c>
      <x:c r="D481" s="15" t="n">
        <x:v>0</x:v>
      </x:c>
      <x:c r="E481" s="16" t="n">
        <x:v>31.52</x:v>
      </x:c>
      <x:c r="F481" s="6" t="str">
        <x:v>GROWTH</x:v>
      </x:c>
      <x:c r="G481" s="17" t="n">
        <x:f>'Scoring'!I481</x:f>
        <x:v>69.9</x:v>
      </x:c>
      <x:c r="H481" s="6" t="str">
        <x:v>SUPPORT</x:v>
      </x:c>
      <x:c r="I481" s="6" t="str">
        <x:v>All vehicles: Paint care and protection comparison</x:v>
      </x:c>
      <x:c r="J481" s="6" t="str">
        <x:v>Secondary</x:v>
      </x:c>
      <x:c r="K481" s="6" t="str">
        <x:v>Commercial service enquiry</x:v>
      </x:c>
      <x:c r="L481" s="6" t="str">
        <x:v>High</x:v>
      </x:c>
      <x:c r="M481" s="6" t="str">
        <x:v>https://digitecme.com/services/paint-protection-dubai</x:v>
      </x:c>
      <x:c r="N481" s="6" t="str">
        <x:v>Unknown — export has no query/page pairing</x:v>
      </x:c>
      <x:c r="O481" s="6" t="str">
        <x:v>Retain primary intent and support variants</x:v>
      </x:c>
      <x:c r="P481" s="6" t="str">
        <x:v>Broad protection intent is mixed; the comparison hub should direct film and coating enquiries to their specialist pages. Average position 31.52 makes ranking the main issue; avoid a CTR-only rewrite.</x:v>
      </x:c>
      <x:c r="Q481" s="6" t="str">
        <x:v>All vehicles</x:v>
      </x:c>
      <x:c r="R481" s="6" t="str">
        <x:v>paint-care</x:v>
      </x:c>
      <x:c r="S481" s="6" t="str">
        <x:v>Dubai explicit</x:v>
      </x:c>
      <x:c r="T481" s="6" t="n">
        <x:v>5</x:v>
      </x:c>
      <x:c r="U481" s="6" t="str">
        <x:v>21–40</x:v>
      </x:c>
      <x:c r="V481" s="6" t="str">
        <x:v>Content, internal authority and owner alignment</x:v>
      </x:c>
      <x:c r="W481" s="6" t="str">
        <x:v>Relevant supporting</x:v>
      </x:c>
      <x:c r="X481" s="6" t="n">
        <x:v>477</x:v>
      </x:c>
      <x:c r="Y481" s="6" t="str">
        <x:v>Unconfirmed — joint query/page data required</x:v>
      </x:c>
    </x:row>
    <x:row r="482" ht="42" customHeight="1">
      <x:c r="A482" s="6" t="str">
        <x:v>best cadillac repair garage dubai</x:v>
      </x:c>
      <x:c r="B482" s="14" t="n">
        <x:v>0</x:v>
      </x:c>
      <x:c r="C482" s="14" t="n">
        <x:v>29</x:v>
      </x:c>
      <x:c r="D482" s="15" t="n">
        <x:v>0</x:v>
      </x:c>
      <x:c r="E482" s="16" t="n">
        <x:v>53.76</x:v>
      </x:c>
      <x:c r="F482" s="6" t="str">
        <x:v>GROWTH</x:v>
      </x:c>
      <x:c r="G482" s="17" t="n">
        <x:f>'Scoring'!I482</x:f>
        <x:v>55.7</x:v>
      </x:c>
      <x:c r="H482" s="6" t="str">
        <x:v>SUPPORT</x:v>
      </x:c>
      <x:c r="I482" s="6" t="str">
        <x:v>cadillac: Service and repair</x:v>
      </x:c>
      <x:c r="J482" s="6" t="str">
        <x:v>Secondary</x:v>
      </x:c>
      <x:c r="K482" s="6" t="str">
        <x:v>Commercial service enquiry</x:v>
      </x:c>
      <x:c r="L482" s="6" t="str">
        <x:v>High</x:v>
      </x:c>
      <x:c r="M482" s="6" t="str">
        <x:v>https://digitecme.com/brands/cadillac-service-dubai</x:v>
      </x:c>
      <x:c r="N482" s="6" t="str">
        <x:v>Unknown — export has no query/page pairing</x:v>
      </x:c>
      <x:c r="O482" s="6" t="str">
        <x:v>Retain primary intent and support variants</x:v>
      </x:c>
      <x:c r="P482" s="6" t="str">
        <x:v>Average position 53.76 makes ranking the main issue; avoid a CTR-only rewrite.</x:v>
      </x:c>
      <x:c r="Q482" s="6" t="str">
        <x:v>cadillac</x:v>
      </x:c>
      <x:c r="R482" s="6" t="str">
        <x:v>service-repair</x:v>
      </x:c>
      <x:c r="S482" s="6" t="str">
        <x:v>Dubai explicit</x:v>
      </x:c>
      <x:c r="T482" s="6" t="n">
        <x:v>3</x:v>
      </x:c>
      <x:c r="U482" s="6" t="str">
        <x:v>40+</x:v>
      </x:c>
      <x:c r="V482" s="6" t="str">
        <x:v>Relevance, capability, indexing and authority review</x:v>
      </x:c>
      <x:c r="W482" s="6" t="str">
        <x:v>Relevant supporting</x:v>
      </x:c>
      <x:c r="X482" s="6" t="n">
        <x:v>478</x:v>
      </x:c>
      <x:c r="Y482" s="6" t="str">
        <x:v>Unconfirmed — joint query/page data required</x:v>
      </x:c>
    </x:row>
    <x:row r="483" ht="42" customHeight="1">
      <x:c r="A483" s="6" t="str">
        <x:v>mercedes brake repair dubai</x:v>
      </x:c>
      <x:c r="B483" s="14" t="n">
        <x:v>0</x:v>
      </x:c>
      <x:c r="C483" s="14" t="n">
        <x:v>28</x:v>
      </x:c>
      <x:c r="D483" s="15" t="n">
        <x:v>0</x:v>
      </x:c>
      <x:c r="E483" s="16" t="n">
        <x:v>9.64</x:v>
      </x:c>
      <x:c r="F483" s="6" t="str">
        <x:v>CRITICAL</x:v>
      </x:c>
      <x:c r="G483" s="17" t="n">
        <x:f>'Scoring'!I483</x:f>
        <x:v>94.9</x:v>
      </x:c>
      <x:c r="H483" s="6" t="str">
        <x:v>SPLIT</x:v>
      </x:c>
      <x:c r="I483" s="6" t="str">
        <x:v>mercedes-benz: Brake repair</x:v>
      </x:c>
      <x:c r="J483" s="6" t="str">
        <x:v>Secondary</x:v>
      </x:c>
      <x:c r="K483" s="6" t="str">
        <x:v>Commercial service enquiry</x:v>
      </x:c>
      <x:c r="L483" s="6" t="str">
        <x:v>High</x:v>
      </x:c>
      <x:c r="M483" s="6" t="str">
        <x:v>https://digitecme.com/services/mercedes-brake-repair-dubai</x:v>
      </x:c>
      <x:c r="N483" s="6" t="str">
        <x:v>Unknown — export has no query/page pairing</x:v>
      </x:c>
      <x:c r="O483" s="6" t="str">
        <x:v>Use dedicated service owner</x:v>
      </x:c>
      <x:c r="P483" s="6" t="str">
        <x:v>Zero clicks from 28 impressions at average position 9.64; inspect query/page, country/device and SERP before attributing this to the snippet.</x:v>
      </x:c>
      <x:c r="Q483" s="6" t="str">
        <x:v>mercedes-benz</x:v>
      </x:c>
      <x:c r="R483" s="6" t="str">
        <x:v>brake-repair</x:v>
      </x:c>
      <x:c r="S483" s="6" t="str">
        <x:v>Dubai explicit</x:v>
      </x:c>
      <x:c r="T483" s="6" t="n">
        <x:v>5</x:v>
      </x:c>
      <x:c r="U483" s="6" t="str">
        <x:v>4–10</x:v>
      </x:c>
      <x:c r="V483" s="6" t="str">
        <x:v>Page-one CTR review and top-three relevance</x:v>
      </x:c>
      <x:c r="W483" s="6" t="str">
        <x:v>High-value commercial</x:v>
      </x:c>
      <x:c r="X483" s="6" t="n">
        <x:v>479</x:v>
      </x:c>
      <x:c r="Y483" s="6" t="str">
        <x:v>Unconfirmed — joint query/page data required</x:v>
      </x:c>
    </x:row>
    <x:row r="484" ht="57" customHeight="1">
      <x:c r="A484" s="6" t="str">
        <x:v>mclaren service abu dhabi</x:v>
      </x:c>
      <x:c r="B484" s="14" t="n">
        <x:v>0</x:v>
      </x:c>
      <x:c r="C484" s="14" t="n">
        <x:v>28</x:v>
      </x:c>
      <x:c r="D484" s="15" t="n">
        <x:v>0</x:v>
      </x:c>
      <x:c r="E484" s="16" t="n">
        <x:v>16.39</x:v>
      </x:c>
      <x:c r="F484" s="6" t="str">
        <x:v>DEPRIORITIZE</x:v>
      </x:c>
      <x:c r="G484" s="17" t="n">
        <x:f>'Scoring'!I484</x:f>
        <x:v>12.3</x:v>
      </x:c>
      <x:c r="H484" s="6" t="str">
        <x:v>DEPRIORITIZE</x:v>
      </x:c>
      <x:c r="I484" s="6" t="str">
        <x:v>mclaren: Service and repair (outside Dubai)</x:v>
      </x:c>
      <x:c r="J484" s="6" t="str">
        <x:v>Secondary</x:v>
      </x:c>
      <x:c r="K484" s="6" t="str">
        <x:v>Commercial service enquiry</x:v>
      </x:c>
      <x:c r="L484" s="6" t="str">
        <x:v>Low</x:v>
      </x:c>
      <x:c r="M484" s="6" t="str">
        <x:v>https://digitecme.com/brands/mclaren-service-dubai</x:v>
      </x:c>
      <x:c r="N484" s="6" t="str">
        <x:v>Unknown — export has no query/page pairing</x:v>
      </x:c>
      <x:c r="O484" s="6" t="str">
        <x:v>Confirm scope or deprioritize</x:v>
      </x:c>
      <x:c r="P484" s="6" t="str">
        <x:v>Explicit destination differs from the Al Quoz workshop; do not claim a local branch or service coverage. 28 impressions at average position 16.39; strengthen the appropriate intent owner and measure with a fresh comparable period.</x:v>
      </x:c>
      <x:c r="Q484" s="6" t="str">
        <x:v>mclaren</x:v>
      </x:c>
      <x:c r="R484" s="6" t="str">
        <x:v>service-repair</x:v>
      </x:c>
      <x:c r="S484" s="6" t="str">
        <x:v>Outside Dubai</x:v>
      </x:c>
      <x:c r="T484" s="6" t="n">
        <x:v>1</x:v>
      </x:c>
      <x:c r="U484" s="6" t="str">
        <x:v>11–20</x:v>
      </x:c>
      <x:c r="V484" s="6" t="str">
        <x:v>Ranking and owner relevance</x:v>
      </x:c>
      <x:c r="W484" s="6" t="str">
        <x:v>Low-value</x:v>
      </x:c>
      <x:c r="X484" s="6" t="n">
        <x:v>480</x:v>
      </x:c>
      <x:c r="Y484" s="6" t="str">
        <x:v>Unconfirmed — joint query/page data required</x:v>
      </x:c>
    </x:row>
    <x:row r="485" ht="42" customHeight="1">
      <x:c r="A485" s="6" t="str">
        <x:v>infiniti car oil change in dubai</x:v>
      </x:c>
      <x:c r="B485" s="14" t="n">
        <x:v>0</x:v>
      </x:c>
      <x:c r="C485" s="14" t="n">
        <x:v>28</x:v>
      </x:c>
      <x:c r="D485" s="15" t="n">
        <x:v>0</x:v>
      </x:c>
      <x:c r="E485" s="16" t="n">
        <x:v>20.96</x:v>
      </x:c>
      <x:c r="F485" s="6" t="str">
        <x:v>HIGH</x:v>
      </x:c>
      <x:c r="G485" s="17" t="n">
        <x:f>'Scoring'!I485</x:f>
        <x:v>69.4</x:v>
      </x:c>
      <x:c r="H485" s="6" t="str">
        <x:v>SPLIT</x:v>
      </x:c>
      <x:c r="I485" s="6" t="str">
        <x:v>infiniti: Oil change</x:v>
      </x:c>
      <x:c r="J485" s="6" t="str">
        <x:v>Primary</x:v>
      </x:c>
      <x:c r="K485" s="6" t="str">
        <x:v>Commercial service enquiry</x:v>
      </x:c>
      <x:c r="L485" s="6" t="str">
        <x:v>High</x:v>
      </x:c>
      <x:c r="M485" s="6" t="str">
        <x:v>https://digitecme.com/brands/infiniti-service-dubai/oil-change</x:v>
      </x:c>
      <x:c r="N485" s="6" t="str">
        <x:v>Unknown — export has no query/page pairing</x:v>
      </x:c>
      <x:c r="O485" s="6" t="str">
        <x:v>Use dedicated service owner</x:v>
      </x:c>
      <x:c r="P485" s="6" t="str">
        <x:v>Average position 20.96 makes ranking the main issue; avoid a CTR-only rewrite.</x:v>
      </x:c>
      <x:c r="Q485" s="6" t="str">
        <x:v>infiniti</x:v>
      </x:c>
      <x:c r="R485" s="6" t="str">
        <x:v>oil-change</x:v>
      </x:c>
      <x:c r="S485" s="6" t="str">
        <x:v>Dubai explicit</x:v>
      </x:c>
      <x:c r="T485" s="6" t="n">
        <x:v>3</x:v>
      </x:c>
      <x:c r="U485" s="6" t="str">
        <x:v>21–40</x:v>
      </x:c>
      <x:c r="V485" s="6" t="str">
        <x:v>Content, internal authority and owner alignment</x:v>
      </x:c>
      <x:c r="W485" s="6" t="str">
        <x:v>High-value commercial</x:v>
      </x:c>
      <x:c r="X485" s="6" t="n">
        <x:v>481</x:v>
      </x:c>
      <x:c r="Y485" s="6" t="str">
        <x:v>Unconfirmed — joint query/page data required</x:v>
      </x:c>
    </x:row>
    <x:row r="486" ht="42" customHeight="1">
      <x:c r="A486" s="6" t="str">
        <x:v>aston martin repair abu dhabi</x:v>
      </x:c>
      <x:c r="B486" s="14" t="n">
        <x:v>0</x:v>
      </x:c>
      <x:c r="C486" s="14" t="n">
        <x:v>28</x:v>
      </x:c>
      <x:c r="D486" s="15" t="n">
        <x:v>0</x:v>
      </x:c>
      <x:c r="E486" s="16" t="n">
        <x:v>21.25</x:v>
      </x:c>
      <x:c r="F486" s="6" t="str">
        <x:v>DEPRIORITIZE</x:v>
      </x:c>
      <x:c r="G486" s="17" t="n">
        <x:f>'Scoring'!I486</x:f>
        <x:v>12.3</x:v>
      </x:c>
      <x:c r="H486" s="6" t="str">
        <x:v>DEPRIORITIZE</x:v>
      </x:c>
      <x:c r="I486" s="6" t="str">
        <x:v>aston-martin: Service and repair (outside Dubai)</x:v>
      </x:c>
      <x:c r="J486" s="6" t="str">
        <x:v>Primary</x:v>
      </x:c>
      <x:c r="K486" s="6" t="str">
        <x:v>Commercial service enquiry</x:v>
      </x:c>
      <x:c r="L486" s="6" t="str">
        <x:v>Low</x:v>
      </x:c>
      <x:c r="M486" s="6" t="str">
        <x:v>https://digitecme.com/brands/aston-martin-service-dubai</x:v>
      </x:c>
      <x:c r="N486" s="6" t="str">
        <x:v>Unknown — export has no query/page pairing</x:v>
      </x:c>
      <x:c r="O486" s="6" t="str">
        <x:v>Confirm scope or deprioritize</x:v>
      </x:c>
      <x:c r="P486" s="6" t="str">
        <x:v>Explicit destination differs from the Al Quoz workshop; do not claim a local branch or service coverage. Average position 21.25 makes ranking the main issue; avoid a CTR-only rewrite.</x:v>
      </x:c>
      <x:c r="Q486" s="6" t="str">
        <x:v>aston-martin</x:v>
      </x:c>
      <x:c r="R486" s="6" t="str">
        <x:v>service-repair</x:v>
      </x:c>
      <x:c r="S486" s="6" t="str">
        <x:v>Outside Dubai</x:v>
      </x:c>
      <x:c r="T486" s="6" t="n">
        <x:v>1</x:v>
      </x:c>
      <x:c r="U486" s="6" t="str">
        <x:v>21–40</x:v>
      </x:c>
      <x:c r="V486" s="6" t="str">
        <x:v>Content, internal authority and owner alignment</x:v>
      </x:c>
      <x:c r="W486" s="6" t="str">
        <x:v>Low-value</x:v>
      </x:c>
      <x:c r="X486" s="6" t="n">
        <x:v>482</x:v>
      </x:c>
      <x:c r="Y486" s="6" t="str">
        <x:v>Unconfirmed — joint query/page data required</x:v>
      </x:c>
    </x:row>
    <x:row r="487" ht="42" customHeight="1">
      <x:c r="A487" s="6" t="str">
        <x:v>porsche brake service dubai</x:v>
      </x:c>
      <x:c r="B487" s="14" t="n">
        <x:v>0</x:v>
      </x:c>
      <x:c r="C487" s="14" t="n">
        <x:v>28</x:v>
      </x:c>
      <x:c r="D487" s="15" t="n">
        <x:v>0</x:v>
      </x:c>
      <x:c r="E487" s="16" t="n">
        <x:v>24.46</x:v>
      </x:c>
      <x:c r="F487" s="6" t="str">
        <x:v>HIGH</x:v>
      </x:c>
      <x:c r="G487" s="17" t="n">
        <x:f>'Scoring'!I487</x:f>
        <x:v>77.4</x:v>
      </x:c>
      <x:c r="H487" s="6" t="str">
        <x:v>SPLIT</x:v>
      </x:c>
      <x:c r="I487" s="6" t="str">
        <x:v>porsche: Brake repair</x:v>
      </x:c>
      <x:c r="J487" s="6" t="str">
        <x:v>Secondary</x:v>
      </x:c>
      <x:c r="K487" s="6" t="str">
        <x:v>Commercial service enquiry</x:v>
      </x:c>
      <x:c r="L487" s="6" t="str">
        <x:v>High</x:v>
      </x:c>
      <x:c r="M487" s="6" t="str">
        <x:v>https://digitecme.com/brands/porsche-service-dubai/brake-repair</x:v>
      </x:c>
      <x:c r="N487" s="6" t="str">
        <x:v>Unknown — export has no query/page pairing</x:v>
      </x:c>
      <x:c r="O487" s="6" t="str">
        <x:v>Use dedicated service owner</x:v>
      </x:c>
      <x:c r="P487" s="6" t="str">
        <x:v>Average position 24.46 makes ranking the main issue; avoid a CTR-only rewrite.</x:v>
      </x:c>
      <x:c r="Q487" s="6" t="str">
        <x:v>porsche</x:v>
      </x:c>
      <x:c r="R487" s="6" t="str">
        <x:v>brake-repair</x:v>
      </x:c>
      <x:c r="S487" s="6" t="str">
        <x:v>Dubai explicit</x:v>
      </x:c>
      <x:c r="T487" s="6" t="n">
        <x:v>5</x:v>
      </x:c>
      <x:c r="U487" s="6" t="str">
        <x:v>21–40</x:v>
      </x:c>
      <x:c r="V487" s="6" t="str">
        <x:v>Content, internal authority and owner alignment</x:v>
      </x:c>
      <x:c r="W487" s="6" t="str">
        <x:v>High-value commercial</x:v>
      </x:c>
      <x:c r="X487" s="6" t="n">
        <x:v>483</x:v>
      </x:c>
      <x:c r="Y487" s="6" t="str">
        <x:v>Unconfirmed — joint query/page data required</x:v>
      </x:c>
    </x:row>
    <x:row r="488" ht="42" customHeight="1">
      <x:c r="A488" s="6" t="str">
        <x:v>porsche car battery uae</x:v>
      </x:c>
      <x:c r="B488" s="14" t="n">
        <x:v>0</x:v>
      </x:c>
      <x:c r="C488" s="14" t="n">
        <x:v>28</x:v>
      </x:c>
      <x:c r="D488" s="15" t="n">
        <x:v>0</x:v>
      </x:c>
      <x:c r="E488" s="16" t="n">
        <x:v>27.93</x:v>
      </x:c>
      <x:c r="F488" s="6" t="str">
        <x:v>HIGH</x:v>
      </x:c>
      <x:c r="G488" s="17" t="n">
        <x:f>'Scoring'!I488</x:f>
        <x:v>72.4</x:v>
      </x:c>
      <x:c r="H488" s="6" t="str">
        <x:v>SPLIT</x:v>
      </x:c>
      <x:c r="I488" s="6" t="str">
        <x:v>porsche: Battery service</x:v>
      </x:c>
      <x:c r="J488" s="6" t="str">
        <x:v>Secondary</x:v>
      </x:c>
      <x:c r="K488" s="6" t="str">
        <x:v>Commercial service enquiry</x:v>
      </x:c>
      <x:c r="L488" s="6" t="str">
        <x:v>High</x:v>
      </x:c>
      <x:c r="M488" s="6" t="str">
        <x:v>https://digitecme.com/brands/porsche-service-dubai/battery-replacement</x:v>
      </x:c>
      <x:c r="N488" s="6" t="str">
        <x:v>Unknown — export has no query/page pairing</x:v>
      </x:c>
      <x:c r="O488" s="6" t="str">
        <x:v>Use dedicated service owner</x:v>
      </x:c>
      <x:c r="P488" s="6" t="str">
        <x:v>Average position 27.93 makes ranking the main issue; avoid a CTR-only rewrite.</x:v>
      </x:c>
      <x:c r="Q488" s="6" t="str">
        <x:v>porsche</x:v>
      </x:c>
      <x:c r="R488" s="6" t="str">
        <x:v>battery-replacement</x:v>
      </x:c>
      <x:c r="S488" s="6" t="str">
        <x:v>Location unspecified</x:v>
      </x:c>
      <x:c r="T488" s="6" t="n">
        <x:v>5</x:v>
      </x:c>
      <x:c r="U488" s="6" t="str">
        <x:v>21–40</x:v>
      </x:c>
      <x:c r="V488" s="6" t="str">
        <x:v>Content, internal authority and owner alignment</x:v>
      </x:c>
      <x:c r="W488" s="6" t="str">
        <x:v>High-value commercial</x:v>
      </x:c>
      <x:c r="X488" s="6" t="n">
        <x:v>484</x:v>
      </x:c>
      <x:c r="Y488" s="6" t="str">
        <x:v>Unconfirmed — joint query/page data required</x:v>
      </x:c>
    </x:row>
    <x:row r="489" ht="57" customHeight="1">
      <x:c r="A489" s="6" t="str">
        <x:v>roadside assistance dubai</x:v>
      </x:c>
      <x:c r="B489" s="14" t="n">
        <x:v>0</x:v>
      </x:c>
      <x:c r="C489" s="14" t="n">
        <x:v>28</x:v>
      </x:c>
      <x:c r="D489" s="15" t="n">
        <x:v>0</x:v>
      </x:c>
      <x:c r="E489" s="16" t="n">
        <x:v>29.07</x:v>
      </x:c>
      <x:c r="F489" s="6" t="str">
        <x:v>DEPRIORITIZE</x:v>
      </x:c>
      <x:c r="G489" s="17" t="n">
        <x:f>'Scoring'!I489</x:f>
        <x:v>6.1</x:v>
      </x:c>
      <x:c r="H489" s="6" t="str">
        <x:v>DEPRIORITIZE</x:v>
      </x:c>
      <x:c r="I489" s="6" t="str">
        <x:v>All vehicles: Roadside or delivery</x:v>
      </x:c>
      <x:c r="J489" s="6" t="str">
        <x:v>Primary</x:v>
      </x:c>
      <x:c r="K489" s="6" t="str">
        <x:v>Commercial service enquiry</x:v>
      </x:c>
      <x:c r="L489" s="6" t="str">
        <x:v>Unverified</x:v>
      </x:c>
      <x:c r="M489" s="6" t="str">
        <x:v>https://digitecme.com/services/roadside-assistance-dubai</x:v>
      </x:c>
      <x:c r="N489" s="6" t="str">
        <x:v>Unknown — export has no query/page pairing</x:v>
      </x:c>
      <x:c r="O489" s="6" t="str">
        <x:v>Confirm scope or deprioritize</x:v>
      </x:c>
      <x:c r="P489" s="6" t="str">
        <x:v>Product, high-voltage, delivery or specialist capability requires business confirmation; existing copy alone is not sufficient evidence. Average position 29.07 makes ranking the main issue; avoid a CTR-only rewrite.</x:v>
      </x:c>
      <x:c r="Q489" s="6" t="str">
        <x:v>All vehicles</x:v>
      </x:c>
      <x:c r="R489" s="6" t="str">
        <x:v>roadside</x:v>
      </x:c>
      <x:c r="S489" s="6" t="str">
        <x:v>Dubai explicit</x:v>
      </x:c>
      <x:c r="T489" s="6" t="n">
        <x:v>1</x:v>
      </x:c>
      <x:c r="U489" s="6" t="str">
        <x:v>21–40</x:v>
      </x:c>
      <x:c r="V489" s="6" t="str">
        <x:v>Content, internal authority and owner alignment</x:v>
      </x:c>
      <x:c r="W489" s="6" t="str">
        <x:v>Low-value</x:v>
      </x:c>
      <x:c r="X489" s="6" t="n">
        <x:v>485</x:v>
      </x:c>
      <x:c r="Y489" s="6" t="str">
        <x:v>Unconfirmed — joint query/page data required</x:v>
      </x:c>
    </x:row>
    <x:row r="490" ht="42" customHeight="1">
      <x:c r="A490" s="6" t="str">
        <x:v>rack and pinion gear dubai</x:v>
      </x:c>
      <x:c r="B490" s="14" t="n">
        <x:v>0</x:v>
      </x:c>
      <x:c r="C490" s="14" t="n">
        <x:v>28</x:v>
      </x:c>
      <x:c r="D490" s="15" t="n">
        <x:v>0</x:v>
      </x:c>
      <x:c r="E490" s="16" t="n">
        <x:v>29.57</x:v>
      </x:c>
      <x:c r="F490" s="6" t="str">
        <x:v>DEPRIORITIZE</x:v>
      </x:c>
      <x:c r="G490" s="17" t="n">
        <x:f>'Scoring'!I490</x:f>
        <x:v>42.5</x:v>
      </x:c>
      <x:c r="H490" s="6" t="str">
        <x:v>DEPRIORITIZE</x:v>
      </x:c>
      <x:c r="I490" s="6" t="str">
        <x:v>All vehicles: Steering repair</x:v>
      </x:c>
      <x:c r="J490" s="6" t="str">
        <x:v>Secondary</x:v>
      </x:c>
      <x:c r="K490" s="6" t="str">
        <x:v>Commercial service enquiry</x:v>
      </x:c>
      <x:c r="L490" s="6" t="str">
        <x:v>Medium</x:v>
      </x:c>
      <x:c r="M490" s="6" t="str">
        <x:v>https://digitecme.com/services/steering-repair-dubai</x:v>
      </x:c>
      <x:c r="N490" s="6" t="str">
        <x:v>Unknown — export has no query/page pairing</x:v>
      </x:c>
      <x:c r="O490" s="6" t="str">
        <x:v>Confirm scope or deprioritize</x:v>
      </x:c>
      <x:c r="P490" s="6" t="str">
        <x:v>Possible product or parts-retail intent; confirm repair-enquiry intent before active targeting. Average position 29.57 makes ranking the main issue; avoid a CTR-only rewrite.</x:v>
      </x:c>
      <x:c r="Q490" s="6" t="str">
        <x:v>All vehicles</x:v>
      </x:c>
      <x:c r="R490" s="6" t="str">
        <x:v>steering-repair</x:v>
      </x:c>
      <x:c r="S490" s="6" t="str">
        <x:v>Dubai explicit</x:v>
      </x:c>
      <x:c r="T490" s="6" t="n">
        <x:v>2</x:v>
      </x:c>
      <x:c r="U490" s="6" t="str">
        <x:v>21–40</x:v>
      </x:c>
      <x:c r="V490" s="6" t="str">
        <x:v>Content, internal authority and owner alignment</x:v>
      </x:c>
      <x:c r="W490" s="6" t="str">
        <x:v>Low-value</x:v>
      </x:c>
      <x:c r="X490" s="6" t="n">
        <x:v>486</x:v>
      </x:c>
      <x:c r="Y490" s="6" t="str">
        <x:v>Unconfirmed — joint query/page data required</x:v>
      </x:c>
    </x:row>
    <x:row r="491" ht="42" customHeight="1">
      <x:c r="A491" s="6" t="str">
        <x:v>car gearbox repair dubai</x:v>
      </x:c>
      <x:c r="B491" s="14" t="n">
        <x:v>0</x:v>
      </x:c>
      <x:c r="C491" s="14" t="n">
        <x:v>28</x:v>
      </x:c>
      <x:c r="D491" s="15" t="n">
        <x:v>0</x:v>
      </x:c>
      <x:c r="E491" s="16" t="n">
        <x:v>35.57</x:v>
      </x:c>
      <x:c r="F491" s="6" t="str">
        <x:v>GROWTH</x:v>
      </x:c>
      <x:c r="G491" s="17" t="n">
        <x:f>'Scoring'!I491</x:f>
        <x:v>61.9</x:v>
      </x:c>
      <x:c r="H491" s="6" t="str">
        <x:v>SUPPORT</x:v>
      </x:c>
      <x:c r="I491" s="6" t="str">
        <x:v>All vehicles: Transmission and gearbox repair</x:v>
      </x:c>
      <x:c r="J491" s="6" t="str">
        <x:v>Secondary</x:v>
      </x:c>
      <x:c r="K491" s="6" t="str">
        <x:v>Commercial service enquiry</x:v>
      </x:c>
      <x:c r="L491" s="6" t="str">
        <x:v>High</x:v>
      </x:c>
      <x:c r="M491" s="6" t="str">
        <x:v>https://digitecme.com/services/car-service-dubai</x:v>
      </x:c>
      <x:c r="N491" s="6" t="str">
        <x:v>Unknown — export has no query/page pairing</x:v>
      </x:c>
      <x:c r="O491" s="6" t="str">
        <x:v>Retain primary intent and support variants</x:v>
      </x:c>
      <x:c r="P491" s="6" t="str">
        <x:v>Average position 35.57 makes ranking the main issue; avoid a CTR-only rewrite.</x:v>
      </x:c>
      <x:c r="Q491" s="6" t="str">
        <x:v>All vehicles</x:v>
      </x:c>
      <x:c r="R491" s="6" t="str">
        <x:v>transmission-repair</x:v>
      </x:c>
      <x:c r="S491" s="6" t="str">
        <x:v>Dubai explicit</x:v>
      </x:c>
      <x:c r="T491" s="6" t="n">
        <x:v>3</x:v>
      </x:c>
      <x:c r="U491" s="6" t="str">
        <x:v>21–40</x:v>
      </x:c>
      <x:c r="V491" s="6" t="str">
        <x:v>Content, internal authority and owner alignment</x:v>
      </x:c>
      <x:c r="W491" s="6" t="str">
        <x:v>Relevant supporting</x:v>
      </x:c>
      <x:c r="X491" s="6" t="n">
        <x:v>487</x:v>
      </x:c>
      <x:c r="Y491" s="6" t="str">
        <x:v>Unconfirmed — joint query/page data required</x:v>
      </x:c>
    </x:row>
    <x:row r="492" ht="42" customHeight="1">
      <x:c r="A492" s="6" t="str">
        <x:v>gmc repair dubai</x:v>
      </x:c>
      <x:c r="B492" s="14" t="n">
        <x:v>0</x:v>
      </x:c>
      <x:c r="C492" s="14" t="n">
        <x:v>28</x:v>
      </x:c>
      <x:c r="D492" s="15" t="n">
        <x:v>0</x:v>
      </x:c>
      <x:c r="E492" s="16" t="n">
        <x:v>35.68</x:v>
      </x:c>
      <x:c r="F492" s="6" t="str">
        <x:v>GROWTH</x:v>
      </x:c>
      <x:c r="G492" s="17" t="n">
        <x:f>'Scoring'!I492</x:f>
        <x:v>61.9</x:v>
      </x:c>
      <x:c r="H492" s="6" t="str">
        <x:v>PRIORITIZE</x:v>
      </x:c>
      <x:c r="I492" s="6" t="str">
        <x:v>gmc: Service and repair</x:v>
      </x:c>
      <x:c r="J492" s="6" t="str">
        <x:v>Primary</x:v>
      </x:c>
      <x:c r="K492" s="6" t="str">
        <x:v>Commercial service enquiry</x:v>
      </x:c>
      <x:c r="L492" s="6" t="str">
        <x:v>High</x:v>
      </x:c>
      <x:c r="M492" s="6" t="str">
        <x:v>https://digitecme.com/brands/gmc-service-dubai</x:v>
      </x:c>
      <x:c r="N492" s="6" t="str">
        <x:v>Unknown — export has no query/page pairing</x:v>
      </x:c>
      <x:c r="O492" s="6" t="str">
        <x:v>Strengthen this primary intent owner</x:v>
      </x:c>
      <x:c r="P492" s="6" t="str">
        <x:v>Average position 35.68 makes ranking the main issue; avoid a CTR-only rewrite.</x:v>
      </x:c>
      <x:c r="Q492" s="6" t="str">
        <x:v>gmc</x:v>
      </x:c>
      <x:c r="R492" s="6" t="str">
        <x:v>service-repair</x:v>
      </x:c>
      <x:c r="S492" s="6" t="str">
        <x:v>Dubai explicit</x:v>
      </x:c>
      <x:c r="T492" s="6" t="n">
        <x:v>3</x:v>
      </x:c>
      <x:c r="U492" s="6" t="str">
        <x:v>21–40</x:v>
      </x:c>
      <x:c r="V492" s="6" t="str">
        <x:v>Content, internal authority and owner alignment</x:v>
      </x:c>
      <x:c r="W492" s="6" t="str">
        <x:v>High-value commercial</x:v>
      </x:c>
      <x:c r="X492" s="6" t="n">
        <x:v>488</x:v>
      </x:c>
      <x:c r="Y492" s="6" t="str">
        <x:v>Unconfirmed — joint query/page data required</x:v>
      </x:c>
    </x:row>
    <x:row r="493" ht="42" customHeight="1">
      <x:c r="A493" s="6" t="str">
        <x:v>ورشة تصليح مينى</x:v>
      </x:c>
      <x:c r="B493" s="14" t="n">
        <x:v>0</x:v>
      </x:c>
      <x:c r="C493" s="14" t="n">
        <x:v>28</x:v>
      </x:c>
      <x:c r="D493" s="15" t="n">
        <x:v>0</x:v>
      </x:c>
      <x:c r="E493" s="16" t="n">
        <x:v>36.79</x:v>
      </x:c>
      <x:c r="F493" s="6" t="str">
        <x:v>GROWTH</x:v>
      </x:c>
      <x:c r="G493" s="17" t="n">
        <x:f>'Scoring'!I493</x:f>
        <x:v>56.9</x:v>
      </x:c>
      <x:c r="H493" s="6" t="str">
        <x:v>PRIORITIZE</x:v>
      </x:c>
      <x:c r="I493" s="6" t="str">
        <x:v>mini: Service and repair (Arabic)</x:v>
      </x:c>
      <x:c r="J493" s="6" t="str">
        <x:v>Primary</x:v>
      </x:c>
      <x:c r="K493" s="6" t="str">
        <x:v>Commercial service enquiry</x:v>
      </x:c>
      <x:c r="L493" s="6" t="str">
        <x:v>High</x:v>
      </x:c>
      <x:c r="M493" s="6" t="str">
        <x:v>https://digitecme.com/ar/brands/mini-service-dubai</x:v>
      </x:c>
      <x:c r="N493" s="6" t="str">
        <x:v>Unknown — export has no query/page pairing</x:v>
      </x:c>
      <x:c r="O493" s="6" t="str">
        <x:v>Strengthen this primary intent owner</x:v>
      </x:c>
      <x:c r="P493" s="6" t="str">
        <x:v>Use the existing Arabic counterpart and verify its translation quality. Average position 36.79 makes ranking the main issue; avoid a CTR-only rewrite.</x:v>
      </x:c>
      <x:c r="Q493" s="6" t="str">
        <x:v>mini</x:v>
      </x:c>
      <x:c r="R493" s="6" t="str">
        <x:v>service-repair</x:v>
      </x:c>
      <x:c r="S493" s="6" t="str">
        <x:v>Location unspecified</x:v>
      </x:c>
      <x:c r="T493" s="6" t="n">
        <x:v>3</x:v>
      </x:c>
      <x:c r="U493" s="6" t="str">
        <x:v>21–40</x:v>
      </x:c>
      <x:c r="V493" s="6" t="str">
        <x:v>Content, internal authority and owner alignment</x:v>
      </x:c>
      <x:c r="W493" s="6" t="str">
        <x:v>High-value commercial</x:v>
      </x:c>
      <x:c r="X493" s="6" t="n">
        <x:v>489</x:v>
      </x:c>
      <x:c r="Y493" s="6" t="str">
        <x:v>Unconfirmed — joint query/page data required</x:v>
      </x:c>
    </x:row>
    <x:row r="494" ht="42" customHeight="1">
      <x:c r="A494" s="6" t="str">
        <x:v>jeep service center</x:v>
      </x:c>
      <x:c r="B494" s="14" t="n">
        <x:v>0</x:v>
      </x:c>
      <x:c r="C494" s="14" t="n">
        <x:v>28</x:v>
      </x:c>
      <x:c r="D494" s="15" t="n">
        <x:v>0</x:v>
      </x:c>
      <x:c r="E494" s="16" t="n">
        <x:v>52.82</x:v>
      </x:c>
      <x:c r="F494" s="6" t="str">
        <x:v>GROWTH</x:v>
      </x:c>
      <x:c r="G494" s="17" t="n">
        <x:f>'Scoring'!I494</x:f>
        <x:v>50.6</x:v>
      </x:c>
      <x:c r="H494" s="6" t="str">
        <x:v>SUPPORT</x:v>
      </x:c>
      <x:c r="I494" s="6" t="str">
        <x:v>jeep: Service and repair (English)</x:v>
      </x:c>
      <x:c r="J494" s="6" t="str">
        <x:v>Secondary</x:v>
      </x:c>
      <x:c r="K494" s="6" t="str">
        <x:v>Commercial service enquiry</x:v>
      </x:c>
      <x:c r="L494" s="6" t="str">
        <x:v>High</x:v>
      </x:c>
      <x:c r="M494" s="6" t="str">
        <x:v>https://digitecme.com/brands/jeep-service-dubai</x:v>
      </x:c>
      <x:c r="N494" s="6" t="str">
        <x:v>Unknown — export has no query/page pairing</x:v>
      </x:c>
      <x:c r="O494" s="6" t="str">
        <x:v>Retain primary intent and support variants</x:v>
      </x:c>
      <x:c r="P494" s="6" t="str">
        <x:v>Average position 52.82 makes ranking the main issue; avoid a CTR-only rewrite.</x:v>
      </x:c>
      <x:c r="Q494" s="6" t="str">
        <x:v>jeep</x:v>
      </x:c>
      <x:c r="R494" s="6" t="str">
        <x:v>service-repair</x:v>
      </x:c>
      <x:c r="S494" s="6" t="str">
        <x:v>Location unspecified</x:v>
      </x:c>
      <x:c r="T494" s="6" t="n">
        <x:v>3</x:v>
      </x:c>
      <x:c r="U494" s="6" t="str">
        <x:v>40+</x:v>
      </x:c>
      <x:c r="V494" s="6" t="str">
        <x:v>Relevance, capability, indexing and authority review</x:v>
      </x:c>
      <x:c r="W494" s="6" t="str">
        <x:v>Relevant supporting</x:v>
      </x:c>
      <x:c r="X494" s="6" t="n">
        <x:v>490</x:v>
      </x:c>
      <x:c r="Y494" s="6" t="str">
        <x:v>Unconfirmed — joint query/page data required</x:v>
      </x:c>
    </x:row>
    <x:row r="495" ht="42" customHeight="1">
      <x:c r="A495" s="6" t="str">
        <x:v>cadillac specialist garage</x:v>
      </x:c>
      <x:c r="B495" s="14" t="n">
        <x:v>0</x:v>
      </x:c>
      <x:c r="C495" s="14" t="n">
        <x:v>28</x:v>
      </x:c>
      <x:c r="D495" s="15" t="n">
        <x:v>0</x:v>
      </x:c>
      <x:c r="E495" s="16" t="n">
        <x:v>56.18</x:v>
      </x:c>
      <x:c r="F495" s="6" t="str">
        <x:v>GROWTH</x:v>
      </x:c>
      <x:c r="G495" s="17" t="n">
        <x:f>'Scoring'!I495</x:f>
        <x:v>50.6</x:v>
      </x:c>
      <x:c r="H495" s="6" t="str">
        <x:v>SUPPORT</x:v>
      </x:c>
      <x:c r="I495" s="6" t="str">
        <x:v>cadillac: Service and repair</x:v>
      </x:c>
      <x:c r="J495" s="6" t="str">
        <x:v>Secondary</x:v>
      </x:c>
      <x:c r="K495" s="6" t="str">
        <x:v>Commercial service enquiry</x:v>
      </x:c>
      <x:c r="L495" s="6" t="str">
        <x:v>High</x:v>
      </x:c>
      <x:c r="M495" s="6" t="str">
        <x:v>https://digitecme.com/brands/cadillac-service-dubai</x:v>
      </x:c>
      <x:c r="N495" s="6" t="str">
        <x:v>Unknown — export has no query/page pairing</x:v>
      </x:c>
      <x:c r="O495" s="6" t="str">
        <x:v>Retain primary intent and support variants</x:v>
      </x:c>
      <x:c r="P495" s="6" t="str">
        <x:v>Average position 56.18 makes ranking the main issue; avoid a CTR-only rewrite.</x:v>
      </x:c>
      <x:c r="Q495" s="6" t="str">
        <x:v>cadillac</x:v>
      </x:c>
      <x:c r="R495" s="6" t="str">
        <x:v>service-repair</x:v>
      </x:c>
      <x:c r="S495" s="6" t="str">
        <x:v>Location unspecified</x:v>
      </x:c>
      <x:c r="T495" s="6" t="n">
        <x:v>3</x:v>
      </x:c>
      <x:c r="U495" s="6" t="str">
        <x:v>40+</x:v>
      </x:c>
      <x:c r="V495" s="6" t="str">
        <x:v>Relevance, capability, indexing and authority review</x:v>
      </x:c>
      <x:c r="W495" s="6" t="str">
        <x:v>Relevant supporting</x:v>
      </x:c>
      <x:c r="X495" s="6" t="n">
        <x:v>491</x:v>
      </x:c>
      <x:c r="Y495" s="6" t="str">
        <x:v>Unconfirmed — joint query/page data required</x:v>
      </x:c>
    </x:row>
    <x:row r="496" ht="42" customHeight="1">
      <x:c r="A496" s="6" t="str">
        <x:v>bentley service center dubai</x:v>
      </x:c>
      <x:c r="B496" s="14" t="n">
        <x:v>0</x:v>
      </x:c>
      <x:c r="C496" s="14" t="n">
        <x:v>28</x:v>
      </x:c>
      <x:c r="D496" s="15" t="n">
        <x:v>0</x:v>
      </x:c>
      <x:c r="E496" s="16" t="n">
        <x:v>62.21</x:v>
      </x:c>
      <x:c r="F496" s="6" t="str">
        <x:v>GROWTH</x:v>
      </x:c>
      <x:c r="G496" s="17" t="n">
        <x:f>'Scoring'!I496</x:f>
        <x:v>63.6</x:v>
      </x:c>
      <x:c r="H496" s="6" t="str">
        <x:v>SUPPORT</x:v>
      </x:c>
      <x:c r="I496" s="6" t="str">
        <x:v>bentley: Service and repair (English)</x:v>
      </x:c>
      <x:c r="J496" s="6" t="str">
        <x:v>Secondary</x:v>
      </x:c>
      <x:c r="K496" s="6" t="str">
        <x:v>Commercial service enquiry</x:v>
      </x:c>
      <x:c r="L496" s="6" t="str">
        <x:v>High</x:v>
      </x:c>
      <x:c r="M496" s="6" t="str">
        <x:v>https://digitecme.com/brands/bentley-service-dubai</x:v>
      </x:c>
      <x:c r="N496" s="6" t="str">
        <x:v>Unknown — export has no query/page pairing</x:v>
      </x:c>
      <x:c r="O496" s="6" t="str">
        <x:v>Retain primary intent and support variants</x:v>
      </x:c>
      <x:c r="P496" s="6" t="str">
        <x:v>Average position 62.21 makes ranking the main issue; avoid a CTR-only rewrite.</x:v>
      </x:c>
      <x:c r="Q496" s="6" t="str">
        <x:v>bentley</x:v>
      </x:c>
      <x:c r="R496" s="6" t="str">
        <x:v>service-repair</x:v>
      </x:c>
      <x:c r="S496" s="6" t="str">
        <x:v>Dubai explicit</x:v>
      </x:c>
      <x:c r="T496" s="6" t="n">
        <x:v>5</x:v>
      </x:c>
      <x:c r="U496" s="6" t="str">
        <x:v>40+</x:v>
      </x:c>
      <x:c r="V496" s="6" t="str">
        <x:v>Relevance, capability, indexing and authority review</x:v>
      </x:c>
      <x:c r="W496" s="6" t="str">
        <x:v>Relevant supporting</x:v>
      </x:c>
      <x:c r="X496" s="6" t="n">
        <x:v>492</x:v>
      </x:c>
      <x:c r="Y496" s="6" t="str">
        <x:v>Unconfirmed — joint query/page data required</x:v>
      </x:c>
    </x:row>
    <x:row r="497" ht="42" customHeight="1">
      <x:c r="A497" s="6" t="str">
        <x:v>audi transmission repair abu dhabi</x:v>
      </x:c>
      <x:c r="B497" s="14" t="n">
        <x:v>0</x:v>
      </x:c>
      <x:c r="C497" s="14" t="n">
        <x:v>28</x:v>
      </x:c>
      <x:c r="D497" s="15" t="n">
        <x:v>0</x:v>
      </x:c>
      <x:c r="E497" s="16" t="n">
        <x:v>63.39</x:v>
      </x:c>
      <x:c r="F497" s="6" t="str">
        <x:v>DEPRIORITIZE</x:v>
      </x:c>
      <x:c r="G497" s="17" t="n">
        <x:f>'Scoring'!I497</x:f>
        <x:v>9.5</x:v>
      </x:c>
      <x:c r="H497" s="6" t="str">
        <x:v>DEPRIORITIZE</x:v>
      </x:c>
      <x:c r="I497" s="6" t="str">
        <x:v>audi: Transmission and gearbox repair (outside Dubai)</x:v>
      </x:c>
      <x:c r="J497" s="6" t="str">
        <x:v>Primary</x:v>
      </x:c>
      <x:c r="K497" s="6" t="str">
        <x:v>Commercial service enquiry</x:v>
      </x:c>
      <x:c r="L497" s="6" t="str">
        <x:v>Low</x:v>
      </x:c>
      <x:c r="M497" s="6" t="str">
        <x:v>https://digitecme.com/brands/audi-service-dubai/transmission-repair</x:v>
      </x:c>
      <x:c r="N497" s="6" t="str">
        <x:v>Unknown — export has no query/page pairing</x:v>
      </x:c>
      <x:c r="O497" s="6" t="str">
        <x:v>Confirm scope or deprioritize</x:v>
      </x:c>
      <x:c r="P497" s="6" t="str">
        <x:v>Explicit destination differs from the Al Quoz workshop; do not claim a local branch or service coverage. Average position 63.39 makes ranking the main issue; avoid a CTR-only rewrite.</x:v>
      </x:c>
      <x:c r="Q497" s="6" t="str">
        <x:v>audi</x:v>
      </x:c>
      <x:c r="R497" s="6" t="str">
        <x:v>transmission-repair</x:v>
      </x:c>
      <x:c r="S497" s="6" t="str">
        <x:v>Outside Dubai</x:v>
      </x:c>
      <x:c r="T497" s="6" t="n">
        <x:v>1</x:v>
      </x:c>
      <x:c r="U497" s="6" t="str">
        <x:v>40+</x:v>
      </x:c>
      <x:c r="V497" s="6" t="str">
        <x:v>Relevance, capability, indexing and authority review</x:v>
      </x:c>
      <x:c r="W497" s="6" t="str">
        <x:v>Low-value</x:v>
      </x:c>
      <x:c r="X497" s="6" t="n">
        <x:v>493</x:v>
      </x:c>
      <x:c r="Y497" s="6" t="str">
        <x:v>Unconfirmed — joint query/page data required</x:v>
      </x:c>
    </x:row>
    <x:row r="498" ht="42" customHeight="1">
      <x:c r="A498" s="6" t="str">
        <x:v>car service center in dubai</x:v>
      </x:c>
      <x:c r="B498" s="14" t="n">
        <x:v>0</x:v>
      </x:c>
      <x:c r="C498" s="14" t="n">
        <x:v>28</x:v>
      </x:c>
      <x:c r="D498" s="15" t="n">
        <x:v>0</x:v>
      </x:c>
      <x:c r="E498" s="16" t="n">
        <x:v>65.89</x:v>
      </x:c>
      <x:c r="F498" s="6" t="str">
        <x:v>GROWTH</x:v>
      </x:c>
      <x:c r="G498" s="17" t="n">
        <x:f>'Scoring'!I498</x:f>
        <x:v>55.6</x:v>
      </x:c>
      <x:c r="H498" s="6" t="str">
        <x:v>SUPPORT</x:v>
      </x:c>
      <x:c r="I498" s="6" t="str">
        <x:v>All vehicles: Scheduled car service</x:v>
      </x:c>
      <x:c r="J498" s="6" t="str">
        <x:v>Secondary</x:v>
      </x:c>
      <x:c r="K498" s="6" t="str">
        <x:v>Commercial service enquiry</x:v>
      </x:c>
      <x:c r="L498" s="6" t="str">
        <x:v>High</x:v>
      </x:c>
      <x:c r="M498" s="6" t="str">
        <x:v>https://digitecme.com/services/car-service-dubai</x:v>
      </x:c>
      <x:c r="N498" s="6" t="str">
        <x:v>Unknown — export has no query/page pairing</x:v>
      </x:c>
      <x:c r="O498" s="6" t="str">
        <x:v>Retain primary intent and support variants</x:v>
      </x:c>
      <x:c r="P498" s="6" t="str">
        <x:v>Average position 65.89 makes ranking the main issue; avoid a CTR-only rewrite.</x:v>
      </x:c>
      <x:c r="Q498" s="6" t="str">
        <x:v>All vehicles</x:v>
      </x:c>
      <x:c r="R498" s="6" t="str">
        <x:v>service-repair</x:v>
      </x:c>
      <x:c r="S498" s="6" t="str">
        <x:v>Dubai explicit</x:v>
      </x:c>
      <x:c r="T498" s="6" t="n">
        <x:v>3</x:v>
      </x:c>
      <x:c r="U498" s="6" t="str">
        <x:v>40+</x:v>
      </x:c>
      <x:c r="V498" s="6" t="str">
        <x:v>Relevance, capability, indexing and authority review</x:v>
      </x:c>
      <x:c r="W498" s="6" t="str">
        <x:v>Relevant supporting</x:v>
      </x:c>
      <x:c r="X498" s="6" t="n">
        <x:v>494</x:v>
      </x:c>
      <x:c r="Y498" s="6" t="str">
        <x:v>Unconfirmed — joint query/page data required</x:v>
      </x:c>
    </x:row>
    <x:row r="499" ht="57" customHeight="1">
      <x:c r="A499" s="6" t="str">
        <x:v>gad motors mercedes</x:v>
      </x:c>
      <x:c r="B499" s="14" t="n">
        <x:v>0</x:v>
      </x:c>
      <x:c r="C499" s="14" t="n">
        <x:v>27</x:v>
      </x:c>
      <x:c r="D499" s="15" t="n">
        <x:v>0</x:v>
      </x:c>
      <x:c r="E499" s="16" t="n">
        <x:v>8.11</x:v>
      </x:c>
      <x:c r="F499" s="6" t="str">
        <x:v>CRITICAL</x:v>
      </x:c>
      <x:c r="G499" s="17" t="n">
        <x:f>'Scoring'!I499</x:f>
        <x:v>89.8</x:v>
      </x:c>
      <x:c r="H499" s="6" t="str">
        <x:v>SUPPORT</x:v>
      </x:c>
      <x:c r="I499" s="6" t="str">
        <x:v>All vehicles: Performance tuning</x:v>
      </x:c>
      <x:c r="J499" s="6" t="str">
        <x:v>Secondary</x:v>
      </x:c>
      <x:c r="K499" s="6" t="str">
        <x:v>Commercial service enquiry</x:v>
      </x:c>
      <x:c r="L499" s="6" t="str">
        <x:v>High</x:v>
      </x:c>
      <x:c r="M499" s="6" t="str">
        <x:v>https://digitecme.com/tuning</x:v>
      </x:c>
      <x:c r="N499" s="6" t="str">
        <x:v>Unknown — export has no query/page pairing</x:v>
      </x:c>
      <x:c r="O499" s="6" t="str">
        <x:v>Retain primary intent and support variants</x:v>
      </x:c>
      <x:c r="P499" s="6" t="str">
        <x:v>Use the existing tuning page; model scope and any GAD relationship require verified facts. Zero clicks from 27 impressions at average position 8.11; inspect query/page, country/device and SERP before attributing this to the snippet.</x:v>
      </x:c>
      <x:c r="Q499" s="6" t="str">
        <x:v>mercedes-benz</x:v>
      </x:c>
      <x:c r="R499" s="6" t="str">
        <x:v>tuning</x:v>
      </x:c>
      <x:c r="S499" s="6" t="str">
        <x:v>Location unspecified</x:v>
      </x:c>
      <x:c r="T499" s="6" t="n">
        <x:v>5</x:v>
      </x:c>
      <x:c r="U499" s="6" t="str">
        <x:v>4–10</x:v>
      </x:c>
      <x:c r="V499" s="6" t="str">
        <x:v>Page-one CTR review and top-three relevance</x:v>
      </x:c>
      <x:c r="W499" s="6" t="str">
        <x:v>Relevant supporting</x:v>
      </x:c>
      <x:c r="X499" s="6" t="n">
        <x:v>495</x:v>
      </x:c>
      <x:c r="Y499" s="6" t="str">
        <x:v>Unconfirmed — joint query/page data required</x:v>
      </x:c>
    </x:row>
    <x:row r="500" ht="42" customHeight="1">
      <x:c r="A500" s="6" t="str">
        <x:v>aston martin workshop dubai</x:v>
      </x:c>
      <x:c r="B500" s="14" t="n">
        <x:v>0</x:v>
      </x:c>
      <x:c r="C500" s="14" t="n">
        <x:v>27</x:v>
      </x:c>
      <x:c r="D500" s="15" t="n">
        <x:v>0</x:v>
      </x:c>
      <x:c r="E500" s="16" t="n">
        <x:v>8.81</x:v>
      </x:c>
      <x:c r="F500" s="6" t="str">
        <x:v>CRITICAL</x:v>
      </x:c>
      <x:c r="G500" s="17" t="n">
        <x:f>'Scoring'!I500</x:f>
        <x:v>94.8</x:v>
      </x:c>
      <x:c r="H500" s="6" t="str">
        <x:v>SUPPORT</x:v>
      </x:c>
      <x:c r="I500" s="6" t="str">
        <x:v>aston-martin: Service and repair</x:v>
      </x:c>
      <x:c r="J500" s="6" t="str">
        <x:v>Secondary</x:v>
      </x:c>
      <x:c r="K500" s="6" t="str">
        <x:v>Commercial service enquiry</x:v>
      </x:c>
      <x:c r="L500" s="6" t="str">
        <x:v>High</x:v>
      </x:c>
      <x:c r="M500" s="6" t="str">
        <x:v>https://digitecme.com/brands/aston-martin-service-dubai</x:v>
      </x:c>
      <x:c r="N500" s="6" t="str">
        <x:v>Unknown — export has no query/page pairing</x:v>
      </x:c>
      <x:c r="O500" s="6" t="str">
        <x:v>Retain primary intent and support variants</x:v>
      </x:c>
      <x:c r="P500" s="6" t="str">
        <x:v>Zero clicks from 27 impressions at average position 8.81; inspect query/page, country/device and SERP before attributing this to the snippet.</x:v>
      </x:c>
      <x:c r="Q500" s="6" t="str">
        <x:v>aston-martin</x:v>
      </x:c>
      <x:c r="R500" s="6" t="str">
        <x:v>service-repair</x:v>
      </x:c>
      <x:c r="S500" s="6" t="str">
        <x:v>Dubai explicit</x:v>
      </x:c>
      <x:c r="T500" s="6" t="n">
        <x:v>5</x:v>
      </x:c>
      <x:c r="U500" s="6" t="str">
        <x:v>4–10</x:v>
      </x:c>
      <x:c r="V500" s="6" t="str">
        <x:v>Page-one CTR review and top-three relevance</x:v>
      </x:c>
      <x:c r="W500" s="6" t="str">
        <x:v>Relevant supporting</x:v>
      </x:c>
      <x:c r="X500" s="6" t="n">
        <x:v>496</x:v>
      </x:c>
      <x:c r="Y500" s="6" t="str">
        <x:v>Unconfirmed — joint query/page data required</x:v>
      </x:c>
    </x:row>
    <x:row r="501" ht="42" customHeight="1">
      <x:c r="A501" s="6" t="str">
        <x:v>porsche service</x:v>
      </x:c>
      <x:c r="B501" s="14" t="n">
        <x:v>0</x:v>
      </x:c>
      <x:c r="C501" s="14" t="n">
        <x:v>27</x:v>
      </x:c>
      <x:c r="D501" s="15" t="n">
        <x:v>0</x:v>
      </x:c>
      <x:c r="E501" s="16" t="n">
        <x:v>9.74</x:v>
      </x:c>
      <x:c r="F501" s="6" t="str">
        <x:v>CRITICAL</x:v>
      </x:c>
      <x:c r="G501" s="17" t="n">
        <x:f>'Scoring'!I501</x:f>
        <x:v>89.8</x:v>
      </x:c>
      <x:c r="H501" s="6" t="str">
        <x:v>SUPPORT</x:v>
      </x:c>
      <x:c r="I501" s="6" t="str">
        <x:v>porsche: Service and repair (English)</x:v>
      </x:c>
      <x:c r="J501" s="6" t="str">
        <x:v>Secondary</x:v>
      </x:c>
      <x:c r="K501" s="6" t="str">
        <x:v>Commercial service enquiry</x:v>
      </x:c>
      <x:c r="L501" s="6" t="str">
        <x:v>High</x:v>
      </x:c>
      <x:c r="M501" s="6" t="str">
        <x:v>https://digitecme.com/brands/porsche-service-dubai</x:v>
      </x:c>
      <x:c r="N501" s="6" t="str">
        <x:v>Unknown — export has no query/page pairing</x:v>
      </x:c>
      <x:c r="O501" s="6" t="str">
        <x:v>Retain primary intent and support variants</x:v>
      </x:c>
      <x:c r="P501" s="6" t="str">
        <x:v>Zero clicks from 27 impressions at average position 9.74; inspect query/page, country/device and SERP before attributing this to the snippet.</x:v>
      </x:c>
      <x:c r="Q501" s="6" t="str">
        <x:v>porsche</x:v>
      </x:c>
      <x:c r="R501" s="6" t="str">
        <x:v>service-repair</x:v>
      </x:c>
      <x:c r="S501" s="6" t="str">
        <x:v>Location unspecified</x:v>
      </x:c>
      <x:c r="T501" s="6" t="n">
        <x:v>5</x:v>
      </x:c>
      <x:c r="U501" s="6" t="str">
        <x:v>4–10</x:v>
      </x:c>
      <x:c r="V501" s="6" t="str">
        <x:v>Page-one CTR review and top-three relevance</x:v>
      </x:c>
      <x:c r="W501" s="6" t="str">
        <x:v>Relevant supporting</x:v>
      </x:c>
      <x:c r="X501" s="6" t="n">
        <x:v>497</x:v>
      </x:c>
      <x:c r="Y501" s="6" t="str">
        <x:v>Unconfirmed — joint query/page data required</x:v>
      </x:c>
    </x:row>
    <x:row r="502" ht="42" customHeight="1">
      <x:c r="A502" s="6" t="str">
        <x:v>nissan repair</x:v>
      </x:c>
      <x:c r="B502" s="14" t="n">
        <x:v>0</x:v>
      </x:c>
      <x:c r="C502" s="14" t="n">
        <x:v>27</x:v>
      </x:c>
      <x:c r="D502" s="15" t="n">
        <x:v>0</x:v>
      </x:c>
      <x:c r="E502" s="16" t="n">
        <x:v>19.41</x:v>
      </x:c>
      <x:c r="F502" s="6" t="str">
        <x:v>HIGH</x:v>
      </x:c>
      <x:c r="G502" s="17" t="n">
        <x:f>'Scoring'!I502</x:f>
        <x:v>64.3</x:v>
      </x:c>
      <x:c r="H502" s="6" t="str">
        <x:v>SUPPORT</x:v>
      </x:c>
      <x:c r="I502" s="6" t="str">
        <x:v>nissan: Service and repair</x:v>
      </x:c>
      <x:c r="J502" s="6" t="str">
        <x:v>Secondary</x:v>
      </x:c>
      <x:c r="K502" s="6" t="str">
        <x:v>Commercial service enquiry</x:v>
      </x:c>
      <x:c r="L502" s="6" t="str">
        <x:v>High</x:v>
      </x:c>
      <x:c r="M502" s="6" t="str">
        <x:v>https://digitecme.com/brands/nissan-service-dubai</x:v>
      </x:c>
      <x:c r="N502" s="6" t="str">
        <x:v>Unknown — export has no query/page pairing</x:v>
      </x:c>
      <x:c r="O502" s="6" t="str">
        <x:v>Retain primary intent and support variants</x:v>
      </x:c>
      <x:c r="P502" s="6" t="str">
        <x:v>27 impressions at average position 19.41; strengthen the appropriate intent owner and measure with a fresh comparable period.</x:v>
      </x:c>
      <x:c r="Q502" s="6" t="str">
        <x:v>nissan</x:v>
      </x:c>
      <x:c r="R502" s="6" t="str">
        <x:v>service-repair</x:v>
      </x:c>
      <x:c r="S502" s="6" t="str">
        <x:v>Location unspecified</x:v>
      </x:c>
      <x:c r="T502" s="6" t="n">
        <x:v>3</x:v>
      </x:c>
      <x:c r="U502" s="6" t="str">
        <x:v>11–20</x:v>
      </x:c>
      <x:c r="V502" s="6" t="str">
        <x:v>Ranking and owner relevance</x:v>
      </x:c>
      <x:c r="W502" s="6" t="str">
        <x:v>Relevant supporting</x:v>
      </x:c>
      <x:c r="X502" s="6" t="n">
        <x:v>498</x:v>
      </x:c>
      <x:c r="Y502" s="6" t="str">
        <x:v>Unconfirmed — joint query/page data required</x:v>
      </x:c>
    </x:row>
    <x:row r="503" ht="42" customHeight="1">
      <x:c r="A503" s="6" t="str">
        <x:v>porsche car battery dubai</x:v>
      </x:c>
      <x:c r="B503" s="14" t="n">
        <x:v>0</x:v>
      </x:c>
      <x:c r="C503" s="14" t="n">
        <x:v>27</x:v>
      </x:c>
      <x:c r="D503" s="15" t="n">
        <x:v>0</x:v>
      </x:c>
      <x:c r="E503" s="16" t="n">
        <x:v>20.96</x:v>
      </x:c>
      <x:c r="F503" s="6" t="str">
        <x:v>HIGH</x:v>
      </x:c>
      <x:c r="G503" s="17" t="n">
        <x:f>'Scoring'!I503</x:f>
        <x:v>77.3</x:v>
      </x:c>
      <x:c r="H503" s="6" t="str">
        <x:v>SPLIT</x:v>
      </x:c>
      <x:c r="I503" s="6" t="str">
        <x:v>porsche: Battery service</x:v>
      </x:c>
      <x:c r="J503" s="6" t="str">
        <x:v>Secondary</x:v>
      </x:c>
      <x:c r="K503" s="6" t="str">
        <x:v>Commercial service enquiry</x:v>
      </x:c>
      <x:c r="L503" s="6" t="str">
        <x:v>High</x:v>
      </x:c>
      <x:c r="M503" s="6" t="str">
        <x:v>https://digitecme.com/brands/porsche-service-dubai/battery-replacement</x:v>
      </x:c>
      <x:c r="N503" s="6" t="str">
        <x:v>Unknown — export has no query/page pairing</x:v>
      </x:c>
      <x:c r="O503" s="6" t="str">
        <x:v>Use dedicated service owner</x:v>
      </x:c>
      <x:c r="P503" s="6" t="str">
        <x:v>Average position 20.96 makes ranking the main issue; avoid a CTR-only rewrite.</x:v>
      </x:c>
      <x:c r="Q503" s="6" t="str">
        <x:v>porsche</x:v>
      </x:c>
      <x:c r="R503" s="6" t="str">
        <x:v>battery-replacement</x:v>
      </x:c>
      <x:c r="S503" s="6" t="str">
        <x:v>Dubai explicit</x:v>
      </x:c>
      <x:c r="T503" s="6" t="n">
        <x:v>5</x:v>
      </x:c>
      <x:c r="U503" s="6" t="str">
        <x:v>21–40</x:v>
      </x:c>
      <x:c r="V503" s="6" t="str">
        <x:v>Content, internal authority and owner alignment</x:v>
      </x:c>
      <x:c r="W503" s="6" t="str">
        <x:v>High-value commercial</x:v>
      </x:c>
      <x:c r="X503" s="6" t="n">
        <x:v>499</x:v>
      </x:c>
      <x:c r="Y503" s="6" t="str">
        <x:v>Unconfirmed — joint query/page data required</x:v>
      </x:c>
    </x:row>
    <x:row r="504" ht="42" customHeight="1">
      <x:c r="A504" s="6" t="str">
        <x:v>mercedes service near me</x:v>
      </x:c>
      <x:c r="B504" s="14" t="n">
        <x:v>0</x:v>
      </x:c>
      <x:c r="C504" s="14" t="n">
        <x:v>27</x:v>
      </x:c>
      <x:c r="D504" s="15" t="n">
        <x:v>0</x:v>
      </x:c>
      <x:c r="E504" s="16" t="n">
        <x:v>21.04</x:v>
      </x:c>
      <x:c r="F504" s="6" t="str">
        <x:v>HIGH</x:v>
      </x:c>
      <x:c r="G504" s="17" t="n">
        <x:f>'Scoring'!I504</x:f>
        <x:v>77.3</x:v>
      </x:c>
      <x:c r="H504" s="6" t="str">
        <x:v>SUPPORT</x:v>
      </x:c>
      <x:c r="I504" s="6" t="str">
        <x:v>mercedes-benz: Service and repair (English)</x:v>
      </x:c>
      <x:c r="J504" s="6" t="str">
        <x:v>Secondary</x:v>
      </x:c>
      <x:c r="K504" s="6" t="str">
        <x:v>Commercial service enquiry</x:v>
      </x:c>
      <x:c r="L504" s="6" t="str">
        <x:v>High</x:v>
      </x:c>
      <x:c r="M504" s="6" t="str">
        <x:v>https://digitecme.com/brands/mercedes-benz-service-dubai</x:v>
      </x:c>
      <x:c r="N504" s="6" t="str">
        <x:v>Unknown — export has no query/page pairing</x:v>
      </x:c>
      <x:c r="O504" s="6" t="str">
        <x:v>Retain primary intent and support variants</x:v>
      </x:c>
      <x:c r="P504" s="6" t="str">
        <x:v>Average position 21.04 makes ranking the main issue; avoid a CTR-only rewrite.</x:v>
      </x:c>
      <x:c r="Q504" s="6" t="str">
        <x:v>mercedes-benz</x:v>
      </x:c>
      <x:c r="R504" s="6" t="str">
        <x:v>service-repair</x:v>
      </x:c>
      <x:c r="S504" s="6" t="str">
        <x:v>Near me; location unknown</x:v>
      </x:c>
      <x:c r="T504" s="6" t="n">
        <x:v>5</x:v>
      </x:c>
      <x:c r="U504" s="6" t="str">
        <x:v>21–40</x:v>
      </x:c>
      <x:c r="V504" s="6" t="str">
        <x:v>Content, internal authority and owner alignment</x:v>
      </x:c>
      <x:c r="W504" s="6" t="str">
        <x:v>Relevant supporting</x:v>
      </x:c>
      <x:c r="X504" s="6" t="n">
        <x:v>500</x:v>
      </x:c>
      <x:c r="Y504" s="6" t="str">
        <x:v>Unconfirmed — joint query/page data required</x:v>
      </x:c>
    </x:row>
    <x:row r="505" ht="42" customHeight="1">
      <x:c r="A505" s="6" t="str">
        <x:v>performance dubai</x:v>
      </x:c>
      <x:c r="B505" s="14" t="n">
        <x:v>0</x:v>
      </x:c>
      <x:c r="C505" s="14" t="n">
        <x:v>27</x:v>
      </x:c>
      <x:c r="D505" s="15" t="n">
        <x:v>0</x:v>
      </x:c>
      <x:c r="E505" s="16" t="n">
        <x:v>21.81</x:v>
      </x:c>
      <x:c r="F505" s="6" t="str">
        <x:v>HIGH</x:v>
      </x:c>
      <x:c r="G505" s="17" t="n">
        <x:f>'Scoring'!I505</x:f>
        <x:v>77.3</x:v>
      </x:c>
      <x:c r="H505" s="6" t="str">
        <x:v>SUPPORT</x:v>
      </x:c>
      <x:c r="I505" s="6" t="str">
        <x:v>All vehicles: Performance tuning</x:v>
      </x:c>
      <x:c r="J505" s="6" t="str">
        <x:v>Secondary</x:v>
      </x:c>
      <x:c r="K505" s="6" t="str">
        <x:v>Commercial service enquiry</x:v>
      </x:c>
      <x:c r="L505" s="6" t="str">
        <x:v>High</x:v>
      </x:c>
      <x:c r="M505" s="6" t="str">
        <x:v>https://digitecme.com/tuning</x:v>
      </x:c>
      <x:c r="N505" s="6" t="str">
        <x:v>Unknown — export has no query/page pairing</x:v>
      </x:c>
      <x:c r="O505" s="6" t="str">
        <x:v>Retain primary intent and support variants</x:v>
      </x:c>
      <x:c r="P505" s="6" t="str">
        <x:v>Use the existing tuning page; model scope and any GAD relationship require verified facts. Average position 21.81 makes ranking the main issue; avoid a CTR-only rewrite.</x:v>
      </x:c>
      <x:c r="Q505" s="6" t="str">
        <x:v>All vehicles</x:v>
      </x:c>
      <x:c r="R505" s="6" t="str">
        <x:v>tuning</x:v>
      </x:c>
      <x:c r="S505" s="6" t="str">
        <x:v>Dubai explicit</x:v>
      </x:c>
      <x:c r="T505" s="6" t="n">
        <x:v>5</x:v>
      </x:c>
      <x:c r="U505" s="6" t="str">
        <x:v>21–40</x:v>
      </x:c>
      <x:c r="V505" s="6" t="str">
        <x:v>Content, internal authority and owner alignment</x:v>
      </x:c>
      <x:c r="W505" s="6" t="str">
        <x:v>Relevant supporting</x:v>
      </x:c>
      <x:c r="X505" s="6" t="n">
        <x:v>501</x:v>
      </x:c>
      <x:c r="Y505" s="6" t="str">
        <x:v>Unconfirmed — joint query/page data required</x:v>
      </x:c>
    </x:row>
    <x:row r="506" ht="42" customHeight="1">
      <x:c r="A506" s="6" t="str">
        <x:v>lamborghini service center near me</x:v>
      </x:c>
      <x:c r="B506" s="14" t="n">
        <x:v>0</x:v>
      </x:c>
      <x:c r="C506" s="14" t="n">
        <x:v>27</x:v>
      </x:c>
      <x:c r="D506" s="15" t="n">
        <x:v>0</x:v>
      </x:c>
      <x:c r="E506" s="16" t="n">
        <x:v>22.89</x:v>
      </x:c>
      <x:c r="F506" s="6" t="str">
        <x:v>HIGH</x:v>
      </x:c>
      <x:c r="G506" s="17" t="n">
        <x:f>'Scoring'!I506</x:f>
        <x:v>77.3</x:v>
      </x:c>
      <x:c r="H506" s="6" t="str">
        <x:v>SUPPORT</x:v>
      </x:c>
      <x:c r="I506" s="6" t="str">
        <x:v>lamborghini: Service and repair</x:v>
      </x:c>
      <x:c r="J506" s="6" t="str">
        <x:v>Secondary</x:v>
      </x:c>
      <x:c r="K506" s="6" t="str">
        <x:v>Commercial service enquiry</x:v>
      </x:c>
      <x:c r="L506" s="6" t="str">
        <x:v>High</x:v>
      </x:c>
      <x:c r="M506" s="6" t="str">
        <x:v>https://digitecme.com/brands/lamborghini-service-dubai</x:v>
      </x:c>
      <x:c r="N506" s="6" t="str">
        <x:v>Unknown — export has no query/page pairing</x:v>
      </x:c>
      <x:c r="O506" s="6" t="str">
        <x:v>Retain primary intent and support variants</x:v>
      </x:c>
      <x:c r="P506" s="6" t="str">
        <x:v>Average position 22.89 makes ranking the main issue; avoid a CTR-only rewrite.</x:v>
      </x:c>
      <x:c r="Q506" s="6" t="str">
        <x:v>lamborghini</x:v>
      </x:c>
      <x:c r="R506" s="6" t="str">
        <x:v>service-repair</x:v>
      </x:c>
      <x:c r="S506" s="6" t="str">
        <x:v>Near me; location unknown</x:v>
      </x:c>
      <x:c r="T506" s="6" t="n">
        <x:v>5</x:v>
      </x:c>
      <x:c r="U506" s="6" t="str">
        <x:v>21–40</x:v>
      </x:c>
      <x:c r="V506" s="6" t="str">
        <x:v>Content, internal authority and owner alignment</x:v>
      </x:c>
      <x:c r="W506" s="6" t="str">
        <x:v>Relevant supporting</x:v>
      </x:c>
      <x:c r="X506" s="6" t="n">
        <x:v>502</x:v>
      </x:c>
      <x:c r="Y506" s="6" t="str">
        <x:v>Unconfirmed — joint query/page data required</x:v>
      </x:c>
    </x:row>
    <x:row r="507" ht="57" customHeight="1">
      <x:c r="A507" s="6" t="str">
        <x:v>volvo battery</x:v>
      </x:c>
      <x:c r="B507" s="14" t="n">
        <x:v>0</x:v>
      </x:c>
      <x:c r="C507" s="14" t="n">
        <x:v>27</x:v>
      </x:c>
      <x:c r="D507" s="15" t="n">
        <x:v>0</x:v>
      </x:c>
      <x:c r="E507" s="16" t="n">
        <x:v>25.19</x:v>
      </x:c>
      <x:c r="F507" s="6" t="str">
        <x:v>HIGH</x:v>
      </x:c>
      <x:c r="G507" s="17" t="n">
        <x:f>'Scoring'!I507</x:f>
        <x:v>36.9</x:v>
      </x:c>
      <x:c r="H507" s="6" t="str">
        <x:v>SPLIT</x:v>
      </x:c>
      <x:c r="I507" s="6" t="str">
        <x:v>volvo: Battery service</x:v>
      </x:c>
      <x:c r="J507" s="6" t="str">
        <x:v>Secondary</x:v>
      </x:c>
      <x:c r="K507" s="6" t="str">
        <x:v>Commercial service enquiry</x:v>
      </x:c>
      <x:c r="L507" s="6" t="str">
        <x:v>Medium</x:v>
      </x:c>
      <x:c r="M507" s="6" t="str">
        <x:v>https://digitecme.com/brands/volvo-service-dubai/battery-replacement</x:v>
      </x:c>
      <x:c r="N507" s="6" t="str">
        <x:v>Unknown — export has no query/page pairing</x:v>
      </x:c>
      <x:c r="O507" s="6" t="str">
        <x:v>Use dedicated service owner</x:v>
      </x:c>
      <x:c r="P507" s="6" t="str">
        <x:v>Existing specific page is noindex; assess service evidence and distinct content before changing indexation. Average position 25.19 makes ranking the main issue; avoid a CTR-only rewrite.</x:v>
      </x:c>
      <x:c r="Q507" s="6" t="str">
        <x:v>volvo</x:v>
      </x:c>
      <x:c r="R507" s="6" t="str">
        <x:v>battery-replacement</x:v>
      </x:c>
      <x:c r="S507" s="6" t="str">
        <x:v>Location unspecified</x:v>
      </x:c>
      <x:c r="T507" s="6" t="n">
        <x:v>3</x:v>
      </x:c>
      <x:c r="U507" s="6" t="str">
        <x:v>21–40</x:v>
      </x:c>
      <x:c r="V507" s="6" t="str">
        <x:v>Content, internal authority and owner alignment</x:v>
      </x:c>
      <x:c r="W507" s="6" t="str">
        <x:v>High-value commercial</x:v>
      </x:c>
      <x:c r="X507" s="6" t="n">
        <x:v>503</x:v>
      </x:c>
      <x:c r="Y507" s="6" t="str">
        <x:v>Unconfirmed — joint query/page data required</x:v>
      </x:c>
    </x:row>
    <x:row r="508" ht="42" customHeight="1">
      <x:c r="A508" s="6" t="str">
        <x:v>gmc service dubai</x:v>
      </x:c>
      <x:c r="B508" s="14" t="n">
        <x:v>0</x:v>
      </x:c>
      <x:c r="C508" s="14" t="n">
        <x:v>27</x:v>
      </x:c>
      <x:c r="D508" s="15" t="n">
        <x:v>0</x:v>
      </x:c>
      <x:c r="E508" s="16" t="n">
        <x:v>30.59</x:v>
      </x:c>
      <x:c r="F508" s="6" t="str">
        <x:v>GROWTH</x:v>
      </x:c>
      <x:c r="G508" s="17" t="n">
        <x:f>'Scoring'!I508</x:f>
        <x:v>61.8</x:v>
      </x:c>
      <x:c r="H508" s="6" t="str">
        <x:v>SUPPORT</x:v>
      </x:c>
      <x:c r="I508" s="6" t="str">
        <x:v>gmc: Service and repair</x:v>
      </x:c>
      <x:c r="J508" s="6" t="str">
        <x:v>Secondary</x:v>
      </x:c>
      <x:c r="K508" s="6" t="str">
        <x:v>Commercial service enquiry</x:v>
      </x:c>
      <x:c r="L508" s="6" t="str">
        <x:v>High</x:v>
      </x:c>
      <x:c r="M508" s="6" t="str">
        <x:v>https://digitecme.com/brands/gmc-service-dubai</x:v>
      </x:c>
      <x:c r="N508" s="6" t="str">
        <x:v>Unknown — export has no query/page pairing</x:v>
      </x:c>
      <x:c r="O508" s="6" t="str">
        <x:v>Retain primary intent and support variants</x:v>
      </x:c>
      <x:c r="P508" s="6" t="str">
        <x:v>Average position 30.59 makes ranking the main issue; avoid a CTR-only rewrite.</x:v>
      </x:c>
      <x:c r="Q508" s="6" t="str">
        <x:v>gmc</x:v>
      </x:c>
      <x:c r="R508" s="6" t="str">
        <x:v>service-repair</x:v>
      </x:c>
      <x:c r="S508" s="6" t="str">
        <x:v>Dubai explicit</x:v>
      </x:c>
      <x:c r="T508" s="6" t="n">
        <x:v>3</x:v>
      </x:c>
      <x:c r="U508" s="6" t="str">
        <x:v>21–40</x:v>
      </x:c>
      <x:c r="V508" s="6" t="str">
        <x:v>Content, internal authority and owner alignment</x:v>
      </x:c>
      <x:c r="W508" s="6" t="str">
        <x:v>Relevant supporting</x:v>
      </x:c>
      <x:c r="X508" s="6" t="n">
        <x:v>504</x:v>
      </x:c>
      <x:c r="Y508" s="6" t="str">
        <x:v>Unconfirmed — joint query/page data required</x:v>
      </x:c>
    </x:row>
    <x:row r="509" ht="42" customHeight="1">
      <x:c r="A509" s="6" t="str">
        <x:v>car battery replacement service</x:v>
      </x:c>
      <x:c r="B509" s="14" t="n">
        <x:v>0</x:v>
      </x:c>
      <x:c r="C509" s="14" t="n">
        <x:v>27</x:v>
      </x:c>
      <x:c r="D509" s="15" t="n">
        <x:v>0</x:v>
      </x:c>
      <x:c r="E509" s="16" t="n">
        <x:v>34.52</x:v>
      </x:c>
      <x:c r="F509" s="6" t="str">
        <x:v>GROWTH</x:v>
      </x:c>
      <x:c r="G509" s="17" t="n">
        <x:f>'Scoring'!I509</x:f>
        <x:v>56.8</x:v>
      </x:c>
      <x:c r="H509" s="6" t="str">
        <x:v>SUPPORT</x:v>
      </x:c>
      <x:c r="I509" s="6" t="str">
        <x:v>All vehicles: Battery service (English)</x:v>
      </x:c>
      <x:c r="J509" s="6" t="str">
        <x:v>Secondary</x:v>
      </x:c>
      <x:c r="K509" s="6" t="str">
        <x:v>Commercial service enquiry</x:v>
      </x:c>
      <x:c r="L509" s="6" t="str">
        <x:v>High</x:v>
      </x:c>
      <x:c r="M509" s="6" t="str">
        <x:v>https://digitecme.com/services/battery-replacement-dubai</x:v>
      </x:c>
      <x:c r="N509" s="6" t="str">
        <x:v>Unknown — export has no query/page pairing</x:v>
      </x:c>
      <x:c r="O509" s="6" t="str">
        <x:v>Retain primary intent and support variants</x:v>
      </x:c>
      <x:c r="P509" s="6" t="str">
        <x:v>Average position 34.52 makes ranking the main issue; avoid a CTR-only rewrite.</x:v>
      </x:c>
      <x:c r="Q509" s="6" t="str">
        <x:v>All vehicles</x:v>
      </x:c>
      <x:c r="R509" s="6" t="str">
        <x:v>battery-replacement</x:v>
      </x:c>
      <x:c r="S509" s="6" t="str">
        <x:v>Location unspecified</x:v>
      </x:c>
      <x:c r="T509" s="6" t="n">
        <x:v>3</x:v>
      </x:c>
      <x:c r="U509" s="6" t="str">
        <x:v>21–40</x:v>
      </x:c>
      <x:c r="V509" s="6" t="str">
        <x:v>Content, internal authority and owner alignment</x:v>
      </x:c>
      <x:c r="W509" s="6" t="str">
        <x:v>Relevant supporting</x:v>
      </x:c>
      <x:c r="X509" s="6" t="n">
        <x:v>505</x:v>
      </x:c>
      <x:c r="Y509" s="6" t="str">
        <x:v>Unconfirmed — joint query/page data required</x:v>
      </x:c>
    </x:row>
    <x:row r="510" ht="42" customHeight="1">
      <x:c r="A510" s="6" t="str">
        <x:v>تصليح مكيف بورش</x:v>
      </x:c>
      <x:c r="B510" s="14" t="n">
        <x:v>0</x:v>
      </x:c>
      <x:c r="C510" s="14" t="n">
        <x:v>27</x:v>
      </x:c>
      <x:c r="D510" s="15" t="n">
        <x:v>0</x:v>
      </x:c>
      <x:c r="E510" s="16" t="n">
        <x:v>35.48</x:v>
      </x:c>
      <x:c r="F510" s="6" t="str">
        <x:v>GROWTH</x:v>
      </x:c>
      <x:c r="G510" s="17" t="n">
        <x:f>'Scoring'!I510</x:f>
        <x:v>64.8</x:v>
      </x:c>
      <x:c r="H510" s="6" t="str">
        <x:v>SPLIT</x:v>
      </x:c>
      <x:c r="I510" s="6" t="str">
        <x:v>porsche: AC repair (Arabic)</x:v>
      </x:c>
      <x:c r="J510" s="6" t="str">
        <x:v>Primary</x:v>
      </x:c>
      <x:c r="K510" s="6" t="str">
        <x:v>Commercial service enquiry</x:v>
      </x:c>
      <x:c r="L510" s="6" t="str">
        <x:v>High</x:v>
      </x:c>
      <x:c r="M510" s="6" t="str">
        <x:v>https://digitecme.com/ar/brands/porsche-service-dubai/ac-repair</x:v>
      </x:c>
      <x:c r="N510" s="6" t="str">
        <x:v>Unknown — export has no query/page pairing</x:v>
      </x:c>
      <x:c r="O510" s="6" t="str">
        <x:v>Use dedicated service owner</x:v>
      </x:c>
      <x:c r="P510" s="6" t="str">
        <x:v>Use the existing Arabic counterpart and verify its translation quality. Average position 35.48 makes ranking the main issue; avoid a CTR-only rewrite.</x:v>
      </x:c>
      <x:c r="Q510" s="6" t="str">
        <x:v>porsche</x:v>
      </x:c>
      <x:c r="R510" s="6" t="str">
        <x:v>ac-repair</x:v>
      </x:c>
      <x:c r="S510" s="6" t="str">
        <x:v>Location unspecified</x:v>
      </x:c>
      <x:c r="T510" s="6" t="n">
        <x:v>5</x:v>
      </x:c>
      <x:c r="U510" s="6" t="str">
        <x:v>21–40</x:v>
      </x:c>
      <x:c r="V510" s="6" t="str">
        <x:v>Content, internal authority and owner alignment</x:v>
      </x:c>
      <x:c r="W510" s="6" t="str">
        <x:v>High-value commercial</x:v>
      </x:c>
      <x:c r="X510" s="6" t="n">
        <x:v>506</x:v>
      </x:c>
      <x:c r="Y510" s="6" t="str">
        <x:v>Unconfirmed — joint query/page data required</x:v>
      </x:c>
    </x:row>
    <x:row r="511" ht="42" customHeight="1">
      <x:c r="A511" s="6" t="str">
        <x:v>volvo service dubai</x:v>
      </x:c>
      <x:c r="B511" s="14" t="n">
        <x:v>0</x:v>
      </x:c>
      <x:c r="C511" s="14" t="n">
        <x:v>27</x:v>
      </x:c>
      <x:c r="D511" s="15" t="n">
        <x:v>0</x:v>
      </x:c>
      <x:c r="E511" s="16" t="n">
        <x:v>36.15</x:v>
      </x:c>
      <x:c r="F511" s="6" t="str">
        <x:v>GROWTH</x:v>
      </x:c>
      <x:c r="G511" s="17" t="n">
        <x:f>'Scoring'!I511</x:f>
        <x:v>61.8</x:v>
      </x:c>
      <x:c r="H511" s="6" t="str">
        <x:v>PRIORITIZE</x:v>
      </x:c>
      <x:c r="I511" s="6" t="str">
        <x:v>volvo: Service and repair</x:v>
      </x:c>
      <x:c r="J511" s="6" t="str">
        <x:v>Primary</x:v>
      </x:c>
      <x:c r="K511" s="6" t="str">
        <x:v>Commercial service enquiry</x:v>
      </x:c>
      <x:c r="L511" s="6" t="str">
        <x:v>High</x:v>
      </x:c>
      <x:c r="M511" s="6" t="str">
        <x:v>https://digitecme.com/brands/volvo-service-dubai</x:v>
      </x:c>
      <x:c r="N511" s="6" t="str">
        <x:v>Unknown — export has no query/page pairing</x:v>
      </x:c>
      <x:c r="O511" s="6" t="str">
        <x:v>Strengthen this primary intent owner</x:v>
      </x:c>
      <x:c r="P511" s="6" t="str">
        <x:v>Average position 36.15 makes ranking the main issue; avoid a CTR-only rewrite.</x:v>
      </x:c>
      <x:c r="Q511" s="6" t="str">
        <x:v>volvo</x:v>
      </x:c>
      <x:c r="R511" s="6" t="str">
        <x:v>service-repair</x:v>
      </x:c>
      <x:c r="S511" s="6" t="str">
        <x:v>Dubai explicit</x:v>
      </x:c>
      <x:c r="T511" s="6" t="n">
        <x:v>3</x:v>
      </x:c>
      <x:c r="U511" s="6" t="str">
        <x:v>21–40</x:v>
      </x:c>
      <x:c r="V511" s="6" t="str">
        <x:v>Content, internal authority and owner alignment</x:v>
      </x:c>
      <x:c r="W511" s="6" t="str">
        <x:v>High-value commercial</x:v>
      </x:c>
      <x:c r="X511" s="6" t="n">
        <x:v>507</x:v>
      </x:c>
      <x:c r="Y511" s="6" t="str">
        <x:v>Unconfirmed — joint query/page data required</x:v>
      </x:c>
    </x:row>
    <x:row r="512" ht="42" customHeight="1">
      <x:c r="A512" s="6" t="str">
        <x:v>ford service dubai</x:v>
      </x:c>
      <x:c r="B512" s="14" t="n">
        <x:v>0</x:v>
      </x:c>
      <x:c r="C512" s="14" t="n">
        <x:v>27</x:v>
      </x:c>
      <x:c r="D512" s="15" t="n">
        <x:v>0</x:v>
      </x:c>
      <x:c r="E512" s="16" t="n">
        <x:v>40.56</x:v>
      </x:c>
      <x:c r="F512" s="6" t="str">
        <x:v>GROWTH</x:v>
      </x:c>
      <x:c r="G512" s="17" t="n">
        <x:f>'Scoring'!I512</x:f>
        <x:v>55.6</x:v>
      </x:c>
      <x:c r="H512" s="6" t="str">
        <x:v>PRIORITIZE</x:v>
      </x:c>
      <x:c r="I512" s="6" t="str">
        <x:v>ford: Service and repair (English)</x:v>
      </x:c>
      <x:c r="J512" s="6" t="str">
        <x:v>Primary</x:v>
      </x:c>
      <x:c r="K512" s="6" t="str">
        <x:v>Commercial service enquiry</x:v>
      </x:c>
      <x:c r="L512" s="6" t="str">
        <x:v>High</x:v>
      </x:c>
      <x:c r="M512" s="6" t="str">
        <x:v>https://digitecme.com/brands/ford-service-dubai</x:v>
      </x:c>
      <x:c r="N512" s="6" t="str">
        <x:v>Unknown — export has no query/page pairing</x:v>
      </x:c>
      <x:c r="O512" s="6" t="str">
        <x:v>Strengthen this primary intent owner</x:v>
      </x:c>
      <x:c r="P512" s="6" t="str">
        <x:v>Average position 40.56 makes ranking the main issue; avoid a CTR-only rewrite.</x:v>
      </x:c>
      <x:c r="Q512" s="6" t="str">
        <x:v>ford</x:v>
      </x:c>
      <x:c r="R512" s="6" t="str">
        <x:v>service-repair</x:v>
      </x:c>
      <x:c r="S512" s="6" t="str">
        <x:v>Dubai explicit</x:v>
      </x:c>
      <x:c r="T512" s="6" t="n">
        <x:v>3</x:v>
      </x:c>
      <x:c r="U512" s="6" t="str">
        <x:v>40+</x:v>
      </x:c>
      <x:c r="V512" s="6" t="str">
        <x:v>Relevance, capability, indexing and authority review</x:v>
      </x:c>
      <x:c r="W512" s="6" t="str">
        <x:v>High-value commercial</x:v>
      </x:c>
      <x:c r="X512" s="6" t="n">
        <x:v>508</x:v>
      </x:c>
      <x:c r="Y512" s="6" t="str">
        <x:v>Unconfirmed — joint query/page data required</x:v>
      </x:c>
    </x:row>
    <x:row r="513" ht="42" customHeight="1">
      <x:c r="A513" s="6" t="str">
        <x:v>nissan workshop near me</x:v>
      </x:c>
      <x:c r="B513" s="14" t="n">
        <x:v>0</x:v>
      </x:c>
      <x:c r="C513" s="14" t="n">
        <x:v>27</x:v>
      </x:c>
      <x:c r="D513" s="15" t="n">
        <x:v>0</x:v>
      </x:c>
      <x:c r="E513" s="16" t="n">
        <x:v>42.11</x:v>
      </x:c>
      <x:c r="F513" s="6" t="str">
        <x:v>GROWTH</x:v>
      </x:c>
      <x:c r="G513" s="17" t="n">
        <x:f>'Scoring'!I513</x:f>
        <x:v>55.6</x:v>
      </x:c>
      <x:c r="H513" s="6" t="str">
        <x:v>SUPPORT</x:v>
      </x:c>
      <x:c r="I513" s="6" t="str">
        <x:v>nissan: Service and repair</x:v>
      </x:c>
      <x:c r="J513" s="6" t="str">
        <x:v>Secondary</x:v>
      </x:c>
      <x:c r="K513" s="6" t="str">
        <x:v>Commercial service enquiry</x:v>
      </x:c>
      <x:c r="L513" s="6" t="str">
        <x:v>High</x:v>
      </x:c>
      <x:c r="M513" s="6" t="str">
        <x:v>https://digitecme.com/brands/nissan-service-dubai</x:v>
      </x:c>
      <x:c r="N513" s="6" t="str">
        <x:v>Unknown — export has no query/page pairing</x:v>
      </x:c>
      <x:c r="O513" s="6" t="str">
        <x:v>Retain primary intent and support variants</x:v>
      </x:c>
      <x:c r="P513" s="6" t="str">
        <x:v>Average position 42.11 makes ranking the main issue; avoid a CTR-only rewrite.</x:v>
      </x:c>
      <x:c r="Q513" s="6" t="str">
        <x:v>nissan</x:v>
      </x:c>
      <x:c r="R513" s="6" t="str">
        <x:v>service-repair</x:v>
      </x:c>
      <x:c r="S513" s="6" t="str">
        <x:v>Near me; location unknown</x:v>
      </x:c>
      <x:c r="T513" s="6" t="n">
        <x:v>3</x:v>
      </x:c>
      <x:c r="U513" s="6" t="str">
        <x:v>40+</x:v>
      </x:c>
      <x:c r="V513" s="6" t="str">
        <x:v>Relevance, capability, indexing and authority review</x:v>
      </x:c>
      <x:c r="W513" s="6" t="str">
        <x:v>Relevant supporting</x:v>
      </x:c>
      <x:c r="X513" s="6" t="n">
        <x:v>509</x:v>
      </x:c>
      <x:c r="Y513" s="6" t="str">
        <x:v>Unconfirmed — joint query/page data required</x:v>
      </x:c>
    </x:row>
    <x:row r="514" ht="42" customHeight="1">
      <x:c r="A514" s="6" t="str">
        <x:v>auto tuning dubai</x:v>
      </x:c>
      <x:c r="B514" s="14" t="n">
        <x:v>0</x:v>
      </x:c>
      <x:c r="C514" s="14" t="n">
        <x:v>27</x:v>
      </x:c>
      <x:c r="D514" s="15" t="n">
        <x:v>0</x:v>
      </x:c>
      <x:c r="E514" s="16" t="n">
        <x:v>42.78</x:v>
      </x:c>
      <x:c r="F514" s="6" t="str">
        <x:v>GROWTH</x:v>
      </x:c>
      <x:c r="G514" s="17" t="n">
        <x:f>'Scoring'!I514</x:f>
        <x:v>63.6</x:v>
      </x:c>
      <x:c r="H514" s="6" t="str">
        <x:v>SUPPORT</x:v>
      </x:c>
      <x:c r="I514" s="6" t="str">
        <x:v>All vehicles: Performance tuning</x:v>
      </x:c>
      <x:c r="J514" s="6" t="str">
        <x:v>Secondary</x:v>
      </x:c>
      <x:c r="K514" s="6" t="str">
        <x:v>Commercial service enquiry</x:v>
      </x:c>
      <x:c r="L514" s="6" t="str">
        <x:v>High</x:v>
      </x:c>
      <x:c r="M514" s="6" t="str">
        <x:v>https://digitecme.com/tuning</x:v>
      </x:c>
      <x:c r="N514" s="6" t="str">
        <x:v>Unknown — export has no query/page pairing</x:v>
      </x:c>
      <x:c r="O514" s="6" t="str">
        <x:v>Retain primary intent and support variants</x:v>
      </x:c>
      <x:c r="P514" s="6" t="str">
        <x:v>Use the existing tuning page; model scope and any GAD relationship require verified facts. Average position 42.78 makes ranking the main issue; avoid a CTR-only rewrite.</x:v>
      </x:c>
      <x:c r="Q514" s="6" t="str">
        <x:v>All vehicles</x:v>
      </x:c>
      <x:c r="R514" s="6" t="str">
        <x:v>tuning</x:v>
      </x:c>
      <x:c r="S514" s="6" t="str">
        <x:v>Dubai explicit</x:v>
      </x:c>
      <x:c r="T514" s="6" t="n">
        <x:v>5</x:v>
      </x:c>
      <x:c r="U514" s="6" t="str">
        <x:v>40+</x:v>
      </x:c>
      <x:c r="V514" s="6" t="str">
        <x:v>Relevance, capability, indexing and authority review</x:v>
      </x:c>
      <x:c r="W514" s="6" t="str">
        <x:v>Relevant supporting</x:v>
      </x:c>
      <x:c r="X514" s="6" t="n">
        <x:v>510</x:v>
      </x:c>
      <x:c r="Y514" s="6" t="str">
        <x:v>Unconfirmed — joint query/page data required</x:v>
      </x:c>
    </x:row>
    <x:row r="515" ht="42" customHeight="1">
      <x:c r="A515" s="6" t="str">
        <x:v>bmw body shop dubai</x:v>
      </x:c>
      <x:c r="B515" s="14" t="n">
        <x:v>0</x:v>
      </x:c>
      <x:c r="C515" s="14" t="n">
        <x:v>27</x:v>
      </x:c>
      <x:c r="D515" s="15" t="n">
        <x:v>0</x:v>
      </x:c>
      <x:c r="E515" s="16" t="n">
        <x:v>48</x:v>
      </x:c>
      <x:c r="F515" s="6" t="str">
        <x:v>GROWTH</x:v>
      </x:c>
      <x:c r="G515" s="17" t="n">
        <x:f>'Scoring'!I515</x:f>
        <x:v>63.6</x:v>
      </x:c>
      <x:c r="H515" s="6" t="str">
        <x:v>SPLIT</x:v>
      </x:c>
      <x:c r="I515" s="6" t="str">
        <x:v>bmw: Body repair</x:v>
      </x:c>
      <x:c r="J515" s="6" t="str">
        <x:v>Primary</x:v>
      </x:c>
      <x:c r="K515" s="6" t="str">
        <x:v>Commercial service enquiry</x:v>
      </x:c>
      <x:c r="L515" s="6" t="str">
        <x:v>High</x:v>
      </x:c>
      <x:c r="M515" s="6" t="str">
        <x:v>https://digitecme.com/brands/bmw-service-dubai/body-repair</x:v>
      </x:c>
      <x:c r="N515" s="6" t="str">
        <x:v>Unknown — export has no query/page pairing</x:v>
      </x:c>
      <x:c r="O515" s="6" t="str">
        <x:v>Use dedicated service owner</x:v>
      </x:c>
      <x:c r="P515" s="6" t="str">
        <x:v>Average position 48.00 makes ranking the main issue; avoid a CTR-only rewrite.</x:v>
      </x:c>
      <x:c r="Q515" s="6" t="str">
        <x:v>bmw</x:v>
      </x:c>
      <x:c r="R515" s="6" t="str">
        <x:v>body-repair</x:v>
      </x:c>
      <x:c r="S515" s="6" t="str">
        <x:v>Dubai explicit</x:v>
      </x:c>
      <x:c r="T515" s="6" t="n">
        <x:v>5</x:v>
      </x:c>
      <x:c r="U515" s="6" t="str">
        <x:v>40+</x:v>
      </x:c>
      <x:c r="V515" s="6" t="str">
        <x:v>Relevance, capability, indexing and authority review</x:v>
      </x:c>
      <x:c r="W515" s="6" t="str">
        <x:v>High-value commercial</x:v>
      </x:c>
      <x:c r="X515" s="6" t="n">
        <x:v>511</x:v>
      </x:c>
      <x:c r="Y515" s="6" t="str">
        <x:v>Unconfirmed — joint query/page data required</x:v>
      </x:c>
    </x:row>
    <x:row r="516" ht="42" customHeight="1">
      <x:c r="A516" s="6" t="str">
        <x:v>porsche car battery</x:v>
      </x:c>
      <x:c r="B516" s="14" t="n">
        <x:v>0</x:v>
      </x:c>
      <x:c r="C516" s="14" t="n">
        <x:v>27</x:v>
      </x:c>
      <x:c r="D516" s="15" t="n">
        <x:v>0</x:v>
      </x:c>
      <x:c r="E516" s="16" t="n">
        <x:v>48.93</x:v>
      </x:c>
      <x:c r="F516" s="6" t="str">
        <x:v>GROWTH</x:v>
      </x:c>
      <x:c r="G516" s="17" t="n">
        <x:f>'Scoring'!I516</x:f>
        <x:v>58.6</x:v>
      </x:c>
      <x:c r="H516" s="6" t="str">
        <x:v>SPLIT</x:v>
      </x:c>
      <x:c r="I516" s="6" t="str">
        <x:v>porsche: Battery service</x:v>
      </x:c>
      <x:c r="J516" s="6" t="str">
        <x:v>Secondary</x:v>
      </x:c>
      <x:c r="K516" s="6" t="str">
        <x:v>Commercial service enquiry</x:v>
      </x:c>
      <x:c r="L516" s="6" t="str">
        <x:v>High</x:v>
      </x:c>
      <x:c r="M516" s="6" t="str">
        <x:v>https://digitecme.com/brands/porsche-service-dubai/battery-replacement</x:v>
      </x:c>
      <x:c r="N516" s="6" t="str">
        <x:v>Unknown — export has no query/page pairing</x:v>
      </x:c>
      <x:c r="O516" s="6" t="str">
        <x:v>Use dedicated service owner</x:v>
      </x:c>
      <x:c r="P516" s="6" t="str">
        <x:v>Average position 48.93 makes ranking the main issue; avoid a CTR-only rewrite.</x:v>
      </x:c>
      <x:c r="Q516" s="6" t="str">
        <x:v>porsche</x:v>
      </x:c>
      <x:c r="R516" s="6" t="str">
        <x:v>battery-replacement</x:v>
      </x:c>
      <x:c r="S516" s="6" t="str">
        <x:v>Location unspecified</x:v>
      </x:c>
      <x:c r="T516" s="6" t="n">
        <x:v>5</x:v>
      </x:c>
      <x:c r="U516" s="6" t="str">
        <x:v>40+</x:v>
      </x:c>
      <x:c r="V516" s="6" t="str">
        <x:v>Relevance, capability, indexing and authority review</x:v>
      </x:c>
      <x:c r="W516" s="6" t="str">
        <x:v>High-value commercial</x:v>
      </x:c>
      <x:c r="X516" s="6" t="n">
        <x:v>512</x:v>
      </x:c>
      <x:c r="Y516" s="6" t="str">
        <x:v>Unconfirmed — joint query/page data required</x:v>
      </x:c>
    </x:row>
    <x:row r="517" ht="42" customHeight="1">
      <x:c r="A517" s="6" t="str">
        <x:v>bentley repair</x:v>
      </x:c>
      <x:c r="B517" s="14" t="n">
        <x:v>0</x:v>
      </x:c>
      <x:c r="C517" s="14" t="n">
        <x:v>27</x:v>
      </x:c>
      <x:c r="D517" s="15" t="n">
        <x:v>0</x:v>
      </x:c>
      <x:c r="E517" s="16" t="n">
        <x:v>58.19</x:v>
      </x:c>
      <x:c r="F517" s="6" t="str">
        <x:v>GROWTH</x:v>
      </x:c>
      <x:c r="G517" s="17" t="n">
        <x:f>'Scoring'!I517</x:f>
        <x:v>58.6</x:v>
      </x:c>
      <x:c r="H517" s="6" t="str">
        <x:v>SUPPORT</x:v>
      </x:c>
      <x:c r="I517" s="6" t="str">
        <x:v>bentley: Service and repair (English)</x:v>
      </x:c>
      <x:c r="J517" s="6" t="str">
        <x:v>Secondary</x:v>
      </x:c>
      <x:c r="K517" s="6" t="str">
        <x:v>Commercial service enquiry</x:v>
      </x:c>
      <x:c r="L517" s="6" t="str">
        <x:v>High</x:v>
      </x:c>
      <x:c r="M517" s="6" t="str">
        <x:v>https://digitecme.com/brands/bentley-service-dubai</x:v>
      </x:c>
      <x:c r="N517" s="6" t="str">
        <x:v>Unknown — export has no query/page pairing</x:v>
      </x:c>
      <x:c r="O517" s="6" t="str">
        <x:v>Retain primary intent and support variants</x:v>
      </x:c>
      <x:c r="P517" s="6" t="str">
        <x:v>Average position 58.19 makes ranking the main issue; avoid a CTR-only rewrite.</x:v>
      </x:c>
      <x:c r="Q517" s="6" t="str">
        <x:v>bentley</x:v>
      </x:c>
      <x:c r="R517" s="6" t="str">
        <x:v>service-repair</x:v>
      </x:c>
      <x:c r="S517" s="6" t="str">
        <x:v>Location unspecified</x:v>
      </x:c>
      <x:c r="T517" s="6" t="n">
        <x:v>5</x:v>
      </x:c>
      <x:c r="U517" s="6" t="str">
        <x:v>40+</x:v>
      </x:c>
      <x:c r="V517" s="6" t="str">
        <x:v>Relevance, capability, indexing and authority review</x:v>
      </x:c>
      <x:c r="W517" s="6" t="str">
        <x:v>Relevant supporting</x:v>
      </x:c>
      <x:c r="X517" s="6" t="n">
        <x:v>513</x:v>
      </x:c>
      <x:c r="Y517" s="6" t="str">
        <x:v>Unconfirmed — joint query/page data required</x:v>
      </x:c>
    </x:row>
    <x:row r="518" ht="57" customHeight="1">
      <x:c r="A518" s="6" t="str">
        <x:v>mini engine repair</x:v>
      </x:c>
      <x:c r="B518" s="14" t="n">
        <x:v>0</x:v>
      </x:c>
      <x:c r="C518" s="14" t="n">
        <x:v>27</x:v>
      </x:c>
      <x:c r="D518" s="15" t="n">
        <x:v>0</x:v>
      </x:c>
      <x:c r="E518" s="16" t="n">
        <x:v>61.96</x:v>
      </x:c>
      <x:c r="F518" s="6" t="str">
        <x:v>GROWTH</x:v>
      </x:c>
      <x:c r="G518" s="17" t="n">
        <x:f>'Scoring'!I518</x:f>
        <x:v>50.6</x:v>
      </x:c>
      <x:c r="H518" s="6" t="str">
        <x:v>SPLIT</x:v>
      </x:c>
      <x:c r="I518" s="6" t="str">
        <x:v>mini: Engine and mechanical repair</x:v>
      </x:c>
      <x:c r="J518" s="6" t="str">
        <x:v>Primary</x:v>
      </x:c>
      <x:c r="K518" s="6" t="str">
        <x:v>Commercial service enquiry</x:v>
      </x:c>
      <x:c r="L518" s="6" t="str">
        <x:v>High</x:v>
      </x:c>
      <x:c r="M518" s="6" t="str">
        <x:v>https://digitecme.com/brands/mini-service-dubai</x:v>
      </x:c>
      <x:c r="N518" s="6" t="str">
        <x:v>Unknown — export has no query/page pairing</x:v>
      </x:c>
      <x:c r="O518" s="6" t="str">
        <x:v>Use dedicated service owner</x:v>
      </x:c>
      <x:c r="P518" s="6" t="str">
        <x:v>No existing specific indexable owner established; use a relevant hub section and confirm demand before a new page. Average position 61.96 makes ranking the main issue; avoid a CTR-only rewrite.</x:v>
      </x:c>
      <x:c r="Q518" s="6" t="str">
        <x:v>mini</x:v>
      </x:c>
      <x:c r="R518" s="6" t="str">
        <x:v>mechanical-repair</x:v>
      </x:c>
      <x:c r="S518" s="6" t="str">
        <x:v>Location unspecified</x:v>
      </x:c>
      <x:c r="T518" s="6" t="n">
        <x:v>3</x:v>
      </x:c>
      <x:c r="U518" s="6" t="str">
        <x:v>40+</x:v>
      </x:c>
      <x:c r="V518" s="6" t="str">
        <x:v>Relevance, capability, indexing and authority review</x:v>
      </x:c>
      <x:c r="W518" s="6" t="str">
        <x:v>High-value commercial</x:v>
      </x:c>
      <x:c r="X518" s="6" t="n">
        <x:v>514</x:v>
      </x:c>
      <x:c r="Y518" s="6" t="str">
        <x:v>Unconfirmed — joint query/page data required</x:v>
      </x:c>
    </x:row>
    <x:row r="519" ht="42" customHeight="1">
      <x:c r="A519" s="6" t="str">
        <x:v>mercedes diagnostic dubai</x:v>
      </x:c>
      <x:c r="B519" s="14" t="n">
        <x:v>0</x:v>
      </x:c>
      <x:c r="C519" s="14" t="n">
        <x:v>26</x:v>
      </x:c>
      <x:c r="D519" s="15" t="n">
        <x:v>0</x:v>
      </x:c>
      <x:c r="E519" s="16" t="n">
        <x:v>4.73</x:v>
      </x:c>
      <x:c r="F519" s="6" t="str">
        <x:v>CRITICAL</x:v>
      </x:c>
      <x:c r="G519" s="17" t="n">
        <x:f>'Scoring'!I519</x:f>
        <x:v>94.8</x:v>
      </x:c>
      <x:c r="H519" s="6" t="str">
        <x:v>SPLIT</x:v>
      </x:c>
      <x:c r="I519" s="6" t="str">
        <x:v>mercedes-benz: Diagnostics and supported coding</x:v>
      </x:c>
      <x:c r="J519" s="6" t="str">
        <x:v>Primary</x:v>
      </x:c>
      <x:c r="K519" s="6" t="str">
        <x:v>Commercial service enquiry</x:v>
      </x:c>
      <x:c r="L519" s="6" t="str">
        <x:v>High</x:v>
      </x:c>
      <x:c r="M519" s="6" t="str">
        <x:v>https://digitecme.com/services/mercedes-diagnostics-dubai</x:v>
      </x:c>
      <x:c r="N519" s="6" t="str">
        <x:v>Unknown — export has no query/page pairing</x:v>
      </x:c>
      <x:c r="O519" s="6" t="str">
        <x:v>Use dedicated service owner</x:v>
      </x:c>
      <x:c r="P519" s="6" t="str">
        <x:v>Zero clicks from 26 impressions at average position 4.73; inspect query/page, country/device and SERP before attributing this to the snippet.</x:v>
      </x:c>
      <x:c r="Q519" s="6" t="str">
        <x:v>mercedes-benz</x:v>
      </x:c>
      <x:c r="R519" s="6" t="str">
        <x:v>engine-diagnostics</x:v>
      </x:c>
      <x:c r="S519" s="6" t="str">
        <x:v>Dubai explicit</x:v>
      </x:c>
      <x:c r="T519" s="6" t="n">
        <x:v>5</x:v>
      </x:c>
      <x:c r="U519" s="6" t="str">
        <x:v>4–10</x:v>
      </x:c>
      <x:c r="V519" s="6" t="str">
        <x:v>Page-one CTR review and top-three relevance</x:v>
      </x:c>
      <x:c r="W519" s="6" t="str">
        <x:v>High-value commercial</x:v>
      </x:c>
      <x:c r="X519" s="6" t="n">
        <x:v>515</x:v>
      </x:c>
      <x:c r="Y519" s="6" t="str">
        <x:v>Unconfirmed — joint query/page data required</x:v>
      </x:c>
    </x:row>
    <x:row r="520" ht="42" customHeight="1">
      <x:c r="A520" s="6" t="str">
        <x:v>aston martin service center dubai</x:v>
      </x:c>
      <x:c r="B520" s="14" t="n">
        <x:v>0</x:v>
      </x:c>
      <x:c r="C520" s="14" t="n">
        <x:v>26</x:v>
      </x:c>
      <x:c r="D520" s="15" t="n">
        <x:v>0</x:v>
      </x:c>
      <x:c r="E520" s="16" t="n">
        <x:v>12.85</x:v>
      </x:c>
      <x:c r="F520" s="6" t="str">
        <x:v>CRITICAL</x:v>
      </x:c>
      <x:c r="G520" s="17" t="n">
        <x:f>'Scoring'!I520</x:f>
        <x:v>84.8</x:v>
      </x:c>
      <x:c r="H520" s="6" t="str">
        <x:v>SUPPORT</x:v>
      </x:c>
      <x:c r="I520" s="6" t="str">
        <x:v>aston-martin: Service and repair</x:v>
      </x:c>
      <x:c r="J520" s="6" t="str">
        <x:v>Secondary</x:v>
      </x:c>
      <x:c r="K520" s="6" t="str">
        <x:v>Commercial service enquiry</x:v>
      </x:c>
      <x:c r="L520" s="6" t="str">
        <x:v>High</x:v>
      </x:c>
      <x:c r="M520" s="6" t="str">
        <x:v>https://digitecme.com/brands/aston-martin-service-dubai</x:v>
      </x:c>
      <x:c r="N520" s="6" t="str">
        <x:v>Unknown — export has no query/page pairing</x:v>
      </x:c>
      <x:c r="O520" s="6" t="str">
        <x:v>Retain primary intent and support variants</x:v>
      </x:c>
      <x:c r="P520" s="6" t="str">
        <x:v>26 impressions at average position 12.85; strengthen the appropriate intent owner and measure with a fresh comparable period.</x:v>
      </x:c>
      <x:c r="Q520" s="6" t="str">
        <x:v>aston-martin</x:v>
      </x:c>
      <x:c r="R520" s="6" t="str">
        <x:v>service-repair</x:v>
      </x:c>
      <x:c r="S520" s="6" t="str">
        <x:v>Dubai explicit</x:v>
      </x:c>
      <x:c r="T520" s="6" t="n">
        <x:v>5</x:v>
      </x:c>
      <x:c r="U520" s="6" t="str">
        <x:v>11–20</x:v>
      </x:c>
      <x:c r="V520" s="6" t="str">
        <x:v>Ranking and owner relevance</x:v>
      </x:c>
      <x:c r="W520" s="6" t="str">
        <x:v>Relevant supporting</x:v>
      </x:c>
      <x:c r="X520" s="6" t="n">
        <x:v>516</x:v>
      </x:c>
      <x:c r="Y520" s="6" t="str">
        <x:v>Unconfirmed — joint query/page data required</x:v>
      </x:c>
    </x:row>
    <x:row r="521" ht="42" customHeight="1">
      <x:c r="A521" s="6" t="str">
        <x:v>aston martin service center</x:v>
      </x:c>
      <x:c r="B521" s="14" t="n">
        <x:v>0</x:v>
      </x:c>
      <x:c r="C521" s="14" t="n">
        <x:v>26</x:v>
      </x:c>
      <x:c r="D521" s="15" t="n">
        <x:v>0</x:v>
      </x:c>
      <x:c r="E521" s="16" t="n">
        <x:v>13.81</x:v>
      </x:c>
      <x:c r="F521" s="6" t="str">
        <x:v>CRITICAL</x:v>
      </x:c>
      <x:c r="G521" s="17" t="n">
        <x:f>'Scoring'!I521</x:f>
        <x:v>79.8</x:v>
      </x:c>
      <x:c r="H521" s="6" t="str">
        <x:v>SUPPORT</x:v>
      </x:c>
      <x:c r="I521" s="6" t="str">
        <x:v>aston-martin: Service and repair</x:v>
      </x:c>
      <x:c r="J521" s="6" t="str">
        <x:v>Secondary</x:v>
      </x:c>
      <x:c r="K521" s="6" t="str">
        <x:v>Commercial service enquiry</x:v>
      </x:c>
      <x:c r="L521" s="6" t="str">
        <x:v>High</x:v>
      </x:c>
      <x:c r="M521" s="6" t="str">
        <x:v>https://digitecme.com/brands/aston-martin-service-dubai</x:v>
      </x:c>
      <x:c r="N521" s="6" t="str">
        <x:v>Unknown — export has no query/page pairing</x:v>
      </x:c>
      <x:c r="O521" s="6" t="str">
        <x:v>Retain primary intent and support variants</x:v>
      </x:c>
      <x:c r="P521" s="6" t="str">
        <x:v>26 impressions at average position 13.81; strengthen the appropriate intent owner and measure with a fresh comparable period.</x:v>
      </x:c>
      <x:c r="Q521" s="6" t="str">
        <x:v>aston-martin</x:v>
      </x:c>
      <x:c r="R521" s="6" t="str">
        <x:v>service-repair</x:v>
      </x:c>
      <x:c r="S521" s="6" t="str">
        <x:v>Location unspecified</x:v>
      </x:c>
      <x:c r="T521" s="6" t="n">
        <x:v>5</x:v>
      </x:c>
      <x:c r="U521" s="6" t="str">
        <x:v>11–20</x:v>
      </x:c>
      <x:c r="V521" s="6" t="str">
        <x:v>Ranking and owner relevance</x:v>
      </x:c>
      <x:c r="W521" s="6" t="str">
        <x:v>Relevant supporting</x:v>
      </x:c>
      <x:c r="X521" s="6" t="n">
        <x:v>517</x:v>
      </x:c>
      <x:c r="Y521" s="6" t="str">
        <x:v>Unconfirmed — joint query/page data required</x:v>
      </x:c>
    </x:row>
    <x:row r="522" ht="42" customHeight="1">
      <x:c r="A522" s="6" t="str">
        <x:v>mercedes dubai service center</x:v>
      </x:c>
      <x:c r="B522" s="14" t="n">
        <x:v>0</x:v>
      </x:c>
      <x:c r="C522" s="14" t="n">
        <x:v>26</x:v>
      </x:c>
      <x:c r="D522" s="15" t="n">
        <x:v>0</x:v>
      </x:c>
      <x:c r="E522" s="16" t="n">
        <x:v>14.12</x:v>
      </x:c>
      <x:c r="F522" s="6" t="str">
        <x:v>CRITICAL</x:v>
      </x:c>
      <x:c r="G522" s="17" t="n">
        <x:f>'Scoring'!I522</x:f>
        <x:v>84.8</x:v>
      </x:c>
      <x:c r="H522" s="6" t="str">
        <x:v>SUPPORT</x:v>
      </x:c>
      <x:c r="I522" s="6" t="str">
        <x:v>mercedes-benz: Service and repair (English)</x:v>
      </x:c>
      <x:c r="J522" s="6" t="str">
        <x:v>Secondary</x:v>
      </x:c>
      <x:c r="K522" s="6" t="str">
        <x:v>Commercial service enquiry</x:v>
      </x:c>
      <x:c r="L522" s="6" t="str">
        <x:v>High</x:v>
      </x:c>
      <x:c r="M522" s="6" t="str">
        <x:v>https://digitecme.com/brands/mercedes-benz-service-dubai</x:v>
      </x:c>
      <x:c r="N522" s="6" t="str">
        <x:v>Unknown — export has no query/page pairing</x:v>
      </x:c>
      <x:c r="O522" s="6" t="str">
        <x:v>Retain primary intent and support variants</x:v>
      </x:c>
      <x:c r="P522" s="6" t="str">
        <x:v>26 impressions at average position 14.12; strengthen the appropriate intent owner and measure with a fresh comparable period.</x:v>
      </x:c>
      <x:c r="Q522" s="6" t="str">
        <x:v>mercedes-benz</x:v>
      </x:c>
      <x:c r="R522" s="6" t="str">
        <x:v>service-repair</x:v>
      </x:c>
      <x:c r="S522" s="6" t="str">
        <x:v>Dubai explicit</x:v>
      </x:c>
      <x:c r="T522" s="6" t="n">
        <x:v>5</x:v>
      </x:c>
      <x:c r="U522" s="6" t="str">
        <x:v>11–20</x:v>
      </x:c>
      <x:c r="V522" s="6" t="str">
        <x:v>Ranking and owner relevance</x:v>
      </x:c>
      <x:c r="W522" s="6" t="str">
        <x:v>Relevant supporting</x:v>
      </x:c>
      <x:c r="X522" s="6" t="n">
        <x:v>518</x:v>
      </x:c>
      <x:c r="Y522" s="6" t="str">
        <x:v>Unconfirmed — joint query/page data required</x:v>
      </x:c>
    </x:row>
    <x:row r="523" ht="42" customHeight="1">
      <x:c r="A523" s="6" t="str">
        <x:v>bmw repair in dubai</x:v>
      </x:c>
      <x:c r="B523" s="14" t="n">
        <x:v>0</x:v>
      </x:c>
      <x:c r="C523" s="14" t="n">
        <x:v>26</x:v>
      </x:c>
      <x:c r="D523" s="15" t="n">
        <x:v>0</x:v>
      </x:c>
      <x:c r="E523" s="16" t="n">
        <x:v>17.27</x:v>
      </x:c>
      <x:c r="F523" s="6" t="str">
        <x:v>HIGH</x:v>
      </x:c>
      <x:c r="G523" s="17" t="n">
        <x:f>'Scoring'!I523</x:f>
        <x:v>77.3</x:v>
      </x:c>
      <x:c r="H523" s="6" t="str">
        <x:v>SUPPORT</x:v>
      </x:c>
      <x:c r="I523" s="6" t="str">
        <x:v>bmw: Service and repair (English)</x:v>
      </x:c>
      <x:c r="J523" s="6" t="str">
        <x:v>Secondary</x:v>
      </x:c>
      <x:c r="K523" s="6" t="str">
        <x:v>Commercial service enquiry</x:v>
      </x:c>
      <x:c r="L523" s="6" t="str">
        <x:v>High</x:v>
      </x:c>
      <x:c r="M523" s="6" t="str">
        <x:v>https://digitecme.com/brands/bmw-service-dubai</x:v>
      </x:c>
      <x:c r="N523" s="6" t="str">
        <x:v>Unknown — export has no query/page pairing</x:v>
      </x:c>
      <x:c r="O523" s="6" t="str">
        <x:v>Retain primary intent and support variants</x:v>
      </x:c>
      <x:c r="P523" s="6" t="str">
        <x:v>26 impressions at average position 17.27; strengthen the appropriate intent owner and measure with a fresh comparable period.</x:v>
      </x:c>
      <x:c r="Q523" s="6" t="str">
        <x:v>bmw</x:v>
      </x:c>
      <x:c r="R523" s="6" t="str">
        <x:v>service-repair</x:v>
      </x:c>
      <x:c r="S523" s="6" t="str">
        <x:v>Dubai explicit</x:v>
      </x:c>
      <x:c r="T523" s="6" t="n">
        <x:v>5</x:v>
      </x:c>
      <x:c r="U523" s="6" t="str">
        <x:v>11–20</x:v>
      </x:c>
      <x:c r="V523" s="6" t="str">
        <x:v>Ranking and owner relevance</x:v>
      </x:c>
      <x:c r="W523" s="6" t="str">
        <x:v>Relevant supporting</x:v>
      </x:c>
      <x:c r="X523" s="6" t="n">
        <x:v>519</x:v>
      </x:c>
      <x:c r="Y523" s="6" t="str">
        <x:v>Unconfirmed — joint query/page data required</x:v>
      </x:c>
    </x:row>
    <x:row r="524" ht="42" customHeight="1">
      <x:c r="A524" s="6" t="str">
        <x:v>land rover service center dubai</x:v>
      </x:c>
      <x:c r="B524" s="14" t="n">
        <x:v>0</x:v>
      </x:c>
      <x:c r="C524" s="14" t="n">
        <x:v>26</x:v>
      </x:c>
      <x:c r="D524" s="15" t="n">
        <x:v>0</x:v>
      </x:c>
      <x:c r="E524" s="16" t="n">
        <x:v>18.96</x:v>
      </x:c>
      <x:c r="F524" s="6" t="str">
        <x:v>HIGH</x:v>
      </x:c>
      <x:c r="G524" s="17" t="n">
        <x:f>'Scoring'!I524</x:f>
        <x:v>77.3</x:v>
      </x:c>
      <x:c r="H524" s="6" t="str">
        <x:v>SUPPORT</x:v>
      </x:c>
      <x:c r="I524" s="6" t="str">
        <x:v>land-rover: Service and repair</x:v>
      </x:c>
      <x:c r="J524" s="6" t="str">
        <x:v>Secondary</x:v>
      </x:c>
      <x:c r="K524" s="6" t="str">
        <x:v>Commercial service enquiry</x:v>
      </x:c>
      <x:c r="L524" s="6" t="str">
        <x:v>High</x:v>
      </x:c>
      <x:c r="M524" s="6" t="str">
        <x:v>https://digitecme.com/brands/land-rover-service-dubai</x:v>
      </x:c>
      <x:c r="N524" s="6" t="str">
        <x:v>Unknown — export has no query/page pairing</x:v>
      </x:c>
      <x:c r="O524" s="6" t="str">
        <x:v>Retain primary intent and support variants</x:v>
      </x:c>
      <x:c r="P524" s="6" t="str">
        <x:v>26 impressions at average position 18.96; strengthen the appropriate intent owner and measure with a fresh comparable period.</x:v>
      </x:c>
      <x:c r="Q524" s="6" t="str">
        <x:v>land-rover</x:v>
      </x:c>
      <x:c r="R524" s="6" t="str">
        <x:v>service-repair</x:v>
      </x:c>
      <x:c r="S524" s="6" t="str">
        <x:v>Dubai explicit</x:v>
      </x:c>
      <x:c r="T524" s="6" t="n">
        <x:v>5</x:v>
      </x:c>
      <x:c r="U524" s="6" t="str">
        <x:v>11–20</x:v>
      </x:c>
      <x:c r="V524" s="6" t="str">
        <x:v>Ranking and owner relevance</x:v>
      </x:c>
      <x:c r="W524" s="6" t="str">
        <x:v>Relevant supporting</x:v>
      </x:c>
      <x:c r="X524" s="6" t="n">
        <x:v>520</x:v>
      </x:c>
      <x:c r="Y524" s="6" t="str">
        <x:v>Unconfirmed — joint query/page data required</x:v>
      </x:c>
    </x:row>
    <x:row r="525" ht="42" customHeight="1">
      <x:c r="A525" s="6" t="str">
        <x:v>jeep service dubai al quoz</x:v>
      </x:c>
      <x:c r="B525" s="14" t="n">
        <x:v>0</x:v>
      </x:c>
      <x:c r="C525" s="14" t="n">
        <x:v>26</x:v>
      </x:c>
      <x:c r="D525" s="15" t="n">
        <x:v>0</x:v>
      </x:c>
      <x:c r="E525" s="16" t="n">
        <x:v>23.73</x:v>
      </x:c>
      <x:c r="F525" s="6" t="str">
        <x:v>HIGH</x:v>
      </x:c>
      <x:c r="G525" s="17" t="n">
        <x:f>'Scoring'!I525</x:f>
        <x:v>69.3</x:v>
      </x:c>
      <x:c r="H525" s="6" t="str">
        <x:v>SUPPORT</x:v>
      </x:c>
      <x:c r="I525" s="6" t="str">
        <x:v>jeep: Service and repair (English)</x:v>
      </x:c>
      <x:c r="J525" s="6" t="str">
        <x:v>Secondary</x:v>
      </x:c>
      <x:c r="K525" s="6" t="str">
        <x:v>Commercial service enquiry</x:v>
      </x:c>
      <x:c r="L525" s="6" t="str">
        <x:v>High</x:v>
      </x:c>
      <x:c r="M525" s="6" t="str">
        <x:v>https://digitecme.com/brands/jeep-service-dubai</x:v>
      </x:c>
      <x:c r="N525" s="6" t="str">
        <x:v>Unknown — export has no query/page pairing</x:v>
      </x:c>
      <x:c r="O525" s="6" t="str">
        <x:v>Retain primary intent and support variants</x:v>
      </x:c>
      <x:c r="P525" s="6" t="str">
        <x:v>Average position 23.73 makes ranking the main issue; avoid a CTR-only rewrite.</x:v>
      </x:c>
      <x:c r="Q525" s="6" t="str">
        <x:v>jeep</x:v>
      </x:c>
      <x:c r="R525" s="6" t="str">
        <x:v>service-repair</x:v>
      </x:c>
      <x:c r="S525" s="6" t="str">
        <x:v>Dubai explicit</x:v>
      </x:c>
      <x:c r="T525" s="6" t="n">
        <x:v>3</x:v>
      </x:c>
      <x:c r="U525" s="6" t="str">
        <x:v>21–40</x:v>
      </x:c>
      <x:c r="V525" s="6" t="str">
        <x:v>Content, internal authority and owner alignment</x:v>
      </x:c>
      <x:c r="W525" s="6" t="str">
        <x:v>Relevant supporting</x:v>
      </x:c>
      <x:c r="X525" s="6" t="n">
        <x:v>521</x:v>
      </x:c>
      <x:c r="Y525" s="6" t="str">
        <x:v>Unconfirmed — joint query/page data required</x:v>
      </x:c>
    </x:row>
    <x:row r="526" ht="42" customHeight="1">
      <x:c r="A526" s="6" t="str">
        <x:v>افضل ورشة بورش</x:v>
      </x:c>
      <x:c r="B526" s="14" t="n">
        <x:v>0</x:v>
      </x:c>
      <x:c r="C526" s="14" t="n">
        <x:v>26</x:v>
      </x:c>
      <x:c r="D526" s="15" t="n">
        <x:v>0</x:v>
      </x:c>
      <x:c r="E526" s="16" t="n">
        <x:v>26.81</x:v>
      </x:c>
      <x:c r="F526" s="6" t="str">
        <x:v>HIGH</x:v>
      </x:c>
      <x:c r="G526" s="17" t="n">
        <x:f>'Scoring'!I526</x:f>
        <x:v>72.3</x:v>
      </x:c>
      <x:c r="H526" s="6" t="str">
        <x:v>PRIORITIZE</x:v>
      </x:c>
      <x:c r="I526" s="6" t="str">
        <x:v>porsche: Service and repair (Arabic)</x:v>
      </x:c>
      <x:c r="J526" s="6" t="str">
        <x:v>Primary</x:v>
      </x:c>
      <x:c r="K526" s="6" t="str">
        <x:v>Commercial service enquiry</x:v>
      </x:c>
      <x:c r="L526" s="6" t="str">
        <x:v>High</x:v>
      </x:c>
      <x:c r="M526" s="6" t="str">
        <x:v>https://digitecme.com/ar/brands/porsche-service-dubai</x:v>
      </x:c>
      <x:c r="N526" s="6" t="str">
        <x:v>Unknown — export has no query/page pairing</x:v>
      </x:c>
      <x:c r="O526" s="6" t="str">
        <x:v>Strengthen this primary intent owner</x:v>
      </x:c>
      <x:c r="P526" s="6" t="str">
        <x:v>Use the existing Arabic counterpart and verify its translation quality. Average position 26.81 makes ranking the main issue; avoid a CTR-only rewrite.</x:v>
      </x:c>
      <x:c r="Q526" s="6" t="str">
        <x:v>porsche</x:v>
      </x:c>
      <x:c r="R526" s="6" t="str">
        <x:v>service-repair</x:v>
      </x:c>
      <x:c r="S526" s="6" t="str">
        <x:v>Location unspecified</x:v>
      </x:c>
      <x:c r="T526" s="6" t="n">
        <x:v>5</x:v>
      </x:c>
      <x:c r="U526" s="6" t="str">
        <x:v>21–40</x:v>
      </x:c>
      <x:c r="V526" s="6" t="str">
        <x:v>Content, internal authority and owner alignment</x:v>
      </x:c>
      <x:c r="W526" s="6" t="str">
        <x:v>High-value commercial</x:v>
      </x:c>
      <x:c r="X526" s="6" t="n">
        <x:v>522</x:v>
      </x:c>
      <x:c r="Y526" s="6" t="str">
        <x:v>Unconfirmed — joint query/page data required</x:v>
      </x:c>
    </x:row>
    <x:row r="527" ht="57" customHeight="1">
      <x:c r="A527" s="6" t="str">
        <x:v>cadillac transmission repair dubai</x:v>
      </x:c>
      <x:c r="B527" s="14" t="n">
        <x:v>0</x:v>
      </x:c>
      <x:c r="C527" s="14" t="n">
        <x:v>26</x:v>
      </x:c>
      <x:c r="D527" s="15" t="n">
        <x:v>0</x:v>
      </x:c>
      <x:c r="E527" s="16" t="n">
        <x:v>29.77</x:v>
      </x:c>
      <x:c r="F527" s="6" t="str">
        <x:v>HIGH</x:v>
      </x:c>
      <x:c r="G527" s="17" t="n">
        <x:f>'Scoring'!I527</x:f>
        <x:v>40.2</x:v>
      </x:c>
      <x:c r="H527" s="6" t="str">
        <x:v>SPLIT</x:v>
      </x:c>
      <x:c r="I527" s="6" t="str">
        <x:v>cadillac: Transmission and gearbox repair</x:v>
      </x:c>
      <x:c r="J527" s="6" t="str">
        <x:v>Primary</x:v>
      </x:c>
      <x:c r="K527" s="6" t="str">
        <x:v>Commercial service enquiry</x:v>
      </x:c>
      <x:c r="L527" s="6" t="str">
        <x:v>Medium</x:v>
      </x:c>
      <x:c r="M527" s="6" t="str">
        <x:v>https://digitecme.com/brands/cadillac-service-dubai/transmission-repair</x:v>
      </x:c>
      <x:c r="N527" s="6" t="str">
        <x:v>Unknown — export has no query/page pairing</x:v>
      </x:c>
      <x:c r="O527" s="6" t="str">
        <x:v>Use dedicated service owner</x:v>
      </x:c>
      <x:c r="P527" s="6" t="str">
        <x:v>Existing specific page is noindex; assess service evidence and distinct content before changing indexation. Average position 29.77 makes ranking the main issue; avoid a CTR-only rewrite.</x:v>
      </x:c>
      <x:c r="Q527" s="6" t="str">
        <x:v>cadillac</x:v>
      </x:c>
      <x:c r="R527" s="6" t="str">
        <x:v>transmission-repair</x:v>
      </x:c>
      <x:c r="S527" s="6" t="str">
        <x:v>Dubai explicit</x:v>
      </x:c>
      <x:c r="T527" s="6" t="n">
        <x:v>3</x:v>
      </x:c>
      <x:c r="U527" s="6" t="str">
        <x:v>21–40</x:v>
      </x:c>
      <x:c r="V527" s="6" t="str">
        <x:v>Content, internal authority and owner alignment</x:v>
      </x:c>
      <x:c r="W527" s="6" t="str">
        <x:v>High-value commercial</x:v>
      </x:c>
      <x:c r="X527" s="6" t="n">
        <x:v>523</x:v>
      </x:c>
      <x:c r="Y527" s="6" t="str">
        <x:v>Unconfirmed — joint query/page data required</x:v>
      </x:c>
    </x:row>
    <x:row r="528" ht="42" customHeight="1">
      <x:c r="A528" s="6" t="str">
        <x:v>ford repair specialist</x:v>
      </x:c>
      <x:c r="B528" s="14" t="n">
        <x:v>0</x:v>
      </x:c>
      <x:c r="C528" s="14" t="n">
        <x:v>26</x:v>
      </x:c>
      <x:c r="D528" s="15" t="n">
        <x:v>0</x:v>
      </x:c>
      <x:c r="E528" s="16" t="n">
        <x:v>36.69</x:v>
      </x:c>
      <x:c r="F528" s="6" t="str">
        <x:v>GROWTH</x:v>
      </x:c>
      <x:c r="G528" s="17" t="n">
        <x:f>'Scoring'!I528</x:f>
        <x:v>56.8</x:v>
      </x:c>
      <x:c r="H528" s="6" t="str">
        <x:v>SUPPORT</x:v>
      </x:c>
      <x:c r="I528" s="6" t="str">
        <x:v>ford: Service and repair (English)</x:v>
      </x:c>
      <x:c r="J528" s="6" t="str">
        <x:v>Secondary</x:v>
      </x:c>
      <x:c r="K528" s="6" t="str">
        <x:v>Commercial service enquiry</x:v>
      </x:c>
      <x:c r="L528" s="6" t="str">
        <x:v>High</x:v>
      </x:c>
      <x:c r="M528" s="6" t="str">
        <x:v>https://digitecme.com/brands/ford-service-dubai</x:v>
      </x:c>
      <x:c r="N528" s="6" t="str">
        <x:v>Unknown — export has no query/page pairing</x:v>
      </x:c>
      <x:c r="O528" s="6" t="str">
        <x:v>Retain primary intent and support variants</x:v>
      </x:c>
      <x:c r="P528" s="6" t="str">
        <x:v>Average position 36.69 makes ranking the main issue; avoid a CTR-only rewrite.</x:v>
      </x:c>
      <x:c r="Q528" s="6" t="str">
        <x:v>ford</x:v>
      </x:c>
      <x:c r="R528" s="6" t="str">
        <x:v>service-repair</x:v>
      </x:c>
      <x:c r="S528" s="6" t="str">
        <x:v>Location unspecified</x:v>
      </x:c>
      <x:c r="T528" s="6" t="n">
        <x:v>3</x:v>
      </x:c>
      <x:c r="U528" s="6" t="str">
        <x:v>21–40</x:v>
      </x:c>
      <x:c r="V528" s="6" t="str">
        <x:v>Content, internal authority and owner alignment</x:v>
      </x:c>
      <x:c r="W528" s="6" t="str">
        <x:v>Relevant supporting</x:v>
      </x:c>
      <x:c r="X528" s="6" t="n">
        <x:v>524</x:v>
      </x:c>
      <x:c r="Y528" s="6" t="str">
        <x:v>Unconfirmed — joint query/page data required</x:v>
      </x:c>
    </x:row>
    <x:row r="529" ht="42" customHeight="1">
      <x:c r="A529" s="6" t="str">
        <x:v>volvo service center</x:v>
      </x:c>
      <x:c r="B529" s="14" t="n">
        <x:v>0</x:v>
      </x:c>
      <x:c r="C529" s="14" t="n">
        <x:v>26</x:v>
      </x:c>
      <x:c r="D529" s="15" t="n">
        <x:v>0</x:v>
      </x:c>
      <x:c r="E529" s="16" t="n">
        <x:v>41.73</x:v>
      </x:c>
      <x:c r="F529" s="6" t="str">
        <x:v>GROWTH</x:v>
      </x:c>
      <x:c r="G529" s="17" t="n">
        <x:f>'Scoring'!I529</x:f>
        <x:v>50.5</x:v>
      </x:c>
      <x:c r="H529" s="6" t="str">
        <x:v>SUPPORT</x:v>
      </x:c>
      <x:c r="I529" s="6" t="str">
        <x:v>volvo: Service and repair</x:v>
      </x:c>
      <x:c r="J529" s="6" t="str">
        <x:v>Secondary</x:v>
      </x:c>
      <x:c r="K529" s="6" t="str">
        <x:v>Commercial service enquiry</x:v>
      </x:c>
      <x:c r="L529" s="6" t="str">
        <x:v>High</x:v>
      </x:c>
      <x:c r="M529" s="6" t="str">
        <x:v>https://digitecme.com/brands/volvo-service-dubai</x:v>
      </x:c>
      <x:c r="N529" s="6" t="str">
        <x:v>Unknown — export has no query/page pairing</x:v>
      </x:c>
      <x:c r="O529" s="6" t="str">
        <x:v>Retain primary intent and support variants</x:v>
      </x:c>
      <x:c r="P529" s="6" t="str">
        <x:v>Average position 41.73 makes ranking the main issue; avoid a CTR-only rewrite.</x:v>
      </x:c>
      <x:c r="Q529" s="6" t="str">
        <x:v>volvo</x:v>
      </x:c>
      <x:c r="R529" s="6" t="str">
        <x:v>service-repair</x:v>
      </x:c>
      <x:c r="S529" s="6" t="str">
        <x:v>Location unspecified</x:v>
      </x:c>
      <x:c r="T529" s="6" t="n">
        <x:v>3</x:v>
      </x:c>
      <x:c r="U529" s="6" t="str">
        <x:v>40+</x:v>
      </x:c>
      <x:c r="V529" s="6" t="str">
        <x:v>Relevance, capability, indexing and authority review</x:v>
      </x:c>
      <x:c r="W529" s="6" t="str">
        <x:v>Relevant supporting</x:v>
      </x:c>
      <x:c r="X529" s="6" t="n">
        <x:v>525</x:v>
      </x:c>
      <x:c r="Y529" s="6" t="str">
        <x:v>Unconfirmed — joint query/page data required</x:v>
      </x:c>
    </x:row>
    <x:row r="530" ht="42" customHeight="1">
      <x:c r="A530" s="6" t="str">
        <x:v>car battery dubai</x:v>
      </x:c>
      <x:c r="B530" s="14" t="n">
        <x:v>0</x:v>
      </x:c>
      <x:c r="C530" s="14" t="n">
        <x:v>26</x:v>
      </x:c>
      <x:c r="D530" s="15" t="n">
        <x:v>0</x:v>
      </x:c>
      <x:c r="E530" s="16" t="n">
        <x:v>45.69</x:v>
      </x:c>
      <x:c r="F530" s="6" t="str">
        <x:v>GROWTH</x:v>
      </x:c>
      <x:c r="G530" s="17" t="n">
        <x:f>'Scoring'!I530</x:f>
        <x:v>55.5</x:v>
      </x:c>
      <x:c r="H530" s="6" t="str">
        <x:v>SUPPORT</x:v>
      </x:c>
      <x:c r="I530" s="6" t="str">
        <x:v>All vehicles: Battery service (English)</x:v>
      </x:c>
      <x:c r="J530" s="6" t="str">
        <x:v>Secondary</x:v>
      </x:c>
      <x:c r="K530" s="6" t="str">
        <x:v>Commercial service enquiry</x:v>
      </x:c>
      <x:c r="L530" s="6" t="str">
        <x:v>High</x:v>
      </x:c>
      <x:c r="M530" s="6" t="str">
        <x:v>https://digitecme.com/services/battery-replacement-dubai</x:v>
      </x:c>
      <x:c r="N530" s="6" t="str">
        <x:v>Unknown — export has no query/page pairing</x:v>
      </x:c>
      <x:c r="O530" s="6" t="str">
        <x:v>Retain primary intent and support variants</x:v>
      </x:c>
      <x:c r="P530" s="6" t="str">
        <x:v>Average position 45.69 makes ranking the main issue; avoid a CTR-only rewrite.</x:v>
      </x:c>
      <x:c r="Q530" s="6" t="str">
        <x:v>All vehicles</x:v>
      </x:c>
      <x:c r="R530" s="6" t="str">
        <x:v>battery-replacement</x:v>
      </x:c>
      <x:c r="S530" s="6" t="str">
        <x:v>Dubai explicit</x:v>
      </x:c>
      <x:c r="T530" s="6" t="n">
        <x:v>3</x:v>
      </x:c>
      <x:c r="U530" s="6" t="str">
        <x:v>40+</x:v>
      </x:c>
      <x:c r="V530" s="6" t="str">
        <x:v>Relevance, capability, indexing and authority review</x:v>
      </x:c>
      <x:c r="W530" s="6" t="str">
        <x:v>Relevant supporting</x:v>
      </x:c>
      <x:c r="X530" s="6" t="n">
        <x:v>526</x:v>
      </x:c>
      <x:c r="Y530" s="6" t="str">
        <x:v>Unconfirmed — joint query/page data required</x:v>
      </x:c>
    </x:row>
    <x:row r="531" ht="42" customHeight="1">
      <x:c r="A531" s="6" t="str">
        <x:v>jeep service</x:v>
      </x:c>
      <x:c r="B531" s="14" t="n">
        <x:v>0</x:v>
      </x:c>
      <x:c r="C531" s="14" t="n">
        <x:v>26</x:v>
      </x:c>
      <x:c r="D531" s="15" t="n">
        <x:v>0</x:v>
      </x:c>
      <x:c r="E531" s="16" t="n">
        <x:v>49.15</x:v>
      </x:c>
      <x:c r="F531" s="6" t="str">
        <x:v>GROWTH</x:v>
      </x:c>
      <x:c r="G531" s="17" t="n">
        <x:f>'Scoring'!I531</x:f>
        <x:v>50.5</x:v>
      </x:c>
      <x:c r="H531" s="6" t="str">
        <x:v>SUPPORT</x:v>
      </x:c>
      <x:c r="I531" s="6" t="str">
        <x:v>jeep: Service and repair (English)</x:v>
      </x:c>
      <x:c r="J531" s="6" t="str">
        <x:v>Secondary</x:v>
      </x:c>
      <x:c r="K531" s="6" t="str">
        <x:v>Commercial service enquiry</x:v>
      </x:c>
      <x:c r="L531" s="6" t="str">
        <x:v>High</x:v>
      </x:c>
      <x:c r="M531" s="6" t="str">
        <x:v>https://digitecme.com/brands/jeep-service-dubai</x:v>
      </x:c>
      <x:c r="N531" s="6" t="str">
        <x:v>Unknown — export has no query/page pairing</x:v>
      </x:c>
      <x:c r="O531" s="6" t="str">
        <x:v>Retain primary intent and support variants</x:v>
      </x:c>
      <x:c r="P531" s="6" t="str">
        <x:v>Average position 49.15 makes ranking the main issue; avoid a CTR-only rewrite.</x:v>
      </x:c>
      <x:c r="Q531" s="6" t="str">
        <x:v>jeep</x:v>
      </x:c>
      <x:c r="R531" s="6" t="str">
        <x:v>service-repair</x:v>
      </x:c>
      <x:c r="S531" s="6" t="str">
        <x:v>Location unspecified</x:v>
      </x:c>
      <x:c r="T531" s="6" t="n">
        <x:v>3</x:v>
      </x:c>
      <x:c r="U531" s="6" t="str">
        <x:v>40+</x:v>
      </x:c>
      <x:c r="V531" s="6" t="str">
        <x:v>Relevance, capability, indexing and authority review</x:v>
      </x:c>
      <x:c r="W531" s="6" t="str">
        <x:v>Relevant supporting</x:v>
      </x:c>
      <x:c r="X531" s="6" t="n">
        <x:v>527</x:v>
      </x:c>
      <x:c r="Y531" s="6" t="str">
        <x:v>Unconfirmed — joint query/page data required</x:v>
      </x:c>
    </x:row>
    <x:row r="532" ht="72" customHeight="1">
      <x:c r="A532" s="6" t="str">
        <x:v>stek dynoprism paint protection film dubai uae</x:v>
      </x:c>
      <x:c r="B532" s="14" t="n">
        <x:v>0</x:v>
      </x:c>
      <x:c r="C532" s="14" t="n">
        <x:v>26</x:v>
      </x:c>
      <x:c r="D532" s="15" t="n">
        <x:v>0</x:v>
      </x:c>
      <x:c r="E532" s="16" t="n">
        <x:v>60</x:v>
      </x:c>
      <x:c r="F532" s="6" t="str">
        <x:v>DEPRIORITIZE</x:v>
      </x:c>
      <x:c r="G532" s="17" t="n">
        <x:f>'Scoring'!I532</x:f>
        <x:v>4.8</x:v>
      </x:c>
      <x:c r="H532" s="6" t="str">
        <x:v>DEPRIORITIZE</x:v>
      </x:c>
      <x:c r="I532" s="6" t="str">
        <x:v>All vehicles: Paint protection film</x:v>
      </x:c>
      <x:c r="J532" s="6" t="str">
        <x:v>Secondary</x:v>
      </x:c>
      <x:c r="K532" s="6" t="str">
        <x:v>Commercial service enquiry</x:v>
      </x:c>
      <x:c r="L532" s="6" t="str">
        <x:v>Unverified</x:v>
      </x:c>
      <x:c r="M532" s="6" t="str">
        <x:v>https://digitecme.com/services/paint-protection-film</x:v>
      </x:c>
      <x:c r="N532" s="6" t="str">
        <x:v>Unknown — export has no query/page pairing</x:v>
      </x:c>
      <x:c r="O532" s="6" t="str">
        <x:v>Confirm scope or deprioritize</x:v>
      </x:c>
      <x:c r="P532" s="6" t="str">
        <x:v>Film intent belongs to the PPF page; vehicle and district terms are secondary context. Product, high-voltage, delivery or specialist capability requires business confirmation; existing copy alone is not sufficient evidence. Average position 60.00 makes ranking the main issue; avoid a CTR-only rewrite.</x:v>
      </x:c>
      <x:c r="Q532" s="6" t="str">
        <x:v>All vehicles</x:v>
      </x:c>
      <x:c r="R532" s="6" t="str">
        <x:v>ppf</x:v>
      </x:c>
      <x:c r="S532" s="6" t="str">
        <x:v>Dubai explicit</x:v>
      </x:c>
      <x:c r="T532" s="6" t="n">
        <x:v>1</x:v>
      </x:c>
      <x:c r="U532" s="6" t="str">
        <x:v>40+</x:v>
      </x:c>
      <x:c r="V532" s="6" t="str">
        <x:v>Relevance, capability, indexing and authority review</x:v>
      </x:c>
      <x:c r="W532" s="6" t="str">
        <x:v>Low-value</x:v>
      </x:c>
      <x:c r="X532" s="6" t="n">
        <x:v>528</x:v>
      </x:c>
      <x:c r="Y532" s="6" t="str">
        <x:v>Unconfirmed — joint query/page data required</x:v>
      </x:c>
    </x:row>
    <x:row r="533" ht="42" customHeight="1">
      <x:c r="A533" s="6" t="str">
        <x:v>bmw body repair garage</x:v>
      </x:c>
      <x:c r="B533" s="14" t="n">
        <x:v>0</x:v>
      </x:c>
      <x:c r="C533" s="14" t="n">
        <x:v>26</x:v>
      </x:c>
      <x:c r="D533" s="15" t="n">
        <x:v>0</x:v>
      </x:c>
      <x:c r="E533" s="16" t="n">
        <x:v>61.58</x:v>
      </x:c>
      <x:c r="F533" s="6" t="str">
        <x:v>GROWTH</x:v>
      </x:c>
      <x:c r="G533" s="17" t="n">
        <x:f>'Scoring'!I533</x:f>
        <x:v>58.5</x:v>
      </x:c>
      <x:c r="H533" s="6" t="str">
        <x:v>SPLIT</x:v>
      </x:c>
      <x:c r="I533" s="6" t="str">
        <x:v>bmw: Body repair</x:v>
      </x:c>
      <x:c r="J533" s="6" t="str">
        <x:v>Secondary</x:v>
      </x:c>
      <x:c r="K533" s="6" t="str">
        <x:v>Commercial service enquiry</x:v>
      </x:c>
      <x:c r="L533" s="6" t="str">
        <x:v>High</x:v>
      </x:c>
      <x:c r="M533" s="6" t="str">
        <x:v>https://digitecme.com/brands/bmw-service-dubai/body-repair</x:v>
      </x:c>
      <x:c r="N533" s="6" t="str">
        <x:v>Unknown — export has no query/page pairing</x:v>
      </x:c>
      <x:c r="O533" s="6" t="str">
        <x:v>Use dedicated service owner</x:v>
      </x:c>
      <x:c r="P533" s="6" t="str">
        <x:v>Average position 61.58 makes ranking the main issue; avoid a CTR-only rewrite.</x:v>
      </x:c>
      <x:c r="Q533" s="6" t="str">
        <x:v>bmw</x:v>
      </x:c>
      <x:c r="R533" s="6" t="str">
        <x:v>body-repair</x:v>
      </x:c>
      <x:c r="S533" s="6" t="str">
        <x:v>Location unspecified</x:v>
      </x:c>
      <x:c r="T533" s="6" t="n">
        <x:v>5</x:v>
      </x:c>
      <x:c r="U533" s="6" t="str">
        <x:v>40+</x:v>
      </x:c>
      <x:c r="V533" s="6" t="str">
        <x:v>Relevance, capability, indexing and authority review</x:v>
      </x:c>
      <x:c r="W533" s="6" t="str">
        <x:v>High-value commercial</x:v>
      </x:c>
      <x:c r="X533" s="6" t="n">
        <x:v>529</x:v>
      </x:c>
      <x:c r="Y533" s="6" t="str">
        <x:v>Unconfirmed — joint query/page data required</x:v>
      </x:c>
    </x:row>
    <x:row r="534" ht="42" customHeight="1">
      <x:c r="A534" s="6" t="str">
        <x:v>audi gear repair abu dhabi</x:v>
      </x:c>
      <x:c r="B534" s="14" t="n">
        <x:v>0</x:v>
      </x:c>
      <x:c r="C534" s="14" t="n">
        <x:v>26</x:v>
      </x:c>
      <x:c r="D534" s="15" t="n">
        <x:v>0</x:v>
      </x:c>
      <x:c r="E534" s="16" t="n">
        <x:v>69.23</x:v>
      </x:c>
      <x:c r="F534" s="6" t="str">
        <x:v>DEPRIORITIZE</x:v>
      </x:c>
      <x:c r="G534" s="17" t="n">
        <x:f>'Scoring'!I534</x:f>
        <x:v>9.5</x:v>
      </x:c>
      <x:c r="H534" s="6" t="str">
        <x:v>DEPRIORITIZE</x:v>
      </x:c>
      <x:c r="I534" s="6" t="str">
        <x:v>audi: Transmission and gearbox repair (outside Dubai)</x:v>
      </x:c>
      <x:c r="J534" s="6" t="str">
        <x:v>Secondary</x:v>
      </x:c>
      <x:c r="K534" s="6" t="str">
        <x:v>Commercial service enquiry</x:v>
      </x:c>
      <x:c r="L534" s="6" t="str">
        <x:v>Low</x:v>
      </x:c>
      <x:c r="M534" s="6" t="str">
        <x:v>https://digitecme.com/brands/audi-service-dubai/transmission-repair</x:v>
      </x:c>
      <x:c r="N534" s="6" t="str">
        <x:v>Unknown — export has no query/page pairing</x:v>
      </x:c>
      <x:c r="O534" s="6" t="str">
        <x:v>Confirm scope or deprioritize</x:v>
      </x:c>
      <x:c r="P534" s="6" t="str">
        <x:v>Explicit destination differs from the Al Quoz workshop; do not claim a local branch or service coverage. Average position 69.23 makes ranking the main issue; avoid a CTR-only rewrite.</x:v>
      </x:c>
      <x:c r="Q534" s="6" t="str">
        <x:v>audi</x:v>
      </x:c>
      <x:c r="R534" s="6" t="str">
        <x:v>transmission-repair</x:v>
      </x:c>
      <x:c r="S534" s="6" t="str">
        <x:v>Outside Dubai</x:v>
      </x:c>
      <x:c r="T534" s="6" t="n">
        <x:v>1</x:v>
      </x:c>
      <x:c r="U534" s="6" t="str">
        <x:v>40+</x:v>
      </x:c>
      <x:c r="V534" s="6" t="str">
        <x:v>Relevance, capability, indexing and authority review</x:v>
      </x:c>
      <x:c r="W534" s="6" t="str">
        <x:v>Low-value</x:v>
      </x:c>
      <x:c r="X534" s="6" t="n">
        <x:v>530</x:v>
      </x:c>
      <x:c r="Y534" s="6" t="str">
        <x:v>Unconfirmed — joint query/page data required</x:v>
      </x:c>
    </x:row>
    <x:row r="535" ht="57" customHeight="1">
      <x:c r="A535" s="6" t="str">
        <x:v>tyre change service dubai</x:v>
      </x:c>
      <x:c r="B535" s="14" t="n">
        <x:v>0</x:v>
      </x:c>
      <x:c r="C535" s="14" t="n">
        <x:v>26</x:v>
      </x:c>
      <x:c r="D535" s="15" t="n">
        <x:v>0</x:v>
      </x:c>
      <x:c r="E535" s="16" t="n">
        <x:v>73.15</x:v>
      </x:c>
      <x:c r="F535" s="6" t="str">
        <x:v>GROWTH</x:v>
      </x:c>
      <x:c r="G535" s="17" t="n">
        <x:f>'Scoring'!I535</x:f>
        <x:v>51.5</x:v>
      </x:c>
      <x:c r="H535" s="6" t="str">
        <x:v>SUPPORT</x:v>
      </x:c>
      <x:c r="I535" s="6" t="str">
        <x:v>All vehicles: Tyre repair</x:v>
      </x:c>
      <x:c r="J535" s="6" t="str">
        <x:v>Secondary</x:v>
      </x:c>
      <x:c r="K535" s="6" t="str">
        <x:v>Commercial service enquiry</x:v>
      </x:c>
      <x:c r="L535" s="6" t="str">
        <x:v>High</x:v>
      </x:c>
      <x:c r="M535" s="6" t="str">
        <x:v>https://digitecme.com/services/tire-repair-dubai</x:v>
      </x:c>
      <x:c r="N535" s="6" t="str">
        <x:v>Unknown — export has no query/page pairing</x:v>
      </x:c>
      <x:c r="O535" s="6" t="str">
        <x:v>Retain primary intent and support variants</x:v>
      </x:c>
      <x:c r="P535" s="6" t="str">
        <x:v>Relevant workshop tyre enquiry with lower assumed value than specialist repair; no mobile or roadside claim. Average position 73.15 makes ranking the main issue; avoid a CTR-only rewrite.</x:v>
      </x:c>
      <x:c r="Q535" s="6" t="str">
        <x:v>All vehicles</x:v>
      </x:c>
      <x:c r="R535" s="6" t="str">
        <x:v>tire-repair</x:v>
      </x:c>
      <x:c r="S535" s="6" t="str">
        <x:v>Dubai explicit</x:v>
      </x:c>
      <x:c r="T535" s="6" t="n">
        <x:v>2</x:v>
      </x:c>
      <x:c r="U535" s="6" t="str">
        <x:v>40+</x:v>
      </x:c>
      <x:c r="V535" s="6" t="str">
        <x:v>Relevance, capability, indexing and authority review</x:v>
      </x:c>
      <x:c r="W535" s="6" t="str">
        <x:v>Relevant supporting</x:v>
      </x:c>
      <x:c r="X535" s="6" t="n">
        <x:v>531</x:v>
      </x:c>
      <x:c r="Y535" s="6" t="str">
        <x:v>Unconfirmed — joint query/page data required</x:v>
      </x:c>
    </x:row>
    <x:row r="536" ht="42" customHeight="1">
      <x:c r="A536" s="6" t="str">
        <x:v>صيانة بنتلي</x:v>
      </x:c>
      <x:c r="B536" s="14" t="n">
        <x:v>0</x:v>
      </x:c>
      <x:c r="C536" s="14" t="n">
        <x:v>26</x:v>
      </x:c>
      <x:c r="D536" s="15" t="n">
        <x:v>0</x:v>
      </x:c>
      <x:c r="E536" s="16" t="n">
        <x:v>76.58</x:v>
      </x:c>
      <x:c r="F536" s="6" t="str">
        <x:v>GROWTH</x:v>
      </x:c>
      <x:c r="G536" s="17" t="n">
        <x:f>'Scoring'!I536</x:f>
        <x:v>58.5</x:v>
      </x:c>
      <x:c r="H536" s="6" t="str">
        <x:v>SUPPORT</x:v>
      </x:c>
      <x:c r="I536" s="6" t="str">
        <x:v>bentley: Service and repair (Arabic)</x:v>
      </x:c>
      <x:c r="J536" s="6" t="str">
        <x:v>Secondary</x:v>
      </x:c>
      <x:c r="K536" s="6" t="str">
        <x:v>Commercial service enquiry</x:v>
      </x:c>
      <x:c r="L536" s="6" t="str">
        <x:v>High</x:v>
      </x:c>
      <x:c r="M536" s="6" t="str">
        <x:v>https://digitecme.com/ar/brands/bentley-service-dubai</x:v>
      </x:c>
      <x:c r="N536" s="6" t="str">
        <x:v>Unknown — export has no query/page pairing</x:v>
      </x:c>
      <x:c r="O536" s="6" t="str">
        <x:v>Retain primary intent and support variants</x:v>
      </x:c>
      <x:c r="P536" s="6" t="str">
        <x:v>Use the existing Arabic counterpart and verify its translation quality. Average position 76.58 makes ranking the main issue; avoid a CTR-only rewrite.</x:v>
      </x:c>
      <x:c r="Q536" s="6" t="str">
        <x:v>bentley</x:v>
      </x:c>
      <x:c r="R536" s="6" t="str">
        <x:v>service-repair</x:v>
      </x:c>
      <x:c r="S536" s="6" t="str">
        <x:v>Location unspecified</x:v>
      </x:c>
      <x:c r="T536" s="6" t="n">
        <x:v>5</x:v>
      </x:c>
      <x:c r="U536" s="6" t="str">
        <x:v>40+</x:v>
      </x:c>
      <x:c r="V536" s="6" t="str">
        <x:v>Relevance, capability, indexing and authority review</x:v>
      </x:c>
      <x:c r="W536" s="6" t="str">
        <x:v>Relevant supporting</x:v>
      </x:c>
      <x:c r="X536" s="6" t="n">
        <x:v>532</x:v>
      </x:c>
      <x:c r="Y536" s="6" t="str">
        <x:v>Unconfirmed — joint query/page data required</x:v>
      </x:c>
    </x:row>
    <x:row r="537" ht="42" customHeight="1">
      <x:c r="A537" s="6" t="str">
        <x:v>auto garage dubai</x:v>
      </x:c>
      <x:c r="B537" s="14" t="n">
        <x:v>0</x:v>
      </x:c>
      <x:c r="C537" s="14" t="n">
        <x:v>26</x:v>
      </x:c>
      <x:c r="D537" s="15" t="n">
        <x:v>0</x:v>
      </x:c>
      <x:c r="E537" s="16" t="n">
        <x:v>82.69</x:v>
      </x:c>
      <x:c r="F537" s="6" t="str">
        <x:v>GROWTH</x:v>
      </x:c>
      <x:c r="G537" s="17" t="n">
        <x:f>'Scoring'!I537</x:f>
        <x:v>55.5</x:v>
      </x:c>
      <x:c r="H537" s="6" t="str">
        <x:v>SUPPORT</x:v>
      </x:c>
      <x:c r="I537" s="6" t="str">
        <x:v>All vehicles: General garage and repair (English)</x:v>
      </x:c>
      <x:c r="J537" s="6" t="str">
        <x:v>Secondary</x:v>
      </x:c>
      <x:c r="K537" s="6" t="str">
        <x:v>Commercial service enquiry</x:v>
      </x:c>
      <x:c r="L537" s="6" t="str">
        <x:v>High</x:v>
      </x:c>
      <x:c r="M537" s="6" t="str">
        <x:v>https://digitecme.com/services/car-garage-dubai</x:v>
      </x:c>
      <x:c r="N537" s="6" t="str">
        <x:v>Unknown — export has no query/page pairing</x:v>
      </x:c>
      <x:c r="O537" s="6" t="str">
        <x:v>Retain primary intent and support variants</x:v>
      </x:c>
      <x:c r="P537" s="6" t="str">
        <x:v>Average position 82.69 makes ranking the main issue; avoid a CTR-only rewrite.</x:v>
      </x:c>
      <x:c r="Q537" s="6" t="str">
        <x:v>All vehicles</x:v>
      </x:c>
      <x:c r="R537" s="6" t="str">
        <x:v>service-repair</x:v>
      </x:c>
      <x:c r="S537" s="6" t="str">
        <x:v>Dubai explicit</x:v>
      </x:c>
      <x:c r="T537" s="6" t="n">
        <x:v>3</x:v>
      </x:c>
      <x:c r="U537" s="6" t="str">
        <x:v>40+</x:v>
      </x:c>
      <x:c r="V537" s="6" t="str">
        <x:v>Relevance, capability, indexing and authority review</x:v>
      </x:c>
      <x:c r="W537" s="6" t="str">
        <x:v>Relevant supporting</x:v>
      </x:c>
      <x:c r="X537" s="6" t="n">
        <x:v>533</x:v>
      </x:c>
      <x:c r="Y537" s="6" t="str">
        <x:v>Unconfirmed — joint query/page data required</x:v>
      </x:c>
    </x:row>
    <x:row r="538" ht="57" customHeight="1">
      <x:c r="A538" s="6" t="str">
        <x:v>tec</x:v>
      </x:c>
      <x:c r="B538" s="14" t="n">
        <x:v>0</x:v>
      </x:c>
      <x:c r="C538" s="14" t="n">
        <x:v>25</x:v>
      </x:c>
      <x:c r="D538" s="15" t="n">
        <x:v>0</x:v>
      </x:c>
      <x:c r="E538" s="16" t="n">
        <x:v>3.24</x:v>
      </x:c>
      <x:c r="F538" s="6" t="str">
        <x:v>IGNORE</x:v>
      </x:c>
      <x:c r="G538" s="17" t="n">
        <x:f>'Scoring'!I538</x:f>
        <x:v>0</x:v>
      </x:c>
      <x:c r="H538" s="6" t="str">
        <x:v>IGNORE</x:v>
      </x:c>
      <x:c r="I538" s="6" t="str">
        <x:v>Excluded: Unrelated or wrong location</x:v>
      </x:c>
      <x:c r="J538" s="6" t="str">
        <x:v>Secondary</x:v>
      </x:c>
      <x:c r="K538" s="6" t="str">
        <x:v>Other or mismatched intent</x:v>
      </x:c>
      <x:c r="L538" s="6" t="str">
        <x:v>None</x:v>
      </x:c>
      <x:c r="M538" s="6" t="str"/>
      <x:c r="N538" s="6" t="str">
        <x:v>Unknown — export has no query/page pairing</x:v>
      </x:c>
      <x:c r="O538" s="6" t="str">
        <x:v>Do not target</x:v>
      </x:c>
      <x:c r="P538" s="6" t="str">
        <x:v>Dealer, product, industrial, unrelated entity or non-service intent does not match the independent workshop offer. Zero clicks from 25 impressions at average position 3.24; inspect query/page, country/device and SERP before attributing this to the snippet.</x:v>
      </x:c>
      <x:c r="Q538" s="6" t="str">
        <x:v>All vehicles</x:v>
      </x:c>
      <x:c r="R538" s="6" t="str">
        <x:v>service-repair</x:v>
      </x:c>
      <x:c r="S538" s="6" t="str">
        <x:v>Location unspecified</x:v>
      </x:c>
      <x:c r="T538" s="6" t="n">
        <x:v>0</x:v>
      </x:c>
      <x:c r="U538" s="6" t="str">
        <x:v>4–10</x:v>
      </x:c>
      <x:c r="V538" s="6" t="str">
        <x:v>Page-one CTR review and top-three relevance</x:v>
      </x:c>
      <x:c r="W538" s="6" t="str">
        <x:v>Irrelevant</x:v>
      </x:c>
      <x:c r="X538" s="6" t="n">
        <x:v>534</x:v>
      </x:c>
      <x:c r="Y538" s="6" t="str">
        <x:v>Unconfirmed — joint query/page data required</x:v>
      </x:c>
    </x:row>
    <x:row r="539" ht="42" customHeight="1">
      <x:c r="A539" s="6" t="str">
        <x:v>porche suspension repair dubai</x:v>
      </x:c>
      <x:c r="B539" s="14" t="n">
        <x:v>0</x:v>
      </x:c>
      <x:c r="C539" s="14" t="n">
        <x:v>25</x:v>
      </x:c>
      <x:c r="D539" s="15" t="n">
        <x:v>0</x:v>
      </x:c>
      <x:c r="E539" s="16" t="n">
        <x:v>8.08</x:v>
      </x:c>
      <x:c r="F539" s="6" t="str">
        <x:v>CRITICAL</x:v>
      </x:c>
      <x:c r="G539" s="17" t="n">
        <x:f>'Scoring'!I539</x:f>
        <x:v>94.7</x:v>
      </x:c>
      <x:c r="H539" s="6" t="str">
        <x:v>SPLIT</x:v>
      </x:c>
      <x:c r="I539" s="6" t="str">
        <x:v>porsche: Suspension repair</x:v>
      </x:c>
      <x:c r="J539" s="6" t="str">
        <x:v>Secondary</x:v>
      </x:c>
      <x:c r="K539" s="6" t="str">
        <x:v>Commercial service enquiry</x:v>
      </x:c>
      <x:c r="L539" s="6" t="str">
        <x:v>High</x:v>
      </x:c>
      <x:c r="M539" s="6" t="str">
        <x:v>https://digitecme.com/brands/porsche-service-dubai/suspension-repair</x:v>
      </x:c>
      <x:c r="N539" s="6" t="str">
        <x:v>Unknown — export has no query/page pairing</x:v>
      </x:c>
      <x:c r="O539" s="6" t="str">
        <x:v>Use dedicated service owner</x:v>
      </x:c>
      <x:c r="P539" s="6" t="str">
        <x:v>Zero clicks from 25 impressions at average position 8.08; inspect query/page, country/device and SERP before attributing this to the snippet.</x:v>
      </x:c>
      <x:c r="Q539" s="6" t="str">
        <x:v>porsche</x:v>
      </x:c>
      <x:c r="R539" s="6" t="str">
        <x:v>suspension-repair</x:v>
      </x:c>
      <x:c r="S539" s="6" t="str">
        <x:v>Dubai explicit</x:v>
      </x:c>
      <x:c r="T539" s="6" t="n">
        <x:v>5</x:v>
      </x:c>
      <x:c r="U539" s="6" t="str">
        <x:v>4–10</x:v>
      </x:c>
      <x:c r="V539" s="6" t="str">
        <x:v>Page-one CTR review and top-three relevance</x:v>
      </x:c>
      <x:c r="W539" s="6" t="str">
        <x:v>High-value commercial</x:v>
      </x:c>
      <x:c r="X539" s="6" t="n">
        <x:v>535</x:v>
      </x:c>
      <x:c r="Y539" s="6" t="str">
        <x:v>Unconfirmed — joint query/page data required</x:v>
      </x:c>
    </x:row>
    <x:row r="540" ht="42" customHeight="1">
      <x:c r="A540" s="6" t="str">
        <x:v>mercedes car service dubai</x:v>
      </x:c>
      <x:c r="B540" s="14" t="n">
        <x:v>0</x:v>
      </x:c>
      <x:c r="C540" s="14" t="n">
        <x:v>25</x:v>
      </x:c>
      <x:c r="D540" s="15" t="n">
        <x:v>0</x:v>
      </x:c>
      <x:c r="E540" s="16" t="n">
        <x:v>10.36</x:v>
      </x:c>
      <x:c r="F540" s="6" t="str">
        <x:v>CRITICAL</x:v>
      </x:c>
      <x:c r="G540" s="17" t="n">
        <x:f>'Scoring'!I540</x:f>
        <x:v>84.7</x:v>
      </x:c>
      <x:c r="H540" s="6" t="str">
        <x:v>SUPPORT</x:v>
      </x:c>
      <x:c r="I540" s="6" t="str">
        <x:v>mercedes-benz: Service and repair (English)</x:v>
      </x:c>
      <x:c r="J540" s="6" t="str">
        <x:v>Secondary</x:v>
      </x:c>
      <x:c r="K540" s="6" t="str">
        <x:v>Commercial service enquiry</x:v>
      </x:c>
      <x:c r="L540" s="6" t="str">
        <x:v>High</x:v>
      </x:c>
      <x:c r="M540" s="6" t="str">
        <x:v>https://digitecme.com/brands/mercedes-benz-service-dubai</x:v>
      </x:c>
      <x:c r="N540" s="6" t="str">
        <x:v>Unknown — export has no query/page pairing</x:v>
      </x:c>
      <x:c r="O540" s="6" t="str">
        <x:v>Retain primary intent and support variants</x:v>
      </x:c>
      <x:c r="P540" s="6" t="str">
        <x:v>25 impressions at average position 10.36; strengthen the appropriate intent owner and measure with a fresh comparable period.</x:v>
      </x:c>
      <x:c r="Q540" s="6" t="str">
        <x:v>mercedes-benz</x:v>
      </x:c>
      <x:c r="R540" s="6" t="str">
        <x:v>service-repair</x:v>
      </x:c>
      <x:c r="S540" s="6" t="str">
        <x:v>Dubai explicit</x:v>
      </x:c>
      <x:c r="T540" s="6" t="n">
        <x:v>5</x:v>
      </x:c>
      <x:c r="U540" s="6" t="str">
        <x:v>11–20</x:v>
      </x:c>
      <x:c r="V540" s="6" t="str">
        <x:v>Ranking and owner relevance</x:v>
      </x:c>
      <x:c r="W540" s="6" t="str">
        <x:v>Relevant supporting</x:v>
      </x:c>
      <x:c r="X540" s="6" t="n">
        <x:v>536</x:v>
      </x:c>
      <x:c r="Y540" s="6" t="str">
        <x:v>Unconfirmed — joint query/page data required</x:v>
      </x:c>
    </x:row>
    <x:row r="541" ht="42" customHeight="1">
      <x:c r="A541" s="6" t="str">
        <x:v>gmc oil change dubai</x:v>
      </x:c>
      <x:c r="B541" s="14" t="n">
        <x:v>0</x:v>
      </x:c>
      <x:c r="C541" s="14" t="n">
        <x:v>25</x:v>
      </x:c>
      <x:c r="D541" s="15" t="n">
        <x:v>0</x:v>
      </x:c>
      <x:c r="E541" s="16" t="n">
        <x:v>12</x:v>
      </x:c>
      <x:c r="F541" s="6" t="str">
        <x:v>CRITICAL</x:v>
      </x:c>
      <x:c r="G541" s="17" t="n">
        <x:f>'Scoring'!I541</x:f>
        <x:v>76.7</x:v>
      </x:c>
      <x:c r="H541" s="6" t="str">
        <x:v>SPLIT</x:v>
      </x:c>
      <x:c r="I541" s="6" t="str">
        <x:v>gmc: Oil change</x:v>
      </x:c>
      <x:c r="J541" s="6" t="str">
        <x:v>Primary</x:v>
      </x:c>
      <x:c r="K541" s="6" t="str">
        <x:v>Commercial service enquiry</x:v>
      </x:c>
      <x:c r="L541" s="6" t="str">
        <x:v>High</x:v>
      </x:c>
      <x:c r="M541" s="6" t="str">
        <x:v>https://digitecme.com/brands/gmc-service-dubai/oil-change</x:v>
      </x:c>
      <x:c r="N541" s="6" t="str">
        <x:v>Unknown — export has no query/page pairing</x:v>
      </x:c>
      <x:c r="O541" s="6" t="str">
        <x:v>Use dedicated service owner</x:v>
      </x:c>
      <x:c r="P541" s="6" t="str">
        <x:v>25 impressions at average position 12.00; strengthen the appropriate intent owner and measure with a fresh comparable period.</x:v>
      </x:c>
      <x:c r="Q541" s="6" t="str">
        <x:v>gmc</x:v>
      </x:c>
      <x:c r="R541" s="6" t="str">
        <x:v>oil-change</x:v>
      </x:c>
      <x:c r="S541" s="6" t="str">
        <x:v>Dubai explicit</x:v>
      </x:c>
      <x:c r="T541" s="6" t="n">
        <x:v>3</x:v>
      </x:c>
      <x:c r="U541" s="6" t="str">
        <x:v>11–20</x:v>
      </x:c>
      <x:c r="V541" s="6" t="str">
        <x:v>Ranking and owner relevance</x:v>
      </x:c>
      <x:c r="W541" s="6" t="str">
        <x:v>High-value commercial</x:v>
      </x:c>
      <x:c r="X541" s="6" t="n">
        <x:v>537</x:v>
      </x:c>
      <x:c r="Y541" s="6" t="str">
        <x:v>Unconfirmed — joint query/page data required</x:v>
      </x:c>
    </x:row>
    <x:row r="542" ht="42" customHeight="1">
      <x:c r="A542" s="6" t="str">
        <x:v>brake service</x:v>
      </x:c>
      <x:c r="B542" s="14" t="n">
        <x:v>0</x:v>
      </x:c>
      <x:c r="C542" s="14" t="n">
        <x:v>25</x:v>
      </x:c>
      <x:c r="D542" s="15" t="n">
        <x:v>0</x:v>
      </x:c>
      <x:c r="E542" s="16" t="n">
        <x:v>14.8</x:v>
      </x:c>
      <x:c r="F542" s="6" t="str">
        <x:v>CRITICAL</x:v>
      </x:c>
      <x:c r="G542" s="17" t="n">
        <x:f>'Scoring'!I542</x:f>
        <x:v>71.7</x:v>
      </x:c>
      <x:c r="H542" s="6" t="str">
        <x:v>SUPPORT</x:v>
      </x:c>
      <x:c r="I542" s="6" t="str">
        <x:v>All vehicles: Brake repair (English)</x:v>
      </x:c>
      <x:c r="J542" s="6" t="str">
        <x:v>Secondary</x:v>
      </x:c>
      <x:c r="K542" s="6" t="str">
        <x:v>Commercial service enquiry</x:v>
      </x:c>
      <x:c r="L542" s="6" t="str">
        <x:v>High</x:v>
      </x:c>
      <x:c r="M542" s="6" t="str">
        <x:v>https://digitecme.com/services/brake-repair-dubai</x:v>
      </x:c>
      <x:c r="N542" s="6" t="str">
        <x:v>Unknown — export has no query/page pairing</x:v>
      </x:c>
      <x:c r="O542" s="6" t="str">
        <x:v>Retain primary intent and support variants</x:v>
      </x:c>
      <x:c r="P542" s="6" t="str">
        <x:v>25 impressions at average position 14.80; strengthen the appropriate intent owner and measure with a fresh comparable period.</x:v>
      </x:c>
      <x:c r="Q542" s="6" t="str">
        <x:v>All vehicles</x:v>
      </x:c>
      <x:c r="R542" s="6" t="str">
        <x:v>brake-repair</x:v>
      </x:c>
      <x:c r="S542" s="6" t="str">
        <x:v>Location unspecified</x:v>
      </x:c>
      <x:c r="T542" s="6" t="n">
        <x:v>3</x:v>
      </x:c>
      <x:c r="U542" s="6" t="str">
        <x:v>11–20</x:v>
      </x:c>
      <x:c r="V542" s="6" t="str">
        <x:v>Ranking and owner relevance</x:v>
      </x:c>
      <x:c r="W542" s="6" t="str">
        <x:v>Relevant supporting</x:v>
      </x:c>
      <x:c r="X542" s="6" t="n">
        <x:v>538</x:v>
      </x:c>
      <x:c r="Y542" s="6" t="str">
        <x:v>Unconfirmed — joint query/page data required</x:v>
      </x:c>
    </x:row>
    <x:row r="543" ht="42" customHeight="1">
      <x:c r="A543" s="6" t="str">
        <x:v>porsche maintenance dubai</x:v>
      </x:c>
      <x:c r="B543" s="14" t="n">
        <x:v>0</x:v>
      </x:c>
      <x:c r="C543" s="14" t="n">
        <x:v>25</x:v>
      </x:c>
      <x:c r="D543" s="15" t="n">
        <x:v>0</x:v>
      </x:c>
      <x:c r="E543" s="16" t="n">
        <x:v>19.44</x:v>
      </x:c>
      <x:c r="F543" s="6" t="str">
        <x:v>HIGH</x:v>
      </x:c>
      <x:c r="G543" s="17" t="n">
        <x:f>'Scoring'!I543</x:f>
        <x:v>77.2</x:v>
      </x:c>
      <x:c r="H543" s="6" t="str">
        <x:v>SUPPORT</x:v>
      </x:c>
      <x:c r="I543" s="6" t="str">
        <x:v>porsche: Service and repair (English)</x:v>
      </x:c>
      <x:c r="J543" s="6" t="str">
        <x:v>Secondary</x:v>
      </x:c>
      <x:c r="K543" s="6" t="str">
        <x:v>Commercial service enquiry</x:v>
      </x:c>
      <x:c r="L543" s="6" t="str">
        <x:v>High</x:v>
      </x:c>
      <x:c r="M543" s="6" t="str">
        <x:v>https://digitecme.com/brands/porsche-service-dubai</x:v>
      </x:c>
      <x:c r="N543" s="6" t="str">
        <x:v>Unknown — export has no query/page pairing</x:v>
      </x:c>
      <x:c r="O543" s="6" t="str">
        <x:v>Retain primary intent and support variants</x:v>
      </x:c>
      <x:c r="P543" s="6" t="str">
        <x:v>25 impressions at average position 19.44; strengthen the appropriate intent owner and measure with a fresh comparable period.</x:v>
      </x:c>
      <x:c r="Q543" s="6" t="str">
        <x:v>porsche</x:v>
      </x:c>
      <x:c r="R543" s="6" t="str">
        <x:v>service-repair</x:v>
      </x:c>
      <x:c r="S543" s="6" t="str">
        <x:v>Dubai explicit</x:v>
      </x:c>
      <x:c r="T543" s="6" t="n">
        <x:v>5</x:v>
      </x:c>
      <x:c r="U543" s="6" t="str">
        <x:v>11–20</x:v>
      </x:c>
      <x:c r="V543" s="6" t="str">
        <x:v>Ranking and owner relevance</x:v>
      </x:c>
      <x:c r="W543" s="6" t="str">
        <x:v>Relevant supporting</x:v>
      </x:c>
      <x:c r="X543" s="6" t="n">
        <x:v>539</x:v>
      </x:c>
      <x:c r="Y543" s="6" t="str">
        <x:v>Unconfirmed — joint query/page data required</x:v>
      </x:c>
    </x:row>
    <x:row r="544" ht="42" customHeight="1">
      <x:c r="A544" s="6" t="str">
        <x:v>lamborghini specialist</x:v>
      </x:c>
      <x:c r="B544" s="14" t="n">
        <x:v>0</x:v>
      </x:c>
      <x:c r="C544" s="14" t="n">
        <x:v>25</x:v>
      </x:c>
      <x:c r="D544" s="15" t="n">
        <x:v>0</x:v>
      </x:c>
      <x:c r="E544" s="16" t="n">
        <x:v>23.6</x:v>
      </x:c>
      <x:c r="F544" s="6" t="str">
        <x:v>HIGH</x:v>
      </x:c>
      <x:c r="G544" s="17" t="n">
        <x:f>'Scoring'!I544</x:f>
        <x:v>72.2</x:v>
      </x:c>
      <x:c r="H544" s="6" t="str">
        <x:v>SUPPORT</x:v>
      </x:c>
      <x:c r="I544" s="6" t="str">
        <x:v>lamborghini: Service and repair</x:v>
      </x:c>
      <x:c r="J544" s="6" t="str">
        <x:v>Secondary</x:v>
      </x:c>
      <x:c r="K544" s="6" t="str">
        <x:v>Commercial service enquiry</x:v>
      </x:c>
      <x:c r="L544" s="6" t="str">
        <x:v>High</x:v>
      </x:c>
      <x:c r="M544" s="6" t="str">
        <x:v>https://digitecme.com/brands/lamborghini-service-dubai</x:v>
      </x:c>
      <x:c r="N544" s="6" t="str">
        <x:v>Unknown — export has no query/page pairing</x:v>
      </x:c>
      <x:c r="O544" s="6" t="str">
        <x:v>Retain primary intent and support variants</x:v>
      </x:c>
      <x:c r="P544" s="6" t="str">
        <x:v>Average position 23.60 makes ranking the main issue; avoid a CTR-only rewrite.</x:v>
      </x:c>
      <x:c r="Q544" s="6" t="str">
        <x:v>lamborghini</x:v>
      </x:c>
      <x:c r="R544" s="6" t="str">
        <x:v>service-repair</x:v>
      </x:c>
      <x:c r="S544" s="6" t="str">
        <x:v>Location unspecified</x:v>
      </x:c>
      <x:c r="T544" s="6" t="n">
        <x:v>5</x:v>
      </x:c>
      <x:c r="U544" s="6" t="str">
        <x:v>21–40</x:v>
      </x:c>
      <x:c r="V544" s="6" t="str">
        <x:v>Content, internal authority and owner alignment</x:v>
      </x:c>
      <x:c r="W544" s="6" t="str">
        <x:v>Relevant supporting</x:v>
      </x:c>
      <x:c r="X544" s="6" t="n">
        <x:v>540</x:v>
      </x:c>
      <x:c r="Y544" s="6" t="str">
        <x:v>Unconfirmed — joint query/page data required</x:v>
      </x:c>
    </x:row>
    <x:row r="545" ht="42" customHeight="1">
      <x:c r="A545" s="6" t="str">
        <x:v>cadillac service in dubai</x:v>
      </x:c>
      <x:c r="B545" s="14" t="n">
        <x:v>0</x:v>
      </x:c>
      <x:c r="C545" s="14" t="n">
        <x:v>25</x:v>
      </x:c>
      <x:c r="D545" s="15" t="n">
        <x:v>0</x:v>
      </x:c>
      <x:c r="E545" s="16" t="n">
        <x:v>24.92</x:v>
      </x:c>
      <x:c r="F545" s="6" t="str">
        <x:v>HIGH</x:v>
      </x:c>
      <x:c r="G545" s="17" t="n">
        <x:f>'Scoring'!I545</x:f>
        <x:v>69.2</x:v>
      </x:c>
      <x:c r="H545" s="6" t="str">
        <x:v>SUPPORT</x:v>
      </x:c>
      <x:c r="I545" s="6" t="str">
        <x:v>cadillac: Service and repair</x:v>
      </x:c>
      <x:c r="J545" s="6" t="str">
        <x:v>Secondary</x:v>
      </x:c>
      <x:c r="K545" s="6" t="str">
        <x:v>Commercial service enquiry</x:v>
      </x:c>
      <x:c r="L545" s="6" t="str">
        <x:v>High</x:v>
      </x:c>
      <x:c r="M545" s="6" t="str">
        <x:v>https://digitecme.com/brands/cadillac-service-dubai</x:v>
      </x:c>
      <x:c r="N545" s="6" t="str">
        <x:v>Unknown — export has no query/page pairing</x:v>
      </x:c>
      <x:c r="O545" s="6" t="str">
        <x:v>Retain primary intent and support variants</x:v>
      </x:c>
      <x:c r="P545" s="6" t="str">
        <x:v>Average position 24.92 makes ranking the main issue; avoid a CTR-only rewrite.</x:v>
      </x:c>
      <x:c r="Q545" s="6" t="str">
        <x:v>cadillac</x:v>
      </x:c>
      <x:c r="R545" s="6" t="str">
        <x:v>service-repair</x:v>
      </x:c>
      <x:c r="S545" s="6" t="str">
        <x:v>Dubai explicit</x:v>
      </x:c>
      <x:c r="T545" s="6" t="n">
        <x:v>3</x:v>
      </x:c>
      <x:c r="U545" s="6" t="str">
        <x:v>21–40</x:v>
      </x:c>
      <x:c r="V545" s="6" t="str">
        <x:v>Content, internal authority and owner alignment</x:v>
      </x:c>
      <x:c r="W545" s="6" t="str">
        <x:v>Relevant supporting</x:v>
      </x:c>
      <x:c r="X545" s="6" t="n">
        <x:v>541</x:v>
      </x:c>
      <x:c r="Y545" s="6" t="str">
        <x:v>Unconfirmed — joint query/page data required</x:v>
      </x:c>
    </x:row>
    <x:row r="546" ht="42" customHeight="1">
      <x:c r="A546" s="6" t="str">
        <x:v>ferrari service center near me</x:v>
      </x:c>
      <x:c r="B546" s="14" t="n">
        <x:v>0</x:v>
      </x:c>
      <x:c r="C546" s="14" t="n">
        <x:v>25</x:v>
      </x:c>
      <x:c r="D546" s="15" t="n">
        <x:v>0</x:v>
      </x:c>
      <x:c r="E546" s="16" t="n">
        <x:v>33.52</x:v>
      </x:c>
      <x:c r="F546" s="6" t="str">
        <x:v>GROWTH</x:v>
      </x:c>
      <x:c r="G546" s="17" t="n">
        <x:f>'Scoring'!I546</x:f>
        <x:v>69.7</x:v>
      </x:c>
      <x:c r="H546" s="6" t="str">
        <x:v>SUPPORT</x:v>
      </x:c>
      <x:c r="I546" s="6" t="str">
        <x:v>ferrari: Service and repair</x:v>
      </x:c>
      <x:c r="J546" s="6" t="str">
        <x:v>Secondary</x:v>
      </x:c>
      <x:c r="K546" s="6" t="str">
        <x:v>Commercial service enquiry</x:v>
      </x:c>
      <x:c r="L546" s="6" t="str">
        <x:v>High</x:v>
      </x:c>
      <x:c r="M546" s="6" t="str">
        <x:v>https://digitecme.com/brands/ferrari-service-dubai</x:v>
      </x:c>
      <x:c r="N546" s="6" t="str">
        <x:v>Unknown — export has no query/page pairing</x:v>
      </x:c>
      <x:c r="O546" s="6" t="str">
        <x:v>Retain primary intent and support variants</x:v>
      </x:c>
      <x:c r="P546" s="6" t="str">
        <x:v>Average position 33.52 makes ranking the main issue; avoid a CTR-only rewrite.</x:v>
      </x:c>
      <x:c r="Q546" s="6" t="str">
        <x:v>ferrari</x:v>
      </x:c>
      <x:c r="R546" s="6" t="str">
        <x:v>service-repair</x:v>
      </x:c>
      <x:c r="S546" s="6" t="str">
        <x:v>Near me; location unknown</x:v>
      </x:c>
      <x:c r="T546" s="6" t="n">
        <x:v>5</x:v>
      </x:c>
      <x:c r="U546" s="6" t="str">
        <x:v>21–40</x:v>
      </x:c>
      <x:c r="V546" s="6" t="str">
        <x:v>Content, internal authority and owner alignment</x:v>
      </x:c>
      <x:c r="W546" s="6" t="str">
        <x:v>Relevant supporting</x:v>
      </x:c>
      <x:c r="X546" s="6" t="n">
        <x:v>542</x:v>
      </x:c>
      <x:c r="Y546" s="6" t="str">
        <x:v>Unconfirmed — joint query/page data required</x:v>
      </x:c>
    </x:row>
    <x:row r="547" ht="42" customHeight="1">
      <x:c r="A547" s="6" t="str">
        <x:v>bmw suspension repair dubai</x:v>
      </x:c>
      <x:c r="B547" s="14" t="n">
        <x:v>0</x:v>
      </x:c>
      <x:c r="C547" s="14" t="n">
        <x:v>25</x:v>
      </x:c>
      <x:c r="D547" s="15" t="n">
        <x:v>0</x:v>
      </x:c>
      <x:c r="E547" s="16" t="n">
        <x:v>41</x:v>
      </x:c>
      <x:c r="F547" s="6" t="str">
        <x:v>GROWTH</x:v>
      </x:c>
      <x:c r="G547" s="17" t="n">
        <x:f>'Scoring'!I547</x:f>
        <x:v>63.5</x:v>
      </x:c>
      <x:c r="H547" s="6" t="str">
        <x:v>SPLIT</x:v>
      </x:c>
      <x:c r="I547" s="6" t="str">
        <x:v>bmw: Suspension repair</x:v>
      </x:c>
      <x:c r="J547" s="6" t="str">
        <x:v>Primary</x:v>
      </x:c>
      <x:c r="K547" s="6" t="str">
        <x:v>Commercial service enquiry</x:v>
      </x:c>
      <x:c r="L547" s="6" t="str">
        <x:v>High</x:v>
      </x:c>
      <x:c r="M547" s="6" t="str">
        <x:v>https://digitecme.com/brands/bmw-service-dubai/suspension-repair</x:v>
      </x:c>
      <x:c r="N547" s="6" t="str">
        <x:v>Unknown — export has no query/page pairing</x:v>
      </x:c>
      <x:c r="O547" s="6" t="str">
        <x:v>Use dedicated service owner</x:v>
      </x:c>
      <x:c r="P547" s="6" t="str">
        <x:v>Average position 41.00 makes ranking the main issue; avoid a CTR-only rewrite.</x:v>
      </x:c>
      <x:c r="Q547" s="6" t="str">
        <x:v>bmw</x:v>
      </x:c>
      <x:c r="R547" s="6" t="str">
        <x:v>suspension-repair</x:v>
      </x:c>
      <x:c r="S547" s="6" t="str">
        <x:v>Dubai explicit</x:v>
      </x:c>
      <x:c r="T547" s="6" t="n">
        <x:v>5</x:v>
      </x:c>
      <x:c r="U547" s="6" t="str">
        <x:v>40+</x:v>
      </x:c>
      <x:c r="V547" s="6" t="str">
        <x:v>Relevance, capability, indexing and authority review</x:v>
      </x:c>
      <x:c r="W547" s="6" t="str">
        <x:v>High-value commercial</x:v>
      </x:c>
      <x:c r="X547" s="6" t="n">
        <x:v>543</x:v>
      </x:c>
      <x:c r="Y547" s="6" t="str">
        <x:v>Unconfirmed — joint query/page data required</x:v>
      </x:c>
    </x:row>
    <x:row r="548" ht="42" customHeight="1">
      <x:c r="A548" s="6" t="str">
        <x:v>lexus service dubai</x:v>
      </x:c>
      <x:c r="B548" s="14" t="n">
        <x:v>0</x:v>
      </x:c>
      <x:c r="C548" s="14" t="n">
        <x:v>25</x:v>
      </x:c>
      <x:c r="D548" s="15" t="n">
        <x:v>0</x:v>
      </x:c>
      <x:c r="E548" s="16" t="n">
        <x:v>43.68</x:v>
      </x:c>
      <x:c r="F548" s="6" t="str">
        <x:v>GROWTH</x:v>
      </x:c>
      <x:c r="G548" s="17" t="n">
        <x:f>'Scoring'!I548</x:f>
        <x:v>55.5</x:v>
      </x:c>
      <x:c r="H548" s="6" t="str">
        <x:v>PRIORITIZE</x:v>
      </x:c>
      <x:c r="I548" s="6" t="str">
        <x:v>lexus: Service and repair</x:v>
      </x:c>
      <x:c r="J548" s="6" t="str">
        <x:v>Primary</x:v>
      </x:c>
      <x:c r="K548" s="6" t="str">
        <x:v>Commercial service enquiry</x:v>
      </x:c>
      <x:c r="L548" s="6" t="str">
        <x:v>High</x:v>
      </x:c>
      <x:c r="M548" s="6" t="str">
        <x:v>https://digitecme.com/brands/lexus-service-dubai</x:v>
      </x:c>
      <x:c r="N548" s="6" t="str">
        <x:v>Unknown — export has no query/page pairing</x:v>
      </x:c>
      <x:c r="O548" s="6" t="str">
        <x:v>Strengthen this primary intent owner</x:v>
      </x:c>
      <x:c r="P548" s="6" t="str">
        <x:v>Average position 43.68 makes ranking the main issue; avoid a CTR-only rewrite.</x:v>
      </x:c>
      <x:c r="Q548" s="6" t="str">
        <x:v>lexus</x:v>
      </x:c>
      <x:c r="R548" s="6" t="str">
        <x:v>service-repair</x:v>
      </x:c>
      <x:c r="S548" s="6" t="str">
        <x:v>Dubai explicit</x:v>
      </x:c>
      <x:c r="T548" s="6" t="n">
        <x:v>3</x:v>
      </x:c>
      <x:c r="U548" s="6" t="str">
        <x:v>40+</x:v>
      </x:c>
      <x:c r="V548" s="6" t="str">
        <x:v>Relevance, capability, indexing and authority review</x:v>
      </x:c>
      <x:c r="W548" s="6" t="str">
        <x:v>High-value commercial</x:v>
      </x:c>
      <x:c r="X548" s="6" t="n">
        <x:v>544</x:v>
      </x:c>
      <x:c r="Y548" s="6" t="str">
        <x:v>Unconfirmed — joint query/page data required</x:v>
      </x:c>
    </x:row>
    <x:row r="549" ht="42" customHeight="1">
      <x:c r="A549" s="6" t="str">
        <x:v>maserati repair dubai</x:v>
      </x:c>
      <x:c r="B549" s="14" t="n">
        <x:v>0</x:v>
      </x:c>
      <x:c r="C549" s="14" t="n">
        <x:v>25</x:v>
      </x:c>
      <x:c r="D549" s="15" t="n">
        <x:v>0</x:v>
      </x:c>
      <x:c r="E549" s="16" t="n">
        <x:v>46.88</x:v>
      </x:c>
      <x:c r="F549" s="6" t="str">
        <x:v>GROWTH</x:v>
      </x:c>
      <x:c r="G549" s="17" t="n">
        <x:f>'Scoring'!I549</x:f>
        <x:v>63.5</x:v>
      </x:c>
      <x:c r="H549" s="6" t="str">
        <x:v>SUPPORT</x:v>
      </x:c>
      <x:c r="I549" s="6" t="str">
        <x:v>maserati: Service and repair (English)</x:v>
      </x:c>
      <x:c r="J549" s="6" t="str">
        <x:v>Secondary</x:v>
      </x:c>
      <x:c r="K549" s="6" t="str">
        <x:v>Commercial service enquiry</x:v>
      </x:c>
      <x:c r="L549" s="6" t="str">
        <x:v>High</x:v>
      </x:c>
      <x:c r="M549" s="6" t="str">
        <x:v>https://digitecme.com/brands/maserati-service-dubai</x:v>
      </x:c>
      <x:c r="N549" s="6" t="str">
        <x:v>Unknown — export has no query/page pairing</x:v>
      </x:c>
      <x:c r="O549" s="6" t="str">
        <x:v>Retain primary intent and support variants</x:v>
      </x:c>
      <x:c r="P549" s="6" t="str">
        <x:v>Average position 46.88 makes ranking the main issue; avoid a CTR-only rewrite.</x:v>
      </x:c>
      <x:c r="Q549" s="6" t="str">
        <x:v>maserati</x:v>
      </x:c>
      <x:c r="R549" s="6" t="str">
        <x:v>service-repair</x:v>
      </x:c>
      <x:c r="S549" s="6" t="str">
        <x:v>Dubai explicit</x:v>
      </x:c>
      <x:c r="T549" s="6" t="n">
        <x:v>5</x:v>
      </x:c>
      <x:c r="U549" s="6" t="str">
        <x:v>40+</x:v>
      </x:c>
      <x:c r="V549" s="6" t="str">
        <x:v>Relevance, capability, indexing and authority review</x:v>
      </x:c>
      <x:c r="W549" s="6" t="str">
        <x:v>Relevant supporting</x:v>
      </x:c>
      <x:c r="X549" s="6" t="n">
        <x:v>545</x:v>
      </x:c>
      <x:c r="Y549" s="6" t="str">
        <x:v>Unconfirmed — joint query/page data required</x:v>
      </x:c>
    </x:row>
    <x:row r="550" ht="42" customHeight="1">
      <x:c r="A550" s="6" t="str">
        <x:v>car garage in dubai</x:v>
      </x:c>
      <x:c r="B550" s="14" t="n">
        <x:v>0</x:v>
      </x:c>
      <x:c r="C550" s="14" t="n">
        <x:v>25</x:v>
      </x:c>
      <x:c r="D550" s="15" t="n">
        <x:v>0</x:v>
      </x:c>
      <x:c r="E550" s="16" t="n">
        <x:v>69.08</x:v>
      </x:c>
      <x:c r="F550" s="6" t="str">
        <x:v>GROWTH</x:v>
      </x:c>
      <x:c r="G550" s="17" t="n">
        <x:f>'Scoring'!I550</x:f>
        <x:v>55.5</x:v>
      </x:c>
      <x:c r="H550" s="6" t="str">
        <x:v>SUPPORT</x:v>
      </x:c>
      <x:c r="I550" s="6" t="str">
        <x:v>All vehicles: General garage and repair (English)</x:v>
      </x:c>
      <x:c r="J550" s="6" t="str">
        <x:v>Secondary</x:v>
      </x:c>
      <x:c r="K550" s="6" t="str">
        <x:v>Commercial service enquiry</x:v>
      </x:c>
      <x:c r="L550" s="6" t="str">
        <x:v>High</x:v>
      </x:c>
      <x:c r="M550" s="6" t="str">
        <x:v>https://digitecme.com/services/car-garage-dubai</x:v>
      </x:c>
      <x:c r="N550" s="6" t="str">
        <x:v>Unknown — export has no query/page pairing</x:v>
      </x:c>
      <x:c r="O550" s="6" t="str">
        <x:v>Retain primary intent and support variants</x:v>
      </x:c>
      <x:c r="P550" s="6" t="str">
        <x:v>Average position 69.08 makes ranking the main issue; avoid a CTR-only rewrite.</x:v>
      </x:c>
      <x:c r="Q550" s="6" t="str">
        <x:v>All vehicles</x:v>
      </x:c>
      <x:c r="R550" s="6" t="str">
        <x:v>service-repair</x:v>
      </x:c>
      <x:c r="S550" s="6" t="str">
        <x:v>Dubai explicit</x:v>
      </x:c>
      <x:c r="T550" s="6" t="n">
        <x:v>3</x:v>
      </x:c>
      <x:c r="U550" s="6" t="str">
        <x:v>40+</x:v>
      </x:c>
      <x:c r="V550" s="6" t="str">
        <x:v>Relevance, capability, indexing and authority review</x:v>
      </x:c>
      <x:c r="W550" s="6" t="str">
        <x:v>Relevant supporting</x:v>
      </x:c>
      <x:c r="X550" s="6" t="n">
        <x:v>546</x:v>
      </x:c>
      <x:c r="Y550" s="6" t="str">
        <x:v>Unconfirmed — joint query/page data required</x:v>
      </x:c>
    </x:row>
    <x:row r="551" ht="42" customHeight="1">
      <x:c r="A551" s="6" t="str">
        <x:v>ferrari repair near me</x:v>
      </x:c>
      <x:c r="B551" s="14" t="n">
        <x:v>0</x:v>
      </x:c>
      <x:c r="C551" s="14" t="n">
        <x:v>25</x:v>
      </x:c>
      <x:c r="D551" s="15" t="n">
        <x:v>0</x:v>
      </x:c>
      <x:c r="E551" s="16" t="n">
        <x:v>74.8</x:v>
      </x:c>
      <x:c r="F551" s="6" t="str">
        <x:v>GROWTH</x:v>
      </x:c>
      <x:c r="G551" s="17" t="n">
        <x:f>'Scoring'!I551</x:f>
        <x:v>63.5</x:v>
      </x:c>
      <x:c r="H551" s="6" t="str">
        <x:v>SUPPORT</x:v>
      </x:c>
      <x:c r="I551" s="6" t="str">
        <x:v>ferrari: Service and repair</x:v>
      </x:c>
      <x:c r="J551" s="6" t="str">
        <x:v>Secondary</x:v>
      </x:c>
      <x:c r="K551" s="6" t="str">
        <x:v>Commercial service enquiry</x:v>
      </x:c>
      <x:c r="L551" s="6" t="str">
        <x:v>High</x:v>
      </x:c>
      <x:c r="M551" s="6" t="str">
        <x:v>https://digitecme.com/brands/ferrari-service-dubai</x:v>
      </x:c>
      <x:c r="N551" s="6" t="str">
        <x:v>Unknown — export has no query/page pairing</x:v>
      </x:c>
      <x:c r="O551" s="6" t="str">
        <x:v>Retain primary intent and support variants</x:v>
      </x:c>
      <x:c r="P551" s="6" t="str">
        <x:v>Average position 74.80 makes ranking the main issue; avoid a CTR-only rewrite.</x:v>
      </x:c>
      <x:c r="Q551" s="6" t="str">
        <x:v>ferrari</x:v>
      </x:c>
      <x:c r="R551" s="6" t="str">
        <x:v>service-repair</x:v>
      </x:c>
      <x:c r="S551" s="6" t="str">
        <x:v>Near me; location unknown</x:v>
      </x:c>
      <x:c r="T551" s="6" t="n">
        <x:v>5</x:v>
      </x:c>
      <x:c r="U551" s="6" t="str">
        <x:v>40+</x:v>
      </x:c>
      <x:c r="V551" s="6" t="str">
        <x:v>Relevance, capability, indexing and authority review</x:v>
      </x:c>
      <x:c r="W551" s="6" t="str">
        <x:v>Relevant supporting</x:v>
      </x:c>
      <x:c r="X551" s="6" t="n">
        <x:v>547</x:v>
      </x:c>
      <x:c r="Y551" s="6" t="str">
        <x:v>Unconfirmed — joint query/page data required</x:v>
      </x:c>
    </x:row>
    <x:row r="552" ht="42" customHeight="1">
      <x:c r="A552" s="6" t="str">
        <x:v>mercedes auto repair​ in dubai</x:v>
      </x:c>
      <x:c r="B552" s="14" t="n">
        <x:v>0</x:v>
      </x:c>
      <x:c r="C552" s="14" t="n">
        <x:v>24</x:v>
      </x:c>
      <x:c r="D552" s="15" t="n">
        <x:v>0</x:v>
      </x:c>
      <x:c r="E552" s="16" t="n">
        <x:v>4.71</x:v>
      </x:c>
      <x:c r="F552" s="6" t="str">
        <x:v>CRITICAL</x:v>
      </x:c>
      <x:c r="G552" s="17" t="n">
        <x:f>'Scoring'!I552</x:f>
        <x:v>94.7</x:v>
      </x:c>
      <x:c r="H552" s="6" t="str">
        <x:v>SUPPORT</x:v>
      </x:c>
      <x:c r="I552" s="6" t="str">
        <x:v>mercedes-benz: Service and repair (English)</x:v>
      </x:c>
      <x:c r="J552" s="6" t="str">
        <x:v>Secondary</x:v>
      </x:c>
      <x:c r="K552" s="6" t="str">
        <x:v>Commercial service enquiry</x:v>
      </x:c>
      <x:c r="L552" s="6" t="str">
        <x:v>High</x:v>
      </x:c>
      <x:c r="M552" s="6" t="str">
        <x:v>https://digitecme.com/brands/mercedes-benz-service-dubai</x:v>
      </x:c>
      <x:c r="N552" s="6" t="str">
        <x:v>Unknown — export has no query/page pairing</x:v>
      </x:c>
      <x:c r="O552" s="6" t="str">
        <x:v>Retain primary intent and support variants</x:v>
      </x:c>
      <x:c r="P552" s="6" t="str">
        <x:v>Zero clicks from 24 impressions at average position 4.71; inspect query/page, country/device and SERP before attributing this to the snippet.</x:v>
      </x:c>
      <x:c r="Q552" s="6" t="str">
        <x:v>mercedes-benz</x:v>
      </x:c>
      <x:c r="R552" s="6" t="str">
        <x:v>service-repair</x:v>
      </x:c>
      <x:c r="S552" s="6" t="str">
        <x:v>Dubai explicit</x:v>
      </x:c>
      <x:c r="T552" s="6" t="n">
        <x:v>5</x:v>
      </x:c>
      <x:c r="U552" s="6" t="str">
        <x:v>4–10</x:v>
      </x:c>
      <x:c r="V552" s="6" t="str">
        <x:v>Page-one CTR review and top-three relevance</x:v>
      </x:c>
      <x:c r="W552" s="6" t="str">
        <x:v>Relevant supporting</x:v>
      </x:c>
      <x:c r="X552" s="6" t="n">
        <x:v>548</x:v>
      </x:c>
      <x:c r="Y552" s="6" t="str">
        <x:v>Unconfirmed — joint query/page data required</x:v>
      </x:c>
    </x:row>
    <x:row r="553" ht="57" customHeight="1">
      <x:c r="A553" s="6" t="str">
        <x:v>car exhaust repair cost</x:v>
      </x:c>
      <x:c r="B553" s="14" t="n">
        <x:v>0</x:v>
      </x:c>
      <x:c r="C553" s="14" t="n">
        <x:v>24</x:v>
      </x:c>
      <x:c r="D553" s="15" t="n">
        <x:v>0</x:v>
      </x:c>
      <x:c r="E553" s="16" t="n">
        <x:v>14.79</x:v>
      </x:c>
      <x:c r="F553" s="6" t="str">
        <x:v>CRITICAL</x:v>
      </x:c>
      <x:c r="G553" s="17" t="n">
        <x:f>'Scoring'!I553</x:f>
        <x:v>71.7</x:v>
      </x:c>
      <x:c r="H553" s="6" t="str">
        <x:v>SUPPORT</x:v>
      </x:c>
      <x:c r="I553" s="6" t="str">
        <x:v>All vehicles: Exhaust repair</x:v>
      </x:c>
      <x:c r="J553" s="6" t="str">
        <x:v>Secondary</x:v>
      </x:c>
      <x:c r="K553" s="6" t="str">
        <x:v>Commercial cost research</x:v>
      </x:c>
      <x:c r="L553" s="6" t="str">
        <x:v>High</x:v>
      </x:c>
      <x:c r="M553" s="6" t="str">
        <x:v>https://digitecme.com/services/exhaust-repair-dubai</x:v>
      </x:c>
      <x:c r="N553" s="6" t="str">
        <x:v>Unknown — export has no query/page pairing</x:v>
      </x:c>
      <x:c r="O553" s="6" t="str">
        <x:v>Retain primary intent and support variants</x:v>
      </x:c>
      <x:c r="P553" s="6" t="str">
        <x:v>Explain diagnosis, parts and labour cost factors without inventing prices. 24 impressions at average position 14.79; strengthen the appropriate intent owner and measure with a fresh comparable period.</x:v>
      </x:c>
      <x:c r="Q553" s="6" t="str">
        <x:v>All vehicles</x:v>
      </x:c>
      <x:c r="R553" s="6" t="str">
        <x:v>exhaust-repair</x:v>
      </x:c>
      <x:c r="S553" s="6" t="str">
        <x:v>Location unspecified</x:v>
      </x:c>
      <x:c r="T553" s="6" t="n">
        <x:v>3</x:v>
      </x:c>
      <x:c r="U553" s="6" t="str">
        <x:v>11–20</x:v>
      </x:c>
      <x:c r="V553" s="6" t="str">
        <x:v>Ranking and owner relevance</x:v>
      </x:c>
      <x:c r="W553" s="6" t="str">
        <x:v>Relevant supporting</x:v>
      </x:c>
      <x:c r="X553" s="6" t="n">
        <x:v>549</x:v>
      </x:c>
      <x:c r="Y553" s="6" t="str">
        <x:v>Unconfirmed — joint query/page data required</x:v>
      </x:c>
    </x:row>
    <x:row r="554" ht="42" customHeight="1">
      <x:c r="A554" s="6" t="str">
        <x:v>volvo oil change in dubai</x:v>
      </x:c>
      <x:c r="B554" s="14" t="n">
        <x:v>0</x:v>
      </x:c>
      <x:c r="C554" s="14" t="n">
        <x:v>24</x:v>
      </x:c>
      <x:c r="D554" s="15" t="n">
        <x:v>0</x:v>
      </x:c>
      <x:c r="E554" s="16" t="n">
        <x:v>16.88</x:v>
      </x:c>
      <x:c r="F554" s="6" t="str">
        <x:v>HIGH</x:v>
      </x:c>
      <x:c r="G554" s="17" t="n">
        <x:f>'Scoring'!I554</x:f>
        <x:v>69.2</x:v>
      </x:c>
      <x:c r="H554" s="6" t="str">
        <x:v>SPLIT</x:v>
      </x:c>
      <x:c r="I554" s="6" t="str">
        <x:v>volvo: Oil change</x:v>
      </x:c>
      <x:c r="J554" s="6" t="str">
        <x:v>Primary</x:v>
      </x:c>
      <x:c r="K554" s="6" t="str">
        <x:v>Commercial service enquiry</x:v>
      </x:c>
      <x:c r="L554" s="6" t="str">
        <x:v>High</x:v>
      </x:c>
      <x:c r="M554" s="6" t="str">
        <x:v>https://digitecme.com/brands/volvo-service-dubai/oil-change</x:v>
      </x:c>
      <x:c r="N554" s="6" t="str">
        <x:v>Unknown — export has no query/page pairing</x:v>
      </x:c>
      <x:c r="O554" s="6" t="str">
        <x:v>Use dedicated service owner</x:v>
      </x:c>
      <x:c r="P554" s="6" t="str">
        <x:v>24 impressions at average position 16.88; strengthen the appropriate intent owner and measure with a fresh comparable period.</x:v>
      </x:c>
      <x:c r="Q554" s="6" t="str">
        <x:v>volvo</x:v>
      </x:c>
      <x:c r="R554" s="6" t="str">
        <x:v>oil-change</x:v>
      </x:c>
      <x:c r="S554" s="6" t="str">
        <x:v>Dubai explicit</x:v>
      </x:c>
      <x:c r="T554" s="6" t="n">
        <x:v>3</x:v>
      </x:c>
      <x:c r="U554" s="6" t="str">
        <x:v>11–20</x:v>
      </x:c>
      <x:c r="V554" s="6" t="str">
        <x:v>Ranking and owner relevance</x:v>
      </x:c>
      <x:c r="W554" s="6" t="str">
        <x:v>High-value commercial</x:v>
      </x:c>
      <x:c r="X554" s="6" t="n">
        <x:v>550</x:v>
      </x:c>
      <x:c r="Y554" s="6" t="str">
        <x:v>Unconfirmed — joint query/page data required</x:v>
      </x:c>
    </x:row>
    <x:row r="555" ht="42" customHeight="1">
      <x:c r="A555" s="6" t="str">
        <x:v>change oil dubai</x:v>
      </x:c>
      <x:c r="B555" s="14" t="n">
        <x:v>0</x:v>
      </x:c>
      <x:c r="C555" s="14" t="n">
        <x:v>24</x:v>
      </x:c>
      <x:c r="D555" s="15" t="n">
        <x:v>0</x:v>
      </x:c>
      <x:c r="E555" s="16" t="n">
        <x:v>20.58</x:v>
      </x:c>
      <x:c r="F555" s="6" t="str">
        <x:v>HIGH</x:v>
      </x:c>
      <x:c r="G555" s="17" t="n">
        <x:f>'Scoring'!I555</x:f>
        <x:v>69.2</x:v>
      </x:c>
      <x:c r="H555" s="6" t="str">
        <x:v>SUPPORT</x:v>
      </x:c>
      <x:c r="I555" s="6" t="str">
        <x:v>All vehicles: Oil change (English)</x:v>
      </x:c>
      <x:c r="J555" s="6" t="str">
        <x:v>Secondary</x:v>
      </x:c>
      <x:c r="K555" s="6" t="str">
        <x:v>Commercial service enquiry</x:v>
      </x:c>
      <x:c r="L555" s="6" t="str">
        <x:v>High</x:v>
      </x:c>
      <x:c r="M555" s="6" t="str">
        <x:v>https://digitecme.com/services/oil-change-dubai</x:v>
      </x:c>
      <x:c r="N555" s="6" t="str">
        <x:v>Unknown — export has no query/page pairing</x:v>
      </x:c>
      <x:c r="O555" s="6" t="str">
        <x:v>Retain primary intent and support variants</x:v>
      </x:c>
      <x:c r="P555" s="6" t="str">
        <x:v>Average position 20.58 makes ranking the main issue; avoid a CTR-only rewrite.</x:v>
      </x:c>
      <x:c r="Q555" s="6" t="str">
        <x:v>All vehicles</x:v>
      </x:c>
      <x:c r="R555" s="6" t="str">
        <x:v>oil-change</x:v>
      </x:c>
      <x:c r="S555" s="6" t="str">
        <x:v>Dubai explicit</x:v>
      </x:c>
      <x:c r="T555" s="6" t="n">
        <x:v>3</x:v>
      </x:c>
      <x:c r="U555" s="6" t="str">
        <x:v>21–40</x:v>
      </x:c>
      <x:c r="V555" s="6" t="str">
        <x:v>Content, internal authority and owner alignment</x:v>
      </x:c>
      <x:c r="W555" s="6" t="str">
        <x:v>Relevant supporting</x:v>
      </x:c>
      <x:c r="X555" s="6" t="n">
        <x:v>551</x:v>
      </x:c>
      <x:c r="Y555" s="6" t="str">
        <x:v>Unconfirmed — joint query/page data required</x:v>
      </x:c>
    </x:row>
    <x:row r="556" ht="42" customHeight="1">
      <x:c r="A556" s="6" t="str">
        <x:v>bmw service centre dubai</x:v>
      </x:c>
      <x:c r="B556" s="14" t="n">
        <x:v>0</x:v>
      </x:c>
      <x:c r="C556" s="14" t="n">
        <x:v>24</x:v>
      </x:c>
      <x:c r="D556" s="15" t="n">
        <x:v>0</x:v>
      </x:c>
      <x:c r="E556" s="16" t="n">
        <x:v>24.67</x:v>
      </x:c>
      <x:c r="F556" s="6" t="str">
        <x:v>HIGH</x:v>
      </x:c>
      <x:c r="G556" s="17" t="n">
        <x:f>'Scoring'!I556</x:f>
        <x:v>77.2</x:v>
      </x:c>
      <x:c r="H556" s="6" t="str">
        <x:v>SUPPORT</x:v>
      </x:c>
      <x:c r="I556" s="6" t="str">
        <x:v>bmw: Service and repair (English)</x:v>
      </x:c>
      <x:c r="J556" s="6" t="str">
        <x:v>Secondary</x:v>
      </x:c>
      <x:c r="K556" s="6" t="str">
        <x:v>Commercial service enquiry</x:v>
      </x:c>
      <x:c r="L556" s="6" t="str">
        <x:v>High</x:v>
      </x:c>
      <x:c r="M556" s="6" t="str">
        <x:v>https://digitecme.com/brands/bmw-service-dubai</x:v>
      </x:c>
      <x:c r="N556" s="6" t="str">
        <x:v>Unknown — export has no query/page pairing</x:v>
      </x:c>
      <x:c r="O556" s="6" t="str">
        <x:v>Retain primary intent and support variants</x:v>
      </x:c>
      <x:c r="P556" s="6" t="str">
        <x:v>Average position 24.67 makes ranking the main issue; avoid a CTR-only rewrite.</x:v>
      </x:c>
      <x:c r="Q556" s="6" t="str">
        <x:v>bmw</x:v>
      </x:c>
      <x:c r="R556" s="6" t="str">
        <x:v>service-repair</x:v>
      </x:c>
      <x:c r="S556" s="6" t="str">
        <x:v>Dubai explicit</x:v>
      </x:c>
      <x:c r="T556" s="6" t="n">
        <x:v>5</x:v>
      </x:c>
      <x:c r="U556" s="6" t="str">
        <x:v>21–40</x:v>
      </x:c>
      <x:c r="V556" s="6" t="str">
        <x:v>Content, internal authority and owner alignment</x:v>
      </x:c>
      <x:c r="W556" s="6" t="str">
        <x:v>Relevant supporting</x:v>
      </x:c>
      <x:c r="X556" s="6" t="n">
        <x:v>552</x:v>
      </x:c>
      <x:c r="Y556" s="6" t="str">
        <x:v>Unconfirmed — joint query/page data required</x:v>
      </x:c>
    </x:row>
    <x:row r="557" ht="42" customHeight="1">
      <x:c r="A557" s="6" t="str">
        <x:v>mclaren suspension specialist</x:v>
      </x:c>
      <x:c r="B557" s="14" t="n">
        <x:v>0</x:v>
      </x:c>
      <x:c r="C557" s="14" t="n">
        <x:v>24</x:v>
      </x:c>
      <x:c r="D557" s="15" t="n">
        <x:v>0</x:v>
      </x:c>
      <x:c r="E557" s="16" t="n">
        <x:v>25</x:v>
      </x:c>
      <x:c r="F557" s="6" t="str">
        <x:v>HIGH</x:v>
      </x:c>
      <x:c r="G557" s="17" t="n">
        <x:f>'Scoring'!I557</x:f>
        <x:v>72.2</x:v>
      </x:c>
      <x:c r="H557" s="6" t="str">
        <x:v>SPLIT</x:v>
      </x:c>
      <x:c r="I557" s="6" t="str">
        <x:v>mclaren: Suspension repair</x:v>
      </x:c>
      <x:c r="J557" s="6" t="str">
        <x:v>Primary</x:v>
      </x:c>
      <x:c r="K557" s="6" t="str">
        <x:v>Commercial service enquiry</x:v>
      </x:c>
      <x:c r="L557" s="6" t="str">
        <x:v>High</x:v>
      </x:c>
      <x:c r="M557" s="6" t="str">
        <x:v>https://digitecme.com/brands/mclaren-service-dubai/suspension-repair</x:v>
      </x:c>
      <x:c r="N557" s="6" t="str">
        <x:v>Unknown — export has no query/page pairing</x:v>
      </x:c>
      <x:c r="O557" s="6" t="str">
        <x:v>Use dedicated service owner</x:v>
      </x:c>
      <x:c r="P557" s="6" t="str">
        <x:v>Average position 25.00 makes ranking the main issue; avoid a CTR-only rewrite.</x:v>
      </x:c>
      <x:c r="Q557" s="6" t="str">
        <x:v>mclaren</x:v>
      </x:c>
      <x:c r="R557" s="6" t="str">
        <x:v>suspension-repair</x:v>
      </x:c>
      <x:c r="S557" s="6" t="str">
        <x:v>Location unspecified</x:v>
      </x:c>
      <x:c r="T557" s="6" t="n">
        <x:v>5</x:v>
      </x:c>
      <x:c r="U557" s="6" t="str">
        <x:v>21–40</x:v>
      </x:c>
      <x:c r="V557" s="6" t="str">
        <x:v>Content, internal authority and owner alignment</x:v>
      </x:c>
      <x:c r="W557" s="6" t="str">
        <x:v>High-value commercial</x:v>
      </x:c>
      <x:c r="X557" s="6" t="n">
        <x:v>553</x:v>
      </x:c>
      <x:c r="Y557" s="6" t="str">
        <x:v>Unconfirmed — joint query/page data required</x:v>
      </x:c>
    </x:row>
    <x:row r="558" ht="42" customHeight="1">
      <x:c r="A558" s="6" t="str">
        <x:v>range rover transmission repair dubai</x:v>
      </x:c>
      <x:c r="B558" s="14" t="n">
        <x:v>0</x:v>
      </x:c>
      <x:c r="C558" s="14" t="n">
        <x:v>24</x:v>
      </x:c>
      <x:c r="D558" s="15" t="n">
        <x:v>0</x:v>
      </x:c>
      <x:c r="E558" s="16" t="n">
        <x:v>27.38</x:v>
      </x:c>
      <x:c r="F558" s="6" t="str">
        <x:v>HIGH</x:v>
      </x:c>
      <x:c r="G558" s="17" t="n">
        <x:f>'Scoring'!I558</x:f>
        <x:v>77.2</x:v>
      </x:c>
      <x:c r="H558" s="6" t="str">
        <x:v>SPLIT</x:v>
      </x:c>
      <x:c r="I558" s="6" t="str">
        <x:v>range-rover: Transmission and gearbox repair</x:v>
      </x:c>
      <x:c r="J558" s="6" t="str">
        <x:v>Primary</x:v>
      </x:c>
      <x:c r="K558" s="6" t="str">
        <x:v>Commercial service enquiry</x:v>
      </x:c>
      <x:c r="L558" s="6" t="str">
        <x:v>High</x:v>
      </x:c>
      <x:c r="M558" s="6" t="str">
        <x:v>https://digitecme.com/brands/range-rover-service-dubai/transmission-repair</x:v>
      </x:c>
      <x:c r="N558" s="6" t="str">
        <x:v>Unknown — export has no query/page pairing</x:v>
      </x:c>
      <x:c r="O558" s="6" t="str">
        <x:v>Use dedicated service owner</x:v>
      </x:c>
      <x:c r="P558" s="6" t="str">
        <x:v>Average position 27.38 makes ranking the main issue; avoid a CTR-only rewrite.</x:v>
      </x:c>
      <x:c r="Q558" s="6" t="str">
        <x:v>range-rover</x:v>
      </x:c>
      <x:c r="R558" s="6" t="str">
        <x:v>transmission-repair</x:v>
      </x:c>
      <x:c r="S558" s="6" t="str">
        <x:v>Dubai explicit</x:v>
      </x:c>
      <x:c r="T558" s="6" t="n">
        <x:v>5</x:v>
      </x:c>
      <x:c r="U558" s="6" t="str">
        <x:v>21–40</x:v>
      </x:c>
      <x:c r="V558" s="6" t="str">
        <x:v>Content, internal authority and owner alignment</x:v>
      </x:c>
      <x:c r="W558" s="6" t="str">
        <x:v>High-value commercial</x:v>
      </x:c>
      <x:c r="X558" s="6" t="n">
        <x:v>554</x:v>
      </x:c>
      <x:c r="Y558" s="6" t="str">
        <x:v>Unconfirmed — joint query/page data required</x:v>
      </x:c>
    </x:row>
    <x:row r="559" ht="42" customHeight="1">
      <x:c r="A559" s="6" t="str">
        <x:v>self healing paint protection film</x:v>
      </x:c>
      <x:c r="B559" s="14" t="n">
        <x:v>0</x:v>
      </x:c>
      <x:c r="C559" s="14" t="n">
        <x:v>24</x:v>
      </x:c>
      <x:c r="D559" s="15" t="n">
        <x:v>0</x:v>
      </x:c>
      <x:c r="E559" s="16" t="n">
        <x:v>33.29</x:v>
      </x:c>
      <x:c r="F559" s="6" t="str">
        <x:v>GROWTH</x:v>
      </x:c>
      <x:c r="G559" s="17" t="n">
        <x:f>'Scoring'!I559</x:f>
        <x:v>64.7</x:v>
      </x:c>
      <x:c r="H559" s="6" t="str">
        <x:v>SUPPORT</x:v>
      </x:c>
      <x:c r="I559" s="6" t="str">
        <x:v>All vehicles: Paint protection film</x:v>
      </x:c>
      <x:c r="J559" s="6" t="str">
        <x:v>Secondary</x:v>
      </x:c>
      <x:c r="K559" s="6" t="str">
        <x:v>Commercial service enquiry</x:v>
      </x:c>
      <x:c r="L559" s="6" t="str">
        <x:v>High</x:v>
      </x:c>
      <x:c r="M559" s="6" t="str">
        <x:v>https://digitecme.com/services/paint-protection-film</x:v>
      </x:c>
      <x:c r="N559" s="6" t="str">
        <x:v>Unknown — export has no query/page pairing</x:v>
      </x:c>
      <x:c r="O559" s="6" t="str">
        <x:v>Retain primary intent and support variants</x:v>
      </x:c>
      <x:c r="P559" s="6" t="str">
        <x:v>Film intent belongs to the PPF page; vehicle and district terms are secondary context. Average position 33.29 makes ranking the main issue; avoid a CTR-only rewrite.</x:v>
      </x:c>
      <x:c r="Q559" s="6" t="str">
        <x:v>All vehicles</x:v>
      </x:c>
      <x:c r="R559" s="6" t="str">
        <x:v>ppf</x:v>
      </x:c>
      <x:c r="S559" s="6" t="str">
        <x:v>Location unspecified</x:v>
      </x:c>
      <x:c r="T559" s="6" t="n">
        <x:v>5</x:v>
      </x:c>
      <x:c r="U559" s="6" t="str">
        <x:v>21–40</x:v>
      </x:c>
      <x:c r="V559" s="6" t="str">
        <x:v>Content, internal authority and owner alignment</x:v>
      </x:c>
      <x:c r="W559" s="6" t="str">
        <x:v>Relevant supporting</x:v>
      </x:c>
      <x:c r="X559" s="6" t="n">
        <x:v>555</x:v>
      </x:c>
      <x:c r="Y559" s="6" t="str">
        <x:v>Unconfirmed — joint query/page data required</x:v>
      </x:c>
    </x:row>
    <x:row r="560" ht="42" customHeight="1">
      <x:c r="A560" s="6" t="str">
        <x:v>jaguar repair dubai</x:v>
      </x:c>
      <x:c r="B560" s="14" t="n">
        <x:v>0</x:v>
      </x:c>
      <x:c r="C560" s="14" t="n">
        <x:v>24</x:v>
      </x:c>
      <x:c r="D560" s="15" t="n">
        <x:v>0</x:v>
      </x:c>
      <x:c r="E560" s="16" t="n">
        <x:v>35.25</x:v>
      </x:c>
      <x:c r="F560" s="6" t="str">
        <x:v>GROWTH</x:v>
      </x:c>
      <x:c r="G560" s="17" t="n">
        <x:f>'Scoring'!I560</x:f>
        <x:v>61.7</x:v>
      </x:c>
      <x:c r="H560" s="6" t="str">
        <x:v>PRIORITIZE</x:v>
      </x:c>
      <x:c r="I560" s="6" t="str">
        <x:v>jaguar: Service and repair</x:v>
      </x:c>
      <x:c r="J560" s="6" t="str">
        <x:v>Primary</x:v>
      </x:c>
      <x:c r="K560" s="6" t="str">
        <x:v>Commercial service enquiry</x:v>
      </x:c>
      <x:c r="L560" s="6" t="str">
        <x:v>High</x:v>
      </x:c>
      <x:c r="M560" s="6" t="str">
        <x:v>https://digitecme.com/brands/jaguar-service-dubai</x:v>
      </x:c>
      <x:c r="N560" s="6" t="str">
        <x:v>Unknown — export has no query/page pairing</x:v>
      </x:c>
      <x:c r="O560" s="6" t="str">
        <x:v>Strengthen this primary intent owner</x:v>
      </x:c>
      <x:c r="P560" s="6" t="str">
        <x:v>Average position 35.25 makes ranking the main issue; avoid a CTR-only rewrite.</x:v>
      </x:c>
      <x:c r="Q560" s="6" t="str">
        <x:v>jaguar</x:v>
      </x:c>
      <x:c r="R560" s="6" t="str">
        <x:v>service-repair</x:v>
      </x:c>
      <x:c r="S560" s="6" t="str">
        <x:v>Dubai explicit</x:v>
      </x:c>
      <x:c r="T560" s="6" t="n">
        <x:v>3</x:v>
      </x:c>
      <x:c r="U560" s="6" t="str">
        <x:v>21–40</x:v>
      </x:c>
      <x:c r="V560" s="6" t="str">
        <x:v>Content, internal authority and owner alignment</x:v>
      </x:c>
      <x:c r="W560" s="6" t="str">
        <x:v>High-value commercial</x:v>
      </x:c>
      <x:c r="X560" s="6" t="n">
        <x:v>556</x:v>
      </x:c>
      <x:c r="Y560" s="6" t="str">
        <x:v>Unconfirmed — joint query/page data required</x:v>
      </x:c>
    </x:row>
    <x:row r="561" ht="42" customHeight="1">
      <x:c r="A561" s="6" t="str">
        <x:v>porsche service dip2 dubai</x:v>
      </x:c>
      <x:c r="B561" s="14" t="n">
        <x:v>0</x:v>
      </x:c>
      <x:c r="C561" s="14" t="n">
        <x:v>24</x:v>
      </x:c>
      <x:c r="D561" s="15" t="n">
        <x:v>0</x:v>
      </x:c>
      <x:c r="E561" s="16" t="n">
        <x:v>37.75</x:v>
      </x:c>
      <x:c r="F561" s="6" t="str">
        <x:v>GROWTH</x:v>
      </x:c>
      <x:c r="G561" s="17" t="n">
        <x:f>'Scoring'!I561</x:f>
        <x:v>69.7</x:v>
      </x:c>
      <x:c r="H561" s="6" t="str">
        <x:v>SUPPORT</x:v>
      </x:c>
      <x:c r="I561" s="6" t="str">
        <x:v>porsche: Service and repair (English)</x:v>
      </x:c>
      <x:c r="J561" s="6" t="str">
        <x:v>Secondary</x:v>
      </x:c>
      <x:c r="K561" s="6" t="str">
        <x:v>Commercial service enquiry</x:v>
      </x:c>
      <x:c r="L561" s="6" t="str">
        <x:v>High</x:v>
      </x:c>
      <x:c r="M561" s="6" t="str">
        <x:v>https://digitecme.com/brands/porsche-service-dubai</x:v>
      </x:c>
      <x:c r="N561" s="6" t="str">
        <x:v>Unknown — export has no query/page pairing</x:v>
      </x:c>
      <x:c r="O561" s="6" t="str">
        <x:v>Retain primary intent and support variants</x:v>
      </x:c>
      <x:c r="P561" s="6" t="str">
        <x:v>Use the actual Al Quoz location; no district landing page or implied branch. Average position 37.75 makes ranking the main issue; avoid a CTR-only rewrite.</x:v>
      </x:c>
      <x:c r="Q561" s="6" t="str">
        <x:v>porsche</x:v>
      </x:c>
      <x:c r="R561" s="6" t="str">
        <x:v>service-repair</x:v>
      </x:c>
      <x:c r="S561" s="6" t="str">
        <x:v>Other Dubai district</x:v>
      </x:c>
      <x:c r="T561" s="6" t="n">
        <x:v>5</x:v>
      </x:c>
      <x:c r="U561" s="6" t="str">
        <x:v>21–40</x:v>
      </x:c>
      <x:c r="V561" s="6" t="str">
        <x:v>Content, internal authority and owner alignment</x:v>
      </x:c>
      <x:c r="W561" s="6" t="str">
        <x:v>Relevant supporting</x:v>
      </x:c>
      <x:c r="X561" s="6" t="n">
        <x:v>557</x:v>
      </x:c>
      <x:c r="Y561" s="6" t="str">
        <x:v>Unconfirmed — joint query/page data required</x:v>
      </x:c>
    </x:row>
    <x:row r="562" ht="42" customHeight="1">
      <x:c r="A562" s="6" t="str">
        <x:v>chevrolet repair specialist</x:v>
      </x:c>
      <x:c r="B562" s="14" t="n">
        <x:v>0</x:v>
      </x:c>
      <x:c r="C562" s="14" t="n">
        <x:v>24</x:v>
      </x:c>
      <x:c r="D562" s="15" t="n">
        <x:v>0</x:v>
      </x:c>
      <x:c r="E562" s="16" t="n">
        <x:v>38.54</x:v>
      </x:c>
      <x:c r="F562" s="6" t="str">
        <x:v>GROWTH</x:v>
      </x:c>
      <x:c r="G562" s="17" t="n">
        <x:f>'Scoring'!I562</x:f>
        <x:v>56.7</x:v>
      </x:c>
      <x:c r="H562" s="6" t="str">
        <x:v>SUPPORT</x:v>
      </x:c>
      <x:c r="I562" s="6" t="str">
        <x:v>chevrolet: Service and repair</x:v>
      </x:c>
      <x:c r="J562" s="6" t="str">
        <x:v>Secondary</x:v>
      </x:c>
      <x:c r="K562" s="6" t="str">
        <x:v>Commercial service enquiry</x:v>
      </x:c>
      <x:c r="L562" s="6" t="str">
        <x:v>High</x:v>
      </x:c>
      <x:c r="M562" s="6" t="str">
        <x:v>https://digitecme.com/brands/chevrolet-service-dubai</x:v>
      </x:c>
      <x:c r="N562" s="6" t="str">
        <x:v>Unknown — export has no query/page pairing</x:v>
      </x:c>
      <x:c r="O562" s="6" t="str">
        <x:v>Retain primary intent and support variants</x:v>
      </x:c>
      <x:c r="P562" s="6" t="str">
        <x:v>Average position 38.54 makes ranking the main issue; avoid a CTR-only rewrite.</x:v>
      </x:c>
      <x:c r="Q562" s="6" t="str">
        <x:v>chevrolet</x:v>
      </x:c>
      <x:c r="R562" s="6" t="str">
        <x:v>service-repair</x:v>
      </x:c>
      <x:c r="S562" s="6" t="str">
        <x:v>Location unspecified</x:v>
      </x:c>
      <x:c r="T562" s="6" t="n">
        <x:v>3</x:v>
      </x:c>
      <x:c r="U562" s="6" t="str">
        <x:v>21–40</x:v>
      </x:c>
      <x:c r="V562" s="6" t="str">
        <x:v>Content, internal authority and owner alignment</x:v>
      </x:c>
      <x:c r="W562" s="6" t="str">
        <x:v>Relevant supporting</x:v>
      </x:c>
      <x:c r="X562" s="6" t="n">
        <x:v>558</x:v>
      </x:c>
      <x:c r="Y562" s="6" t="str">
        <x:v>Unconfirmed — joint query/page data required</x:v>
      </x:c>
    </x:row>
    <x:row r="563" ht="42" customHeight="1">
      <x:c r="A563" s="6" t="str">
        <x:v>european car specialist dubai</x:v>
      </x:c>
      <x:c r="B563" s="14" t="n">
        <x:v>0</x:v>
      </x:c>
      <x:c r="C563" s="14" t="n">
        <x:v>24</x:v>
      </x:c>
      <x:c r="D563" s="15" t="n">
        <x:v>0</x:v>
      </x:c>
      <x:c r="E563" s="16" t="n">
        <x:v>49.62</x:v>
      </x:c>
      <x:c r="F563" s="6" t="str">
        <x:v>GROWTH</x:v>
      </x:c>
      <x:c r="G563" s="17" t="n">
        <x:f>'Scoring'!I563</x:f>
        <x:v>55.4</x:v>
      </x:c>
      <x:c r="H563" s="6" t="str">
        <x:v>SUPPORT</x:v>
      </x:c>
      <x:c r="I563" s="6" t="str">
        <x:v>All vehicles: General garage and repair (English)</x:v>
      </x:c>
      <x:c r="J563" s="6" t="str">
        <x:v>Secondary</x:v>
      </x:c>
      <x:c r="K563" s="6" t="str">
        <x:v>Commercial service enquiry</x:v>
      </x:c>
      <x:c r="L563" s="6" t="str">
        <x:v>High</x:v>
      </x:c>
      <x:c r="M563" s="6" t="str">
        <x:v>https://digitecme.com/services/car-garage-dubai</x:v>
      </x:c>
      <x:c r="N563" s="6" t="str">
        <x:v>Unknown — export has no query/page pairing</x:v>
      </x:c>
      <x:c r="O563" s="6" t="str">
        <x:v>Retain primary intent and support variants</x:v>
      </x:c>
      <x:c r="P563" s="6" t="str">
        <x:v>Average position 49.62 makes ranking the main issue; avoid a CTR-only rewrite.</x:v>
      </x:c>
      <x:c r="Q563" s="6" t="str">
        <x:v>All vehicles</x:v>
      </x:c>
      <x:c r="R563" s="6" t="str">
        <x:v>service-repair</x:v>
      </x:c>
      <x:c r="S563" s="6" t="str">
        <x:v>Dubai explicit</x:v>
      </x:c>
      <x:c r="T563" s="6" t="n">
        <x:v>3</x:v>
      </x:c>
      <x:c r="U563" s="6" t="str">
        <x:v>40+</x:v>
      </x:c>
      <x:c r="V563" s="6" t="str">
        <x:v>Relevance, capability, indexing and authority review</x:v>
      </x:c>
      <x:c r="W563" s="6" t="str">
        <x:v>Relevant supporting</x:v>
      </x:c>
      <x:c r="X563" s="6" t="n">
        <x:v>559</x:v>
      </x:c>
      <x:c r="Y563" s="6" t="str">
        <x:v>Unconfirmed — joint query/page data required</x:v>
      </x:c>
    </x:row>
    <x:row r="564" ht="42" customHeight="1">
      <x:c r="A564" s="6" t="str">
        <x:v>bentley service centre</x:v>
      </x:c>
      <x:c r="B564" s="14" t="n">
        <x:v>0</x:v>
      </x:c>
      <x:c r="C564" s="14" t="n">
        <x:v>24</x:v>
      </x:c>
      <x:c r="D564" s="15" t="n">
        <x:v>0</x:v>
      </x:c>
      <x:c r="E564" s="16" t="n">
        <x:v>53.12</x:v>
      </x:c>
      <x:c r="F564" s="6" t="str">
        <x:v>GROWTH</x:v>
      </x:c>
      <x:c r="G564" s="17" t="n">
        <x:f>'Scoring'!I564</x:f>
        <x:v>58.4</x:v>
      </x:c>
      <x:c r="H564" s="6" t="str">
        <x:v>SUPPORT</x:v>
      </x:c>
      <x:c r="I564" s="6" t="str">
        <x:v>bentley: Service and repair (English)</x:v>
      </x:c>
      <x:c r="J564" s="6" t="str">
        <x:v>Secondary</x:v>
      </x:c>
      <x:c r="K564" s="6" t="str">
        <x:v>Commercial service enquiry</x:v>
      </x:c>
      <x:c r="L564" s="6" t="str">
        <x:v>High</x:v>
      </x:c>
      <x:c r="M564" s="6" t="str">
        <x:v>https://digitecme.com/brands/bentley-service-dubai</x:v>
      </x:c>
      <x:c r="N564" s="6" t="str">
        <x:v>Unknown — export has no query/page pairing</x:v>
      </x:c>
      <x:c r="O564" s="6" t="str">
        <x:v>Retain primary intent and support variants</x:v>
      </x:c>
      <x:c r="P564" s="6" t="str">
        <x:v>Average position 53.12 makes ranking the main issue; avoid a CTR-only rewrite.</x:v>
      </x:c>
      <x:c r="Q564" s="6" t="str">
        <x:v>bentley</x:v>
      </x:c>
      <x:c r="R564" s="6" t="str">
        <x:v>service-repair</x:v>
      </x:c>
      <x:c r="S564" s="6" t="str">
        <x:v>Location unspecified</x:v>
      </x:c>
      <x:c r="T564" s="6" t="n">
        <x:v>5</x:v>
      </x:c>
      <x:c r="U564" s="6" t="str">
        <x:v>40+</x:v>
      </x:c>
      <x:c r="V564" s="6" t="str">
        <x:v>Relevance, capability, indexing and authority review</x:v>
      </x:c>
      <x:c r="W564" s="6" t="str">
        <x:v>Relevant supporting</x:v>
      </x:c>
      <x:c r="X564" s="6" t="n">
        <x:v>560</x:v>
      </x:c>
      <x:c r="Y564" s="6" t="str">
        <x:v>Unconfirmed — joint query/page data required</x:v>
      </x:c>
    </x:row>
    <x:row r="565" ht="57" customHeight="1">
      <x:c r="A565" s="6" t="str">
        <x:v>tyre repair dubai</x:v>
      </x:c>
      <x:c r="B565" s="14" t="n">
        <x:v>0</x:v>
      </x:c>
      <x:c r="C565" s="14" t="n">
        <x:v>24</x:v>
      </x:c>
      <x:c r="D565" s="15" t="n">
        <x:v>0</x:v>
      </x:c>
      <x:c r="E565" s="16" t="n">
        <x:v>55.83</x:v>
      </x:c>
      <x:c r="F565" s="6" t="str">
        <x:v>GROWTH</x:v>
      </x:c>
      <x:c r="G565" s="17" t="n">
        <x:f>'Scoring'!I565</x:f>
        <x:v>51.4</x:v>
      </x:c>
      <x:c r="H565" s="6" t="str">
        <x:v>SUPPORT</x:v>
      </x:c>
      <x:c r="I565" s="6" t="str">
        <x:v>All vehicles: Tyre repair</x:v>
      </x:c>
      <x:c r="J565" s="6" t="str">
        <x:v>Secondary</x:v>
      </x:c>
      <x:c r="K565" s="6" t="str">
        <x:v>Commercial service enquiry</x:v>
      </x:c>
      <x:c r="L565" s="6" t="str">
        <x:v>High</x:v>
      </x:c>
      <x:c r="M565" s="6" t="str">
        <x:v>https://digitecme.com/services/tire-repair-dubai</x:v>
      </x:c>
      <x:c r="N565" s="6" t="str">
        <x:v>Unknown — export has no query/page pairing</x:v>
      </x:c>
      <x:c r="O565" s="6" t="str">
        <x:v>Retain primary intent and support variants</x:v>
      </x:c>
      <x:c r="P565" s="6" t="str">
        <x:v>Relevant workshop tyre enquiry with lower assumed value than specialist repair; no mobile or roadside claim. Average position 55.83 makes ranking the main issue; avoid a CTR-only rewrite.</x:v>
      </x:c>
      <x:c r="Q565" s="6" t="str">
        <x:v>All vehicles</x:v>
      </x:c>
      <x:c r="R565" s="6" t="str">
        <x:v>tire-repair</x:v>
      </x:c>
      <x:c r="S565" s="6" t="str">
        <x:v>Dubai explicit</x:v>
      </x:c>
      <x:c r="T565" s="6" t="n">
        <x:v>2</x:v>
      </x:c>
      <x:c r="U565" s="6" t="str">
        <x:v>40+</x:v>
      </x:c>
      <x:c r="V565" s="6" t="str">
        <x:v>Relevance, capability, indexing and authority review</x:v>
      </x:c>
      <x:c r="W565" s="6" t="str">
        <x:v>Relevant supporting</x:v>
      </x:c>
      <x:c r="X565" s="6" t="n">
        <x:v>561</x:v>
      </x:c>
      <x:c r="Y565" s="6" t="str">
        <x:v>Unconfirmed — joint query/page data required</x:v>
      </x:c>
    </x:row>
    <x:row r="566" ht="42" customHeight="1">
      <x:c r="A566" s="6" t="str">
        <x:v>car service center dubai</x:v>
      </x:c>
      <x:c r="B566" s="14" t="n">
        <x:v>0</x:v>
      </x:c>
      <x:c r="C566" s="14" t="n">
        <x:v>24</x:v>
      </x:c>
      <x:c r="D566" s="15" t="n">
        <x:v>0</x:v>
      </x:c>
      <x:c r="E566" s="16" t="n">
        <x:v>58.67</x:v>
      </x:c>
      <x:c r="F566" s="6" t="str">
        <x:v>GROWTH</x:v>
      </x:c>
      <x:c r="G566" s="17" t="n">
        <x:f>'Scoring'!I566</x:f>
        <x:v>55.4</x:v>
      </x:c>
      <x:c r="H566" s="6" t="str">
        <x:v>SUPPORT</x:v>
      </x:c>
      <x:c r="I566" s="6" t="str">
        <x:v>All vehicles: Scheduled car service</x:v>
      </x:c>
      <x:c r="J566" s="6" t="str">
        <x:v>Secondary</x:v>
      </x:c>
      <x:c r="K566" s="6" t="str">
        <x:v>Commercial service enquiry</x:v>
      </x:c>
      <x:c r="L566" s="6" t="str">
        <x:v>High</x:v>
      </x:c>
      <x:c r="M566" s="6" t="str">
        <x:v>https://digitecme.com/services/car-service-dubai</x:v>
      </x:c>
      <x:c r="N566" s="6" t="str">
        <x:v>Unknown — export has no query/page pairing</x:v>
      </x:c>
      <x:c r="O566" s="6" t="str">
        <x:v>Retain primary intent and support variants</x:v>
      </x:c>
      <x:c r="P566" s="6" t="str">
        <x:v>Average position 58.67 makes ranking the main issue; avoid a CTR-only rewrite.</x:v>
      </x:c>
      <x:c r="Q566" s="6" t="str">
        <x:v>All vehicles</x:v>
      </x:c>
      <x:c r="R566" s="6" t="str">
        <x:v>service-repair</x:v>
      </x:c>
      <x:c r="S566" s="6" t="str">
        <x:v>Dubai explicit</x:v>
      </x:c>
      <x:c r="T566" s="6" t="n">
        <x:v>3</x:v>
      </x:c>
      <x:c r="U566" s="6" t="str">
        <x:v>40+</x:v>
      </x:c>
      <x:c r="V566" s="6" t="str">
        <x:v>Relevance, capability, indexing and authority review</x:v>
      </x:c>
      <x:c r="W566" s="6" t="str">
        <x:v>Relevant supporting</x:v>
      </x:c>
      <x:c r="X566" s="6" t="n">
        <x:v>562</x:v>
      </x:c>
      <x:c r="Y566" s="6" t="str">
        <x:v>Unconfirmed — joint query/page data required</x:v>
      </x:c>
    </x:row>
    <x:row r="567" ht="42" customHeight="1">
      <x:c r="A567" s="6" t="str">
        <x:v>porsche service center al quoz</x:v>
      </x:c>
      <x:c r="B567" s="14" t="n">
        <x:v>0</x:v>
      </x:c>
      <x:c r="C567" s="14" t="n">
        <x:v>24</x:v>
      </x:c>
      <x:c r="D567" s="15" t="n">
        <x:v>0</x:v>
      </x:c>
      <x:c r="E567" s="16" t="n">
        <x:v>70.46</x:v>
      </x:c>
      <x:c r="F567" s="6" t="str">
        <x:v>GROWTH</x:v>
      </x:c>
      <x:c r="G567" s="17" t="n">
        <x:f>'Scoring'!I567</x:f>
        <x:v>63.4</x:v>
      </x:c>
      <x:c r="H567" s="6" t="str">
        <x:v>SUPPORT</x:v>
      </x:c>
      <x:c r="I567" s="6" t="str">
        <x:v>porsche: Service and repair (English)</x:v>
      </x:c>
      <x:c r="J567" s="6" t="str">
        <x:v>Secondary</x:v>
      </x:c>
      <x:c r="K567" s="6" t="str">
        <x:v>Commercial service enquiry</x:v>
      </x:c>
      <x:c r="L567" s="6" t="str">
        <x:v>High</x:v>
      </x:c>
      <x:c r="M567" s="6" t="str">
        <x:v>https://digitecme.com/brands/porsche-service-dubai</x:v>
      </x:c>
      <x:c r="N567" s="6" t="str">
        <x:v>Unknown — export has no query/page pairing</x:v>
      </x:c>
      <x:c r="O567" s="6" t="str">
        <x:v>Retain primary intent and support variants</x:v>
      </x:c>
      <x:c r="P567" s="6" t="str">
        <x:v>Average position 70.46 makes ranking the main issue; avoid a CTR-only rewrite.</x:v>
      </x:c>
      <x:c r="Q567" s="6" t="str">
        <x:v>porsche</x:v>
      </x:c>
      <x:c r="R567" s="6" t="str">
        <x:v>service-repair</x:v>
      </x:c>
      <x:c r="S567" s="6" t="str">
        <x:v>Dubai explicit</x:v>
      </x:c>
      <x:c r="T567" s="6" t="n">
        <x:v>5</x:v>
      </x:c>
      <x:c r="U567" s="6" t="str">
        <x:v>40+</x:v>
      </x:c>
      <x:c r="V567" s="6" t="str">
        <x:v>Relevance, capability, indexing and authority review</x:v>
      </x:c>
      <x:c r="W567" s="6" t="str">
        <x:v>Relevant supporting</x:v>
      </x:c>
      <x:c r="X567" s="6" t="n">
        <x:v>563</x:v>
      </x:c>
      <x:c r="Y567" s="6" t="str">
        <x:v>Unconfirmed — joint query/page data required</x:v>
      </x:c>
    </x:row>
    <x:row r="568" ht="42" customHeight="1">
      <x:c r="A568" s="6" t="str">
        <x:v>lotus service dubai</x:v>
      </x:c>
      <x:c r="B568" s="14" t="n">
        <x:v>0</x:v>
      </x:c>
      <x:c r="C568" s="14" t="n">
        <x:v>23</x:v>
      </x:c>
      <x:c r="D568" s="15" t="n">
        <x:v>0</x:v>
      </x:c>
      <x:c r="E568" s="16" t="n">
        <x:v>10.26</x:v>
      </x:c>
      <x:c r="F568" s="6" t="str">
        <x:v>CRITICAL</x:v>
      </x:c>
      <x:c r="G568" s="17" t="n">
        <x:f>'Scoring'!I568</x:f>
        <x:v>84.6</x:v>
      </x:c>
      <x:c r="H568" s="6" t="str">
        <x:v>SUPPORT</x:v>
      </x:c>
      <x:c r="I568" s="6" t="str">
        <x:v>lotus: Service and repair</x:v>
      </x:c>
      <x:c r="J568" s="6" t="str">
        <x:v>Secondary</x:v>
      </x:c>
      <x:c r="K568" s="6" t="str">
        <x:v>Commercial service enquiry</x:v>
      </x:c>
      <x:c r="L568" s="6" t="str">
        <x:v>High</x:v>
      </x:c>
      <x:c r="M568" s="6" t="str">
        <x:v>https://digitecme.com/brands/lotus-service-dubai</x:v>
      </x:c>
      <x:c r="N568" s="6" t="str">
        <x:v>Unknown — export has no query/page pairing</x:v>
      </x:c>
      <x:c r="O568" s="6" t="str">
        <x:v>Retain primary intent and support variants</x:v>
      </x:c>
      <x:c r="P568" s="6" t="str">
        <x:v>23 impressions at average position 10.26; strengthen the appropriate intent owner and measure with a fresh comparable period.</x:v>
      </x:c>
      <x:c r="Q568" s="6" t="str">
        <x:v>lotus</x:v>
      </x:c>
      <x:c r="R568" s="6" t="str">
        <x:v>service-repair</x:v>
      </x:c>
      <x:c r="S568" s="6" t="str">
        <x:v>Dubai explicit</x:v>
      </x:c>
      <x:c r="T568" s="6" t="n">
        <x:v>5</x:v>
      </x:c>
      <x:c r="U568" s="6" t="str">
        <x:v>11–20</x:v>
      </x:c>
      <x:c r="V568" s="6" t="str">
        <x:v>Ranking and owner relevance</x:v>
      </x:c>
      <x:c r="W568" s="6" t="str">
        <x:v>Relevant supporting</x:v>
      </x:c>
      <x:c r="X568" s="6" t="n">
        <x:v>564</x:v>
      </x:c>
      <x:c r="Y568" s="6" t="str">
        <x:v>Unconfirmed — joint query/page data required</x:v>
      </x:c>
    </x:row>
    <x:row r="569" ht="42" customHeight="1">
      <x:c r="A569" s="6" t="str">
        <x:v>bmw workshop al quoz</x:v>
      </x:c>
      <x:c r="B569" s="14" t="n">
        <x:v>0</x:v>
      </x:c>
      <x:c r="C569" s="14" t="n">
        <x:v>23</x:v>
      </x:c>
      <x:c r="D569" s="15" t="n">
        <x:v>0</x:v>
      </x:c>
      <x:c r="E569" s="16" t="n">
        <x:v>12.22</x:v>
      </x:c>
      <x:c r="F569" s="6" t="str">
        <x:v>CRITICAL</x:v>
      </x:c>
      <x:c r="G569" s="17" t="n">
        <x:f>'Scoring'!I569</x:f>
        <x:v>84.6</x:v>
      </x:c>
      <x:c r="H569" s="6" t="str">
        <x:v>SUPPORT</x:v>
      </x:c>
      <x:c r="I569" s="6" t="str">
        <x:v>bmw: Service and repair (English)</x:v>
      </x:c>
      <x:c r="J569" s="6" t="str">
        <x:v>Secondary</x:v>
      </x:c>
      <x:c r="K569" s="6" t="str">
        <x:v>Commercial service enquiry</x:v>
      </x:c>
      <x:c r="L569" s="6" t="str">
        <x:v>High</x:v>
      </x:c>
      <x:c r="M569" s="6" t="str">
        <x:v>https://digitecme.com/brands/bmw-service-dubai</x:v>
      </x:c>
      <x:c r="N569" s="6" t="str">
        <x:v>Unknown — export has no query/page pairing</x:v>
      </x:c>
      <x:c r="O569" s="6" t="str">
        <x:v>Retain primary intent and support variants</x:v>
      </x:c>
      <x:c r="P569" s="6" t="str">
        <x:v>23 impressions at average position 12.22; strengthen the appropriate intent owner and measure with a fresh comparable period.</x:v>
      </x:c>
      <x:c r="Q569" s="6" t="str">
        <x:v>bmw</x:v>
      </x:c>
      <x:c r="R569" s="6" t="str">
        <x:v>service-repair</x:v>
      </x:c>
      <x:c r="S569" s="6" t="str">
        <x:v>Dubai explicit</x:v>
      </x:c>
      <x:c r="T569" s="6" t="n">
        <x:v>5</x:v>
      </x:c>
      <x:c r="U569" s="6" t="str">
        <x:v>11–20</x:v>
      </x:c>
      <x:c r="V569" s="6" t="str">
        <x:v>Ranking and owner relevance</x:v>
      </x:c>
      <x:c r="W569" s="6" t="str">
        <x:v>Relevant supporting</x:v>
      </x:c>
      <x:c r="X569" s="6" t="n">
        <x:v>565</x:v>
      </x:c>
      <x:c r="Y569" s="6" t="str">
        <x:v>Unconfirmed — joint query/page data required</x:v>
      </x:c>
    </x:row>
    <x:row r="570" ht="57" customHeight="1">
      <x:c r="A570" s="6" t="str">
        <x:v>car tuning near me</x:v>
      </x:c>
      <x:c r="B570" s="14" t="n">
        <x:v>0</x:v>
      </x:c>
      <x:c r="C570" s="14" t="n">
        <x:v>23</x:v>
      </x:c>
      <x:c r="D570" s="15" t="n">
        <x:v>0</x:v>
      </x:c>
      <x:c r="E570" s="16" t="n">
        <x:v>17.35</x:v>
      </x:c>
      <x:c r="F570" s="6" t="str">
        <x:v>HIGH</x:v>
      </x:c>
      <x:c r="G570" s="17" t="n">
        <x:f>'Scoring'!I570</x:f>
        <x:v>77.1</x:v>
      </x:c>
      <x:c r="H570" s="6" t="str">
        <x:v>SUPPORT</x:v>
      </x:c>
      <x:c r="I570" s="6" t="str">
        <x:v>All vehicles: Performance tuning</x:v>
      </x:c>
      <x:c r="J570" s="6" t="str">
        <x:v>Secondary</x:v>
      </x:c>
      <x:c r="K570" s="6" t="str">
        <x:v>Commercial service enquiry</x:v>
      </x:c>
      <x:c r="L570" s="6" t="str">
        <x:v>High</x:v>
      </x:c>
      <x:c r="M570" s="6" t="str">
        <x:v>https://digitecme.com/tuning</x:v>
      </x:c>
      <x:c r="N570" s="6" t="str">
        <x:v>Unknown — export has no query/page pairing</x:v>
      </x:c>
      <x:c r="O570" s="6" t="str">
        <x:v>Retain primary intent and support variants</x:v>
      </x:c>
      <x:c r="P570" s="6" t="str">
        <x:v>Use the existing tuning page; model scope and any GAD relationship require verified facts. 23 impressions at average position 17.35; strengthen the appropriate intent owner and measure with a fresh comparable period.</x:v>
      </x:c>
      <x:c r="Q570" s="6" t="str">
        <x:v>All vehicles</x:v>
      </x:c>
      <x:c r="R570" s="6" t="str">
        <x:v>tuning</x:v>
      </x:c>
      <x:c r="S570" s="6" t="str">
        <x:v>Near me; location unknown</x:v>
      </x:c>
      <x:c r="T570" s="6" t="n">
        <x:v>5</x:v>
      </x:c>
      <x:c r="U570" s="6" t="str">
        <x:v>11–20</x:v>
      </x:c>
      <x:c r="V570" s="6" t="str">
        <x:v>Ranking and owner relevance</x:v>
      </x:c>
      <x:c r="W570" s="6" t="str">
        <x:v>Relevant supporting</x:v>
      </x:c>
      <x:c r="X570" s="6" t="n">
        <x:v>566</x:v>
      </x:c>
      <x:c r="Y570" s="6" t="str">
        <x:v>Unconfirmed — joint query/page data required</x:v>
      </x:c>
    </x:row>
    <x:row r="571" ht="42" customHeight="1">
      <x:c r="A571" s="6" t="str">
        <x:v>porsche diagnostic dubai</x:v>
      </x:c>
      <x:c r="B571" s="14" t="n">
        <x:v>0</x:v>
      </x:c>
      <x:c r="C571" s="14" t="n">
        <x:v>23</x:v>
      </x:c>
      <x:c r="D571" s="15" t="n">
        <x:v>0</x:v>
      </x:c>
      <x:c r="E571" s="16" t="n">
        <x:v>18.26</x:v>
      </x:c>
      <x:c r="F571" s="6" t="str">
        <x:v>HIGH</x:v>
      </x:c>
      <x:c r="G571" s="17" t="n">
        <x:f>'Scoring'!I571</x:f>
        <x:v>77.1</x:v>
      </x:c>
      <x:c r="H571" s="6" t="str">
        <x:v>SPLIT</x:v>
      </x:c>
      <x:c r="I571" s="6" t="str">
        <x:v>porsche: Diagnostics and supported coding</x:v>
      </x:c>
      <x:c r="J571" s="6" t="str">
        <x:v>Primary</x:v>
      </x:c>
      <x:c r="K571" s="6" t="str">
        <x:v>Commercial service enquiry</x:v>
      </x:c>
      <x:c r="L571" s="6" t="str">
        <x:v>High</x:v>
      </x:c>
      <x:c r="M571" s="6" t="str">
        <x:v>https://digitecme.com/brands/porsche-service-dubai/engine-diagnostics</x:v>
      </x:c>
      <x:c r="N571" s="6" t="str">
        <x:v>Unknown — export has no query/page pairing</x:v>
      </x:c>
      <x:c r="O571" s="6" t="str">
        <x:v>Use dedicated service owner</x:v>
      </x:c>
      <x:c r="P571" s="6" t="str">
        <x:v>23 impressions at average position 18.26; strengthen the appropriate intent owner and measure with a fresh comparable period.</x:v>
      </x:c>
      <x:c r="Q571" s="6" t="str">
        <x:v>porsche</x:v>
      </x:c>
      <x:c r="R571" s="6" t="str">
        <x:v>engine-diagnostics</x:v>
      </x:c>
      <x:c r="S571" s="6" t="str">
        <x:v>Dubai explicit</x:v>
      </x:c>
      <x:c r="T571" s="6" t="n">
        <x:v>5</x:v>
      </x:c>
      <x:c r="U571" s="6" t="str">
        <x:v>11–20</x:v>
      </x:c>
      <x:c r="V571" s="6" t="str">
        <x:v>Ranking and owner relevance</x:v>
      </x:c>
      <x:c r="W571" s="6" t="str">
        <x:v>High-value commercial</x:v>
      </x:c>
      <x:c r="X571" s="6" t="n">
        <x:v>567</x:v>
      </x:c>
      <x:c r="Y571" s="6" t="str">
        <x:v>Unconfirmed — joint query/page data required</x:v>
      </x:c>
    </x:row>
    <x:row r="572" ht="42" customHeight="1">
      <x:c r="A572" s="6" t="str">
        <x:v>volkswagen oil change dubai</x:v>
      </x:c>
      <x:c r="B572" s="14" t="n">
        <x:v>0</x:v>
      </x:c>
      <x:c r="C572" s="14" t="n">
        <x:v>23</x:v>
      </x:c>
      <x:c r="D572" s="15" t="n">
        <x:v>0</x:v>
      </x:c>
      <x:c r="E572" s="16" t="n">
        <x:v>19.09</x:v>
      </x:c>
      <x:c r="F572" s="6" t="str">
        <x:v>HIGH</x:v>
      </x:c>
      <x:c r="G572" s="17" t="n">
        <x:f>'Scoring'!I572</x:f>
        <x:v>69.1</x:v>
      </x:c>
      <x:c r="H572" s="6" t="str">
        <x:v>SPLIT</x:v>
      </x:c>
      <x:c r="I572" s="6" t="str">
        <x:v>volkswagen: Oil change</x:v>
      </x:c>
      <x:c r="J572" s="6" t="str">
        <x:v>Primary</x:v>
      </x:c>
      <x:c r="K572" s="6" t="str">
        <x:v>Commercial service enquiry</x:v>
      </x:c>
      <x:c r="L572" s="6" t="str">
        <x:v>High</x:v>
      </x:c>
      <x:c r="M572" s="6" t="str">
        <x:v>https://digitecme.com/brands/volkswagen-service-dubai/oil-change</x:v>
      </x:c>
      <x:c r="N572" s="6" t="str">
        <x:v>Unknown — export has no query/page pairing</x:v>
      </x:c>
      <x:c r="O572" s="6" t="str">
        <x:v>Use dedicated service owner</x:v>
      </x:c>
      <x:c r="P572" s="6" t="str">
        <x:v>23 impressions at average position 19.09; strengthen the appropriate intent owner and measure with a fresh comparable period.</x:v>
      </x:c>
      <x:c r="Q572" s="6" t="str">
        <x:v>volkswagen</x:v>
      </x:c>
      <x:c r="R572" s="6" t="str">
        <x:v>oil-change</x:v>
      </x:c>
      <x:c r="S572" s="6" t="str">
        <x:v>Dubai explicit</x:v>
      </x:c>
      <x:c r="T572" s="6" t="n">
        <x:v>3</x:v>
      </x:c>
      <x:c r="U572" s="6" t="str">
        <x:v>11–20</x:v>
      </x:c>
      <x:c r="V572" s="6" t="str">
        <x:v>Ranking and owner relevance</x:v>
      </x:c>
      <x:c r="W572" s="6" t="str">
        <x:v>High-value commercial</x:v>
      </x:c>
      <x:c r="X572" s="6" t="n">
        <x:v>568</x:v>
      </x:c>
      <x:c r="Y572" s="6" t="str">
        <x:v>Unconfirmed — joint query/page data required</x:v>
      </x:c>
    </x:row>
    <x:row r="573" ht="42" customHeight="1">
      <x:c r="A573" s="6" t="str">
        <x:v>ferrari brake repair</x:v>
      </x:c>
      <x:c r="B573" s="14" t="n">
        <x:v>0</x:v>
      </x:c>
      <x:c r="C573" s="14" t="n">
        <x:v>23</x:v>
      </x:c>
      <x:c r="D573" s="15" t="n">
        <x:v>0</x:v>
      </x:c>
      <x:c r="E573" s="16" t="n">
        <x:v>22.78</x:v>
      </x:c>
      <x:c r="F573" s="6" t="str">
        <x:v>HIGH</x:v>
      </x:c>
      <x:c r="G573" s="17" t="n">
        <x:f>'Scoring'!I573</x:f>
        <x:v>72.1</x:v>
      </x:c>
      <x:c r="H573" s="6" t="str">
        <x:v>SPLIT</x:v>
      </x:c>
      <x:c r="I573" s="6" t="str">
        <x:v>ferrari: Brake repair</x:v>
      </x:c>
      <x:c r="J573" s="6" t="str">
        <x:v>Secondary</x:v>
      </x:c>
      <x:c r="K573" s="6" t="str">
        <x:v>Commercial service enquiry</x:v>
      </x:c>
      <x:c r="L573" s="6" t="str">
        <x:v>High</x:v>
      </x:c>
      <x:c r="M573" s="6" t="str">
        <x:v>https://digitecme.com/brands/ferrari-service-dubai/brake-repair</x:v>
      </x:c>
      <x:c r="N573" s="6" t="str">
        <x:v>Unknown — export has no query/page pairing</x:v>
      </x:c>
      <x:c r="O573" s="6" t="str">
        <x:v>Use dedicated service owner</x:v>
      </x:c>
      <x:c r="P573" s="6" t="str">
        <x:v>Average position 22.78 makes ranking the main issue; avoid a CTR-only rewrite.</x:v>
      </x:c>
      <x:c r="Q573" s="6" t="str">
        <x:v>ferrari</x:v>
      </x:c>
      <x:c r="R573" s="6" t="str">
        <x:v>brake-repair</x:v>
      </x:c>
      <x:c r="S573" s="6" t="str">
        <x:v>Location unspecified</x:v>
      </x:c>
      <x:c r="T573" s="6" t="n">
        <x:v>5</x:v>
      </x:c>
      <x:c r="U573" s="6" t="str">
        <x:v>21–40</x:v>
      </x:c>
      <x:c r="V573" s="6" t="str">
        <x:v>Content, internal authority and owner alignment</x:v>
      </x:c>
      <x:c r="W573" s="6" t="str">
        <x:v>High-value commercial</x:v>
      </x:c>
      <x:c r="X573" s="6" t="n">
        <x:v>569</x:v>
      </x:c>
      <x:c r="Y573" s="6" t="str">
        <x:v>Unconfirmed — joint query/page data required</x:v>
      </x:c>
    </x:row>
    <x:row r="574" ht="42" customHeight="1">
      <x:c r="A574" s="6" t="str">
        <x:v>bentley transmission repair dubai</x:v>
      </x:c>
      <x:c r="B574" s="14" t="n">
        <x:v>0</x:v>
      </x:c>
      <x:c r="C574" s="14" t="n">
        <x:v>23</x:v>
      </x:c>
      <x:c r="D574" s="15" t="n">
        <x:v>0</x:v>
      </x:c>
      <x:c r="E574" s="16" t="n">
        <x:v>24.22</x:v>
      </x:c>
      <x:c r="F574" s="6" t="str">
        <x:v>HIGH</x:v>
      </x:c>
      <x:c r="G574" s="17" t="n">
        <x:f>'Scoring'!I574</x:f>
        <x:v>77.1</x:v>
      </x:c>
      <x:c r="H574" s="6" t="str">
        <x:v>SPLIT</x:v>
      </x:c>
      <x:c r="I574" s="6" t="str">
        <x:v>bentley: Transmission and gearbox repair</x:v>
      </x:c>
      <x:c r="J574" s="6" t="str">
        <x:v>Primary</x:v>
      </x:c>
      <x:c r="K574" s="6" t="str">
        <x:v>Commercial service enquiry</x:v>
      </x:c>
      <x:c r="L574" s="6" t="str">
        <x:v>High</x:v>
      </x:c>
      <x:c r="M574" s="6" t="str">
        <x:v>https://digitecme.com/brands/bentley-service-dubai/transmission-repair</x:v>
      </x:c>
      <x:c r="N574" s="6" t="str">
        <x:v>Unknown — export has no query/page pairing</x:v>
      </x:c>
      <x:c r="O574" s="6" t="str">
        <x:v>Use dedicated service owner</x:v>
      </x:c>
      <x:c r="P574" s="6" t="str">
        <x:v>Average position 24.22 makes ranking the main issue; avoid a CTR-only rewrite.</x:v>
      </x:c>
      <x:c r="Q574" s="6" t="str">
        <x:v>bentley</x:v>
      </x:c>
      <x:c r="R574" s="6" t="str">
        <x:v>transmission-repair</x:v>
      </x:c>
      <x:c r="S574" s="6" t="str">
        <x:v>Dubai explicit</x:v>
      </x:c>
      <x:c r="T574" s="6" t="n">
        <x:v>5</x:v>
      </x:c>
      <x:c r="U574" s="6" t="str">
        <x:v>21–40</x:v>
      </x:c>
      <x:c r="V574" s="6" t="str">
        <x:v>Content, internal authority and owner alignment</x:v>
      </x:c>
      <x:c r="W574" s="6" t="str">
        <x:v>High-value commercial</x:v>
      </x:c>
      <x:c r="X574" s="6" t="n">
        <x:v>570</x:v>
      </x:c>
      <x:c r="Y574" s="6" t="str">
        <x:v>Unconfirmed — joint query/page data required</x:v>
      </x:c>
    </x:row>
    <x:row r="575" ht="42" customHeight="1">
      <x:c r="A575" s="6" t="str">
        <x:v>pagani repair dubai</x:v>
      </x:c>
      <x:c r="B575" s="14" t="n">
        <x:v>0</x:v>
      </x:c>
      <x:c r="C575" s="14" t="n">
        <x:v>23</x:v>
      </x:c>
      <x:c r="D575" s="15" t="n">
        <x:v>0</x:v>
      </x:c>
      <x:c r="E575" s="16" t="n">
        <x:v>27.61</x:v>
      </x:c>
      <x:c r="F575" s="6" t="str">
        <x:v>HIGH</x:v>
      </x:c>
      <x:c r="G575" s="17" t="n">
        <x:f>'Scoring'!I575</x:f>
        <x:v>77.1</x:v>
      </x:c>
      <x:c r="H575" s="6" t="str">
        <x:v>PRIORITIZE</x:v>
      </x:c>
      <x:c r="I575" s="6" t="str">
        <x:v>pagani: Service and repair</x:v>
      </x:c>
      <x:c r="J575" s="6" t="str">
        <x:v>Primary</x:v>
      </x:c>
      <x:c r="K575" s="6" t="str">
        <x:v>Commercial service enquiry</x:v>
      </x:c>
      <x:c r="L575" s="6" t="str">
        <x:v>High</x:v>
      </x:c>
      <x:c r="M575" s="6" t="str">
        <x:v>https://digitecme.com/brands/pagani-service-dubai</x:v>
      </x:c>
      <x:c r="N575" s="6" t="str">
        <x:v>Unknown — export has no query/page pairing</x:v>
      </x:c>
      <x:c r="O575" s="6" t="str">
        <x:v>Strengthen this primary intent owner</x:v>
      </x:c>
      <x:c r="P575" s="6" t="str">
        <x:v>Average position 27.61 makes ranking the main issue; avoid a CTR-only rewrite.</x:v>
      </x:c>
      <x:c r="Q575" s="6" t="str">
        <x:v>pagani</x:v>
      </x:c>
      <x:c r="R575" s="6" t="str">
        <x:v>service-repair</x:v>
      </x:c>
      <x:c r="S575" s="6" t="str">
        <x:v>Dubai explicit</x:v>
      </x:c>
      <x:c r="T575" s="6" t="n">
        <x:v>5</x:v>
      </x:c>
      <x:c r="U575" s="6" t="str">
        <x:v>21–40</x:v>
      </x:c>
      <x:c r="V575" s="6" t="str">
        <x:v>Content, internal authority and owner alignment</x:v>
      </x:c>
      <x:c r="W575" s="6" t="str">
        <x:v>High-value commercial</x:v>
      </x:c>
      <x:c r="X575" s="6" t="n">
        <x:v>571</x:v>
      </x:c>
      <x:c r="Y575" s="6" t="str">
        <x:v>Unconfirmed — joint query/page data required</x:v>
      </x:c>
    </x:row>
    <x:row r="576" ht="42" customHeight="1">
      <x:c r="A576" s="6" t="str">
        <x:v>automotive solutions</x:v>
      </x:c>
      <x:c r="B576" s="14" t="n">
        <x:v>0</x:v>
      </x:c>
      <x:c r="C576" s="14" t="n">
        <x:v>23</x:v>
      </x:c>
      <x:c r="D576" s="15" t="n">
        <x:v>0</x:v>
      </x:c>
      <x:c r="E576" s="16" t="n">
        <x:v>28.09</x:v>
      </x:c>
      <x:c r="F576" s="6" t="str">
        <x:v>HIGH</x:v>
      </x:c>
      <x:c r="G576" s="17" t="n">
        <x:f>'Scoring'!I576</x:f>
        <x:v>64.1</x:v>
      </x:c>
      <x:c r="H576" s="6" t="str">
        <x:v>SUPPORT</x:v>
      </x:c>
      <x:c r="I576" s="6" t="str">
        <x:v>All vehicles: Scheduled car service</x:v>
      </x:c>
      <x:c r="J576" s="6" t="str">
        <x:v>Secondary</x:v>
      </x:c>
      <x:c r="K576" s="6" t="str">
        <x:v>Commercial service enquiry</x:v>
      </x:c>
      <x:c r="L576" s="6" t="str">
        <x:v>High</x:v>
      </x:c>
      <x:c r="M576" s="6" t="str">
        <x:v>https://digitecme.com/services/car-service-dubai</x:v>
      </x:c>
      <x:c r="N576" s="6" t="str">
        <x:v>Unknown — export has no query/page pairing</x:v>
      </x:c>
      <x:c r="O576" s="6" t="str">
        <x:v>Retain primary intent and support variants</x:v>
      </x:c>
      <x:c r="P576" s="6" t="str">
        <x:v>Average position 28.09 makes ranking the main issue; avoid a CTR-only rewrite.</x:v>
      </x:c>
      <x:c r="Q576" s="6" t="str">
        <x:v>All vehicles</x:v>
      </x:c>
      <x:c r="R576" s="6" t="str">
        <x:v>service-repair</x:v>
      </x:c>
      <x:c r="S576" s="6" t="str">
        <x:v>Location unspecified</x:v>
      </x:c>
      <x:c r="T576" s="6" t="n">
        <x:v>3</x:v>
      </x:c>
      <x:c r="U576" s="6" t="str">
        <x:v>21–40</x:v>
      </x:c>
      <x:c r="V576" s="6" t="str">
        <x:v>Content, internal authority and owner alignment</x:v>
      </x:c>
      <x:c r="W576" s="6" t="str">
        <x:v>Relevant supporting</x:v>
      </x:c>
      <x:c r="X576" s="6" t="n">
        <x:v>572</x:v>
      </x:c>
      <x:c r="Y576" s="6" t="str">
        <x:v>Unconfirmed — joint query/page data required</x:v>
      </x:c>
    </x:row>
    <x:row r="577" ht="42" customHeight="1">
      <x:c r="A577" s="6" t="str">
        <x:v>car diagnostics dubai</x:v>
      </x:c>
      <x:c r="B577" s="14" t="n">
        <x:v>0</x:v>
      </x:c>
      <x:c r="C577" s="14" t="n">
        <x:v>23</x:v>
      </x:c>
      <x:c r="D577" s="15" t="n">
        <x:v>0</x:v>
      </x:c>
      <x:c r="E577" s="16" t="n">
        <x:v>33.78</x:v>
      </x:c>
      <x:c r="F577" s="6" t="str">
        <x:v>GROWTH</x:v>
      </x:c>
      <x:c r="G577" s="17" t="n">
        <x:f>'Scoring'!I577</x:f>
        <x:v>61.6</x:v>
      </x:c>
      <x:c r="H577" s="6" t="str">
        <x:v>SUPPORT</x:v>
      </x:c>
      <x:c r="I577" s="6" t="str">
        <x:v>All vehicles: Diagnostics and supported coding</x:v>
      </x:c>
      <x:c r="J577" s="6" t="str">
        <x:v>Secondary</x:v>
      </x:c>
      <x:c r="K577" s="6" t="str">
        <x:v>Commercial service enquiry</x:v>
      </x:c>
      <x:c r="L577" s="6" t="str">
        <x:v>High</x:v>
      </x:c>
      <x:c r="M577" s="6" t="str">
        <x:v>https://digitecme.com/services/car-diagnostics-dubai</x:v>
      </x:c>
      <x:c r="N577" s="6" t="str">
        <x:v>Unknown — export has no query/page pairing</x:v>
      </x:c>
      <x:c r="O577" s="6" t="str">
        <x:v>Retain primary intent and support variants</x:v>
      </x:c>
      <x:c r="P577" s="6" t="str">
        <x:v>Average position 33.78 makes ranking the main issue; avoid a CTR-only rewrite.</x:v>
      </x:c>
      <x:c r="Q577" s="6" t="str">
        <x:v>All vehicles</x:v>
      </x:c>
      <x:c r="R577" s="6" t="str">
        <x:v>engine-diagnostics</x:v>
      </x:c>
      <x:c r="S577" s="6" t="str">
        <x:v>Dubai explicit</x:v>
      </x:c>
      <x:c r="T577" s="6" t="n">
        <x:v>3</x:v>
      </x:c>
      <x:c r="U577" s="6" t="str">
        <x:v>21–40</x:v>
      </x:c>
      <x:c r="V577" s="6" t="str">
        <x:v>Content, internal authority and owner alignment</x:v>
      </x:c>
      <x:c r="W577" s="6" t="str">
        <x:v>Relevant supporting</x:v>
      </x:c>
      <x:c r="X577" s="6" t="n">
        <x:v>573</x:v>
      </x:c>
      <x:c r="Y577" s="6" t="str">
        <x:v>Unconfirmed — joint query/page data required</x:v>
      </x:c>
    </x:row>
    <x:row r="578" ht="42" customHeight="1">
      <x:c r="A578" s="6" t="str">
        <x:v>volvo repair dubai</x:v>
      </x:c>
      <x:c r="B578" s="14" t="n">
        <x:v>0</x:v>
      </x:c>
      <x:c r="C578" s="14" t="n">
        <x:v>23</x:v>
      </x:c>
      <x:c r="D578" s="15" t="n">
        <x:v>0</x:v>
      </x:c>
      <x:c r="E578" s="16" t="n">
        <x:v>35.13</x:v>
      </x:c>
      <x:c r="F578" s="6" t="str">
        <x:v>GROWTH</x:v>
      </x:c>
      <x:c r="G578" s="17" t="n">
        <x:f>'Scoring'!I578</x:f>
        <x:v>61.6</x:v>
      </x:c>
      <x:c r="H578" s="6" t="str">
        <x:v>SUPPORT</x:v>
      </x:c>
      <x:c r="I578" s="6" t="str">
        <x:v>volvo: Service and repair</x:v>
      </x:c>
      <x:c r="J578" s="6" t="str">
        <x:v>Secondary</x:v>
      </x:c>
      <x:c r="K578" s="6" t="str">
        <x:v>Commercial service enquiry</x:v>
      </x:c>
      <x:c r="L578" s="6" t="str">
        <x:v>High</x:v>
      </x:c>
      <x:c r="M578" s="6" t="str">
        <x:v>https://digitecme.com/brands/volvo-service-dubai</x:v>
      </x:c>
      <x:c r="N578" s="6" t="str">
        <x:v>Unknown — export has no query/page pairing</x:v>
      </x:c>
      <x:c r="O578" s="6" t="str">
        <x:v>Retain primary intent and support variants</x:v>
      </x:c>
      <x:c r="P578" s="6" t="str">
        <x:v>Average position 35.13 makes ranking the main issue; avoid a CTR-only rewrite.</x:v>
      </x:c>
      <x:c r="Q578" s="6" t="str">
        <x:v>volvo</x:v>
      </x:c>
      <x:c r="R578" s="6" t="str">
        <x:v>service-repair</x:v>
      </x:c>
      <x:c r="S578" s="6" t="str">
        <x:v>Dubai explicit</x:v>
      </x:c>
      <x:c r="T578" s="6" t="n">
        <x:v>3</x:v>
      </x:c>
      <x:c r="U578" s="6" t="str">
        <x:v>21–40</x:v>
      </x:c>
      <x:c r="V578" s="6" t="str">
        <x:v>Content, internal authority and owner alignment</x:v>
      </x:c>
      <x:c r="W578" s="6" t="str">
        <x:v>Relevant supporting</x:v>
      </x:c>
      <x:c r="X578" s="6" t="n">
        <x:v>574</x:v>
      </x:c>
      <x:c r="Y578" s="6" t="str">
        <x:v>Unconfirmed — joint query/page data required</x:v>
      </x:c>
    </x:row>
    <x:row r="579" ht="57" customHeight="1">
      <x:c r="A579" s="6" t="str">
        <x:v>tire service dubai</x:v>
      </x:c>
      <x:c r="B579" s="14" t="n">
        <x:v>0</x:v>
      </x:c>
      <x:c r="C579" s="14" t="n">
        <x:v>23</x:v>
      </x:c>
      <x:c r="D579" s="15" t="n">
        <x:v>0</x:v>
      </x:c>
      <x:c r="E579" s="16" t="n">
        <x:v>35.74</x:v>
      </x:c>
      <x:c r="F579" s="6" t="str">
        <x:v>GROWTH</x:v>
      </x:c>
      <x:c r="G579" s="17" t="n">
        <x:f>'Scoring'!I579</x:f>
        <x:v>57.6</x:v>
      </x:c>
      <x:c r="H579" s="6" t="str">
        <x:v>SUPPORT</x:v>
      </x:c>
      <x:c r="I579" s="6" t="str">
        <x:v>All vehicles: Tyre repair</x:v>
      </x:c>
      <x:c r="J579" s="6" t="str">
        <x:v>Secondary</x:v>
      </x:c>
      <x:c r="K579" s="6" t="str">
        <x:v>Commercial service enquiry</x:v>
      </x:c>
      <x:c r="L579" s="6" t="str">
        <x:v>High</x:v>
      </x:c>
      <x:c r="M579" s="6" t="str">
        <x:v>https://digitecme.com/services/tire-repair-dubai</x:v>
      </x:c>
      <x:c r="N579" s="6" t="str">
        <x:v>Unknown — export has no query/page pairing</x:v>
      </x:c>
      <x:c r="O579" s="6" t="str">
        <x:v>Retain primary intent and support variants</x:v>
      </x:c>
      <x:c r="P579" s="6" t="str">
        <x:v>Relevant workshop tyre enquiry with lower assumed value than specialist repair; no mobile or roadside claim. Average position 35.74 makes ranking the main issue; avoid a CTR-only rewrite.</x:v>
      </x:c>
      <x:c r="Q579" s="6" t="str">
        <x:v>All vehicles</x:v>
      </x:c>
      <x:c r="R579" s="6" t="str">
        <x:v>tire-repair</x:v>
      </x:c>
      <x:c r="S579" s="6" t="str">
        <x:v>Dubai explicit</x:v>
      </x:c>
      <x:c r="T579" s="6" t="n">
        <x:v>2</x:v>
      </x:c>
      <x:c r="U579" s="6" t="str">
        <x:v>21–40</x:v>
      </x:c>
      <x:c r="V579" s="6" t="str">
        <x:v>Content, internal authority and owner alignment</x:v>
      </x:c>
      <x:c r="W579" s="6" t="str">
        <x:v>Relevant supporting</x:v>
      </x:c>
      <x:c r="X579" s="6" t="n">
        <x:v>575</x:v>
      </x:c>
      <x:c r="Y579" s="6" t="str">
        <x:v>Unconfirmed — joint query/page data required</x:v>
      </x:c>
    </x:row>
    <x:row r="580" ht="42" customHeight="1">
      <x:c r="A580" s="6" t="str">
        <x:v>volkswagen repair in dubai</x:v>
      </x:c>
      <x:c r="B580" s="14" t="n">
        <x:v>0</x:v>
      </x:c>
      <x:c r="C580" s="14" t="n">
        <x:v>23</x:v>
      </x:c>
      <x:c r="D580" s="15" t="n">
        <x:v>0</x:v>
      </x:c>
      <x:c r="E580" s="16" t="n">
        <x:v>36.35</x:v>
      </x:c>
      <x:c r="F580" s="6" t="str">
        <x:v>GROWTH</x:v>
      </x:c>
      <x:c r="G580" s="17" t="n">
        <x:f>'Scoring'!I580</x:f>
        <x:v>61.6</x:v>
      </x:c>
      <x:c r="H580" s="6" t="str">
        <x:v>SUPPORT</x:v>
      </x:c>
      <x:c r="I580" s="6" t="str">
        <x:v>volkswagen: Service and repair (English)</x:v>
      </x:c>
      <x:c r="J580" s="6" t="str">
        <x:v>Secondary</x:v>
      </x:c>
      <x:c r="K580" s="6" t="str">
        <x:v>Commercial service enquiry</x:v>
      </x:c>
      <x:c r="L580" s="6" t="str">
        <x:v>High</x:v>
      </x:c>
      <x:c r="M580" s="6" t="str">
        <x:v>https://digitecme.com/brands/volkswagen-service-dubai</x:v>
      </x:c>
      <x:c r="N580" s="6" t="str">
        <x:v>Unknown — export has no query/page pairing</x:v>
      </x:c>
      <x:c r="O580" s="6" t="str">
        <x:v>Retain primary intent and support variants</x:v>
      </x:c>
      <x:c r="P580" s="6" t="str">
        <x:v>Average position 36.35 makes ranking the main issue; avoid a CTR-only rewrite.</x:v>
      </x:c>
      <x:c r="Q580" s="6" t="str">
        <x:v>volkswagen</x:v>
      </x:c>
      <x:c r="R580" s="6" t="str">
        <x:v>service-repair</x:v>
      </x:c>
      <x:c r="S580" s="6" t="str">
        <x:v>Dubai explicit</x:v>
      </x:c>
      <x:c r="T580" s="6" t="n">
        <x:v>3</x:v>
      </x:c>
      <x:c r="U580" s="6" t="str">
        <x:v>21–40</x:v>
      </x:c>
      <x:c r="V580" s="6" t="str">
        <x:v>Content, internal authority and owner alignment</x:v>
      </x:c>
      <x:c r="W580" s="6" t="str">
        <x:v>Relevant supporting</x:v>
      </x:c>
      <x:c r="X580" s="6" t="n">
        <x:v>576</x:v>
      </x:c>
      <x:c r="Y580" s="6" t="str">
        <x:v>Unconfirmed — joint query/page data required</x:v>
      </x:c>
    </x:row>
    <x:row r="581" ht="42" customHeight="1">
      <x:c r="A581" s="6" t="str">
        <x:v>ford repair dubai</x:v>
      </x:c>
      <x:c r="B581" s="14" t="n">
        <x:v>0</x:v>
      </x:c>
      <x:c r="C581" s="14" t="n">
        <x:v>23</x:v>
      </x:c>
      <x:c r="D581" s="15" t="n">
        <x:v>0</x:v>
      </x:c>
      <x:c r="E581" s="16" t="n">
        <x:v>37.78</x:v>
      </x:c>
      <x:c r="F581" s="6" t="str">
        <x:v>GROWTH</x:v>
      </x:c>
      <x:c r="G581" s="17" t="n">
        <x:f>'Scoring'!I581</x:f>
        <x:v>61.6</x:v>
      </x:c>
      <x:c r="H581" s="6" t="str">
        <x:v>SUPPORT</x:v>
      </x:c>
      <x:c r="I581" s="6" t="str">
        <x:v>ford: Service and repair (English)</x:v>
      </x:c>
      <x:c r="J581" s="6" t="str">
        <x:v>Secondary</x:v>
      </x:c>
      <x:c r="K581" s="6" t="str">
        <x:v>Commercial service enquiry</x:v>
      </x:c>
      <x:c r="L581" s="6" t="str">
        <x:v>High</x:v>
      </x:c>
      <x:c r="M581" s="6" t="str">
        <x:v>https://digitecme.com/brands/ford-service-dubai</x:v>
      </x:c>
      <x:c r="N581" s="6" t="str">
        <x:v>Unknown — export has no query/page pairing</x:v>
      </x:c>
      <x:c r="O581" s="6" t="str">
        <x:v>Retain primary intent and support variants</x:v>
      </x:c>
      <x:c r="P581" s="6" t="str">
        <x:v>Average position 37.78 makes ranking the main issue; avoid a CTR-only rewrite.</x:v>
      </x:c>
      <x:c r="Q581" s="6" t="str">
        <x:v>ford</x:v>
      </x:c>
      <x:c r="R581" s="6" t="str">
        <x:v>service-repair</x:v>
      </x:c>
      <x:c r="S581" s="6" t="str">
        <x:v>Dubai explicit</x:v>
      </x:c>
      <x:c r="T581" s="6" t="n">
        <x:v>3</x:v>
      </x:c>
      <x:c r="U581" s="6" t="str">
        <x:v>21–40</x:v>
      </x:c>
      <x:c r="V581" s="6" t="str">
        <x:v>Content, internal authority and owner alignment</x:v>
      </x:c>
      <x:c r="W581" s="6" t="str">
        <x:v>Relevant supporting</x:v>
      </x:c>
      <x:c r="X581" s="6" t="n">
        <x:v>577</x:v>
      </x:c>
      <x:c r="Y581" s="6" t="str">
        <x:v>Unconfirmed — joint query/page data required</x:v>
      </x:c>
    </x:row>
    <x:row r="582" ht="42" customHeight="1">
      <x:c r="A582" s="6" t="str">
        <x:v>volkswagen service center dubai</x:v>
      </x:c>
      <x:c r="B582" s="14" t="n">
        <x:v>0</x:v>
      </x:c>
      <x:c r="C582" s="14" t="n">
        <x:v>23</x:v>
      </x:c>
      <x:c r="D582" s="15" t="n">
        <x:v>0</x:v>
      </x:c>
      <x:c r="E582" s="16" t="n">
        <x:v>41.35</x:v>
      </x:c>
      <x:c r="F582" s="6" t="str">
        <x:v>GROWTH</x:v>
      </x:c>
      <x:c r="G582" s="17" t="n">
        <x:f>'Scoring'!I582</x:f>
        <x:v>55.4</x:v>
      </x:c>
      <x:c r="H582" s="6" t="str">
        <x:v>SUPPORT</x:v>
      </x:c>
      <x:c r="I582" s="6" t="str">
        <x:v>volkswagen: Service and repair (English)</x:v>
      </x:c>
      <x:c r="J582" s="6" t="str">
        <x:v>Secondary</x:v>
      </x:c>
      <x:c r="K582" s="6" t="str">
        <x:v>Commercial service enquiry</x:v>
      </x:c>
      <x:c r="L582" s="6" t="str">
        <x:v>High</x:v>
      </x:c>
      <x:c r="M582" s="6" t="str">
        <x:v>https://digitecme.com/brands/volkswagen-service-dubai</x:v>
      </x:c>
      <x:c r="N582" s="6" t="str">
        <x:v>Unknown — export has no query/page pairing</x:v>
      </x:c>
      <x:c r="O582" s="6" t="str">
        <x:v>Retain primary intent and support variants</x:v>
      </x:c>
      <x:c r="P582" s="6" t="str">
        <x:v>Average position 41.35 makes ranking the main issue; avoid a CTR-only rewrite.</x:v>
      </x:c>
      <x:c r="Q582" s="6" t="str">
        <x:v>volkswagen</x:v>
      </x:c>
      <x:c r="R582" s="6" t="str">
        <x:v>service-repair</x:v>
      </x:c>
      <x:c r="S582" s="6" t="str">
        <x:v>Dubai explicit</x:v>
      </x:c>
      <x:c r="T582" s="6" t="n">
        <x:v>3</x:v>
      </x:c>
      <x:c r="U582" s="6" t="str">
        <x:v>40+</x:v>
      </x:c>
      <x:c r="V582" s="6" t="str">
        <x:v>Relevance, capability, indexing and authority review</x:v>
      </x:c>
      <x:c r="W582" s="6" t="str">
        <x:v>Relevant supporting</x:v>
      </x:c>
      <x:c r="X582" s="6" t="n">
        <x:v>578</x:v>
      </x:c>
      <x:c r="Y582" s="6" t="str">
        <x:v>Unconfirmed — joint query/page data required</x:v>
      </x:c>
    </x:row>
    <x:row r="583" ht="57" customHeight="1">
      <x:c r="A583" s="6" t="str">
        <x:v>chrysler satin al dubai</x:v>
      </x:c>
      <x:c r="B583" s="14" t="n">
        <x:v>0</x:v>
      </x:c>
      <x:c r="C583" s="14" t="n">
        <x:v>23</x:v>
      </x:c>
      <x:c r="D583" s="15" t="n">
        <x:v>0</x:v>
      </x:c>
      <x:c r="E583" s="16" t="n">
        <x:v>41.39</x:v>
      </x:c>
      <x:c r="F583" s="6" t="str">
        <x:v>IGNORE</x:v>
      </x:c>
      <x:c r="G583" s="17" t="n">
        <x:f>'Scoring'!I583</x:f>
        <x:v>0</x:v>
      </x:c>
      <x:c r="H583" s="6" t="str">
        <x:v>IGNORE</x:v>
      </x:c>
      <x:c r="I583" s="6" t="str">
        <x:v>Excluded: Unrelated or wrong location</x:v>
      </x:c>
      <x:c r="J583" s="6" t="str">
        <x:v>Secondary</x:v>
      </x:c>
      <x:c r="K583" s="6" t="str">
        <x:v>Other or mismatched intent</x:v>
      </x:c>
      <x:c r="L583" s="6" t="str">
        <x:v>None</x:v>
      </x:c>
      <x:c r="M583" s="6" t="str"/>
      <x:c r="N583" s="6" t="str">
        <x:v>Unknown — export has no query/page pairing</x:v>
      </x:c>
      <x:c r="O583" s="6" t="str">
        <x:v>Do not target</x:v>
      </x:c>
      <x:c r="P583" s="6" t="str">
        <x:v>Dealer, product, industrial, unrelated entity or non-service intent does not match the independent workshop offer. Average position 41.39 makes ranking the main issue; avoid a CTR-only rewrite.</x:v>
      </x:c>
      <x:c r="Q583" s="6" t="str">
        <x:v>chrysler</x:v>
      </x:c>
      <x:c r="R583" s="6" t="str">
        <x:v>service-repair</x:v>
      </x:c>
      <x:c r="S583" s="6" t="str">
        <x:v>Dubai explicit</x:v>
      </x:c>
      <x:c r="T583" s="6" t="n">
        <x:v>0</x:v>
      </x:c>
      <x:c r="U583" s="6" t="str">
        <x:v>40+</x:v>
      </x:c>
      <x:c r="V583" s="6" t="str">
        <x:v>Relevance, capability, indexing and authority review</x:v>
      </x:c>
      <x:c r="W583" s="6" t="str">
        <x:v>Irrelevant</x:v>
      </x:c>
      <x:c r="X583" s="6" t="n">
        <x:v>579</x:v>
      </x:c>
      <x:c r="Y583" s="6" t="str">
        <x:v>Unconfirmed — joint query/page data required</x:v>
      </x:c>
    </x:row>
    <x:row r="584" ht="57" customHeight="1">
      <x:c r="A584" s="6" t="str">
        <x:v>porsche carrera service dubai</x:v>
      </x:c>
      <x:c r="B584" s="14" t="n">
        <x:v>0</x:v>
      </x:c>
      <x:c r="C584" s="14" t="n">
        <x:v>23</x:v>
      </x:c>
      <x:c r="D584" s="15" t="n">
        <x:v>0</x:v>
      </x:c>
      <x:c r="E584" s="16" t="n">
        <x:v>43.26</x:v>
      </x:c>
      <x:c r="F584" s="6" t="str">
        <x:v>GROWTH</x:v>
      </x:c>
      <x:c r="G584" s="17" t="n">
        <x:f>'Scoring'!I584</x:f>
        <x:v>63.4</x:v>
      </x:c>
      <x:c r="H584" s="6" t="str">
        <x:v>SUPPORT</x:v>
      </x:c>
      <x:c r="I584" s="6" t="str">
        <x:v>porsche: 911 service and model variants</x:v>
      </x:c>
      <x:c r="J584" s="6" t="str">
        <x:v>Secondary</x:v>
      </x:c>
      <x:c r="K584" s="6" t="str">
        <x:v>Commercial service enquiry</x:v>
      </x:c>
      <x:c r="L584" s="6" t="str">
        <x:v>High</x:v>
      </x:c>
      <x:c r="M584" s="6" t="str">
        <x:v>https://digitecme.com/blog/porsche-911-service-dubai-guide</x:v>
      </x:c>
      <x:c r="N584" s="6" t="str">
        <x:v>Unknown — export has no query/page pairing</x:v>
      </x:c>
      <x:c r="O584" s="6" t="str">
        <x:v>Retain primary intent and support variants</x:v>
      </x:c>
      <x:c r="P584" s="6" t="str">
        <x:v>Support the existing 911 page with model-specific sections; no separate Targa/Carrera/GT3 page justified by this export. Average position 43.26 makes ranking the main issue; avoid a CTR-only rewrite.</x:v>
      </x:c>
      <x:c r="Q584" s="6" t="str">
        <x:v>porsche</x:v>
      </x:c>
      <x:c r="R584" s="6" t="str">
        <x:v>service-repair</x:v>
      </x:c>
      <x:c r="S584" s="6" t="str">
        <x:v>Dubai explicit</x:v>
      </x:c>
      <x:c r="T584" s="6" t="n">
        <x:v>5</x:v>
      </x:c>
      <x:c r="U584" s="6" t="str">
        <x:v>40+</x:v>
      </x:c>
      <x:c r="V584" s="6" t="str">
        <x:v>Relevance, capability, indexing and authority review</x:v>
      </x:c>
      <x:c r="W584" s="6" t="str">
        <x:v>Relevant supporting</x:v>
      </x:c>
      <x:c r="X584" s="6" t="n">
        <x:v>580</x:v>
      </x:c>
      <x:c r="Y584" s="6" t="str">
        <x:v>Unconfirmed — joint query/page data required</x:v>
      </x:c>
    </x:row>
    <x:row r="585" ht="42" customHeight="1">
      <x:c r="A585" s="6" t="str">
        <x:v>nissan service centers near me</x:v>
      </x:c>
      <x:c r="B585" s="14" t="n">
        <x:v>0</x:v>
      </x:c>
      <x:c r="C585" s="14" t="n">
        <x:v>23</x:v>
      </x:c>
      <x:c r="D585" s="15" t="n">
        <x:v>0</x:v>
      </x:c>
      <x:c r="E585" s="16" t="n">
        <x:v>43.83</x:v>
      </x:c>
      <x:c r="F585" s="6" t="str">
        <x:v>GROWTH</x:v>
      </x:c>
      <x:c r="G585" s="17" t="n">
        <x:f>'Scoring'!I585</x:f>
        <x:v>55.4</x:v>
      </x:c>
      <x:c r="H585" s="6" t="str">
        <x:v>SUPPORT</x:v>
      </x:c>
      <x:c r="I585" s="6" t="str">
        <x:v>nissan: Service and repair</x:v>
      </x:c>
      <x:c r="J585" s="6" t="str">
        <x:v>Secondary</x:v>
      </x:c>
      <x:c r="K585" s="6" t="str">
        <x:v>Commercial service enquiry</x:v>
      </x:c>
      <x:c r="L585" s="6" t="str">
        <x:v>High</x:v>
      </x:c>
      <x:c r="M585" s="6" t="str">
        <x:v>https://digitecme.com/brands/nissan-service-dubai</x:v>
      </x:c>
      <x:c r="N585" s="6" t="str">
        <x:v>Unknown — export has no query/page pairing</x:v>
      </x:c>
      <x:c r="O585" s="6" t="str">
        <x:v>Retain primary intent and support variants</x:v>
      </x:c>
      <x:c r="P585" s="6" t="str">
        <x:v>Average position 43.83 makes ranking the main issue; avoid a CTR-only rewrite.</x:v>
      </x:c>
      <x:c r="Q585" s="6" t="str">
        <x:v>nissan</x:v>
      </x:c>
      <x:c r="R585" s="6" t="str">
        <x:v>service-repair</x:v>
      </x:c>
      <x:c r="S585" s="6" t="str">
        <x:v>Near me; location unknown</x:v>
      </x:c>
      <x:c r="T585" s="6" t="n">
        <x:v>3</x:v>
      </x:c>
      <x:c r="U585" s="6" t="str">
        <x:v>40+</x:v>
      </x:c>
      <x:c r="V585" s="6" t="str">
        <x:v>Relevance, capability, indexing and authority review</x:v>
      </x:c>
      <x:c r="W585" s="6" t="str">
        <x:v>Relevant supporting</x:v>
      </x:c>
      <x:c r="X585" s="6" t="n">
        <x:v>581</x:v>
      </x:c>
      <x:c r="Y585" s="6" t="str">
        <x:v>Unconfirmed — joint query/page data required</x:v>
      </x:c>
    </x:row>
    <x:row r="586" ht="42" customHeight="1">
      <x:c r="A586" s="6" t="str">
        <x:v>gear box dubai</x:v>
      </x:c>
      <x:c r="B586" s="14" t="n">
        <x:v>0</x:v>
      </x:c>
      <x:c r="C586" s="14" t="n">
        <x:v>23</x:v>
      </x:c>
      <x:c r="D586" s="15" t="n">
        <x:v>0</x:v>
      </x:c>
      <x:c r="E586" s="16" t="n">
        <x:v>46.74</x:v>
      </x:c>
      <x:c r="F586" s="6" t="str">
        <x:v>DEPRIORITIZE</x:v>
      </x:c>
      <x:c r="G586" s="17" t="n">
        <x:f>'Scoring'!I586</x:f>
        <x:v>33.4</x:v>
      </x:c>
      <x:c r="H586" s="6" t="str">
        <x:v>DEPRIORITIZE</x:v>
      </x:c>
      <x:c r="I586" s="6" t="str">
        <x:v>All vehicles: Transmission and gearbox repair</x:v>
      </x:c>
      <x:c r="J586" s="6" t="str">
        <x:v>Secondary</x:v>
      </x:c>
      <x:c r="K586" s="6" t="str">
        <x:v>Commercial service enquiry</x:v>
      </x:c>
      <x:c r="L586" s="6" t="str">
        <x:v>Medium</x:v>
      </x:c>
      <x:c r="M586" s="6" t="str">
        <x:v>https://digitecme.com/services/car-service-dubai</x:v>
      </x:c>
      <x:c r="N586" s="6" t="str">
        <x:v>Unknown — export has no query/page pairing</x:v>
      </x:c>
      <x:c r="O586" s="6" t="str">
        <x:v>Confirm scope or deprioritize</x:v>
      </x:c>
      <x:c r="P586" s="6" t="str">
        <x:v>Possible product or parts-retail intent; confirm repair-enquiry intent before active targeting. Average position 46.74 makes ranking the main issue; avoid a CTR-only rewrite.</x:v>
      </x:c>
      <x:c r="Q586" s="6" t="str">
        <x:v>All vehicles</x:v>
      </x:c>
      <x:c r="R586" s="6" t="str">
        <x:v>transmission-repair</x:v>
      </x:c>
      <x:c r="S586" s="6" t="str">
        <x:v>Dubai explicit</x:v>
      </x:c>
      <x:c r="T586" s="6" t="n">
        <x:v>2</x:v>
      </x:c>
      <x:c r="U586" s="6" t="str">
        <x:v>40+</x:v>
      </x:c>
      <x:c r="V586" s="6" t="str">
        <x:v>Relevance, capability, indexing and authority review</x:v>
      </x:c>
      <x:c r="W586" s="6" t="str">
        <x:v>Low-value</x:v>
      </x:c>
      <x:c r="X586" s="6" t="n">
        <x:v>582</x:v>
      </x:c>
      <x:c r="Y586" s="6" t="str">
        <x:v>Unconfirmed — joint query/page data required</x:v>
      </x:c>
    </x:row>
    <x:row r="587" ht="42" customHeight="1">
      <x:c r="A587" s="6" t="str">
        <x:v>ecu repair dubai</x:v>
      </x:c>
      <x:c r="B587" s="14" t="n">
        <x:v>0</x:v>
      </x:c>
      <x:c r="C587" s="14" t="n">
        <x:v>23</x:v>
      </x:c>
      <x:c r="D587" s="15" t="n">
        <x:v>0</x:v>
      </x:c>
      <x:c r="E587" s="16" t="n">
        <x:v>47.26</x:v>
      </x:c>
      <x:c r="F587" s="6" t="str">
        <x:v>GROWTH</x:v>
      </x:c>
      <x:c r="G587" s="17" t="n">
        <x:f>'Scoring'!I587</x:f>
        <x:v>55.4</x:v>
      </x:c>
      <x:c r="H587" s="6" t="str">
        <x:v>SUPPORT</x:v>
      </x:c>
      <x:c r="I587" s="6" t="str">
        <x:v>All vehicles: Diagnostics and supported coding</x:v>
      </x:c>
      <x:c r="J587" s="6" t="str">
        <x:v>Secondary</x:v>
      </x:c>
      <x:c r="K587" s="6" t="str">
        <x:v>Commercial service enquiry</x:v>
      </x:c>
      <x:c r="L587" s="6" t="str">
        <x:v>High</x:v>
      </x:c>
      <x:c r="M587" s="6" t="str">
        <x:v>https://digitecme.com/services/car-diagnostics-dubai</x:v>
      </x:c>
      <x:c r="N587" s="6" t="str">
        <x:v>Unknown — export has no query/page pairing</x:v>
      </x:c>
      <x:c r="O587" s="6" t="str">
        <x:v>Retain primary intent and support variants</x:v>
      </x:c>
      <x:c r="P587" s="6" t="str">
        <x:v>Average position 47.26 makes ranking the main issue; avoid a CTR-only rewrite.</x:v>
      </x:c>
      <x:c r="Q587" s="6" t="str">
        <x:v>All vehicles</x:v>
      </x:c>
      <x:c r="R587" s="6" t="str">
        <x:v>engine-diagnostics</x:v>
      </x:c>
      <x:c r="S587" s="6" t="str">
        <x:v>Dubai explicit</x:v>
      </x:c>
      <x:c r="T587" s="6" t="n">
        <x:v>3</x:v>
      </x:c>
      <x:c r="U587" s="6" t="str">
        <x:v>40+</x:v>
      </x:c>
      <x:c r="V587" s="6" t="str">
        <x:v>Relevance, capability, indexing and authority review</x:v>
      </x:c>
      <x:c r="W587" s="6" t="str">
        <x:v>Relevant supporting</x:v>
      </x:c>
      <x:c r="X587" s="6" t="n">
        <x:v>583</x:v>
      </x:c>
      <x:c r="Y587" s="6" t="str">
        <x:v>Unconfirmed — joint query/page data required</x:v>
      </x:c>
    </x:row>
    <x:row r="588" ht="57" customHeight="1">
      <x:c r="A588" s="6" t="str">
        <x:v>brake motors dubai</x:v>
      </x:c>
      <x:c r="B588" s="14" t="n">
        <x:v>0</x:v>
      </x:c>
      <x:c r="C588" s="14" t="n">
        <x:v>23</x:v>
      </x:c>
      <x:c r="D588" s="15" t="n">
        <x:v>0</x:v>
      </x:c>
      <x:c r="E588" s="16" t="n">
        <x:v>48.43</x:v>
      </x:c>
      <x:c r="F588" s="6" t="str">
        <x:v>IGNORE</x:v>
      </x:c>
      <x:c r="G588" s="17" t="n">
        <x:f>'Scoring'!I588</x:f>
        <x:v>0</x:v>
      </x:c>
      <x:c r="H588" s="6" t="str">
        <x:v>IGNORE</x:v>
      </x:c>
      <x:c r="I588" s="6" t="str">
        <x:v>Excluded: Industrial or non-automotive</x:v>
      </x:c>
      <x:c r="J588" s="6" t="str">
        <x:v>Primary</x:v>
      </x:c>
      <x:c r="K588" s="6" t="str">
        <x:v>Other or mismatched intent</x:v>
      </x:c>
      <x:c r="L588" s="6" t="str">
        <x:v>None</x:v>
      </x:c>
      <x:c r="M588" s="6" t="str"/>
      <x:c r="N588" s="6" t="str">
        <x:v>Unknown — export has no query/page pairing</x:v>
      </x:c>
      <x:c r="O588" s="6" t="str">
        <x:v>Do not target</x:v>
      </x:c>
      <x:c r="P588" s="6" t="str">
        <x:v>Dealer, product, industrial, unrelated entity or non-service intent does not match the independent workshop offer. Average position 48.43 makes ranking the main issue; avoid a CTR-only rewrite.</x:v>
      </x:c>
      <x:c r="Q588" s="6" t="str">
        <x:v>All vehicles</x:v>
      </x:c>
      <x:c r="R588" s="6" t="str">
        <x:v>brake-repair</x:v>
      </x:c>
      <x:c r="S588" s="6" t="str">
        <x:v>Dubai explicit</x:v>
      </x:c>
      <x:c r="T588" s="6" t="n">
        <x:v>0</x:v>
      </x:c>
      <x:c r="U588" s="6" t="str">
        <x:v>40+</x:v>
      </x:c>
      <x:c r="V588" s="6" t="str">
        <x:v>Relevance, capability, indexing and authority review</x:v>
      </x:c>
      <x:c r="W588" s="6" t="str">
        <x:v>Irrelevant</x:v>
      </x:c>
      <x:c r="X588" s="6" t="n">
        <x:v>584</x:v>
      </x:c>
      <x:c r="Y588" s="6" t="str">
        <x:v>Unconfirmed — joint query/page data required</x:v>
      </x:c>
    </x:row>
    <x:row r="589" ht="42" customHeight="1">
      <x:c r="A589" s="6" t="str">
        <x:v>lamborghini suspension repair</x:v>
      </x:c>
      <x:c r="B589" s="14" t="n">
        <x:v>0</x:v>
      </x:c>
      <x:c r="C589" s="14" t="n">
        <x:v>23</x:v>
      </x:c>
      <x:c r="D589" s="15" t="n">
        <x:v>0</x:v>
      </x:c>
      <x:c r="E589" s="16" t="n">
        <x:v>51.09</x:v>
      </x:c>
      <x:c r="F589" s="6" t="str">
        <x:v>GROWTH</x:v>
      </x:c>
      <x:c r="G589" s="17" t="n">
        <x:f>'Scoring'!I589</x:f>
        <x:v>58.4</x:v>
      </x:c>
      <x:c r="H589" s="6" t="str">
        <x:v>SPLIT</x:v>
      </x:c>
      <x:c r="I589" s="6" t="str">
        <x:v>lamborghini: Suspension repair</x:v>
      </x:c>
      <x:c r="J589" s="6" t="str">
        <x:v>Primary</x:v>
      </x:c>
      <x:c r="K589" s="6" t="str">
        <x:v>Commercial service enquiry</x:v>
      </x:c>
      <x:c r="L589" s="6" t="str">
        <x:v>High</x:v>
      </x:c>
      <x:c r="M589" s="6" t="str">
        <x:v>https://digitecme.com/brands/lamborghini-service-dubai/suspension-repair</x:v>
      </x:c>
      <x:c r="N589" s="6" t="str">
        <x:v>Unknown — export has no query/page pairing</x:v>
      </x:c>
      <x:c r="O589" s="6" t="str">
        <x:v>Use dedicated service owner</x:v>
      </x:c>
      <x:c r="P589" s="6" t="str">
        <x:v>Average position 51.09 makes ranking the main issue; avoid a CTR-only rewrite.</x:v>
      </x:c>
      <x:c r="Q589" s="6" t="str">
        <x:v>lamborghini</x:v>
      </x:c>
      <x:c r="R589" s="6" t="str">
        <x:v>suspension-repair</x:v>
      </x:c>
      <x:c r="S589" s="6" t="str">
        <x:v>Location unspecified</x:v>
      </x:c>
      <x:c r="T589" s="6" t="n">
        <x:v>5</x:v>
      </x:c>
      <x:c r="U589" s="6" t="str">
        <x:v>40+</x:v>
      </x:c>
      <x:c r="V589" s="6" t="str">
        <x:v>Relevance, capability, indexing and authority review</x:v>
      </x:c>
      <x:c r="W589" s="6" t="str">
        <x:v>High-value commercial</x:v>
      </x:c>
      <x:c r="X589" s="6" t="n">
        <x:v>585</x:v>
      </x:c>
      <x:c r="Y589" s="6" t="str">
        <x:v>Unconfirmed — joint query/page data required</x:v>
      </x:c>
    </x:row>
    <x:row r="590" ht="42" customHeight="1">
      <x:c r="A590" s="6" t="str">
        <x:v>replace car battery dubai</x:v>
      </x:c>
      <x:c r="B590" s="14" t="n">
        <x:v>0</x:v>
      </x:c>
      <x:c r="C590" s="14" t="n">
        <x:v>23</x:v>
      </x:c>
      <x:c r="D590" s="15" t="n">
        <x:v>0</x:v>
      </x:c>
      <x:c r="E590" s="16" t="n">
        <x:v>53.65</x:v>
      </x:c>
      <x:c r="F590" s="6" t="str">
        <x:v>GROWTH</x:v>
      </x:c>
      <x:c r="G590" s="17" t="n">
        <x:f>'Scoring'!I590</x:f>
        <x:v>55.4</x:v>
      </x:c>
      <x:c r="H590" s="6" t="str">
        <x:v>SUPPORT</x:v>
      </x:c>
      <x:c r="I590" s="6" t="str">
        <x:v>All vehicles: Battery service (English)</x:v>
      </x:c>
      <x:c r="J590" s="6" t="str">
        <x:v>Secondary</x:v>
      </x:c>
      <x:c r="K590" s="6" t="str">
        <x:v>Commercial service enquiry</x:v>
      </x:c>
      <x:c r="L590" s="6" t="str">
        <x:v>High</x:v>
      </x:c>
      <x:c r="M590" s="6" t="str">
        <x:v>https://digitecme.com/services/battery-replacement-dubai</x:v>
      </x:c>
      <x:c r="N590" s="6" t="str">
        <x:v>Unknown — export has no query/page pairing</x:v>
      </x:c>
      <x:c r="O590" s="6" t="str">
        <x:v>Retain primary intent and support variants</x:v>
      </x:c>
      <x:c r="P590" s="6" t="str">
        <x:v>Average position 53.65 makes ranking the main issue; avoid a CTR-only rewrite.</x:v>
      </x:c>
      <x:c r="Q590" s="6" t="str">
        <x:v>All vehicles</x:v>
      </x:c>
      <x:c r="R590" s="6" t="str">
        <x:v>battery-replacement</x:v>
      </x:c>
      <x:c r="S590" s="6" t="str">
        <x:v>Dubai explicit</x:v>
      </x:c>
      <x:c r="T590" s="6" t="n">
        <x:v>3</x:v>
      </x:c>
      <x:c r="U590" s="6" t="str">
        <x:v>40+</x:v>
      </x:c>
      <x:c r="V590" s="6" t="str">
        <x:v>Relevance, capability, indexing and authority review</x:v>
      </x:c>
      <x:c r="W590" s="6" t="str">
        <x:v>Relevant supporting</x:v>
      </x:c>
      <x:c r="X590" s="6" t="n">
        <x:v>586</x:v>
      </x:c>
      <x:c r="Y590" s="6" t="str">
        <x:v>Unconfirmed — joint query/page data required</x:v>
      </x:c>
    </x:row>
    <x:row r="591" ht="42" customHeight="1">
      <x:c r="A591" s="6" t="str">
        <x:v>car film protection</x:v>
      </x:c>
      <x:c r="B591" s="14" t="n">
        <x:v>0</x:v>
      </x:c>
      <x:c r="C591" s="14" t="n">
        <x:v>23</x:v>
      </x:c>
      <x:c r="D591" s="15" t="n">
        <x:v>0</x:v>
      </x:c>
      <x:c r="E591" s="16" t="n">
        <x:v>55.39</x:v>
      </x:c>
      <x:c r="F591" s="6" t="str">
        <x:v>GROWTH</x:v>
      </x:c>
      <x:c r="G591" s="17" t="n">
        <x:f>'Scoring'!I591</x:f>
        <x:v>58.4</x:v>
      </x:c>
      <x:c r="H591" s="6" t="str">
        <x:v>SUPPORT</x:v>
      </x:c>
      <x:c r="I591" s="6" t="str">
        <x:v>All vehicles: Paint protection film</x:v>
      </x:c>
      <x:c r="J591" s="6" t="str">
        <x:v>Secondary</x:v>
      </x:c>
      <x:c r="K591" s="6" t="str">
        <x:v>Commercial service enquiry</x:v>
      </x:c>
      <x:c r="L591" s="6" t="str">
        <x:v>High</x:v>
      </x:c>
      <x:c r="M591" s="6" t="str">
        <x:v>https://digitecme.com/services/paint-protection-film</x:v>
      </x:c>
      <x:c r="N591" s="6" t="str">
        <x:v>Unknown — export has no query/page pairing</x:v>
      </x:c>
      <x:c r="O591" s="6" t="str">
        <x:v>Retain primary intent and support variants</x:v>
      </x:c>
      <x:c r="P591" s="6" t="str">
        <x:v>Film intent belongs to the PPF page; vehicle and district terms are secondary context. Average position 55.39 makes ranking the main issue; avoid a CTR-only rewrite.</x:v>
      </x:c>
      <x:c r="Q591" s="6" t="str">
        <x:v>All vehicles</x:v>
      </x:c>
      <x:c r="R591" s="6" t="str">
        <x:v>ppf</x:v>
      </x:c>
      <x:c r="S591" s="6" t="str">
        <x:v>Location unspecified</x:v>
      </x:c>
      <x:c r="T591" s="6" t="n">
        <x:v>5</x:v>
      </x:c>
      <x:c r="U591" s="6" t="str">
        <x:v>40+</x:v>
      </x:c>
      <x:c r="V591" s="6" t="str">
        <x:v>Relevance, capability, indexing and authority review</x:v>
      </x:c>
      <x:c r="W591" s="6" t="str">
        <x:v>Relevant supporting</x:v>
      </x:c>
      <x:c r="X591" s="6" t="n">
        <x:v>587</x:v>
      </x:c>
      <x:c r="Y591" s="6" t="str">
        <x:v>Unconfirmed — joint query/page data required</x:v>
      </x:c>
    </x:row>
    <x:row r="592" ht="42" customHeight="1">
      <x:c r="A592" s="6" t="str">
        <x:v>car programming</x:v>
      </x:c>
      <x:c r="B592" s="14" t="n">
        <x:v>0</x:v>
      </x:c>
      <x:c r="C592" s="14" t="n">
        <x:v>23</x:v>
      </x:c>
      <x:c r="D592" s="15" t="n">
        <x:v>0</x:v>
      </x:c>
      <x:c r="E592" s="16" t="n">
        <x:v>55.87</x:v>
      </x:c>
      <x:c r="F592" s="6" t="str">
        <x:v>GROWTH</x:v>
      </x:c>
      <x:c r="G592" s="17" t="n">
        <x:f>'Scoring'!I592</x:f>
        <x:v>50.4</x:v>
      </x:c>
      <x:c r="H592" s="6" t="str">
        <x:v>SUPPORT</x:v>
      </x:c>
      <x:c r="I592" s="6" t="str">
        <x:v>All vehicles: Diagnostics and supported coding</x:v>
      </x:c>
      <x:c r="J592" s="6" t="str">
        <x:v>Secondary</x:v>
      </x:c>
      <x:c r="K592" s="6" t="str">
        <x:v>Commercial service enquiry</x:v>
      </x:c>
      <x:c r="L592" s="6" t="str">
        <x:v>High</x:v>
      </x:c>
      <x:c r="M592" s="6" t="str">
        <x:v>https://digitecme.com/services/car-diagnostics-dubai</x:v>
      </x:c>
      <x:c r="N592" s="6" t="str">
        <x:v>Unknown — export has no query/page pairing</x:v>
      </x:c>
      <x:c r="O592" s="6" t="str">
        <x:v>Retain primary intent and support variants</x:v>
      </x:c>
      <x:c r="P592" s="6" t="str">
        <x:v>Average position 55.87 makes ranking the main issue; avoid a CTR-only rewrite.</x:v>
      </x:c>
      <x:c r="Q592" s="6" t="str">
        <x:v>All vehicles</x:v>
      </x:c>
      <x:c r="R592" s="6" t="str">
        <x:v>engine-diagnostics</x:v>
      </x:c>
      <x:c r="S592" s="6" t="str">
        <x:v>Location unspecified</x:v>
      </x:c>
      <x:c r="T592" s="6" t="n">
        <x:v>3</x:v>
      </x:c>
      <x:c r="U592" s="6" t="str">
        <x:v>40+</x:v>
      </x:c>
      <x:c r="V592" s="6" t="str">
        <x:v>Relevance, capability, indexing and authority review</x:v>
      </x:c>
      <x:c r="W592" s="6" t="str">
        <x:v>Relevant supporting</x:v>
      </x:c>
      <x:c r="X592" s="6" t="n">
        <x:v>588</x:v>
      </x:c>
      <x:c r="Y592" s="6" t="str">
        <x:v>Unconfirmed — joint query/page data required</x:v>
      </x:c>
    </x:row>
    <x:row r="593" ht="57" customHeight="1">
      <x:c r="A593" s="6" t="str">
        <x:v>tyre service dubai</x:v>
      </x:c>
      <x:c r="B593" s="14" t="n">
        <x:v>0</x:v>
      </x:c>
      <x:c r="C593" s="14" t="n">
        <x:v>23</x:v>
      </x:c>
      <x:c r="D593" s="15" t="n">
        <x:v>0</x:v>
      </x:c>
      <x:c r="E593" s="16" t="n">
        <x:v>68.35</x:v>
      </x:c>
      <x:c r="F593" s="6" t="str">
        <x:v>GROWTH</x:v>
      </x:c>
      <x:c r="G593" s="17" t="n">
        <x:f>'Scoring'!I593</x:f>
        <x:v>51.4</x:v>
      </x:c>
      <x:c r="H593" s="6" t="str">
        <x:v>SUPPORT</x:v>
      </x:c>
      <x:c r="I593" s="6" t="str">
        <x:v>All vehicles: Tyre repair</x:v>
      </x:c>
      <x:c r="J593" s="6" t="str">
        <x:v>Secondary</x:v>
      </x:c>
      <x:c r="K593" s="6" t="str">
        <x:v>Commercial service enquiry</x:v>
      </x:c>
      <x:c r="L593" s="6" t="str">
        <x:v>High</x:v>
      </x:c>
      <x:c r="M593" s="6" t="str">
        <x:v>https://digitecme.com/services/tire-repair-dubai</x:v>
      </x:c>
      <x:c r="N593" s="6" t="str">
        <x:v>Unknown — export has no query/page pairing</x:v>
      </x:c>
      <x:c r="O593" s="6" t="str">
        <x:v>Retain primary intent and support variants</x:v>
      </x:c>
      <x:c r="P593" s="6" t="str">
        <x:v>Relevant workshop tyre enquiry with lower assumed value than specialist repair; no mobile or roadside claim. Average position 68.35 makes ranking the main issue; avoid a CTR-only rewrite.</x:v>
      </x:c>
      <x:c r="Q593" s="6" t="str">
        <x:v>All vehicles</x:v>
      </x:c>
      <x:c r="R593" s="6" t="str">
        <x:v>tire-repair</x:v>
      </x:c>
      <x:c r="S593" s="6" t="str">
        <x:v>Dubai explicit</x:v>
      </x:c>
      <x:c r="T593" s="6" t="n">
        <x:v>2</x:v>
      </x:c>
      <x:c r="U593" s="6" t="str">
        <x:v>40+</x:v>
      </x:c>
      <x:c r="V593" s="6" t="str">
        <x:v>Relevance, capability, indexing and authority review</x:v>
      </x:c>
      <x:c r="W593" s="6" t="str">
        <x:v>Relevant supporting</x:v>
      </x:c>
      <x:c r="X593" s="6" t="n">
        <x:v>589</x:v>
      </x:c>
      <x:c r="Y593" s="6" t="str">
        <x:v>Unconfirmed — joint query/page data required</x:v>
      </x:c>
    </x:row>
    <x:row r="594" ht="57" customHeight="1">
      <x:c r="A594" s="6" t="str">
        <x:v>car battery life in uae</x:v>
      </x:c>
      <x:c r="B594" s="14" t="n">
        <x:v>0</x:v>
      </x:c>
      <x:c r="C594" s="14" t="n">
        <x:v>22</x:v>
      </x:c>
      <x:c r="D594" s="15" t="n">
        <x:v>0</x:v>
      </x:c>
      <x:c r="E594" s="16" t="n">
        <x:v>8.23</x:v>
      </x:c>
      <x:c r="F594" s="6" t="str">
        <x:v>GROWTH</x:v>
      </x:c>
      <x:c r="G594" s="17" t="n">
        <x:f>'Scoring'!I594</x:f>
        <x:v>45.5</x:v>
      </x:c>
      <x:c r="H594" s="6" t="str">
        <x:v>PRIORITIZE</x:v>
      </x:c>
      <x:c r="I594" s="6" t="str">
        <x:v>Information: Battery life</x:v>
      </x:c>
      <x:c r="J594" s="6" t="str">
        <x:v>Primary</x:v>
      </x:c>
      <x:c r="K594" s="6" t="str">
        <x:v>Informational</x:v>
      </x:c>
      <x:c r="L594" s="6" t="str">
        <x:v>Medium</x:v>
      </x:c>
      <x:c r="M594" s="6" t="str">
        <x:v>https://digitecme.com/blog/car-battery-life-dubai-heat</x:v>
      </x:c>
      <x:c r="N594" s="6" t="str">
        <x:v>Unknown — export has no query/page pairing</x:v>
      </x:c>
      <x:c r="O594" s="6" t="str">
        <x:v>Strengthen this primary intent owner</x:v>
      </x:c>
      <x:c r="P594" s="6" t="str">
        <x:v>Answer battery-life factors without a universal replacement interval; link to battery testing. Zero clicks from 22 impressions at average position 8.23; inspect query/page, country/device and SERP before attributing this to the snippet.</x:v>
      </x:c>
      <x:c r="Q594" s="6" t="str">
        <x:v>All vehicles</x:v>
      </x:c>
      <x:c r="R594" s="6" t="str">
        <x:v>battery-replacement</x:v>
      </x:c>
      <x:c r="S594" s="6" t="str">
        <x:v>Location unspecified</x:v>
      </x:c>
      <x:c r="T594" s="6" t="n">
        <x:v>2</x:v>
      </x:c>
      <x:c r="U594" s="6" t="str">
        <x:v>4–10</x:v>
      </x:c>
      <x:c r="V594" s="6" t="str">
        <x:v>Page-one CTR review and top-three relevance</x:v>
      </x:c>
      <x:c r="W594" s="6" t="str">
        <x:v>Informational</x:v>
      </x:c>
      <x:c r="X594" s="6" t="n">
        <x:v>590</x:v>
      </x:c>
      <x:c r="Y594" s="6" t="str">
        <x:v>Unconfirmed — joint query/page data required</x:v>
      </x:c>
    </x:row>
    <x:row r="595" ht="57" customHeight="1">
      <x:c r="A595" s="6" t="str">
        <x:v>mercedes tuning</x:v>
      </x:c>
      <x:c r="B595" s="14" t="n">
        <x:v>0</x:v>
      </x:c>
      <x:c r="C595" s="14" t="n">
        <x:v>22</x:v>
      </x:c>
      <x:c r="D595" s="15" t="n">
        <x:v>0</x:v>
      </x:c>
      <x:c r="E595" s="16" t="n">
        <x:v>12.5</x:v>
      </x:c>
      <x:c r="F595" s="6" t="str">
        <x:v>CRITICAL</x:v>
      </x:c>
      <x:c r="G595" s="17" t="n">
        <x:f>'Scoring'!I595</x:f>
        <x:v>79.5</x:v>
      </x:c>
      <x:c r="H595" s="6" t="str">
        <x:v>SUPPORT</x:v>
      </x:c>
      <x:c r="I595" s="6" t="str">
        <x:v>All vehicles: Performance tuning</x:v>
      </x:c>
      <x:c r="J595" s="6" t="str">
        <x:v>Secondary</x:v>
      </x:c>
      <x:c r="K595" s="6" t="str">
        <x:v>Commercial service enquiry</x:v>
      </x:c>
      <x:c r="L595" s="6" t="str">
        <x:v>High</x:v>
      </x:c>
      <x:c r="M595" s="6" t="str">
        <x:v>https://digitecme.com/tuning</x:v>
      </x:c>
      <x:c r="N595" s="6" t="str">
        <x:v>Unknown — export has no query/page pairing</x:v>
      </x:c>
      <x:c r="O595" s="6" t="str">
        <x:v>Retain primary intent and support variants</x:v>
      </x:c>
      <x:c r="P595" s="6" t="str">
        <x:v>Use the existing tuning page; model scope and any GAD relationship require verified facts. 22 impressions at average position 12.50; strengthen the appropriate intent owner and measure with a fresh comparable period.</x:v>
      </x:c>
      <x:c r="Q595" s="6" t="str">
        <x:v>mercedes-benz</x:v>
      </x:c>
      <x:c r="R595" s="6" t="str">
        <x:v>tuning</x:v>
      </x:c>
      <x:c r="S595" s="6" t="str">
        <x:v>Location unspecified</x:v>
      </x:c>
      <x:c r="T595" s="6" t="n">
        <x:v>5</x:v>
      </x:c>
      <x:c r="U595" s="6" t="str">
        <x:v>11–20</x:v>
      </x:c>
      <x:c r="V595" s="6" t="str">
        <x:v>Ranking and owner relevance</x:v>
      </x:c>
      <x:c r="W595" s="6" t="str">
        <x:v>Relevant supporting</x:v>
      </x:c>
      <x:c r="X595" s="6" t="n">
        <x:v>591</x:v>
      </x:c>
      <x:c r="Y595" s="6" t="str">
        <x:v>Unconfirmed — joint query/page data required</x:v>
      </x:c>
    </x:row>
    <x:row r="596" ht="42" customHeight="1">
      <x:c r="A596" s="6" t="str">
        <x:v>mclaren service center dubai</x:v>
      </x:c>
      <x:c r="B596" s="14" t="n">
        <x:v>0</x:v>
      </x:c>
      <x:c r="C596" s="14" t="n">
        <x:v>22</x:v>
      </x:c>
      <x:c r="D596" s="15" t="n">
        <x:v>0</x:v>
      </x:c>
      <x:c r="E596" s="16" t="n">
        <x:v>14.32</x:v>
      </x:c>
      <x:c r="F596" s="6" t="str">
        <x:v>CRITICAL</x:v>
      </x:c>
      <x:c r="G596" s="17" t="n">
        <x:f>'Scoring'!I596</x:f>
        <x:v>84.5</x:v>
      </x:c>
      <x:c r="H596" s="6" t="str">
        <x:v>SUPPORT</x:v>
      </x:c>
      <x:c r="I596" s="6" t="str">
        <x:v>mclaren: Service and repair</x:v>
      </x:c>
      <x:c r="J596" s="6" t="str">
        <x:v>Secondary</x:v>
      </x:c>
      <x:c r="K596" s="6" t="str">
        <x:v>Commercial service enquiry</x:v>
      </x:c>
      <x:c r="L596" s="6" t="str">
        <x:v>High</x:v>
      </x:c>
      <x:c r="M596" s="6" t="str">
        <x:v>https://digitecme.com/brands/mclaren-service-dubai</x:v>
      </x:c>
      <x:c r="N596" s="6" t="str">
        <x:v>Unknown — export has no query/page pairing</x:v>
      </x:c>
      <x:c r="O596" s="6" t="str">
        <x:v>Retain primary intent and support variants</x:v>
      </x:c>
      <x:c r="P596" s="6" t="str">
        <x:v>22 impressions at average position 14.32; strengthen the appropriate intent owner and measure with a fresh comparable period.</x:v>
      </x:c>
      <x:c r="Q596" s="6" t="str">
        <x:v>mclaren</x:v>
      </x:c>
      <x:c r="R596" s="6" t="str">
        <x:v>service-repair</x:v>
      </x:c>
      <x:c r="S596" s="6" t="str">
        <x:v>Dubai explicit</x:v>
      </x:c>
      <x:c r="T596" s="6" t="n">
        <x:v>5</x:v>
      </x:c>
      <x:c r="U596" s="6" t="str">
        <x:v>11–20</x:v>
      </x:c>
      <x:c r="V596" s="6" t="str">
        <x:v>Ranking and owner relevance</x:v>
      </x:c>
      <x:c r="W596" s="6" t="str">
        <x:v>Relevant supporting</x:v>
      </x:c>
      <x:c r="X596" s="6" t="n">
        <x:v>592</x:v>
      </x:c>
      <x:c r="Y596" s="6" t="str">
        <x:v>Unconfirmed — joint query/page data required</x:v>
      </x:c>
    </x:row>
    <x:row r="597" ht="42" customHeight="1">
      <x:c r="A597" s="6" t="str">
        <x:v>fuel pump servicing</x:v>
      </x:c>
      <x:c r="B597" s="14" t="n">
        <x:v>0</x:v>
      </x:c>
      <x:c r="C597" s="14" t="n">
        <x:v>22</x:v>
      </x:c>
      <x:c r="D597" s="15" t="n">
        <x:v>0</x:v>
      </x:c>
      <x:c r="E597" s="16" t="n">
        <x:v>15.09</x:v>
      </x:c>
      <x:c r="F597" s="6" t="str">
        <x:v>HIGH</x:v>
      </x:c>
      <x:c r="G597" s="17" t="n">
        <x:f>'Scoring'!I597</x:f>
        <x:v>64</x:v>
      </x:c>
      <x:c r="H597" s="6" t="str">
        <x:v>SUPPORT</x:v>
      </x:c>
      <x:c r="I597" s="6" t="str">
        <x:v>All vehicles: Fuel system repair</x:v>
      </x:c>
      <x:c r="J597" s="6" t="str">
        <x:v>Secondary</x:v>
      </x:c>
      <x:c r="K597" s="6" t="str">
        <x:v>Commercial service enquiry</x:v>
      </x:c>
      <x:c r="L597" s="6" t="str">
        <x:v>High</x:v>
      </x:c>
      <x:c r="M597" s="6" t="str">
        <x:v>https://digitecme.com/services/fuel-system-repair-dubai</x:v>
      </x:c>
      <x:c r="N597" s="6" t="str">
        <x:v>Unknown — export has no query/page pairing</x:v>
      </x:c>
      <x:c r="O597" s="6" t="str">
        <x:v>Retain primary intent and support variants</x:v>
      </x:c>
      <x:c r="P597" s="6" t="str">
        <x:v>22 impressions at average position 15.09; strengthen the appropriate intent owner and measure with a fresh comparable period.</x:v>
      </x:c>
      <x:c r="Q597" s="6" t="str">
        <x:v>All vehicles</x:v>
      </x:c>
      <x:c r="R597" s="6" t="str">
        <x:v>fuel-system-repair</x:v>
      </x:c>
      <x:c r="S597" s="6" t="str">
        <x:v>Location unspecified</x:v>
      </x:c>
      <x:c r="T597" s="6" t="n">
        <x:v>3</x:v>
      </x:c>
      <x:c r="U597" s="6" t="str">
        <x:v>11–20</x:v>
      </x:c>
      <x:c r="V597" s="6" t="str">
        <x:v>Ranking and owner relevance</x:v>
      </x:c>
      <x:c r="W597" s="6" t="str">
        <x:v>Relevant supporting</x:v>
      </x:c>
      <x:c r="X597" s="6" t="n">
        <x:v>593</x:v>
      </x:c>
      <x:c r="Y597" s="6" t="str">
        <x:v>Unconfirmed — joint query/page data required</x:v>
      </x:c>
    </x:row>
    <x:row r="598" ht="42" customHeight="1">
      <x:c r="A598" s="6" t="str">
        <x:v>nissan service dubai</x:v>
      </x:c>
      <x:c r="B598" s="14" t="n">
        <x:v>0</x:v>
      </x:c>
      <x:c r="C598" s="14" t="n">
        <x:v>22</x:v>
      </x:c>
      <x:c r="D598" s="15" t="n">
        <x:v>0</x:v>
      </x:c>
      <x:c r="E598" s="16" t="n">
        <x:v>15.09</x:v>
      </x:c>
      <x:c r="F598" s="6" t="str">
        <x:v>HIGH</x:v>
      </x:c>
      <x:c r="G598" s="17" t="n">
        <x:f>'Scoring'!I598</x:f>
        <x:v>69</x:v>
      </x:c>
      <x:c r="H598" s="6" t="str">
        <x:v>SUPPORT</x:v>
      </x:c>
      <x:c r="I598" s="6" t="str">
        <x:v>nissan: Service and repair</x:v>
      </x:c>
      <x:c r="J598" s="6" t="str">
        <x:v>Secondary</x:v>
      </x:c>
      <x:c r="K598" s="6" t="str">
        <x:v>Commercial service enquiry</x:v>
      </x:c>
      <x:c r="L598" s="6" t="str">
        <x:v>High</x:v>
      </x:c>
      <x:c r="M598" s="6" t="str">
        <x:v>https://digitecme.com/brands/nissan-service-dubai</x:v>
      </x:c>
      <x:c r="N598" s="6" t="str">
        <x:v>Unknown — export has no query/page pairing</x:v>
      </x:c>
      <x:c r="O598" s="6" t="str">
        <x:v>Retain primary intent and support variants</x:v>
      </x:c>
      <x:c r="P598" s="6" t="str">
        <x:v>22 impressions at average position 15.09; strengthen the appropriate intent owner and measure with a fresh comparable period.</x:v>
      </x:c>
      <x:c r="Q598" s="6" t="str">
        <x:v>nissan</x:v>
      </x:c>
      <x:c r="R598" s="6" t="str">
        <x:v>service-repair</x:v>
      </x:c>
      <x:c r="S598" s="6" t="str">
        <x:v>Dubai explicit</x:v>
      </x:c>
      <x:c r="T598" s="6" t="n">
        <x:v>3</x:v>
      </x:c>
      <x:c r="U598" s="6" t="str">
        <x:v>11–20</x:v>
      </x:c>
      <x:c r="V598" s="6" t="str">
        <x:v>Ranking and owner relevance</x:v>
      </x:c>
      <x:c r="W598" s="6" t="str">
        <x:v>Relevant supporting</x:v>
      </x:c>
      <x:c r="X598" s="6" t="n">
        <x:v>594</x:v>
      </x:c>
      <x:c r="Y598" s="6" t="str">
        <x:v>Unconfirmed — joint query/page data required</x:v>
      </x:c>
    </x:row>
    <x:row r="599" ht="42" customHeight="1">
      <x:c r="A599" s="6" t="str">
        <x:v>aston martin transmission repair</x:v>
      </x:c>
      <x:c r="B599" s="14" t="n">
        <x:v>0</x:v>
      </x:c>
      <x:c r="C599" s="14" t="n">
        <x:v>22</x:v>
      </x:c>
      <x:c r="D599" s="15" t="n">
        <x:v>0</x:v>
      </x:c>
      <x:c r="E599" s="16" t="n">
        <x:v>16.95</x:v>
      </x:c>
      <x:c r="F599" s="6" t="str">
        <x:v>HIGH</x:v>
      </x:c>
      <x:c r="G599" s="17" t="n">
        <x:f>'Scoring'!I599</x:f>
        <x:v>72</x:v>
      </x:c>
      <x:c r="H599" s="6" t="str">
        <x:v>SPLIT</x:v>
      </x:c>
      <x:c r="I599" s="6" t="str">
        <x:v>aston-martin: Transmission and gearbox repair</x:v>
      </x:c>
      <x:c r="J599" s="6" t="str">
        <x:v>Secondary</x:v>
      </x:c>
      <x:c r="K599" s="6" t="str">
        <x:v>Commercial service enquiry</x:v>
      </x:c>
      <x:c r="L599" s="6" t="str">
        <x:v>High</x:v>
      </x:c>
      <x:c r="M599" s="6" t="str">
        <x:v>https://digitecme.com/brands/aston-martin-service-dubai/transmission-repair</x:v>
      </x:c>
      <x:c r="N599" s="6" t="str">
        <x:v>Unknown — export has no query/page pairing</x:v>
      </x:c>
      <x:c r="O599" s="6" t="str">
        <x:v>Use dedicated service owner</x:v>
      </x:c>
      <x:c r="P599" s="6" t="str">
        <x:v>22 impressions at average position 16.95; strengthen the appropriate intent owner and measure with a fresh comparable period.</x:v>
      </x:c>
      <x:c r="Q599" s="6" t="str">
        <x:v>aston-martin</x:v>
      </x:c>
      <x:c r="R599" s="6" t="str">
        <x:v>transmission-repair</x:v>
      </x:c>
      <x:c r="S599" s="6" t="str">
        <x:v>Location unspecified</x:v>
      </x:c>
      <x:c r="T599" s="6" t="n">
        <x:v>5</x:v>
      </x:c>
      <x:c r="U599" s="6" t="str">
        <x:v>11–20</x:v>
      </x:c>
      <x:c r="V599" s="6" t="str">
        <x:v>Ranking and owner relevance</x:v>
      </x:c>
      <x:c r="W599" s="6" t="str">
        <x:v>High-value commercial</x:v>
      </x:c>
      <x:c r="X599" s="6" t="n">
        <x:v>595</x:v>
      </x:c>
      <x:c r="Y599" s="6" t="str">
        <x:v>Unconfirmed — joint query/page data required</x:v>
      </x:c>
    </x:row>
    <x:row r="600" ht="42" customHeight="1">
      <x:c r="A600" s="6" t="str">
        <x:v>porsche turbo repair dubai</x:v>
      </x:c>
      <x:c r="B600" s="14" t="n">
        <x:v>0</x:v>
      </x:c>
      <x:c r="C600" s="14" t="n">
        <x:v>22</x:v>
      </x:c>
      <x:c r="D600" s="15" t="n">
        <x:v>0</x:v>
      </x:c>
      <x:c r="E600" s="16" t="n">
        <x:v>18.73</x:v>
      </x:c>
      <x:c r="F600" s="6" t="str">
        <x:v>HIGH</x:v>
      </x:c>
      <x:c r="G600" s="17" t="n">
        <x:f>'Scoring'!I600</x:f>
        <x:v>77</x:v>
      </x:c>
      <x:c r="H600" s="6" t="str">
        <x:v>SPLIT</x:v>
      </x:c>
      <x:c r="I600" s="6" t="str">
        <x:v>porsche: Engine and mechanical repair</x:v>
      </x:c>
      <x:c r="J600" s="6" t="str">
        <x:v>Secondary</x:v>
      </x:c>
      <x:c r="K600" s="6" t="str">
        <x:v>Commercial service enquiry</x:v>
      </x:c>
      <x:c r="L600" s="6" t="str">
        <x:v>High</x:v>
      </x:c>
      <x:c r="M600" s="6" t="str">
        <x:v>https://digitecme.com/brands/porsche-service-dubai/mechanical-repair</x:v>
      </x:c>
      <x:c r="N600" s="6" t="str">
        <x:v>Unknown — export has no query/page pairing</x:v>
      </x:c>
      <x:c r="O600" s="6" t="str">
        <x:v>Use dedicated service owner</x:v>
      </x:c>
      <x:c r="P600" s="6" t="str">
        <x:v>22 impressions at average position 18.73; strengthen the appropriate intent owner and measure with a fresh comparable period.</x:v>
      </x:c>
      <x:c r="Q600" s="6" t="str">
        <x:v>porsche</x:v>
      </x:c>
      <x:c r="R600" s="6" t="str">
        <x:v>mechanical-repair</x:v>
      </x:c>
      <x:c r="S600" s="6" t="str">
        <x:v>Dubai explicit</x:v>
      </x:c>
      <x:c r="T600" s="6" t="n">
        <x:v>5</x:v>
      </x:c>
      <x:c r="U600" s="6" t="str">
        <x:v>11–20</x:v>
      </x:c>
      <x:c r="V600" s="6" t="str">
        <x:v>Ranking and owner relevance</x:v>
      </x:c>
      <x:c r="W600" s="6" t="str">
        <x:v>High-value commercial</x:v>
      </x:c>
      <x:c r="X600" s="6" t="n">
        <x:v>596</x:v>
      </x:c>
      <x:c r="Y600" s="6" t="str">
        <x:v>Unconfirmed — joint query/page data required</x:v>
      </x:c>
    </x:row>
    <x:row r="601" ht="42" customHeight="1">
      <x:c r="A601" s="6" t="str">
        <x:v>porsche diagnostics dubai</x:v>
      </x:c>
      <x:c r="B601" s="14" t="n">
        <x:v>0</x:v>
      </x:c>
      <x:c r="C601" s="14" t="n">
        <x:v>22</x:v>
      </x:c>
      <x:c r="D601" s="15" t="n">
        <x:v>0</x:v>
      </x:c>
      <x:c r="E601" s="16" t="n">
        <x:v>20.14</x:v>
      </x:c>
      <x:c r="F601" s="6" t="str">
        <x:v>HIGH</x:v>
      </x:c>
      <x:c r="G601" s="17" t="n">
        <x:f>'Scoring'!I601</x:f>
        <x:v>77</x:v>
      </x:c>
      <x:c r="H601" s="6" t="str">
        <x:v>SPLIT</x:v>
      </x:c>
      <x:c r="I601" s="6" t="str">
        <x:v>porsche: Diagnostics and supported coding</x:v>
      </x:c>
      <x:c r="J601" s="6" t="str">
        <x:v>Secondary</x:v>
      </x:c>
      <x:c r="K601" s="6" t="str">
        <x:v>Commercial service enquiry</x:v>
      </x:c>
      <x:c r="L601" s="6" t="str">
        <x:v>High</x:v>
      </x:c>
      <x:c r="M601" s="6" t="str">
        <x:v>https://digitecme.com/brands/porsche-service-dubai/engine-diagnostics</x:v>
      </x:c>
      <x:c r="N601" s="6" t="str">
        <x:v>Unknown — export has no query/page pairing</x:v>
      </x:c>
      <x:c r="O601" s="6" t="str">
        <x:v>Use dedicated service owner</x:v>
      </x:c>
      <x:c r="P601" s="6" t="str">
        <x:v>Average position 20.14 makes ranking the main issue; avoid a CTR-only rewrite.</x:v>
      </x:c>
      <x:c r="Q601" s="6" t="str">
        <x:v>porsche</x:v>
      </x:c>
      <x:c r="R601" s="6" t="str">
        <x:v>engine-diagnostics</x:v>
      </x:c>
      <x:c r="S601" s="6" t="str">
        <x:v>Dubai explicit</x:v>
      </x:c>
      <x:c r="T601" s="6" t="n">
        <x:v>5</x:v>
      </x:c>
      <x:c r="U601" s="6" t="str">
        <x:v>21–40</x:v>
      </x:c>
      <x:c r="V601" s="6" t="str">
        <x:v>Content, internal authority and owner alignment</x:v>
      </x:c>
      <x:c r="W601" s="6" t="str">
        <x:v>High-value commercial</x:v>
      </x:c>
      <x:c r="X601" s="6" t="n">
        <x:v>597</x:v>
      </x:c>
      <x:c r="Y601" s="6" t="str">
        <x:v>Unconfirmed — joint query/page data required</x:v>
      </x:c>
    </x:row>
    <x:row r="602" ht="42" customHeight="1">
      <x:c r="A602" s="6" t="str">
        <x:v>range rover ac repair</x:v>
      </x:c>
      <x:c r="B602" s="14" t="n">
        <x:v>0</x:v>
      </x:c>
      <x:c r="C602" s="14" t="n">
        <x:v>22</x:v>
      </x:c>
      <x:c r="D602" s="15" t="n">
        <x:v>0</x:v>
      </x:c>
      <x:c r="E602" s="16" t="n">
        <x:v>23.36</x:v>
      </x:c>
      <x:c r="F602" s="6" t="str">
        <x:v>HIGH</x:v>
      </x:c>
      <x:c r="G602" s="17" t="n">
        <x:f>'Scoring'!I602</x:f>
        <x:v>72</x:v>
      </x:c>
      <x:c r="H602" s="6" t="str">
        <x:v>SPLIT</x:v>
      </x:c>
      <x:c r="I602" s="6" t="str">
        <x:v>range-rover: AC repair</x:v>
      </x:c>
      <x:c r="J602" s="6" t="str">
        <x:v>Primary</x:v>
      </x:c>
      <x:c r="K602" s="6" t="str">
        <x:v>Commercial service enquiry</x:v>
      </x:c>
      <x:c r="L602" s="6" t="str">
        <x:v>High</x:v>
      </x:c>
      <x:c r="M602" s="6" t="str">
        <x:v>https://digitecme.com/brands/range-rover-service-dubai/ac-repair</x:v>
      </x:c>
      <x:c r="N602" s="6" t="str">
        <x:v>Unknown — export has no query/page pairing</x:v>
      </x:c>
      <x:c r="O602" s="6" t="str">
        <x:v>Use dedicated service owner</x:v>
      </x:c>
      <x:c r="P602" s="6" t="str">
        <x:v>Average position 23.36 makes ranking the main issue; avoid a CTR-only rewrite.</x:v>
      </x:c>
      <x:c r="Q602" s="6" t="str">
        <x:v>range-rover</x:v>
      </x:c>
      <x:c r="R602" s="6" t="str">
        <x:v>ac-repair</x:v>
      </x:c>
      <x:c r="S602" s="6" t="str">
        <x:v>Location unspecified</x:v>
      </x:c>
      <x:c r="T602" s="6" t="n">
        <x:v>5</x:v>
      </x:c>
      <x:c r="U602" s="6" t="str">
        <x:v>21–40</x:v>
      </x:c>
      <x:c r="V602" s="6" t="str">
        <x:v>Content, internal authority and owner alignment</x:v>
      </x:c>
      <x:c r="W602" s="6" t="str">
        <x:v>High-value commercial</x:v>
      </x:c>
      <x:c r="X602" s="6" t="n">
        <x:v>598</x:v>
      </x:c>
      <x:c r="Y602" s="6" t="str">
        <x:v>Unconfirmed — joint query/page data required</x:v>
      </x:c>
    </x:row>
    <x:row r="603" ht="42" customHeight="1">
      <x:c r="A603" s="6" t="str">
        <x:v>steering service</x:v>
      </x:c>
      <x:c r="B603" s="14" t="n">
        <x:v>0</x:v>
      </x:c>
      <x:c r="C603" s="14" t="n">
        <x:v>22</x:v>
      </x:c>
      <x:c r="D603" s="15" t="n">
        <x:v>0</x:v>
      </x:c>
      <x:c r="E603" s="16" t="n">
        <x:v>25.59</x:v>
      </x:c>
      <x:c r="F603" s="6" t="str">
        <x:v>HIGH</x:v>
      </x:c>
      <x:c r="G603" s="17" t="n">
        <x:f>'Scoring'!I603</x:f>
        <x:v>64</x:v>
      </x:c>
      <x:c r="H603" s="6" t="str">
        <x:v>SUPPORT</x:v>
      </x:c>
      <x:c r="I603" s="6" t="str">
        <x:v>All vehicles: Steering repair</x:v>
      </x:c>
      <x:c r="J603" s="6" t="str">
        <x:v>Secondary</x:v>
      </x:c>
      <x:c r="K603" s="6" t="str">
        <x:v>Commercial service enquiry</x:v>
      </x:c>
      <x:c r="L603" s="6" t="str">
        <x:v>High</x:v>
      </x:c>
      <x:c r="M603" s="6" t="str">
        <x:v>https://digitecme.com/services/steering-repair-dubai</x:v>
      </x:c>
      <x:c r="N603" s="6" t="str">
        <x:v>Unknown — export has no query/page pairing</x:v>
      </x:c>
      <x:c r="O603" s="6" t="str">
        <x:v>Retain primary intent and support variants</x:v>
      </x:c>
      <x:c r="P603" s="6" t="str">
        <x:v>Average position 25.59 makes ranking the main issue; avoid a CTR-only rewrite.</x:v>
      </x:c>
      <x:c r="Q603" s="6" t="str">
        <x:v>All vehicles</x:v>
      </x:c>
      <x:c r="R603" s="6" t="str">
        <x:v>steering-repair</x:v>
      </x:c>
      <x:c r="S603" s="6" t="str">
        <x:v>Location unspecified</x:v>
      </x:c>
      <x:c r="T603" s="6" t="n">
        <x:v>3</x:v>
      </x:c>
      <x:c r="U603" s="6" t="str">
        <x:v>21–40</x:v>
      </x:c>
      <x:c r="V603" s="6" t="str">
        <x:v>Content, internal authority and owner alignment</x:v>
      </x:c>
      <x:c r="W603" s="6" t="str">
        <x:v>Relevant supporting</x:v>
      </x:c>
      <x:c r="X603" s="6" t="n">
        <x:v>599</x:v>
      </x:c>
      <x:c r="Y603" s="6" t="str">
        <x:v>Unconfirmed — joint query/page data required</x:v>
      </x:c>
    </x:row>
    <x:row r="604" ht="42" customHeight="1">
      <x:c r="A604" s="6" t="str">
        <x:v>bmw suspension repair</x:v>
      </x:c>
      <x:c r="B604" s="14" t="n">
        <x:v>0</x:v>
      </x:c>
      <x:c r="C604" s="14" t="n">
        <x:v>22</x:v>
      </x:c>
      <x:c r="D604" s="15" t="n">
        <x:v>0</x:v>
      </x:c>
      <x:c r="E604" s="16" t="n">
        <x:v>27.05</x:v>
      </x:c>
      <x:c r="F604" s="6" t="str">
        <x:v>HIGH</x:v>
      </x:c>
      <x:c r="G604" s="17" t="n">
        <x:f>'Scoring'!I604</x:f>
        <x:v>72</x:v>
      </x:c>
      <x:c r="H604" s="6" t="str">
        <x:v>SPLIT</x:v>
      </x:c>
      <x:c r="I604" s="6" t="str">
        <x:v>bmw: Suspension repair</x:v>
      </x:c>
      <x:c r="J604" s="6" t="str">
        <x:v>Secondary</x:v>
      </x:c>
      <x:c r="K604" s="6" t="str">
        <x:v>Commercial service enquiry</x:v>
      </x:c>
      <x:c r="L604" s="6" t="str">
        <x:v>High</x:v>
      </x:c>
      <x:c r="M604" s="6" t="str">
        <x:v>https://digitecme.com/brands/bmw-service-dubai/suspension-repair</x:v>
      </x:c>
      <x:c r="N604" s="6" t="str">
        <x:v>Unknown — export has no query/page pairing</x:v>
      </x:c>
      <x:c r="O604" s="6" t="str">
        <x:v>Use dedicated service owner</x:v>
      </x:c>
      <x:c r="P604" s="6" t="str">
        <x:v>Average position 27.05 makes ranking the main issue; avoid a CTR-only rewrite.</x:v>
      </x:c>
      <x:c r="Q604" s="6" t="str">
        <x:v>bmw</x:v>
      </x:c>
      <x:c r="R604" s="6" t="str">
        <x:v>suspension-repair</x:v>
      </x:c>
      <x:c r="S604" s="6" t="str">
        <x:v>Location unspecified</x:v>
      </x:c>
      <x:c r="T604" s="6" t="n">
        <x:v>5</x:v>
      </x:c>
      <x:c r="U604" s="6" t="str">
        <x:v>21–40</x:v>
      </x:c>
      <x:c r="V604" s="6" t="str">
        <x:v>Content, internal authority and owner alignment</x:v>
      </x:c>
      <x:c r="W604" s="6" t="str">
        <x:v>High-value commercial</x:v>
      </x:c>
      <x:c r="X604" s="6" t="n">
        <x:v>600</x:v>
      </x:c>
      <x:c r="Y604" s="6" t="str">
        <x:v>Unconfirmed — joint query/page data required</x:v>
      </x:c>
    </x:row>
    <x:row r="605" ht="42" customHeight="1">
      <x:c r="A605" s="6" t="str">
        <x:v>افضل مركز بي ام دبليو</x:v>
      </x:c>
      <x:c r="B605" s="14" t="n">
        <x:v>0</x:v>
      </x:c>
      <x:c r="C605" s="14" t="n">
        <x:v>22</x:v>
      </x:c>
      <x:c r="D605" s="15" t="n">
        <x:v>0</x:v>
      </x:c>
      <x:c r="E605" s="16" t="n">
        <x:v>29.23</x:v>
      </x:c>
      <x:c r="F605" s="6" t="str">
        <x:v>HIGH</x:v>
      </x:c>
      <x:c r="G605" s="17" t="n">
        <x:f>'Scoring'!I605</x:f>
        <x:v>72</x:v>
      </x:c>
      <x:c r="H605" s="6" t="str">
        <x:v>PRIORITIZE</x:v>
      </x:c>
      <x:c r="I605" s="6" t="str">
        <x:v>bmw: Service and repair (Arabic)</x:v>
      </x:c>
      <x:c r="J605" s="6" t="str">
        <x:v>Primary</x:v>
      </x:c>
      <x:c r="K605" s="6" t="str">
        <x:v>Commercial service enquiry</x:v>
      </x:c>
      <x:c r="L605" s="6" t="str">
        <x:v>High</x:v>
      </x:c>
      <x:c r="M605" s="6" t="str">
        <x:v>https://digitecme.com/ar/brands/bmw-service-dubai</x:v>
      </x:c>
      <x:c r="N605" s="6" t="str">
        <x:v>Unknown — export has no query/page pairing</x:v>
      </x:c>
      <x:c r="O605" s="6" t="str">
        <x:v>Strengthen this primary intent owner</x:v>
      </x:c>
      <x:c r="P605" s="6" t="str">
        <x:v>Use the existing Arabic counterpart and verify its translation quality. Average position 29.23 makes ranking the main issue; avoid a CTR-only rewrite.</x:v>
      </x:c>
      <x:c r="Q605" s="6" t="str">
        <x:v>bmw</x:v>
      </x:c>
      <x:c r="R605" s="6" t="str">
        <x:v>service-repair</x:v>
      </x:c>
      <x:c r="S605" s="6" t="str">
        <x:v>Location unspecified</x:v>
      </x:c>
      <x:c r="T605" s="6" t="n">
        <x:v>5</x:v>
      </x:c>
      <x:c r="U605" s="6" t="str">
        <x:v>21–40</x:v>
      </x:c>
      <x:c r="V605" s="6" t="str">
        <x:v>Content, internal authority and owner alignment</x:v>
      </x:c>
      <x:c r="W605" s="6" t="str">
        <x:v>High-value commercial</x:v>
      </x:c>
      <x:c r="X605" s="6" t="n">
        <x:v>601</x:v>
      </x:c>
      <x:c r="Y605" s="6" t="str">
        <x:v>Unconfirmed — joint query/page data required</x:v>
      </x:c>
    </x:row>
    <x:row r="606" ht="42" customHeight="1">
      <x:c r="A606" s="6" t="str">
        <x:v>oil service</x:v>
      </x:c>
      <x:c r="B606" s="14" t="n">
        <x:v>0</x:v>
      </x:c>
      <x:c r="C606" s="14" t="n">
        <x:v>22</x:v>
      </x:c>
      <x:c r="D606" s="15" t="n">
        <x:v>0</x:v>
      </x:c>
      <x:c r="E606" s="16" t="n">
        <x:v>33.68</x:v>
      </x:c>
      <x:c r="F606" s="6" t="str">
        <x:v>GROWTH</x:v>
      </x:c>
      <x:c r="G606" s="17" t="n">
        <x:f>'Scoring'!I606</x:f>
        <x:v>56.5</x:v>
      </x:c>
      <x:c r="H606" s="6" t="str">
        <x:v>SUPPORT</x:v>
      </x:c>
      <x:c r="I606" s="6" t="str">
        <x:v>All vehicles: Oil change (English)</x:v>
      </x:c>
      <x:c r="J606" s="6" t="str">
        <x:v>Secondary</x:v>
      </x:c>
      <x:c r="K606" s="6" t="str">
        <x:v>Commercial service enquiry</x:v>
      </x:c>
      <x:c r="L606" s="6" t="str">
        <x:v>High</x:v>
      </x:c>
      <x:c r="M606" s="6" t="str">
        <x:v>https://digitecme.com/services/oil-change-dubai</x:v>
      </x:c>
      <x:c r="N606" s="6" t="str">
        <x:v>Unknown — export has no query/page pairing</x:v>
      </x:c>
      <x:c r="O606" s="6" t="str">
        <x:v>Retain primary intent and support variants</x:v>
      </x:c>
      <x:c r="P606" s="6" t="str">
        <x:v>Average position 33.68 makes ranking the main issue; avoid a CTR-only rewrite.</x:v>
      </x:c>
      <x:c r="Q606" s="6" t="str">
        <x:v>All vehicles</x:v>
      </x:c>
      <x:c r="R606" s="6" t="str">
        <x:v>oil-change</x:v>
      </x:c>
      <x:c r="S606" s="6" t="str">
        <x:v>Location unspecified</x:v>
      </x:c>
      <x:c r="T606" s="6" t="n">
        <x:v>3</x:v>
      </x:c>
      <x:c r="U606" s="6" t="str">
        <x:v>21–40</x:v>
      </x:c>
      <x:c r="V606" s="6" t="str">
        <x:v>Content, internal authority and owner alignment</x:v>
      </x:c>
      <x:c r="W606" s="6" t="str">
        <x:v>Relevant supporting</x:v>
      </x:c>
      <x:c r="X606" s="6" t="n">
        <x:v>602</x:v>
      </x:c>
      <x:c r="Y606" s="6" t="str">
        <x:v>Unconfirmed — joint query/page data required</x:v>
      </x:c>
    </x:row>
    <x:row r="607" ht="42" customHeight="1">
      <x:c r="A607" s="6" t="str">
        <x:v>automatic gear box repair uae</x:v>
      </x:c>
      <x:c r="B607" s="14" t="n">
        <x:v>0</x:v>
      </x:c>
      <x:c r="C607" s="14" t="n">
        <x:v>22</x:v>
      </x:c>
      <x:c r="D607" s="15" t="n">
        <x:v>0</x:v>
      </x:c>
      <x:c r="E607" s="16" t="n">
        <x:v>36.55</x:v>
      </x:c>
      <x:c r="F607" s="6" t="str">
        <x:v>GROWTH</x:v>
      </x:c>
      <x:c r="G607" s="17" t="n">
        <x:f>'Scoring'!I607</x:f>
        <x:v>56.5</x:v>
      </x:c>
      <x:c r="H607" s="6" t="str">
        <x:v>SUPPORT</x:v>
      </x:c>
      <x:c r="I607" s="6" t="str">
        <x:v>All vehicles: Transmission and gearbox repair</x:v>
      </x:c>
      <x:c r="J607" s="6" t="str">
        <x:v>Secondary</x:v>
      </x:c>
      <x:c r="K607" s="6" t="str">
        <x:v>Commercial service enquiry</x:v>
      </x:c>
      <x:c r="L607" s="6" t="str">
        <x:v>High</x:v>
      </x:c>
      <x:c r="M607" s="6" t="str">
        <x:v>https://digitecme.com/services/car-service-dubai</x:v>
      </x:c>
      <x:c r="N607" s="6" t="str">
        <x:v>Unknown — export has no query/page pairing</x:v>
      </x:c>
      <x:c r="O607" s="6" t="str">
        <x:v>Retain primary intent and support variants</x:v>
      </x:c>
      <x:c r="P607" s="6" t="str">
        <x:v>Average position 36.55 makes ranking the main issue; avoid a CTR-only rewrite.</x:v>
      </x:c>
      <x:c r="Q607" s="6" t="str">
        <x:v>All vehicles</x:v>
      </x:c>
      <x:c r="R607" s="6" t="str">
        <x:v>transmission-repair</x:v>
      </x:c>
      <x:c r="S607" s="6" t="str">
        <x:v>Location unspecified</x:v>
      </x:c>
      <x:c r="T607" s="6" t="n">
        <x:v>3</x:v>
      </x:c>
      <x:c r="U607" s="6" t="str">
        <x:v>21–40</x:v>
      </x:c>
      <x:c r="V607" s="6" t="str">
        <x:v>Content, internal authority and owner alignment</x:v>
      </x:c>
      <x:c r="W607" s="6" t="str">
        <x:v>Relevant supporting</x:v>
      </x:c>
      <x:c r="X607" s="6" t="n">
        <x:v>603</x:v>
      </x:c>
      <x:c r="Y607" s="6" t="str">
        <x:v>Unconfirmed — joint query/page data required</x:v>
      </x:c>
    </x:row>
    <x:row r="608" ht="42" customHeight="1">
      <x:c r="A608" s="6" t="str">
        <x:v>mercedes auto repair</x:v>
      </x:c>
      <x:c r="B608" s="14" t="n">
        <x:v>0</x:v>
      </x:c>
      <x:c r="C608" s="14" t="n">
        <x:v>22</x:v>
      </x:c>
      <x:c r="D608" s="15" t="n">
        <x:v>0</x:v>
      </x:c>
      <x:c r="E608" s="16" t="n">
        <x:v>42.73</x:v>
      </x:c>
      <x:c r="F608" s="6" t="str">
        <x:v>GROWTH</x:v>
      </x:c>
      <x:c r="G608" s="17" t="n">
        <x:f>'Scoring'!I608</x:f>
        <x:v>58.3</x:v>
      </x:c>
      <x:c r="H608" s="6" t="str">
        <x:v>SUPPORT</x:v>
      </x:c>
      <x:c r="I608" s="6" t="str">
        <x:v>mercedes-benz: Service and repair (English)</x:v>
      </x:c>
      <x:c r="J608" s="6" t="str">
        <x:v>Secondary</x:v>
      </x:c>
      <x:c r="K608" s="6" t="str">
        <x:v>Commercial service enquiry</x:v>
      </x:c>
      <x:c r="L608" s="6" t="str">
        <x:v>High</x:v>
      </x:c>
      <x:c r="M608" s="6" t="str">
        <x:v>https://digitecme.com/brands/mercedes-benz-service-dubai</x:v>
      </x:c>
      <x:c r="N608" s="6" t="str">
        <x:v>Unknown — export has no query/page pairing</x:v>
      </x:c>
      <x:c r="O608" s="6" t="str">
        <x:v>Retain primary intent and support variants</x:v>
      </x:c>
      <x:c r="P608" s="6" t="str">
        <x:v>Average position 42.73 makes ranking the main issue; avoid a CTR-only rewrite.</x:v>
      </x:c>
      <x:c r="Q608" s="6" t="str">
        <x:v>mercedes-benz</x:v>
      </x:c>
      <x:c r="R608" s="6" t="str">
        <x:v>service-repair</x:v>
      </x:c>
      <x:c r="S608" s="6" t="str">
        <x:v>Location unspecified</x:v>
      </x:c>
      <x:c r="T608" s="6" t="n">
        <x:v>5</x:v>
      </x:c>
      <x:c r="U608" s="6" t="str">
        <x:v>40+</x:v>
      </x:c>
      <x:c r="V608" s="6" t="str">
        <x:v>Relevance, capability, indexing and authority review</x:v>
      </x:c>
      <x:c r="W608" s="6" t="str">
        <x:v>Relevant supporting</x:v>
      </x:c>
      <x:c r="X608" s="6" t="n">
        <x:v>604</x:v>
      </x:c>
      <x:c r="Y608" s="6" t="str">
        <x:v>Unconfirmed — joint query/page data required</x:v>
      </x:c>
    </x:row>
    <x:row r="609" ht="42" customHeight="1">
      <x:c r="A609" s="6" t="str">
        <x:v>land rover specialist dubai</x:v>
      </x:c>
      <x:c r="B609" s="14" t="n">
        <x:v>0</x:v>
      </x:c>
      <x:c r="C609" s="14" t="n">
        <x:v>22</x:v>
      </x:c>
      <x:c r="D609" s="15" t="n">
        <x:v>0</x:v>
      </x:c>
      <x:c r="E609" s="16" t="n">
        <x:v>45.41</x:v>
      </x:c>
      <x:c r="F609" s="6" t="str">
        <x:v>GROWTH</x:v>
      </x:c>
      <x:c r="G609" s="17" t="n">
        <x:f>'Scoring'!I609</x:f>
        <x:v>63.3</x:v>
      </x:c>
      <x:c r="H609" s="6" t="str">
        <x:v>SUPPORT</x:v>
      </x:c>
      <x:c r="I609" s="6" t="str">
        <x:v>land-rover: Service and repair</x:v>
      </x:c>
      <x:c r="J609" s="6" t="str">
        <x:v>Secondary</x:v>
      </x:c>
      <x:c r="K609" s="6" t="str">
        <x:v>Commercial service enquiry</x:v>
      </x:c>
      <x:c r="L609" s="6" t="str">
        <x:v>High</x:v>
      </x:c>
      <x:c r="M609" s="6" t="str">
        <x:v>https://digitecme.com/brands/land-rover-service-dubai</x:v>
      </x:c>
      <x:c r="N609" s="6" t="str">
        <x:v>Unknown — export has no query/page pairing</x:v>
      </x:c>
      <x:c r="O609" s="6" t="str">
        <x:v>Retain primary intent and support variants</x:v>
      </x:c>
      <x:c r="P609" s="6" t="str">
        <x:v>Average position 45.41 makes ranking the main issue; avoid a CTR-only rewrite.</x:v>
      </x:c>
      <x:c r="Q609" s="6" t="str">
        <x:v>land-rover</x:v>
      </x:c>
      <x:c r="R609" s="6" t="str">
        <x:v>service-repair</x:v>
      </x:c>
      <x:c r="S609" s="6" t="str">
        <x:v>Dubai explicit</x:v>
      </x:c>
      <x:c r="T609" s="6" t="n">
        <x:v>5</x:v>
      </x:c>
      <x:c r="U609" s="6" t="str">
        <x:v>40+</x:v>
      </x:c>
      <x:c r="V609" s="6" t="str">
        <x:v>Relevance, capability, indexing and authority review</x:v>
      </x:c>
      <x:c r="W609" s="6" t="str">
        <x:v>Relevant supporting</x:v>
      </x:c>
      <x:c r="X609" s="6" t="n">
        <x:v>605</x:v>
      </x:c>
      <x:c r="Y609" s="6" t="str">
        <x:v>Unconfirmed — joint query/page data required</x:v>
      </x:c>
    </x:row>
    <x:row r="610" ht="42" customHeight="1">
      <x:c r="A610" s="6" t="str">
        <x:v>vw service center dubai</x:v>
      </x:c>
      <x:c r="B610" s="14" t="n">
        <x:v>0</x:v>
      </x:c>
      <x:c r="C610" s="14" t="n">
        <x:v>22</x:v>
      </x:c>
      <x:c r="D610" s="15" t="n">
        <x:v>0</x:v>
      </x:c>
      <x:c r="E610" s="16" t="n">
        <x:v>47.68</x:v>
      </x:c>
      <x:c r="F610" s="6" t="str">
        <x:v>GROWTH</x:v>
      </x:c>
      <x:c r="G610" s="17" t="n">
        <x:f>'Scoring'!I610</x:f>
        <x:v>55.3</x:v>
      </x:c>
      <x:c r="H610" s="6" t="str">
        <x:v>SUPPORT</x:v>
      </x:c>
      <x:c r="I610" s="6" t="str">
        <x:v>volkswagen: Service and repair (English)</x:v>
      </x:c>
      <x:c r="J610" s="6" t="str">
        <x:v>Secondary</x:v>
      </x:c>
      <x:c r="K610" s="6" t="str">
        <x:v>Commercial service enquiry</x:v>
      </x:c>
      <x:c r="L610" s="6" t="str">
        <x:v>High</x:v>
      </x:c>
      <x:c r="M610" s="6" t="str">
        <x:v>https://digitecme.com/brands/volkswagen-service-dubai</x:v>
      </x:c>
      <x:c r="N610" s="6" t="str">
        <x:v>Unknown — export has no query/page pairing</x:v>
      </x:c>
      <x:c r="O610" s="6" t="str">
        <x:v>Retain primary intent and support variants</x:v>
      </x:c>
      <x:c r="P610" s="6" t="str">
        <x:v>Average position 47.68 makes ranking the main issue; avoid a CTR-only rewrite.</x:v>
      </x:c>
      <x:c r="Q610" s="6" t="str">
        <x:v>volkswagen</x:v>
      </x:c>
      <x:c r="R610" s="6" t="str">
        <x:v>service-repair</x:v>
      </x:c>
      <x:c r="S610" s="6" t="str">
        <x:v>Dubai explicit</x:v>
      </x:c>
      <x:c r="T610" s="6" t="n">
        <x:v>3</x:v>
      </x:c>
      <x:c r="U610" s="6" t="str">
        <x:v>40+</x:v>
      </x:c>
      <x:c r="V610" s="6" t="str">
        <x:v>Relevance, capability, indexing and authority review</x:v>
      </x:c>
      <x:c r="W610" s="6" t="str">
        <x:v>Relevant supporting</x:v>
      </x:c>
      <x:c r="X610" s="6" t="n">
        <x:v>606</x:v>
      </x:c>
      <x:c r="Y610" s="6" t="str">
        <x:v>Unconfirmed — joint query/page data required</x:v>
      </x:c>
    </x:row>
    <x:row r="611" ht="42" customHeight="1">
      <x:c r="A611" s="6" t="str">
        <x:v>porsche service near motor city</x:v>
      </x:c>
      <x:c r="B611" s="14" t="n">
        <x:v>0</x:v>
      </x:c>
      <x:c r="C611" s="14" t="n">
        <x:v>22</x:v>
      </x:c>
      <x:c r="D611" s="15" t="n">
        <x:v>0</x:v>
      </x:c>
      <x:c r="E611" s="16" t="n">
        <x:v>56.68</x:v>
      </x:c>
      <x:c r="F611" s="6" t="str">
        <x:v>GROWTH</x:v>
      </x:c>
      <x:c r="G611" s="17" t="n">
        <x:f>'Scoring'!I611</x:f>
        <x:v>63.3</x:v>
      </x:c>
      <x:c r="H611" s="6" t="str">
        <x:v>SUPPORT</x:v>
      </x:c>
      <x:c r="I611" s="6" t="str">
        <x:v>porsche: Service and repair (English)</x:v>
      </x:c>
      <x:c r="J611" s="6" t="str">
        <x:v>Secondary</x:v>
      </x:c>
      <x:c r="K611" s="6" t="str">
        <x:v>Commercial service enquiry</x:v>
      </x:c>
      <x:c r="L611" s="6" t="str">
        <x:v>High</x:v>
      </x:c>
      <x:c r="M611" s="6" t="str">
        <x:v>https://digitecme.com/brands/porsche-service-dubai</x:v>
      </x:c>
      <x:c r="N611" s="6" t="str">
        <x:v>Unknown — export has no query/page pairing</x:v>
      </x:c>
      <x:c r="O611" s="6" t="str">
        <x:v>Retain primary intent and support variants</x:v>
      </x:c>
      <x:c r="P611" s="6" t="str">
        <x:v>Use the actual Al Quoz location; no district landing page or implied branch. Average position 56.68 makes ranking the main issue; avoid a CTR-only rewrite.</x:v>
      </x:c>
      <x:c r="Q611" s="6" t="str">
        <x:v>porsche</x:v>
      </x:c>
      <x:c r="R611" s="6" t="str">
        <x:v>service-repair</x:v>
      </x:c>
      <x:c r="S611" s="6" t="str">
        <x:v>Other Dubai district</x:v>
      </x:c>
      <x:c r="T611" s="6" t="n">
        <x:v>5</x:v>
      </x:c>
      <x:c r="U611" s="6" t="str">
        <x:v>40+</x:v>
      </x:c>
      <x:c r="V611" s="6" t="str">
        <x:v>Relevance, capability, indexing and authority review</x:v>
      </x:c>
      <x:c r="W611" s="6" t="str">
        <x:v>Relevant supporting</x:v>
      </x:c>
      <x:c r="X611" s="6" t="n">
        <x:v>607</x:v>
      </x:c>
      <x:c r="Y611" s="6" t="str">
        <x:v>Unconfirmed — joint query/page data required</x:v>
      </x:c>
    </x:row>
    <x:row r="612" ht="42" customHeight="1">
      <x:c r="A612" s="6" t="str">
        <x:v>صيانة مرسيدس بنز</x:v>
      </x:c>
      <x:c r="B612" s="14" t="n">
        <x:v>0</x:v>
      </x:c>
      <x:c r="C612" s="14" t="n">
        <x:v>22</x:v>
      </x:c>
      <x:c r="D612" s="15" t="n">
        <x:v>0</x:v>
      </x:c>
      <x:c r="E612" s="16" t="n">
        <x:v>60.41</x:v>
      </x:c>
      <x:c r="F612" s="6" t="str">
        <x:v>GROWTH</x:v>
      </x:c>
      <x:c r="G612" s="17" t="n">
        <x:f>'Scoring'!I612</x:f>
        <x:v>58.3</x:v>
      </x:c>
      <x:c r="H612" s="6" t="str">
        <x:v>SUPPORT</x:v>
      </x:c>
      <x:c r="I612" s="6" t="str">
        <x:v>mercedes-benz: Service and repair (Arabic)</x:v>
      </x:c>
      <x:c r="J612" s="6" t="str">
        <x:v>Secondary</x:v>
      </x:c>
      <x:c r="K612" s="6" t="str">
        <x:v>Commercial service enquiry</x:v>
      </x:c>
      <x:c r="L612" s="6" t="str">
        <x:v>High</x:v>
      </x:c>
      <x:c r="M612" s="6" t="str">
        <x:v>https://digitecme.com/ar/brands/mercedes-benz-service-dubai</x:v>
      </x:c>
      <x:c r="N612" s="6" t="str">
        <x:v>Unknown — export has no query/page pairing</x:v>
      </x:c>
      <x:c r="O612" s="6" t="str">
        <x:v>Retain primary intent and support variants</x:v>
      </x:c>
      <x:c r="P612" s="6" t="str">
        <x:v>Use the existing Arabic counterpart and verify its translation quality. Average position 60.41 makes ranking the main issue; avoid a CTR-only rewrite.</x:v>
      </x:c>
      <x:c r="Q612" s="6" t="str">
        <x:v>mercedes-benz</x:v>
      </x:c>
      <x:c r="R612" s="6" t="str">
        <x:v>service-repair</x:v>
      </x:c>
      <x:c r="S612" s="6" t="str">
        <x:v>Location unspecified</x:v>
      </x:c>
      <x:c r="T612" s="6" t="n">
        <x:v>5</x:v>
      </x:c>
      <x:c r="U612" s="6" t="str">
        <x:v>40+</x:v>
      </x:c>
      <x:c r="V612" s="6" t="str">
        <x:v>Relevance, capability, indexing and authority review</x:v>
      </x:c>
      <x:c r="W612" s="6" t="str">
        <x:v>Relevant supporting</x:v>
      </x:c>
      <x:c r="X612" s="6" t="n">
        <x:v>608</x:v>
      </x:c>
      <x:c r="Y612" s="6" t="str">
        <x:v>Unconfirmed — joint query/page data required</x:v>
      </x:c>
    </x:row>
    <x:row r="613" ht="42" customHeight="1">
      <x:c r="A613" s="6" t="str">
        <x:v>range rover engine repair</x:v>
      </x:c>
      <x:c r="B613" s="14" t="n">
        <x:v>0</x:v>
      </x:c>
      <x:c r="C613" s="14" t="n">
        <x:v>22</x:v>
      </x:c>
      <x:c r="D613" s="15" t="n">
        <x:v>0</x:v>
      </x:c>
      <x:c r="E613" s="16" t="n">
        <x:v>69.45</x:v>
      </x:c>
      <x:c r="F613" s="6" t="str">
        <x:v>GROWTH</x:v>
      </x:c>
      <x:c r="G613" s="17" t="n">
        <x:f>'Scoring'!I613</x:f>
        <x:v>58.3</x:v>
      </x:c>
      <x:c r="H613" s="6" t="str">
        <x:v>SPLIT</x:v>
      </x:c>
      <x:c r="I613" s="6" t="str">
        <x:v>range-rover: Engine and mechanical repair</x:v>
      </x:c>
      <x:c r="J613" s="6" t="str">
        <x:v>Secondary</x:v>
      </x:c>
      <x:c r="K613" s="6" t="str">
        <x:v>Commercial service enquiry</x:v>
      </x:c>
      <x:c r="L613" s="6" t="str">
        <x:v>High</x:v>
      </x:c>
      <x:c r="M613" s="6" t="str">
        <x:v>https://digitecme.com/brands/range-rover-service-dubai/mechanical-repair</x:v>
      </x:c>
      <x:c r="N613" s="6" t="str">
        <x:v>Unknown — export has no query/page pairing</x:v>
      </x:c>
      <x:c r="O613" s="6" t="str">
        <x:v>Use dedicated service owner</x:v>
      </x:c>
      <x:c r="P613" s="6" t="str">
        <x:v>Average position 69.45 makes ranking the main issue; avoid a CTR-only rewrite.</x:v>
      </x:c>
      <x:c r="Q613" s="6" t="str">
        <x:v>range-rover</x:v>
      </x:c>
      <x:c r="R613" s="6" t="str">
        <x:v>mechanical-repair</x:v>
      </x:c>
      <x:c r="S613" s="6" t="str">
        <x:v>Location unspecified</x:v>
      </x:c>
      <x:c r="T613" s="6" t="n">
        <x:v>5</x:v>
      </x:c>
      <x:c r="U613" s="6" t="str">
        <x:v>40+</x:v>
      </x:c>
      <x:c r="V613" s="6" t="str">
        <x:v>Relevance, capability, indexing and authority review</x:v>
      </x:c>
      <x:c r="W613" s="6" t="str">
        <x:v>High-value commercial</x:v>
      </x:c>
      <x:c r="X613" s="6" t="n">
        <x:v>609</x:v>
      </x:c>
      <x:c r="Y613" s="6" t="str">
        <x:v>Unconfirmed — joint query/page data required</x:v>
      </x:c>
    </x:row>
    <x:row r="614" ht="42" customHeight="1">
      <x:c r="A614" s="6" t="str">
        <x:v>best jeep repair dubai</x:v>
      </x:c>
      <x:c r="B614" s="14" t="n">
        <x:v>0</x:v>
      </x:c>
      <x:c r="C614" s="14" t="n">
        <x:v>22</x:v>
      </x:c>
      <x:c r="D614" s="15" t="n">
        <x:v>0</x:v>
      </x:c>
      <x:c r="E614" s="16" t="n">
        <x:v>70.14</x:v>
      </x:c>
      <x:c r="F614" s="6" t="str">
        <x:v>GROWTH</x:v>
      </x:c>
      <x:c r="G614" s="17" t="n">
        <x:f>'Scoring'!I614</x:f>
        <x:v>55.3</x:v>
      </x:c>
      <x:c r="H614" s="6" t="str">
        <x:v>SUPPORT</x:v>
      </x:c>
      <x:c r="I614" s="6" t="str">
        <x:v>jeep: Service and repair (English)</x:v>
      </x:c>
      <x:c r="J614" s="6" t="str">
        <x:v>Secondary</x:v>
      </x:c>
      <x:c r="K614" s="6" t="str">
        <x:v>Commercial service enquiry</x:v>
      </x:c>
      <x:c r="L614" s="6" t="str">
        <x:v>High</x:v>
      </x:c>
      <x:c r="M614" s="6" t="str">
        <x:v>https://digitecme.com/brands/jeep-service-dubai</x:v>
      </x:c>
      <x:c r="N614" s="6" t="str">
        <x:v>Unknown — export has no query/page pairing</x:v>
      </x:c>
      <x:c r="O614" s="6" t="str">
        <x:v>Retain primary intent and support variants</x:v>
      </x:c>
      <x:c r="P614" s="6" t="str">
        <x:v>Average position 70.14 makes ranking the main issue; avoid a CTR-only rewrite.</x:v>
      </x:c>
      <x:c r="Q614" s="6" t="str">
        <x:v>jeep</x:v>
      </x:c>
      <x:c r="R614" s="6" t="str">
        <x:v>service-repair</x:v>
      </x:c>
      <x:c r="S614" s="6" t="str">
        <x:v>Dubai explicit</x:v>
      </x:c>
      <x:c r="T614" s="6" t="n">
        <x:v>3</x:v>
      </x:c>
      <x:c r="U614" s="6" t="str">
        <x:v>40+</x:v>
      </x:c>
      <x:c r="V614" s="6" t="str">
        <x:v>Relevance, capability, indexing and authority review</x:v>
      </x:c>
      <x:c r="W614" s="6" t="str">
        <x:v>Relevant supporting</x:v>
      </x:c>
      <x:c r="X614" s="6" t="n">
        <x:v>610</x:v>
      </x:c>
      <x:c r="Y614" s="6" t="str">
        <x:v>Unconfirmed — joint query/page data required</x:v>
      </x:c>
    </x:row>
    <x:row r="615" ht="42" customHeight="1">
      <x:c r="A615" s="6" t="str">
        <x:v>steering rack repair</x:v>
      </x:c>
      <x:c r="B615" s="14" t="n">
        <x:v>0</x:v>
      </x:c>
      <x:c r="C615" s="14" t="n">
        <x:v>21</x:v>
      </x:c>
      <x:c r="D615" s="15" t="n">
        <x:v>0</x:v>
      </x:c>
      <x:c r="E615" s="16" t="n">
        <x:v>8.43</x:v>
      </x:c>
      <x:c r="F615" s="6" t="str">
        <x:v>CRITICAL</x:v>
      </x:c>
      <x:c r="G615" s="17" t="n">
        <x:f>'Scoring'!I615</x:f>
        <x:v>81.5</x:v>
      </x:c>
      <x:c r="H615" s="6" t="str">
        <x:v>SUPPORT</x:v>
      </x:c>
      <x:c r="I615" s="6" t="str">
        <x:v>All vehicles: Steering repair</x:v>
      </x:c>
      <x:c r="J615" s="6" t="str">
        <x:v>Secondary</x:v>
      </x:c>
      <x:c r="K615" s="6" t="str">
        <x:v>Commercial service enquiry</x:v>
      </x:c>
      <x:c r="L615" s="6" t="str">
        <x:v>High</x:v>
      </x:c>
      <x:c r="M615" s="6" t="str">
        <x:v>https://digitecme.com/services/steering-repair-dubai</x:v>
      </x:c>
      <x:c r="N615" s="6" t="str">
        <x:v>Unknown — export has no query/page pairing</x:v>
      </x:c>
      <x:c r="O615" s="6" t="str">
        <x:v>Retain primary intent and support variants</x:v>
      </x:c>
      <x:c r="P615" s="6" t="str">
        <x:v>Zero clicks from 21 impressions at average position 8.43; inspect query/page, country/device and SERP before attributing this to the snippet.</x:v>
      </x:c>
      <x:c r="Q615" s="6" t="str">
        <x:v>All vehicles</x:v>
      </x:c>
      <x:c r="R615" s="6" t="str">
        <x:v>steering-repair</x:v>
      </x:c>
      <x:c r="S615" s="6" t="str">
        <x:v>Location unspecified</x:v>
      </x:c>
      <x:c r="T615" s="6" t="n">
        <x:v>3</x:v>
      </x:c>
      <x:c r="U615" s="6" t="str">
        <x:v>4–10</x:v>
      </x:c>
      <x:c r="V615" s="6" t="str">
        <x:v>Page-one CTR review and top-three relevance</x:v>
      </x:c>
      <x:c r="W615" s="6" t="str">
        <x:v>Relevant supporting</x:v>
      </x:c>
      <x:c r="X615" s="6" t="n">
        <x:v>611</x:v>
      </x:c>
      <x:c r="Y615" s="6" t="str">
        <x:v>Unconfirmed — joint query/page data required</x:v>
      </x:c>
    </x:row>
    <x:row r="616" ht="42" customHeight="1">
      <x:c r="A616" s="6" t="str">
        <x:v>mercedes benz auto repair​ in dubai</x:v>
      </x:c>
      <x:c r="B616" s="14" t="n">
        <x:v>0</x:v>
      </x:c>
      <x:c r="C616" s="14" t="n">
        <x:v>21</x:v>
      </x:c>
      <x:c r="D616" s="15" t="n">
        <x:v>0</x:v>
      </x:c>
      <x:c r="E616" s="16" t="n">
        <x:v>9.57</x:v>
      </x:c>
      <x:c r="F616" s="6" t="str">
        <x:v>CRITICAL</x:v>
      </x:c>
      <x:c r="G616" s="17" t="n">
        <x:f>'Scoring'!I616</x:f>
        <x:v>94.5</x:v>
      </x:c>
      <x:c r="H616" s="6" t="str">
        <x:v>SUPPORT</x:v>
      </x:c>
      <x:c r="I616" s="6" t="str">
        <x:v>mercedes-benz: Service and repair (English)</x:v>
      </x:c>
      <x:c r="J616" s="6" t="str">
        <x:v>Secondary</x:v>
      </x:c>
      <x:c r="K616" s="6" t="str">
        <x:v>Commercial service enquiry</x:v>
      </x:c>
      <x:c r="L616" s="6" t="str">
        <x:v>High</x:v>
      </x:c>
      <x:c r="M616" s="6" t="str">
        <x:v>https://digitecme.com/brands/mercedes-benz-service-dubai</x:v>
      </x:c>
      <x:c r="N616" s="6" t="str">
        <x:v>Unknown — export has no query/page pairing</x:v>
      </x:c>
      <x:c r="O616" s="6" t="str">
        <x:v>Retain primary intent and support variants</x:v>
      </x:c>
      <x:c r="P616" s="6" t="str">
        <x:v>Zero clicks from 21 impressions at average position 9.57; inspect query/page, country/device and SERP before attributing this to the snippet.</x:v>
      </x:c>
      <x:c r="Q616" s="6" t="str">
        <x:v>mercedes-benz</x:v>
      </x:c>
      <x:c r="R616" s="6" t="str">
        <x:v>service-repair</x:v>
      </x:c>
      <x:c r="S616" s="6" t="str">
        <x:v>Dubai explicit</x:v>
      </x:c>
      <x:c r="T616" s="6" t="n">
        <x:v>5</x:v>
      </x:c>
      <x:c r="U616" s="6" t="str">
        <x:v>4–10</x:v>
      </x:c>
      <x:c r="V616" s="6" t="str">
        <x:v>Page-one CTR review and top-three relevance</x:v>
      </x:c>
      <x:c r="W616" s="6" t="str">
        <x:v>Relevant supporting</x:v>
      </x:c>
      <x:c r="X616" s="6" t="n">
        <x:v>612</x:v>
      </x:c>
      <x:c r="Y616" s="6" t="str">
        <x:v>Unconfirmed — joint query/page data required</x:v>
      </x:c>
    </x:row>
    <x:row r="617" ht="42" customHeight="1">
      <x:c r="A617" s="6" t="str">
        <x:v>bentley transmission repair</x:v>
      </x:c>
      <x:c r="B617" s="14" t="n">
        <x:v>0</x:v>
      </x:c>
      <x:c r="C617" s="14" t="n">
        <x:v>21</x:v>
      </x:c>
      <x:c r="D617" s="15" t="n">
        <x:v>0</x:v>
      </x:c>
      <x:c r="E617" s="16" t="n">
        <x:v>9.9</x:v>
      </x:c>
      <x:c r="F617" s="6" t="str">
        <x:v>CRITICAL</x:v>
      </x:c>
      <x:c r="G617" s="17" t="n">
        <x:f>'Scoring'!I617</x:f>
        <x:v>89.5</x:v>
      </x:c>
      <x:c r="H617" s="6" t="str">
        <x:v>SPLIT</x:v>
      </x:c>
      <x:c r="I617" s="6" t="str">
        <x:v>bentley: Transmission and gearbox repair</x:v>
      </x:c>
      <x:c r="J617" s="6" t="str">
        <x:v>Secondary</x:v>
      </x:c>
      <x:c r="K617" s="6" t="str">
        <x:v>Commercial service enquiry</x:v>
      </x:c>
      <x:c r="L617" s="6" t="str">
        <x:v>High</x:v>
      </x:c>
      <x:c r="M617" s="6" t="str">
        <x:v>https://digitecme.com/brands/bentley-service-dubai/transmission-repair</x:v>
      </x:c>
      <x:c r="N617" s="6" t="str">
        <x:v>Unknown — export has no query/page pairing</x:v>
      </x:c>
      <x:c r="O617" s="6" t="str">
        <x:v>Use dedicated service owner</x:v>
      </x:c>
      <x:c r="P617" s="6" t="str">
        <x:v>Zero clicks from 21 impressions at average position 9.90; inspect query/page, country/device and SERP before attributing this to the snippet.</x:v>
      </x:c>
      <x:c r="Q617" s="6" t="str">
        <x:v>bentley</x:v>
      </x:c>
      <x:c r="R617" s="6" t="str">
        <x:v>transmission-repair</x:v>
      </x:c>
      <x:c r="S617" s="6" t="str">
        <x:v>Location unspecified</x:v>
      </x:c>
      <x:c r="T617" s="6" t="n">
        <x:v>5</x:v>
      </x:c>
      <x:c r="U617" s="6" t="str">
        <x:v>4–10</x:v>
      </x:c>
      <x:c r="V617" s="6" t="str">
        <x:v>Page-one CTR review and top-three relevance</x:v>
      </x:c>
      <x:c r="W617" s="6" t="str">
        <x:v>High-value commercial</x:v>
      </x:c>
      <x:c r="X617" s="6" t="n">
        <x:v>613</x:v>
      </x:c>
      <x:c r="Y617" s="6" t="str">
        <x:v>Unconfirmed — joint query/page data required</x:v>
      </x:c>
    </x:row>
    <x:row r="618" ht="42" customHeight="1">
      <x:c r="A618" s="6" t="str">
        <x:v>audi workshop dubai</x:v>
      </x:c>
      <x:c r="B618" s="14" t="n">
        <x:v>0</x:v>
      </x:c>
      <x:c r="C618" s="14" t="n">
        <x:v>21</x:v>
      </x:c>
      <x:c r="D618" s="15" t="n">
        <x:v>0</x:v>
      </x:c>
      <x:c r="E618" s="16" t="n">
        <x:v>12.29</x:v>
      </x:c>
      <x:c r="F618" s="6" t="str">
        <x:v>CRITICAL</x:v>
      </x:c>
      <x:c r="G618" s="17" t="n">
        <x:f>'Scoring'!I618</x:f>
        <x:v>84.5</x:v>
      </x:c>
      <x:c r="H618" s="6" t="str">
        <x:v>SUPPORT</x:v>
      </x:c>
      <x:c r="I618" s="6" t="str">
        <x:v>audi: Service and repair (English)</x:v>
      </x:c>
      <x:c r="J618" s="6" t="str">
        <x:v>Secondary</x:v>
      </x:c>
      <x:c r="K618" s="6" t="str">
        <x:v>Commercial service enquiry</x:v>
      </x:c>
      <x:c r="L618" s="6" t="str">
        <x:v>High</x:v>
      </x:c>
      <x:c r="M618" s="6" t="str">
        <x:v>https://digitecme.com/brands/audi-service-dubai</x:v>
      </x:c>
      <x:c r="N618" s="6" t="str">
        <x:v>Unknown — export has no query/page pairing</x:v>
      </x:c>
      <x:c r="O618" s="6" t="str">
        <x:v>Retain primary intent and support variants</x:v>
      </x:c>
      <x:c r="P618" s="6" t="str">
        <x:v>21 impressions at average position 12.29; strengthen the appropriate intent owner and measure with a fresh comparable period.</x:v>
      </x:c>
      <x:c r="Q618" s="6" t="str">
        <x:v>audi</x:v>
      </x:c>
      <x:c r="R618" s="6" t="str">
        <x:v>service-repair</x:v>
      </x:c>
      <x:c r="S618" s="6" t="str">
        <x:v>Dubai explicit</x:v>
      </x:c>
      <x:c r="T618" s="6" t="n">
        <x:v>5</x:v>
      </x:c>
      <x:c r="U618" s="6" t="str">
        <x:v>11–20</x:v>
      </x:c>
      <x:c r="V618" s="6" t="str">
        <x:v>Ranking and owner relevance</x:v>
      </x:c>
      <x:c r="W618" s="6" t="str">
        <x:v>Relevant supporting</x:v>
      </x:c>
      <x:c r="X618" s="6" t="n">
        <x:v>614</x:v>
      </x:c>
      <x:c r="Y618" s="6" t="str">
        <x:v>Unconfirmed — joint query/page data required</x:v>
      </x:c>
    </x:row>
    <x:row r="619" ht="42" customHeight="1">
      <x:c r="A619" s="6" t="str">
        <x:v>rolls royce transmission repair dubai</x:v>
      </x:c>
      <x:c r="B619" s="14" t="n">
        <x:v>0</x:v>
      </x:c>
      <x:c r="C619" s="14" t="n">
        <x:v>21</x:v>
      </x:c>
      <x:c r="D619" s="15" t="n">
        <x:v>0</x:v>
      </x:c>
      <x:c r="E619" s="16" t="n">
        <x:v>12.67</x:v>
      </x:c>
      <x:c r="F619" s="6" t="str">
        <x:v>CRITICAL</x:v>
      </x:c>
      <x:c r="G619" s="17" t="n">
        <x:f>'Scoring'!I619</x:f>
        <x:v>84.5</x:v>
      </x:c>
      <x:c r="H619" s="6" t="str">
        <x:v>SPLIT</x:v>
      </x:c>
      <x:c r="I619" s="6" t="str">
        <x:v>rolls-royce: Transmission and gearbox repair</x:v>
      </x:c>
      <x:c r="J619" s="6" t="str">
        <x:v>Primary</x:v>
      </x:c>
      <x:c r="K619" s="6" t="str">
        <x:v>Commercial service enquiry</x:v>
      </x:c>
      <x:c r="L619" s="6" t="str">
        <x:v>High</x:v>
      </x:c>
      <x:c r="M619" s="6" t="str">
        <x:v>https://digitecme.com/brands/rolls-royce-service-dubai/transmission-repair</x:v>
      </x:c>
      <x:c r="N619" s="6" t="str">
        <x:v>Unknown — export has no query/page pairing</x:v>
      </x:c>
      <x:c r="O619" s="6" t="str">
        <x:v>Use dedicated service owner</x:v>
      </x:c>
      <x:c r="P619" s="6" t="str">
        <x:v>21 impressions at average position 12.67; strengthen the appropriate intent owner and measure with a fresh comparable period.</x:v>
      </x:c>
      <x:c r="Q619" s="6" t="str">
        <x:v>rolls-royce</x:v>
      </x:c>
      <x:c r="R619" s="6" t="str">
        <x:v>transmission-repair</x:v>
      </x:c>
      <x:c r="S619" s="6" t="str">
        <x:v>Dubai explicit</x:v>
      </x:c>
      <x:c r="T619" s="6" t="n">
        <x:v>5</x:v>
      </x:c>
      <x:c r="U619" s="6" t="str">
        <x:v>11–20</x:v>
      </x:c>
      <x:c r="V619" s="6" t="str">
        <x:v>Ranking and owner relevance</x:v>
      </x:c>
      <x:c r="W619" s="6" t="str">
        <x:v>High-value commercial</x:v>
      </x:c>
      <x:c r="X619" s="6" t="n">
        <x:v>615</x:v>
      </x:c>
      <x:c r="Y619" s="6" t="str">
        <x:v>Unconfirmed — joint query/page data required</x:v>
      </x:c>
    </x:row>
    <x:row r="620" ht="42" customHeight="1">
      <x:c r="A620" s="6" t="str">
        <x:v>volkswagen oil change</x:v>
      </x:c>
      <x:c r="B620" s="14" t="n">
        <x:v>0</x:v>
      </x:c>
      <x:c r="C620" s="14" t="n">
        <x:v>21</x:v>
      </x:c>
      <x:c r="D620" s="15" t="n">
        <x:v>0</x:v>
      </x:c>
      <x:c r="E620" s="16" t="n">
        <x:v>14.9</x:v>
      </x:c>
      <x:c r="F620" s="6" t="str">
        <x:v>CRITICAL</x:v>
      </x:c>
      <x:c r="G620" s="17" t="n">
        <x:f>'Scoring'!I620</x:f>
        <x:v>71.5</x:v>
      </x:c>
      <x:c r="H620" s="6" t="str">
        <x:v>SPLIT</x:v>
      </x:c>
      <x:c r="I620" s="6" t="str">
        <x:v>volkswagen: Oil change</x:v>
      </x:c>
      <x:c r="J620" s="6" t="str">
        <x:v>Secondary</x:v>
      </x:c>
      <x:c r="K620" s="6" t="str">
        <x:v>Commercial service enquiry</x:v>
      </x:c>
      <x:c r="L620" s="6" t="str">
        <x:v>High</x:v>
      </x:c>
      <x:c r="M620" s="6" t="str">
        <x:v>https://digitecme.com/brands/volkswagen-service-dubai/oil-change</x:v>
      </x:c>
      <x:c r="N620" s="6" t="str">
        <x:v>Unknown — export has no query/page pairing</x:v>
      </x:c>
      <x:c r="O620" s="6" t="str">
        <x:v>Use dedicated service owner</x:v>
      </x:c>
      <x:c r="P620" s="6" t="str">
        <x:v>21 impressions at average position 14.90; strengthen the appropriate intent owner and measure with a fresh comparable period.</x:v>
      </x:c>
      <x:c r="Q620" s="6" t="str">
        <x:v>volkswagen</x:v>
      </x:c>
      <x:c r="R620" s="6" t="str">
        <x:v>oil-change</x:v>
      </x:c>
      <x:c r="S620" s="6" t="str">
        <x:v>Location unspecified</x:v>
      </x:c>
      <x:c r="T620" s="6" t="n">
        <x:v>3</x:v>
      </x:c>
      <x:c r="U620" s="6" t="str">
        <x:v>11–20</x:v>
      </x:c>
      <x:c r="V620" s="6" t="str">
        <x:v>Ranking and owner relevance</x:v>
      </x:c>
      <x:c r="W620" s="6" t="str">
        <x:v>High-value commercial</x:v>
      </x:c>
      <x:c r="X620" s="6" t="n">
        <x:v>616</x:v>
      </x:c>
      <x:c r="Y620" s="6" t="str">
        <x:v>Unconfirmed — joint query/page data required</x:v>
      </x:c>
    </x:row>
    <x:row r="621" ht="42" customHeight="1">
      <x:c r="A621" s="6" t="str">
        <x:v>lamborghini transmission repair dubai</x:v>
      </x:c>
      <x:c r="B621" s="14" t="n">
        <x:v>0</x:v>
      </x:c>
      <x:c r="C621" s="14" t="n">
        <x:v>21</x:v>
      </x:c>
      <x:c r="D621" s="15" t="n">
        <x:v>0</x:v>
      </x:c>
      <x:c r="E621" s="16" t="n">
        <x:v>23.81</x:v>
      </x:c>
      <x:c r="F621" s="6" t="str">
        <x:v>HIGH</x:v>
      </x:c>
      <x:c r="G621" s="17" t="n">
        <x:f>'Scoring'!I621</x:f>
        <x:v>77</x:v>
      </x:c>
      <x:c r="H621" s="6" t="str">
        <x:v>SPLIT</x:v>
      </x:c>
      <x:c r="I621" s="6" t="str">
        <x:v>lamborghini: Transmission and gearbox repair</x:v>
      </x:c>
      <x:c r="J621" s="6" t="str">
        <x:v>Primary</x:v>
      </x:c>
      <x:c r="K621" s="6" t="str">
        <x:v>Commercial service enquiry</x:v>
      </x:c>
      <x:c r="L621" s="6" t="str">
        <x:v>High</x:v>
      </x:c>
      <x:c r="M621" s="6" t="str">
        <x:v>https://digitecme.com/brands/lamborghini-service-dubai/transmission-repair</x:v>
      </x:c>
      <x:c r="N621" s="6" t="str">
        <x:v>Unknown — export has no query/page pairing</x:v>
      </x:c>
      <x:c r="O621" s="6" t="str">
        <x:v>Use dedicated service owner</x:v>
      </x:c>
      <x:c r="P621" s="6" t="str">
        <x:v>Average position 23.81 makes ranking the main issue; avoid a CTR-only rewrite.</x:v>
      </x:c>
      <x:c r="Q621" s="6" t="str">
        <x:v>lamborghini</x:v>
      </x:c>
      <x:c r="R621" s="6" t="str">
        <x:v>transmission-repair</x:v>
      </x:c>
      <x:c r="S621" s="6" t="str">
        <x:v>Dubai explicit</x:v>
      </x:c>
      <x:c r="T621" s="6" t="n">
        <x:v>5</x:v>
      </x:c>
      <x:c r="U621" s="6" t="str">
        <x:v>21–40</x:v>
      </x:c>
      <x:c r="V621" s="6" t="str">
        <x:v>Content, internal authority and owner alignment</x:v>
      </x:c>
      <x:c r="W621" s="6" t="str">
        <x:v>High-value commercial</x:v>
      </x:c>
      <x:c r="X621" s="6" t="n">
        <x:v>617</x:v>
      </x:c>
      <x:c r="Y621" s="6" t="str">
        <x:v>Unconfirmed — joint query/page data required</x:v>
      </x:c>
    </x:row>
    <x:row r="622" ht="42" customHeight="1">
      <x:c r="A622" s="6" t="str">
        <x:v>oil change service center dubai</x:v>
      </x:c>
      <x:c r="B622" s="14" t="n">
        <x:v>0</x:v>
      </x:c>
      <x:c r="C622" s="14" t="n">
        <x:v>21</x:v>
      </x:c>
      <x:c r="D622" s="15" t="n">
        <x:v>0</x:v>
      </x:c>
      <x:c r="E622" s="16" t="n">
        <x:v>25.48</x:v>
      </x:c>
      <x:c r="F622" s="6" t="str">
        <x:v>HIGH</x:v>
      </x:c>
      <x:c r="G622" s="17" t="n">
        <x:f>'Scoring'!I622</x:f>
        <x:v>69</x:v>
      </x:c>
      <x:c r="H622" s="6" t="str">
        <x:v>SUPPORT</x:v>
      </x:c>
      <x:c r="I622" s="6" t="str">
        <x:v>All vehicles: Oil change (English)</x:v>
      </x:c>
      <x:c r="J622" s="6" t="str">
        <x:v>Secondary</x:v>
      </x:c>
      <x:c r="K622" s="6" t="str">
        <x:v>Commercial service enquiry</x:v>
      </x:c>
      <x:c r="L622" s="6" t="str">
        <x:v>High</x:v>
      </x:c>
      <x:c r="M622" s="6" t="str">
        <x:v>https://digitecme.com/services/oil-change-dubai</x:v>
      </x:c>
      <x:c r="N622" s="6" t="str">
        <x:v>Unknown — export has no query/page pairing</x:v>
      </x:c>
      <x:c r="O622" s="6" t="str">
        <x:v>Retain primary intent and support variants</x:v>
      </x:c>
      <x:c r="P622" s="6" t="str">
        <x:v>Average position 25.48 makes ranking the main issue; avoid a CTR-only rewrite.</x:v>
      </x:c>
      <x:c r="Q622" s="6" t="str">
        <x:v>All vehicles</x:v>
      </x:c>
      <x:c r="R622" s="6" t="str">
        <x:v>oil-change</x:v>
      </x:c>
      <x:c r="S622" s="6" t="str">
        <x:v>Dubai explicit</x:v>
      </x:c>
      <x:c r="T622" s="6" t="n">
        <x:v>3</x:v>
      </x:c>
      <x:c r="U622" s="6" t="str">
        <x:v>21–40</x:v>
      </x:c>
      <x:c r="V622" s="6" t="str">
        <x:v>Content, internal authority and owner alignment</x:v>
      </x:c>
      <x:c r="W622" s="6" t="str">
        <x:v>Relevant supporting</x:v>
      </x:c>
      <x:c r="X622" s="6" t="n">
        <x:v>618</x:v>
      </x:c>
      <x:c r="Y622" s="6" t="str">
        <x:v>Unconfirmed — joint query/page data required</x:v>
      </x:c>
    </x:row>
    <x:row r="623" ht="42" customHeight="1">
      <x:c r="A623" s="6" t="str">
        <x:v>luxury car workshop dubai</x:v>
      </x:c>
      <x:c r="B623" s="14" t="n">
        <x:v>0</x:v>
      </x:c>
      <x:c r="C623" s="14" t="n">
        <x:v>21</x:v>
      </x:c>
      <x:c r="D623" s="15" t="n">
        <x:v>0</x:v>
      </x:c>
      <x:c r="E623" s="16" t="n">
        <x:v>29.57</x:v>
      </x:c>
      <x:c r="F623" s="6" t="str">
        <x:v>HIGH</x:v>
      </x:c>
      <x:c r="G623" s="17" t="n">
        <x:f>'Scoring'!I623</x:f>
        <x:v>69</x:v>
      </x:c>
      <x:c r="H623" s="6" t="str">
        <x:v>SUPPORT</x:v>
      </x:c>
      <x:c r="I623" s="6" t="str">
        <x:v>All vehicles: General garage and repair (English)</x:v>
      </x:c>
      <x:c r="J623" s="6" t="str">
        <x:v>Secondary</x:v>
      </x:c>
      <x:c r="K623" s="6" t="str">
        <x:v>Commercial service enquiry</x:v>
      </x:c>
      <x:c r="L623" s="6" t="str">
        <x:v>High</x:v>
      </x:c>
      <x:c r="M623" s="6" t="str">
        <x:v>https://digitecme.com/services/car-garage-dubai</x:v>
      </x:c>
      <x:c r="N623" s="6" t="str">
        <x:v>Unknown — export has no query/page pairing</x:v>
      </x:c>
      <x:c r="O623" s="6" t="str">
        <x:v>Retain primary intent and support variants</x:v>
      </x:c>
      <x:c r="P623" s="6" t="str">
        <x:v>Average position 29.57 makes ranking the main issue; avoid a CTR-only rewrite.</x:v>
      </x:c>
      <x:c r="Q623" s="6" t="str">
        <x:v>All vehicles</x:v>
      </x:c>
      <x:c r="R623" s="6" t="str">
        <x:v>service-repair</x:v>
      </x:c>
      <x:c r="S623" s="6" t="str">
        <x:v>Dubai explicit</x:v>
      </x:c>
      <x:c r="T623" s="6" t="n">
        <x:v>3</x:v>
      </x:c>
      <x:c r="U623" s="6" t="str">
        <x:v>21–40</x:v>
      </x:c>
      <x:c r="V623" s="6" t="str">
        <x:v>Content, internal authority and owner alignment</x:v>
      </x:c>
      <x:c r="W623" s="6" t="str">
        <x:v>Relevant supporting</x:v>
      </x:c>
      <x:c r="X623" s="6" t="n">
        <x:v>619</x:v>
      </x:c>
      <x:c r="Y623" s="6" t="str">
        <x:v>Unconfirmed — joint query/page data required</x:v>
      </x:c>
    </x:row>
    <x:row r="624" ht="42" customHeight="1">
      <x:c r="A624" s="6" t="str">
        <x:v>aston martin garage dubai</x:v>
      </x:c>
      <x:c r="B624" s="14" t="n">
        <x:v>0</x:v>
      </x:c>
      <x:c r="C624" s="14" t="n">
        <x:v>21</x:v>
      </x:c>
      <x:c r="D624" s="15" t="n">
        <x:v>0</x:v>
      </x:c>
      <x:c r="E624" s="16" t="n">
        <x:v>31.38</x:v>
      </x:c>
      <x:c r="F624" s="6" t="str">
        <x:v>GROWTH</x:v>
      </x:c>
      <x:c r="G624" s="17" t="n">
        <x:f>'Scoring'!I624</x:f>
        <x:v>69.5</x:v>
      </x:c>
      <x:c r="H624" s="6" t="str">
        <x:v>SUPPORT</x:v>
      </x:c>
      <x:c r="I624" s="6" t="str">
        <x:v>aston-martin: Service and repair</x:v>
      </x:c>
      <x:c r="J624" s="6" t="str">
        <x:v>Secondary</x:v>
      </x:c>
      <x:c r="K624" s="6" t="str">
        <x:v>Commercial service enquiry</x:v>
      </x:c>
      <x:c r="L624" s="6" t="str">
        <x:v>High</x:v>
      </x:c>
      <x:c r="M624" s="6" t="str">
        <x:v>https://digitecme.com/brands/aston-martin-service-dubai</x:v>
      </x:c>
      <x:c r="N624" s="6" t="str">
        <x:v>Unknown — export has no query/page pairing</x:v>
      </x:c>
      <x:c r="O624" s="6" t="str">
        <x:v>Retain primary intent and support variants</x:v>
      </x:c>
      <x:c r="P624" s="6" t="str">
        <x:v>Average position 31.38 makes ranking the main issue; avoid a CTR-only rewrite.</x:v>
      </x:c>
      <x:c r="Q624" s="6" t="str">
        <x:v>aston-martin</x:v>
      </x:c>
      <x:c r="R624" s="6" t="str">
        <x:v>service-repair</x:v>
      </x:c>
      <x:c r="S624" s="6" t="str">
        <x:v>Dubai explicit</x:v>
      </x:c>
      <x:c r="T624" s="6" t="n">
        <x:v>5</x:v>
      </x:c>
      <x:c r="U624" s="6" t="str">
        <x:v>21–40</x:v>
      </x:c>
      <x:c r="V624" s="6" t="str">
        <x:v>Content, internal authority and owner alignment</x:v>
      </x:c>
      <x:c r="W624" s="6" t="str">
        <x:v>Relevant supporting</x:v>
      </x:c>
      <x:c r="X624" s="6" t="n">
        <x:v>620</x:v>
      </x:c>
      <x:c r="Y624" s="6" t="str">
        <x:v>Unconfirmed — joint query/page data required</x:v>
      </x:c>
    </x:row>
    <x:row r="625" ht="42" customHeight="1">
      <x:c r="A625" s="6" t="str">
        <x:v>infiniti service dubai</x:v>
      </x:c>
      <x:c r="B625" s="14" t="n">
        <x:v>0</x:v>
      </x:c>
      <x:c r="C625" s="14" t="n">
        <x:v>21</x:v>
      </x:c>
      <x:c r="D625" s="15" t="n">
        <x:v>0</x:v>
      </x:c>
      <x:c r="E625" s="16" t="n">
        <x:v>31.57</x:v>
      </x:c>
      <x:c r="F625" s="6" t="str">
        <x:v>GROWTH</x:v>
      </x:c>
      <x:c r="G625" s="17" t="n">
        <x:f>'Scoring'!I625</x:f>
        <x:v>61.5</x:v>
      </x:c>
      <x:c r="H625" s="6" t="str">
        <x:v>PRIORITIZE</x:v>
      </x:c>
      <x:c r="I625" s="6" t="str">
        <x:v>infiniti: Service and repair</x:v>
      </x:c>
      <x:c r="J625" s="6" t="str">
        <x:v>Primary</x:v>
      </x:c>
      <x:c r="K625" s="6" t="str">
        <x:v>Commercial service enquiry</x:v>
      </x:c>
      <x:c r="L625" s="6" t="str">
        <x:v>High</x:v>
      </x:c>
      <x:c r="M625" s="6" t="str">
        <x:v>https://digitecme.com/brands/infiniti-service-dubai</x:v>
      </x:c>
      <x:c r="N625" s="6" t="str">
        <x:v>Unknown — export has no query/page pairing</x:v>
      </x:c>
      <x:c r="O625" s="6" t="str">
        <x:v>Strengthen this primary intent owner</x:v>
      </x:c>
      <x:c r="P625" s="6" t="str">
        <x:v>Average position 31.57 makes ranking the main issue; avoid a CTR-only rewrite.</x:v>
      </x:c>
      <x:c r="Q625" s="6" t="str">
        <x:v>infiniti</x:v>
      </x:c>
      <x:c r="R625" s="6" t="str">
        <x:v>service-repair</x:v>
      </x:c>
      <x:c r="S625" s="6" t="str">
        <x:v>Dubai explicit</x:v>
      </x:c>
      <x:c r="T625" s="6" t="n">
        <x:v>3</x:v>
      </x:c>
      <x:c r="U625" s="6" t="str">
        <x:v>21–40</x:v>
      </x:c>
      <x:c r="V625" s="6" t="str">
        <x:v>Content, internal authority and owner alignment</x:v>
      </x:c>
      <x:c r="W625" s="6" t="str">
        <x:v>High-value commercial</x:v>
      </x:c>
      <x:c r="X625" s="6" t="n">
        <x:v>621</x:v>
      </x:c>
      <x:c r="Y625" s="6" t="str">
        <x:v>Unconfirmed — joint query/page data required</x:v>
      </x:c>
    </x:row>
    <x:row r="626" ht="42" customHeight="1">
      <x:c r="A626" s="6" t="str">
        <x:v>hummer garage dubai</x:v>
      </x:c>
      <x:c r="B626" s="14" t="n">
        <x:v>0</x:v>
      </x:c>
      <x:c r="C626" s="14" t="n">
        <x:v>21</x:v>
      </x:c>
      <x:c r="D626" s="15" t="n">
        <x:v>0</x:v>
      </x:c>
      <x:c r="E626" s="16" t="n">
        <x:v>34.67</x:v>
      </x:c>
      <x:c r="F626" s="6" t="str">
        <x:v>GROWTH</x:v>
      </x:c>
      <x:c r="G626" s="17" t="n">
        <x:f>'Scoring'!I626</x:f>
        <x:v>61.5</x:v>
      </x:c>
      <x:c r="H626" s="6" t="str">
        <x:v>SUPPORT</x:v>
      </x:c>
      <x:c r="I626" s="6" t="str">
        <x:v>hummer: Service and repair</x:v>
      </x:c>
      <x:c r="J626" s="6" t="str">
        <x:v>Secondary</x:v>
      </x:c>
      <x:c r="K626" s="6" t="str">
        <x:v>Commercial service enquiry</x:v>
      </x:c>
      <x:c r="L626" s="6" t="str">
        <x:v>High</x:v>
      </x:c>
      <x:c r="M626" s="6" t="str">
        <x:v>https://digitecme.com/brands/hummer-service-dubai</x:v>
      </x:c>
      <x:c r="N626" s="6" t="str">
        <x:v>Unknown — export has no query/page pairing</x:v>
      </x:c>
      <x:c r="O626" s="6" t="str">
        <x:v>Retain primary intent and support variants</x:v>
      </x:c>
      <x:c r="P626" s="6" t="str">
        <x:v>Average position 34.67 makes ranking the main issue; avoid a CTR-only rewrite.</x:v>
      </x:c>
      <x:c r="Q626" s="6" t="str">
        <x:v>hummer</x:v>
      </x:c>
      <x:c r="R626" s="6" t="str">
        <x:v>service-repair</x:v>
      </x:c>
      <x:c r="S626" s="6" t="str">
        <x:v>Dubai explicit</x:v>
      </x:c>
      <x:c r="T626" s="6" t="n">
        <x:v>3</x:v>
      </x:c>
      <x:c r="U626" s="6" t="str">
        <x:v>21–40</x:v>
      </x:c>
      <x:c r="V626" s="6" t="str">
        <x:v>Content, internal authority and owner alignment</x:v>
      </x:c>
      <x:c r="W626" s="6" t="str">
        <x:v>Relevant supporting</x:v>
      </x:c>
      <x:c r="X626" s="6" t="n">
        <x:v>622</x:v>
      </x:c>
      <x:c r="Y626" s="6" t="str">
        <x:v>Unconfirmed — joint query/page data required</x:v>
      </x:c>
    </x:row>
    <x:row r="627" ht="42" customHeight="1">
      <x:c r="A627" s="6" t="str">
        <x:v>infiniti repair dubai</x:v>
      </x:c>
      <x:c r="B627" s="14" t="n">
        <x:v>0</x:v>
      </x:c>
      <x:c r="C627" s="14" t="n">
        <x:v>21</x:v>
      </x:c>
      <x:c r="D627" s="15" t="n">
        <x:v>0</x:v>
      </x:c>
      <x:c r="E627" s="16" t="n">
        <x:v>34.76</x:v>
      </x:c>
      <x:c r="F627" s="6" t="str">
        <x:v>GROWTH</x:v>
      </x:c>
      <x:c r="G627" s="17" t="n">
        <x:f>'Scoring'!I627</x:f>
        <x:v>61.5</x:v>
      </x:c>
      <x:c r="H627" s="6" t="str">
        <x:v>SUPPORT</x:v>
      </x:c>
      <x:c r="I627" s="6" t="str">
        <x:v>infiniti: Service and repair</x:v>
      </x:c>
      <x:c r="J627" s="6" t="str">
        <x:v>Secondary</x:v>
      </x:c>
      <x:c r="K627" s="6" t="str">
        <x:v>Commercial service enquiry</x:v>
      </x:c>
      <x:c r="L627" s="6" t="str">
        <x:v>High</x:v>
      </x:c>
      <x:c r="M627" s="6" t="str">
        <x:v>https://digitecme.com/brands/infiniti-service-dubai</x:v>
      </x:c>
      <x:c r="N627" s="6" t="str">
        <x:v>Unknown — export has no query/page pairing</x:v>
      </x:c>
      <x:c r="O627" s="6" t="str">
        <x:v>Retain primary intent and support variants</x:v>
      </x:c>
      <x:c r="P627" s="6" t="str">
        <x:v>Average position 34.76 makes ranking the main issue; avoid a CTR-only rewrite.</x:v>
      </x:c>
      <x:c r="Q627" s="6" t="str">
        <x:v>infiniti</x:v>
      </x:c>
      <x:c r="R627" s="6" t="str">
        <x:v>service-repair</x:v>
      </x:c>
      <x:c r="S627" s="6" t="str">
        <x:v>Dubai explicit</x:v>
      </x:c>
      <x:c r="T627" s="6" t="n">
        <x:v>3</x:v>
      </x:c>
      <x:c r="U627" s="6" t="str">
        <x:v>21–40</x:v>
      </x:c>
      <x:c r="V627" s="6" t="str">
        <x:v>Content, internal authority and owner alignment</x:v>
      </x:c>
      <x:c r="W627" s="6" t="str">
        <x:v>Relevant supporting</x:v>
      </x:c>
      <x:c r="X627" s="6" t="n">
        <x:v>623</x:v>
      </x:c>
      <x:c r="Y627" s="6" t="str">
        <x:v>Unconfirmed — joint query/page data required</x:v>
      </x:c>
    </x:row>
    <x:row r="628" ht="42" customHeight="1">
      <x:c r="A628" s="6" t="str">
        <x:v>maserati service dubai</x:v>
      </x:c>
      <x:c r="B628" s="14" t="n">
        <x:v>0</x:v>
      </x:c>
      <x:c r="C628" s="14" t="n">
        <x:v>21</x:v>
      </x:c>
      <x:c r="D628" s="15" t="n">
        <x:v>0</x:v>
      </x:c>
      <x:c r="E628" s="16" t="n">
        <x:v>34.81</x:v>
      </x:c>
      <x:c r="F628" s="6" t="str">
        <x:v>GROWTH</x:v>
      </x:c>
      <x:c r="G628" s="17" t="n">
        <x:f>'Scoring'!I628</x:f>
        <x:v>69.5</x:v>
      </x:c>
      <x:c r="H628" s="6" t="str">
        <x:v>SUPPORT</x:v>
      </x:c>
      <x:c r="I628" s="6" t="str">
        <x:v>maserati: Service and repair (English)</x:v>
      </x:c>
      <x:c r="J628" s="6" t="str">
        <x:v>Secondary</x:v>
      </x:c>
      <x:c r="K628" s="6" t="str">
        <x:v>Commercial service enquiry</x:v>
      </x:c>
      <x:c r="L628" s="6" t="str">
        <x:v>High</x:v>
      </x:c>
      <x:c r="M628" s="6" t="str">
        <x:v>https://digitecme.com/brands/maserati-service-dubai</x:v>
      </x:c>
      <x:c r="N628" s="6" t="str">
        <x:v>Unknown — export has no query/page pairing</x:v>
      </x:c>
      <x:c r="O628" s="6" t="str">
        <x:v>Retain primary intent and support variants</x:v>
      </x:c>
      <x:c r="P628" s="6" t="str">
        <x:v>Average position 34.81 makes ranking the main issue; avoid a CTR-only rewrite.</x:v>
      </x:c>
      <x:c r="Q628" s="6" t="str">
        <x:v>maserati</x:v>
      </x:c>
      <x:c r="R628" s="6" t="str">
        <x:v>service-repair</x:v>
      </x:c>
      <x:c r="S628" s="6" t="str">
        <x:v>Dubai explicit</x:v>
      </x:c>
      <x:c r="T628" s="6" t="n">
        <x:v>5</x:v>
      </x:c>
      <x:c r="U628" s="6" t="str">
        <x:v>21–40</x:v>
      </x:c>
      <x:c r="V628" s="6" t="str">
        <x:v>Content, internal authority and owner alignment</x:v>
      </x:c>
      <x:c r="W628" s="6" t="str">
        <x:v>Relevant supporting</x:v>
      </x:c>
      <x:c r="X628" s="6" t="n">
        <x:v>624</x:v>
      </x:c>
      <x:c r="Y628" s="6" t="str">
        <x:v>Unconfirmed — joint query/page data required</x:v>
      </x:c>
    </x:row>
    <x:row r="629" ht="42" customHeight="1">
      <x:c r="A629" s="6" t="str">
        <x:v>car electrical fault repair in dubai</x:v>
      </x:c>
      <x:c r="B629" s="14" t="n">
        <x:v>0</x:v>
      </x:c>
      <x:c r="C629" s="14" t="n">
        <x:v>21</x:v>
      </x:c>
      <x:c r="D629" s="15" t="n">
        <x:v>0</x:v>
      </x:c>
      <x:c r="E629" s="16" t="n">
        <x:v>48.38</x:v>
      </x:c>
      <x:c r="F629" s="6" t="str">
        <x:v>GROWTH</x:v>
      </x:c>
      <x:c r="G629" s="17" t="n">
        <x:f>'Scoring'!I629</x:f>
        <x:v>55.2</x:v>
      </x:c>
      <x:c r="H629" s="6" t="str">
        <x:v>SUPPORT</x:v>
      </x:c>
      <x:c r="I629" s="6" t="str">
        <x:v>All vehicles: Electrical repair</x:v>
      </x:c>
      <x:c r="J629" s="6" t="str">
        <x:v>Secondary</x:v>
      </x:c>
      <x:c r="K629" s="6" t="str">
        <x:v>Commercial service enquiry</x:v>
      </x:c>
      <x:c r="L629" s="6" t="str">
        <x:v>High</x:v>
      </x:c>
      <x:c r="M629" s="6" t="str">
        <x:v>https://digitecme.com/services/auto-electrical-repair-dubai</x:v>
      </x:c>
      <x:c r="N629" s="6" t="str">
        <x:v>Unknown — export has no query/page pairing</x:v>
      </x:c>
      <x:c r="O629" s="6" t="str">
        <x:v>Retain primary intent and support variants</x:v>
      </x:c>
      <x:c r="P629" s="6" t="str">
        <x:v>Average position 48.38 makes ranking the main issue; avoid a CTR-only rewrite.</x:v>
      </x:c>
      <x:c r="Q629" s="6" t="str">
        <x:v>All vehicles</x:v>
      </x:c>
      <x:c r="R629" s="6" t="str">
        <x:v>electrical-repair</x:v>
      </x:c>
      <x:c r="S629" s="6" t="str">
        <x:v>Dubai explicit</x:v>
      </x:c>
      <x:c r="T629" s="6" t="n">
        <x:v>3</x:v>
      </x:c>
      <x:c r="U629" s="6" t="str">
        <x:v>40+</x:v>
      </x:c>
      <x:c r="V629" s="6" t="str">
        <x:v>Relevance, capability, indexing and authority review</x:v>
      </x:c>
      <x:c r="W629" s="6" t="str">
        <x:v>Relevant supporting</x:v>
      </x:c>
      <x:c r="X629" s="6" t="n">
        <x:v>625</x:v>
      </x:c>
      <x:c r="Y629" s="6" t="str">
        <x:v>Unconfirmed — joint query/page data required</x:v>
      </x:c>
    </x:row>
    <x:row r="630" ht="42" customHeight="1">
      <x:c r="A630" s="6" t="str">
        <x:v>cars garage dubai</x:v>
      </x:c>
      <x:c r="B630" s="14" t="n">
        <x:v>0</x:v>
      </x:c>
      <x:c r="C630" s="14" t="n">
        <x:v>21</x:v>
      </x:c>
      <x:c r="D630" s="15" t="n">
        <x:v>0</x:v>
      </x:c>
      <x:c r="E630" s="16" t="n">
        <x:v>63</x:v>
      </x:c>
      <x:c r="F630" s="6" t="str">
        <x:v>GROWTH</x:v>
      </x:c>
      <x:c r="G630" s="17" t="n">
        <x:f>'Scoring'!I630</x:f>
        <x:v>55.2</x:v>
      </x:c>
      <x:c r="H630" s="6" t="str">
        <x:v>SUPPORT</x:v>
      </x:c>
      <x:c r="I630" s="6" t="str">
        <x:v>All vehicles: General garage and repair (English)</x:v>
      </x:c>
      <x:c r="J630" s="6" t="str">
        <x:v>Secondary</x:v>
      </x:c>
      <x:c r="K630" s="6" t="str">
        <x:v>Commercial service enquiry</x:v>
      </x:c>
      <x:c r="L630" s="6" t="str">
        <x:v>High</x:v>
      </x:c>
      <x:c r="M630" s="6" t="str">
        <x:v>https://digitecme.com/services/car-garage-dubai</x:v>
      </x:c>
      <x:c r="N630" s="6" t="str">
        <x:v>Unknown — export has no query/page pairing</x:v>
      </x:c>
      <x:c r="O630" s="6" t="str">
        <x:v>Retain primary intent and support variants</x:v>
      </x:c>
      <x:c r="P630" s="6" t="str">
        <x:v>Average position 63.00 makes ranking the main issue; avoid a CTR-only rewrite.</x:v>
      </x:c>
      <x:c r="Q630" s="6" t="str">
        <x:v>All vehicles</x:v>
      </x:c>
      <x:c r="R630" s="6" t="str">
        <x:v>service-repair</x:v>
      </x:c>
      <x:c r="S630" s="6" t="str">
        <x:v>Dubai explicit</x:v>
      </x:c>
      <x:c r="T630" s="6" t="n">
        <x:v>3</x:v>
      </x:c>
      <x:c r="U630" s="6" t="str">
        <x:v>40+</x:v>
      </x:c>
      <x:c r="V630" s="6" t="str">
        <x:v>Relevance, capability, indexing and authority review</x:v>
      </x:c>
      <x:c r="W630" s="6" t="str">
        <x:v>Relevant supporting</x:v>
      </x:c>
      <x:c r="X630" s="6" t="n">
        <x:v>626</x:v>
      </x:c>
      <x:c r="Y630" s="6" t="str">
        <x:v>Unconfirmed — joint query/page data required</x:v>
      </x:c>
    </x:row>
    <x:row r="631" ht="42" customHeight="1">
      <x:c r="A631" s="6" t="str">
        <x:v>mercedes benz air conditioning repair</x:v>
      </x:c>
      <x:c r="B631" s="14" t="n">
        <x:v>0</x:v>
      </x:c>
      <x:c r="C631" s="14" t="n">
        <x:v>20</x:v>
      </x:c>
      <x:c r="D631" s="15" t="n">
        <x:v>0</x:v>
      </x:c>
      <x:c r="E631" s="16" t="n">
        <x:v>9.8</x:v>
      </x:c>
      <x:c r="F631" s="6" t="str">
        <x:v>CRITICAL</x:v>
      </x:c>
      <x:c r="G631" s="17" t="n">
        <x:f>'Scoring'!I631</x:f>
        <x:v>89.4</x:v>
      </x:c>
      <x:c r="H631" s="6" t="str">
        <x:v>SPLIT</x:v>
      </x:c>
      <x:c r="I631" s="6" t="str">
        <x:v>mercedes-benz: AC repair</x:v>
      </x:c>
      <x:c r="J631" s="6" t="str">
        <x:v>Secondary</x:v>
      </x:c>
      <x:c r="K631" s="6" t="str">
        <x:v>Commercial service enquiry</x:v>
      </x:c>
      <x:c r="L631" s="6" t="str">
        <x:v>High</x:v>
      </x:c>
      <x:c r="M631" s="6" t="str">
        <x:v>https://digitecme.com/services/mercedes-ac-repair-dubai</x:v>
      </x:c>
      <x:c r="N631" s="6" t="str">
        <x:v>Unknown — export has no query/page pairing</x:v>
      </x:c>
      <x:c r="O631" s="6" t="str">
        <x:v>Use dedicated service owner</x:v>
      </x:c>
      <x:c r="P631" s="6" t="str">
        <x:v>Zero clicks from 20 impressions at average position 9.80; inspect query/page, country/device and SERP before attributing this to the snippet.</x:v>
      </x:c>
      <x:c r="Q631" s="6" t="str">
        <x:v>mercedes-benz</x:v>
      </x:c>
      <x:c r="R631" s="6" t="str">
        <x:v>ac-repair</x:v>
      </x:c>
      <x:c r="S631" s="6" t="str">
        <x:v>Location unspecified</x:v>
      </x:c>
      <x:c r="T631" s="6" t="n">
        <x:v>5</x:v>
      </x:c>
      <x:c r="U631" s="6" t="str">
        <x:v>4–10</x:v>
      </x:c>
      <x:c r="V631" s="6" t="str">
        <x:v>Page-one CTR review and top-three relevance</x:v>
      </x:c>
      <x:c r="W631" s="6" t="str">
        <x:v>High-value commercial</x:v>
      </x:c>
      <x:c r="X631" s="6" t="n">
        <x:v>627</x:v>
      </x:c>
      <x:c r="Y631" s="6" t="str">
        <x:v>Unconfirmed — joint query/page data required</x:v>
      </x:c>
    </x:row>
    <x:row r="632" ht="42" customHeight="1">
      <x:c r="A632" s="6" t="str">
        <x:v>chrysler oil change service</x:v>
      </x:c>
      <x:c r="B632" s="14" t="n">
        <x:v>0</x:v>
      </x:c>
      <x:c r="C632" s="14" t="n">
        <x:v>20</x:v>
      </x:c>
      <x:c r="D632" s="15" t="n">
        <x:v>0</x:v>
      </x:c>
      <x:c r="E632" s="16" t="n">
        <x:v>15.05</x:v>
      </x:c>
      <x:c r="F632" s="6" t="str">
        <x:v>HIGH</x:v>
      </x:c>
      <x:c r="G632" s="17" t="n">
        <x:f>'Scoring'!I632</x:f>
        <x:v>63.9</x:v>
      </x:c>
      <x:c r="H632" s="6" t="str">
        <x:v>SPLIT</x:v>
      </x:c>
      <x:c r="I632" s="6" t="str">
        <x:v>chrysler: Oil change</x:v>
      </x:c>
      <x:c r="J632" s="6" t="str">
        <x:v>Secondary</x:v>
      </x:c>
      <x:c r="K632" s="6" t="str">
        <x:v>Commercial service enquiry</x:v>
      </x:c>
      <x:c r="L632" s="6" t="str">
        <x:v>High</x:v>
      </x:c>
      <x:c r="M632" s="6" t="str">
        <x:v>https://digitecme.com/brands/chrysler-service-dubai/oil-change</x:v>
      </x:c>
      <x:c r="N632" s="6" t="str">
        <x:v>Unknown — export has no query/page pairing</x:v>
      </x:c>
      <x:c r="O632" s="6" t="str">
        <x:v>Use dedicated service owner</x:v>
      </x:c>
      <x:c r="P632" s="6" t="str">
        <x:v>20 impressions at average position 15.05; strengthen the appropriate intent owner and measure with a fresh comparable period.</x:v>
      </x:c>
      <x:c r="Q632" s="6" t="str">
        <x:v>chrysler</x:v>
      </x:c>
      <x:c r="R632" s="6" t="str">
        <x:v>oil-change</x:v>
      </x:c>
      <x:c r="S632" s="6" t="str">
        <x:v>Location unspecified</x:v>
      </x:c>
      <x:c r="T632" s="6" t="n">
        <x:v>3</x:v>
      </x:c>
      <x:c r="U632" s="6" t="str">
        <x:v>11–20</x:v>
      </x:c>
      <x:c r="V632" s="6" t="str">
        <x:v>Ranking and owner relevance</x:v>
      </x:c>
      <x:c r="W632" s="6" t="str">
        <x:v>High-value commercial</x:v>
      </x:c>
      <x:c r="X632" s="6" t="n">
        <x:v>628</x:v>
      </x:c>
      <x:c r="Y632" s="6" t="str">
        <x:v>Unconfirmed — joint query/page data required</x:v>
      </x:c>
    </x:row>
    <x:row r="633" ht="42" customHeight="1">
      <x:c r="A633" s="6" t="str">
        <x:v>car steering box repair</x:v>
      </x:c>
      <x:c r="B633" s="14" t="n">
        <x:v>0</x:v>
      </x:c>
      <x:c r="C633" s="14" t="n">
        <x:v>20</x:v>
      </x:c>
      <x:c r="D633" s="15" t="n">
        <x:v>0</x:v>
      </x:c>
      <x:c r="E633" s="16" t="n">
        <x:v>16.35</x:v>
      </x:c>
      <x:c r="F633" s="6" t="str">
        <x:v>HIGH</x:v>
      </x:c>
      <x:c r="G633" s="17" t="n">
        <x:f>'Scoring'!I633</x:f>
        <x:v>63.9</x:v>
      </x:c>
      <x:c r="H633" s="6" t="str">
        <x:v>SUPPORT</x:v>
      </x:c>
      <x:c r="I633" s="6" t="str">
        <x:v>All vehicles: Steering repair</x:v>
      </x:c>
      <x:c r="J633" s="6" t="str">
        <x:v>Secondary</x:v>
      </x:c>
      <x:c r="K633" s="6" t="str">
        <x:v>Commercial service enquiry</x:v>
      </x:c>
      <x:c r="L633" s="6" t="str">
        <x:v>High</x:v>
      </x:c>
      <x:c r="M633" s="6" t="str">
        <x:v>https://digitecme.com/services/steering-repair-dubai</x:v>
      </x:c>
      <x:c r="N633" s="6" t="str">
        <x:v>Unknown — export has no query/page pairing</x:v>
      </x:c>
      <x:c r="O633" s="6" t="str">
        <x:v>Retain primary intent and support variants</x:v>
      </x:c>
      <x:c r="P633" s="6" t="str">
        <x:v>20 impressions at average position 16.35; strengthen the appropriate intent owner and measure with a fresh comparable period.</x:v>
      </x:c>
      <x:c r="Q633" s="6" t="str">
        <x:v>All vehicles</x:v>
      </x:c>
      <x:c r="R633" s="6" t="str">
        <x:v>steering-repair</x:v>
      </x:c>
      <x:c r="S633" s="6" t="str">
        <x:v>Location unspecified</x:v>
      </x:c>
      <x:c r="T633" s="6" t="n">
        <x:v>3</x:v>
      </x:c>
      <x:c r="U633" s="6" t="str">
        <x:v>11–20</x:v>
      </x:c>
      <x:c r="V633" s="6" t="str">
        <x:v>Ranking and owner relevance</x:v>
      </x:c>
      <x:c r="W633" s="6" t="str">
        <x:v>Relevant supporting</x:v>
      </x:c>
      <x:c r="X633" s="6" t="n">
        <x:v>629</x:v>
      </x:c>
      <x:c r="Y633" s="6" t="str">
        <x:v>Unconfirmed — joint query/page data required</x:v>
      </x:c>
    </x:row>
    <x:row r="634" ht="42" customHeight="1">
      <x:c r="A634" s="6" t="str">
        <x:v>land rover transmission repair</x:v>
      </x:c>
      <x:c r="B634" s="14" t="n">
        <x:v>0</x:v>
      </x:c>
      <x:c r="C634" s="14" t="n">
        <x:v>20</x:v>
      </x:c>
      <x:c r="D634" s="15" t="n">
        <x:v>0</x:v>
      </x:c>
      <x:c r="E634" s="16" t="n">
        <x:v>18.45</x:v>
      </x:c>
      <x:c r="F634" s="6" t="str">
        <x:v>HIGH</x:v>
      </x:c>
      <x:c r="G634" s="17" t="n">
        <x:f>'Scoring'!I634</x:f>
        <x:v>71.9</x:v>
      </x:c>
      <x:c r="H634" s="6" t="str">
        <x:v>SPLIT</x:v>
      </x:c>
      <x:c r="I634" s="6" t="str">
        <x:v>land-rover: Transmission and gearbox repair</x:v>
      </x:c>
      <x:c r="J634" s="6" t="str">
        <x:v>Secondary</x:v>
      </x:c>
      <x:c r="K634" s="6" t="str">
        <x:v>Commercial service enquiry</x:v>
      </x:c>
      <x:c r="L634" s="6" t="str">
        <x:v>High</x:v>
      </x:c>
      <x:c r="M634" s="6" t="str">
        <x:v>https://digitecme.com/brands/land-rover-service-dubai/transmission-repair</x:v>
      </x:c>
      <x:c r="N634" s="6" t="str">
        <x:v>Unknown — export has no query/page pairing</x:v>
      </x:c>
      <x:c r="O634" s="6" t="str">
        <x:v>Use dedicated service owner</x:v>
      </x:c>
      <x:c r="P634" s="6" t="str">
        <x:v>20 impressions at average position 18.45; strengthen the appropriate intent owner and measure with a fresh comparable period.</x:v>
      </x:c>
      <x:c r="Q634" s="6" t="str">
        <x:v>land-rover</x:v>
      </x:c>
      <x:c r="R634" s="6" t="str">
        <x:v>transmission-repair</x:v>
      </x:c>
      <x:c r="S634" s="6" t="str">
        <x:v>Location unspecified</x:v>
      </x:c>
      <x:c r="T634" s="6" t="n">
        <x:v>5</x:v>
      </x:c>
      <x:c r="U634" s="6" t="str">
        <x:v>11–20</x:v>
      </x:c>
      <x:c r="V634" s="6" t="str">
        <x:v>Ranking and owner relevance</x:v>
      </x:c>
      <x:c r="W634" s="6" t="str">
        <x:v>High-value commercial</x:v>
      </x:c>
      <x:c r="X634" s="6" t="n">
        <x:v>630</x:v>
      </x:c>
      <x:c r="Y634" s="6" t="str">
        <x:v>Unconfirmed — joint query/page data required</x:v>
      </x:c>
    </x:row>
    <x:row r="635" ht="42" customHeight="1">
      <x:c r="A635" s="6" t="str">
        <x:v>mercedes repair shop near me</x:v>
      </x:c>
      <x:c r="B635" s="14" t="n">
        <x:v>0</x:v>
      </x:c>
      <x:c r="C635" s="14" t="n">
        <x:v>20</x:v>
      </x:c>
      <x:c r="D635" s="15" t="n">
        <x:v>0</x:v>
      </x:c>
      <x:c r="E635" s="16" t="n">
        <x:v>21.6</x:v>
      </x:c>
      <x:c r="F635" s="6" t="str">
        <x:v>HIGH</x:v>
      </x:c>
      <x:c r="G635" s="17" t="n">
        <x:f>'Scoring'!I635</x:f>
        <x:v>76.9</x:v>
      </x:c>
      <x:c r="H635" s="6" t="str">
        <x:v>SUPPORT</x:v>
      </x:c>
      <x:c r="I635" s="6" t="str">
        <x:v>mercedes-benz: Service and repair (English)</x:v>
      </x:c>
      <x:c r="J635" s="6" t="str">
        <x:v>Secondary</x:v>
      </x:c>
      <x:c r="K635" s="6" t="str">
        <x:v>Commercial service enquiry</x:v>
      </x:c>
      <x:c r="L635" s="6" t="str">
        <x:v>High</x:v>
      </x:c>
      <x:c r="M635" s="6" t="str">
        <x:v>https://digitecme.com/brands/mercedes-benz-service-dubai</x:v>
      </x:c>
      <x:c r="N635" s="6" t="str">
        <x:v>Unknown — export has no query/page pairing</x:v>
      </x:c>
      <x:c r="O635" s="6" t="str">
        <x:v>Retain primary intent and support variants</x:v>
      </x:c>
      <x:c r="P635" s="6" t="str">
        <x:v>Average position 21.60 makes ranking the main issue; avoid a CTR-only rewrite.</x:v>
      </x:c>
      <x:c r="Q635" s="6" t="str">
        <x:v>mercedes-benz</x:v>
      </x:c>
      <x:c r="R635" s="6" t="str">
        <x:v>service-repair</x:v>
      </x:c>
      <x:c r="S635" s="6" t="str">
        <x:v>Near me; location unknown</x:v>
      </x:c>
      <x:c r="T635" s="6" t="n">
        <x:v>5</x:v>
      </x:c>
      <x:c r="U635" s="6" t="str">
        <x:v>21–40</x:v>
      </x:c>
      <x:c r="V635" s="6" t="str">
        <x:v>Content, internal authority and owner alignment</x:v>
      </x:c>
      <x:c r="W635" s="6" t="str">
        <x:v>Relevant supporting</x:v>
      </x:c>
      <x:c r="X635" s="6" t="n">
        <x:v>631</x:v>
      </x:c>
      <x:c r="Y635" s="6" t="str">
        <x:v>Unconfirmed — joint query/page data required</x:v>
      </x:c>
    </x:row>
    <x:row r="636" ht="42" customHeight="1">
      <x:c r="A636" s="6" t="str">
        <x:v>mercedes electrical repair</x:v>
      </x:c>
      <x:c r="B636" s="14" t="n">
        <x:v>0</x:v>
      </x:c>
      <x:c r="C636" s="14" t="n">
        <x:v>20</x:v>
      </x:c>
      <x:c r="D636" s="15" t="n">
        <x:v>0</x:v>
      </x:c>
      <x:c r="E636" s="16" t="n">
        <x:v>24.2</x:v>
      </x:c>
      <x:c r="F636" s="6" t="str">
        <x:v>HIGH</x:v>
      </x:c>
      <x:c r="G636" s="17" t="n">
        <x:f>'Scoring'!I636</x:f>
        <x:v>71.9</x:v>
      </x:c>
      <x:c r="H636" s="6" t="str">
        <x:v>SPLIT</x:v>
      </x:c>
      <x:c r="I636" s="6" t="str">
        <x:v>mercedes-benz: Electrical repair</x:v>
      </x:c>
      <x:c r="J636" s="6" t="str">
        <x:v>Primary</x:v>
      </x:c>
      <x:c r="K636" s="6" t="str">
        <x:v>Commercial service enquiry</x:v>
      </x:c>
      <x:c r="L636" s="6" t="str">
        <x:v>High</x:v>
      </x:c>
      <x:c r="M636" s="6" t="str">
        <x:v>https://digitecme.com/services/mercedes-electrical-repair-dubai</x:v>
      </x:c>
      <x:c r="N636" s="6" t="str">
        <x:v>Unknown — export has no query/page pairing</x:v>
      </x:c>
      <x:c r="O636" s="6" t="str">
        <x:v>Use dedicated service owner</x:v>
      </x:c>
      <x:c r="P636" s="6" t="str">
        <x:v>Average position 24.20 makes ranking the main issue; avoid a CTR-only rewrite.</x:v>
      </x:c>
      <x:c r="Q636" s="6" t="str">
        <x:v>mercedes-benz</x:v>
      </x:c>
      <x:c r="R636" s="6" t="str">
        <x:v>electrical-repair</x:v>
      </x:c>
      <x:c r="S636" s="6" t="str">
        <x:v>Location unspecified</x:v>
      </x:c>
      <x:c r="T636" s="6" t="n">
        <x:v>5</x:v>
      </x:c>
      <x:c r="U636" s="6" t="str">
        <x:v>21–40</x:v>
      </x:c>
      <x:c r="V636" s="6" t="str">
        <x:v>Content, internal authority and owner alignment</x:v>
      </x:c>
      <x:c r="W636" s="6" t="str">
        <x:v>High-value commercial</x:v>
      </x:c>
      <x:c r="X636" s="6" t="n">
        <x:v>632</x:v>
      </x:c>
      <x:c r="Y636" s="6" t="str">
        <x:v>Unconfirmed — joint query/page data required</x:v>
      </x:c>
    </x:row>
    <x:row r="637" ht="57" customHeight="1">
      <x:c r="A637" s="6" t="str">
        <x:v>porsche 911 repair dubai</x:v>
      </x:c>
      <x:c r="B637" s="14" t="n">
        <x:v>0</x:v>
      </x:c>
      <x:c r="C637" s="14" t="n">
        <x:v>20</x:v>
      </x:c>
      <x:c r="D637" s="15" t="n">
        <x:v>0</x:v>
      </x:c>
      <x:c r="E637" s="16" t="n">
        <x:v>25.5</x:v>
      </x:c>
      <x:c r="F637" s="6" t="str">
        <x:v>HIGH</x:v>
      </x:c>
      <x:c r="G637" s="17" t="n">
        <x:f>'Scoring'!I637</x:f>
        <x:v>76.9</x:v>
      </x:c>
      <x:c r="H637" s="6" t="str">
        <x:v>SUPPORT</x:v>
      </x:c>
      <x:c r="I637" s="6" t="str">
        <x:v>porsche: 911 service and model variants</x:v>
      </x:c>
      <x:c r="J637" s="6" t="str">
        <x:v>Secondary</x:v>
      </x:c>
      <x:c r="K637" s="6" t="str">
        <x:v>Commercial service enquiry</x:v>
      </x:c>
      <x:c r="L637" s="6" t="str">
        <x:v>High</x:v>
      </x:c>
      <x:c r="M637" s="6" t="str">
        <x:v>https://digitecme.com/blog/porsche-911-service-dubai-guide</x:v>
      </x:c>
      <x:c r="N637" s="6" t="str">
        <x:v>Unknown — export has no query/page pairing</x:v>
      </x:c>
      <x:c r="O637" s="6" t="str">
        <x:v>Retain primary intent and support variants</x:v>
      </x:c>
      <x:c r="P637" s="6" t="str">
        <x:v>Support the existing 911 page with model-specific sections; no separate Targa/Carrera/GT3 page justified by this export. Average position 25.50 makes ranking the main issue; avoid a CTR-only rewrite.</x:v>
      </x:c>
      <x:c r="Q637" s="6" t="str">
        <x:v>porsche</x:v>
      </x:c>
      <x:c r="R637" s="6" t="str">
        <x:v>service-repair</x:v>
      </x:c>
      <x:c r="S637" s="6" t="str">
        <x:v>Dubai explicit</x:v>
      </x:c>
      <x:c r="T637" s="6" t="n">
        <x:v>5</x:v>
      </x:c>
      <x:c r="U637" s="6" t="str">
        <x:v>21–40</x:v>
      </x:c>
      <x:c r="V637" s="6" t="str">
        <x:v>Content, internal authority and owner alignment</x:v>
      </x:c>
      <x:c r="W637" s="6" t="str">
        <x:v>Relevant supporting</x:v>
      </x:c>
      <x:c r="X637" s="6" t="n">
        <x:v>633</x:v>
      </x:c>
      <x:c r="Y637" s="6" t="str">
        <x:v>Unconfirmed — joint query/page data required</x:v>
      </x:c>
    </x:row>
    <x:row r="638" ht="57" customHeight="1">
      <x:c r="A638" s="6" t="str">
        <x:v>lotus engine repair dubai</x:v>
      </x:c>
      <x:c r="B638" s="14" t="n">
        <x:v>0</x:v>
      </x:c>
      <x:c r="C638" s="14" t="n">
        <x:v>20</x:v>
      </x:c>
      <x:c r="D638" s="15" t="n">
        <x:v>0</x:v>
      </x:c>
      <x:c r="E638" s="16" t="n">
        <x:v>26.3</x:v>
      </x:c>
      <x:c r="F638" s="6" t="str">
        <x:v>HIGH</x:v>
      </x:c>
      <x:c r="G638" s="17" t="n">
        <x:f>'Scoring'!I638</x:f>
        <x:v>76.9</x:v>
      </x:c>
      <x:c r="H638" s="6" t="str">
        <x:v>SPLIT</x:v>
      </x:c>
      <x:c r="I638" s="6" t="str">
        <x:v>lotus: Engine and mechanical repair</x:v>
      </x:c>
      <x:c r="J638" s="6" t="str">
        <x:v>Primary</x:v>
      </x:c>
      <x:c r="K638" s="6" t="str">
        <x:v>Commercial service enquiry</x:v>
      </x:c>
      <x:c r="L638" s="6" t="str">
        <x:v>High</x:v>
      </x:c>
      <x:c r="M638" s="6" t="str">
        <x:v>https://digitecme.com/brands/lotus-service-dubai</x:v>
      </x:c>
      <x:c r="N638" s="6" t="str">
        <x:v>Unknown — export has no query/page pairing</x:v>
      </x:c>
      <x:c r="O638" s="6" t="str">
        <x:v>Use dedicated service owner</x:v>
      </x:c>
      <x:c r="P638" s="6" t="str">
        <x:v>No existing specific indexable owner established; use a relevant hub section and confirm demand before a new page. Average position 26.30 makes ranking the main issue; avoid a CTR-only rewrite.</x:v>
      </x:c>
      <x:c r="Q638" s="6" t="str">
        <x:v>lotus</x:v>
      </x:c>
      <x:c r="R638" s="6" t="str">
        <x:v>mechanical-repair</x:v>
      </x:c>
      <x:c r="S638" s="6" t="str">
        <x:v>Dubai explicit</x:v>
      </x:c>
      <x:c r="T638" s="6" t="n">
        <x:v>5</x:v>
      </x:c>
      <x:c r="U638" s="6" t="str">
        <x:v>21–40</x:v>
      </x:c>
      <x:c r="V638" s="6" t="str">
        <x:v>Content, internal authority and owner alignment</x:v>
      </x:c>
      <x:c r="W638" s="6" t="str">
        <x:v>High-value commercial</x:v>
      </x:c>
      <x:c r="X638" s="6" t="n">
        <x:v>634</x:v>
      </x:c>
      <x:c r="Y638" s="6" t="str">
        <x:v>Unconfirmed — joint query/page data required</x:v>
      </x:c>
    </x:row>
    <x:row r="639" ht="42" customHeight="1">
      <x:c r="A639" s="6" t="str">
        <x:v>porsche clutch repair dubai</x:v>
      </x:c>
      <x:c r="B639" s="14" t="n">
        <x:v>0</x:v>
      </x:c>
      <x:c r="C639" s="14" t="n">
        <x:v>20</x:v>
      </x:c>
      <x:c r="D639" s="15" t="n">
        <x:v>0</x:v>
      </x:c>
      <x:c r="E639" s="16" t="n">
        <x:v>28.6</x:v>
      </x:c>
      <x:c r="F639" s="6" t="str">
        <x:v>HIGH</x:v>
      </x:c>
      <x:c r="G639" s="17" t="n">
        <x:f>'Scoring'!I639</x:f>
        <x:v>76.9</x:v>
      </x:c>
      <x:c r="H639" s="6" t="str">
        <x:v>SPLIT</x:v>
      </x:c>
      <x:c r="I639" s="6" t="str">
        <x:v>porsche: Transmission and gearbox repair</x:v>
      </x:c>
      <x:c r="J639" s="6" t="str">
        <x:v>Secondary</x:v>
      </x:c>
      <x:c r="K639" s="6" t="str">
        <x:v>Commercial service enquiry</x:v>
      </x:c>
      <x:c r="L639" s="6" t="str">
        <x:v>High</x:v>
      </x:c>
      <x:c r="M639" s="6" t="str">
        <x:v>https://digitecme.com/brands/porsche-service-dubai/transmission-repair</x:v>
      </x:c>
      <x:c r="N639" s="6" t="str">
        <x:v>Unknown — export has no query/page pairing</x:v>
      </x:c>
      <x:c r="O639" s="6" t="str">
        <x:v>Use dedicated service owner</x:v>
      </x:c>
      <x:c r="P639" s="6" t="str">
        <x:v>Average position 28.60 makes ranking the main issue; avoid a CTR-only rewrite.</x:v>
      </x:c>
      <x:c r="Q639" s="6" t="str">
        <x:v>porsche</x:v>
      </x:c>
      <x:c r="R639" s="6" t="str">
        <x:v>transmission-repair</x:v>
      </x:c>
      <x:c r="S639" s="6" t="str">
        <x:v>Dubai explicit</x:v>
      </x:c>
      <x:c r="T639" s="6" t="n">
        <x:v>5</x:v>
      </x:c>
      <x:c r="U639" s="6" t="str">
        <x:v>21–40</x:v>
      </x:c>
      <x:c r="V639" s="6" t="str">
        <x:v>Content, internal authority and owner alignment</x:v>
      </x:c>
      <x:c r="W639" s="6" t="str">
        <x:v>High-value commercial</x:v>
      </x:c>
      <x:c r="X639" s="6" t="n">
        <x:v>635</x:v>
      </x:c>
      <x:c r="Y639" s="6" t="str">
        <x:v>Unconfirmed — joint query/page data required</x:v>
      </x:c>
    </x:row>
    <x:row r="640" ht="57" customHeight="1">
      <x:c r="A640" s="6" t="str">
        <x:v>hummer transmission repair dubai</x:v>
      </x:c>
      <x:c r="B640" s="14" t="n">
        <x:v>0</x:v>
      </x:c>
      <x:c r="C640" s="14" t="n">
        <x:v>20</x:v>
      </x:c>
      <x:c r="D640" s="15" t="n">
        <x:v>0</x:v>
      </x:c>
      <x:c r="E640" s="16" t="n">
        <x:v>29.2</x:v>
      </x:c>
      <x:c r="F640" s="6" t="str">
        <x:v>HIGH</x:v>
      </x:c>
      <x:c r="G640" s="17" t="n">
        <x:f>'Scoring'!I640</x:f>
        <x:v>39.9</x:v>
      </x:c>
      <x:c r="H640" s="6" t="str">
        <x:v>SPLIT</x:v>
      </x:c>
      <x:c r="I640" s="6" t="str">
        <x:v>hummer: Transmission and gearbox repair</x:v>
      </x:c>
      <x:c r="J640" s="6" t="str">
        <x:v>Primary</x:v>
      </x:c>
      <x:c r="K640" s="6" t="str">
        <x:v>Commercial service enquiry</x:v>
      </x:c>
      <x:c r="L640" s="6" t="str">
        <x:v>Medium</x:v>
      </x:c>
      <x:c r="M640" s="6" t="str">
        <x:v>https://digitecme.com/brands/hummer-service-dubai/transmission-repair</x:v>
      </x:c>
      <x:c r="N640" s="6" t="str">
        <x:v>Unknown — export has no query/page pairing</x:v>
      </x:c>
      <x:c r="O640" s="6" t="str">
        <x:v>Use dedicated service owner</x:v>
      </x:c>
      <x:c r="P640" s="6" t="str">
        <x:v>Existing specific page is noindex; assess service evidence and distinct content before changing indexation. Average position 29.20 makes ranking the main issue; avoid a CTR-only rewrite.</x:v>
      </x:c>
      <x:c r="Q640" s="6" t="str">
        <x:v>hummer</x:v>
      </x:c>
      <x:c r="R640" s="6" t="str">
        <x:v>transmission-repair</x:v>
      </x:c>
      <x:c r="S640" s="6" t="str">
        <x:v>Dubai explicit</x:v>
      </x:c>
      <x:c r="T640" s="6" t="n">
        <x:v>3</x:v>
      </x:c>
      <x:c r="U640" s="6" t="str">
        <x:v>21–40</x:v>
      </x:c>
      <x:c r="V640" s="6" t="str">
        <x:v>Content, internal authority and owner alignment</x:v>
      </x:c>
      <x:c r="W640" s="6" t="str">
        <x:v>High-value commercial</x:v>
      </x:c>
      <x:c r="X640" s="6" t="n">
        <x:v>636</x:v>
      </x:c>
      <x:c r="Y640" s="6" t="str">
        <x:v>Unconfirmed — joint query/page data required</x:v>
      </x:c>
    </x:row>
    <x:row r="641" ht="57" customHeight="1">
      <x:c r="A641" s="6" t="str">
        <x:v>volkswagen dsg oil change</x:v>
      </x:c>
      <x:c r="B641" s="14" t="n">
        <x:v>0</x:v>
      </x:c>
      <x:c r="C641" s="14" t="n">
        <x:v>20</x:v>
      </x:c>
      <x:c r="D641" s="15" t="n">
        <x:v>0</x:v>
      </x:c>
      <x:c r="E641" s="16" t="n">
        <x:v>30.1</x:v>
      </x:c>
      <x:c r="F641" s="6" t="str">
        <x:v>GROWTH</x:v>
      </x:c>
      <x:c r="G641" s="17" t="n">
        <x:f>'Scoring'!I641</x:f>
        <x:v>31.8</x:v>
      </x:c>
      <x:c r="H641" s="6" t="str">
        <x:v>SPLIT</x:v>
      </x:c>
      <x:c r="I641" s="6" t="str">
        <x:v>volkswagen: Transmission and gearbox repair</x:v>
      </x:c>
      <x:c r="J641" s="6" t="str">
        <x:v>Secondary</x:v>
      </x:c>
      <x:c r="K641" s="6" t="str">
        <x:v>Commercial service enquiry</x:v>
      </x:c>
      <x:c r="L641" s="6" t="str">
        <x:v>Medium</x:v>
      </x:c>
      <x:c r="M641" s="6" t="str">
        <x:v>https://digitecme.com/brands/volkswagen-service-dubai/transmission-repair</x:v>
      </x:c>
      <x:c r="N641" s="6" t="str">
        <x:v>Unknown — export has no query/page pairing</x:v>
      </x:c>
      <x:c r="O641" s="6" t="str">
        <x:v>Use dedicated service owner</x:v>
      </x:c>
      <x:c r="P641" s="6" t="str">
        <x:v>Existing specific page is noindex; assess service evidence and distinct content before changing indexation. Average position 30.10 makes ranking the main issue; avoid a CTR-only rewrite.</x:v>
      </x:c>
      <x:c r="Q641" s="6" t="str">
        <x:v>volkswagen</x:v>
      </x:c>
      <x:c r="R641" s="6" t="str">
        <x:v>transmission-repair</x:v>
      </x:c>
      <x:c r="S641" s="6" t="str">
        <x:v>Location unspecified</x:v>
      </x:c>
      <x:c r="T641" s="6" t="n">
        <x:v>3</x:v>
      </x:c>
      <x:c r="U641" s="6" t="str">
        <x:v>21–40</x:v>
      </x:c>
      <x:c r="V641" s="6" t="str">
        <x:v>Content, internal authority and owner alignment</x:v>
      </x:c>
      <x:c r="W641" s="6" t="str">
        <x:v>High-value commercial</x:v>
      </x:c>
      <x:c r="X641" s="6" t="n">
        <x:v>637</x:v>
      </x:c>
      <x:c r="Y641" s="6" t="str">
        <x:v>Unconfirmed — joint query/page data required</x:v>
      </x:c>
    </x:row>
    <x:row r="642" ht="42" customHeight="1">
      <x:c r="A642" s="6" t="str">
        <x:v>lincoln service dubai</x:v>
      </x:c>
      <x:c r="B642" s="14" t="n">
        <x:v>0</x:v>
      </x:c>
      <x:c r="C642" s="14" t="n">
        <x:v>20</x:v>
      </x:c>
      <x:c r="D642" s="15" t="n">
        <x:v>0</x:v>
      </x:c>
      <x:c r="E642" s="16" t="n">
        <x:v>30.5</x:v>
      </x:c>
      <x:c r="F642" s="6" t="str">
        <x:v>GROWTH</x:v>
      </x:c>
      <x:c r="G642" s="17" t="n">
        <x:f>'Scoring'!I642</x:f>
        <x:v>61.4</x:v>
      </x:c>
      <x:c r="H642" s="6" t="str">
        <x:v>PRIORITIZE</x:v>
      </x:c>
      <x:c r="I642" s="6" t="str">
        <x:v>lincoln: Service and repair (English)</x:v>
      </x:c>
      <x:c r="J642" s="6" t="str">
        <x:v>Primary</x:v>
      </x:c>
      <x:c r="K642" s="6" t="str">
        <x:v>Commercial service enquiry</x:v>
      </x:c>
      <x:c r="L642" s="6" t="str">
        <x:v>High</x:v>
      </x:c>
      <x:c r="M642" s="6" t="str">
        <x:v>https://digitecme.com/brands/lincoln-service-dubai</x:v>
      </x:c>
      <x:c r="N642" s="6" t="str">
        <x:v>Unknown — export has no query/page pairing</x:v>
      </x:c>
      <x:c r="O642" s="6" t="str">
        <x:v>Strengthen this primary intent owner</x:v>
      </x:c>
      <x:c r="P642" s="6" t="str">
        <x:v>Average position 30.50 makes ranking the main issue; avoid a CTR-only rewrite.</x:v>
      </x:c>
      <x:c r="Q642" s="6" t="str">
        <x:v>lincoln</x:v>
      </x:c>
      <x:c r="R642" s="6" t="str">
        <x:v>service-repair</x:v>
      </x:c>
      <x:c r="S642" s="6" t="str">
        <x:v>Dubai explicit</x:v>
      </x:c>
      <x:c r="T642" s="6" t="n">
        <x:v>3</x:v>
      </x:c>
      <x:c r="U642" s="6" t="str">
        <x:v>21–40</x:v>
      </x:c>
      <x:c r="V642" s="6" t="str">
        <x:v>Content, internal authority and owner alignment</x:v>
      </x:c>
      <x:c r="W642" s="6" t="str">
        <x:v>High-value commercial</x:v>
      </x:c>
      <x:c r="X642" s="6" t="n">
        <x:v>638</x:v>
      </x:c>
      <x:c r="Y642" s="6" t="str">
        <x:v>Unconfirmed — joint query/page data required</x:v>
      </x:c>
    </x:row>
    <x:row r="643" ht="42" customHeight="1">
      <x:c r="A643" s="6" t="str">
        <x:v>porsche suspension repair</x:v>
      </x:c>
      <x:c r="B643" s="14" t="n">
        <x:v>0</x:v>
      </x:c>
      <x:c r="C643" s="14" t="n">
        <x:v>20</x:v>
      </x:c>
      <x:c r="D643" s="15" t="n">
        <x:v>0</x:v>
      </x:c>
      <x:c r="E643" s="16" t="n">
        <x:v>32.2</x:v>
      </x:c>
      <x:c r="F643" s="6" t="str">
        <x:v>GROWTH</x:v>
      </x:c>
      <x:c r="G643" s="17" t="n">
        <x:f>'Scoring'!I643</x:f>
        <x:v>64.4</x:v>
      </x:c>
      <x:c r="H643" s="6" t="str">
        <x:v>SPLIT</x:v>
      </x:c>
      <x:c r="I643" s="6" t="str">
        <x:v>porsche: Suspension repair</x:v>
      </x:c>
      <x:c r="J643" s="6" t="str">
        <x:v>Secondary</x:v>
      </x:c>
      <x:c r="K643" s="6" t="str">
        <x:v>Commercial service enquiry</x:v>
      </x:c>
      <x:c r="L643" s="6" t="str">
        <x:v>High</x:v>
      </x:c>
      <x:c r="M643" s="6" t="str">
        <x:v>https://digitecme.com/brands/porsche-service-dubai/suspension-repair</x:v>
      </x:c>
      <x:c r="N643" s="6" t="str">
        <x:v>Unknown — export has no query/page pairing</x:v>
      </x:c>
      <x:c r="O643" s="6" t="str">
        <x:v>Use dedicated service owner</x:v>
      </x:c>
      <x:c r="P643" s="6" t="str">
        <x:v>Average position 32.20 makes ranking the main issue; avoid a CTR-only rewrite.</x:v>
      </x:c>
      <x:c r="Q643" s="6" t="str">
        <x:v>porsche</x:v>
      </x:c>
      <x:c r="R643" s="6" t="str">
        <x:v>suspension-repair</x:v>
      </x:c>
      <x:c r="S643" s="6" t="str">
        <x:v>Location unspecified</x:v>
      </x:c>
      <x:c r="T643" s="6" t="n">
        <x:v>5</x:v>
      </x:c>
      <x:c r="U643" s="6" t="str">
        <x:v>21–40</x:v>
      </x:c>
      <x:c r="V643" s="6" t="str">
        <x:v>Content, internal authority and owner alignment</x:v>
      </x:c>
      <x:c r="W643" s="6" t="str">
        <x:v>High-value commercial</x:v>
      </x:c>
      <x:c r="X643" s="6" t="n">
        <x:v>639</x:v>
      </x:c>
      <x:c r="Y643" s="6" t="str">
        <x:v>Unconfirmed — joint query/page data required</x:v>
      </x:c>
    </x:row>
    <x:row r="644" ht="42" customHeight="1">
      <x:c r="A644" s="6" t="str">
        <x:v>mercedes car service</x:v>
      </x:c>
      <x:c r="B644" s="14" t="n">
        <x:v>0</x:v>
      </x:c>
      <x:c r="C644" s="14" t="n">
        <x:v>20</x:v>
      </x:c>
      <x:c r="D644" s="15" t="n">
        <x:v>0</x:v>
      </x:c>
      <x:c r="E644" s="16" t="n">
        <x:v>32.65</x:v>
      </x:c>
      <x:c r="F644" s="6" t="str">
        <x:v>GROWTH</x:v>
      </x:c>
      <x:c r="G644" s="17" t="n">
        <x:f>'Scoring'!I644</x:f>
        <x:v>64.4</x:v>
      </x:c>
      <x:c r="H644" s="6" t="str">
        <x:v>SUPPORT</x:v>
      </x:c>
      <x:c r="I644" s="6" t="str">
        <x:v>mercedes-benz: Service and repair (English)</x:v>
      </x:c>
      <x:c r="J644" s="6" t="str">
        <x:v>Secondary</x:v>
      </x:c>
      <x:c r="K644" s="6" t="str">
        <x:v>Commercial service enquiry</x:v>
      </x:c>
      <x:c r="L644" s="6" t="str">
        <x:v>High</x:v>
      </x:c>
      <x:c r="M644" s="6" t="str">
        <x:v>https://digitecme.com/brands/mercedes-benz-service-dubai</x:v>
      </x:c>
      <x:c r="N644" s="6" t="str">
        <x:v>Unknown — export has no query/page pairing</x:v>
      </x:c>
      <x:c r="O644" s="6" t="str">
        <x:v>Retain primary intent and support variants</x:v>
      </x:c>
      <x:c r="P644" s="6" t="str">
        <x:v>Average position 32.65 makes ranking the main issue; avoid a CTR-only rewrite.</x:v>
      </x:c>
      <x:c r="Q644" s="6" t="str">
        <x:v>mercedes-benz</x:v>
      </x:c>
      <x:c r="R644" s="6" t="str">
        <x:v>service-repair</x:v>
      </x:c>
      <x:c r="S644" s="6" t="str">
        <x:v>Location unspecified</x:v>
      </x:c>
      <x:c r="T644" s="6" t="n">
        <x:v>5</x:v>
      </x:c>
      <x:c r="U644" s="6" t="str">
        <x:v>21–40</x:v>
      </x:c>
      <x:c r="V644" s="6" t="str">
        <x:v>Content, internal authority and owner alignment</x:v>
      </x:c>
      <x:c r="W644" s="6" t="str">
        <x:v>Relevant supporting</x:v>
      </x:c>
      <x:c r="X644" s="6" t="n">
        <x:v>640</x:v>
      </x:c>
      <x:c r="Y644" s="6" t="str">
        <x:v>Unconfirmed — joint query/page data required</x:v>
      </x:c>
    </x:row>
    <x:row r="645" ht="42" customHeight="1">
      <x:c r="A645" s="6" t="str">
        <x:v>nissan near me service</x:v>
      </x:c>
      <x:c r="B645" s="14" t="n">
        <x:v>0</x:v>
      </x:c>
      <x:c r="C645" s="14" t="n">
        <x:v>20</x:v>
      </x:c>
      <x:c r="D645" s="15" t="n">
        <x:v>0</x:v>
      </x:c>
      <x:c r="E645" s="16" t="n">
        <x:v>34.7</x:v>
      </x:c>
      <x:c r="F645" s="6" t="str">
        <x:v>GROWTH</x:v>
      </x:c>
      <x:c r="G645" s="17" t="n">
        <x:f>'Scoring'!I645</x:f>
        <x:v>61.4</x:v>
      </x:c>
      <x:c r="H645" s="6" t="str">
        <x:v>SUPPORT</x:v>
      </x:c>
      <x:c r="I645" s="6" t="str">
        <x:v>nissan: Service and repair</x:v>
      </x:c>
      <x:c r="J645" s="6" t="str">
        <x:v>Secondary</x:v>
      </x:c>
      <x:c r="K645" s="6" t="str">
        <x:v>Commercial service enquiry</x:v>
      </x:c>
      <x:c r="L645" s="6" t="str">
        <x:v>High</x:v>
      </x:c>
      <x:c r="M645" s="6" t="str">
        <x:v>https://digitecme.com/brands/nissan-service-dubai</x:v>
      </x:c>
      <x:c r="N645" s="6" t="str">
        <x:v>Unknown — export has no query/page pairing</x:v>
      </x:c>
      <x:c r="O645" s="6" t="str">
        <x:v>Retain primary intent and support variants</x:v>
      </x:c>
      <x:c r="P645" s="6" t="str">
        <x:v>Average position 34.70 makes ranking the main issue; avoid a CTR-only rewrite.</x:v>
      </x:c>
      <x:c r="Q645" s="6" t="str">
        <x:v>nissan</x:v>
      </x:c>
      <x:c r="R645" s="6" t="str">
        <x:v>service-repair</x:v>
      </x:c>
      <x:c r="S645" s="6" t="str">
        <x:v>Near me; location unknown</x:v>
      </x:c>
      <x:c r="T645" s="6" t="n">
        <x:v>3</x:v>
      </x:c>
      <x:c r="U645" s="6" t="str">
        <x:v>21–40</x:v>
      </x:c>
      <x:c r="V645" s="6" t="str">
        <x:v>Content, internal authority and owner alignment</x:v>
      </x:c>
      <x:c r="W645" s="6" t="str">
        <x:v>Relevant supporting</x:v>
      </x:c>
      <x:c r="X645" s="6" t="n">
        <x:v>641</x:v>
      </x:c>
      <x:c r="Y645" s="6" t="str">
        <x:v>Unconfirmed — joint query/page data required</x:v>
      </x:c>
    </x:row>
    <x:row r="646" ht="42" customHeight="1">
      <x:c r="A646" s="6" t="str">
        <x:v>cadillac maintenance dubai</x:v>
      </x:c>
      <x:c r="B646" s="14" t="n">
        <x:v>0</x:v>
      </x:c>
      <x:c r="C646" s="14" t="n">
        <x:v>20</x:v>
      </x:c>
      <x:c r="D646" s="15" t="n">
        <x:v>0</x:v>
      </x:c>
      <x:c r="E646" s="16" t="n">
        <x:v>37.35</x:v>
      </x:c>
      <x:c r="F646" s="6" t="str">
        <x:v>GROWTH</x:v>
      </x:c>
      <x:c r="G646" s="17" t="n">
        <x:f>'Scoring'!I646</x:f>
        <x:v>61.4</x:v>
      </x:c>
      <x:c r="H646" s="6" t="str">
        <x:v>SUPPORT</x:v>
      </x:c>
      <x:c r="I646" s="6" t="str">
        <x:v>cadillac: Service and repair</x:v>
      </x:c>
      <x:c r="J646" s="6" t="str">
        <x:v>Secondary</x:v>
      </x:c>
      <x:c r="K646" s="6" t="str">
        <x:v>Commercial service enquiry</x:v>
      </x:c>
      <x:c r="L646" s="6" t="str">
        <x:v>High</x:v>
      </x:c>
      <x:c r="M646" s="6" t="str">
        <x:v>https://digitecme.com/brands/cadillac-service-dubai</x:v>
      </x:c>
      <x:c r="N646" s="6" t="str">
        <x:v>Unknown — export has no query/page pairing</x:v>
      </x:c>
      <x:c r="O646" s="6" t="str">
        <x:v>Retain primary intent and support variants</x:v>
      </x:c>
      <x:c r="P646" s="6" t="str">
        <x:v>Average position 37.35 makes ranking the main issue; avoid a CTR-only rewrite.</x:v>
      </x:c>
      <x:c r="Q646" s="6" t="str">
        <x:v>cadillac</x:v>
      </x:c>
      <x:c r="R646" s="6" t="str">
        <x:v>service-repair</x:v>
      </x:c>
      <x:c r="S646" s="6" t="str">
        <x:v>Dubai explicit</x:v>
      </x:c>
      <x:c r="T646" s="6" t="n">
        <x:v>3</x:v>
      </x:c>
      <x:c r="U646" s="6" t="str">
        <x:v>21–40</x:v>
      </x:c>
      <x:c r="V646" s="6" t="str">
        <x:v>Content, internal authority and owner alignment</x:v>
      </x:c>
      <x:c r="W646" s="6" t="str">
        <x:v>Relevant supporting</x:v>
      </x:c>
      <x:c r="X646" s="6" t="n">
        <x:v>642</x:v>
      </x:c>
      <x:c r="Y646" s="6" t="str">
        <x:v>Unconfirmed — joint query/page data required</x:v>
      </x:c>
    </x:row>
    <x:row r="647" ht="42" customHeight="1">
      <x:c r="A647" s="6" t="str">
        <x:v>volvo service in dubai</x:v>
      </x:c>
      <x:c r="B647" s="14" t="n">
        <x:v>0</x:v>
      </x:c>
      <x:c r="C647" s="14" t="n">
        <x:v>20</x:v>
      </x:c>
      <x:c r="D647" s="15" t="n">
        <x:v>0</x:v>
      </x:c>
      <x:c r="E647" s="16" t="n">
        <x:v>38.7</x:v>
      </x:c>
      <x:c r="F647" s="6" t="str">
        <x:v>GROWTH</x:v>
      </x:c>
      <x:c r="G647" s="17" t="n">
        <x:f>'Scoring'!I647</x:f>
        <x:v>61.4</x:v>
      </x:c>
      <x:c r="H647" s="6" t="str">
        <x:v>SUPPORT</x:v>
      </x:c>
      <x:c r="I647" s="6" t="str">
        <x:v>volvo: Service and repair</x:v>
      </x:c>
      <x:c r="J647" s="6" t="str">
        <x:v>Secondary</x:v>
      </x:c>
      <x:c r="K647" s="6" t="str">
        <x:v>Commercial service enquiry</x:v>
      </x:c>
      <x:c r="L647" s="6" t="str">
        <x:v>High</x:v>
      </x:c>
      <x:c r="M647" s="6" t="str">
        <x:v>https://digitecme.com/brands/volvo-service-dubai</x:v>
      </x:c>
      <x:c r="N647" s="6" t="str">
        <x:v>Unknown — export has no query/page pairing</x:v>
      </x:c>
      <x:c r="O647" s="6" t="str">
        <x:v>Retain primary intent and support variants</x:v>
      </x:c>
      <x:c r="P647" s="6" t="str">
        <x:v>Average position 38.70 makes ranking the main issue; avoid a CTR-only rewrite.</x:v>
      </x:c>
      <x:c r="Q647" s="6" t="str">
        <x:v>volvo</x:v>
      </x:c>
      <x:c r="R647" s="6" t="str">
        <x:v>service-repair</x:v>
      </x:c>
      <x:c r="S647" s="6" t="str">
        <x:v>Dubai explicit</x:v>
      </x:c>
      <x:c r="T647" s="6" t="n">
        <x:v>3</x:v>
      </x:c>
      <x:c r="U647" s="6" t="str">
        <x:v>21–40</x:v>
      </x:c>
      <x:c r="V647" s="6" t="str">
        <x:v>Content, internal authority and owner alignment</x:v>
      </x:c>
      <x:c r="W647" s="6" t="str">
        <x:v>Relevant supporting</x:v>
      </x:c>
      <x:c r="X647" s="6" t="n">
        <x:v>643</x:v>
      </x:c>
      <x:c r="Y647" s="6" t="str">
        <x:v>Unconfirmed — joint query/page data required</x:v>
      </x:c>
    </x:row>
    <x:row r="648" ht="42" customHeight="1">
      <x:c r="A648" s="6" t="str">
        <x:v>best bmw mechanic abu dhabi</x:v>
      </x:c>
      <x:c r="B648" s="14" t="n">
        <x:v>0</x:v>
      </x:c>
      <x:c r="C648" s="14" t="n">
        <x:v>20</x:v>
      </x:c>
      <x:c r="D648" s="15" t="n">
        <x:v>0</x:v>
      </x:c>
      <x:c r="E648" s="16" t="n">
        <x:v>40.8</x:v>
      </x:c>
      <x:c r="F648" s="6" t="str">
        <x:v>DEPRIORITIZE</x:v>
      </x:c>
      <x:c r="G648" s="17" t="n">
        <x:f>'Scoring'!I648</x:f>
        <x:v>9.4</x:v>
      </x:c>
      <x:c r="H648" s="6" t="str">
        <x:v>DEPRIORITIZE</x:v>
      </x:c>
      <x:c r="I648" s="6" t="str">
        <x:v>bmw: Service and repair (outside Dubai)</x:v>
      </x:c>
      <x:c r="J648" s="6" t="str">
        <x:v>Secondary</x:v>
      </x:c>
      <x:c r="K648" s="6" t="str">
        <x:v>Commercial service enquiry</x:v>
      </x:c>
      <x:c r="L648" s="6" t="str">
        <x:v>Low</x:v>
      </x:c>
      <x:c r="M648" s="6" t="str">
        <x:v>https://digitecme.com/brands/bmw-service-dubai</x:v>
      </x:c>
      <x:c r="N648" s="6" t="str">
        <x:v>Unknown — export has no query/page pairing</x:v>
      </x:c>
      <x:c r="O648" s="6" t="str">
        <x:v>Confirm scope or deprioritize</x:v>
      </x:c>
      <x:c r="P648" s="6" t="str">
        <x:v>Explicit destination differs from the Al Quoz workshop; do not claim a local branch or service coverage. Average position 40.80 makes ranking the main issue; avoid a CTR-only rewrite.</x:v>
      </x:c>
      <x:c r="Q648" s="6" t="str">
        <x:v>bmw</x:v>
      </x:c>
      <x:c r="R648" s="6" t="str">
        <x:v>service-repair</x:v>
      </x:c>
      <x:c r="S648" s="6" t="str">
        <x:v>Outside Dubai</x:v>
      </x:c>
      <x:c r="T648" s="6" t="n">
        <x:v>1</x:v>
      </x:c>
      <x:c r="U648" s="6" t="str">
        <x:v>40+</x:v>
      </x:c>
      <x:c r="V648" s="6" t="str">
        <x:v>Relevance, capability, indexing and authority review</x:v>
      </x:c>
      <x:c r="W648" s="6" t="str">
        <x:v>Low-value</x:v>
      </x:c>
      <x:c r="X648" s="6" t="n">
        <x:v>644</x:v>
      </x:c>
      <x:c r="Y648" s="6" t="str">
        <x:v>Unconfirmed — joint query/page data required</x:v>
      </x:c>
    </x:row>
    <x:row r="649" ht="42" customHeight="1">
      <x:c r="A649" s="6" t="str">
        <x:v>cadillac repair garage dubai</x:v>
      </x:c>
      <x:c r="B649" s="14" t="n">
        <x:v>0</x:v>
      </x:c>
      <x:c r="C649" s="14" t="n">
        <x:v>20</x:v>
      </x:c>
      <x:c r="D649" s="15" t="n">
        <x:v>0</x:v>
      </x:c>
      <x:c r="E649" s="16" t="n">
        <x:v>41.3</x:v>
      </x:c>
      <x:c r="F649" s="6" t="str">
        <x:v>GROWTH</x:v>
      </x:c>
      <x:c r="G649" s="17" t="n">
        <x:f>'Scoring'!I649</x:f>
        <x:v>55.2</x:v>
      </x:c>
      <x:c r="H649" s="6" t="str">
        <x:v>SUPPORT</x:v>
      </x:c>
      <x:c r="I649" s="6" t="str">
        <x:v>cadillac: Service and repair</x:v>
      </x:c>
      <x:c r="J649" s="6" t="str">
        <x:v>Secondary</x:v>
      </x:c>
      <x:c r="K649" s="6" t="str">
        <x:v>Commercial service enquiry</x:v>
      </x:c>
      <x:c r="L649" s="6" t="str">
        <x:v>High</x:v>
      </x:c>
      <x:c r="M649" s="6" t="str">
        <x:v>https://digitecme.com/brands/cadillac-service-dubai</x:v>
      </x:c>
      <x:c r="N649" s="6" t="str">
        <x:v>Unknown — export has no query/page pairing</x:v>
      </x:c>
      <x:c r="O649" s="6" t="str">
        <x:v>Retain primary intent and support variants</x:v>
      </x:c>
      <x:c r="P649" s="6" t="str">
        <x:v>Average position 41.30 makes ranking the main issue; avoid a CTR-only rewrite.</x:v>
      </x:c>
      <x:c r="Q649" s="6" t="str">
        <x:v>cadillac</x:v>
      </x:c>
      <x:c r="R649" s="6" t="str">
        <x:v>service-repair</x:v>
      </x:c>
      <x:c r="S649" s="6" t="str">
        <x:v>Dubai explicit</x:v>
      </x:c>
      <x:c r="T649" s="6" t="n">
        <x:v>3</x:v>
      </x:c>
      <x:c r="U649" s="6" t="str">
        <x:v>40+</x:v>
      </x:c>
      <x:c r="V649" s="6" t="str">
        <x:v>Relevance, capability, indexing and authority review</x:v>
      </x:c>
      <x:c r="W649" s="6" t="str">
        <x:v>Relevant supporting</x:v>
      </x:c>
      <x:c r="X649" s="6" t="n">
        <x:v>645</x:v>
      </x:c>
      <x:c r="Y649" s="6" t="str">
        <x:v>Unconfirmed — joint query/page data required</x:v>
      </x:c>
    </x:row>
    <x:row r="650" ht="57" customHeight="1">
      <x:c r="A650" s="6" t="str">
        <x:v>paint protection solutions</x:v>
      </x:c>
      <x:c r="B650" s="14" t="n">
        <x:v>0</x:v>
      </x:c>
      <x:c r="C650" s="14" t="n">
        <x:v>20</x:v>
      </x:c>
      <x:c r="D650" s="15" t="n">
        <x:v>0</x:v>
      </x:c>
      <x:c r="E650" s="16" t="n">
        <x:v>42</x:v>
      </x:c>
      <x:c r="F650" s="6" t="str">
        <x:v>GROWTH</x:v>
      </x:c>
      <x:c r="G650" s="17" t="n">
        <x:f>'Scoring'!I650</x:f>
        <x:v>58.2</x:v>
      </x:c>
      <x:c r="H650" s="6" t="str">
        <x:v>SUPPORT</x:v>
      </x:c>
      <x:c r="I650" s="6" t="str">
        <x:v>All vehicles: Paint care and protection comparison</x:v>
      </x:c>
      <x:c r="J650" s="6" t="str">
        <x:v>Secondary</x:v>
      </x:c>
      <x:c r="K650" s="6" t="str">
        <x:v>Commercial service enquiry</x:v>
      </x:c>
      <x:c r="L650" s="6" t="str">
        <x:v>High</x:v>
      </x:c>
      <x:c r="M650" s="6" t="str">
        <x:v>https://digitecme.com/services/paint-protection-dubai</x:v>
      </x:c>
      <x:c r="N650" s="6" t="str">
        <x:v>Unknown — export has no query/page pairing</x:v>
      </x:c>
      <x:c r="O650" s="6" t="str">
        <x:v>Retain primary intent and support variants</x:v>
      </x:c>
      <x:c r="P650" s="6" t="str">
        <x:v>Broad protection intent is mixed; the comparison hub should direct film and coating enquiries to their specialist pages. Average position 42.00 makes ranking the main issue; avoid a CTR-only rewrite.</x:v>
      </x:c>
      <x:c r="Q650" s="6" t="str">
        <x:v>All vehicles</x:v>
      </x:c>
      <x:c r="R650" s="6" t="str">
        <x:v>paint-care</x:v>
      </x:c>
      <x:c r="S650" s="6" t="str">
        <x:v>Location unspecified</x:v>
      </x:c>
      <x:c r="T650" s="6" t="n">
        <x:v>5</x:v>
      </x:c>
      <x:c r="U650" s="6" t="str">
        <x:v>40+</x:v>
      </x:c>
      <x:c r="V650" s="6" t="str">
        <x:v>Relevance, capability, indexing and authority review</x:v>
      </x:c>
      <x:c r="W650" s="6" t="str">
        <x:v>Relevant supporting</x:v>
      </x:c>
      <x:c r="X650" s="6" t="n">
        <x:v>646</x:v>
      </x:c>
      <x:c r="Y650" s="6" t="str">
        <x:v>Unconfirmed — joint query/page data required</x:v>
      </x:c>
    </x:row>
    <x:row r="651" ht="42" customHeight="1">
      <x:c r="A651" s="6" t="str">
        <x:v>jeep repair in dubai</x:v>
      </x:c>
      <x:c r="B651" s="14" t="n">
        <x:v>0</x:v>
      </x:c>
      <x:c r="C651" s="14" t="n">
        <x:v>20</x:v>
      </x:c>
      <x:c r="D651" s="15" t="n">
        <x:v>0</x:v>
      </x:c>
      <x:c r="E651" s="16" t="n">
        <x:v>42.85</x:v>
      </x:c>
      <x:c r="F651" s="6" t="str">
        <x:v>GROWTH</x:v>
      </x:c>
      <x:c r="G651" s="17" t="n">
        <x:f>'Scoring'!I651</x:f>
        <x:v>55.2</x:v>
      </x:c>
      <x:c r="H651" s="6" t="str">
        <x:v>SUPPORT</x:v>
      </x:c>
      <x:c r="I651" s="6" t="str">
        <x:v>jeep: Service and repair (English)</x:v>
      </x:c>
      <x:c r="J651" s="6" t="str">
        <x:v>Secondary</x:v>
      </x:c>
      <x:c r="K651" s="6" t="str">
        <x:v>Commercial service enquiry</x:v>
      </x:c>
      <x:c r="L651" s="6" t="str">
        <x:v>High</x:v>
      </x:c>
      <x:c r="M651" s="6" t="str">
        <x:v>https://digitecme.com/brands/jeep-service-dubai</x:v>
      </x:c>
      <x:c r="N651" s="6" t="str">
        <x:v>Unknown — export has no query/page pairing</x:v>
      </x:c>
      <x:c r="O651" s="6" t="str">
        <x:v>Retain primary intent and support variants</x:v>
      </x:c>
      <x:c r="P651" s="6" t="str">
        <x:v>Average position 42.85 makes ranking the main issue; avoid a CTR-only rewrite.</x:v>
      </x:c>
      <x:c r="Q651" s="6" t="str">
        <x:v>jeep</x:v>
      </x:c>
      <x:c r="R651" s="6" t="str">
        <x:v>service-repair</x:v>
      </x:c>
      <x:c r="S651" s="6" t="str">
        <x:v>Dubai explicit</x:v>
      </x:c>
      <x:c r="T651" s="6" t="n">
        <x:v>3</x:v>
      </x:c>
      <x:c r="U651" s="6" t="str">
        <x:v>40+</x:v>
      </x:c>
      <x:c r="V651" s="6" t="str">
        <x:v>Relevance, capability, indexing and authority review</x:v>
      </x:c>
      <x:c r="W651" s="6" t="str">
        <x:v>Relevant supporting</x:v>
      </x:c>
      <x:c r="X651" s="6" t="n">
        <x:v>647</x:v>
      </x:c>
      <x:c r="Y651" s="6" t="str">
        <x:v>Unconfirmed — joint query/page data required</x:v>
      </x:c>
    </x:row>
    <x:row r="652" ht="42" customHeight="1">
      <x:c r="A652" s="6" t="str">
        <x:v>porsche specialist near me dubai</x:v>
      </x:c>
      <x:c r="B652" s="14" t="n">
        <x:v>0</x:v>
      </x:c>
      <x:c r="C652" s="14" t="n">
        <x:v>20</x:v>
      </x:c>
      <x:c r="D652" s="15" t="n">
        <x:v>0</x:v>
      </x:c>
      <x:c r="E652" s="16" t="n">
        <x:v>42.95</x:v>
      </x:c>
      <x:c r="F652" s="6" t="str">
        <x:v>GROWTH</x:v>
      </x:c>
      <x:c r="G652" s="17" t="n">
        <x:f>'Scoring'!I652</x:f>
        <x:v>63.2</x:v>
      </x:c>
      <x:c r="H652" s="6" t="str">
        <x:v>SUPPORT</x:v>
      </x:c>
      <x:c r="I652" s="6" t="str">
        <x:v>porsche: Service and repair (English)</x:v>
      </x:c>
      <x:c r="J652" s="6" t="str">
        <x:v>Secondary</x:v>
      </x:c>
      <x:c r="K652" s="6" t="str">
        <x:v>Commercial service enquiry</x:v>
      </x:c>
      <x:c r="L652" s="6" t="str">
        <x:v>High</x:v>
      </x:c>
      <x:c r="M652" s="6" t="str">
        <x:v>https://digitecme.com/brands/porsche-service-dubai</x:v>
      </x:c>
      <x:c r="N652" s="6" t="str">
        <x:v>Unknown — export has no query/page pairing</x:v>
      </x:c>
      <x:c r="O652" s="6" t="str">
        <x:v>Retain primary intent and support variants</x:v>
      </x:c>
      <x:c r="P652" s="6" t="str">
        <x:v>Average position 42.95 makes ranking the main issue; avoid a CTR-only rewrite.</x:v>
      </x:c>
      <x:c r="Q652" s="6" t="str">
        <x:v>porsche</x:v>
      </x:c>
      <x:c r="R652" s="6" t="str">
        <x:v>service-repair</x:v>
      </x:c>
      <x:c r="S652" s="6" t="str">
        <x:v>Dubai explicit</x:v>
      </x:c>
      <x:c r="T652" s="6" t="n">
        <x:v>5</x:v>
      </x:c>
      <x:c r="U652" s="6" t="str">
        <x:v>40+</x:v>
      </x:c>
      <x:c r="V652" s="6" t="str">
        <x:v>Relevance, capability, indexing and authority review</x:v>
      </x:c>
      <x:c r="W652" s="6" t="str">
        <x:v>Relevant supporting</x:v>
      </x:c>
      <x:c r="X652" s="6" t="n">
        <x:v>648</x:v>
      </x:c>
      <x:c r="Y652" s="6" t="str">
        <x:v>Unconfirmed — joint query/page data required</x:v>
      </x:c>
    </x:row>
    <x:row r="653" ht="42" customHeight="1">
      <x:c r="A653" s="6" t="str">
        <x:v>car repair workshop dubai</x:v>
      </x:c>
      <x:c r="B653" s="14" t="n">
        <x:v>0</x:v>
      </x:c>
      <x:c r="C653" s="14" t="n">
        <x:v>20</x:v>
      </x:c>
      <x:c r="D653" s="15" t="n">
        <x:v>0</x:v>
      </x:c>
      <x:c r="E653" s="16" t="n">
        <x:v>45.05</x:v>
      </x:c>
      <x:c r="F653" s="6" t="str">
        <x:v>GROWTH</x:v>
      </x:c>
      <x:c r="G653" s="17" t="n">
        <x:f>'Scoring'!I653</x:f>
        <x:v>55.2</x:v>
      </x:c>
      <x:c r="H653" s="6" t="str">
        <x:v>SUPPORT</x:v>
      </x:c>
      <x:c r="I653" s="6" t="str">
        <x:v>All vehicles: General garage and repair (English)</x:v>
      </x:c>
      <x:c r="J653" s="6" t="str">
        <x:v>Secondary</x:v>
      </x:c>
      <x:c r="K653" s="6" t="str">
        <x:v>Commercial service enquiry</x:v>
      </x:c>
      <x:c r="L653" s="6" t="str">
        <x:v>High</x:v>
      </x:c>
      <x:c r="M653" s="6" t="str">
        <x:v>https://digitecme.com/services/car-garage-dubai</x:v>
      </x:c>
      <x:c r="N653" s="6" t="str">
        <x:v>Unknown — export has no query/page pairing</x:v>
      </x:c>
      <x:c r="O653" s="6" t="str">
        <x:v>Retain primary intent and support variants</x:v>
      </x:c>
      <x:c r="P653" s="6" t="str">
        <x:v>Average position 45.05 makes ranking the main issue; avoid a CTR-only rewrite.</x:v>
      </x:c>
      <x:c r="Q653" s="6" t="str">
        <x:v>All vehicles</x:v>
      </x:c>
      <x:c r="R653" s="6" t="str">
        <x:v>service-repair</x:v>
      </x:c>
      <x:c r="S653" s="6" t="str">
        <x:v>Dubai explicit</x:v>
      </x:c>
      <x:c r="T653" s="6" t="n">
        <x:v>3</x:v>
      </x:c>
      <x:c r="U653" s="6" t="str">
        <x:v>40+</x:v>
      </x:c>
      <x:c r="V653" s="6" t="str">
        <x:v>Relevance, capability, indexing and authority review</x:v>
      </x:c>
      <x:c r="W653" s="6" t="str">
        <x:v>Relevant supporting</x:v>
      </x:c>
      <x:c r="X653" s="6" t="n">
        <x:v>649</x:v>
      </x:c>
      <x:c r="Y653" s="6" t="str">
        <x:v>Unconfirmed — joint query/page data required</x:v>
      </x:c>
    </x:row>
    <x:row r="654" ht="42" customHeight="1">
      <x:c r="A654" s="6" t="str">
        <x:v>mercedes benz oil change</x:v>
      </x:c>
      <x:c r="B654" s="14" t="n">
        <x:v>0</x:v>
      </x:c>
      <x:c r="C654" s="14" t="n">
        <x:v>20</x:v>
      </x:c>
      <x:c r="D654" s="15" t="n">
        <x:v>0</x:v>
      </x:c>
      <x:c r="E654" s="16" t="n">
        <x:v>45.2</x:v>
      </x:c>
      <x:c r="F654" s="6" t="str">
        <x:v>GROWTH</x:v>
      </x:c>
      <x:c r="G654" s="17" t="n">
        <x:f>'Scoring'!I654</x:f>
        <x:v>58.2</x:v>
      </x:c>
      <x:c r="H654" s="6" t="str">
        <x:v>SPLIT</x:v>
      </x:c>
      <x:c r="I654" s="6" t="str">
        <x:v>mercedes-benz: Oil change</x:v>
      </x:c>
      <x:c r="J654" s="6" t="str">
        <x:v>Secondary</x:v>
      </x:c>
      <x:c r="K654" s="6" t="str">
        <x:v>Commercial service enquiry</x:v>
      </x:c>
      <x:c r="L654" s="6" t="str">
        <x:v>High</x:v>
      </x:c>
      <x:c r="M654" s="6" t="str">
        <x:v>https://digitecme.com/services/mercedes-oil-change-dubai</x:v>
      </x:c>
      <x:c r="N654" s="6" t="str">
        <x:v>Unknown — export has no query/page pairing</x:v>
      </x:c>
      <x:c r="O654" s="6" t="str">
        <x:v>Use dedicated service owner</x:v>
      </x:c>
      <x:c r="P654" s="6" t="str">
        <x:v>Average position 45.20 makes ranking the main issue; avoid a CTR-only rewrite.</x:v>
      </x:c>
      <x:c r="Q654" s="6" t="str">
        <x:v>mercedes-benz</x:v>
      </x:c>
      <x:c r="R654" s="6" t="str">
        <x:v>oil-change</x:v>
      </x:c>
      <x:c r="S654" s="6" t="str">
        <x:v>Location unspecified</x:v>
      </x:c>
      <x:c r="T654" s="6" t="n">
        <x:v>5</x:v>
      </x:c>
      <x:c r="U654" s="6" t="str">
        <x:v>40+</x:v>
      </x:c>
      <x:c r="V654" s="6" t="str">
        <x:v>Relevance, capability, indexing and authority review</x:v>
      </x:c>
      <x:c r="W654" s="6" t="str">
        <x:v>High-value commercial</x:v>
      </x:c>
      <x:c r="X654" s="6" t="n">
        <x:v>650</x:v>
      </x:c>
      <x:c r="Y654" s="6" t="str">
        <x:v>Unconfirmed — joint query/page data required</x:v>
      </x:c>
    </x:row>
    <x:row r="655" ht="42" customHeight="1">
      <x:c r="A655" s="6" t="str">
        <x:v>audi suspension repair</x:v>
      </x:c>
      <x:c r="B655" s="14" t="n">
        <x:v>0</x:v>
      </x:c>
      <x:c r="C655" s="14" t="n">
        <x:v>20</x:v>
      </x:c>
      <x:c r="D655" s="15" t="n">
        <x:v>0</x:v>
      </x:c>
      <x:c r="E655" s="16" t="n">
        <x:v>50.3</x:v>
      </x:c>
      <x:c r="F655" s="6" t="str">
        <x:v>GROWTH</x:v>
      </x:c>
      <x:c r="G655" s="17" t="n">
        <x:f>'Scoring'!I655</x:f>
        <x:v>58.2</x:v>
      </x:c>
      <x:c r="H655" s="6" t="str">
        <x:v>SPLIT</x:v>
      </x:c>
      <x:c r="I655" s="6" t="str">
        <x:v>audi: Suspension repair</x:v>
      </x:c>
      <x:c r="J655" s="6" t="str">
        <x:v>Secondary</x:v>
      </x:c>
      <x:c r="K655" s="6" t="str">
        <x:v>Commercial service enquiry</x:v>
      </x:c>
      <x:c r="L655" s="6" t="str">
        <x:v>High</x:v>
      </x:c>
      <x:c r="M655" s="6" t="str">
        <x:v>https://digitecme.com/brands/audi-service-dubai/suspension-repair</x:v>
      </x:c>
      <x:c r="N655" s="6" t="str">
        <x:v>Unknown — export has no query/page pairing</x:v>
      </x:c>
      <x:c r="O655" s="6" t="str">
        <x:v>Use dedicated service owner</x:v>
      </x:c>
      <x:c r="P655" s="6" t="str">
        <x:v>Average position 50.30 makes ranking the main issue; avoid a CTR-only rewrite.</x:v>
      </x:c>
      <x:c r="Q655" s="6" t="str">
        <x:v>audi</x:v>
      </x:c>
      <x:c r="R655" s="6" t="str">
        <x:v>suspension-repair</x:v>
      </x:c>
      <x:c r="S655" s="6" t="str">
        <x:v>Location unspecified</x:v>
      </x:c>
      <x:c r="T655" s="6" t="n">
        <x:v>5</x:v>
      </x:c>
      <x:c r="U655" s="6" t="str">
        <x:v>40+</x:v>
      </x:c>
      <x:c r="V655" s="6" t="str">
        <x:v>Relevance, capability, indexing and authority review</x:v>
      </x:c>
      <x:c r="W655" s="6" t="str">
        <x:v>High-value commercial</x:v>
      </x:c>
      <x:c r="X655" s="6" t="n">
        <x:v>651</x:v>
      </x:c>
      <x:c r="Y655" s="6" t="str">
        <x:v>Unconfirmed — joint query/page data required</x:v>
      </x:c>
    </x:row>
    <x:row r="656" ht="42" customHeight="1">
      <x:c r="A656" s="6" t="str">
        <x:v>افضل كراج بورش</x:v>
      </x:c>
      <x:c r="B656" s="14" t="n">
        <x:v>0</x:v>
      </x:c>
      <x:c r="C656" s="14" t="n">
        <x:v>20</x:v>
      </x:c>
      <x:c r="D656" s="15" t="n">
        <x:v>0</x:v>
      </x:c>
      <x:c r="E656" s="16" t="n">
        <x:v>58.7</x:v>
      </x:c>
      <x:c r="F656" s="6" t="str">
        <x:v>GROWTH</x:v>
      </x:c>
      <x:c r="G656" s="17" t="n">
        <x:f>'Scoring'!I656</x:f>
        <x:v>58.2</x:v>
      </x:c>
      <x:c r="H656" s="6" t="str">
        <x:v>SUPPORT</x:v>
      </x:c>
      <x:c r="I656" s="6" t="str">
        <x:v>porsche: Service and repair (Arabic)</x:v>
      </x:c>
      <x:c r="J656" s="6" t="str">
        <x:v>Secondary</x:v>
      </x:c>
      <x:c r="K656" s="6" t="str">
        <x:v>Commercial service enquiry</x:v>
      </x:c>
      <x:c r="L656" s="6" t="str">
        <x:v>High</x:v>
      </x:c>
      <x:c r="M656" s="6" t="str">
        <x:v>https://digitecme.com/ar/brands/porsche-service-dubai</x:v>
      </x:c>
      <x:c r="N656" s="6" t="str">
        <x:v>Unknown — export has no query/page pairing</x:v>
      </x:c>
      <x:c r="O656" s="6" t="str">
        <x:v>Retain primary intent and support variants</x:v>
      </x:c>
      <x:c r="P656" s="6" t="str">
        <x:v>Use the existing Arabic counterpart and verify its translation quality. Average position 58.70 makes ranking the main issue; avoid a CTR-only rewrite.</x:v>
      </x:c>
      <x:c r="Q656" s="6" t="str">
        <x:v>porsche</x:v>
      </x:c>
      <x:c r="R656" s="6" t="str">
        <x:v>service-repair</x:v>
      </x:c>
      <x:c r="S656" s="6" t="str">
        <x:v>Location unspecified</x:v>
      </x:c>
      <x:c r="T656" s="6" t="n">
        <x:v>5</x:v>
      </x:c>
      <x:c r="U656" s="6" t="str">
        <x:v>40+</x:v>
      </x:c>
      <x:c r="V656" s="6" t="str">
        <x:v>Relevance, capability, indexing and authority review</x:v>
      </x:c>
      <x:c r="W656" s="6" t="str">
        <x:v>Relevant supporting</x:v>
      </x:c>
      <x:c r="X656" s="6" t="n">
        <x:v>652</x:v>
      </x:c>
      <x:c r="Y656" s="6" t="str">
        <x:v>Unconfirmed — joint query/page data required</x:v>
      </x:c>
    </x:row>
    <x:row r="657" ht="42" customHeight="1">
      <x:c r="A657" s="6" t="str">
        <x:v>paint protection films</x:v>
      </x:c>
      <x:c r="B657" s="14" t="n">
        <x:v>0</x:v>
      </x:c>
      <x:c r="C657" s="14" t="n">
        <x:v>20</x:v>
      </x:c>
      <x:c r="D657" s="15" t="n">
        <x:v>0</x:v>
      </x:c>
      <x:c r="E657" s="16" t="n">
        <x:v>67.95</x:v>
      </x:c>
      <x:c r="F657" s="6" t="str">
        <x:v>GROWTH</x:v>
      </x:c>
      <x:c r="G657" s="17" t="n">
        <x:f>'Scoring'!I657</x:f>
        <x:v>58.2</x:v>
      </x:c>
      <x:c r="H657" s="6" t="str">
        <x:v>SUPPORT</x:v>
      </x:c>
      <x:c r="I657" s="6" t="str">
        <x:v>All vehicles: Paint protection film</x:v>
      </x:c>
      <x:c r="J657" s="6" t="str">
        <x:v>Secondary</x:v>
      </x:c>
      <x:c r="K657" s="6" t="str">
        <x:v>Commercial service enquiry</x:v>
      </x:c>
      <x:c r="L657" s="6" t="str">
        <x:v>High</x:v>
      </x:c>
      <x:c r="M657" s="6" t="str">
        <x:v>https://digitecme.com/services/paint-protection-film</x:v>
      </x:c>
      <x:c r="N657" s="6" t="str">
        <x:v>Unknown — export has no query/page pairing</x:v>
      </x:c>
      <x:c r="O657" s="6" t="str">
        <x:v>Retain primary intent and support variants</x:v>
      </x:c>
      <x:c r="P657" s="6" t="str">
        <x:v>Film intent belongs to the PPF page; vehicle and district terms are secondary context. Average position 67.95 makes ranking the main issue; avoid a CTR-only rewrite.</x:v>
      </x:c>
      <x:c r="Q657" s="6" t="str">
        <x:v>All vehicles</x:v>
      </x:c>
      <x:c r="R657" s="6" t="str">
        <x:v>ppf</x:v>
      </x:c>
      <x:c r="S657" s="6" t="str">
        <x:v>Location unspecified</x:v>
      </x:c>
      <x:c r="T657" s="6" t="n">
        <x:v>5</x:v>
      </x:c>
      <x:c r="U657" s="6" t="str">
        <x:v>40+</x:v>
      </x:c>
      <x:c r="V657" s="6" t="str">
        <x:v>Relevance, capability, indexing and authority review</x:v>
      </x:c>
      <x:c r="W657" s="6" t="str">
        <x:v>Relevant supporting</x:v>
      </x:c>
      <x:c r="X657" s="6" t="n">
        <x:v>653</x:v>
      </x:c>
      <x:c r="Y657" s="6" t="str">
        <x:v>Unconfirmed — joint query/page data required</x:v>
      </x:c>
    </x:row>
    <x:row r="658" ht="42" customHeight="1">
      <x:c r="A658" s="6" t="str">
        <x:v>audi body shop</x:v>
      </x:c>
      <x:c r="B658" s="14" t="n">
        <x:v>0</x:v>
      </x:c>
      <x:c r="C658" s="14" t="n">
        <x:v>19</x:v>
      </x:c>
      <x:c r="D658" s="15" t="n">
        <x:v>0</x:v>
      </x:c>
      <x:c r="E658" s="16" t="n">
        <x:v>10.74</x:v>
      </x:c>
      <x:c r="F658" s="6" t="str">
        <x:v>HIGH</x:v>
      </x:c>
      <x:c r="G658" s="17" t="n">
        <x:f>'Scoring'!I658</x:f>
        <x:v>79.3</x:v>
      </x:c>
      <x:c r="H658" s="6" t="str">
        <x:v>SPLIT</x:v>
      </x:c>
      <x:c r="I658" s="6" t="str">
        <x:v>audi: Body repair</x:v>
      </x:c>
      <x:c r="J658" s="6" t="str">
        <x:v>Secondary</x:v>
      </x:c>
      <x:c r="K658" s="6" t="str">
        <x:v>Commercial service enquiry</x:v>
      </x:c>
      <x:c r="L658" s="6" t="str">
        <x:v>High</x:v>
      </x:c>
      <x:c r="M658" s="6" t="str">
        <x:v>https://digitecme.com/brands/audi-service-dubai/body-repair</x:v>
      </x:c>
      <x:c r="N658" s="6" t="str">
        <x:v>Unknown — export has no query/page pairing</x:v>
      </x:c>
      <x:c r="O658" s="6" t="str">
        <x:v>Use dedicated service owner</x:v>
      </x:c>
      <x:c r="P658" s="6" t="str">
        <x:v>19 impressions at average position 10.74; strengthen the appropriate intent owner and measure with a fresh comparable period.</x:v>
      </x:c>
      <x:c r="Q658" s="6" t="str">
        <x:v>audi</x:v>
      </x:c>
      <x:c r="R658" s="6" t="str">
        <x:v>body-repair</x:v>
      </x:c>
      <x:c r="S658" s="6" t="str">
        <x:v>Location unspecified</x:v>
      </x:c>
      <x:c r="T658" s="6" t="n">
        <x:v>5</x:v>
      </x:c>
      <x:c r="U658" s="6" t="str">
        <x:v>11–20</x:v>
      </x:c>
      <x:c r="V658" s="6" t="str">
        <x:v>Ranking and owner relevance</x:v>
      </x:c>
      <x:c r="W658" s="6" t="str">
        <x:v>High-value commercial</x:v>
      </x:c>
      <x:c r="X658" s="6" t="n">
        <x:v>654</x:v>
      </x:c>
      <x:c r="Y658" s="6" t="str">
        <x:v>Unconfirmed — joint query/page data required</x:v>
      </x:c>
    </x:row>
    <x:row r="659" ht="42" customHeight="1">
      <x:c r="A659" s="6" t="str">
        <x:v>audi repair dubai</x:v>
      </x:c>
      <x:c r="B659" s="14" t="n">
        <x:v>0</x:v>
      </x:c>
      <x:c r="C659" s="14" t="n">
        <x:v>19</x:v>
      </x:c>
      <x:c r="D659" s="15" t="n">
        <x:v>0</x:v>
      </x:c>
      <x:c r="E659" s="16" t="n">
        <x:v>12</x:v>
      </x:c>
      <x:c r="F659" s="6" t="str">
        <x:v>HIGH</x:v>
      </x:c>
      <x:c r="G659" s="17" t="n">
        <x:f>'Scoring'!I659</x:f>
        <x:v>84.3</x:v>
      </x:c>
      <x:c r="H659" s="6" t="str">
        <x:v>SUPPORT</x:v>
      </x:c>
      <x:c r="I659" s="6" t="str">
        <x:v>audi: Service and repair (English)</x:v>
      </x:c>
      <x:c r="J659" s="6" t="str">
        <x:v>Secondary</x:v>
      </x:c>
      <x:c r="K659" s="6" t="str">
        <x:v>Commercial service enquiry</x:v>
      </x:c>
      <x:c r="L659" s="6" t="str">
        <x:v>High</x:v>
      </x:c>
      <x:c r="M659" s="6" t="str">
        <x:v>https://digitecme.com/brands/audi-service-dubai</x:v>
      </x:c>
      <x:c r="N659" s="6" t="str">
        <x:v>Unknown — export has no query/page pairing</x:v>
      </x:c>
      <x:c r="O659" s="6" t="str">
        <x:v>Retain primary intent and support variants</x:v>
      </x:c>
      <x:c r="P659" s="6" t="str">
        <x:v>19 impressions at average position 12.00; strengthen the appropriate intent owner and measure with a fresh comparable period.</x:v>
      </x:c>
      <x:c r="Q659" s="6" t="str">
        <x:v>audi</x:v>
      </x:c>
      <x:c r="R659" s="6" t="str">
        <x:v>service-repair</x:v>
      </x:c>
      <x:c r="S659" s="6" t="str">
        <x:v>Dubai explicit</x:v>
      </x:c>
      <x:c r="T659" s="6" t="n">
        <x:v>5</x:v>
      </x:c>
      <x:c r="U659" s="6" t="str">
        <x:v>11–20</x:v>
      </x:c>
      <x:c r="V659" s="6" t="str">
        <x:v>Ranking and owner relevance</x:v>
      </x:c>
      <x:c r="W659" s="6" t="str">
        <x:v>Relevant supporting</x:v>
      </x:c>
      <x:c r="X659" s="6" t="n">
        <x:v>655</x:v>
      </x:c>
      <x:c r="Y659" s="6" t="str">
        <x:v>Unconfirmed — joint query/page data required</x:v>
      </x:c>
    </x:row>
    <x:row r="660" ht="42" customHeight="1">
      <x:c r="A660" s="6" t="str">
        <x:v>aston martin oil change dubai</x:v>
      </x:c>
      <x:c r="B660" s="14" t="n">
        <x:v>0</x:v>
      </x:c>
      <x:c r="C660" s="14" t="n">
        <x:v>19</x:v>
      </x:c>
      <x:c r="D660" s="15" t="n">
        <x:v>0</x:v>
      </x:c>
      <x:c r="E660" s="16" t="n">
        <x:v>13.11</x:v>
      </x:c>
      <x:c r="F660" s="6" t="str">
        <x:v>HIGH</x:v>
      </x:c>
      <x:c r="G660" s="17" t="n">
        <x:f>'Scoring'!I660</x:f>
        <x:v>84.3</x:v>
      </x:c>
      <x:c r="H660" s="6" t="str">
        <x:v>SPLIT</x:v>
      </x:c>
      <x:c r="I660" s="6" t="str">
        <x:v>aston-martin: Oil change</x:v>
      </x:c>
      <x:c r="J660" s="6" t="str">
        <x:v>Primary</x:v>
      </x:c>
      <x:c r="K660" s="6" t="str">
        <x:v>Commercial service enquiry</x:v>
      </x:c>
      <x:c r="L660" s="6" t="str">
        <x:v>High</x:v>
      </x:c>
      <x:c r="M660" s="6" t="str">
        <x:v>https://digitecme.com/brands/aston-martin-service-dubai/oil-change</x:v>
      </x:c>
      <x:c r="N660" s="6" t="str">
        <x:v>Unknown — export has no query/page pairing</x:v>
      </x:c>
      <x:c r="O660" s="6" t="str">
        <x:v>Use dedicated service owner</x:v>
      </x:c>
      <x:c r="P660" s="6" t="str">
        <x:v>19 impressions at average position 13.11; strengthen the appropriate intent owner and measure with a fresh comparable period.</x:v>
      </x:c>
      <x:c r="Q660" s="6" t="str">
        <x:v>aston-martin</x:v>
      </x:c>
      <x:c r="R660" s="6" t="str">
        <x:v>oil-change</x:v>
      </x:c>
      <x:c r="S660" s="6" t="str">
        <x:v>Dubai explicit</x:v>
      </x:c>
      <x:c r="T660" s="6" t="n">
        <x:v>5</x:v>
      </x:c>
      <x:c r="U660" s="6" t="str">
        <x:v>11–20</x:v>
      </x:c>
      <x:c r="V660" s="6" t="str">
        <x:v>Ranking and owner relevance</x:v>
      </x:c>
      <x:c r="W660" s="6" t="str">
        <x:v>High-value commercial</x:v>
      </x:c>
      <x:c r="X660" s="6" t="n">
        <x:v>656</x:v>
      </x:c>
      <x:c r="Y660" s="6" t="str">
        <x:v>Unconfirmed — joint query/page data required</x:v>
      </x:c>
    </x:row>
    <x:row r="661" ht="42" customHeight="1">
      <x:c r="A661" s="6" t="str">
        <x:v>lotus service center dubai</x:v>
      </x:c>
      <x:c r="B661" s="14" t="n">
        <x:v>0</x:v>
      </x:c>
      <x:c r="C661" s="14" t="n">
        <x:v>19</x:v>
      </x:c>
      <x:c r="D661" s="15" t="n">
        <x:v>0</x:v>
      </x:c>
      <x:c r="E661" s="16" t="n">
        <x:v>13.68</x:v>
      </x:c>
      <x:c r="F661" s="6" t="str">
        <x:v>HIGH</x:v>
      </x:c>
      <x:c r="G661" s="17" t="n">
        <x:f>'Scoring'!I661</x:f>
        <x:v>84.3</x:v>
      </x:c>
      <x:c r="H661" s="6" t="str">
        <x:v>SUPPORT</x:v>
      </x:c>
      <x:c r="I661" s="6" t="str">
        <x:v>lotus: Service and repair</x:v>
      </x:c>
      <x:c r="J661" s="6" t="str">
        <x:v>Secondary</x:v>
      </x:c>
      <x:c r="K661" s="6" t="str">
        <x:v>Commercial service enquiry</x:v>
      </x:c>
      <x:c r="L661" s="6" t="str">
        <x:v>High</x:v>
      </x:c>
      <x:c r="M661" s="6" t="str">
        <x:v>https://digitecme.com/brands/lotus-service-dubai</x:v>
      </x:c>
      <x:c r="N661" s="6" t="str">
        <x:v>Unknown — export has no query/page pairing</x:v>
      </x:c>
      <x:c r="O661" s="6" t="str">
        <x:v>Retain primary intent and support variants</x:v>
      </x:c>
      <x:c r="P661" s="6" t="str">
        <x:v>19 impressions at average position 13.68; strengthen the appropriate intent owner and measure with a fresh comparable period.</x:v>
      </x:c>
      <x:c r="Q661" s="6" t="str">
        <x:v>lotus</x:v>
      </x:c>
      <x:c r="R661" s="6" t="str">
        <x:v>service-repair</x:v>
      </x:c>
      <x:c r="S661" s="6" t="str">
        <x:v>Dubai explicit</x:v>
      </x:c>
      <x:c r="T661" s="6" t="n">
        <x:v>5</x:v>
      </x:c>
      <x:c r="U661" s="6" t="str">
        <x:v>11–20</x:v>
      </x:c>
      <x:c r="V661" s="6" t="str">
        <x:v>Ranking and owner relevance</x:v>
      </x:c>
      <x:c r="W661" s="6" t="str">
        <x:v>Relevant supporting</x:v>
      </x:c>
      <x:c r="X661" s="6" t="n">
        <x:v>657</x:v>
      </x:c>
      <x:c r="Y661" s="6" t="str">
        <x:v>Unconfirmed — joint query/page data required</x:v>
      </x:c>
    </x:row>
    <x:row r="662" ht="57" customHeight="1">
      <x:c r="A662" s="6" t="str">
        <x:v>mercedes engine tuning</x:v>
      </x:c>
      <x:c r="B662" s="14" t="n">
        <x:v>0</x:v>
      </x:c>
      <x:c r="C662" s="14" t="n">
        <x:v>19</x:v>
      </x:c>
      <x:c r="D662" s="15" t="n">
        <x:v>0</x:v>
      </x:c>
      <x:c r="E662" s="16" t="n">
        <x:v>13.84</x:v>
      </x:c>
      <x:c r="F662" s="6" t="str">
        <x:v>HIGH</x:v>
      </x:c>
      <x:c r="G662" s="17" t="n">
        <x:f>'Scoring'!I662</x:f>
        <x:v>79.3</x:v>
      </x:c>
      <x:c r="H662" s="6" t="str">
        <x:v>SUPPORT</x:v>
      </x:c>
      <x:c r="I662" s="6" t="str">
        <x:v>All vehicles: Performance tuning</x:v>
      </x:c>
      <x:c r="J662" s="6" t="str">
        <x:v>Secondary</x:v>
      </x:c>
      <x:c r="K662" s="6" t="str">
        <x:v>Commercial service enquiry</x:v>
      </x:c>
      <x:c r="L662" s="6" t="str">
        <x:v>High</x:v>
      </x:c>
      <x:c r="M662" s="6" t="str">
        <x:v>https://digitecme.com/tuning</x:v>
      </x:c>
      <x:c r="N662" s="6" t="str">
        <x:v>Unknown — export has no query/page pairing</x:v>
      </x:c>
      <x:c r="O662" s="6" t="str">
        <x:v>Retain primary intent and support variants</x:v>
      </x:c>
      <x:c r="P662" s="6" t="str">
        <x:v>Use the existing tuning page; model scope and any GAD relationship require verified facts. 19 impressions at average position 13.84; strengthen the appropriate intent owner and measure with a fresh comparable period.</x:v>
      </x:c>
      <x:c r="Q662" s="6" t="str">
        <x:v>mercedes-benz</x:v>
      </x:c>
      <x:c r="R662" s="6" t="str">
        <x:v>tuning</x:v>
      </x:c>
      <x:c r="S662" s="6" t="str">
        <x:v>Location unspecified</x:v>
      </x:c>
      <x:c r="T662" s="6" t="n">
        <x:v>5</x:v>
      </x:c>
      <x:c r="U662" s="6" t="str">
        <x:v>11–20</x:v>
      </x:c>
      <x:c r="V662" s="6" t="str">
        <x:v>Ranking and owner relevance</x:v>
      </x:c>
      <x:c r="W662" s="6" t="str">
        <x:v>Relevant supporting</x:v>
      </x:c>
      <x:c r="X662" s="6" t="n">
        <x:v>658</x:v>
      </x:c>
      <x:c r="Y662" s="6" t="str">
        <x:v>Unconfirmed — joint query/page data required</x:v>
      </x:c>
    </x:row>
    <x:row r="663" ht="42" customHeight="1">
      <x:c r="A663" s="6" t="str">
        <x:v>land rover brake repair</x:v>
      </x:c>
      <x:c r="B663" s="14" t="n">
        <x:v>0</x:v>
      </x:c>
      <x:c r="C663" s="14" t="n">
        <x:v>19</x:v>
      </x:c>
      <x:c r="D663" s="15" t="n">
        <x:v>0</x:v>
      </x:c>
      <x:c r="E663" s="16" t="n">
        <x:v>17.79</x:v>
      </x:c>
      <x:c r="F663" s="6" t="str">
        <x:v>HIGH</x:v>
      </x:c>
      <x:c r="G663" s="17" t="n">
        <x:f>'Scoring'!I663</x:f>
        <x:v>71.8</x:v>
      </x:c>
      <x:c r="H663" s="6" t="str">
        <x:v>SPLIT</x:v>
      </x:c>
      <x:c r="I663" s="6" t="str">
        <x:v>land-rover: Brake repair</x:v>
      </x:c>
      <x:c r="J663" s="6" t="str">
        <x:v>Primary</x:v>
      </x:c>
      <x:c r="K663" s="6" t="str">
        <x:v>Commercial service enquiry</x:v>
      </x:c>
      <x:c r="L663" s="6" t="str">
        <x:v>High</x:v>
      </x:c>
      <x:c r="M663" s="6" t="str">
        <x:v>https://digitecme.com/brands/land-rover-service-dubai/brake-repair</x:v>
      </x:c>
      <x:c r="N663" s="6" t="str">
        <x:v>Unknown — export has no query/page pairing</x:v>
      </x:c>
      <x:c r="O663" s="6" t="str">
        <x:v>Use dedicated service owner</x:v>
      </x:c>
      <x:c r="P663" s="6" t="str">
        <x:v>19 impressions at average position 17.79; strengthen the appropriate intent owner and measure with a fresh comparable period.</x:v>
      </x:c>
      <x:c r="Q663" s="6" t="str">
        <x:v>land-rover</x:v>
      </x:c>
      <x:c r="R663" s="6" t="str">
        <x:v>brake-repair</x:v>
      </x:c>
      <x:c r="S663" s="6" t="str">
        <x:v>Location unspecified</x:v>
      </x:c>
      <x:c r="T663" s="6" t="n">
        <x:v>5</x:v>
      </x:c>
      <x:c r="U663" s="6" t="str">
        <x:v>11–20</x:v>
      </x:c>
      <x:c r="V663" s="6" t="str">
        <x:v>Ranking and owner relevance</x:v>
      </x:c>
      <x:c r="W663" s="6" t="str">
        <x:v>High-value commercial</x:v>
      </x:c>
      <x:c r="X663" s="6" t="n">
        <x:v>659</x:v>
      </x:c>
      <x:c r="Y663" s="6" t="str">
        <x:v>Unconfirmed — joint query/page data required</x:v>
      </x:c>
    </x:row>
    <x:row r="664" ht="42" customHeight="1">
      <x:c r="A664" s="6" t="str">
        <x:v>maybach repair</x:v>
      </x:c>
      <x:c r="B664" s="14" t="n">
        <x:v>0</x:v>
      </x:c>
      <x:c r="C664" s="14" t="n">
        <x:v>19</x:v>
      </x:c>
      <x:c r="D664" s="15" t="n">
        <x:v>0</x:v>
      </x:c>
      <x:c r="E664" s="16" t="n">
        <x:v>18.42</x:v>
      </x:c>
      <x:c r="F664" s="6" t="str">
        <x:v>HIGH</x:v>
      </x:c>
      <x:c r="G664" s="17" t="n">
        <x:f>'Scoring'!I664</x:f>
        <x:v>71.8</x:v>
      </x:c>
      <x:c r="H664" s="6" t="str">
        <x:v>SUPPORT</x:v>
      </x:c>
      <x:c r="I664" s="6" t="str">
        <x:v>maybach: Service and repair</x:v>
      </x:c>
      <x:c r="J664" s="6" t="str">
        <x:v>Secondary</x:v>
      </x:c>
      <x:c r="K664" s="6" t="str">
        <x:v>Commercial service enquiry</x:v>
      </x:c>
      <x:c r="L664" s="6" t="str">
        <x:v>High</x:v>
      </x:c>
      <x:c r="M664" s="6" t="str">
        <x:v>https://digitecme.com/brands/maybach-service-dubai</x:v>
      </x:c>
      <x:c r="N664" s="6" t="str">
        <x:v>Unknown — export has no query/page pairing</x:v>
      </x:c>
      <x:c r="O664" s="6" t="str">
        <x:v>Retain primary intent and support variants</x:v>
      </x:c>
      <x:c r="P664" s="6" t="str">
        <x:v>19 impressions at average position 18.42; strengthen the appropriate intent owner and measure with a fresh comparable period.</x:v>
      </x:c>
      <x:c r="Q664" s="6" t="str">
        <x:v>maybach</x:v>
      </x:c>
      <x:c r="R664" s="6" t="str">
        <x:v>service-repair</x:v>
      </x:c>
      <x:c r="S664" s="6" t="str">
        <x:v>Location unspecified</x:v>
      </x:c>
      <x:c r="T664" s="6" t="n">
        <x:v>5</x:v>
      </x:c>
      <x:c r="U664" s="6" t="str">
        <x:v>11–20</x:v>
      </x:c>
      <x:c r="V664" s="6" t="str">
        <x:v>Ranking and owner relevance</x:v>
      </x:c>
      <x:c r="W664" s="6" t="str">
        <x:v>Relevant supporting</x:v>
      </x:c>
      <x:c r="X664" s="6" t="n">
        <x:v>660</x:v>
      </x:c>
      <x:c r="Y664" s="6" t="str">
        <x:v>Unconfirmed — joint query/page data required</x:v>
      </x:c>
    </x:row>
    <x:row r="665" ht="42" customHeight="1">
      <x:c r="A665" s="6" t="str">
        <x:v>car workshop</x:v>
      </x:c>
      <x:c r="B665" s="14" t="n">
        <x:v>0</x:v>
      </x:c>
      <x:c r="C665" s="14" t="n">
        <x:v>19</x:v>
      </x:c>
      <x:c r="D665" s="15" t="n">
        <x:v>0</x:v>
      </x:c>
      <x:c r="E665" s="16" t="n">
        <x:v>18.74</x:v>
      </x:c>
      <x:c r="F665" s="6" t="str">
        <x:v>HIGH</x:v>
      </x:c>
      <x:c r="G665" s="17" t="n">
        <x:f>'Scoring'!I665</x:f>
        <x:v>63.8</x:v>
      </x:c>
      <x:c r="H665" s="6" t="str">
        <x:v>SUPPORT</x:v>
      </x:c>
      <x:c r="I665" s="6" t="str">
        <x:v>All vehicles: General garage and repair (English)</x:v>
      </x:c>
      <x:c r="J665" s="6" t="str">
        <x:v>Secondary</x:v>
      </x:c>
      <x:c r="K665" s="6" t="str">
        <x:v>Commercial service enquiry</x:v>
      </x:c>
      <x:c r="L665" s="6" t="str">
        <x:v>High</x:v>
      </x:c>
      <x:c r="M665" s="6" t="str">
        <x:v>https://digitecme.com/services/car-garage-dubai</x:v>
      </x:c>
      <x:c r="N665" s="6" t="str">
        <x:v>Unknown — export has no query/page pairing</x:v>
      </x:c>
      <x:c r="O665" s="6" t="str">
        <x:v>Retain primary intent and support variants</x:v>
      </x:c>
      <x:c r="P665" s="6" t="str">
        <x:v>19 impressions at average position 18.74; strengthen the appropriate intent owner and measure with a fresh comparable period.</x:v>
      </x:c>
      <x:c r="Q665" s="6" t="str">
        <x:v>All vehicles</x:v>
      </x:c>
      <x:c r="R665" s="6" t="str">
        <x:v>service-repair</x:v>
      </x:c>
      <x:c r="S665" s="6" t="str">
        <x:v>Location unspecified</x:v>
      </x:c>
      <x:c r="T665" s="6" t="n">
        <x:v>3</x:v>
      </x:c>
      <x:c r="U665" s="6" t="str">
        <x:v>11–20</x:v>
      </x:c>
      <x:c r="V665" s="6" t="str">
        <x:v>Ranking and owner relevance</x:v>
      </x:c>
      <x:c r="W665" s="6" t="str">
        <x:v>Relevant supporting</x:v>
      </x:c>
      <x:c r="X665" s="6" t="n">
        <x:v>661</x:v>
      </x:c>
      <x:c r="Y665" s="6" t="str">
        <x:v>Unconfirmed — joint query/page data required</x:v>
      </x:c>
    </x:row>
    <x:row r="666" ht="42" customHeight="1">
      <x:c r="A666" s="6" t="str">
        <x:v>chevrolet service center dubai</x:v>
      </x:c>
      <x:c r="B666" s="14" t="n">
        <x:v>0</x:v>
      </x:c>
      <x:c r="C666" s="14" t="n">
        <x:v>19</x:v>
      </x:c>
      <x:c r="D666" s="15" t="n">
        <x:v>0</x:v>
      </x:c>
      <x:c r="E666" s="16" t="n">
        <x:v>20.89</x:v>
      </x:c>
      <x:c r="F666" s="6" t="str">
        <x:v>HIGH</x:v>
      </x:c>
      <x:c r="G666" s="17" t="n">
        <x:f>'Scoring'!I666</x:f>
        <x:v>68.8</x:v>
      </x:c>
      <x:c r="H666" s="6" t="str">
        <x:v>SUPPORT</x:v>
      </x:c>
      <x:c r="I666" s="6" t="str">
        <x:v>chevrolet: Service and repair</x:v>
      </x:c>
      <x:c r="J666" s="6" t="str">
        <x:v>Secondary</x:v>
      </x:c>
      <x:c r="K666" s="6" t="str">
        <x:v>Commercial service enquiry</x:v>
      </x:c>
      <x:c r="L666" s="6" t="str">
        <x:v>High</x:v>
      </x:c>
      <x:c r="M666" s="6" t="str">
        <x:v>https://digitecme.com/brands/chevrolet-service-dubai</x:v>
      </x:c>
      <x:c r="N666" s="6" t="str">
        <x:v>Unknown — export has no query/page pairing</x:v>
      </x:c>
      <x:c r="O666" s="6" t="str">
        <x:v>Retain primary intent and support variants</x:v>
      </x:c>
      <x:c r="P666" s="6" t="str">
        <x:v>Average position 20.89 makes ranking the main issue; avoid a CTR-only rewrite.</x:v>
      </x:c>
      <x:c r="Q666" s="6" t="str">
        <x:v>chevrolet</x:v>
      </x:c>
      <x:c r="R666" s="6" t="str">
        <x:v>service-repair</x:v>
      </x:c>
      <x:c r="S666" s="6" t="str">
        <x:v>Dubai explicit</x:v>
      </x:c>
      <x:c r="T666" s="6" t="n">
        <x:v>3</x:v>
      </x:c>
      <x:c r="U666" s="6" t="str">
        <x:v>21–40</x:v>
      </x:c>
      <x:c r="V666" s="6" t="str">
        <x:v>Content, internal authority and owner alignment</x:v>
      </x:c>
      <x:c r="W666" s="6" t="str">
        <x:v>Relevant supporting</x:v>
      </x:c>
      <x:c r="X666" s="6" t="n">
        <x:v>662</x:v>
      </x:c>
      <x:c r="Y666" s="6" t="str">
        <x:v>Unconfirmed — joint query/page data required</x:v>
      </x:c>
    </x:row>
    <x:row r="667" ht="42" customHeight="1">
      <x:c r="A667" s="6" t="str">
        <x:v>aston martin engine repair abu dhabi</x:v>
      </x:c>
      <x:c r="B667" s="14" t="n">
        <x:v>0</x:v>
      </x:c>
      <x:c r="C667" s="14" t="n">
        <x:v>19</x:v>
      </x:c>
      <x:c r="D667" s="15" t="n">
        <x:v>0</x:v>
      </x:c>
      <x:c r="E667" s="16" t="n">
        <x:v>21.68</x:v>
      </x:c>
      <x:c r="F667" s="6" t="str">
        <x:v>DEPRIORITIZE</x:v>
      </x:c>
      <x:c r="G667" s="17" t="n">
        <x:f>'Scoring'!I667</x:f>
        <x:v>12.2</x:v>
      </x:c>
      <x:c r="H667" s="6" t="str">
        <x:v>DEPRIORITIZE</x:v>
      </x:c>
      <x:c r="I667" s="6" t="str">
        <x:v>aston-martin: Engine and mechanical repair (outside Dubai)</x:v>
      </x:c>
      <x:c r="J667" s="6" t="str">
        <x:v>Primary</x:v>
      </x:c>
      <x:c r="K667" s="6" t="str">
        <x:v>Commercial service enquiry</x:v>
      </x:c>
      <x:c r="L667" s="6" t="str">
        <x:v>Low</x:v>
      </x:c>
      <x:c r="M667" s="6" t="str">
        <x:v>https://digitecme.com/brands/aston-martin-service-dubai/mechanical-repair</x:v>
      </x:c>
      <x:c r="N667" s="6" t="str">
        <x:v>Unknown — export has no query/page pairing</x:v>
      </x:c>
      <x:c r="O667" s="6" t="str">
        <x:v>Confirm scope or deprioritize</x:v>
      </x:c>
      <x:c r="P667" s="6" t="str">
        <x:v>Explicit destination differs from the Al Quoz workshop; do not claim a local branch or service coverage. Average position 21.68 makes ranking the main issue; avoid a CTR-only rewrite.</x:v>
      </x:c>
      <x:c r="Q667" s="6" t="str">
        <x:v>aston-martin</x:v>
      </x:c>
      <x:c r="R667" s="6" t="str">
        <x:v>mechanical-repair</x:v>
      </x:c>
      <x:c r="S667" s="6" t="str">
        <x:v>Outside Dubai</x:v>
      </x:c>
      <x:c r="T667" s="6" t="n">
        <x:v>1</x:v>
      </x:c>
      <x:c r="U667" s="6" t="str">
        <x:v>21–40</x:v>
      </x:c>
      <x:c r="V667" s="6" t="str">
        <x:v>Content, internal authority and owner alignment</x:v>
      </x:c>
      <x:c r="W667" s="6" t="str">
        <x:v>Low-value</x:v>
      </x:c>
      <x:c r="X667" s="6" t="n">
        <x:v>663</x:v>
      </x:c>
      <x:c r="Y667" s="6" t="str">
        <x:v>Unconfirmed — joint query/page data required</x:v>
      </x:c>
    </x:row>
    <x:row r="668" ht="42" customHeight="1">
      <x:c r="A668" s="6" t="str">
        <x:v>car power steering repair in abu dhabi</x:v>
      </x:c>
      <x:c r="B668" s="14" t="n">
        <x:v>0</x:v>
      </x:c>
      <x:c r="C668" s="14" t="n">
        <x:v>19</x:v>
      </x:c>
      <x:c r="D668" s="15" t="n">
        <x:v>0</x:v>
      </x:c>
      <x:c r="E668" s="16" t="n">
        <x:v>22.89</x:v>
      </x:c>
      <x:c r="F668" s="6" t="str">
        <x:v>DEPRIORITIZE</x:v>
      </x:c>
      <x:c r="G668" s="17" t="n">
        <x:f>'Scoring'!I668</x:f>
        <x:v>12.2</x:v>
      </x:c>
      <x:c r="H668" s="6" t="str">
        <x:v>DEPRIORITIZE</x:v>
      </x:c>
      <x:c r="I668" s="6" t="str">
        <x:v>All vehicles: Steering repair (outside Dubai)</x:v>
      </x:c>
      <x:c r="J668" s="6" t="str">
        <x:v>Primary</x:v>
      </x:c>
      <x:c r="K668" s="6" t="str">
        <x:v>Commercial service enquiry</x:v>
      </x:c>
      <x:c r="L668" s="6" t="str">
        <x:v>Low</x:v>
      </x:c>
      <x:c r="M668" s="6" t="str">
        <x:v>https://digitecme.com/services/steering-repair-dubai</x:v>
      </x:c>
      <x:c r="N668" s="6" t="str">
        <x:v>Unknown — export has no query/page pairing</x:v>
      </x:c>
      <x:c r="O668" s="6" t="str">
        <x:v>Confirm scope or deprioritize</x:v>
      </x:c>
      <x:c r="P668" s="6" t="str">
        <x:v>Explicit destination differs from the Al Quoz workshop; do not claim a local branch or service coverage. Average position 22.89 makes ranking the main issue; avoid a CTR-only rewrite.</x:v>
      </x:c>
      <x:c r="Q668" s="6" t="str">
        <x:v>All vehicles</x:v>
      </x:c>
      <x:c r="R668" s="6" t="str">
        <x:v>steering-repair</x:v>
      </x:c>
      <x:c r="S668" s="6" t="str">
        <x:v>Outside Dubai</x:v>
      </x:c>
      <x:c r="T668" s="6" t="n">
        <x:v>1</x:v>
      </x:c>
      <x:c r="U668" s="6" t="str">
        <x:v>21–40</x:v>
      </x:c>
      <x:c r="V668" s="6" t="str">
        <x:v>Content, internal authority and owner alignment</x:v>
      </x:c>
      <x:c r="W668" s="6" t="str">
        <x:v>Low-value</x:v>
      </x:c>
      <x:c r="X668" s="6" t="n">
        <x:v>664</x:v>
      </x:c>
      <x:c r="Y668" s="6" t="str">
        <x:v>Unconfirmed — joint query/page data required</x:v>
      </x:c>
    </x:row>
    <x:row r="669" ht="42" customHeight="1">
      <x:c r="A669" s="6" t="str">
        <x:v>audi transmission repair</x:v>
      </x:c>
      <x:c r="B669" s="14" t="n">
        <x:v>0</x:v>
      </x:c>
      <x:c r="C669" s="14" t="n">
        <x:v>19</x:v>
      </x:c>
      <x:c r="D669" s="15" t="n">
        <x:v>0</x:v>
      </x:c>
      <x:c r="E669" s="16" t="n">
        <x:v>24.74</x:v>
      </x:c>
      <x:c r="F669" s="6" t="str">
        <x:v>HIGH</x:v>
      </x:c>
      <x:c r="G669" s="17" t="n">
        <x:f>'Scoring'!I669</x:f>
        <x:v>71.8</x:v>
      </x:c>
      <x:c r="H669" s="6" t="str">
        <x:v>SPLIT</x:v>
      </x:c>
      <x:c r="I669" s="6" t="str">
        <x:v>audi: Transmission and gearbox repair</x:v>
      </x:c>
      <x:c r="J669" s="6" t="str">
        <x:v>Secondary</x:v>
      </x:c>
      <x:c r="K669" s="6" t="str">
        <x:v>Commercial service enquiry</x:v>
      </x:c>
      <x:c r="L669" s="6" t="str">
        <x:v>High</x:v>
      </x:c>
      <x:c r="M669" s="6" t="str">
        <x:v>https://digitecme.com/brands/audi-service-dubai/transmission-repair</x:v>
      </x:c>
      <x:c r="N669" s="6" t="str">
        <x:v>Unknown — export has no query/page pairing</x:v>
      </x:c>
      <x:c r="O669" s="6" t="str">
        <x:v>Use dedicated service owner</x:v>
      </x:c>
      <x:c r="P669" s="6" t="str">
        <x:v>Average position 24.74 makes ranking the main issue; avoid a CTR-only rewrite.</x:v>
      </x:c>
      <x:c r="Q669" s="6" t="str">
        <x:v>audi</x:v>
      </x:c>
      <x:c r="R669" s="6" t="str">
        <x:v>transmission-repair</x:v>
      </x:c>
      <x:c r="S669" s="6" t="str">
        <x:v>Location unspecified</x:v>
      </x:c>
      <x:c r="T669" s="6" t="n">
        <x:v>5</x:v>
      </x:c>
      <x:c r="U669" s="6" t="str">
        <x:v>21–40</x:v>
      </x:c>
      <x:c r="V669" s="6" t="str">
        <x:v>Content, internal authority and owner alignment</x:v>
      </x:c>
      <x:c r="W669" s="6" t="str">
        <x:v>High-value commercial</x:v>
      </x:c>
      <x:c r="X669" s="6" t="n">
        <x:v>665</x:v>
      </x:c>
      <x:c r="Y669" s="6" t="str">
        <x:v>Unconfirmed — joint query/page data required</x:v>
      </x:c>
    </x:row>
    <x:row r="670" ht="42" customHeight="1">
      <x:c r="A670" s="6" t="str">
        <x:v>bmw major service dubai</x:v>
      </x:c>
      <x:c r="B670" s="14" t="n">
        <x:v>0</x:v>
      </x:c>
      <x:c r="C670" s="14" t="n">
        <x:v>19</x:v>
      </x:c>
      <x:c r="D670" s="15" t="n">
        <x:v>0</x:v>
      </x:c>
      <x:c r="E670" s="16" t="n">
        <x:v>26.47</x:v>
      </x:c>
      <x:c r="F670" s="6" t="str">
        <x:v>HIGH</x:v>
      </x:c>
      <x:c r="G670" s="17" t="n">
        <x:f>'Scoring'!I670</x:f>
        <x:v>76.8</x:v>
      </x:c>
      <x:c r="H670" s="6" t="str">
        <x:v>SUPPORT</x:v>
      </x:c>
      <x:c r="I670" s="6" t="str">
        <x:v>bmw: Service and repair (English)</x:v>
      </x:c>
      <x:c r="J670" s="6" t="str">
        <x:v>Secondary</x:v>
      </x:c>
      <x:c r="K670" s="6" t="str">
        <x:v>Commercial service enquiry</x:v>
      </x:c>
      <x:c r="L670" s="6" t="str">
        <x:v>High</x:v>
      </x:c>
      <x:c r="M670" s="6" t="str">
        <x:v>https://digitecme.com/brands/bmw-service-dubai</x:v>
      </x:c>
      <x:c r="N670" s="6" t="str">
        <x:v>Unknown — export has no query/page pairing</x:v>
      </x:c>
      <x:c r="O670" s="6" t="str">
        <x:v>Retain primary intent and support variants</x:v>
      </x:c>
      <x:c r="P670" s="6" t="str">
        <x:v>Average position 26.47 makes ranking the main issue; avoid a CTR-only rewrite.</x:v>
      </x:c>
      <x:c r="Q670" s="6" t="str">
        <x:v>bmw</x:v>
      </x:c>
      <x:c r="R670" s="6" t="str">
        <x:v>service-repair</x:v>
      </x:c>
      <x:c r="S670" s="6" t="str">
        <x:v>Dubai explicit</x:v>
      </x:c>
      <x:c r="T670" s="6" t="n">
        <x:v>5</x:v>
      </x:c>
      <x:c r="U670" s="6" t="str">
        <x:v>21–40</x:v>
      </x:c>
      <x:c r="V670" s="6" t="str">
        <x:v>Content, internal authority and owner alignment</x:v>
      </x:c>
      <x:c r="W670" s="6" t="str">
        <x:v>Relevant supporting</x:v>
      </x:c>
      <x:c r="X670" s="6" t="n">
        <x:v>666</x:v>
      </x:c>
      <x:c r="Y670" s="6" t="str">
        <x:v>Unconfirmed — joint query/page data required</x:v>
      </x:c>
    </x:row>
    <x:row r="671" ht="42" customHeight="1">
      <x:c r="A671" s="6" t="str">
        <x:v>auto workshop dubai</x:v>
      </x:c>
      <x:c r="B671" s="14" t="n">
        <x:v>0</x:v>
      </x:c>
      <x:c r="C671" s="14" t="n">
        <x:v>19</x:v>
      </x:c>
      <x:c r="D671" s="15" t="n">
        <x:v>0</x:v>
      </x:c>
      <x:c r="E671" s="16" t="n">
        <x:v>34.16</x:v>
      </x:c>
      <x:c r="F671" s="6" t="str">
        <x:v>GROWTH</x:v>
      </x:c>
      <x:c r="G671" s="17" t="n">
        <x:f>'Scoring'!I671</x:f>
        <x:v>61.3</x:v>
      </x:c>
      <x:c r="H671" s="6" t="str">
        <x:v>SUPPORT</x:v>
      </x:c>
      <x:c r="I671" s="6" t="str">
        <x:v>All vehicles: General garage and repair (English)</x:v>
      </x:c>
      <x:c r="J671" s="6" t="str">
        <x:v>Secondary</x:v>
      </x:c>
      <x:c r="K671" s="6" t="str">
        <x:v>Commercial service enquiry</x:v>
      </x:c>
      <x:c r="L671" s="6" t="str">
        <x:v>High</x:v>
      </x:c>
      <x:c r="M671" s="6" t="str">
        <x:v>https://digitecme.com/services/car-garage-dubai</x:v>
      </x:c>
      <x:c r="N671" s="6" t="str">
        <x:v>Unknown — export has no query/page pairing</x:v>
      </x:c>
      <x:c r="O671" s="6" t="str">
        <x:v>Retain primary intent and support variants</x:v>
      </x:c>
      <x:c r="P671" s="6" t="str">
        <x:v>Average position 34.16 makes ranking the main issue; avoid a CTR-only rewrite.</x:v>
      </x:c>
      <x:c r="Q671" s="6" t="str">
        <x:v>All vehicles</x:v>
      </x:c>
      <x:c r="R671" s="6" t="str">
        <x:v>service-repair</x:v>
      </x:c>
      <x:c r="S671" s="6" t="str">
        <x:v>Dubai explicit</x:v>
      </x:c>
      <x:c r="T671" s="6" t="n">
        <x:v>3</x:v>
      </x:c>
      <x:c r="U671" s="6" t="str">
        <x:v>21–40</x:v>
      </x:c>
      <x:c r="V671" s="6" t="str">
        <x:v>Content, internal authority and owner alignment</x:v>
      </x:c>
      <x:c r="W671" s="6" t="str">
        <x:v>Relevant supporting</x:v>
      </x:c>
      <x:c r="X671" s="6" t="n">
        <x:v>667</x:v>
      </x:c>
      <x:c r="Y671" s="6" t="str">
        <x:v>Unconfirmed — joint query/page data required</x:v>
      </x:c>
    </x:row>
    <x:row r="672" ht="42" customHeight="1">
      <x:c r="A672" s="6" t="str">
        <x:v>porsche panamera repair dubai</x:v>
      </x:c>
      <x:c r="B672" s="14" t="n">
        <x:v>0</x:v>
      </x:c>
      <x:c r="C672" s="14" t="n">
        <x:v>19</x:v>
      </x:c>
      <x:c r="D672" s="15" t="n">
        <x:v>0</x:v>
      </x:c>
      <x:c r="E672" s="16" t="n">
        <x:v>34.63</x:v>
      </x:c>
      <x:c r="F672" s="6" t="str">
        <x:v>GROWTH</x:v>
      </x:c>
      <x:c r="G672" s="17" t="n">
        <x:f>'Scoring'!I672</x:f>
        <x:v>69.3</x:v>
      </x:c>
      <x:c r="H672" s="6" t="str">
        <x:v>PRIORITIZE</x:v>
      </x:c>
      <x:c r="I672" s="6" t="str">
        <x:v>porsche: Panamera service</x:v>
      </x:c>
      <x:c r="J672" s="6" t="str">
        <x:v>Primary</x:v>
      </x:c>
      <x:c r="K672" s="6" t="str">
        <x:v>Commercial service enquiry</x:v>
      </x:c>
      <x:c r="L672" s="6" t="str">
        <x:v>High</x:v>
      </x:c>
      <x:c r="M672" s="6" t="str">
        <x:v>https://digitecme.com/blog/porsche-panamera-service-dubai-guide</x:v>
      </x:c>
      <x:c r="N672" s="6" t="str">
        <x:v>Unknown — export has no query/page pairing</x:v>
      </x:c>
      <x:c r="O672" s="6" t="str">
        <x:v>Strengthen this primary intent owner</x:v>
      </x:c>
      <x:c r="P672" s="6" t="str">
        <x:v>Average position 34.63 makes ranking the main issue; avoid a CTR-only rewrite.</x:v>
      </x:c>
      <x:c r="Q672" s="6" t="str">
        <x:v>porsche</x:v>
      </x:c>
      <x:c r="R672" s="6" t="str">
        <x:v>service-repair</x:v>
      </x:c>
      <x:c r="S672" s="6" t="str">
        <x:v>Dubai explicit</x:v>
      </x:c>
      <x:c r="T672" s="6" t="n">
        <x:v>5</x:v>
      </x:c>
      <x:c r="U672" s="6" t="str">
        <x:v>21–40</x:v>
      </x:c>
      <x:c r="V672" s="6" t="str">
        <x:v>Content, internal authority and owner alignment</x:v>
      </x:c>
      <x:c r="W672" s="6" t="str">
        <x:v>High-value commercial</x:v>
      </x:c>
      <x:c r="X672" s="6" t="n">
        <x:v>668</x:v>
      </x:c>
      <x:c r="Y672" s="6" t="str">
        <x:v>Unconfirmed — joint query/page data required</x:v>
      </x:c>
    </x:row>
    <x:row r="673" ht="42" customHeight="1">
      <x:c r="A673" s="6" t="str">
        <x:v>ford repair in dubai</x:v>
      </x:c>
      <x:c r="B673" s="14" t="n">
        <x:v>0</x:v>
      </x:c>
      <x:c r="C673" s="14" t="n">
        <x:v>19</x:v>
      </x:c>
      <x:c r="D673" s="15" t="n">
        <x:v>0</x:v>
      </x:c>
      <x:c r="E673" s="16" t="n">
        <x:v>42.37</x:v>
      </x:c>
      <x:c r="F673" s="6" t="str">
        <x:v>GROWTH</x:v>
      </x:c>
      <x:c r="G673" s="17" t="n">
        <x:f>'Scoring'!I673</x:f>
        <x:v>55.1</x:v>
      </x:c>
      <x:c r="H673" s="6" t="str">
        <x:v>SUPPORT</x:v>
      </x:c>
      <x:c r="I673" s="6" t="str">
        <x:v>ford: Service and repair (English)</x:v>
      </x:c>
      <x:c r="J673" s="6" t="str">
        <x:v>Secondary</x:v>
      </x:c>
      <x:c r="K673" s="6" t="str">
        <x:v>Commercial service enquiry</x:v>
      </x:c>
      <x:c r="L673" s="6" t="str">
        <x:v>High</x:v>
      </x:c>
      <x:c r="M673" s="6" t="str">
        <x:v>https://digitecme.com/brands/ford-service-dubai</x:v>
      </x:c>
      <x:c r="N673" s="6" t="str">
        <x:v>Unknown — export has no query/page pairing</x:v>
      </x:c>
      <x:c r="O673" s="6" t="str">
        <x:v>Retain primary intent and support variants</x:v>
      </x:c>
      <x:c r="P673" s="6" t="str">
        <x:v>Average position 42.37 makes ranking the main issue; avoid a CTR-only rewrite.</x:v>
      </x:c>
      <x:c r="Q673" s="6" t="str">
        <x:v>ford</x:v>
      </x:c>
      <x:c r="R673" s="6" t="str">
        <x:v>service-repair</x:v>
      </x:c>
      <x:c r="S673" s="6" t="str">
        <x:v>Dubai explicit</x:v>
      </x:c>
      <x:c r="T673" s="6" t="n">
        <x:v>3</x:v>
      </x:c>
      <x:c r="U673" s="6" t="str">
        <x:v>40+</x:v>
      </x:c>
      <x:c r="V673" s="6" t="str">
        <x:v>Relevance, capability, indexing and authority review</x:v>
      </x:c>
      <x:c r="W673" s="6" t="str">
        <x:v>Relevant supporting</x:v>
      </x:c>
      <x:c r="X673" s="6" t="n">
        <x:v>669</x:v>
      </x:c>
      <x:c r="Y673" s="6" t="str">
        <x:v>Unconfirmed — joint query/page data required</x:v>
      </x:c>
    </x:row>
    <x:row r="674" ht="42" customHeight="1">
      <x:c r="A674" s="6" t="str">
        <x:v>volkswagen repair</x:v>
      </x:c>
      <x:c r="B674" s="14" t="n">
        <x:v>0</x:v>
      </x:c>
      <x:c r="C674" s="14" t="n">
        <x:v>19</x:v>
      </x:c>
      <x:c r="D674" s="15" t="n">
        <x:v>0</x:v>
      </x:c>
      <x:c r="E674" s="16" t="n">
        <x:v>43.89</x:v>
      </x:c>
      <x:c r="F674" s="6" t="str">
        <x:v>GROWTH</x:v>
      </x:c>
      <x:c r="G674" s="17" t="n">
        <x:f>'Scoring'!I674</x:f>
        <x:v>50.1</x:v>
      </x:c>
      <x:c r="H674" s="6" t="str">
        <x:v>SUPPORT</x:v>
      </x:c>
      <x:c r="I674" s="6" t="str">
        <x:v>volkswagen: Service and repair (English)</x:v>
      </x:c>
      <x:c r="J674" s="6" t="str">
        <x:v>Secondary</x:v>
      </x:c>
      <x:c r="K674" s="6" t="str">
        <x:v>Commercial service enquiry</x:v>
      </x:c>
      <x:c r="L674" s="6" t="str">
        <x:v>High</x:v>
      </x:c>
      <x:c r="M674" s="6" t="str">
        <x:v>https://digitecme.com/brands/volkswagen-service-dubai</x:v>
      </x:c>
      <x:c r="N674" s="6" t="str">
        <x:v>Unknown — export has no query/page pairing</x:v>
      </x:c>
      <x:c r="O674" s="6" t="str">
        <x:v>Retain primary intent and support variants</x:v>
      </x:c>
      <x:c r="P674" s="6" t="str">
        <x:v>Average position 43.89 makes ranking the main issue; avoid a CTR-only rewrite.</x:v>
      </x:c>
      <x:c r="Q674" s="6" t="str">
        <x:v>volkswagen</x:v>
      </x:c>
      <x:c r="R674" s="6" t="str">
        <x:v>service-repair</x:v>
      </x:c>
      <x:c r="S674" s="6" t="str">
        <x:v>Location unspecified</x:v>
      </x:c>
      <x:c r="T674" s="6" t="n">
        <x:v>3</x:v>
      </x:c>
      <x:c r="U674" s="6" t="str">
        <x:v>40+</x:v>
      </x:c>
      <x:c r="V674" s="6" t="str">
        <x:v>Relevance, capability, indexing and authority review</x:v>
      </x:c>
      <x:c r="W674" s="6" t="str">
        <x:v>Relevant supporting</x:v>
      </x:c>
      <x:c r="X674" s="6" t="n">
        <x:v>670</x:v>
      </x:c>
      <x:c r="Y674" s="6" t="str">
        <x:v>Unconfirmed — joint query/page data required</x:v>
      </x:c>
    </x:row>
    <x:row r="675" ht="42" customHeight="1">
      <x:c r="A675" s="6" t="str">
        <x:v>porsche repair jumeirah</x:v>
      </x:c>
      <x:c r="B675" s="14" t="n">
        <x:v>0</x:v>
      </x:c>
      <x:c r="C675" s="14" t="n">
        <x:v>19</x:v>
      </x:c>
      <x:c r="D675" s="15" t="n">
        <x:v>0</x:v>
      </x:c>
      <x:c r="E675" s="16" t="n">
        <x:v>45.11</x:v>
      </x:c>
      <x:c r="F675" s="6" t="str">
        <x:v>GROWTH</x:v>
      </x:c>
      <x:c r="G675" s="17" t="n">
        <x:f>'Scoring'!I675</x:f>
        <x:v>63.1</x:v>
      </x:c>
      <x:c r="H675" s="6" t="str">
        <x:v>SUPPORT</x:v>
      </x:c>
      <x:c r="I675" s="6" t="str">
        <x:v>porsche: Service and repair (English)</x:v>
      </x:c>
      <x:c r="J675" s="6" t="str">
        <x:v>Secondary</x:v>
      </x:c>
      <x:c r="K675" s="6" t="str">
        <x:v>Commercial service enquiry</x:v>
      </x:c>
      <x:c r="L675" s="6" t="str">
        <x:v>High</x:v>
      </x:c>
      <x:c r="M675" s="6" t="str">
        <x:v>https://digitecme.com/brands/porsche-service-dubai</x:v>
      </x:c>
      <x:c r="N675" s="6" t="str">
        <x:v>Unknown — export has no query/page pairing</x:v>
      </x:c>
      <x:c r="O675" s="6" t="str">
        <x:v>Retain primary intent and support variants</x:v>
      </x:c>
      <x:c r="P675" s="6" t="str">
        <x:v>Use the actual Al Quoz location; no district landing page or implied branch. Average position 45.11 makes ranking the main issue; avoid a CTR-only rewrite.</x:v>
      </x:c>
      <x:c r="Q675" s="6" t="str">
        <x:v>porsche</x:v>
      </x:c>
      <x:c r="R675" s="6" t="str">
        <x:v>service-repair</x:v>
      </x:c>
      <x:c r="S675" s="6" t="str">
        <x:v>Other Dubai district</x:v>
      </x:c>
      <x:c r="T675" s="6" t="n">
        <x:v>5</x:v>
      </x:c>
      <x:c r="U675" s="6" t="str">
        <x:v>40+</x:v>
      </x:c>
      <x:c r="V675" s="6" t="str">
        <x:v>Relevance, capability, indexing and authority review</x:v>
      </x:c>
      <x:c r="W675" s="6" t="str">
        <x:v>Relevant supporting</x:v>
      </x:c>
      <x:c r="X675" s="6" t="n">
        <x:v>671</x:v>
      </x:c>
      <x:c r="Y675" s="6" t="str">
        <x:v>Unconfirmed — joint query/page data required</x:v>
      </x:c>
    </x:row>
    <x:row r="676" ht="42" customHeight="1">
      <x:c r="A676" s="6" t="str">
        <x:v>ferrari auto body shop</x:v>
      </x:c>
      <x:c r="B676" s="14" t="n">
        <x:v>0</x:v>
      </x:c>
      <x:c r="C676" s="14" t="n">
        <x:v>19</x:v>
      </x:c>
      <x:c r="D676" s="15" t="n">
        <x:v>0</x:v>
      </x:c>
      <x:c r="E676" s="16" t="n">
        <x:v>45.84</x:v>
      </x:c>
      <x:c r="F676" s="6" t="str">
        <x:v>GROWTH</x:v>
      </x:c>
      <x:c r="G676" s="17" t="n">
        <x:f>'Scoring'!I676</x:f>
        <x:v>58.1</x:v>
      </x:c>
      <x:c r="H676" s="6" t="str">
        <x:v>SPLIT</x:v>
      </x:c>
      <x:c r="I676" s="6" t="str">
        <x:v>ferrari: Body repair</x:v>
      </x:c>
      <x:c r="J676" s="6" t="str">
        <x:v>Primary</x:v>
      </x:c>
      <x:c r="K676" s="6" t="str">
        <x:v>Commercial service enquiry</x:v>
      </x:c>
      <x:c r="L676" s="6" t="str">
        <x:v>High</x:v>
      </x:c>
      <x:c r="M676" s="6" t="str">
        <x:v>https://digitecme.com/brands/ferrari-service-dubai/body-repair</x:v>
      </x:c>
      <x:c r="N676" s="6" t="str">
        <x:v>Unknown — export has no query/page pairing</x:v>
      </x:c>
      <x:c r="O676" s="6" t="str">
        <x:v>Use dedicated service owner</x:v>
      </x:c>
      <x:c r="P676" s="6" t="str">
        <x:v>Average position 45.84 makes ranking the main issue; avoid a CTR-only rewrite.</x:v>
      </x:c>
      <x:c r="Q676" s="6" t="str">
        <x:v>ferrari</x:v>
      </x:c>
      <x:c r="R676" s="6" t="str">
        <x:v>body-repair</x:v>
      </x:c>
      <x:c r="S676" s="6" t="str">
        <x:v>Location unspecified</x:v>
      </x:c>
      <x:c r="T676" s="6" t="n">
        <x:v>5</x:v>
      </x:c>
      <x:c r="U676" s="6" t="str">
        <x:v>40+</x:v>
      </x:c>
      <x:c r="V676" s="6" t="str">
        <x:v>Relevance, capability, indexing and authority review</x:v>
      </x:c>
      <x:c r="W676" s="6" t="str">
        <x:v>High-value commercial</x:v>
      </x:c>
      <x:c r="X676" s="6" t="n">
        <x:v>672</x:v>
      </x:c>
      <x:c r="Y676" s="6" t="str">
        <x:v>Unconfirmed — joint query/page data required</x:v>
      </x:c>
    </x:row>
    <x:row r="677" ht="42" customHeight="1">
      <x:c r="A677" s="6" t="str">
        <x:v>paint protection film service dubai</x:v>
      </x:c>
      <x:c r="B677" s="14" t="n">
        <x:v>0</x:v>
      </x:c>
      <x:c r="C677" s="14" t="n">
        <x:v>19</x:v>
      </x:c>
      <x:c r="D677" s="15" t="n">
        <x:v>0</x:v>
      </x:c>
      <x:c r="E677" s="16" t="n">
        <x:v>47.95</x:v>
      </x:c>
      <x:c r="F677" s="6" t="str">
        <x:v>GROWTH</x:v>
      </x:c>
      <x:c r="G677" s="17" t="n">
        <x:f>'Scoring'!I677</x:f>
        <x:v>63.1</x:v>
      </x:c>
      <x:c r="H677" s="6" t="str">
        <x:v>SUPPORT</x:v>
      </x:c>
      <x:c r="I677" s="6" t="str">
        <x:v>All vehicles: Paint protection film</x:v>
      </x:c>
      <x:c r="J677" s="6" t="str">
        <x:v>Secondary</x:v>
      </x:c>
      <x:c r="K677" s="6" t="str">
        <x:v>Commercial service enquiry</x:v>
      </x:c>
      <x:c r="L677" s="6" t="str">
        <x:v>High</x:v>
      </x:c>
      <x:c r="M677" s="6" t="str">
        <x:v>https://digitecme.com/services/paint-protection-film</x:v>
      </x:c>
      <x:c r="N677" s="6" t="str">
        <x:v>Unknown — export has no query/page pairing</x:v>
      </x:c>
      <x:c r="O677" s="6" t="str">
        <x:v>Retain primary intent and support variants</x:v>
      </x:c>
      <x:c r="P677" s="6" t="str">
        <x:v>Film intent belongs to the PPF page; vehicle and district terms are secondary context. Average position 47.95 makes ranking the main issue; avoid a CTR-only rewrite.</x:v>
      </x:c>
      <x:c r="Q677" s="6" t="str">
        <x:v>All vehicles</x:v>
      </x:c>
      <x:c r="R677" s="6" t="str">
        <x:v>ppf</x:v>
      </x:c>
      <x:c r="S677" s="6" t="str">
        <x:v>Dubai explicit</x:v>
      </x:c>
      <x:c r="T677" s="6" t="n">
        <x:v>5</x:v>
      </x:c>
      <x:c r="U677" s="6" t="str">
        <x:v>40+</x:v>
      </x:c>
      <x:c r="V677" s="6" t="str">
        <x:v>Relevance, capability, indexing and authority review</x:v>
      </x:c>
      <x:c r="W677" s="6" t="str">
        <x:v>Relevant supporting</x:v>
      </x:c>
      <x:c r="X677" s="6" t="n">
        <x:v>673</x:v>
      </x:c>
      <x:c r="Y677" s="6" t="str">
        <x:v>Unconfirmed — joint query/page data required</x:v>
      </x:c>
    </x:row>
    <x:row r="678" ht="57" customHeight="1">
      <x:c r="A678" s="6" t="str">
        <x:v>brake motors uae</x:v>
      </x:c>
      <x:c r="B678" s="14" t="n">
        <x:v>0</x:v>
      </x:c>
      <x:c r="C678" s="14" t="n">
        <x:v>19</x:v>
      </x:c>
      <x:c r="D678" s="15" t="n">
        <x:v>0</x:v>
      </x:c>
      <x:c r="E678" s="16" t="n">
        <x:v>48.53</x:v>
      </x:c>
      <x:c r="F678" s="6" t="str">
        <x:v>IGNORE</x:v>
      </x:c>
      <x:c r="G678" s="17" t="n">
        <x:f>'Scoring'!I678</x:f>
        <x:v>0</x:v>
      </x:c>
      <x:c r="H678" s="6" t="str">
        <x:v>IGNORE</x:v>
      </x:c>
      <x:c r="I678" s="6" t="str">
        <x:v>Excluded: Industrial or non-automotive</x:v>
      </x:c>
      <x:c r="J678" s="6" t="str">
        <x:v>Secondary</x:v>
      </x:c>
      <x:c r="K678" s="6" t="str">
        <x:v>Other or mismatched intent</x:v>
      </x:c>
      <x:c r="L678" s="6" t="str">
        <x:v>None</x:v>
      </x:c>
      <x:c r="M678" s="6" t="str"/>
      <x:c r="N678" s="6" t="str">
        <x:v>Unknown — export has no query/page pairing</x:v>
      </x:c>
      <x:c r="O678" s="6" t="str">
        <x:v>Do not target</x:v>
      </x:c>
      <x:c r="P678" s="6" t="str">
        <x:v>Dealer, product, industrial, unrelated entity or non-service intent does not match the independent workshop offer. Average position 48.53 makes ranking the main issue; avoid a CTR-only rewrite.</x:v>
      </x:c>
      <x:c r="Q678" s="6" t="str">
        <x:v>All vehicles</x:v>
      </x:c>
      <x:c r="R678" s="6" t="str">
        <x:v>brake-repair</x:v>
      </x:c>
      <x:c r="S678" s="6" t="str">
        <x:v>Location unspecified</x:v>
      </x:c>
      <x:c r="T678" s="6" t="n">
        <x:v>0</x:v>
      </x:c>
      <x:c r="U678" s="6" t="str">
        <x:v>40+</x:v>
      </x:c>
      <x:c r="V678" s="6" t="str">
        <x:v>Relevance, capability, indexing and authority review</x:v>
      </x:c>
      <x:c r="W678" s="6" t="str">
        <x:v>Irrelevant</x:v>
      </x:c>
      <x:c r="X678" s="6" t="n">
        <x:v>674</x:v>
      </x:c>
      <x:c r="Y678" s="6" t="str">
        <x:v>Unconfirmed — joint query/page data required</x:v>
      </x:c>
    </x:row>
    <x:row r="679" ht="42" customHeight="1">
      <x:c r="A679" s="6" t="str">
        <x:v>supercar repair dubai</x:v>
      </x:c>
      <x:c r="B679" s="14" t="n">
        <x:v>0</x:v>
      </x:c>
      <x:c r="C679" s="14" t="n">
        <x:v>19</x:v>
      </x:c>
      <x:c r="D679" s="15" t="n">
        <x:v>0</x:v>
      </x:c>
      <x:c r="E679" s="16" t="n">
        <x:v>49.68</x:v>
      </x:c>
      <x:c r="F679" s="6" t="str">
        <x:v>GROWTH</x:v>
      </x:c>
      <x:c r="G679" s="17" t="n">
        <x:f>'Scoring'!I679</x:f>
        <x:v>55.1</x:v>
      </x:c>
      <x:c r="H679" s="6" t="str">
        <x:v>SUPPORT</x:v>
      </x:c>
      <x:c r="I679" s="6" t="str">
        <x:v>All vehicles: General garage and repair (English)</x:v>
      </x:c>
      <x:c r="J679" s="6" t="str">
        <x:v>Secondary</x:v>
      </x:c>
      <x:c r="K679" s="6" t="str">
        <x:v>Commercial service enquiry</x:v>
      </x:c>
      <x:c r="L679" s="6" t="str">
        <x:v>High</x:v>
      </x:c>
      <x:c r="M679" s="6" t="str">
        <x:v>https://digitecme.com/services/car-garage-dubai</x:v>
      </x:c>
      <x:c r="N679" s="6" t="str">
        <x:v>Unknown — export has no query/page pairing</x:v>
      </x:c>
      <x:c r="O679" s="6" t="str">
        <x:v>Retain primary intent and support variants</x:v>
      </x:c>
      <x:c r="P679" s="6" t="str">
        <x:v>Average position 49.68 makes ranking the main issue; avoid a CTR-only rewrite.</x:v>
      </x:c>
      <x:c r="Q679" s="6" t="str">
        <x:v>All vehicles</x:v>
      </x:c>
      <x:c r="R679" s="6" t="str">
        <x:v>service-repair</x:v>
      </x:c>
      <x:c r="S679" s="6" t="str">
        <x:v>Dubai explicit</x:v>
      </x:c>
      <x:c r="T679" s="6" t="n">
        <x:v>3</x:v>
      </x:c>
      <x:c r="U679" s="6" t="str">
        <x:v>40+</x:v>
      </x:c>
      <x:c r="V679" s="6" t="str">
        <x:v>Relevance, capability, indexing and authority review</x:v>
      </x:c>
      <x:c r="W679" s="6" t="str">
        <x:v>Relevant supporting</x:v>
      </x:c>
      <x:c r="X679" s="6" t="n">
        <x:v>675</x:v>
      </x:c>
      <x:c r="Y679" s="6" t="str">
        <x:v>Unconfirmed — joint query/page data required</x:v>
      </x:c>
    </x:row>
    <x:row r="680" ht="42" customHeight="1">
      <x:c r="A680" s="6" t="str">
        <x:v>car coating dubai</x:v>
      </x:c>
      <x:c r="B680" s="14" t="n">
        <x:v>0</x:v>
      </x:c>
      <x:c r="C680" s="14" t="n">
        <x:v>19</x:v>
      </x:c>
      <x:c r="D680" s="15" t="n">
        <x:v>0</x:v>
      </x:c>
      <x:c r="E680" s="16" t="n">
        <x:v>50.32</x:v>
      </x:c>
      <x:c r="F680" s="6" t="str">
        <x:v>GROWTH</x:v>
      </x:c>
      <x:c r="G680" s="17" t="n">
        <x:f>'Scoring'!I680</x:f>
        <x:v>63.1</x:v>
      </x:c>
      <x:c r="H680" s="6" t="str">
        <x:v>SUPPORT</x:v>
      </x:c>
      <x:c r="I680" s="6" t="str">
        <x:v>All vehicles: Ceramic coating</x:v>
      </x:c>
      <x:c r="J680" s="6" t="str">
        <x:v>Secondary</x:v>
      </x:c>
      <x:c r="K680" s="6" t="str">
        <x:v>Commercial service enquiry</x:v>
      </x:c>
      <x:c r="L680" s="6" t="str">
        <x:v>High</x:v>
      </x:c>
      <x:c r="M680" s="6" t="str">
        <x:v>https://digitecme.com/services/ceramic-coating</x:v>
      </x:c>
      <x:c r="N680" s="6" t="str">
        <x:v>Unknown — export has no query/page pairing</x:v>
      </x:c>
      <x:c r="O680" s="6" t="str">
        <x:v>Retain primary intent and support variants</x:v>
      </x:c>
      <x:c r="P680" s="6" t="str">
        <x:v>Coating intent belongs to the ceramic page; distinguish its limitations from film. Average position 50.32 makes ranking the main issue; avoid a CTR-only rewrite.</x:v>
      </x:c>
      <x:c r="Q680" s="6" t="str">
        <x:v>All vehicles</x:v>
      </x:c>
      <x:c r="R680" s="6" t="str">
        <x:v>ceramic</x:v>
      </x:c>
      <x:c r="S680" s="6" t="str">
        <x:v>Dubai explicit</x:v>
      </x:c>
      <x:c r="T680" s="6" t="n">
        <x:v>5</x:v>
      </x:c>
      <x:c r="U680" s="6" t="str">
        <x:v>40+</x:v>
      </x:c>
      <x:c r="V680" s="6" t="str">
        <x:v>Relevance, capability, indexing and authority review</x:v>
      </x:c>
      <x:c r="W680" s="6" t="str">
        <x:v>Relevant supporting</x:v>
      </x:c>
      <x:c r="X680" s="6" t="n">
        <x:v>676</x:v>
      </x:c>
      <x:c r="Y680" s="6" t="str">
        <x:v>Unconfirmed — joint query/page data required</x:v>
      </x:c>
    </x:row>
    <x:row r="681" ht="42" customHeight="1">
      <x:c r="A681" s="6" t="str">
        <x:v>car body fix</x:v>
      </x:c>
      <x:c r="B681" s="14" t="n">
        <x:v>0</x:v>
      </x:c>
      <x:c r="C681" s="14" t="n">
        <x:v>19</x:v>
      </x:c>
      <x:c r="D681" s="15" t="n">
        <x:v>0</x:v>
      </x:c>
      <x:c r="E681" s="16" t="n">
        <x:v>53.74</x:v>
      </x:c>
      <x:c r="F681" s="6" t="str">
        <x:v>GROWTH</x:v>
      </x:c>
      <x:c r="G681" s="17" t="n">
        <x:f>'Scoring'!I681</x:f>
        <x:v>50.1</x:v>
      </x:c>
      <x:c r="H681" s="6" t="str">
        <x:v>SUPPORT</x:v>
      </x:c>
      <x:c r="I681" s="6" t="str">
        <x:v>All vehicles: Body repair</x:v>
      </x:c>
      <x:c r="J681" s="6" t="str">
        <x:v>Secondary</x:v>
      </x:c>
      <x:c r="K681" s="6" t="str">
        <x:v>Commercial service enquiry</x:v>
      </x:c>
      <x:c r="L681" s="6" t="str">
        <x:v>High</x:v>
      </x:c>
      <x:c r="M681" s="6" t="str">
        <x:v>https://digitecme.com/services/car-body-repair-dubai</x:v>
      </x:c>
      <x:c r="N681" s="6" t="str">
        <x:v>Unknown — export has no query/page pairing</x:v>
      </x:c>
      <x:c r="O681" s="6" t="str">
        <x:v>Retain primary intent and support variants</x:v>
      </x:c>
      <x:c r="P681" s="6" t="str">
        <x:v>Average position 53.74 makes ranking the main issue; avoid a CTR-only rewrite.</x:v>
      </x:c>
      <x:c r="Q681" s="6" t="str">
        <x:v>All vehicles</x:v>
      </x:c>
      <x:c r="R681" s="6" t="str">
        <x:v>body-repair</x:v>
      </x:c>
      <x:c r="S681" s="6" t="str">
        <x:v>Location unspecified</x:v>
      </x:c>
      <x:c r="T681" s="6" t="n">
        <x:v>3</x:v>
      </x:c>
      <x:c r="U681" s="6" t="str">
        <x:v>40+</x:v>
      </x:c>
      <x:c r="V681" s="6" t="str">
        <x:v>Relevance, capability, indexing and authority review</x:v>
      </x:c>
      <x:c r="W681" s="6" t="str">
        <x:v>Relevant supporting</x:v>
      </x:c>
      <x:c r="X681" s="6" t="n">
        <x:v>677</x:v>
      </x:c>
      <x:c r="Y681" s="6" t="str">
        <x:v>Unconfirmed — joint query/page data required</x:v>
      </x:c>
    </x:row>
    <x:row r="682" ht="42" customHeight="1">
      <x:c r="A682" s="6" t="str">
        <x:v>mercedes body shop</x:v>
      </x:c>
      <x:c r="B682" s="14" t="n">
        <x:v>0</x:v>
      </x:c>
      <x:c r="C682" s="14" t="n">
        <x:v>19</x:v>
      </x:c>
      <x:c r="D682" s="15" t="n">
        <x:v>0</x:v>
      </x:c>
      <x:c r="E682" s="16" t="n">
        <x:v>54.84</x:v>
      </x:c>
      <x:c r="F682" s="6" t="str">
        <x:v>GROWTH</x:v>
      </x:c>
      <x:c r="G682" s="17" t="n">
        <x:f>'Scoring'!I682</x:f>
        <x:v>58.1</x:v>
      </x:c>
      <x:c r="H682" s="6" t="str">
        <x:v>SPLIT</x:v>
      </x:c>
      <x:c r="I682" s="6" t="str">
        <x:v>mercedes-benz: Body repair</x:v>
      </x:c>
      <x:c r="J682" s="6" t="str">
        <x:v>Secondary</x:v>
      </x:c>
      <x:c r="K682" s="6" t="str">
        <x:v>Commercial service enquiry</x:v>
      </x:c>
      <x:c r="L682" s="6" t="str">
        <x:v>High</x:v>
      </x:c>
      <x:c r="M682" s="6" t="str">
        <x:v>https://digitecme.com/services/mercedes-body-repair-dubai</x:v>
      </x:c>
      <x:c r="N682" s="6" t="str">
        <x:v>Unknown — export has no query/page pairing</x:v>
      </x:c>
      <x:c r="O682" s="6" t="str">
        <x:v>Use dedicated service owner</x:v>
      </x:c>
      <x:c r="P682" s="6" t="str">
        <x:v>Average position 54.84 makes ranking the main issue; avoid a CTR-only rewrite.</x:v>
      </x:c>
      <x:c r="Q682" s="6" t="str">
        <x:v>mercedes-benz</x:v>
      </x:c>
      <x:c r="R682" s="6" t="str">
        <x:v>body-repair</x:v>
      </x:c>
      <x:c r="S682" s="6" t="str">
        <x:v>Location unspecified</x:v>
      </x:c>
      <x:c r="T682" s="6" t="n">
        <x:v>5</x:v>
      </x:c>
      <x:c r="U682" s="6" t="str">
        <x:v>40+</x:v>
      </x:c>
      <x:c r="V682" s="6" t="str">
        <x:v>Relevance, capability, indexing and authority review</x:v>
      </x:c>
      <x:c r="W682" s="6" t="str">
        <x:v>High-value commercial</x:v>
      </x:c>
      <x:c r="X682" s="6" t="n">
        <x:v>678</x:v>
      </x:c>
      <x:c r="Y682" s="6" t="str">
        <x:v>Unconfirmed — joint query/page data required</x:v>
      </x:c>
    </x:row>
    <x:row r="683" ht="42" customHeight="1">
      <x:c r="A683" s="6" t="str">
        <x:v>mercedes gearbox service</x:v>
      </x:c>
      <x:c r="B683" s="14" t="n">
        <x:v>0</x:v>
      </x:c>
      <x:c r="C683" s="14" t="n">
        <x:v>19</x:v>
      </x:c>
      <x:c r="D683" s="15" t="n">
        <x:v>0</x:v>
      </x:c>
      <x:c r="E683" s="16" t="n">
        <x:v>59.32</x:v>
      </x:c>
      <x:c r="F683" s="6" t="str">
        <x:v>GROWTH</x:v>
      </x:c>
      <x:c r="G683" s="17" t="n">
        <x:f>'Scoring'!I683</x:f>
        <x:v>58.1</x:v>
      </x:c>
      <x:c r="H683" s="6" t="str">
        <x:v>SPLIT</x:v>
      </x:c>
      <x:c r="I683" s="6" t="str">
        <x:v>mercedes-benz: Transmission and gearbox repair</x:v>
      </x:c>
      <x:c r="J683" s="6" t="str">
        <x:v>Secondary</x:v>
      </x:c>
      <x:c r="K683" s="6" t="str">
        <x:v>Commercial service enquiry</x:v>
      </x:c>
      <x:c r="L683" s="6" t="str">
        <x:v>High</x:v>
      </x:c>
      <x:c r="M683" s="6" t="str">
        <x:v>https://digitecme.com/services/mercedes-transmission-repair-dubai</x:v>
      </x:c>
      <x:c r="N683" s="6" t="str">
        <x:v>Unknown — export has no query/page pairing</x:v>
      </x:c>
      <x:c r="O683" s="6" t="str">
        <x:v>Use dedicated service owner</x:v>
      </x:c>
      <x:c r="P683" s="6" t="str">
        <x:v>Average position 59.32 makes ranking the main issue; avoid a CTR-only rewrite.</x:v>
      </x:c>
      <x:c r="Q683" s="6" t="str">
        <x:v>mercedes-benz</x:v>
      </x:c>
      <x:c r="R683" s="6" t="str">
        <x:v>transmission-repair</x:v>
      </x:c>
      <x:c r="S683" s="6" t="str">
        <x:v>Location unspecified</x:v>
      </x:c>
      <x:c r="T683" s="6" t="n">
        <x:v>5</x:v>
      </x:c>
      <x:c r="U683" s="6" t="str">
        <x:v>40+</x:v>
      </x:c>
      <x:c r="V683" s="6" t="str">
        <x:v>Relevance, capability, indexing and authority review</x:v>
      </x:c>
      <x:c r="W683" s="6" t="str">
        <x:v>High-value commercial</x:v>
      </x:c>
      <x:c r="X683" s="6" t="n">
        <x:v>679</x:v>
      </x:c>
      <x:c r="Y683" s="6" t="str">
        <x:v>Unconfirmed — joint query/page data required</x:v>
      </x:c>
    </x:row>
    <x:row r="684" ht="42" customHeight="1">
      <x:c r="A684" s="6" t="str">
        <x:v>exhaust welding near me</x:v>
      </x:c>
      <x:c r="B684" s="14" t="n">
        <x:v>0</x:v>
      </x:c>
      <x:c r="C684" s="14" t="n">
        <x:v>18</x:v>
      </x:c>
      <x:c r="D684" s="15" t="n">
        <x:v>0</x:v>
      </x:c>
      <x:c r="E684" s="16" t="n">
        <x:v>6.67</x:v>
      </x:c>
      <x:c r="F684" s="6" t="str">
        <x:v>HIGH</x:v>
      </x:c>
      <x:c r="G684" s="17" t="n">
        <x:f>'Scoring'!I684</x:f>
        <x:v>76.3</x:v>
      </x:c>
      <x:c r="H684" s="6" t="str">
        <x:v>SUPPORT</x:v>
      </x:c>
      <x:c r="I684" s="6" t="str">
        <x:v>All vehicles: Exhaust repair</x:v>
      </x:c>
      <x:c r="J684" s="6" t="str">
        <x:v>Secondary</x:v>
      </x:c>
      <x:c r="K684" s="6" t="str">
        <x:v>Commercial service enquiry</x:v>
      </x:c>
      <x:c r="L684" s="6" t="str">
        <x:v>High</x:v>
      </x:c>
      <x:c r="M684" s="6" t="str">
        <x:v>https://digitecme.com/services/exhaust-repair-dubai</x:v>
      </x:c>
      <x:c r="N684" s="6" t="str">
        <x:v>Unknown — export has no query/page pairing</x:v>
      </x:c>
      <x:c r="O684" s="6" t="str">
        <x:v>Retain primary intent and support variants</x:v>
      </x:c>
      <x:c r="P684" s="6" t="str">
        <x:v>Zero clicks from 18 impressions at average position 6.67; inspect query/page, country/device and SERP before attributing this to the snippet.</x:v>
      </x:c>
      <x:c r="Q684" s="6" t="str">
        <x:v>All vehicles</x:v>
      </x:c>
      <x:c r="R684" s="6" t="str">
        <x:v>exhaust-repair</x:v>
      </x:c>
      <x:c r="S684" s="6" t="str">
        <x:v>Near me; location unknown</x:v>
      </x:c>
      <x:c r="T684" s="6" t="n">
        <x:v>3</x:v>
      </x:c>
      <x:c r="U684" s="6" t="str">
        <x:v>4–10</x:v>
      </x:c>
      <x:c r="V684" s="6" t="str">
        <x:v>Page-one CTR review and top-three relevance</x:v>
      </x:c>
      <x:c r="W684" s="6" t="str">
        <x:v>Relevant supporting</x:v>
      </x:c>
      <x:c r="X684" s="6" t="n">
        <x:v>680</x:v>
      </x:c>
      <x:c r="Y684" s="6" t="str">
        <x:v>Unconfirmed — joint query/page data required</x:v>
      </x:c>
    </x:row>
    <x:row r="685" ht="42" customHeight="1">
      <x:c r="A685" s="6" t="str">
        <x:v>mercedes steering repair</x:v>
      </x:c>
      <x:c r="B685" s="14" t="n">
        <x:v>0</x:v>
      </x:c>
      <x:c r="C685" s="14" t="n">
        <x:v>18</x:v>
      </x:c>
      <x:c r="D685" s="15" t="n">
        <x:v>0</x:v>
      </x:c>
      <x:c r="E685" s="16" t="n">
        <x:v>9.72</x:v>
      </x:c>
      <x:c r="F685" s="6" t="str">
        <x:v>HIGH</x:v>
      </x:c>
      <x:c r="G685" s="17" t="n">
        <x:f>'Scoring'!I685</x:f>
        <x:v>79.3</x:v>
      </x:c>
      <x:c r="H685" s="6" t="str">
        <x:v>SPLIT</x:v>
      </x:c>
      <x:c r="I685" s="6" t="str">
        <x:v>mercedes-benz: Steering repair</x:v>
      </x:c>
      <x:c r="J685" s="6" t="str">
        <x:v>Primary</x:v>
      </x:c>
      <x:c r="K685" s="6" t="str">
        <x:v>Commercial service enquiry</x:v>
      </x:c>
      <x:c r="L685" s="6" t="str">
        <x:v>High</x:v>
      </x:c>
      <x:c r="M685" s="6" t="str">
        <x:v>https://digitecme.com/services/mercedes-steering-repair-dubai</x:v>
      </x:c>
      <x:c r="N685" s="6" t="str">
        <x:v>Unknown — export has no query/page pairing</x:v>
      </x:c>
      <x:c r="O685" s="6" t="str">
        <x:v>Use dedicated service owner</x:v>
      </x:c>
      <x:c r="P685" s="6" t="str">
        <x:v>Zero clicks from 18 impressions at average position 9.72; inspect query/page, country/device and SERP before attributing this to the snippet.</x:v>
      </x:c>
      <x:c r="Q685" s="6" t="str">
        <x:v>mercedes-benz</x:v>
      </x:c>
      <x:c r="R685" s="6" t="str">
        <x:v>steering-repair</x:v>
      </x:c>
      <x:c r="S685" s="6" t="str">
        <x:v>Location unspecified</x:v>
      </x:c>
      <x:c r="T685" s="6" t="n">
        <x:v>5</x:v>
      </x:c>
      <x:c r="U685" s="6" t="str">
        <x:v>4–10</x:v>
      </x:c>
      <x:c r="V685" s="6" t="str">
        <x:v>Page-one CTR review and top-three relevance</x:v>
      </x:c>
      <x:c r="W685" s="6" t="str">
        <x:v>High-value commercial</x:v>
      </x:c>
      <x:c r="X685" s="6" t="n">
        <x:v>681</x:v>
      </x:c>
      <x:c r="Y685" s="6" t="str">
        <x:v>Unconfirmed — joint query/page data required</x:v>
      </x:c>
    </x:row>
    <x:row r="686" ht="42" customHeight="1">
      <x:c r="A686" s="6" t="str">
        <x:v>porsche service center</x:v>
      </x:c>
      <x:c r="B686" s="14" t="n">
        <x:v>0</x:v>
      </x:c>
      <x:c r="C686" s="14" t="n">
        <x:v>18</x:v>
      </x:c>
      <x:c r="D686" s="15" t="n">
        <x:v>0</x:v>
      </x:c>
      <x:c r="E686" s="16" t="n">
        <x:v>10.61</x:v>
      </x:c>
      <x:c r="F686" s="6" t="str">
        <x:v>HIGH</x:v>
      </x:c>
      <x:c r="G686" s="17" t="n">
        <x:f>'Scoring'!I686</x:f>
        <x:v>79.3</x:v>
      </x:c>
      <x:c r="H686" s="6" t="str">
        <x:v>SUPPORT</x:v>
      </x:c>
      <x:c r="I686" s="6" t="str">
        <x:v>porsche: Service and repair (English)</x:v>
      </x:c>
      <x:c r="J686" s="6" t="str">
        <x:v>Secondary</x:v>
      </x:c>
      <x:c r="K686" s="6" t="str">
        <x:v>Commercial service enquiry</x:v>
      </x:c>
      <x:c r="L686" s="6" t="str">
        <x:v>High</x:v>
      </x:c>
      <x:c r="M686" s="6" t="str">
        <x:v>https://digitecme.com/brands/porsche-service-dubai</x:v>
      </x:c>
      <x:c r="N686" s="6" t="str">
        <x:v>Unknown — export has no query/page pairing</x:v>
      </x:c>
      <x:c r="O686" s="6" t="str">
        <x:v>Retain primary intent and support variants</x:v>
      </x:c>
      <x:c r="P686" s="6" t="str">
        <x:v>18 impressions at average position 10.61; strengthen the appropriate intent owner and measure with a fresh comparable period.</x:v>
      </x:c>
      <x:c r="Q686" s="6" t="str">
        <x:v>porsche</x:v>
      </x:c>
      <x:c r="R686" s="6" t="str">
        <x:v>service-repair</x:v>
      </x:c>
      <x:c r="S686" s="6" t="str">
        <x:v>Location unspecified</x:v>
      </x:c>
      <x:c r="T686" s="6" t="n">
        <x:v>5</x:v>
      </x:c>
      <x:c r="U686" s="6" t="str">
        <x:v>11–20</x:v>
      </x:c>
      <x:c r="V686" s="6" t="str">
        <x:v>Ranking and owner relevance</x:v>
      </x:c>
      <x:c r="W686" s="6" t="str">
        <x:v>Relevant supporting</x:v>
      </x:c>
      <x:c r="X686" s="6" t="n">
        <x:v>682</x:v>
      </x:c>
      <x:c r="Y686" s="6" t="str">
        <x:v>Unconfirmed — joint query/page data required</x:v>
      </x:c>
    </x:row>
    <x:row r="687" ht="57" customHeight="1">
      <x:c r="A687" s="6" t="str">
        <x:v>كراج سيارات دبي</x:v>
      </x:c>
      <x:c r="B687" s="14" t="n">
        <x:v>0</x:v>
      </x:c>
      <x:c r="C687" s="14" t="n">
        <x:v>18</x:v>
      </x:c>
      <x:c r="D687" s="15" t="n">
        <x:v>0</x:v>
      </x:c>
      <x:c r="E687" s="16" t="n">
        <x:v>11.11</x:v>
      </x:c>
      <x:c r="F687" s="6" t="str">
        <x:v>HIGH</x:v>
      </x:c>
      <x:c r="G687" s="17" t="n">
        <x:f>'Scoring'!I687</x:f>
        <x:v>76.3</x:v>
      </x:c>
      <x:c r="H687" s="6" t="str">
        <x:v>PRIORITIZE</x:v>
      </x:c>
      <x:c r="I687" s="6" t="str">
        <x:v>All vehicles: General garage and repair (Arabic)</x:v>
      </x:c>
      <x:c r="J687" s="6" t="str">
        <x:v>Primary</x:v>
      </x:c>
      <x:c r="K687" s="6" t="str">
        <x:v>Commercial service enquiry</x:v>
      </x:c>
      <x:c r="L687" s="6" t="str">
        <x:v>High</x:v>
      </x:c>
      <x:c r="M687" s="6" t="str">
        <x:v>https://digitecme.com/ar/services/car-garage-dubai</x:v>
      </x:c>
      <x:c r="N687" s="6" t="str">
        <x:v>Unknown — export has no query/page pairing</x:v>
      </x:c>
      <x:c r="O687" s="6" t="str">
        <x:v>Strengthen this primary intent owner</x:v>
      </x:c>
      <x:c r="P687" s="6" t="str">
        <x:v>Use the existing Arabic counterpart and verify its translation quality. 18 impressions at average position 11.11; strengthen the appropriate intent owner and measure with a fresh comparable period.</x:v>
      </x:c>
      <x:c r="Q687" s="6" t="str">
        <x:v>All vehicles</x:v>
      </x:c>
      <x:c r="R687" s="6" t="str">
        <x:v>service-repair</x:v>
      </x:c>
      <x:c r="S687" s="6" t="str">
        <x:v>Dubai explicit</x:v>
      </x:c>
      <x:c r="T687" s="6" t="n">
        <x:v>3</x:v>
      </x:c>
      <x:c r="U687" s="6" t="str">
        <x:v>11–20</x:v>
      </x:c>
      <x:c r="V687" s="6" t="str">
        <x:v>Ranking and owner relevance</x:v>
      </x:c>
      <x:c r="W687" s="6" t="str">
        <x:v>High-value commercial</x:v>
      </x:c>
      <x:c r="X687" s="6" t="n">
        <x:v>683</x:v>
      </x:c>
      <x:c r="Y687" s="6" t="str">
        <x:v>Unconfirmed — joint query/page data required</x:v>
      </x:c>
    </x:row>
    <x:row r="688" ht="57" customHeight="1">
      <x:c r="A688" s="6" t="str">
        <x:v>ecu tuning near me</x:v>
      </x:c>
      <x:c r="B688" s="14" t="n">
        <x:v>0</x:v>
      </x:c>
      <x:c r="C688" s="14" t="n">
        <x:v>18</x:v>
      </x:c>
      <x:c r="D688" s="15" t="n">
        <x:v>0</x:v>
      </x:c>
      <x:c r="E688" s="16" t="n">
        <x:v>11.39</x:v>
      </x:c>
      <x:c r="F688" s="6" t="str">
        <x:v>HIGH</x:v>
      </x:c>
      <x:c r="G688" s="17" t="n">
        <x:f>'Scoring'!I688</x:f>
        <x:v>84.3</x:v>
      </x:c>
      <x:c r="H688" s="6" t="str">
        <x:v>SUPPORT</x:v>
      </x:c>
      <x:c r="I688" s="6" t="str">
        <x:v>All vehicles: Performance tuning</x:v>
      </x:c>
      <x:c r="J688" s="6" t="str">
        <x:v>Secondary</x:v>
      </x:c>
      <x:c r="K688" s="6" t="str">
        <x:v>Commercial service enquiry</x:v>
      </x:c>
      <x:c r="L688" s="6" t="str">
        <x:v>High</x:v>
      </x:c>
      <x:c r="M688" s="6" t="str">
        <x:v>https://digitecme.com/tuning</x:v>
      </x:c>
      <x:c r="N688" s="6" t="str">
        <x:v>Unknown — export has no query/page pairing</x:v>
      </x:c>
      <x:c r="O688" s="6" t="str">
        <x:v>Retain primary intent and support variants</x:v>
      </x:c>
      <x:c r="P688" s="6" t="str">
        <x:v>Use the existing tuning page; model scope and any GAD relationship require verified facts. 18 impressions at average position 11.39; strengthen the appropriate intent owner and measure with a fresh comparable period.</x:v>
      </x:c>
      <x:c r="Q688" s="6" t="str">
        <x:v>All vehicles</x:v>
      </x:c>
      <x:c r="R688" s="6" t="str">
        <x:v>tuning</x:v>
      </x:c>
      <x:c r="S688" s="6" t="str">
        <x:v>Near me; location unknown</x:v>
      </x:c>
      <x:c r="T688" s="6" t="n">
        <x:v>5</x:v>
      </x:c>
      <x:c r="U688" s="6" t="str">
        <x:v>11–20</x:v>
      </x:c>
      <x:c r="V688" s="6" t="str">
        <x:v>Ranking and owner relevance</x:v>
      </x:c>
      <x:c r="W688" s="6" t="str">
        <x:v>Relevant supporting</x:v>
      </x:c>
      <x:c r="X688" s="6" t="n">
        <x:v>684</x:v>
      </x:c>
      <x:c r="Y688" s="6" t="str">
        <x:v>Unconfirmed — joint query/page data required</x:v>
      </x:c>
    </x:row>
    <x:row r="689" ht="57" customHeight="1">
      <x:c r="A689" s="6" t="str">
        <x:v>tire fixing near me</x:v>
      </x:c>
      <x:c r="B689" s="14" t="n">
        <x:v>0</x:v>
      </x:c>
      <x:c r="C689" s="14" t="n">
        <x:v>18</x:v>
      </x:c>
      <x:c r="D689" s="15" t="n">
        <x:v>0</x:v>
      </x:c>
      <x:c r="E689" s="16" t="n">
        <x:v>12.28</x:v>
      </x:c>
      <x:c r="F689" s="6" t="str">
        <x:v>GROWTH</x:v>
      </x:c>
      <x:c r="G689" s="17" t="n">
        <x:f>'Scoring'!I689</x:f>
        <x:v>72.3</x:v>
      </x:c>
      <x:c r="H689" s="6" t="str">
        <x:v>SUPPORT</x:v>
      </x:c>
      <x:c r="I689" s="6" t="str">
        <x:v>All vehicles: Tyre repair</x:v>
      </x:c>
      <x:c r="J689" s="6" t="str">
        <x:v>Secondary</x:v>
      </x:c>
      <x:c r="K689" s="6" t="str">
        <x:v>Commercial service enquiry</x:v>
      </x:c>
      <x:c r="L689" s="6" t="str">
        <x:v>High</x:v>
      </x:c>
      <x:c r="M689" s="6" t="str">
        <x:v>https://digitecme.com/services/tire-repair-dubai</x:v>
      </x:c>
      <x:c r="N689" s="6" t="str">
        <x:v>Unknown — export has no query/page pairing</x:v>
      </x:c>
      <x:c r="O689" s="6" t="str">
        <x:v>Retain primary intent and support variants</x:v>
      </x:c>
      <x:c r="P689" s="6" t="str">
        <x:v>Relevant workshop tyre enquiry with lower assumed value than specialist repair; no mobile or roadside claim. 18 impressions at average position 12.28; strengthen the appropriate intent owner and measure with a fresh comparable period.</x:v>
      </x:c>
      <x:c r="Q689" s="6" t="str">
        <x:v>All vehicles</x:v>
      </x:c>
      <x:c r="R689" s="6" t="str">
        <x:v>tire-repair</x:v>
      </x:c>
      <x:c r="S689" s="6" t="str">
        <x:v>Near me; location unknown</x:v>
      </x:c>
      <x:c r="T689" s="6" t="n">
        <x:v>2</x:v>
      </x:c>
      <x:c r="U689" s="6" t="str">
        <x:v>11–20</x:v>
      </x:c>
      <x:c r="V689" s="6" t="str">
        <x:v>Ranking and owner relevance</x:v>
      </x:c>
      <x:c r="W689" s="6" t="str">
        <x:v>Relevant supporting</x:v>
      </x:c>
      <x:c r="X689" s="6" t="n">
        <x:v>685</x:v>
      </x:c>
      <x:c r="Y689" s="6" t="str">
        <x:v>Unconfirmed — joint query/page data required</x:v>
      </x:c>
    </x:row>
    <x:row r="690" ht="42" customHeight="1">
      <x:c r="A690" s="6" t="str">
        <x:v>exhaust services</x:v>
      </x:c>
      <x:c r="B690" s="14" t="n">
        <x:v>0</x:v>
      </x:c>
      <x:c r="C690" s="14" t="n">
        <x:v>18</x:v>
      </x:c>
      <x:c r="D690" s="15" t="n">
        <x:v>0</x:v>
      </x:c>
      <x:c r="E690" s="16" t="n">
        <x:v>12.44</x:v>
      </x:c>
      <x:c r="F690" s="6" t="str">
        <x:v>HIGH</x:v>
      </x:c>
      <x:c r="G690" s="17" t="n">
        <x:f>'Scoring'!I690</x:f>
        <x:v>71.3</x:v>
      </x:c>
      <x:c r="H690" s="6" t="str">
        <x:v>SUPPORT</x:v>
      </x:c>
      <x:c r="I690" s="6" t="str">
        <x:v>All vehicles: Exhaust repair</x:v>
      </x:c>
      <x:c r="J690" s="6" t="str">
        <x:v>Secondary</x:v>
      </x:c>
      <x:c r="K690" s="6" t="str">
        <x:v>Commercial service enquiry</x:v>
      </x:c>
      <x:c r="L690" s="6" t="str">
        <x:v>High</x:v>
      </x:c>
      <x:c r="M690" s="6" t="str">
        <x:v>https://digitecme.com/services/exhaust-repair-dubai</x:v>
      </x:c>
      <x:c r="N690" s="6" t="str">
        <x:v>Unknown — export has no query/page pairing</x:v>
      </x:c>
      <x:c r="O690" s="6" t="str">
        <x:v>Retain primary intent and support variants</x:v>
      </x:c>
      <x:c r="P690" s="6" t="str">
        <x:v>18 impressions at average position 12.44; strengthen the appropriate intent owner and measure with a fresh comparable period.</x:v>
      </x:c>
      <x:c r="Q690" s="6" t="str">
        <x:v>All vehicles</x:v>
      </x:c>
      <x:c r="R690" s="6" t="str">
        <x:v>exhaust-repair</x:v>
      </x:c>
      <x:c r="S690" s="6" t="str">
        <x:v>Location unspecified</x:v>
      </x:c>
      <x:c r="T690" s="6" t="n">
        <x:v>3</x:v>
      </x:c>
      <x:c r="U690" s="6" t="str">
        <x:v>11–20</x:v>
      </x:c>
      <x:c r="V690" s="6" t="str">
        <x:v>Ranking and owner relevance</x:v>
      </x:c>
      <x:c r="W690" s="6" t="str">
        <x:v>Relevant supporting</x:v>
      </x:c>
      <x:c r="X690" s="6" t="n">
        <x:v>686</x:v>
      </x:c>
      <x:c r="Y690" s="6" t="str">
        <x:v>Unconfirmed — joint query/page data required</x:v>
      </x:c>
    </x:row>
    <x:row r="691" ht="57" customHeight="1">
      <x:c r="A691" s="6" t="str">
        <x:v>mclaren engine repair abu dhabi</x:v>
      </x:c>
      <x:c r="B691" s="14" t="n">
        <x:v>0</x:v>
      </x:c>
      <x:c r="C691" s="14" t="n">
        <x:v>18</x:v>
      </x:c>
      <x:c r="D691" s="15" t="n">
        <x:v>0</x:v>
      </x:c>
      <x:c r="E691" s="16" t="n">
        <x:v>14</x:v>
      </x:c>
      <x:c r="F691" s="6" t="str">
        <x:v>DEPRIORITIZE</x:v>
      </x:c>
      <x:c r="G691" s="17" t="n">
        <x:f>'Scoring'!I691</x:f>
        <x:v>13.7</x:v>
      </x:c>
      <x:c r="H691" s="6" t="str">
        <x:v>DEPRIORITIZE</x:v>
      </x:c>
      <x:c r="I691" s="6" t="str">
        <x:v>mclaren: Engine and mechanical repair (outside Dubai)</x:v>
      </x:c>
      <x:c r="J691" s="6" t="str">
        <x:v>Primary</x:v>
      </x:c>
      <x:c r="K691" s="6" t="str">
        <x:v>Commercial service enquiry</x:v>
      </x:c>
      <x:c r="L691" s="6" t="str">
        <x:v>Low</x:v>
      </x:c>
      <x:c r="M691" s="6" t="str">
        <x:v>https://digitecme.com/brands/mclaren-service-dubai/mechanical-repair</x:v>
      </x:c>
      <x:c r="N691" s="6" t="str">
        <x:v>Unknown — export has no query/page pairing</x:v>
      </x:c>
      <x:c r="O691" s="6" t="str">
        <x:v>Confirm scope or deprioritize</x:v>
      </x:c>
      <x:c r="P691" s="6" t="str">
        <x:v>Explicit destination differs from the Al Quoz workshop; do not claim a local branch or service coverage. 18 impressions at average position 14.00; strengthen the appropriate intent owner and measure with a fresh comparable period.</x:v>
      </x:c>
      <x:c r="Q691" s="6" t="str">
        <x:v>mclaren</x:v>
      </x:c>
      <x:c r="R691" s="6" t="str">
        <x:v>mechanical-repair</x:v>
      </x:c>
      <x:c r="S691" s="6" t="str">
        <x:v>Outside Dubai</x:v>
      </x:c>
      <x:c r="T691" s="6" t="n">
        <x:v>1</x:v>
      </x:c>
      <x:c r="U691" s="6" t="str">
        <x:v>11–20</x:v>
      </x:c>
      <x:c r="V691" s="6" t="str">
        <x:v>Ranking and owner relevance</x:v>
      </x:c>
      <x:c r="W691" s="6" t="str">
        <x:v>Low-value</x:v>
      </x:c>
      <x:c r="X691" s="6" t="n">
        <x:v>687</x:v>
      </x:c>
      <x:c r="Y691" s="6" t="str">
        <x:v>Unconfirmed — joint query/page data required</x:v>
      </x:c>
    </x:row>
    <x:row r="692" ht="57" customHeight="1">
      <x:c r="A692" s="6" t="str">
        <x:v>خدمة تبديل بطارية السيارة دبي</x:v>
      </x:c>
      <x:c r="B692" s="14" t="n">
        <x:v>0</x:v>
      </x:c>
      <x:c r="C692" s="14" t="n">
        <x:v>18</x:v>
      </x:c>
      <x:c r="D692" s="15" t="n">
        <x:v>0</x:v>
      </x:c>
      <x:c r="E692" s="16" t="n">
        <x:v>15.22</x:v>
      </x:c>
      <x:c r="F692" s="6" t="str">
        <x:v>HIGH</x:v>
      </x:c>
      <x:c r="G692" s="17" t="n">
        <x:f>'Scoring'!I692</x:f>
        <x:v>68.8</x:v>
      </x:c>
      <x:c r="H692" s="6" t="str">
        <x:v>PRIORITIZE</x:v>
      </x:c>
      <x:c r="I692" s="6" t="str">
        <x:v>All vehicles: Battery service (Arabic)</x:v>
      </x:c>
      <x:c r="J692" s="6" t="str">
        <x:v>Primary</x:v>
      </x:c>
      <x:c r="K692" s="6" t="str">
        <x:v>Commercial service enquiry</x:v>
      </x:c>
      <x:c r="L692" s="6" t="str">
        <x:v>High</x:v>
      </x:c>
      <x:c r="M692" s="6" t="str">
        <x:v>https://digitecme.com/ar/services/battery-replacement-dubai</x:v>
      </x:c>
      <x:c r="N692" s="6" t="str">
        <x:v>Unknown — export has no query/page pairing</x:v>
      </x:c>
      <x:c r="O692" s="6" t="str">
        <x:v>Strengthen this primary intent owner</x:v>
      </x:c>
      <x:c r="P692" s="6" t="str">
        <x:v>Use the existing Arabic counterpart and verify its translation quality. 18 impressions at average position 15.22; strengthen the appropriate intent owner and measure with a fresh comparable period.</x:v>
      </x:c>
      <x:c r="Q692" s="6" t="str">
        <x:v>All vehicles</x:v>
      </x:c>
      <x:c r="R692" s="6" t="str">
        <x:v>battery-replacement</x:v>
      </x:c>
      <x:c r="S692" s="6" t="str">
        <x:v>Dubai explicit</x:v>
      </x:c>
      <x:c r="T692" s="6" t="n">
        <x:v>3</x:v>
      </x:c>
      <x:c r="U692" s="6" t="str">
        <x:v>11–20</x:v>
      </x:c>
      <x:c r="V692" s="6" t="str">
        <x:v>Ranking and owner relevance</x:v>
      </x:c>
      <x:c r="W692" s="6" t="str">
        <x:v>High-value commercial</x:v>
      </x:c>
      <x:c r="X692" s="6" t="n">
        <x:v>688</x:v>
      </x:c>
      <x:c r="Y692" s="6" t="str">
        <x:v>Unconfirmed — joint query/page data required</x:v>
      </x:c>
    </x:row>
    <x:row r="693" ht="42" customHeight="1">
      <x:c r="A693" s="6" t="str">
        <x:v>bmw body repair dubai</x:v>
      </x:c>
      <x:c r="B693" s="14" t="n">
        <x:v>0</x:v>
      </x:c>
      <x:c r="C693" s="14" t="n">
        <x:v>18</x:v>
      </x:c>
      <x:c r="D693" s="15" t="n">
        <x:v>0</x:v>
      </x:c>
      <x:c r="E693" s="16" t="n">
        <x:v>16.5</x:v>
      </x:c>
      <x:c r="F693" s="6" t="str">
        <x:v>HIGH</x:v>
      </x:c>
      <x:c r="G693" s="17" t="n">
        <x:f>'Scoring'!I693</x:f>
        <x:v>76.8</x:v>
      </x:c>
      <x:c r="H693" s="6" t="str">
        <x:v>SPLIT</x:v>
      </x:c>
      <x:c r="I693" s="6" t="str">
        <x:v>bmw: Body repair</x:v>
      </x:c>
      <x:c r="J693" s="6" t="str">
        <x:v>Secondary</x:v>
      </x:c>
      <x:c r="K693" s="6" t="str">
        <x:v>Commercial service enquiry</x:v>
      </x:c>
      <x:c r="L693" s="6" t="str">
        <x:v>High</x:v>
      </x:c>
      <x:c r="M693" s="6" t="str">
        <x:v>https://digitecme.com/brands/bmw-service-dubai/body-repair</x:v>
      </x:c>
      <x:c r="N693" s="6" t="str">
        <x:v>Unknown — export has no query/page pairing</x:v>
      </x:c>
      <x:c r="O693" s="6" t="str">
        <x:v>Use dedicated service owner</x:v>
      </x:c>
      <x:c r="P693" s="6" t="str">
        <x:v>18 impressions at average position 16.50; strengthen the appropriate intent owner and measure with a fresh comparable period.</x:v>
      </x:c>
      <x:c r="Q693" s="6" t="str">
        <x:v>bmw</x:v>
      </x:c>
      <x:c r="R693" s="6" t="str">
        <x:v>body-repair</x:v>
      </x:c>
      <x:c r="S693" s="6" t="str">
        <x:v>Dubai explicit</x:v>
      </x:c>
      <x:c r="T693" s="6" t="n">
        <x:v>5</x:v>
      </x:c>
      <x:c r="U693" s="6" t="str">
        <x:v>11–20</x:v>
      </x:c>
      <x:c r="V693" s="6" t="str">
        <x:v>Ranking and owner relevance</x:v>
      </x:c>
      <x:c r="W693" s="6" t="str">
        <x:v>High-value commercial</x:v>
      </x:c>
      <x:c r="X693" s="6" t="n">
        <x:v>689</x:v>
      </x:c>
      <x:c r="Y693" s="6" t="str">
        <x:v>Unconfirmed — joint query/page data required</x:v>
      </x:c>
    </x:row>
    <x:row r="694" ht="57" customHeight="1">
      <x:c r="A694" s="6" t="str">
        <x:v>porsche gt3 service dubai</x:v>
      </x:c>
      <x:c r="B694" s="14" t="n">
        <x:v>0</x:v>
      </x:c>
      <x:c r="C694" s="14" t="n">
        <x:v>18</x:v>
      </x:c>
      <x:c r="D694" s="15" t="n">
        <x:v>0</x:v>
      </x:c>
      <x:c r="E694" s="16" t="n">
        <x:v>17.44</x:v>
      </x:c>
      <x:c r="F694" s="6" t="str">
        <x:v>HIGH</x:v>
      </x:c>
      <x:c r="G694" s="17" t="n">
        <x:f>'Scoring'!I694</x:f>
        <x:v>76.8</x:v>
      </x:c>
      <x:c r="H694" s="6" t="str">
        <x:v>SUPPORT</x:v>
      </x:c>
      <x:c r="I694" s="6" t="str">
        <x:v>porsche: 911 service and model variants</x:v>
      </x:c>
      <x:c r="J694" s="6" t="str">
        <x:v>Secondary</x:v>
      </x:c>
      <x:c r="K694" s="6" t="str">
        <x:v>Commercial service enquiry</x:v>
      </x:c>
      <x:c r="L694" s="6" t="str">
        <x:v>High</x:v>
      </x:c>
      <x:c r="M694" s="6" t="str">
        <x:v>https://digitecme.com/blog/porsche-911-service-dubai-guide</x:v>
      </x:c>
      <x:c r="N694" s="6" t="str">
        <x:v>Unknown — export has no query/page pairing</x:v>
      </x:c>
      <x:c r="O694" s="6" t="str">
        <x:v>Retain primary intent and support variants</x:v>
      </x:c>
      <x:c r="P694" s="6" t="str">
        <x:v>Support the existing 911 page with model-specific sections; no separate Targa/Carrera/GT3 page justified by this export. 18 impressions at average position 17.44; strengthen the appropriate intent owner and measure with a fresh comparable period.</x:v>
      </x:c>
      <x:c r="Q694" s="6" t="str">
        <x:v>porsche</x:v>
      </x:c>
      <x:c r="R694" s="6" t="str">
        <x:v>service-repair</x:v>
      </x:c>
      <x:c r="S694" s="6" t="str">
        <x:v>Dubai explicit</x:v>
      </x:c>
      <x:c r="T694" s="6" t="n">
        <x:v>5</x:v>
      </x:c>
      <x:c r="U694" s="6" t="str">
        <x:v>11–20</x:v>
      </x:c>
      <x:c r="V694" s="6" t="str">
        <x:v>Ranking and owner relevance</x:v>
      </x:c>
      <x:c r="W694" s="6" t="str">
        <x:v>Relevant supporting</x:v>
      </x:c>
      <x:c r="X694" s="6" t="n">
        <x:v>690</x:v>
      </x:c>
      <x:c r="Y694" s="6" t="str">
        <x:v>Unconfirmed — joint query/page data required</x:v>
      </x:c>
    </x:row>
    <x:row r="695" ht="42" customHeight="1">
      <x:c r="A695" s="6" t="str">
        <x:v>bmw battery replacement dubai</x:v>
      </x:c>
      <x:c r="B695" s="14" t="n">
        <x:v>0</x:v>
      </x:c>
      <x:c r="C695" s="14" t="n">
        <x:v>18</x:v>
      </x:c>
      <x:c r="D695" s="15" t="n">
        <x:v>0</x:v>
      </x:c>
      <x:c r="E695" s="16" t="n">
        <x:v>20.89</x:v>
      </x:c>
      <x:c r="F695" s="6" t="str">
        <x:v>HIGH</x:v>
      </x:c>
      <x:c r="G695" s="17" t="n">
        <x:f>'Scoring'!I695</x:f>
        <x:v>76.8</x:v>
      </x:c>
      <x:c r="H695" s="6" t="str">
        <x:v>SPLIT</x:v>
      </x:c>
      <x:c r="I695" s="6" t="str">
        <x:v>bmw: Battery service</x:v>
      </x:c>
      <x:c r="J695" s="6" t="str">
        <x:v>Primary</x:v>
      </x:c>
      <x:c r="K695" s="6" t="str">
        <x:v>Commercial service enquiry</x:v>
      </x:c>
      <x:c r="L695" s="6" t="str">
        <x:v>High</x:v>
      </x:c>
      <x:c r="M695" s="6" t="str">
        <x:v>https://digitecme.com/brands/bmw-service-dubai/battery-replacement</x:v>
      </x:c>
      <x:c r="N695" s="6" t="str">
        <x:v>Unknown — export has no query/page pairing</x:v>
      </x:c>
      <x:c r="O695" s="6" t="str">
        <x:v>Use dedicated service owner</x:v>
      </x:c>
      <x:c r="P695" s="6" t="str">
        <x:v>Average position 20.89 makes ranking the main issue; avoid a CTR-only rewrite.</x:v>
      </x:c>
      <x:c r="Q695" s="6" t="str">
        <x:v>bmw</x:v>
      </x:c>
      <x:c r="R695" s="6" t="str">
        <x:v>battery-replacement</x:v>
      </x:c>
      <x:c r="S695" s="6" t="str">
        <x:v>Dubai explicit</x:v>
      </x:c>
      <x:c r="T695" s="6" t="n">
        <x:v>5</x:v>
      </x:c>
      <x:c r="U695" s="6" t="str">
        <x:v>21–40</x:v>
      </x:c>
      <x:c r="V695" s="6" t="str">
        <x:v>Content, internal authority and owner alignment</x:v>
      </x:c>
      <x:c r="W695" s="6" t="str">
        <x:v>High-value commercial</x:v>
      </x:c>
      <x:c r="X695" s="6" t="n">
        <x:v>691</x:v>
      </x:c>
      <x:c r="Y695" s="6" t="str">
        <x:v>Unconfirmed — joint query/page data required</x:v>
      </x:c>
    </x:row>
    <x:row r="696" ht="42" customHeight="1">
      <x:c r="A696" s="6" t="str">
        <x:v>mercedes benz service center</x:v>
      </x:c>
      <x:c r="B696" s="14" t="n">
        <x:v>0</x:v>
      </x:c>
      <x:c r="C696" s="14" t="n">
        <x:v>18</x:v>
      </x:c>
      <x:c r="D696" s="15" t="n">
        <x:v>0</x:v>
      </x:c>
      <x:c r="E696" s="16" t="n">
        <x:v>27</x:v>
      </x:c>
      <x:c r="F696" s="6" t="str">
        <x:v>HIGH</x:v>
      </x:c>
      <x:c r="G696" s="17" t="n">
        <x:f>'Scoring'!I696</x:f>
        <x:v>71.8</x:v>
      </x:c>
      <x:c r="H696" s="6" t="str">
        <x:v>SUPPORT</x:v>
      </x:c>
      <x:c r="I696" s="6" t="str">
        <x:v>mercedes-benz: Service and repair (English)</x:v>
      </x:c>
      <x:c r="J696" s="6" t="str">
        <x:v>Secondary</x:v>
      </x:c>
      <x:c r="K696" s="6" t="str">
        <x:v>Commercial service enquiry</x:v>
      </x:c>
      <x:c r="L696" s="6" t="str">
        <x:v>High</x:v>
      </x:c>
      <x:c r="M696" s="6" t="str">
        <x:v>https://digitecme.com/brands/mercedes-benz-service-dubai</x:v>
      </x:c>
      <x:c r="N696" s="6" t="str">
        <x:v>Unknown — export has no query/page pairing</x:v>
      </x:c>
      <x:c r="O696" s="6" t="str">
        <x:v>Retain primary intent and support variants</x:v>
      </x:c>
      <x:c r="P696" s="6" t="str">
        <x:v>Average position 27.00 makes ranking the main issue; avoid a CTR-only rewrite.</x:v>
      </x:c>
      <x:c r="Q696" s="6" t="str">
        <x:v>mercedes-benz</x:v>
      </x:c>
      <x:c r="R696" s="6" t="str">
        <x:v>service-repair</x:v>
      </x:c>
      <x:c r="S696" s="6" t="str">
        <x:v>Location unspecified</x:v>
      </x:c>
      <x:c r="T696" s="6" t="n">
        <x:v>5</x:v>
      </x:c>
      <x:c r="U696" s="6" t="str">
        <x:v>21–40</x:v>
      </x:c>
      <x:c r="V696" s="6" t="str">
        <x:v>Content, internal authority and owner alignment</x:v>
      </x:c>
      <x:c r="W696" s="6" t="str">
        <x:v>Relevant supporting</x:v>
      </x:c>
      <x:c r="X696" s="6" t="n">
        <x:v>692</x:v>
      </x:c>
      <x:c r="Y696" s="6" t="str">
        <x:v>Unconfirmed — joint query/page data required</x:v>
      </x:c>
    </x:row>
    <x:row r="697" ht="57" customHeight="1">
      <x:c r="A697" s="6" t="str">
        <x:v>porsche 911 service dubai</x:v>
      </x:c>
      <x:c r="B697" s="14" t="n">
        <x:v>0</x:v>
      </x:c>
      <x:c r="C697" s="14" t="n">
        <x:v>18</x:v>
      </x:c>
      <x:c r="D697" s="15" t="n">
        <x:v>0</x:v>
      </x:c>
      <x:c r="E697" s="16" t="n">
        <x:v>29</x:v>
      </x:c>
      <x:c r="F697" s="6" t="str">
        <x:v>HIGH</x:v>
      </x:c>
      <x:c r="G697" s="17" t="n">
        <x:f>'Scoring'!I697</x:f>
        <x:v>76.8</x:v>
      </x:c>
      <x:c r="H697" s="6" t="str">
        <x:v>SUPPORT</x:v>
      </x:c>
      <x:c r="I697" s="6" t="str">
        <x:v>porsche: 911 service and model variants</x:v>
      </x:c>
      <x:c r="J697" s="6" t="str">
        <x:v>Secondary</x:v>
      </x:c>
      <x:c r="K697" s="6" t="str">
        <x:v>Commercial service enquiry</x:v>
      </x:c>
      <x:c r="L697" s="6" t="str">
        <x:v>High</x:v>
      </x:c>
      <x:c r="M697" s="6" t="str">
        <x:v>https://digitecme.com/blog/porsche-911-service-dubai-guide</x:v>
      </x:c>
      <x:c r="N697" s="6" t="str">
        <x:v>Unknown — export has no query/page pairing</x:v>
      </x:c>
      <x:c r="O697" s="6" t="str">
        <x:v>Retain primary intent and support variants</x:v>
      </x:c>
      <x:c r="P697" s="6" t="str">
        <x:v>Support the existing 911 page with model-specific sections; no separate Targa/Carrera/GT3 page justified by this export. Average position 29.00 makes ranking the main issue; avoid a CTR-only rewrite.</x:v>
      </x:c>
      <x:c r="Q697" s="6" t="str">
        <x:v>porsche</x:v>
      </x:c>
      <x:c r="R697" s="6" t="str">
        <x:v>service-repair</x:v>
      </x:c>
      <x:c r="S697" s="6" t="str">
        <x:v>Dubai explicit</x:v>
      </x:c>
      <x:c r="T697" s="6" t="n">
        <x:v>5</x:v>
      </x:c>
      <x:c r="U697" s="6" t="str">
        <x:v>21–40</x:v>
      </x:c>
      <x:c r="V697" s="6" t="str">
        <x:v>Content, internal authority and owner alignment</x:v>
      </x:c>
      <x:c r="W697" s="6" t="str">
        <x:v>Relevant supporting</x:v>
      </x:c>
      <x:c r="X697" s="6" t="n">
        <x:v>693</x:v>
      </x:c>
      <x:c r="Y697" s="6" t="str">
        <x:v>Unconfirmed — joint query/page data required</x:v>
      </x:c>
    </x:row>
    <x:row r="698" ht="57" customHeight="1">
      <x:c r="A698" s="6" t="str">
        <x:v>tire repair</x:v>
      </x:c>
      <x:c r="B698" s="14" t="n">
        <x:v>0</x:v>
      </x:c>
      <x:c r="C698" s="14" t="n">
        <x:v>18</x:v>
      </x:c>
      <x:c r="D698" s="15" t="n">
        <x:v>0</x:v>
      </x:c>
      <x:c r="E698" s="16" t="n">
        <x:v>29.5</x:v>
      </x:c>
      <x:c r="F698" s="6" t="str">
        <x:v>GROWTH</x:v>
      </x:c>
      <x:c r="G698" s="17" t="n">
        <x:f>'Scoring'!I698</x:f>
        <x:v>59.8</x:v>
      </x:c>
      <x:c r="H698" s="6" t="str">
        <x:v>SUPPORT</x:v>
      </x:c>
      <x:c r="I698" s="6" t="str">
        <x:v>All vehicles: Tyre repair</x:v>
      </x:c>
      <x:c r="J698" s="6" t="str">
        <x:v>Secondary</x:v>
      </x:c>
      <x:c r="K698" s="6" t="str">
        <x:v>Commercial service enquiry</x:v>
      </x:c>
      <x:c r="L698" s="6" t="str">
        <x:v>High</x:v>
      </x:c>
      <x:c r="M698" s="6" t="str">
        <x:v>https://digitecme.com/services/tire-repair-dubai</x:v>
      </x:c>
      <x:c r="N698" s="6" t="str">
        <x:v>Unknown — export has no query/page pairing</x:v>
      </x:c>
      <x:c r="O698" s="6" t="str">
        <x:v>Retain primary intent and support variants</x:v>
      </x:c>
      <x:c r="P698" s="6" t="str">
        <x:v>Relevant workshop tyre enquiry with lower assumed value than specialist repair; no mobile or roadside claim. Average position 29.50 makes ranking the main issue; avoid a CTR-only rewrite.</x:v>
      </x:c>
      <x:c r="Q698" s="6" t="str">
        <x:v>All vehicles</x:v>
      </x:c>
      <x:c r="R698" s="6" t="str">
        <x:v>tire-repair</x:v>
      </x:c>
      <x:c r="S698" s="6" t="str">
        <x:v>Location unspecified</x:v>
      </x:c>
      <x:c r="T698" s="6" t="n">
        <x:v>2</x:v>
      </x:c>
      <x:c r="U698" s="6" t="str">
        <x:v>21–40</x:v>
      </x:c>
      <x:c r="V698" s="6" t="str">
        <x:v>Content, internal authority and owner alignment</x:v>
      </x:c>
      <x:c r="W698" s="6" t="str">
        <x:v>Relevant supporting</x:v>
      </x:c>
      <x:c r="X698" s="6" t="n">
        <x:v>694</x:v>
      </x:c>
      <x:c r="Y698" s="6" t="str">
        <x:v>Unconfirmed — joint query/page data required</x:v>
      </x:c>
    </x:row>
    <x:row r="699" ht="57" customHeight="1">
      <x:c r="A699" s="6" t="str">
        <x:v>car paint protection services</x:v>
      </x:c>
      <x:c r="B699" s="14" t="n">
        <x:v>0</x:v>
      </x:c>
      <x:c r="C699" s="14" t="n">
        <x:v>18</x:v>
      </x:c>
      <x:c r="D699" s="15" t="n">
        <x:v>0</x:v>
      </x:c>
      <x:c r="E699" s="16" t="n">
        <x:v>31.83</x:v>
      </x:c>
      <x:c r="F699" s="6" t="str">
        <x:v>GROWTH</x:v>
      </x:c>
      <x:c r="G699" s="17" t="n">
        <x:f>'Scoring'!I699</x:f>
        <x:v>64.3</x:v>
      </x:c>
      <x:c r="H699" s="6" t="str">
        <x:v>SUPPORT</x:v>
      </x:c>
      <x:c r="I699" s="6" t="str">
        <x:v>All vehicles: Paint care and protection comparison</x:v>
      </x:c>
      <x:c r="J699" s="6" t="str">
        <x:v>Secondary</x:v>
      </x:c>
      <x:c r="K699" s="6" t="str">
        <x:v>Commercial service enquiry</x:v>
      </x:c>
      <x:c r="L699" s="6" t="str">
        <x:v>High</x:v>
      </x:c>
      <x:c r="M699" s="6" t="str">
        <x:v>https://digitecme.com/services/paint-protection-dubai</x:v>
      </x:c>
      <x:c r="N699" s="6" t="str">
        <x:v>Unknown — export has no query/page pairing</x:v>
      </x:c>
      <x:c r="O699" s="6" t="str">
        <x:v>Retain primary intent and support variants</x:v>
      </x:c>
      <x:c r="P699" s="6" t="str">
        <x:v>Broad protection intent is mixed; the comparison hub should direct film and coating enquiries to their specialist pages. Average position 31.83 makes ranking the main issue; avoid a CTR-only rewrite.</x:v>
      </x:c>
      <x:c r="Q699" s="6" t="str">
        <x:v>All vehicles</x:v>
      </x:c>
      <x:c r="R699" s="6" t="str">
        <x:v>paint-care</x:v>
      </x:c>
      <x:c r="S699" s="6" t="str">
        <x:v>Location unspecified</x:v>
      </x:c>
      <x:c r="T699" s="6" t="n">
        <x:v>5</x:v>
      </x:c>
      <x:c r="U699" s="6" t="str">
        <x:v>21–40</x:v>
      </x:c>
      <x:c r="V699" s="6" t="str">
        <x:v>Content, internal authority and owner alignment</x:v>
      </x:c>
      <x:c r="W699" s="6" t="str">
        <x:v>Relevant supporting</x:v>
      </x:c>
      <x:c r="X699" s="6" t="n">
        <x:v>695</x:v>
      </x:c>
      <x:c r="Y699" s="6" t="str">
        <x:v>Unconfirmed — joint query/page data required</x:v>
      </x:c>
    </x:row>
    <x:row r="700" ht="42" customHeight="1">
      <x:c r="A700" s="6" t="str">
        <x:v>audi service in dubai</x:v>
      </x:c>
      <x:c r="B700" s="14" t="n">
        <x:v>0</x:v>
      </x:c>
      <x:c r="C700" s="14" t="n">
        <x:v>18</x:v>
      </x:c>
      <x:c r="D700" s="15" t="n">
        <x:v>0</x:v>
      </x:c>
      <x:c r="E700" s="16" t="n">
        <x:v>32.28</x:v>
      </x:c>
      <x:c r="F700" s="6" t="str">
        <x:v>GROWTH</x:v>
      </x:c>
      <x:c r="G700" s="17" t="n">
        <x:f>'Scoring'!I700</x:f>
        <x:v>69.3</x:v>
      </x:c>
      <x:c r="H700" s="6" t="str">
        <x:v>SUPPORT</x:v>
      </x:c>
      <x:c r="I700" s="6" t="str">
        <x:v>audi: Service and repair (English)</x:v>
      </x:c>
      <x:c r="J700" s="6" t="str">
        <x:v>Secondary</x:v>
      </x:c>
      <x:c r="K700" s="6" t="str">
        <x:v>Commercial service enquiry</x:v>
      </x:c>
      <x:c r="L700" s="6" t="str">
        <x:v>High</x:v>
      </x:c>
      <x:c r="M700" s="6" t="str">
        <x:v>https://digitecme.com/brands/audi-service-dubai</x:v>
      </x:c>
      <x:c r="N700" s="6" t="str">
        <x:v>Unknown — export has no query/page pairing</x:v>
      </x:c>
      <x:c r="O700" s="6" t="str">
        <x:v>Retain primary intent and support variants</x:v>
      </x:c>
      <x:c r="P700" s="6" t="str">
        <x:v>Average position 32.28 makes ranking the main issue; avoid a CTR-only rewrite.</x:v>
      </x:c>
      <x:c r="Q700" s="6" t="str">
        <x:v>audi</x:v>
      </x:c>
      <x:c r="R700" s="6" t="str">
        <x:v>service-repair</x:v>
      </x:c>
      <x:c r="S700" s="6" t="str">
        <x:v>Dubai explicit</x:v>
      </x:c>
      <x:c r="T700" s="6" t="n">
        <x:v>5</x:v>
      </x:c>
      <x:c r="U700" s="6" t="str">
        <x:v>21–40</x:v>
      </x:c>
      <x:c r="V700" s="6" t="str">
        <x:v>Content, internal authority and owner alignment</x:v>
      </x:c>
      <x:c r="W700" s="6" t="str">
        <x:v>Relevant supporting</x:v>
      </x:c>
      <x:c r="X700" s="6" t="n">
        <x:v>696</x:v>
      </x:c>
      <x:c r="Y700" s="6" t="str">
        <x:v>Unconfirmed — joint query/page data required</x:v>
      </x:c>
    </x:row>
    <x:row r="701" ht="57" customHeight="1">
      <x:c r="A701" s="6" t="str">
        <x:v>porsche turbo service dubai</x:v>
      </x:c>
      <x:c r="B701" s="14" t="n">
        <x:v>0</x:v>
      </x:c>
      <x:c r="C701" s="14" t="n">
        <x:v>18</x:v>
      </x:c>
      <x:c r="D701" s="15" t="n">
        <x:v>0</x:v>
      </x:c>
      <x:c r="E701" s="16" t="n">
        <x:v>34.39</x:v>
      </x:c>
      <x:c r="F701" s="6" t="str">
        <x:v>GROWTH</x:v>
      </x:c>
      <x:c r="G701" s="17" t="n">
        <x:f>'Scoring'!I701</x:f>
        <x:v>69.3</x:v>
      </x:c>
      <x:c r="H701" s="6" t="str">
        <x:v>SUPPORT</x:v>
      </x:c>
      <x:c r="I701" s="6" t="str">
        <x:v>porsche: 911 service and model variants</x:v>
      </x:c>
      <x:c r="J701" s="6" t="str">
        <x:v>Secondary</x:v>
      </x:c>
      <x:c r="K701" s="6" t="str">
        <x:v>Commercial service enquiry</x:v>
      </x:c>
      <x:c r="L701" s="6" t="str">
        <x:v>High</x:v>
      </x:c>
      <x:c r="M701" s="6" t="str">
        <x:v>https://digitecme.com/blog/porsche-911-service-dubai-guide</x:v>
      </x:c>
      <x:c r="N701" s="6" t="str">
        <x:v>Unknown — export has no query/page pairing</x:v>
      </x:c>
      <x:c r="O701" s="6" t="str">
        <x:v>Retain primary intent and support variants</x:v>
      </x:c>
      <x:c r="P701" s="6" t="str">
        <x:v>Support the existing 911 page with model-specific sections; no separate Targa/Carrera/GT3 page justified by this export. Average position 34.39 makes ranking the main issue; avoid a CTR-only rewrite.</x:v>
      </x:c>
      <x:c r="Q701" s="6" t="str">
        <x:v>porsche</x:v>
      </x:c>
      <x:c r="R701" s="6" t="str">
        <x:v>service-repair</x:v>
      </x:c>
      <x:c r="S701" s="6" t="str">
        <x:v>Dubai explicit</x:v>
      </x:c>
      <x:c r="T701" s="6" t="n">
        <x:v>5</x:v>
      </x:c>
      <x:c r="U701" s="6" t="str">
        <x:v>21–40</x:v>
      </x:c>
      <x:c r="V701" s="6" t="str">
        <x:v>Content, internal authority and owner alignment</x:v>
      </x:c>
      <x:c r="W701" s="6" t="str">
        <x:v>Relevant supporting</x:v>
      </x:c>
      <x:c r="X701" s="6" t="n">
        <x:v>697</x:v>
      </x:c>
      <x:c r="Y701" s="6" t="str">
        <x:v>Unconfirmed — joint query/page data required</x:v>
      </x:c>
    </x:row>
    <x:row r="702" ht="42" customHeight="1">
      <x:c r="A702" s="6" t="str">
        <x:v>premium ppf service dubai</x:v>
      </x:c>
      <x:c r="B702" s="14" t="n">
        <x:v>0</x:v>
      </x:c>
      <x:c r="C702" s="14" t="n">
        <x:v>18</x:v>
      </x:c>
      <x:c r="D702" s="15" t="n">
        <x:v>0</x:v>
      </x:c>
      <x:c r="E702" s="16" t="n">
        <x:v>35.22</x:v>
      </x:c>
      <x:c r="F702" s="6" t="str">
        <x:v>GROWTH</x:v>
      </x:c>
      <x:c r="G702" s="17" t="n">
        <x:f>'Scoring'!I702</x:f>
        <x:v>69.3</x:v>
      </x:c>
      <x:c r="H702" s="6" t="str">
        <x:v>SUPPORT</x:v>
      </x:c>
      <x:c r="I702" s="6" t="str">
        <x:v>All vehicles: Paint protection film</x:v>
      </x:c>
      <x:c r="J702" s="6" t="str">
        <x:v>Secondary</x:v>
      </x:c>
      <x:c r="K702" s="6" t="str">
        <x:v>Commercial service enquiry</x:v>
      </x:c>
      <x:c r="L702" s="6" t="str">
        <x:v>High</x:v>
      </x:c>
      <x:c r="M702" s="6" t="str">
        <x:v>https://digitecme.com/services/paint-protection-film</x:v>
      </x:c>
      <x:c r="N702" s="6" t="str">
        <x:v>Unknown — export has no query/page pairing</x:v>
      </x:c>
      <x:c r="O702" s="6" t="str">
        <x:v>Retain primary intent and support variants</x:v>
      </x:c>
      <x:c r="P702" s="6" t="str">
        <x:v>Film intent belongs to the PPF page; vehicle and district terms are secondary context. Average position 35.22 makes ranking the main issue; avoid a CTR-only rewrite.</x:v>
      </x:c>
      <x:c r="Q702" s="6" t="str">
        <x:v>All vehicles</x:v>
      </x:c>
      <x:c r="R702" s="6" t="str">
        <x:v>ppf</x:v>
      </x:c>
      <x:c r="S702" s="6" t="str">
        <x:v>Dubai explicit</x:v>
      </x:c>
      <x:c r="T702" s="6" t="n">
        <x:v>5</x:v>
      </x:c>
      <x:c r="U702" s="6" t="str">
        <x:v>21–40</x:v>
      </x:c>
      <x:c r="V702" s="6" t="str">
        <x:v>Content, internal authority and owner alignment</x:v>
      </x:c>
      <x:c r="W702" s="6" t="str">
        <x:v>Relevant supporting</x:v>
      </x:c>
      <x:c r="X702" s="6" t="n">
        <x:v>698</x:v>
      </x:c>
      <x:c r="Y702" s="6" t="str">
        <x:v>Unconfirmed — joint query/page data required</x:v>
      </x:c>
    </x:row>
    <x:row r="703" ht="42" customHeight="1">
      <x:c r="A703" s="6" t="str">
        <x:v>german car diagnostics dubai</x:v>
      </x:c>
      <x:c r="B703" s="14" t="n">
        <x:v>0</x:v>
      </x:c>
      <x:c r="C703" s="14" t="n">
        <x:v>18</x:v>
      </x:c>
      <x:c r="D703" s="15" t="n">
        <x:v>0</x:v>
      </x:c>
      <x:c r="E703" s="16" t="n">
        <x:v>38.39</x:v>
      </x:c>
      <x:c r="F703" s="6" t="str">
        <x:v>GROWTH</x:v>
      </x:c>
      <x:c r="G703" s="17" t="n">
        <x:f>'Scoring'!I703</x:f>
        <x:v>61.3</x:v>
      </x:c>
      <x:c r="H703" s="6" t="str">
        <x:v>SUPPORT</x:v>
      </x:c>
      <x:c r="I703" s="6" t="str">
        <x:v>All vehicles: Diagnostics and supported coding</x:v>
      </x:c>
      <x:c r="J703" s="6" t="str">
        <x:v>Secondary</x:v>
      </x:c>
      <x:c r="K703" s="6" t="str">
        <x:v>Commercial service enquiry</x:v>
      </x:c>
      <x:c r="L703" s="6" t="str">
        <x:v>High</x:v>
      </x:c>
      <x:c r="M703" s="6" t="str">
        <x:v>https://digitecme.com/services/car-diagnostics-dubai</x:v>
      </x:c>
      <x:c r="N703" s="6" t="str">
        <x:v>Unknown — export has no query/page pairing</x:v>
      </x:c>
      <x:c r="O703" s="6" t="str">
        <x:v>Retain primary intent and support variants</x:v>
      </x:c>
      <x:c r="P703" s="6" t="str">
        <x:v>Average position 38.39 makes ranking the main issue; avoid a CTR-only rewrite.</x:v>
      </x:c>
      <x:c r="Q703" s="6" t="str">
        <x:v>All vehicles</x:v>
      </x:c>
      <x:c r="R703" s="6" t="str">
        <x:v>engine-diagnostics</x:v>
      </x:c>
      <x:c r="S703" s="6" t="str">
        <x:v>Dubai explicit</x:v>
      </x:c>
      <x:c r="T703" s="6" t="n">
        <x:v>3</x:v>
      </x:c>
      <x:c r="U703" s="6" t="str">
        <x:v>21–40</x:v>
      </x:c>
      <x:c r="V703" s="6" t="str">
        <x:v>Content, internal authority and owner alignment</x:v>
      </x:c>
      <x:c r="W703" s="6" t="str">
        <x:v>Relevant supporting</x:v>
      </x:c>
      <x:c r="X703" s="6" t="n">
        <x:v>699</x:v>
      </x:c>
      <x:c r="Y703" s="6" t="str">
        <x:v>Unconfirmed — joint query/page data required</x:v>
      </x:c>
    </x:row>
    <x:row r="704" ht="42" customHeight="1">
      <x:c r="A704" s="6" t="str">
        <x:v>porsche repair deira</x:v>
      </x:c>
      <x:c r="B704" s="14" t="n">
        <x:v>0</x:v>
      </x:c>
      <x:c r="C704" s="14" t="n">
        <x:v>18</x:v>
      </x:c>
      <x:c r="D704" s="15" t="n">
        <x:v>0</x:v>
      </x:c>
      <x:c r="E704" s="16" t="n">
        <x:v>39.78</x:v>
      </x:c>
      <x:c r="F704" s="6" t="str">
        <x:v>GROWTH</x:v>
      </x:c>
      <x:c r="G704" s="17" t="n">
        <x:f>'Scoring'!I704</x:f>
        <x:v>69.3</x:v>
      </x:c>
      <x:c r="H704" s="6" t="str">
        <x:v>SUPPORT</x:v>
      </x:c>
      <x:c r="I704" s="6" t="str">
        <x:v>porsche: Service and repair (English)</x:v>
      </x:c>
      <x:c r="J704" s="6" t="str">
        <x:v>Secondary</x:v>
      </x:c>
      <x:c r="K704" s="6" t="str">
        <x:v>Commercial service enquiry</x:v>
      </x:c>
      <x:c r="L704" s="6" t="str">
        <x:v>High</x:v>
      </x:c>
      <x:c r="M704" s="6" t="str">
        <x:v>https://digitecme.com/brands/porsche-service-dubai</x:v>
      </x:c>
      <x:c r="N704" s="6" t="str">
        <x:v>Unknown — export has no query/page pairing</x:v>
      </x:c>
      <x:c r="O704" s="6" t="str">
        <x:v>Retain primary intent and support variants</x:v>
      </x:c>
      <x:c r="P704" s="6" t="str">
        <x:v>Use the actual Al Quoz location; no district landing page or implied branch. Average position 39.78 makes ranking the main issue; avoid a CTR-only rewrite.</x:v>
      </x:c>
      <x:c r="Q704" s="6" t="str">
        <x:v>porsche</x:v>
      </x:c>
      <x:c r="R704" s="6" t="str">
        <x:v>service-repair</x:v>
      </x:c>
      <x:c r="S704" s="6" t="str">
        <x:v>Other Dubai district</x:v>
      </x:c>
      <x:c r="T704" s="6" t="n">
        <x:v>5</x:v>
      </x:c>
      <x:c r="U704" s="6" t="str">
        <x:v>21–40</x:v>
      </x:c>
      <x:c r="V704" s="6" t="str">
        <x:v>Content, internal authority and owner alignment</x:v>
      </x:c>
      <x:c r="W704" s="6" t="str">
        <x:v>Relevant supporting</x:v>
      </x:c>
      <x:c r="X704" s="6" t="n">
        <x:v>700</x:v>
      </x:c>
      <x:c r="Y704" s="6" t="str">
        <x:v>Unconfirmed — joint query/page data required</x:v>
      </x:c>
    </x:row>
    <x:row r="705" ht="42" customHeight="1">
      <x:c r="A705" s="6" t="str">
        <x:v>porsche specialist dip2</x:v>
      </x:c>
      <x:c r="B705" s="14" t="n">
        <x:v>0</x:v>
      </x:c>
      <x:c r="C705" s="14" t="n">
        <x:v>18</x:v>
      </x:c>
      <x:c r="D705" s="15" t="n">
        <x:v>0</x:v>
      </x:c>
      <x:c r="E705" s="16" t="n">
        <x:v>42.17</x:v>
      </x:c>
      <x:c r="F705" s="6" t="str">
        <x:v>GROWTH</x:v>
      </x:c>
      <x:c r="G705" s="17" t="n">
        <x:f>'Scoring'!I705</x:f>
        <x:v>63</x:v>
      </x:c>
      <x:c r="H705" s="6" t="str">
        <x:v>SUPPORT</x:v>
      </x:c>
      <x:c r="I705" s="6" t="str">
        <x:v>porsche: Service and repair (English)</x:v>
      </x:c>
      <x:c r="J705" s="6" t="str">
        <x:v>Secondary</x:v>
      </x:c>
      <x:c r="K705" s="6" t="str">
        <x:v>Commercial service enquiry</x:v>
      </x:c>
      <x:c r="L705" s="6" t="str">
        <x:v>High</x:v>
      </x:c>
      <x:c r="M705" s="6" t="str">
        <x:v>https://digitecme.com/brands/porsche-service-dubai</x:v>
      </x:c>
      <x:c r="N705" s="6" t="str">
        <x:v>Unknown — export has no query/page pairing</x:v>
      </x:c>
      <x:c r="O705" s="6" t="str">
        <x:v>Retain primary intent and support variants</x:v>
      </x:c>
      <x:c r="P705" s="6" t="str">
        <x:v>Use the actual Al Quoz location; no district landing page or implied branch. Average position 42.17 makes ranking the main issue; avoid a CTR-only rewrite.</x:v>
      </x:c>
      <x:c r="Q705" s="6" t="str">
        <x:v>porsche</x:v>
      </x:c>
      <x:c r="R705" s="6" t="str">
        <x:v>service-repair</x:v>
      </x:c>
      <x:c r="S705" s="6" t="str">
        <x:v>Other Dubai district</x:v>
      </x:c>
      <x:c r="T705" s="6" t="n">
        <x:v>5</x:v>
      </x:c>
      <x:c r="U705" s="6" t="str">
        <x:v>40+</x:v>
      </x:c>
      <x:c r="V705" s="6" t="str">
        <x:v>Relevance, capability, indexing and authority review</x:v>
      </x:c>
      <x:c r="W705" s="6" t="str">
        <x:v>Relevant supporting</x:v>
      </x:c>
      <x:c r="X705" s="6" t="n">
        <x:v>701</x:v>
      </x:c>
      <x:c r="Y705" s="6" t="str">
        <x:v>Unconfirmed — joint query/page data required</x:v>
      </x:c>
    </x:row>
    <x:row r="706" ht="42" customHeight="1">
      <x:c r="A706" s="6" t="str">
        <x:v>mini cooper service dubai</x:v>
      </x:c>
      <x:c r="B706" s="14" t="n">
        <x:v>0</x:v>
      </x:c>
      <x:c r="C706" s="14" t="n">
        <x:v>18</x:v>
      </x:c>
      <x:c r="D706" s="15" t="n">
        <x:v>0</x:v>
      </x:c>
      <x:c r="E706" s="16" t="n">
        <x:v>43.72</x:v>
      </x:c>
      <x:c r="F706" s="6" t="str">
        <x:v>GROWTH</x:v>
      </x:c>
      <x:c r="G706" s="17" t="n">
        <x:f>'Scoring'!I706</x:f>
        <x:v>55</x:v>
      </x:c>
      <x:c r="H706" s="6" t="str">
        <x:v>PRIORITIZE</x:v>
      </x:c>
      <x:c r="I706" s="6" t="str">
        <x:v>mini: Service and repair (English)</x:v>
      </x:c>
      <x:c r="J706" s="6" t="str">
        <x:v>Primary</x:v>
      </x:c>
      <x:c r="K706" s="6" t="str">
        <x:v>Commercial service enquiry</x:v>
      </x:c>
      <x:c r="L706" s="6" t="str">
        <x:v>High</x:v>
      </x:c>
      <x:c r="M706" s="6" t="str">
        <x:v>https://digitecme.com/brands/mini-service-dubai</x:v>
      </x:c>
      <x:c r="N706" s="6" t="str">
        <x:v>Unknown — export has no query/page pairing</x:v>
      </x:c>
      <x:c r="O706" s="6" t="str">
        <x:v>Strengthen this primary intent owner</x:v>
      </x:c>
      <x:c r="P706" s="6" t="str">
        <x:v>Average position 43.72 makes ranking the main issue; avoid a CTR-only rewrite.</x:v>
      </x:c>
      <x:c r="Q706" s="6" t="str">
        <x:v>mini</x:v>
      </x:c>
      <x:c r="R706" s="6" t="str">
        <x:v>service-repair</x:v>
      </x:c>
      <x:c r="S706" s="6" t="str">
        <x:v>Dubai explicit</x:v>
      </x:c>
      <x:c r="T706" s="6" t="n">
        <x:v>3</x:v>
      </x:c>
      <x:c r="U706" s="6" t="str">
        <x:v>40+</x:v>
      </x:c>
      <x:c r="V706" s="6" t="str">
        <x:v>Relevance, capability, indexing and authority review</x:v>
      </x:c>
      <x:c r="W706" s="6" t="str">
        <x:v>High-value commercial</x:v>
      </x:c>
      <x:c r="X706" s="6" t="n">
        <x:v>702</x:v>
      </x:c>
      <x:c r="Y706" s="6" t="str">
        <x:v>Unconfirmed — joint query/page data required</x:v>
      </x:c>
    </x:row>
    <x:row r="707" ht="42" customHeight="1">
      <x:c r="A707" s="6" t="str">
        <x:v>ford car service specialist dubai</x:v>
      </x:c>
      <x:c r="B707" s="14" t="n">
        <x:v>0</x:v>
      </x:c>
      <x:c r="C707" s="14" t="n">
        <x:v>18</x:v>
      </x:c>
      <x:c r="D707" s="15" t="n">
        <x:v>0</x:v>
      </x:c>
      <x:c r="E707" s="16" t="n">
        <x:v>47.5</x:v>
      </x:c>
      <x:c r="F707" s="6" t="str">
        <x:v>GROWTH</x:v>
      </x:c>
      <x:c r="G707" s="17" t="n">
        <x:f>'Scoring'!I707</x:f>
        <x:v>55</x:v>
      </x:c>
      <x:c r="H707" s="6" t="str">
        <x:v>SUPPORT</x:v>
      </x:c>
      <x:c r="I707" s="6" t="str">
        <x:v>ford: Service and repair (English)</x:v>
      </x:c>
      <x:c r="J707" s="6" t="str">
        <x:v>Secondary</x:v>
      </x:c>
      <x:c r="K707" s="6" t="str">
        <x:v>Commercial service enquiry</x:v>
      </x:c>
      <x:c r="L707" s="6" t="str">
        <x:v>High</x:v>
      </x:c>
      <x:c r="M707" s="6" t="str">
        <x:v>https://digitecme.com/brands/ford-service-dubai</x:v>
      </x:c>
      <x:c r="N707" s="6" t="str">
        <x:v>Unknown — export has no query/page pairing</x:v>
      </x:c>
      <x:c r="O707" s="6" t="str">
        <x:v>Retain primary intent and support variants</x:v>
      </x:c>
      <x:c r="P707" s="6" t="str">
        <x:v>Average position 47.50 makes ranking the main issue; avoid a CTR-only rewrite.</x:v>
      </x:c>
      <x:c r="Q707" s="6" t="str">
        <x:v>ford</x:v>
      </x:c>
      <x:c r="R707" s="6" t="str">
        <x:v>service-repair</x:v>
      </x:c>
      <x:c r="S707" s="6" t="str">
        <x:v>Dubai explicit</x:v>
      </x:c>
      <x:c r="T707" s="6" t="n">
        <x:v>3</x:v>
      </x:c>
      <x:c r="U707" s="6" t="str">
        <x:v>40+</x:v>
      </x:c>
      <x:c r="V707" s="6" t="str">
        <x:v>Relevance, capability, indexing and authority review</x:v>
      </x:c>
      <x:c r="W707" s="6" t="str">
        <x:v>Relevant supporting</x:v>
      </x:c>
      <x:c r="X707" s="6" t="n">
        <x:v>703</x:v>
      </x:c>
      <x:c r="Y707" s="6" t="str">
        <x:v>Unconfirmed — joint query/page data required</x:v>
      </x:c>
    </x:row>
    <x:row r="708" ht="42" customHeight="1">
      <x:c r="A708" s="6" t="str">
        <x:v>range rover repair</x:v>
      </x:c>
      <x:c r="B708" s="14" t="n">
        <x:v>0</x:v>
      </x:c>
      <x:c r="C708" s="14" t="n">
        <x:v>18</x:v>
      </x:c>
      <x:c r="D708" s="15" t="n">
        <x:v>0</x:v>
      </x:c>
      <x:c r="E708" s="16" t="n">
        <x:v>52.94</x:v>
      </x:c>
      <x:c r="F708" s="6" t="str">
        <x:v>GROWTH</x:v>
      </x:c>
      <x:c r="G708" s="17" t="n">
        <x:f>'Scoring'!I708</x:f>
        <x:v>58</x:v>
      </x:c>
      <x:c r="H708" s="6" t="str">
        <x:v>SUPPORT</x:v>
      </x:c>
      <x:c r="I708" s="6" t="str">
        <x:v>range-rover: Service and repair</x:v>
      </x:c>
      <x:c r="J708" s="6" t="str">
        <x:v>Secondary</x:v>
      </x:c>
      <x:c r="K708" s="6" t="str">
        <x:v>Commercial service enquiry</x:v>
      </x:c>
      <x:c r="L708" s="6" t="str">
        <x:v>High</x:v>
      </x:c>
      <x:c r="M708" s="6" t="str">
        <x:v>https://digitecme.com/brands/range-rover-service-dubai</x:v>
      </x:c>
      <x:c r="N708" s="6" t="str">
        <x:v>Unknown — export has no query/page pairing</x:v>
      </x:c>
      <x:c r="O708" s="6" t="str">
        <x:v>Retain primary intent and support variants</x:v>
      </x:c>
      <x:c r="P708" s="6" t="str">
        <x:v>Average position 52.94 makes ranking the main issue; avoid a CTR-only rewrite.</x:v>
      </x:c>
      <x:c r="Q708" s="6" t="str">
        <x:v>range-rover</x:v>
      </x:c>
      <x:c r="R708" s="6" t="str">
        <x:v>service-repair</x:v>
      </x:c>
      <x:c r="S708" s="6" t="str">
        <x:v>Location unspecified</x:v>
      </x:c>
      <x:c r="T708" s="6" t="n">
        <x:v>5</x:v>
      </x:c>
      <x:c r="U708" s="6" t="str">
        <x:v>40+</x:v>
      </x:c>
      <x:c r="V708" s="6" t="str">
        <x:v>Relevance, capability, indexing and authority review</x:v>
      </x:c>
      <x:c r="W708" s="6" t="str">
        <x:v>Relevant supporting</x:v>
      </x:c>
      <x:c r="X708" s="6" t="n">
        <x:v>704</x:v>
      </x:c>
      <x:c r="Y708" s="6" t="str">
        <x:v>Unconfirmed — joint query/page data required</x:v>
      </x:c>
    </x:row>
    <x:row r="709" ht="42" customHeight="1">
      <x:c r="A709" s="6" t="str">
        <x:v>gmc garage dubai</x:v>
      </x:c>
      <x:c r="B709" s="14" t="n">
        <x:v>0</x:v>
      </x:c>
      <x:c r="C709" s="14" t="n">
        <x:v>18</x:v>
      </x:c>
      <x:c r="D709" s="15" t="n">
        <x:v>0</x:v>
      </x:c>
      <x:c r="E709" s="16" t="n">
        <x:v>56.33</x:v>
      </x:c>
      <x:c r="F709" s="6" t="str">
        <x:v>GROWTH</x:v>
      </x:c>
      <x:c r="G709" s="17" t="n">
        <x:f>'Scoring'!I709</x:f>
        <x:v>55</x:v>
      </x:c>
      <x:c r="H709" s="6" t="str">
        <x:v>SUPPORT</x:v>
      </x:c>
      <x:c r="I709" s="6" t="str">
        <x:v>gmc: Service and repair</x:v>
      </x:c>
      <x:c r="J709" s="6" t="str">
        <x:v>Secondary</x:v>
      </x:c>
      <x:c r="K709" s="6" t="str">
        <x:v>Commercial service enquiry</x:v>
      </x:c>
      <x:c r="L709" s="6" t="str">
        <x:v>High</x:v>
      </x:c>
      <x:c r="M709" s="6" t="str">
        <x:v>https://digitecme.com/brands/gmc-service-dubai</x:v>
      </x:c>
      <x:c r="N709" s="6" t="str">
        <x:v>Unknown — export has no query/page pairing</x:v>
      </x:c>
      <x:c r="O709" s="6" t="str">
        <x:v>Retain primary intent and support variants</x:v>
      </x:c>
      <x:c r="P709" s="6" t="str">
        <x:v>Average position 56.33 makes ranking the main issue; avoid a CTR-only rewrite.</x:v>
      </x:c>
      <x:c r="Q709" s="6" t="str">
        <x:v>gmc</x:v>
      </x:c>
      <x:c r="R709" s="6" t="str">
        <x:v>service-repair</x:v>
      </x:c>
      <x:c r="S709" s="6" t="str">
        <x:v>Dubai explicit</x:v>
      </x:c>
      <x:c r="T709" s="6" t="n">
        <x:v>3</x:v>
      </x:c>
      <x:c r="U709" s="6" t="str">
        <x:v>40+</x:v>
      </x:c>
      <x:c r="V709" s="6" t="str">
        <x:v>Relevance, capability, indexing and authority review</x:v>
      </x:c>
      <x:c r="W709" s="6" t="str">
        <x:v>Relevant supporting</x:v>
      </x:c>
      <x:c r="X709" s="6" t="n">
        <x:v>705</x:v>
      </x:c>
      <x:c r="Y709" s="6" t="str">
        <x:v>Unconfirmed — joint query/page data required</x:v>
      </x:c>
    </x:row>
    <x:row r="710" ht="57" customHeight="1">
      <x:c r="A710" s="6" t="str">
        <x:v>tire change service dubai</x:v>
      </x:c>
      <x:c r="B710" s="14" t="n">
        <x:v>0</x:v>
      </x:c>
      <x:c r="C710" s="14" t="n">
        <x:v>18</x:v>
      </x:c>
      <x:c r="D710" s="15" t="n">
        <x:v>0</x:v>
      </x:c>
      <x:c r="E710" s="16" t="n">
        <x:v>56.89</x:v>
      </x:c>
      <x:c r="F710" s="6" t="str">
        <x:v>GROWTH</x:v>
      </x:c>
      <x:c r="G710" s="17" t="n">
        <x:f>'Scoring'!I710</x:f>
        <x:v>51</x:v>
      </x:c>
      <x:c r="H710" s="6" t="str">
        <x:v>SUPPORT</x:v>
      </x:c>
      <x:c r="I710" s="6" t="str">
        <x:v>All vehicles: Tyre repair</x:v>
      </x:c>
      <x:c r="J710" s="6" t="str">
        <x:v>Secondary</x:v>
      </x:c>
      <x:c r="K710" s="6" t="str">
        <x:v>Commercial service enquiry</x:v>
      </x:c>
      <x:c r="L710" s="6" t="str">
        <x:v>High</x:v>
      </x:c>
      <x:c r="M710" s="6" t="str">
        <x:v>https://digitecme.com/services/tire-repair-dubai</x:v>
      </x:c>
      <x:c r="N710" s="6" t="str">
        <x:v>Unknown — export has no query/page pairing</x:v>
      </x:c>
      <x:c r="O710" s="6" t="str">
        <x:v>Retain primary intent and support variants</x:v>
      </x:c>
      <x:c r="P710" s="6" t="str">
        <x:v>Relevant workshop tyre enquiry with lower assumed value than specialist repair; no mobile or roadside claim. Average position 56.89 makes ranking the main issue; avoid a CTR-only rewrite.</x:v>
      </x:c>
      <x:c r="Q710" s="6" t="str">
        <x:v>All vehicles</x:v>
      </x:c>
      <x:c r="R710" s="6" t="str">
        <x:v>tire-repair</x:v>
      </x:c>
      <x:c r="S710" s="6" t="str">
        <x:v>Dubai explicit</x:v>
      </x:c>
      <x:c r="T710" s="6" t="n">
        <x:v>2</x:v>
      </x:c>
      <x:c r="U710" s="6" t="str">
        <x:v>40+</x:v>
      </x:c>
      <x:c r="V710" s="6" t="str">
        <x:v>Relevance, capability, indexing and authority review</x:v>
      </x:c>
      <x:c r="W710" s="6" t="str">
        <x:v>Relevant supporting</x:v>
      </x:c>
      <x:c r="X710" s="6" t="n">
        <x:v>706</x:v>
      </x:c>
      <x:c r="Y710" s="6" t="str">
        <x:v>Unconfirmed — joint query/page data required</x:v>
      </x:c>
    </x:row>
    <x:row r="711" ht="42" customHeight="1">
      <x:c r="A711" s="6" t="str">
        <x:v>car ac repair</x:v>
      </x:c>
      <x:c r="B711" s="14" t="n">
        <x:v>0</x:v>
      </x:c>
      <x:c r="C711" s="14" t="n">
        <x:v>18</x:v>
      </x:c>
      <x:c r="D711" s="15" t="n">
        <x:v>0</x:v>
      </x:c>
      <x:c r="E711" s="16" t="n">
        <x:v>57.83</x:v>
      </x:c>
      <x:c r="F711" s="6" t="str">
        <x:v>GROWTH</x:v>
      </x:c>
      <x:c r="G711" s="17" t="n">
        <x:f>'Scoring'!I711</x:f>
        <x:v>50</x:v>
      </x:c>
      <x:c r="H711" s="6" t="str">
        <x:v>SUPPORT</x:v>
      </x:c>
      <x:c r="I711" s="6" t="str">
        <x:v>All vehicles: AC repair</x:v>
      </x:c>
      <x:c r="J711" s="6" t="str">
        <x:v>Secondary</x:v>
      </x:c>
      <x:c r="K711" s="6" t="str">
        <x:v>Commercial service enquiry</x:v>
      </x:c>
      <x:c r="L711" s="6" t="str">
        <x:v>High</x:v>
      </x:c>
      <x:c r="M711" s="6" t="str">
        <x:v>https://digitecme.com/services/car-ac-repair-dubai</x:v>
      </x:c>
      <x:c r="N711" s="6" t="str">
        <x:v>Unknown — export has no query/page pairing</x:v>
      </x:c>
      <x:c r="O711" s="6" t="str">
        <x:v>Retain primary intent and support variants</x:v>
      </x:c>
      <x:c r="P711" s="6" t="str">
        <x:v>Average position 57.83 makes ranking the main issue; avoid a CTR-only rewrite.</x:v>
      </x:c>
      <x:c r="Q711" s="6" t="str">
        <x:v>All vehicles</x:v>
      </x:c>
      <x:c r="R711" s="6" t="str">
        <x:v>ac-repair</x:v>
      </x:c>
      <x:c r="S711" s="6" t="str">
        <x:v>Location unspecified</x:v>
      </x:c>
      <x:c r="T711" s="6" t="n">
        <x:v>3</x:v>
      </x:c>
      <x:c r="U711" s="6" t="str">
        <x:v>40+</x:v>
      </x:c>
      <x:c r="V711" s="6" t="str">
        <x:v>Relevance, capability, indexing and authority review</x:v>
      </x:c>
      <x:c r="W711" s="6" t="str">
        <x:v>Relevant supporting</x:v>
      </x:c>
      <x:c r="X711" s="6" t="n">
        <x:v>707</x:v>
      </x:c>
      <x:c r="Y711" s="6" t="str">
        <x:v>Unconfirmed — joint query/page data required</x:v>
      </x:c>
    </x:row>
    <x:row r="712" ht="42" customHeight="1">
      <x:c r="A712" s="6" t="str">
        <x:v>range rover repair specialist</x:v>
      </x:c>
      <x:c r="B712" s="14" t="n">
        <x:v>0</x:v>
      </x:c>
      <x:c r="C712" s="14" t="n">
        <x:v>18</x:v>
      </x:c>
      <x:c r="D712" s="15" t="n">
        <x:v>0</x:v>
      </x:c>
      <x:c r="E712" s="16" t="n">
        <x:v>69.56</x:v>
      </x:c>
      <x:c r="F712" s="6" t="str">
        <x:v>GROWTH</x:v>
      </x:c>
      <x:c r="G712" s="17" t="n">
        <x:f>'Scoring'!I712</x:f>
        <x:v>58</x:v>
      </x:c>
      <x:c r="H712" s="6" t="str">
        <x:v>SUPPORT</x:v>
      </x:c>
      <x:c r="I712" s="6" t="str">
        <x:v>range-rover: Service and repair</x:v>
      </x:c>
      <x:c r="J712" s="6" t="str">
        <x:v>Secondary</x:v>
      </x:c>
      <x:c r="K712" s="6" t="str">
        <x:v>Commercial service enquiry</x:v>
      </x:c>
      <x:c r="L712" s="6" t="str">
        <x:v>High</x:v>
      </x:c>
      <x:c r="M712" s="6" t="str">
        <x:v>https://digitecme.com/brands/range-rover-service-dubai</x:v>
      </x:c>
      <x:c r="N712" s="6" t="str">
        <x:v>Unknown — export has no query/page pairing</x:v>
      </x:c>
      <x:c r="O712" s="6" t="str">
        <x:v>Retain primary intent and support variants</x:v>
      </x:c>
      <x:c r="P712" s="6" t="str">
        <x:v>Average position 69.56 makes ranking the main issue; avoid a CTR-only rewrite.</x:v>
      </x:c>
      <x:c r="Q712" s="6" t="str">
        <x:v>range-rover</x:v>
      </x:c>
      <x:c r="R712" s="6" t="str">
        <x:v>service-repair</x:v>
      </x:c>
      <x:c r="S712" s="6" t="str">
        <x:v>Location unspecified</x:v>
      </x:c>
      <x:c r="T712" s="6" t="n">
        <x:v>5</x:v>
      </x:c>
      <x:c r="U712" s="6" t="str">
        <x:v>40+</x:v>
      </x:c>
      <x:c r="V712" s="6" t="str">
        <x:v>Relevance, capability, indexing and authority review</x:v>
      </x:c>
      <x:c r="W712" s="6" t="str">
        <x:v>Relevant supporting</x:v>
      </x:c>
      <x:c r="X712" s="6" t="n">
        <x:v>708</x:v>
      </x:c>
      <x:c r="Y712" s="6" t="str">
        <x:v>Unconfirmed — joint query/page data required</x:v>
      </x:c>
    </x:row>
    <x:row r="713" ht="42" customHeight="1">
      <x:c r="A713" s="6" t="str">
        <x:v>bmw engine repair in dubai</x:v>
      </x:c>
      <x:c r="B713" s="14" t="n">
        <x:v>0</x:v>
      </x:c>
      <x:c r="C713" s="14" t="n">
        <x:v>17</x:v>
      </x:c>
      <x:c r="D713" s="15" t="n">
        <x:v>0</x:v>
      </x:c>
      <x:c r="E713" s="16" t="n">
        <x:v>3.24</x:v>
      </x:c>
      <x:c r="F713" s="6" t="str">
        <x:v>HIGH</x:v>
      </x:c>
      <x:c r="G713" s="17" t="n">
        <x:f>'Scoring'!I713</x:f>
        <x:v>84.2</x:v>
      </x:c>
      <x:c r="H713" s="6" t="str">
        <x:v>SPLIT</x:v>
      </x:c>
      <x:c r="I713" s="6" t="str">
        <x:v>bmw: Engine and mechanical repair</x:v>
      </x:c>
      <x:c r="J713" s="6" t="str">
        <x:v>Secondary</x:v>
      </x:c>
      <x:c r="K713" s="6" t="str">
        <x:v>Commercial service enquiry</x:v>
      </x:c>
      <x:c r="L713" s="6" t="str">
        <x:v>High</x:v>
      </x:c>
      <x:c r="M713" s="6" t="str">
        <x:v>https://digitecme.com/brands/bmw-service-dubai/mechanical-repair</x:v>
      </x:c>
      <x:c r="N713" s="6" t="str">
        <x:v>Unknown — export has no query/page pairing</x:v>
      </x:c>
      <x:c r="O713" s="6" t="str">
        <x:v>Use dedicated service owner</x:v>
      </x:c>
      <x:c r="P713" s="6" t="str">
        <x:v>Zero clicks from 17 impressions at average position 3.24; inspect query/page, country/device and SERP before attributing this to the snippet.</x:v>
      </x:c>
      <x:c r="Q713" s="6" t="str">
        <x:v>bmw</x:v>
      </x:c>
      <x:c r="R713" s="6" t="str">
        <x:v>mechanical-repair</x:v>
      </x:c>
      <x:c r="S713" s="6" t="str">
        <x:v>Dubai explicit</x:v>
      </x:c>
      <x:c r="T713" s="6" t="n">
        <x:v>5</x:v>
      </x:c>
      <x:c r="U713" s="6" t="str">
        <x:v>4–10</x:v>
      </x:c>
      <x:c r="V713" s="6" t="str">
        <x:v>Page-one CTR review and top-three relevance</x:v>
      </x:c>
      <x:c r="W713" s="6" t="str">
        <x:v>High-value commercial</x:v>
      </x:c>
      <x:c r="X713" s="6" t="n">
        <x:v>709</x:v>
      </x:c>
      <x:c r="Y713" s="6" t="str">
        <x:v>Unconfirmed — joint query/page data required</x:v>
      </x:c>
    </x:row>
    <x:row r="714" ht="57" customHeight="1">
      <x:c r="A714" s="6" t="str">
        <x:v>volvo battery dubai</x:v>
      </x:c>
      <x:c r="B714" s="14" t="n">
        <x:v>0</x:v>
      </x:c>
      <x:c r="C714" s="14" t="n">
        <x:v>17</x:v>
      </x:c>
      <x:c r="D714" s="15" t="n">
        <x:v>0</x:v>
      </x:c>
      <x:c r="E714" s="16" t="n">
        <x:v>6.12</x:v>
      </x:c>
      <x:c r="F714" s="6" t="str">
        <x:v>HIGH</x:v>
      </x:c>
      <x:c r="G714" s="17" t="n">
        <x:f>'Scoring'!I714</x:f>
        <x:v>44.6</x:v>
      </x:c>
      <x:c r="H714" s="6" t="str">
        <x:v>SPLIT</x:v>
      </x:c>
      <x:c r="I714" s="6" t="str">
        <x:v>volvo: Battery service</x:v>
      </x:c>
      <x:c r="J714" s="6" t="str">
        <x:v>Primary</x:v>
      </x:c>
      <x:c r="K714" s="6" t="str">
        <x:v>Commercial service enquiry</x:v>
      </x:c>
      <x:c r="L714" s="6" t="str">
        <x:v>Medium</x:v>
      </x:c>
      <x:c r="M714" s="6" t="str">
        <x:v>https://digitecme.com/brands/volvo-service-dubai/battery-replacement</x:v>
      </x:c>
      <x:c r="N714" s="6" t="str">
        <x:v>Unknown — export has no query/page pairing</x:v>
      </x:c>
      <x:c r="O714" s="6" t="str">
        <x:v>Use dedicated service owner</x:v>
      </x:c>
      <x:c r="P714" s="6" t="str">
        <x:v>Existing specific page is noindex; assess service evidence and distinct content before changing indexation. Zero clicks from 17 impressions at average position 6.12; inspect query/page, country/device and SERP before attributing this to the snippet.</x:v>
      </x:c>
      <x:c r="Q714" s="6" t="str">
        <x:v>volvo</x:v>
      </x:c>
      <x:c r="R714" s="6" t="str">
        <x:v>battery-replacement</x:v>
      </x:c>
      <x:c r="S714" s="6" t="str">
        <x:v>Dubai explicit</x:v>
      </x:c>
      <x:c r="T714" s="6" t="n">
        <x:v>3</x:v>
      </x:c>
      <x:c r="U714" s="6" t="str">
        <x:v>4–10</x:v>
      </x:c>
      <x:c r="V714" s="6" t="str">
        <x:v>Page-one CTR review and top-three relevance</x:v>
      </x:c>
      <x:c r="W714" s="6" t="str">
        <x:v>High-value commercial</x:v>
      </x:c>
      <x:c r="X714" s="6" t="n">
        <x:v>710</x:v>
      </x:c>
      <x:c r="Y714" s="6" t="str">
        <x:v>Unconfirmed — joint query/page data required</x:v>
      </x:c>
    </x:row>
    <x:row r="715" ht="57" customHeight="1">
      <x:c r="A715" s="6" t="str">
        <x:v>tec performance</x:v>
      </x:c>
      <x:c r="B715" s="14" t="n">
        <x:v>0</x:v>
      </x:c>
      <x:c r="C715" s="14" t="n">
        <x:v>17</x:v>
      </x:c>
      <x:c r="D715" s="15" t="n">
        <x:v>0</x:v>
      </x:c>
      <x:c r="E715" s="16" t="n">
        <x:v>7.65</x:v>
      </x:c>
      <x:c r="F715" s="6" t="str">
        <x:v>DEPRIORITIZE</x:v>
      </x:c>
      <x:c r="G715" s="17" t="n">
        <x:f>'Scoring'!I715</x:f>
        <x:v>43</x:v>
      </x:c>
      <x:c r="H715" s="6" t="str">
        <x:v>DEPRIORITIZE</x:v>
      </x:c>
      <x:c r="I715" s="6" t="str">
        <x:v>DIGI-TEC: Business navigation</x:v>
      </x:c>
      <x:c r="J715" s="6" t="str">
        <x:v>Secondary</x:v>
      </x:c>
      <x:c r="K715" s="6" t="str">
        <x:v>Navigational</x:v>
      </x:c>
      <x:c r="L715" s="6" t="str">
        <x:v>Medium</x:v>
      </x:c>
      <x:c r="M715" s="6" t="str">
        <x:v>https://digitecme.com/</x:v>
      </x:c>
      <x:c r="N715" s="6" t="str">
        <x:v>Unknown — export has no query/page pairing</x:v>
      </x:c>
      <x:c r="O715" s="6" t="str">
        <x:v>Confirm scope or deprioritize</x:v>
      </x:c>
      <x:c r="P715" s="6" t="str">
        <x:v>Ambiguous business-name variant; automotive intent cannot be established from this export. Zero clicks from 17 impressions at average position 7.65; inspect query/page, country/device and SERP before attributing this to the snippet.</x:v>
      </x:c>
      <x:c r="Q715" s="6" t="str">
        <x:v>DIGI-TEC</x:v>
      </x:c>
      <x:c r="R715" s="6" t="str">
        <x:v>brand-navigation</x:v>
      </x:c>
      <x:c r="S715" s="6" t="str">
        <x:v>Location unspecified</x:v>
      </x:c>
      <x:c r="T715" s="6" t="n">
        <x:v>3</x:v>
      </x:c>
      <x:c r="U715" s="6" t="str">
        <x:v>4–10</x:v>
      </x:c>
      <x:c r="V715" s="6" t="str">
        <x:v>Page-one CTR review and top-three relevance</x:v>
      </x:c>
      <x:c r="W715" s="6" t="str">
        <x:v>Relevant supporting</x:v>
      </x:c>
      <x:c r="X715" s="6" t="n">
        <x:v>711</x:v>
      </x:c>
      <x:c r="Y715" s="6" t="str">
        <x:v>Unconfirmed — joint query/page data required</x:v>
      </x:c>
    </x:row>
    <x:row r="716" ht="42" customHeight="1">
      <x:c r="A716" s="6" t="str">
        <x:v>nissan body shop dubai</x:v>
      </x:c>
      <x:c r="B716" s="14" t="n">
        <x:v>0</x:v>
      </x:c>
      <x:c r="C716" s="14" t="n">
        <x:v>17</x:v>
      </x:c>
      <x:c r="D716" s="15" t="n">
        <x:v>0</x:v>
      </x:c>
      <x:c r="E716" s="16" t="n">
        <x:v>9.12</x:v>
      </x:c>
      <x:c r="F716" s="6" t="str">
        <x:v>HIGH</x:v>
      </x:c>
      <x:c r="G716" s="17" t="n">
        <x:f>'Scoring'!I716</x:f>
        <x:v>76.2</x:v>
      </x:c>
      <x:c r="H716" s="6" t="str">
        <x:v>SPLIT</x:v>
      </x:c>
      <x:c r="I716" s="6" t="str">
        <x:v>nissan: Body repair</x:v>
      </x:c>
      <x:c r="J716" s="6" t="str">
        <x:v>Primary</x:v>
      </x:c>
      <x:c r="K716" s="6" t="str">
        <x:v>Commercial service enquiry</x:v>
      </x:c>
      <x:c r="L716" s="6" t="str">
        <x:v>High</x:v>
      </x:c>
      <x:c r="M716" s="6" t="str">
        <x:v>https://digitecme.com/brands/nissan-service-dubai/body-repair</x:v>
      </x:c>
      <x:c r="N716" s="6" t="str">
        <x:v>Unknown — export has no query/page pairing</x:v>
      </x:c>
      <x:c r="O716" s="6" t="str">
        <x:v>Use dedicated service owner</x:v>
      </x:c>
      <x:c r="P716" s="6" t="str">
        <x:v>Zero clicks from 17 impressions at average position 9.12; inspect query/page, country/device and SERP before attributing this to the snippet.</x:v>
      </x:c>
      <x:c r="Q716" s="6" t="str">
        <x:v>nissan</x:v>
      </x:c>
      <x:c r="R716" s="6" t="str">
        <x:v>body-repair</x:v>
      </x:c>
      <x:c r="S716" s="6" t="str">
        <x:v>Dubai explicit</x:v>
      </x:c>
      <x:c r="T716" s="6" t="n">
        <x:v>3</x:v>
      </x:c>
      <x:c r="U716" s="6" t="str">
        <x:v>4–10</x:v>
      </x:c>
      <x:c r="V716" s="6" t="str">
        <x:v>Page-one CTR review and top-three relevance</x:v>
      </x:c>
      <x:c r="W716" s="6" t="str">
        <x:v>High-value commercial</x:v>
      </x:c>
      <x:c r="X716" s="6" t="n">
        <x:v>712</x:v>
      </x:c>
      <x:c r="Y716" s="6" t="str">
        <x:v>Unconfirmed — joint query/page data required</x:v>
      </x:c>
    </x:row>
    <x:row r="717" ht="57" customHeight="1">
      <x:c r="A717" s="6" t="str">
        <x:v>tyre repair near me</x:v>
      </x:c>
      <x:c r="B717" s="14" t="n">
        <x:v>0</x:v>
      </x:c>
      <x:c r="C717" s="14" t="n">
        <x:v>17</x:v>
      </x:c>
      <x:c r="D717" s="15" t="n">
        <x:v>0</x:v>
      </x:c>
      <x:c r="E717" s="16" t="n">
        <x:v>10.88</x:v>
      </x:c>
      <x:c r="F717" s="6" t="str">
        <x:v>GROWTH</x:v>
      </x:c>
      <x:c r="G717" s="17" t="n">
        <x:f>'Scoring'!I717</x:f>
        <x:v>72.2</x:v>
      </x:c>
      <x:c r="H717" s="6" t="str">
        <x:v>SUPPORT</x:v>
      </x:c>
      <x:c r="I717" s="6" t="str">
        <x:v>All vehicles: Tyre repair</x:v>
      </x:c>
      <x:c r="J717" s="6" t="str">
        <x:v>Secondary</x:v>
      </x:c>
      <x:c r="K717" s="6" t="str">
        <x:v>Commercial service enquiry</x:v>
      </x:c>
      <x:c r="L717" s="6" t="str">
        <x:v>High</x:v>
      </x:c>
      <x:c r="M717" s="6" t="str">
        <x:v>https://digitecme.com/services/tire-repair-dubai</x:v>
      </x:c>
      <x:c r="N717" s="6" t="str">
        <x:v>Unknown — export has no query/page pairing</x:v>
      </x:c>
      <x:c r="O717" s="6" t="str">
        <x:v>Retain primary intent and support variants</x:v>
      </x:c>
      <x:c r="P717" s="6" t="str">
        <x:v>Relevant workshop tyre enquiry with lower assumed value than specialist repair; no mobile or roadside claim. 17 impressions at average position 10.88; strengthen the appropriate intent owner and measure with a fresh comparable period.</x:v>
      </x:c>
      <x:c r="Q717" s="6" t="str">
        <x:v>All vehicles</x:v>
      </x:c>
      <x:c r="R717" s="6" t="str">
        <x:v>tire-repair</x:v>
      </x:c>
      <x:c r="S717" s="6" t="str">
        <x:v>Near me; location unknown</x:v>
      </x:c>
      <x:c r="T717" s="6" t="n">
        <x:v>2</x:v>
      </x:c>
      <x:c r="U717" s="6" t="str">
        <x:v>11–20</x:v>
      </x:c>
      <x:c r="V717" s="6" t="str">
        <x:v>Ranking and owner relevance</x:v>
      </x:c>
      <x:c r="W717" s="6" t="str">
        <x:v>Relevant supporting</x:v>
      </x:c>
      <x:c r="X717" s="6" t="n">
        <x:v>713</x:v>
      </x:c>
      <x:c r="Y717" s="6" t="str">
        <x:v>Unconfirmed — joint query/page data required</x:v>
      </x:c>
    </x:row>
    <x:row r="718" ht="42" customHeight="1">
      <x:c r="A718" s="6" t="str">
        <x:v>audi repair</x:v>
      </x:c>
      <x:c r="B718" s="14" t="n">
        <x:v>0</x:v>
      </x:c>
      <x:c r="C718" s="14" t="n">
        <x:v>17</x:v>
      </x:c>
      <x:c r="D718" s="15" t="n">
        <x:v>0</x:v>
      </x:c>
      <x:c r="E718" s="16" t="n">
        <x:v>12</x:v>
      </x:c>
      <x:c r="F718" s="6" t="str">
        <x:v>HIGH</x:v>
      </x:c>
      <x:c r="G718" s="17" t="n">
        <x:f>'Scoring'!I718</x:f>
        <x:v>79.2</x:v>
      </x:c>
      <x:c r="H718" s="6" t="str">
        <x:v>SUPPORT</x:v>
      </x:c>
      <x:c r="I718" s="6" t="str">
        <x:v>audi: Service and repair (English)</x:v>
      </x:c>
      <x:c r="J718" s="6" t="str">
        <x:v>Secondary</x:v>
      </x:c>
      <x:c r="K718" s="6" t="str">
        <x:v>Commercial service enquiry</x:v>
      </x:c>
      <x:c r="L718" s="6" t="str">
        <x:v>High</x:v>
      </x:c>
      <x:c r="M718" s="6" t="str">
        <x:v>https://digitecme.com/brands/audi-service-dubai</x:v>
      </x:c>
      <x:c r="N718" s="6" t="str">
        <x:v>Unknown — export has no query/page pairing</x:v>
      </x:c>
      <x:c r="O718" s="6" t="str">
        <x:v>Retain primary intent and support variants</x:v>
      </x:c>
      <x:c r="P718" s="6" t="str">
        <x:v>17 impressions at average position 12.00; strengthen the appropriate intent owner and measure with a fresh comparable period.</x:v>
      </x:c>
      <x:c r="Q718" s="6" t="str">
        <x:v>audi</x:v>
      </x:c>
      <x:c r="R718" s="6" t="str">
        <x:v>service-repair</x:v>
      </x:c>
      <x:c r="S718" s="6" t="str">
        <x:v>Location unspecified</x:v>
      </x:c>
      <x:c r="T718" s="6" t="n">
        <x:v>5</x:v>
      </x:c>
      <x:c r="U718" s="6" t="str">
        <x:v>11–20</x:v>
      </x:c>
      <x:c r="V718" s="6" t="str">
        <x:v>Ranking and owner relevance</x:v>
      </x:c>
      <x:c r="W718" s="6" t="str">
        <x:v>Relevant supporting</x:v>
      </x:c>
      <x:c r="X718" s="6" t="n">
        <x:v>714</x:v>
      </x:c>
      <x:c r="Y718" s="6" t="str">
        <x:v>Unconfirmed — joint query/page data required</x:v>
      </x:c>
    </x:row>
    <x:row r="719" ht="57" customHeight="1">
      <x:c r="A719" s="6" t="str">
        <x:v>tuning mercedes</x:v>
      </x:c>
      <x:c r="B719" s="14" t="n">
        <x:v>0</x:v>
      </x:c>
      <x:c r="C719" s="14" t="n">
        <x:v>17</x:v>
      </x:c>
      <x:c r="D719" s="15" t="n">
        <x:v>0</x:v>
      </x:c>
      <x:c r="E719" s="16" t="n">
        <x:v>13</x:v>
      </x:c>
      <x:c r="F719" s="6" t="str">
        <x:v>HIGH</x:v>
      </x:c>
      <x:c r="G719" s="17" t="n">
        <x:f>'Scoring'!I719</x:f>
        <x:v>79.2</x:v>
      </x:c>
      <x:c r="H719" s="6" t="str">
        <x:v>SUPPORT</x:v>
      </x:c>
      <x:c r="I719" s="6" t="str">
        <x:v>All vehicles: Performance tuning</x:v>
      </x:c>
      <x:c r="J719" s="6" t="str">
        <x:v>Secondary</x:v>
      </x:c>
      <x:c r="K719" s="6" t="str">
        <x:v>Commercial service enquiry</x:v>
      </x:c>
      <x:c r="L719" s="6" t="str">
        <x:v>High</x:v>
      </x:c>
      <x:c r="M719" s="6" t="str">
        <x:v>https://digitecme.com/tuning</x:v>
      </x:c>
      <x:c r="N719" s="6" t="str">
        <x:v>Unknown — export has no query/page pairing</x:v>
      </x:c>
      <x:c r="O719" s="6" t="str">
        <x:v>Retain primary intent and support variants</x:v>
      </x:c>
      <x:c r="P719" s="6" t="str">
        <x:v>Use the existing tuning page; model scope and any GAD relationship require verified facts. 17 impressions at average position 13.00; strengthen the appropriate intent owner and measure with a fresh comparable period.</x:v>
      </x:c>
      <x:c r="Q719" s="6" t="str">
        <x:v>mercedes-benz</x:v>
      </x:c>
      <x:c r="R719" s="6" t="str">
        <x:v>tuning</x:v>
      </x:c>
      <x:c r="S719" s="6" t="str">
        <x:v>Location unspecified</x:v>
      </x:c>
      <x:c r="T719" s="6" t="n">
        <x:v>5</x:v>
      </x:c>
      <x:c r="U719" s="6" t="str">
        <x:v>11–20</x:v>
      </x:c>
      <x:c r="V719" s="6" t="str">
        <x:v>Ranking and owner relevance</x:v>
      </x:c>
      <x:c r="W719" s="6" t="str">
        <x:v>Relevant supporting</x:v>
      </x:c>
      <x:c r="X719" s="6" t="n">
        <x:v>715</x:v>
      </x:c>
      <x:c r="Y719" s="6" t="str">
        <x:v>Unconfirmed — joint query/page data required</x:v>
      </x:c>
    </x:row>
    <x:row r="720" ht="42" customHeight="1">
      <x:c r="A720" s="6" t="str">
        <x:v>brake services</x:v>
      </x:c>
      <x:c r="B720" s="14" t="n">
        <x:v>0</x:v>
      </x:c>
      <x:c r="C720" s="14" t="n">
        <x:v>17</x:v>
      </x:c>
      <x:c r="D720" s="15" t="n">
        <x:v>0</x:v>
      </x:c>
      <x:c r="E720" s="16" t="n">
        <x:v>13.76</x:v>
      </x:c>
      <x:c r="F720" s="6" t="str">
        <x:v>HIGH</x:v>
      </x:c>
      <x:c r="G720" s="17" t="n">
        <x:f>'Scoring'!I720</x:f>
        <x:v>71.2</x:v>
      </x:c>
      <x:c r="H720" s="6" t="str">
        <x:v>SUPPORT</x:v>
      </x:c>
      <x:c r="I720" s="6" t="str">
        <x:v>All vehicles: Brake repair (English)</x:v>
      </x:c>
      <x:c r="J720" s="6" t="str">
        <x:v>Secondary</x:v>
      </x:c>
      <x:c r="K720" s="6" t="str">
        <x:v>Commercial service enquiry</x:v>
      </x:c>
      <x:c r="L720" s="6" t="str">
        <x:v>High</x:v>
      </x:c>
      <x:c r="M720" s="6" t="str">
        <x:v>https://digitecme.com/services/brake-repair-dubai</x:v>
      </x:c>
      <x:c r="N720" s="6" t="str">
        <x:v>Unknown — export has no query/page pairing</x:v>
      </x:c>
      <x:c r="O720" s="6" t="str">
        <x:v>Retain primary intent and support variants</x:v>
      </x:c>
      <x:c r="P720" s="6" t="str">
        <x:v>17 impressions at average position 13.76; strengthen the appropriate intent owner and measure with a fresh comparable period.</x:v>
      </x:c>
      <x:c r="Q720" s="6" t="str">
        <x:v>All vehicles</x:v>
      </x:c>
      <x:c r="R720" s="6" t="str">
        <x:v>brake-repair</x:v>
      </x:c>
      <x:c r="S720" s="6" t="str">
        <x:v>Location unspecified</x:v>
      </x:c>
      <x:c r="T720" s="6" t="n">
        <x:v>3</x:v>
      </x:c>
      <x:c r="U720" s="6" t="str">
        <x:v>11–20</x:v>
      </x:c>
      <x:c r="V720" s="6" t="str">
        <x:v>Ranking and owner relevance</x:v>
      </x:c>
      <x:c r="W720" s="6" t="str">
        <x:v>Relevant supporting</x:v>
      </x:c>
      <x:c r="X720" s="6" t="n">
        <x:v>716</x:v>
      </x:c>
      <x:c r="Y720" s="6" t="str">
        <x:v>Unconfirmed — joint query/page data required</x:v>
      </x:c>
    </x:row>
    <x:row r="721" ht="42" customHeight="1">
      <x:c r="A721" s="6" t="str">
        <x:v>ferrari transmission repair dubai</x:v>
      </x:c>
      <x:c r="B721" s="14" t="n">
        <x:v>0</x:v>
      </x:c>
      <x:c r="C721" s="14" t="n">
        <x:v>17</x:v>
      </x:c>
      <x:c r="D721" s="15" t="n">
        <x:v>0</x:v>
      </x:c>
      <x:c r="E721" s="16" t="n">
        <x:v>13.82</x:v>
      </x:c>
      <x:c r="F721" s="6" t="str">
        <x:v>HIGH</x:v>
      </x:c>
      <x:c r="G721" s="17" t="n">
        <x:f>'Scoring'!I721</x:f>
        <x:v>84.2</x:v>
      </x:c>
      <x:c r="H721" s="6" t="str">
        <x:v>SPLIT</x:v>
      </x:c>
      <x:c r="I721" s="6" t="str">
        <x:v>ferrari: Transmission and gearbox repair</x:v>
      </x:c>
      <x:c r="J721" s="6" t="str">
        <x:v>Primary</x:v>
      </x:c>
      <x:c r="K721" s="6" t="str">
        <x:v>Commercial service enquiry</x:v>
      </x:c>
      <x:c r="L721" s="6" t="str">
        <x:v>High</x:v>
      </x:c>
      <x:c r="M721" s="6" t="str">
        <x:v>https://digitecme.com/brands/ferrari-service-dubai/transmission-repair</x:v>
      </x:c>
      <x:c r="N721" s="6" t="str">
        <x:v>Unknown — export has no query/page pairing</x:v>
      </x:c>
      <x:c r="O721" s="6" t="str">
        <x:v>Use dedicated service owner</x:v>
      </x:c>
      <x:c r="P721" s="6" t="str">
        <x:v>17 impressions at average position 13.82; strengthen the appropriate intent owner and measure with a fresh comparable period.</x:v>
      </x:c>
      <x:c r="Q721" s="6" t="str">
        <x:v>ferrari</x:v>
      </x:c>
      <x:c r="R721" s="6" t="str">
        <x:v>transmission-repair</x:v>
      </x:c>
      <x:c r="S721" s="6" t="str">
        <x:v>Dubai explicit</x:v>
      </x:c>
      <x:c r="T721" s="6" t="n">
        <x:v>5</x:v>
      </x:c>
      <x:c r="U721" s="6" t="str">
        <x:v>11–20</x:v>
      </x:c>
      <x:c r="V721" s="6" t="str">
        <x:v>Ranking and owner relevance</x:v>
      </x:c>
      <x:c r="W721" s="6" t="str">
        <x:v>High-value commercial</x:v>
      </x:c>
      <x:c r="X721" s="6" t="n">
        <x:v>717</x:v>
      </x:c>
      <x:c r="Y721" s="6" t="str">
        <x:v>Unconfirmed — joint query/page data required</x:v>
      </x:c>
    </x:row>
    <x:row r="722" ht="42" customHeight="1">
      <x:c r="A722" s="6" t="str">
        <x:v>mclaren specialist</x:v>
      </x:c>
      <x:c r="B722" s="14" t="n">
        <x:v>0</x:v>
      </x:c>
      <x:c r="C722" s="14" t="n">
        <x:v>17</x:v>
      </x:c>
      <x:c r="D722" s="15" t="n">
        <x:v>0</x:v>
      </x:c>
      <x:c r="E722" s="16" t="n">
        <x:v>14.82</x:v>
      </x:c>
      <x:c r="F722" s="6" t="str">
        <x:v>HIGH</x:v>
      </x:c>
      <x:c r="G722" s="17" t="n">
        <x:f>'Scoring'!I722</x:f>
        <x:v>79.2</x:v>
      </x:c>
      <x:c r="H722" s="6" t="str">
        <x:v>SUPPORT</x:v>
      </x:c>
      <x:c r="I722" s="6" t="str">
        <x:v>mclaren: Service and repair</x:v>
      </x:c>
      <x:c r="J722" s="6" t="str">
        <x:v>Secondary</x:v>
      </x:c>
      <x:c r="K722" s="6" t="str">
        <x:v>Commercial service enquiry</x:v>
      </x:c>
      <x:c r="L722" s="6" t="str">
        <x:v>High</x:v>
      </x:c>
      <x:c r="M722" s="6" t="str">
        <x:v>https://digitecme.com/brands/mclaren-service-dubai</x:v>
      </x:c>
      <x:c r="N722" s="6" t="str">
        <x:v>Unknown — export has no query/page pairing</x:v>
      </x:c>
      <x:c r="O722" s="6" t="str">
        <x:v>Retain primary intent and support variants</x:v>
      </x:c>
      <x:c r="P722" s="6" t="str">
        <x:v>17 impressions at average position 14.82; strengthen the appropriate intent owner and measure with a fresh comparable period.</x:v>
      </x:c>
      <x:c r="Q722" s="6" t="str">
        <x:v>mclaren</x:v>
      </x:c>
      <x:c r="R722" s="6" t="str">
        <x:v>service-repair</x:v>
      </x:c>
      <x:c r="S722" s="6" t="str">
        <x:v>Location unspecified</x:v>
      </x:c>
      <x:c r="T722" s="6" t="n">
        <x:v>5</x:v>
      </x:c>
      <x:c r="U722" s="6" t="str">
        <x:v>11–20</x:v>
      </x:c>
      <x:c r="V722" s="6" t="str">
        <x:v>Ranking and owner relevance</x:v>
      </x:c>
      <x:c r="W722" s="6" t="str">
        <x:v>Relevant supporting</x:v>
      </x:c>
      <x:c r="X722" s="6" t="n">
        <x:v>718</x:v>
      </x:c>
      <x:c r="Y722" s="6" t="str">
        <x:v>Unconfirmed — joint query/page data required</x:v>
      </x:c>
    </x:row>
    <x:row r="723" ht="42" customHeight="1">
      <x:c r="A723" s="6" t="str">
        <x:v>benz service dubai</x:v>
      </x:c>
      <x:c r="B723" s="14" t="n">
        <x:v>0</x:v>
      </x:c>
      <x:c r="C723" s="14" t="n">
        <x:v>17</x:v>
      </x:c>
      <x:c r="D723" s="15" t="n">
        <x:v>0</x:v>
      </x:c>
      <x:c r="E723" s="16" t="n">
        <x:v>16.88</x:v>
      </x:c>
      <x:c r="F723" s="6" t="str">
        <x:v>HIGH</x:v>
      </x:c>
      <x:c r="G723" s="17" t="n">
        <x:f>'Scoring'!I723</x:f>
        <x:v>76.7</x:v>
      </x:c>
      <x:c r="H723" s="6" t="str">
        <x:v>SUPPORT</x:v>
      </x:c>
      <x:c r="I723" s="6" t="str">
        <x:v>mercedes-benz: Service and repair (English)</x:v>
      </x:c>
      <x:c r="J723" s="6" t="str">
        <x:v>Secondary</x:v>
      </x:c>
      <x:c r="K723" s="6" t="str">
        <x:v>Commercial service enquiry</x:v>
      </x:c>
      <x:c r="L723" s="6" t="str">
        <x:v>High</x:v>
      </x:c>
      <x:c r="M723" s="6" t="str">
        <x:v>https://digitecme.com/brands/mercedes-benz-service-dubai</x:v>
      </x:c>
      <x:c r="N723" s="6" t="str">
        <x:v>Unknown — export has no query/page pairing</x:v>
      </x:c>
      <x:c r="O723" s="6" t="str">
        <x:v>Retain primary intent and support variants</x:v>
      </x:c>
      <x:c r="P723" s="6" t="str">
        <x:v>17 impressions at average position 16.88; strengthen the appropriate intent owner and measure with a fresh comparable period.</x:v>
      </x:c>
      <x:c r="Q723" s="6" t="str">
        <x:v>mercedes-benz</x:v>
      </x:c>
      <x:c r="R723" s="6" t="str">
        <x:v>service-repair</x:v>
      </x:c>
      <x:c r="S723" s="6" t="str">
        <x:v>Dubai explicit</x:v>
      </x:c>
      <x:c r="T723" s="6" t="n">
        <x:v>5</x:v>
      </x:c>
      <x:c r="U723" s="6" t="str">
        <x:v>11–20</x:v>
      </x:c>
      <x:c r="V723" s="6" t="str">
        <x:v>Ranking and owner relevance</x:v>
      </x:c>
      <x:c r="W723" s="6" t="str">
        <x:v>Relevant supporting</x:v>
      </x:c>
      <x:c r="X723" s="6" t="n">
        <x:v>719</x:v>
      </x:c>
      <x:c r="Y723" s="6" t="str">
        <x:v>Unconfirmed — joint query/page data required</x:v>
      </x:c>
    </x:row>
    <x:row r="724" ht="42" customHeight="1">
      <x:c r="A724" s="6" t="str">
        <x:v>aston martin service</x:v>
      </x:c>
      <x:c r="B724" s="14" t="n">
        <x:v>0</x:v>
      </x:c>
      <x:c r="C724" s="14" t="n">
        <x:v>17</x:v>
      </x:c>
      <x:c r="D724" s="15" t="n">
        <x:v>0</x:v>
      </x:c>
      <x:c r="E724" s="16" t="n">
        <x:v>18.94</x:v>
      </x:c>
      <x:c r="F724" s="6" t="str">
        <x:v>HIGH</x:v>
      </x:c>
      <x:c r="G724" s="17" t="n">
        <x:f>'Scoring'!I724</x:f>
        <x:v>71.7</x:v>
      </x:c>
      <x:c r="H724" s="6" t="str">
        <x:v>SUPPORT</x:v>
      </x:c>
      <x:c r="I724" s="6" t="str">
        <x:v>aston-martin: Service and repair</x:v>
      </x:c>
      <x:c r="J724" s="6" t="str">
        <x:v>Secondary</x:v>
      </x:c>
      <x:c r="K724" s="6" t="str">
        <x:v>Commercial service enquiry</x:v>
      </x:c>
      <x:c r="L724" s="6" t="str">
        <x:v>High</x:v>
      </x:c>
      <x:c r="M724" s="6" t="str">
        <x:v>https://digitecme.com/brands/aston-martin-service-dubai</x:v>
      </x:c>
      <x:c r="N724" s="6" t="str">
        <x:v>Unknown — export has no query/page pairing</x:v>
      </x:c>
      <x:c r="O724" s="6" t="str">
        <x:v>Retain primary intent and support variants</x:v>
      </x:c>
      <x:c r="P724" s="6" t="str">
        <x:v>17 impressions at average position 18.94; strengthen the appropriate intent owner and measure with a fresh comparable period.</x:v>
      </x:c>
      <x:c r="Q724" s="6" t="str">
        <x:v>aston-martin</x:v>
      </x:c>
      <x:c r="R724" s="6" t="str">
        <x:v>service-repair</x:v>
      </x:c>
      <x:c r="S724" s="6" t="str">
        <x:v>Location unspecified</x:v>
      </x:c>
      <x:c r="T724" s="6" t="n">
        <x:v>5</x:v>
      </x:c>
      <x:c r="U724" s="6" t="str">
        <x:v>11–20</x:v>
      </x:c>
      <x:c r="V724" s="6" t="str">
        <x:v>Ranking and owner relevance</x:v>
      </x:c>
      <x:c r="W724" s="6" t="str">
        <x:v>Relevant supporting</x:v>
      </x:c>
      <x:c r="X724" s="6" t="n">
        <x:v>720</x:v>
      </x:c>
      <x:c r="Y724" s="6" t="str">
        <x:v>Unconfirmed — joint query/page data required</x:v>
      </x:c>
    </x:row>
    <x:row r="725" ht="57" customHeight="1">
      <x:c r="A725" s="6" t="str">
        <x:v>car paint protection film artarmon</x:v>
      </x:c>
      <x:c r="B725" s="14" t="n">
        <x:v>0</x:v>
      </x:c>
      <x:c r="C725" s="14" t="n">
        <x:v>17</x:v>
      </x:c>
      <x:c r="D725" s="15" t="n">
        <x:v>0</x:v>
      </x:c>
      <x:c r="E725" s="16" t="n">
        <x:v>20.12</x:v>
      </x:c>
      <x:c r="F725" s="6" t="str">
        <x:v>IGNORE</x:v>
      </x:c>
      <x:c r="G725" s="17" t="n">
        <x:f>'Scoring'!I725</x:f>
        <x:v>0</x:v>
      </x:c>
      <x:c r="H725" s="6" t="str">
        <x:v>IGNORE</x:v>
      </x:c>
      <x:c r="I725" s="6" t="str">
        <x:v>Excluded: Unrelated or wrong location</x:v>
      </x:c>
      <x:c r="J725" s="6" t="str">
        <x:v>Secondary</x:v>
      </x:c>
      <x:c r="K725" s="6" t="str">
        <x:v>Commercial service enquiry</x:v>
      </x:c>
      <x:c r="L725" s="6" t="str">
        <x:v>None</x:v>
      </x:c>
      <x:c r="M725" s="6" t="str"/>
      <x:c r="N725" s="6" t="str">
        <x:v>Unknown — export has no query/page pairing</x:v>
      </x:c>
      <x:c r="O725" s="6" t="str">
        <x:v>Do not target</x:v>
      </x:c>
      <x:c r="P725" s="6" t="str">
        <x:v>Explicit destination differs from the Al Quoz workshop; do not claim a local branch or service coverage. Film intent belongs to the PPF page; vehicle and district terms are secondary context. Average position 20.12 makes ranking the main issue; avoid a CTR-only rewrite.</x:v>
      </x:c>
      <x:c r="Q725" s="6" t="str">
        <x:v>All vehicles</x:v>
      </x:c>
      <x:c r="R725" s="6" t="str">
        <x:v>ppf</x:v>
      </x:c>
      <x:c r="S725" s="6" t="str">
        <x:v>Outside Dubai</x:v>
      </x:c>
      <x:c r="T725" s="6" t="n">
        <x:v>0</x:v>
      </x:c>
      <x:c r="U725" s="6" t="str">
        <x:v>21–40</x:v>
      </x:c>
      <x:c r="V725" s="6" t="str">
        <x:v>Content, internal authority and owner alignment</x:v>
      </x:c>
      <x:c r="W725" s="6" t="str">
        <x:v>Irrelevant</x:v>
      </x:c>
      <x:c r="X725" s="6" t="n">
        <x:v>721</x:v>
      </x:c>
      <x:c r="Y725" s="6" t="str">
        <x:v>Unconfirmed — joint query/page data required</x:v>
      </x:c>
    </x:row>
    <x:row r="726" ht="42" customHeight="1">
      <x:c r="A726" s="6" t="str">
        <x:v>صيانة لينكون</x:v>
      </x:c>
      <x:c r="B726" s="14" t="n">
        <x:v>0</x:v>
      </x:c>
      <x:c r="C726" s="14" t="n">
        <x:v>17</x:v>
      </x:c>
      <x:c r="D726" s="15" t="n">
        <x:v>0</x:v>
      </x:c>
      <x:c r="E726" s="16" t="n">
        <x:v>21.35</x:v>
      </x:c>
      <x:c r="F726" s="6" t="str">
        <x:v>HIGH</x:v>
      </x:c>
      <x:c r="G726" s="17" t="n">
        <x:f>'Scoring'!I726</x:f>
        <x:v>63.7</x:v>
      </x:c>
      <x:c r="H726" s="6" t="str">
        <x:v>PRIORITIZE</x:v>
      </x:c>
      <x:c r="I726" s="6" t="str">
        <x:v>lincoln: Service and repair (Arabic)</x:v>
      </x:c>
      <x:c r="J726" s="6" t="str">
        <x:v>Primary</x:v>
      </x:c>
      <x:c r="K726" s="6" t="str">
        <x:v>Commercial service enquiry</x:v>
      </x:c>
      <x:c r="L726" s="6" t="str">
        <x:v>High</x:v>
      </x:c>
      <x:c r="M726" s="6" t="str">
        <x:v>https://digitecme.com/ar/brands/lincoln-service-dubai</x:v>
      </x:c>
      <x:c r="N726" s="6" t="str">
        <x:v>Unknown — export has no query/page pairing</x:v>
      </x:c>
      <x:c r="O726" s="6" t="str">
        <x:v>Strengthen this primary intent owner</x:v>
      </x:c>
      <x:c r="P726" s="6" t="str">
        <x:v>Use the existing Arabic counterpart and verify its translation quality. Average position 21.35 makes ranking the main issue; avoid a CTR-only rewrite.</x:v>
      </x:c>
      <x:c r="Q726" s="6" t="str">
        <x:v>lincoln</x:v>
      </x:c>
      <x:c r="R726" s="6" t="str">
        <x:v>service-repair</x:v>
      </x:c>
      <x:c r="S726" s="6" t="str">
        <x:v>Location unspecified</x:v>
      </x:c>
      <x:c r="T726" s="6" t="n">
        <x:v>3</x:v>
      </x:c>
      <x:c r="U726" s="6" t="str">
        <x:v>21–40</x:v>
      </x:c>
      <x:c r="V726" s="6" t="str">
        <x:v>Content, internal authority and owner alignment</x:v>
      </x:c>
      <x:c r="W726" s="6" t="str">
        <x:v>High-value commercial</x:v>
      </x:c>
      <x:c r="X726" s="6" t="n">
        <x:v>722</x:v>
      </x:c>
      <x:c r="Y726" s="6" t="str">
        <x:v>Unconfirmed — joint query/page data required</x:v>
      </x:c>
    </x:row>
    <x:row r="727" ht="42" customHeight="1">
      <x:c r="A727" s="6" t="str">
        <x:v>car suspension repair near me</x:v>
      </x:c>
      <x:c r="B727" s="14" t="n">
        <x:v>0</x:v>
      </x:c>
      <x:c r="C727" s="14" t="n">
        <x:v>17</x:v>
      </x:c>
      <x:c r="D727" s="15" t="n">
        <x:v>0</x:v>
      </x:c>
      <x:c r="E727" s="16" t="n">
        <x:v>22.35</x:v>
      </x:c>
      <x:c r="F727" s="6" t="str">
        <x:v>HIGH</x:v>
      </x:c>
      <x:c r="G727" s="17" t="n">
        <x:f>'Scoring'!I727</x:f>
        <x:v>68.7</x:v>
      </x:c>
      <x:c r="H727" s="6" t="str">
        <x:v>SUPPORT</x:v>
      </x:c>
      <x:c r="I727" s="6" t="str">
        <x:v>All vehicles: Suspension repair (English)</x:v>
      </x:c>
      <x:c r="J727" s="6" t="str">
        <x:v>Secondary</x:v>
      </x:c>
      <x:c r="K727" s="6" t="str">
        <x:v>Commercial service enquiry</x:v>
      </x:c>
      <x:c r="L727" s="6" t="str">
        <x:v>High</x:v>
      </x:c>
      <x:c r="M727" s="6" t="str">
        <x:v>https://digitecme.com/services/suspension-repair-dubai</x:v>
      </x:c>
      <x:c r="N727" s="6" t="str">
        <x:v>Unknown — export has no query/page pairing</x:v>
      </x:c>
      <x:c r="O727" s="6" t="str">
        <x:v>Retain primary intent and support variants</x:v>
      </x:c>
      <x:c r="P727" s="6" t="str">
        <x:v>Average position 22.35 makes ranking the main issue; avoid a CTR-only rewrite.</x:v>
      </x:c>
      <x:c r="Q727" s="6" t="str">
        <x:v>All vehicles</x:v>
      </x:c>
      <x:c r="R727" s="6" t="str">
        <x:v>suspension-repair</x:v>
      </x:c>
      <x:c r="S727" s="6" t="str">
        <x:v>Near me; location unknown</x:v>
      </x:c>
      <x:c r="T727" s="6" t="n">
        <x:v>3</x:v>
      </x:c>
      <x:c r="U727" s="6" t="str">
        <x:v>21–40</x:v>
      </x:c>
      <x:c r="V727" s="6" t="str">
        <x:v>Content, internal authority and owner alignment</x:v>
      </x:c>
      <x:c r="W727" s="6" t="str">
        <x:v>Relevant supporting</x:v>
      </x:c>
      <x:c r="X727" s="6" t="n">
        <x:v>723</x:v>
      </x:c>
      <x:c r="Y727" s="6" t="str">
        <x:v>Unconfirmed — joint query/page data required</x:v>
      </x:c>
    </x:row>
    <x:row r="728" ht="57" customHeight="1">
      <x:c r="A728" s="6" t="str">
        <x:v>paint protection services</x:v>
      </x:c>
      <x:c r="B728" s="14" t="n">
        <x:v>0</x:v>
      </x:c>
      <x:c r="C728" s="14" t="n">
        <x:v>17</x:v>
      </x:c>
      <x:c r="D728" s="15" t="n">
        <x:v>0</x:v>
      </x:c>
      <x:c r="E728" s="16" t="n">
        <x:v>27.47</x:v>
      </x:c>
      <x:c r="F728" s="6" t="str">
        <x:v>HIGH</x:v>
      </x:c>
      <x:c r="G728" s="17" t="n">
        <x:f>'Scoring'!I728</x:f>
        <x:v>71.7</x:v>
      </x:c>
      <x:c r="H728" s="6" t="str">
        <x:v>SUPPORT</x:v>
      </x:c>
      <x:c r="I728" s="6" t="str">
        <x:v>All vehicles: Paint care and protection comparison</x:v>
      </x:c>
      <x:c r="J728" s="6" t="str">
        <x:v>Secondary</x:v>
      </x:c>
      <x:c r="K728" s="6" t="str">
        <x:v>Commercial service enquiry</x:v>
      </x:c>
      <x:c r="L728" s="6" t="str">
        <x:v>High</x:v>
      </x:c>
      <x:c r="M728" s="6" t="str">
        <x:v>https://digitecme.com/services/paint-protection-dubai</x:v>
      </x:c>
      <x:c r="N728" s="6" t="str">
        <x:v>Unknown — export has no query/page pairing</x:v>
      </x:c>
      <x:c r="O728" s="6" t="str">
        <x:v>Retain primary intent and support variants</x:v>
      </x:c>
      <x:c r="P728" s="6" t="str">
        <x:v>Broad protection intent is mixed; the comparison hub should direct film and coating enquiries to their specialist pages. Average position 27.47 makes ranking the main issue; avoid a CTR-only rewrite.</x:v>
      </x:c>
      <x:c r="Q728" s="6" t="str">
        <x:v>All vehicles</x:v>
      </x:c>
      <x:c r="R728" s="6" t="str">
        <x:v>paint-care</x:v>
      </x:c>
      <x:c r="S728" s="6" t="str">
        <x:v>Location unspecified</x:v>
      </x:c>
      <x:c r="T728" s="6" t="n">
        <x:v>5</x:v>
      </x:c>
      <x:c r="U728" s="6" t="str">
        <x:v>21–40</x:v>
      </x:c>
      <x:c r="V728" s="6" t="str">
        <x:v>Content, internal authority and owner alignment</x:v>
      </x:c>
      <x:c r="W728" s="6" t="str">
        <x:v>Relevant supporting</x:v>
      </x:c>
      <x:c r="X728" s="6" t="n">
        <x:v>724</x:v>
      </x:c>
      <x:c r="Y728" s="6" t="str">
        <x:v>Unconfirmed — joint query/page data required</x:v>
      </x:c>
    </x:row>
    <x:row r="729" ht="42" customHeight="1">
      <x:c r="A729" s="6" t="str">
        <x:v>mercedes body shop dubai</x:v>
      </x:c>
      <x:c r="B729" s="14" t="n">
        <x:v>0</x:v>
      </x:c>
      <x:c r="C729" s="14" t="n">
        <x:v>17</x:v>
      </x:c>
      <x:c r="D729" s="15" t="n">
        <x:v>0</x:v>
      </x:c>
      <x:c r="E729" s="16" t="n">
        <x:v>31.88</x:v>
      </x:c>
      <x:c r="F729" s="6" t="str">
        <x:v>GROWTH</x:v>
      </x:c>
      <x:c r="G729" s="17" t="n">
        <x:f>'Scoring'!I729</x:f>
        <x:v>69.2</x:v>
      </x:c>
      <x:c r="H729" s="6" t="str">
        <x:v>SPLIT</x:v>
      </x:c>
      <x:c r="I729" s="6" t="str">
        <x:v>mercedes-benz: Body repair</x:v>
      </x:c>
      <x:c r="J729" s="6" t="str">
        <x:v>Secondary</x:v>
      </x:c>
      <x:c r="K729" s="6" t="str">
        <x:v>Commercial service enquiry</x:v>
      </x:c>
      <x:c r="L729" s="6" t="str">
        <x:v>High</x:v>
      </x:c>
      <x:c r="M729" s="6" t="str">
        <x:v>https://digitecme.com/services/mercedes-body-repair-dubai</x:v>
      </x:c>
      <x:c r="N729" s="6" t="str">
        <x:v>Unknown — export has no query/page pairing</x:v>
      </x:c>
      <x:c r="O729" s="6" t="str">
        <x:v>Use dedicated service owner</x:v>
      </x:c>
      <x:c r="P729" s="6" t="str">
        <x:v>Average position 31.88 makes ranking the main issue; avoid a CTR-only rewrite.</x:v>
      </x:c>
      <x:c r="Q729" s="6" t="str">
        <x:v>mercedes-benz</x:v>
      </x:c>
      <x:c r="R729" s="6" t="str">
        <x:v>body-repair</x:v>
      </x:c>
      <x:c r="S729" s="6" t="str">
        <x:v>Dubai explicit</x:v>
      </x:c>
      <x:c r="T729" s="6" t="n">
        <x:v>5</x:v>
      </x:c>
      <x:c r="U729" s="6" t="str">
        <x:v>21–40</x:v>
      </x:c>
      <x:c r="V729" s="6" t="str">
        <x:v>Content, internal authority and owner alignment</x:v>
      </x:c>
      <x:c r="W729" s="6" t="str">
        <x:v>High-value commercial</x:v>
      </x:c>
      <x:c r="X729" s="6" t="n">
        <x:v>725</x:v>
      </x:c>
      <x:c r="Y729" s="6" t="str">
        <x:v>Unconfirmed — joint query/page data required</x:v>
      </x:c>
    </x:row>
    <x:row r="730" ht="42" customHeight="1">
      <x:c r="A730" s="6" t="str">
        <x:v>nissan magnite service centre near me</x:v>
      </x:c>
      <x:c r="B730" s="14" t="n">
        <x:v>0</x:v>
      </x:c>
      <x:c r="C730" s="14" t="n">
        <x:v>17</x:v>
      </x:c>
      <x:c r="D730" s="15" t="n">
        <x:v>0</x:v>
      </x:c>
      <x:c r="E730" s="16" t="n">
        <x:v>33.06</x:v>
      </x:c>
      <x:c r="F730" s="6" t="str">
        <x:v>GROWTH</x:v>
      </x:c>
      <x:c r="G730" s="17" t="n">
        <x:f>'Scoring'!I730</x:f>
        <x:v>61.2</x:v>
      </x:c>
      <x:c r="H730" s="6" t="str">
        <x:v>SUPPORT</x:v>
      </x:c>
      <x:c r="I730" s="6" t="str">
        <x:v>nissan: Service and repair</x:v>
      </x:c>
      <x:c r="J730" s="6" t="str">
        <x:v>Secondary</x:v>
      </x:c>
      <x:c r="K730" s="6" t="str">
        <x:v>Commercial service enquiry</x:v>
      </x:c>
      <x:c r="L730" s="6" t="str">
        <x:v>High</x:v>
      </x:c>
      <x:c r="M730" s="6" t="str">
        <x:v>https://digitecme.com/brands/nissan-service-dubai</x:v>
      </x:c>
      <x:c r="N730" s="6" t="str">
        <x:v>Unknown — export has no query/page pairing</x:v>
      </x:c>
      <x:c r="O730" s="6" t="str">
        <x:v>Retain primary intent and support variants</x:v>
      </x:c>
      <x:c r="P730" s="6" t="str">
        <x:v>Average position 33.06 makes ranking the main issue; avoid a CTR-only rewrite.</x:v>
      </x:c>
      <x:c r="Q730" s="6" t="str">
        <x:v>nissan</x:v>
      </x:c>
      <x:c r="R730" s="6" t="str">
        <x:v>service-repair</x:v>
      </x:c>
      <x:c r="S730" s="6" t="str">
        <x:v>Near me; location unknown</x:v>
      </x:c>
      <x:c r="T730" s="6" t="n">
        <x:v>3</x:v>
      </x:c>
      <x:c r="U730" s="6" t="str">
        <x:v>21–40</x:v>
      </x:c>
      <x:c r="V730" s="6" t="str">
        <x:v>Content, internal authority and owner alignment</x:v>
      </x:c>
      <x:c r="W730" s="6" t="str">
        <x:v>Relevant supporting</x:v>
      </x:c>
      <x:c r="X730" s="6" t="n">
        <x:v>726</x:v>
      </x:c>
      <x:c r="Y730" s="6" t="str">
        <x:v>Unconfirmed — joint query/page data required</x:v>
      </x:c>
    </x:row>
    <x:row r="731" ht="42" customHeight="1">
      <x:c r="A731" s="6" t="str">
        <x:v>cadillac repair in dubai</x:v>
      </x:c>
      <x:c r="B731" s="14" t="n">
        <x:v>0</x:v>
      </x:c>
      <x:c r="C731" s="14" t="n">
        <x:v>17</x:v>
      </x:c>
      <x:c r="D731" s="15" t="n">
        <x:v>0</x:v>
      </x:c>
      <x:c r="E731" s="16" t="n">
        <x:v>33.59</x:v>
      </x:c>
      <x:c r="F731" s="6" t="str">
        <x:v>GROWTH</x:v>
      </x:c>
      <x:c r="G731" s="17" t="n">
        <x:f>'Scoring'!I731</x:f>
        <x:v>61.2</x:v>
      </x:c>
      <x:c r="H731" s="6" t="str">
        <x:v>SUPPORT</x:v>
      </x:c>
      <x:c r="I731" s="6" t="str">
        <x:v>cadillac: Service and repair</x:v>
      </x:c>
      <x:c r="J731" s="6" t="str">
        <x:v>Secondary</x:v>
      </x:c>
      <x:c r="K731" s="6" t="str">
        <x:v>Commercial service enquiry</x:v>
      </x:c>
      <x:c r="L731" s="6" t="str">
        <x:v>High</x:v>
      </x:c>
      <x:c r="M731" s="6" t="str">
        <x:v>https://digitecme.com/brands/cadillac-service-dubai</x:v>
      </x:c>
      <x:c r="N731" s="6" t="str">
        <x:v>Unknown — export has no query/page pairing</x:v>
      </x:c>
      <x:c r="O731" s="6" t="str">
        <x:v>Retain primary intent and support variants</x:v>
      </x:c>
      <x:c r="P731" s="6" t="str">
        <x:v>Average position 33.59 makes ranking the main issue; avoid a CTR-only rewrite.</x:v>
      </x:c>
      <x:c r="Q731" s="6" t="str">
        <x:v>cadillac</x:v>
      </x:c>
      <x:c r="R731" s="6" t="str">
        <x:v>service-repair</x:v>
      </x:c>
      <x:c r="S731" s="6" t="str">
        <x:v>Dubai explicit</x:v>
      </x:c>
      <x:c r="T731" s="6" t="n">
        <x:v>3</x:v>
      </x:c>
      <x:c r="U731" s="6" t="str">
        <x:v>21–40</x:v>
      </x:c>
      <x:c r="V731" s="6" t="str">
        <x:v>Content, internal authority and owner alignment</x:v>
      </x:c>
      <x:c r="W731" s="6" t="str">
        <x:v>Relevant supporting</x:v>
      </x:c>
      <x:c r="X731" s="6" t="n">
        <x:v>727</x:v>
      </x:c>
      <x:c r="Y731" s="6" t="str">
        <x:v>Unconfirmed — joint query/page data required</x:v>
      </x:c>
    </x:row>
    <x:row r="732" ht="42" customHeight="1">
      <x:c r="A732" s="6" t="str">
        <x:v>lincoln repair garage in dubai</x:v>
      </x:c>
      <x:c r="B732" s="14" t="n">
        <x:v>0</x:v>
      </x:c>
      <x:c r="C732" s="14" t="n">
        <x:v>17</x:v>
      </x:c>
      <x:c r="D732" s="15" t="n">
        <x:v>0</x:v>
      </x:c>
      <x:c r="E732" s="16" t="n">
        <x:v>34.71</x:v>
      </x:c>
      <x:c r="F732" s="6" t="str">
        <x:v>GROWTH</x:v>
      </x:c>
      <x:c r="G732" s="17" t="n">
        <x:f>'Scoring'!I732</x:f>
        <x:v>61.2</x:v>
      </x:c>
      <x:c r="H732" s="6" t="str">
        <x:v>SUPPORT</x:v>
      </x:c>
      <x:c r="I732" s="6" t="str">
        <x:v>lincoln: Service and repair (English)</x:v>
      </x:c>
      <x:c r="J732" s="6" t="str">
        <x:v>Secondary</x:v>
      </x:c>
      <x:c r="K732" s="6" t="str">
        <x:v>Commercial service enquiry</x:v>
      </x:c>
      <x:c r="L732" s="6" t="str">
        <x:v>High</x:v>
      </x:c>
      <x:c r="M732" s="6" t="str">
        <x:v>https://digitecme.com/brands/lincoln-service-dubai</x:v>
      </x:c>
      <x:c r="N732" s="6" t="str">
        <x:v>Unknown — export has no query/page pairing</x:v>
      </x:c>
      <x:c r="O732" s="6" t="str">
        <x:v>Retain primary intent and support variants</x:v>
      </x:c>
      <x:c r="P732" s="6" t="str">
        <x:v>Average position 34.71 makes ranking the main issue; avoid a CTR-only rewrite.</x:v>
      </x:c>
      <x:c r="Q732" s="6" t="str">
        <x:v>lincoln</x:v>
      </x:c>
      <x:c r="R732" s="6" t="str">
        <x:v>service-repair</x:v>
      </x:c>
      <x:c r="S732" s="6" t="str">
        <x:v>Dubai explicit</x:v>
      </x:c>
      <x:c r="T732" s="6" t="n">
        <x:v>3</x:v>
      </x:c>
      <x:c r="U732" s="6" t="str">
        <x:v>21–40</x:v>
      </x:c>
      <x:c r="V732" s="6" t="str">
        <x:v>Content, internal authority and owner alignment</x:v>
      </x:c>
      <x:c r="W732" s="6" t="str">
        <x:v>Relevant supporting</x:v>
      </x:c>
      <x:c r="X732" s="6" t="n">
        <x:v>728</x:v>
      </x:c>
      <x:c r="Y732" s="6" t="str">
        <x:v>Unconfirmed — joint query/page data required</x:v>
      </x:c>
    </x:row>
    <x:row r="733" ht="42" customHeight="1">
      <x:c r="A733" s="6" t="str">
        <x:v>gmc service in dubai</x:v>
      </x:c>
      <x:c r="B733" s="14" t="n">
        <x:v>0</x:v>
      </x:c>
      <x:c r="C733" s="14" t="n">
        <x:v>17</x:v>
      </x:c>
      <x:c r="D733" s="15" t="n">
        <x:v>0</x:v>
      </x:c>
      <x:c r="E733" s="16" t="n">
        <x:v>35.06</x:v>
      </x:c>
      <x:c r="F733" s="6" t="str">
        <x:v>GROWTH</x:v>
      </x:c>
      <x:c r="G733" s="17" t="n">
        <x:f>'Scoring'!I733</x:f>
        <x:v>61.2</x:v>
      </x:c>
      <x:c r="H733" s="6" t="str">
        <x:v>SUPPORT</x:v>
      </x:c>
      <x:c r="I733" s="6" t="str">
        <x:v>gmc: Service and repair</x:v>
      </x:c>
      <x:c r="J733" s="6" t="str">
        <x:v>Secondary</x:v>
      </x:c>
      <x:c r="K733" s="6" t="str">
        <x:v>Commercial service enquiry</x:v>
      </x:c>
      <x:c r="L733" s="6" t="str">
        <x:v>High</x:v>
      </x:c>
      <x:c r="M733" s="6" t="str">
        <x:v>https://digitecme.com/brands/gmc-service-dubai</x:v>
      </x:c>
      <x:c r="N733" s="6" t="str">
        <x:v>Unknown — export has no query/page pairing</x:v>
      </x:c>
      <x:c r="O733" s="6" t="str">
        <x:v>Retain primary intent and support variants</x:v>
      </x:c>
      <x:c r="P733" s="6" t="str">
        <x:v>Average position 35.06 makes ranking the main issue; avoid a CTR-only rewrite.</x:v>
      </x:c>
      <x:c r="Q733" s="6" t="str">
        <x:v>gmc</x:v>
      </x:c>
      <x:c r="R733" s="6" t="str">
        <x:v>service-repair</x:v>
      </x:c>
      <x:c r="S733" s="6" t="str">
        <x:v>Dubai explicit</x:v>
      </x:c>
      <x:c r="T733" s="6" t="n">
        <x:v>3</x:v>
      </x:c>
      <x:c r="U733" s="6" t="str">
        <x:v>21–40</x:v>
      </x:c>
      <x:c r="V733" s="6" t="str">
        <x:v>Content, internal authority and owner alignment</x:v>
      </x:c>
      <x:c r="W733" s="6" t="str">
        <x:v>Relevant supporting</x:v>
      </x:c>
      <x:c r="X733" s="6" t="n">
        <x:v>729</x:v>
      </x:c>
      <x:c r="Y733" s="6" t="str">
        <x:v>Unconfirmed — joint query/page data required</x:v>
      </x:c>
    </x:row>
    <x:row r="734" ht="42" customHeight="1">
      <x:c r="A734" s="6" t="str">
        <x:v>nissan service station</x:v>
      </x:c>
      <x:c r="B734" s="14" t="n">
        <x:v>0</x:v>
      </x:c>
      <x:c r="C734" s="14" t="n">
        <x:v>17</x:v>
      </x:c>
      <x:c r="D734" s="15" t="n">
        <x:v>0</x:v>
      </x:c>
      <x:c r="E734" s="16" t="n">
        <x:v>36.12</x:v>
      </x:c>
      <x:c r="F734" s="6" t="str">
        <x:v>GROWTH</x:v>
      </x:c>
      <x:c r="G734" s="17" t="n">
        <x:f>'Scoring'!I734</x:f>
        <x:v>56.2</x:v>
      </x:c>
      <x:c r="H734" s="6" t="str">
        <x:v>SUPPORT</x:v>
      </x:c>
      <x:c r="I734" s="6" t="str">
        <x:v>nissan: Service and repair</x:v>
      </x:c>
      <x:c r="J734" s="6" t="str">
        <x:v>Secondary</x:v>
      </x:c>
      <x:c r="K734" s="6" t="str">
        <x:v>Commercial service enquiry</x:v>
      </x:c>
      <x:c r="L734" s="6" t="str">
        <x:v>High</x:v>
      </x:c>
      <x:c r="M734" s="6" t="str">
        <x:v>https://digitecme.com/brands/nissan-service-dubai</x:v>
      </x:c>
      <x:c r="N734" s="6" t="str">
        <x:v>Unknown — export has no query/page pairing</x:v>
      </x:c>
      <x:c r="O734" s="6" t="str">
        <x:v>Retain primary intent and support variants</x:v>
      </x:c>
      <x:c r="P734" s="6" t="str">
        <x:v>Average position 36.12 makes ranking the main issue; avoid a CTR-only rewrite.</x:v>
      </x:c>
      <x:c r="Q734" s="6" t="str">
        <x:v>nissan</x:v>
      </x:c>
      <x:c r="R734" s="6" t="str">
        <x:v>service-repair</x:v>
      </x:c>
      <x:c r="S734" s="6" t="str">
        <x:v>Location unspecified</x:v>
      </x:c>
      <x:c r="T734" s="6" t="n">
        <x:v>3</x:v>
      </x:c>
      <x:c r="U734" s="6" t="str">
        <x:v>21–40</x:v>
      </x:c>
      <x:c r="V734" s="6" t="str">
        <x:v>Content, internal authority and owner alignment</x:v>
      </x:c>
      <x:c r="W734" s="6" t="str">
        <x:v>Relevant supporting</x:v>
      </x:c>
      <x:c r="X734" s="6" t="n">
        <x:v>730</x:v>
      </x:c>
      <x:c r="Y734" s="6" t="str">
        <x:v>Unconfirmed — joint query/page data required</x:v>
      </x:c>
    </x:row>
    <x:row r="735" ht="42" customHeight="1">
      <x:c r="A735" s="6" t="str">
        <x:v>battery change</x:v>
      </x:c>
      <x:c r="B735" s="14" t="n">
        <x:v>0</x:v>
      </x:c>
      <x:c r="C735" s="14" t="n">
        <x:v>17</x:v>
      </x:c>
      <x:c r="D735" s="15" t="n">
        <x:v>0</x:v>
      </x:c>
      <x:c r="E735" s="16" t="n">
        <x:v>40.88</x:v>
      </x:c>
      <x:c r="F735" s="6" t="str">
        <x:v>GROWTH</x:v>
      </x:c>
      <x:c r="G735" s="17" t="n">
        <x:f>'Scoring'!I735</x:f>
        <x:v>49.9</x:v>
      </x:c>
      <x:c r="H735" s="6" t="str">
        <x:v>SUPPORT</x:v>
      </x:c>
      <x:c r="I735" s="6" t="str">
        <x:v>All vehicles: Battery service (English)</x:v>
      </x:c>
      <x:c r="J735" s="6" t="str">
        <x:v>Secondary</x:v>
      </x:c>
      <x:c r="K735" s="6" t="str">
        <x:v>Commercial service enquiry</x:v>
      </x:c>
      <x:c r="L735" s="6" t="str">
        <x:v>High</x:v>
      </x:c>
      <x:c r="M735" s="6" t="str">
        <x:v>https://digitecme.com/services/battery-replacement-dubai</x:v>
      </x:c>
      <x:c r="N735" s="6" t="str">
        <x:v>Unknown — export has no query/page pairing</x:v>
      </x:c>
      <x:c r="O735" s="6" t="str">
        <x:v>Retain primary intent and support variants</x:v>
      </x:c>
      <x:c r="P735" s="6" t="str">
        <x:v>Average position 40.88 makes ranking the main issue; avoid a CTR-only rewrite.</x:v>
      </x:c>
      <x:c r="Q735" s="6" t="str">
        <x:v>All vehicles</x:v>
      </x:c>
      <x:c r="R735" s="6" t="str">
        <x:v>battery-replacement</x:v>
      </x:c>
      <x:c r="S735" s="6" t="str">
        <x:v>Location unspecified</x:v>
      </x:c>
      <x:c r="T735" s="6" t="n">
        <x:v>3</x:v>
      </x:c>
      <x:c r="U735" s="6" t="str">
        <x:v>40+</x:v>
      </x:c>
      <x:c r="V735" s="6" t="str">
        <x:v>Relevance, capability, indexing and authority review</x:v>
      </x:c>
      <x:c r="W735" s="6" t="str">
        <x:v>Relevant supporting</x:v>
      </x:c>
      <x:c r="X735" s="6" t="n">
        <x:v>731</x:v>
      </x:c>
      <x:c r="Y735" s="6" t="str">
        <x:v>Unconfirmed — joint query/page data required</x:v>
      </x:c>
    </x:row>
    <x:row r="736" ht="42" customHeight="1">
      <x:c r="A736" s="6" t="str">
        <x:v>land rover workshop dubai</x:v>
      </x:c>
      <x:c r="B736" s="14" t="n">
        <x:v>0</x:v>
      </x:c>
      <x:c r="C736" s="14" t="n">
        <x:v>17</x:v>
      </x:c>
      <x:c r="D736" s="15" t="n">
        <x:v>0</x:v>
      </x:c>
      <x:c r="E736" s="16" t="n">
        <x:v>41.35</x:v>
      </x:c>
      <x:c r="F736" s="6" t="str">
        <x:v>GROWTH</x:v>
      </x:c>
      <x:c r="G736" s="17" t="n">
        <x:f>'Scoring'!I736</x:f>
        <x:v>62.9</x:v>
      </x:c>
      <x:c r="H736" s="6" t="str">
        <x:v>SUPPORT</x:v>
      </x:c>
      <x:c r="I736" s="6" t="str">
        <x:v>land-rover: Service and repair</x:v>
      </x:c>
      <x:c r="J736" s="6" t="str">
        <x:v>Secondary</x:v>
      </x:c>
      <x:c r="K736" s="6" t="str">
        <x:v>Commercial service enquiry</x:v>
      </x:c>
      <x:c r="L736" s="6" t="str">
        <x:v>High</x:v>
      </x:c>
      <x:c r="M736" s="6" t="str">
        <x:v>https://digitecme.com/brands/land-rover-service-dubai</x:v>
      </x:c>
      <x:c r="N736" s="6" t="str">
        <x:v>Unknown — export has no query/page pairing</x:v>
      </x:c>
      <x:c r="O736" s="6" t="str">
        <x:v>Retain primary intent and support variants</x:v>
      </x:c>
      <x:c r="P736" s="6" t="str">
        <x:v>Average position 41.35 makes ranking the main issue; avoid a CTR-only rewrite.</x:v>
      </x:c>
      <x:c r="Q736" s="6" t="str">
        <x:v>land-rover</x:v>
      </x:c>
      <x:c r="R736" s="6" t="str">
        <x:v>service-repair</x:v>
      </x:c>
      <x:c r="S736" s="6" t="str">
        <x:v>Dubai explicit</x:v>
      </x:c>
      <x:c r="T736" s="6" t="n">
        <x:v>5</x:v>
      </x:c>
      <x:c r="U736" s="6" t="str">
        <x:v>40+</x:v>
      </x:c>
      <x:c r="V736" s="6" t="str">
        <x:v>Relevance, capability, indexing and authority review</x:v>
      </x:c>
      <x:c r="W736" s="6" t="str">
        <x:v>Relevant supporting</x:v>
      </x:c>
      <x:c r="X736" s="6" t="n">
        <x:v>732</x:v>
      </x:c>
      <x:c r="Y736" s="6" t="str">
        <x:v>Unconfirmed — joint query/page data required</x:v>
      </x:c>
    </x:row>
    <x:row r="737" ht="42" customHeight="1">
      <x:c r="A737" s="6" t="str">
        <x:v>cadillac workshop dubai</x:v>
      </x:c>
      <x:c r="B737" s="14" t="n">
        <x:v>0</x:v>
      </x:c>
      <x:c r="C737" s="14" t="n">
        <x:v>17</x:v>
      </x:c>
      <x:c r="D737" s="15" t="n">
        <x:v>0</x:v>
      </x:c>
      <x:c r="E737" s="16" t="n">
        <x:v>42.06</x:v>
      </x:c>
      <x:c r="F737" s="6" t="str">
        <x:v>GROWTH</x:v>
      </x:c>
      <x:c r="G737" s="17" t="n">
        <x:f>'Scoring'!I737</x:f>
        <x:v>54.9</x:v>
      </x:c>
      <x:c r="H737" s="6" t="str">
        <x:v>SUPPORT</x:v>
      </x:c>
      <x:c r="I737" s="6" t="str">
        <x:v>cadillac: Service and repair</x:v>
      </x:c>
      <x:c r="J737" s="6" t="str">
        <x:v>Secondary</x:v>
      </x:c>
      <x:c r="K737" s="6" t="str">
        <x:v>Commercial service enquiry</x:v>
      </x:c>
      <x:c r="L737" s="6" t="str">
        <x:v>High</x:v>
      </x:c>
      <x:c r="M737" s="6" t="str">
        <x:v>https://digitecme.com/brands/cadillac-service-dubai</x:v>
      </x:c>
      <x:c r="N737" s="6" t="str">
        <x:v>Unknown — export has no query/page pairing</x:v>
      </x:c>
      <x:c r="O737" s="6" t="str">
        <x:v>Retain primary intent and support variants</x:v>
      </x:c>
      <x:c r="P737" s="6" t="str">
        <x:v>Average position 42.06 makes ranking the main issue; avoid a CTR-only rewrite.</x:v>
      </x:c>
      <x:c r="Q737" s="6" t="str">
        <x:v>cadillac</x:v>
      </x:c>
      <x:c r="R737" s="6" t="str">
        <x:v>service-repair</x:v>
      </x:c>
      <x:c r="S737" s="6" t="str">
        <x:v>Dubai explicit</x:v>
      </x:c>
      <x:c r="T737" s="6" t="n">
        <x:v>3</x:v>
      </x:c>
      <x:c r="U737" s="6" t="str">
        <x:v>40+</x:v>
      </x:c>
      <x:c r="V737" s="6" t="str">
        <x:v>Relevance, capability, indexing and authority review</x:v>
      </x:c>
      <x:c r="W737" s="6" t="str">
        <x:v>Relevant supporting</x:v>
      </x:c>
      <x:c r="X737" s="6" t="n">
        <x:v>733</x:v>
      </x:c>
      <x:c r="Y737" s="6" t="str">
        <x:v>Unconfirmed — joint query/page data required</x:v>
      </x:c>
    </x:row>
    <x:row r="738" ht="42" customHeight="1">
      <x:c r="A738" s="6" t="str">
        <x:v>car brakes repair dubai</x:v>
      </x:c>
      <x:c r="B738" s="14" t="n">
        <x:v>0</x:v>
      </x:c>
      <x:c r="C738" s="14" t="n">
        <x:v>17</x:v>
      </x:c>
      <x:c r="D738" s="15" t="n">
        <x:v>0</x:v>
      </x:c>
      <x:c r="E738" s="16" t="n">
        <x:v>42.18</x:v>
      </x:c>
      <x:c r="F738" s="6" t="str">
        <x:v>GROWTH</x:v>
      </x:c>
      <x:c r="G738" s="17" t="n">
        <x:f>'Scoring'!I738</x:f>
        <x:v>54.9</x:v>
      </x:c>
      <x:c r="H738" s="6" t="str">
        <x:v>SUPPORT</x:v>
      </x:c>
      <x:c r="I738" s="6" t="str">
        <x:v>All vehicles: Brake repair (English)</x:v>
      </x:c>
      <x:c r="J738" s="6" t="str">
        <x:v>Secondary</x:v>
      </x:c>
      <x:c r="K738" s="6" t="str">
        <x:v>Commercial service enquiry</x:v>
      </x:c>
      <x:c r="L738" s="6" t="str">
        <x:v>High</x:v>
      </x:c>
      <x:c r="M738" s="6" t="str">
        <x:v>https://digitecme.com/services/brake-repair-dubai</x:v>
      </x:c>
      <x:c r="N738" s="6" t="str">
        <x:v>Unknown — export has no query/page pairing</x:v>
      </x:c>
      <x:c r="O738" s="6" t="str">
        <x:v>Retain primary intent and support variants</x:v>
      </x:c>
      <x:c r="P738" s="6" t="str">
        <x:v>Average position 42.18 makes ranking the main issue; avoid a CTR-only rewrite.</x:v>
      </x:c>
      <x:c r="Q738" s="6" t="str">
        <x:v>All vehicles</x:v>
      </x:c>
      <x:c r="R738" s="6" t="str">
        <x:v>brake-repair</x:v>
      </x:c>
      <x:c r="S738" s="6" t="str">
        <x:v>Dubai explicit</x:v>
      </x:c>
      <x:c r="T738" s="6" t="n">
        <x:v>3</x:v>
      </x:c>
      <x:c r="U738" s="6" t="str">
        <x:v>40+</x:v>
      </x:c>
      <x:c r="V738" s="6" t="str">
        <x:v>Relevance, capability, indexing and authority review</x:v>
      </x:c>
      <x:c r="W738" s="6" t="str">
        <x:v>Relevant supporting</x:v>
      </x:c>
      <x:c r="X738" s="6" t="n">
        <x:v>734</x:v>
      </x:c>
      <x:c r="Y738" s="6" t="str">
        <x:v>Unconfirmed — joint query/page data required</x:v>
      </x:c>
    </x:row>
    <x:row r="739" ht="42" customHeight="1">
      <x:c r="A739" s="6" t="str">
        <x:v>chrysler car repair dubai</x:v>
      </x:c>
      <x:c r="B739" s="14" t="n">
        <x:v>0</x:v>
      </x:c>
      <x:c r="C739" s="14" t="n">
        <x:v>17</x:v>
      </x:c>
      <x:c r="D739" s="15" t="n">
        <x:v>0</x:v>
      </x:c>
      <x:c r="E739" s="16" t="n">
        <x:v>44.29</x:v>
      </x:c>
      <x:c r="F739" s="6" t="str">
        <x:v>GROWTH</x:v>
      </x:c>
      <x:c r="G739" s="17" t="n">
        <x:f>'Scoring'!I739</x:f>
        <x:v>54.9</x:v>
      </x:c>
      <x:c r="H739" s="6" t="str">
        <x:v>SUPPORT</x:v>
      </x:c>
      <x:c r="I739" s="6" t="str">
        <x:v>chrysler: Service and repair</x:v>
      </x:c>
      <x:c r="J739" s="6" t="str">
        <x:v>Secondary</x:v>
      </x:c>
      <x:c r="K739" s="6" t="str">
        <x:v>Commercial service enquiry</x:v>
      </x:c>
      <x:c r="L739" s="6" t="str">
        <x:v>High</x:v>
      </x:c>
      <x:c r="M739" s="6" t="str">
        <x:v>https://digitecme.com/brands/chrysler-service-dubai</x:v>
      </x:c>
      <x:c r="N739" s="6" t="str">
        <x:v>Unknown — export has no query/page pairing</x:v>
      </x:c>
      <x:c r="O739" s="6" t="str">
        <x:v>Retain primary intent and support variants</x:v>
      </x:c>
      <x:c r="P739" s="6" t="str">
        <x:v>Average position 44.29 makes ranking the main issue; avoid a CTR-only rewrite.</x:v>
      </x:c>
      <x:c r="Q739" s="6" t="str">
        <x:v>chrysler</x:v>
      </x:c>
      <x:c r="R739" s="6" t="str">
        <x:v>service-repair</x:v>
      </x:c>
      <x:c r="S739" s="6" t="str">
        <x:v>Dubai explicit</x:v>
      </x:c>
      <x:c r="T739" s="6" t="n">
        <x:v>3</x:v>
      </x:c>
      <x:c r="U739" s="6" t="str">
        <x:v>40+</x:v>
      </x:c>
      <x:c r="V739" s="6" t="str">
        <x:v>Relevance, capability, indexing and authority review</x:v>
      </x:c>
      <x:c r="W739" s="6" t="str">
        <x:v>Relevant supporting</x:v>
      </x:c>
      <x:c r="X739" s="6" t="n">
        <x:v>735</x:v>
      </x:c>
      <x:c r="Y739" s="6" t="str">
        <x:v>Unconfirmed — joint query/page data required</x:v>
      </x:c>
    </x:row>
    <x:row r="740" ht="57" customHeight="1">
      <x:c r="A740" s="6" t="str">
        <x:v>tire replacement dubai</x:v>
      </x:c>
      <x:c r="B740" s="14" t="n">
        <x:v>0</x:v>
      </x:c>
      <x:c r="C740" s="14" t="n">
        <x:v>17</x:v>
      </x:c>
      <x:c r="D740" s="15" t="n">
        <x:v>0</x:v>
      </x:c>
      <x:c r="E740" s="16" t="n">
        <x:v>44.53</x:v>
      </x:c>
      <x:c r="F740" s="6" t="str">
        <x:v>GROWTH</x:v>
      </x:c>
      <x:c r="G740" s="17" t="n">
        <x:f>'Scoring'!I740</x:f>
        <x:v>50.9</x:v>
      </x:c>
      <x:c r="H740" s="6" t="str">
        <x:v>SUPPORT</x:v>
      </x:c>
      <x:c r="I740" s="6" t="str">
        <x:v>All vehicles: Tyre repair</x:v>
      </x:c>
      <x:c r="J740" s="6" t="str">
        <x:v>Secondary</x:v>
      </x:c>
      <x:c r="K740" s="6" t="str">
        <x:v>Commercial service enquiry</x:v>
      </x:c>
      <x:c r="L740" s="6" t="str">
        <x:v>High</x:v>
      </x:c>
      <x:c r="M740" s="6" t="str">
        <x:v>https://digitecme.com/services/tire-repair-dubai</x:v>
      </x:c>
      <x:c r="N740" s="6" t="str">
        <x:v>Unknown — export has no query/page pairing</x:v>
      </x:c>
      <x:c r="O740" s="6" t="str">
        <x:v>Retain primary intent and support variants</x:v>
      </x:c>
      <x:c r="P740" s="6" t="str">
        <x:v>Relevant workshop tyre enquiry with lower assumed value than specialist repair; no mobile or roadside claim. Average position 44.53 makes ranking the main issue; avoid a CTR-only rewrite.</x:v>
      </x:c>
      <x:c r="Q740" s="6" t="str">
        <x:v>All vehicles</x:v>
      </x:c>
      <x:c r="R740" s="6" t="str">
        <x:v>tire-repair</x:v>
      </x:c>
      <x:c r="S740" s="6" t="str">
        <x:v>Dubai explicit</x:v>
      </x:c>
      <x:c r="T740" s="6" t="n">
        <x:v>2</x:v>
      </x:c>
      <x:c r="U740" s="6" t="str">
        <x:v>40+</x:v>
      </x:c>
      <x:c r="V740" s="6" t="str">
        <x:v>Relevance, capability, indexing and authority review</x:v>
      </x:c>
      <x:c r="W740" s="6" t="str">
        <x:v>Relevant supporting</x:v>
      </x:c>
      <x:c r="X740" s="6" t="n">
        <x:v>736</x:v>
      </x:c>
      <x:c r="Y740" s="6" t="str">
        <x:v>Unconfirmed — joint query/page data required</x:v>
      </x:c>
    </x:row>
    <x:row r="741" ht="42" customHeight="1">
      <x:c r="A741" s="6" t="str">
        <x:v>porsche major service dubai</x:v>
      </x:c>
      <x:c r="B741" s="14" t="n">
        <x:v>0</x:v>
      </x:c>
      <x:c r="C741" s="14" t="n">
        <x:v>17</x:v>
      </x:c>
      <x:c r="D741" s="15" t="n">
        <x:v>0</x:v>
      </x:c>
      <x:c r="E741" s="16" t="n">
        <x:v>46.18</x:v>
      </x:c>
      <x:c r="F741" s="6" t="str">
        <x:v>GROWTH</x:v>
      </x:c>
      <x:c r="G741" s="17" t="n">
        <x:f>'Scoring'!I741</x:f>
        <x:v>62.9</x:v>
      </x:c>
      <x:c r="H741" s="6" t="str">
        <x:v>SUPPORT</x:v>
      </x:c>
      <x:c r="I741" s="6" t="str">
        <x:v>porsche: Service and repair (English)</x:v>
      </x:c>
      <x:c r="J741" s="6" t="str">
        <x:v>Secondary</x:v>
      </x:c>
      <x:c r="K741" s="6" t="str">
        <x:v>Commercial service enquiry</x:v>
      </x:c>
      <x:c r="L741" s="6" t="str">
        <x:v>High</x:v>
      </x:c>
      <x:c r="M741" s="6" t="str">
        <x:v>https://digitecme.com/brands/porsche-service-dubai</x:v>
      </x:c>
      <x:c r="N741" s="6" t="str">
        <x:v>Unknown — export has no query/page pairing</x:v>
      </x:c>
      <x:c r="O741" s="6" t="str">
        <x:v>Retain primary intent and support variants</x:v>
      </x:c>
      <x:c r="P741" s="6" t="str">
        <x:v>Average position 46.18 makes ranking the main issue; avoid a CTR-only rewrite.</x:v>
      </x:c>
      <x:c r="Q741" s="6" t="str">
        <x:v>porsche</x:v>
      </x:c>
      <x:c r="R741" s="6" t="str">
        <x:v>service-repair</x:v>
      </x:c>
      <x:c r="S741" s="6" t="str">
        <x:v>Dubai explicit</x:v>
      </x:c>
      <x:c r="T741" s="6" t="n">
        <x:v>5</x:v>
      </x:c>
      <x:c r="U741" s="6" t="str">
        <x:v>40+</x:v>
      </x:c>
      <x:c r="V741" s="6" t="str">
        <x:v>Relevance, capability, indexing and authority review</x:v>
      </x:c>
      <x:c r="W741" s="6" t="str">
        <x:v>Relevant supporting</x:v>
      </x:c>
      <x:c r="X741" s="6" t="n">
        <x:v>737</x:v>
      </x:c>
      <x:c r="Y741" s="6" t="str">
        <x:v>Unconfirmed — joint query/page data required</x:v>
      </x:c>
    </x:row>
    <x:row r="742" ht="42" customHeight="1">
      <x:c r="A742" s="6" t="str">
        <x:v>best paint protection film service dubai</x:v>
      </x:c>
      <x:c r="B742" s="14" t="n">
        <x:v>0</x:v>
      </x:c>
      <x:c r="C742" s="14" t="n">
        <x:v>17</x:v>
      </x:c>
      <x:c r="D742" s="15" t="n">
        <x:v>0</x:v>
      </x:c>
      <x:c r="E742" s="16" t="n">
        <x:v>51.88</x:v>
      </x:c>
      <x:c r="F742" s="6" t="str">
        <x:v>GROWTH</x:v>
      </x:c>
      <x:c r="G742" s="17" t="n">
        <x:f>'Scoring'!I742</x:f>
        <x:v>62.9</x:v>
      </x:c>
      <x:c r="H742" s="6" t="str">
        <x:v>SUPPORT</x:v>
      </x:c>
      <x:c r="I742" s="6" t="str">
        <x:v>All vehicles: Paint protection film</x:v>
      </x:c>
      <x:c r="J742" s="6" t="str">
        <x:v>Secondary</x:v>
      </x:c>
      <x:c r="K742" s="6" t="str">
        <x:v>Commercial service enquiry</x:v>
      </x:c>
      <x:c r="L742" s="6" t="str">
        <x:v>High</x:v>
      </x:c>
      <x:c r="M742" s="6" t="str">
        <x:v>https://digitecme.com/services/paint-protection-film</x:v>
      </x:c>
      <x:c r="N742" s="6" t="str">
        <x:v>Unknown — export has no query/page pairing</x:v>
      </x:c>
      <x:c r="O742" s="6" t="str">
        <x:v>Retain primary intent and support variants</x:v>
      </x:c>
      <x:c r="P742" s="6" t="str">
        <x:v>Film intent belongs to the PPF page; vehicle and district terms are secondary context. Average position 51.88 makes ranking the main issue; avoid a CTR-only rewrite.</x:v>
      </x:c>
      <x:c r="Q742" s="6" t="str">
        <x:v>All vehicles</x:v>
      </x:c>
      <x:c r="R742" s="6" t="str">
        <x:v>ppf</x:v>
      </x:c>
      <x:c r="S742" s="6" t="str">
        <x:v>Dubai explicit</x:v>
      </x:c>
      <x:c r="T742" s="6" t="n">
        <x:v>5</x:v>
      </x:c>
      <x:c r="U742" s="6" t="str">
        <x:v>40+</x:v>
      </x:c>
      <x:c r="V742" s="6" t="str">
        <x:v>Relevance, capability, indexing and authority review</x:v>
      </x:c>
      <x:c r="W742" s="6" t="str">
        <x:v>Relevant supporting</x:v>
      </x:c>
      <x:c r="X742" s="6" t="n">
        <x:v>738</x:v>
      </x:c>
      <x:c r="Y742" s="6" t="str">
        <x:v>Unconfirmed — joint query/page data required</x:v>
      </x:c>
    </x:row>
    <x:row r="743" ht="42" customHeight="1">
      <x:c r="A743" s="6" t="str">
        <x:v>chrysler garage in dubai</x:v>
      </x:c>
      <x:c r="B743" s="14" t="n">
        <x:v>0</x:v>
      </x:c>
      <x:c r="C743" s="14" t="n">
        <x:v>17</x:v>
      </x:c>
      <x:c r="D743" s="15" t="n">
        <x:v>0</x:v>
      </x:c>
      <x:c r="E743" s="16" t="n">
        <x:v>63.82</x:v>
      </x:c>
      <x:c r="F743" s="6" t="str">
        <x:v>GROWTH</x:v>
      </x:c>
      <x:c r="G743" s="17" t="n">
        <x:f>'Scoring'!I743</x:f>
        <x:v>54.9</x:v>
      </x:c>
      <x:c r="H743" s="6" t="str">
        <x:v>SUPPORT</x:v>
      </x:c>
      <x:c r="I743" s="6" t="str">
        <x:v>chrysler: Service and repair</x:v>
      </x:c>
      <x:c r="J743" s="6" t="str">
        <x:v>Secondary</x:v>
      </x:c>
      <x:c r="K743" s="6" t="str">
        <x:v>Commercial service enquiry</x:v>
      </x:c>
      <x:c r="L743" s="6" t="str">
        <x:v>High</x:v>
      </x:c>
      <x:c r="M743" s="6" t="str">
        <x:v>https://digitecme.com/brands/chrysler-service-dubai</x:v>
      </x:c>
      <x:c r="N743" s="6" t="str">
        <x:v>Unknown — export has no query/page pairing</x:v>
      </x:c>
      <x:c r="O743" s="6" t="str">
        <x:v>Retain primary intent and support variants</x:v>
      </x:c>
      <x:c r="P743" s="6" t="str">
        <x:v>Average position 63.82 makes ranking the main issue; avoid a CTR-only rewrite.</x:v>
      </x:c>
      <x:c r="Q743" s="6" t="str">
        <x:v>chrysler</x:v>
      </x:c>
      <x:c r="R743" s="6" t="str">
        <x:v>service-repair</x:v>
      </x:c>
      <x:c r="S743" s="6" t="str">
        <x:v>Dubai explicit</x:v>
      </x:c>
      <x:c r="T743" s="6" t="n">
        <x:v>3</x:v>
      </x:c>
      <x:c r="U743" s="6" t="str">
        <x:v>40+</x:v>
      </x:c>
      <x:c r="V743" s="6" t="str">
        <x:v>Relevance, capability, indexing and authority review</x:v>
      </x:c>
      <x:c r="W743" s="6" t="str">
        <x:v>Relevant supporting</x:v>
      </x:c>
      <x:c r="X743" s="6" t="n">
        <x:v>739</x:v>
      </x:c>
      <x:c r="Y743" s="6" t="str">
        <x:v>Unconfirmed — joint query/page data required</x:v>
      </x:c>
    </x:row>
    <x:row r="744" ht="42" customHeight="1">
      <x:c r="A744" s="6" t="str">
        <x:v>car brake repair</x:v>
      </x:c>
      <x:c r="B744" s="14" t="n">
        <x:v>0</x:v>
      </x:c>
      <x:c r="C744" s="14" t="n">
        <x:v>17</x:v>
      </x:c>
      <x:c r="D744" s="15" t="n">
        <x:v>0</x:v>
      </x:c>
      <x:c r="E744" s="16" t="n">
        <x:v>66.88</x:v>
      </x:c>
      <x:c r="F744" s="6" t="str">
        <x:v>GROWTH</x:v>
      </x:c>
      <x:c r="G744" s="17" t="n">
        <x:f>'Scoring'!I744</x:f>
        <x:v>49.9</x:v>
      </x:c>
      <x:c r="H744" s="6" t="str">
        <x:v>SUPPORT</x:v>
      </x:c>
      <x:c r="I744" s="6" t="str">
        <x:v>All vehicles: Brake repair (English)</x:v>
      </x:c>
      <x:c r="J744" s="6" t="str">
        <x:v>Secondary</x:v>
      </x:c>
      <x:c r="K744" s="6" t="str">
        <x:v>Commercial service enquiry</x:v>
      </x:c>
      <x:c r="L744" s="6" t="str">
        <x:v>High</x:v>
      </x:c>
      <x:c r="M744" s="6" t="str">
        <x:v>https://digitecme.com/services/brake-repair-dubai</x:v>
      </x:c>
      <x:c r="N744" s="6" t="str">
        <x:v>Unknown — export has no query/page pairing</x:v>
      </x:c>
      <x:c r="O744" s="6" t="str">
        <x:v>Retain primary intent and support variants</x:v>
      </x:c>
      <x:c r="P744" s="6" t="str">
        <x:v>Average position 66.88 makes ranking the main issue; avoid a CTR-only rewrite.</x:v>
      </x:c>
      <x:c r="Q744" s="6" t="str">
        <x:v>All vehicles</x:v>
      </x:c>
      <x:c r="R744" s="6" t="str">
        <x:v>brake-repair</x:v>
      </x:c>
      <x:c r="S744" s="6" t="str">
        <x:v>Location unspecified</x:v>
      </x:c>
      <x:c r="T744" s="6" t="n">
        <x:v>3</x:v>
      </x:c>
      <x:c r="U744" s="6" t="str">
        <x:v>40+</x:v>
      </x:c>
      <x:c r="V744" s="6" t="str">
        <x:v>Relevance, capability, indexing and authority review</x:v>
      </x:c>
      <x:c r="W744" s="6" t="str">
        <x:v>Relevant supporting</x:v>
      </x:c>
      <x:c r="X744" s="6" t="n">
        <x:v>740</x:v>
      </x:c>
      <x:c r="Y744" s="6" t="str">
        <x:v>Unconfirmed — joint query/page data required</x:v>
      </x:c>
    </x:row>
    <x:row r="745" ht="42" customHeight="1">
      <x:c r="A745" s="6" t="str">
        <x:v>best car battery change service</x:v>
      </x:c>
      <x:c r="B745" s="14" t="n">
        <x:v>0</x:v>
      </x:c>
      <x:c r="C745" s="14" t="n">
        <x:v>17</x:v>
      </x:c>
      <x:c r="D745" s="15" t="n">
        <x:v>0</x:v>
      </x:c>
      <x:c r="E745" s="16" t="n">
        <x:v>75.47</x:v>
      </x:c>
      <x:c r="F745" s="6" t="str">
        <x:v>GROWTH</x:v>
      </x:c>
      <x:c r="G745" s="17" t="n">
        <x:f>'Scoring'!I745</x:f>
        <x:v>49.9</x:v>
      </x:c>
      <x:c r="H745" s="6" t="str">
        <x:v>SUPPORT</x:v>
      </x:c>
      <x:c r="I745" s="6" t="str">
        <x:v>All vehicles: Battery service (English)</x:v>
      </x:c>
      <x:c r="J745" s="6" t="str">
        <x:v>Secondary</x:v>
      </x:c>
      <x:c r="K745" s="6" t="str">
        <x:v>Commercial service enquiry</x:v>
      </x:c>
      <x:c r="L745" s="6" t="str">
        <x:v>High</x:v>
      </x:c>
      <x:c r="M745" s="6" t="str">
        <x:v>https://digitecme.com/services/battery-replacement-dubai</x:v>
      </x:c>
      <x:c r="N745" s="6" t="str">
        <x:v>Unknown — export has no query/page pairing</x:v>
      </x:c>
      <x:c r="O745" s="6" t="str">
        <x:v>Retain primary intent and support variants</x:v>
      </x:c>
      <x:c r="P745" s="6" t="str">
        <x:v>Average position 75.47 makes ranking the main issue; avoid a CTR-only rewrite.</x:v>
      </x:c>
      <x:c r="Q745" s="6" t="str">
        <x:v>All vehicles</x:v>
      </x:c>
      <x:c r="R745" s="6" t="str">
        <x:v>battery-replacement</x:v>
      </x:c>
      <x:c r="S745" s="6" t="str">
        <x:v>Location unspecified</x:v>
      </x:c>
      <x:c r="T745" s="6" t="n">
        <x:v>3</x:v>
      </x:c>
      <x:c r="U745" s="6" t="str">
        <x:v>40+</x:v>
      </x:c>
      <x:c r="V745" s="6" t="str">
        <x:v>Relevance, capability, indexing and authority review</x:v>
      </x:c>
      <x:c r="W745" s="6" t="str">
        <x:v>Relevant supporting</x:v>
      </x:c>
      <x:c r="X745" s="6" t="n">
        <x:v>741</x:v>
      </x:c>
      <x:c r="Y745" s="6" t="str">
        <x:v>Unconfirmed — joint query/page data required</x:v>
      </x:c>
    </x:row>
    <x:row r="746" ht="42" customHeight="1">
      <x:c r="A746" s="6" t="str">
        <x:v>repair mercedes in uae</x:v>
      </x:c>
      <x:c r="B746" s="14" t="n">
        <x:v>0</x:v>
      </x:c>
      <x:c r="C746" s="14" t="n">
        <x:v>16</x:v>
      </x:c>
      <x:c r="D746" s="15" t="n">
        <x:v>0</x:v>
      </x:c>
      <x:c r="E746" s="16" t="n">
        <x:v>4.69</x:v>
      </x:c>
      <x:c r="F746" s="6" t="str">
        <x:v>HIGH</x:v>
      </x:c>
      <x:c r="G746" s="17" t="n">
        <x:f>'Scoring'!I746</x:f>
        <x:v>79.1</x:v>
      </x:c>
      <x:c r="H746" s="6" t="str">
        <x:v>SUPPORT</x:v>
      </x:c>
      <x:c r="I746" s="6" t="str">
        <x:v>mercedes-benz: Service and repair (English)</x:v>
      </x:c>
      <x:c r="J746" s="6" t="str">
        <x:v>Secondary</x:v>
      </x:c>
      <x:c r="K746" s="6" t="str">
        <x:v>Commercial service enquiry</x:v>
      </x:c>
      <x:c r="L746" s="6" t="str">
        <x:v>High</x:v>
      </x:c>
      <x:c r="M746" s="6" t="str">
        <x:v>https://digitecme.com/brands/mercedes-benz-service-dubai</x:v>
      </x:c>
      <x:c r="N746" s="6" t="str">
        <x:v>Unknown — export has no query/page pairing</x:v>
      </x:c>
      <x:c r="O746" s="6" t="str">
        <x:v>Retain primary intent and support variants</x:v>
      </x:c>
      <x:c r="P746" s="6" t="str">
        <x:v>Zero clicks from 16 impressions at average position 4.69; inspect query/page, country/device and SERP before attributing this to the snippet.</x:v>
      </x:c>
      <x:c r="Q746" s="6" t="str">
        <x:v>mercedes-benz</x:v>
      </x:c>
      <x:c r="R746" s="6" t="str">
        <x:v>service-repair</x:v>
      </x:c>
      <x:c r="S746" s="6" t="str">
        <x:v>Location unspecified</x:v>
      </x:c>
      <x:c r="T746" s="6" t="n">
        <x:v>5</x:v>
      </x:c>
      <x:c r="U746" s="6" t="str">
        <x:v>4–10</x:v>
      </x:c>
      <x:c r="V746" s="6" t="str">
        <x:v>Page-one CTR review and top-three relevance</x:v>
      </x:c>
      <x:c r="W746" s="6" t="str">
        <x:v>Relevant supporting</x:v>
      </x:c>
      <x:c r="X746" s="6" t="n">
        <x:v>742</x:v>
      </x:c>
      <x:c r="Y746" s="6" t="str">
        <x:v>Unconfirmed — joint query/page data required</x:v>
      </x:c>
    </x:row>
    <x:row r="747" ht="42" customHeight="1">
      <x:c r="A747" s="6" t="str">
        <x:v>exhaust workshop near me</x:v>
      </x:c>
      <x:c r="B747" s="14" t="n">
        <x:v>0</x:v>
      </x:c>
      <x:c r="C747" s="14" t="n">
        <x:v>16</x:v>
      </x:c>
      <x:c r="D747" s="15" t="n">
        <x:v>0</x:v>
      </x:c>
      <x:c r="E747" s="16" t="n">
        <x:v>5.56</x:v>
      </x:c>
      <x:c r="F747" s="6" t="str">
        <x:v>HIGH</x:v>
      </x:c>
      <x:c r="G747" s="17" t="n">
        <x:f>'Scoring'!I747</x:f>
        <x:v>76.1</x:v>
      </x:c>
      <x:c r="H747" s="6" t="str">
        <x:v>SUPPORT</x:v>
      </x:c>
      <x:c r="I747" s="6" t="str">
        <x:v>All vehicles: Exhaust repair</x:v>
      </x:c>
      <x:c r="J747" s="6" t="str">
        <x:v>Secondary</x:v>
      </x:c>
      <x:c r="K747" s="6" t="str">
        <x:v>Commercial service enquiry</x:v>
      </x:c>
      <x:c r="L747" s="6" t="str">
        <x:v>High</x:v>
      </x:c>
      <x:c r="M747" s="6" t="str">
        <x:v>https://digitecme.com/services/exhaust-repair-dubai</x:v>
      </x:c>
      <x:c r="N747" s="6" t="str">
        <x:v>Unknown — export has no query/page pairing</x:v>
      </x:c>
      <x:c r="O747" s="6" t="str">
        <x:v>Retain primary intent and support variants</x:v>
      </x:c>
      <x:c r="P747" s="6" t="str">
        <x:v>Zero clicks from 16 impressions at average position 5.56; inspect query/page, country/device and SERP before attributing this to the snippet.</x:v>
      </x:c>
      <x:c r="Q747" s="6" t="str">
        <x:v>All vehicles</x:v>
      </x:c>
      <x:c r="R747" s="6" t="str">
        <x:v>exhaust-repair</x:v>
      </x:c>
      <x:c r="S747" s="6" t="str">
        <x:v>Near me; location unknown</x:v>
      </x:c>
      <x:c r="T747" s="6" t="n">
        <x:v>3</x:v>
      </x:c>
      <x:c r="U747" s="6" t="str">
        <x:v>4–10</x:v>
      </x:c>
      <x:c r="V747" s="6" t="str">
        <x:v>Page-one CTR review and top-three relevance</x:v>
      </x:c>
      <x:c r="W747" s="6" t="str">
        <x:v>Relevant supporting</x:v>
      </x:c>
      <x:c r="X747" s="6" t="n">
        <x:v>743</x:v>
      </x:c>
      <x:c r="Y747" s="6" t="str">
        <x:v>Unconfirmed — joint query/page data required</x:v>
      </x:c>
    </x:row>
    <x:row r="748" ht="42" customHeight="1">
      <x:c r="A748" s="6" t="str">
        <x:v>land rover range rover sport svr brake pads replacement dubai</x:v>
      </x:c>
      <x:c r="B748" s="14" t="n">
        <x:v>0</x:v>
      </x:c>
      <x:c r="C748" s="14" t="n">
        <x:v>16</x:v>
      </x:c>
      <x:c r="D748" s="15" t="n">
        <x:v>0</x:v>
      </x:c>
      <x:c r="E748" s="16" t="n">
        <x:v>6.31</x:v>
      </x:c>
      <x:c r="F748" s="6" t="str">
        <x:v>HIGH</x:v>
      </x:c>
      <x:c r="G748" s="17" t="n">
        <x:f>'Scoring'!I748</x:f>
        <x:v>84.1</x:v>
      </x:c>
      <x:c r="H748" s="6" t="str">
        <x:v>SPLIT</x:v>
      </x:c>
      <x:c r="I748" s="6" t="str">
        <x:v>range-rover: Brake repair</x:v>
      </x:c>
      <x:c r="J748" s="6" t="str">
        <x:v>Primary</x:v>
      </x:c>
      <x:c r="K748" s="6" t="str">
        <x:v>Commercial service enquiry</x:v>
      </x:c>
      <x:c r="L748" s="6" t="str">
        <x:v>High</x:v>
      </x:c>
      <x:c r="M748" s="6" t="str">
        <x:v>https://digitecme.com/brands/range-rover-service-dubai/brake-repair</x:v>
      </x:c>
      <x:c r="N748" s="6" t="str">
        <x:v>Unknown — export has no query/page pairing</x:v>
      </x:c>
      <x:c r="O748" s="6" t="str">
        <x:v>Use dedicated service owner</x:v>
      </x:c>
      <x:c r="P748" s="6" t="str">
        <x:v>Zero clicks from 16 impressions at average position 6.31; inspect query/page, country/device and SERP before attributing this to the snippet.</x:v>
      </x:c>
      <x:c r="Q748" s="6" t="str">
        <x:v>range-rover</x:v>
      </x:c>
      <x:c r="R748" s="6" t="str">
        <x:v>brake-repair</x:v>
      </x:c>
      <x:c r="S748" s="6" t="str">
        <x:v>Dubai explicit</x:v>
      </x:c>
      <x:c r="T748" s="6" t="n">
        <x:v>5</x:v>
      </x:c>
      <x:c r="U748" s="6" t="str">
        <x:v>4–10</x:v>
      </x:c>
      <x:c r="V748" s="6" t="str">
        <x:v>Page-one CTR review and top-three relevance</x:v>
      </x:c>
      <x:c r="W748" s="6" t="str">
        <x:v>High-value commercial</x:v>
      </x:c>
      <x:c r="X748" s="6" t="n">
        <x:v>744</x:v>
      </x:c>
      <x:c r="Y748" s="6" t="str">
        <x:v>Unconfirmed — joint query/page data required</x:v>
      </x:c>
    </x:row>
    <x:row r="749" ht="42" customHeight="1">
      <x:c r="A749" s="6" t="str">
        <x:v>audi engine diagnostics</x:v>
      </x:c>
      <x:c r="B749" s="14" t="n">
        <x:v>0</x:v>
      </x:c>
      <x:c r="C749" s="14" t="n">
        <x:v>16</x:v>
      </x:c>
      <x:c r="D749" s="15" t="n">
        <x:v>0</x:v>
      </x:c>
      <x:c r="E749" s="16" t="n">
        <x:v>8.56</x:v>
      </x:c>
      <x:c r="F749" s="6" t="str">
        <x:v>HIGH</x:v>
      </x:c>
      <x:c r="G749" s="17" t="n">
        <x:f>'Scoring'!I749</x:f>
        <x:v>79.1</x:v>
      </x:c>
      <x:c r="H749" s="6" t="str">
        <x:v>SPLIT</x:v>
      </x:c>
      <x:c r="I749" s="6" t="str">
        <x:v>audi: Diagnostics and supported coding</x:v>
      </x:c>
      <x:c r="J749" s="6" t="str">
        <x:v>Primary</x:v>
      </x:c>
      <x:c r="K749" s="6" t="str">
        <x:v>Commercial service enquiry</x:v>
      </x:c>
      <x:c r="L749" s="6" t="str">
        <x:v>High</x:v>
      </x:c>
      <x:c r="M749" s="6" t="str">
        <x:v>https://digitecme.com/brands/audi-service-dubai/engine-diagnostics</x:v>
      </x:c>
      <x:c r="N749" s="6" t="str">
        <x:v>Unknown — export has no query/page pairing</x:v>
      </x:c>
      <x:c r="O749" s="6" t="str">
        <x:v>Use dedicated service owner</x:v>
      </x:c>
      <x:c r="P749" s="6" t="str">
        <x:v>Zero clicks from 16 impressions at average position 8.56; inspect query/page, country/device and SERP before attributing this to the snippet.</x:v>
      </x:c>
      <x:c r="Q749" s="6" t="str">
        <x:v>audi</x:v>
      </x:c>
      <x:c r="R749" s="6" t="str">
        <x:v>engine-diagnostics</x:v>
      </x:c>
      <x:c r="S749" s="6" t="str">
        <x:v>Location unspecified</x:v>
      </x:c>
      <x:c r="T749" s="6" t="n">
        <x:v>5</x:v>
      </x:c>
      <x:c r="U749" s="6" t="str">
        <x:v>4–10</x:v>
      </x:c>
      <x:c r="V749" s="6" t="str">
        <x:v>Page-one CTR review and top-three relevance</x:v>
      </x:c>
      <x:c r="W749" s="6" t="str">
        <x:v>High-value commercial</x:v>
      </x:c>
      <x:c r="X749" s="6" t="n">
        <x:v>745</x:v>
      </x:c>
      <x:c r="Y749" s="6" t="str">
        <x:v>Unconfirmed — joint query/page data required</x:v>
      </x:c>
    </x:row>
    <x:row r="750" ht="42" customHeight="1">
      <x:c r="A750" s="6" t="str">
        <x:v>muffler shop near me</x:v>
      </x:c>
      <x:c r="B750" s="14" t="n">
        <x:v>0</x:v>
      </x:c>
      <x:c r="C750" s="14" t="n">
        <x:v>16</x:v>
      </x:c>
      <x:c r="D750" s="15" t="n">
        <x:v>0</x:v>
      </x:c>
      <x:c r="E750" s="16" t="n">
        <x:v>8.69</x:v>
      </x:c>
      <x:c r="F750" s="6" t="str">
        <x:v>HIGH</x:v>
      </x:c>
      <x:c r="G750" s="17" t="n">
        <x:f>'Scoring'!I750</x:f>
        <x:v>76.1</x:v>
      </x:c>
      <x:c r="H750" s="6" t="str">
        <x:v>SUPPORT</x:v>
      </x:c>
      <x:c r="I750" s="6" t="str">
        <x:v>All vehicles: Exhaust repair</x:v>
      </x:c>
      <x:c r="J750" s="6" t="str">
        <x:v>Secondary</x:v>
      </x:c>
      <x:c r="K750" s="6" t="str">
        <x:v>Commercial service enquiry</x:v>
      </x:c>
      <x:c r="L750" s="6" t="str">
        <x:v>High</x:v>
      </x:c>
      <x:c r="M750" s="6" t="str">
        <x:v>https://digitecme.com/services/exhaust-repair-dubai</x:v>
      </x:c>
      <x:c r="N750" s="6" t="str">
        <x:v>Unknown — export has no query/page pairing</x:v>
      </x:c>
      <x:c r="O750" s="6" t="str">
        <x:v>Retain primary intent and support variants</x:v>
      </x:c>
      <x:c r="P750" s="6" t="str">
        <x:v>Zero clicks from 16 impressions at average position 8.69; inspect query/page, country/device and SERP before attributing this to the snippet.</x:v>
      </x:c>
      <x:c r="Q750" s="6" t="str">
        <x:v>All vehicles</x:v>
      </x:c>
      <x:c r="R750" s="6" t="str">
        <x:v>exhaust-repair</x:v>
      </x:c>
      <x:c r="S750" s="6" t="str">
        <x:v>Near me; location unknown</x:v>
      </x:c>
      <x:c r="T750" s="6" t="n">
        <x:v>3</x:v>
      </x:c>
      <x:c r="U750" s="6" t="str">
        <x:v>4–10</x:v>
      </x:c>
      <x:c r="V750" s="6" t="str">
        <x:v>Page-one CTR review and top-three relevance</x:v>
      </x:c>
      <x:c r="W750" s="6" t="str">
        <x:v>Relevant supporting</x:v>
      </x:c>
      <x:c r="X750" s="6" t="n">
        <x:v>746</x:v>
      </x:c>
      <x:c r="Y750" s="6" t="str">
        <x:v>Unconfirmed — joint query/page data required</x:v>
      </x:c>
    </x:row>
    <x:row r="751" ht="57" customHeight="1">
      <x:c r="A751" s="6" t="str">
        <x:v>near puncher shop</x:v>
      </x:c>
      <x:c r="B751" s="14" t="n">
        <x:v>0</x:v>
      </x:c>
      <x:c r="C751" s="14" t="n">
        <x:v>16</x:v>
      </x:c>
      <x:c r="D751" s="15" t="n">
        <x:v>0</x:v>
      </x:c>
      <x:c r="E751" s="16" t="n">
        <x:v>9.69</x:v>
      </x:c>
      <x:c r="F751" s="6" t="str">
        <x:v>GROWTH</x:v>
      </x:c>
      <x:c r="G751" s="17" t="n">
        <x:f>'Scoring'!I751</x:f>
        <x:v>67.1</x:v>
      </x:c>
      <x:c r="H751" s="6" t="str">
        <x:v>SUPPORT</x:v>
      </x:c>
      <x:c r="I751" s="6" t="str">
        <x:v>All vehicles: Tyre repair</x:v>
      </x:c>
      <x:c r="J751" s="6" t="str">
        <x:v>Secondary</x:v>
      </x:c>
      <x:c r="K751" s="6" t="str">
        <x:v>Commercial service enquiry</x:v>
      </x:c>
      <x:c r="L751" s="6" t="str">
        <x:v>High</x:v>
      </x:c>
      <x:c r="M751" s="6" t="str">
        <x:v>https://digitecme.com/services/tire-repair-dubai</x:v>
      </x:c>
      <x:c r="N751" s="6" t="str">
        <x:v>Unknown — export has no query/page pairing</x:v>
      </x:c>
      <x:c r="O751" s="6" t="str">
        <x:v>Retain primary intent and support variants</x:v>
      </x:c>
      <x:c r="P751" s="6" t="str">
        <x:v>Relevant workshop tyre enquiry with lower assumed value than specialist repair; no mobile or roadside claim. Zero clicks from 16 impressions at average position 9.69; inspect query/page, country/device and SERP before attributing this to the snippet.</x:v>
      </x:c>
      <x:c r="Q751" s="6" t="str">
        <x:v>All vehicles</x:v>
      </x:c>
      <x:c r="R751" s="6" t="str">
        <x:v>tire-repair</x:v>
      </x:c>
      <x:c r="S751" s="6" t="str">
        <x:v>Location unspecified</x:v>
      </x:c>
      <x:c r="T751" s="6" t="n">
        <x:v>2</x:v>
      </x:c>
      <x:c r="U751" s="6" t="str">
        <x:v>4–10</x:v>
      </x:c>
      <x:c r="V751" s="6" t="str">
        <x:v>Page-one CTR review and top-three relevance</x:v>
      </x:c>
      <x:c r="W751" s="6" t="str">
        <x:v>Relevant supporting</x:v>
      </x:c>
      <x:c r="X751" s="6" t="n">
        <x:v>747</x:v>
      </x:c>
      <x:c r="Y751" s="6" t="str">
        <x:v>Unconfirmed — joint query/page data required</x:v>
      </x:c>
    </x:row>
    <x:row r="752" ht="57" customHeight="1">
      <x:c r="A752" s="6" t="str">
        <x:v>nearest tire repair shop to me</x:v>
      </x:c>
      <x:c r="B752" s="14" t="n">
        <x:v>0</x:v>
      </x:c>
      <x:c r="C752" s="14" t="n">
        <x:v>16</x:v>
      </x:c>
      <x:c r="D752" s="15" t="n">
        <x:v>0</x:v>
      </x:c>
      <x:c r="E752" s="16" t="n">
        <x:v>9.75</x:v>
      </x:c>
      <x:c r="F752" s="6" t="str">
        <x:v>GROWTH</x:v>
      </x:c>
      <x:c r="G752" s="17" t="n">
        <x:f>'Scoring'!I752</x:f>
        <x:v>67.1</x:v>
      </x:c>
      <x:c r="H752" s="6" t="str">
        <x:v>SUPPORT</x:v>
      </x:c>
      <x:c r="I752" s="6" t="str">
        <x:v>All vehicles: Tyre repair</x:v>
      </x:c>
      <x:c r="J752" s="6" t="str">
        <x:v>Secondary</x:v>
      </x:c>
      <x:c r="K752" s="6" t="str">
        <x:v>Commercial service enquiry</x:v>
      </x:c>
      <x:c r="L752" s="6" t="str">
        <x:v>High</x:v>
      </x:c>
      <x:c r="M752" s="6" t="str">
        <x:v>https://digitecme.com/services/tire-repair-dubai</x:v>
      </x:c>
      <x:c r="N752" s="6" t="str">
        <x:v>Unknown — export has no query/page pairing</x:v>
      </x:c>
      <x:c r="O752" s="6" t="str">
        <x:v>Retain primary intent and support variants</x:v>
      </x:c>
      <x:c r="P752" s="6" t="str">
        <x:v>Relevant workshop tyre enquiry with lower assumed value than specialist repair; no mobile or roadside claim. Zero clicks from 16 impressions at average position 9.75; inspect query/page, country/device and SERP before attributing this to the snippet.</x:v>
      </x:c>
      <x:c r="Q752" s="6" t="str">
        <x:v>All vehicles</x:v>
      </x:c>
      <x:c r="R752" s="6" t="str">
        <x:v>tire-repair</x:v>
      </x:c>
      <x:c r="S752" s="6" t="str">
        <x:v>Location unspecified</x:v>
      </x:c>
      <x:c r="T752" s="6" t="n">
        <x:v>2</x:v>
      </x:c>
      <x:c r="U752" s="6" t="str">
        <x:v>4–10</x:v>
      </x:c>
      <x:c r="V752" s="6" t="str">
        <x:v>Page-one CTR review and top-three relevance</x:v>
      </x:c>
      <x:c r="W752" s="6" t="str">
        <x:v>Relevant supporting</x:v>
      </x:c>
      <x:c r="X752" s="6" t="n">
        <x:v>748</x:v>
      </x:c>
      <x:c r="Y752" s="6" t="str">
        <x:v>Unconfirmed — joint query/page data required</x:v>
      </x:c>
    </x:row>
    <x:row r="753" ht="42" customHeight="1">
      <x:c r="A753" s="6" t="str">
        <x:v>lotus maintenance dubai</x:v>
      </x:c>
      <x:c r="B753" s="14" t="n">
        <x:v>0</x:v>
      </x:c>
      <x:c r="C753" s="14" t="n">
        <x:v>16</x:v>
      </x:c>
      <x:c r="D753" s="15" t="n">
        <x:v>0</x:v>
      </x:c>
      <x:c r="E753" s="16" t="n">
        <x:v>9.81</x:v>
      </x:c>
      <x:c r="F753" s="6" t="str">
        <x:v>HIGH</x:v>
      </x:c>
      <x:c r="G753" s="17" t="n">
        <x:f>'Scoring'!I753</x:f>
        <x:v>84.1</x:v>
      </x:c>
      <x:c r="H753" s="6" t="str">
        <x:v>SUPPORT</x:v>
      </x:c>
      <x:c r="I753" s="6" t="str">
        <x:v>lotus: Service and repair</x:v>
      </x:c>
      <x:c r="J753" s="6" t="str">
        <x:v>Secondary</x:v>
      </x:c>
      <x:c r="K753" s="6" t="str">
        <x:v>Commercial service enquiry</x:v>
      </x:c>
      <x:c r="L753" s="6" t="str">
        <x:v>High</x:v>
      </x:c>
      <x:c r="M753" s="6" t="str">
        <x:v>https://digitecme.com/brands/lotus-service-dubai</x:v>
      </x:c>
      <x:c r="N753" s="6" t="str">
        <x:v>Unknown — export has no query/page pairing</x:v>
      </x:c>
      <x:c r="O753" s="6" t="str">
        <x:v>Retain primary intent and support variants</x:v>
      </x:c>
      <x:c r="P753" s="6" t="str">
        <x:v>Zero clicks from 16 impressions at average position 9.81; inspect query/page, country/device and SERP before attributing this to the snippet.</x:v>
      </x:c>
      <x:c r="Q753" s="6" t="str">
        <x:v>lotus</x:v>
      </x:c>
      <x:c r="R753" s="6" t="str">
        <x:v>service-repair</x:v>
      </x:c>
      <x:c r="S753" s="6" t="str">
        <x:v>Dubai explicit</x:v>
      </x:c>
      <x:c r="T753" s="6" t="n">
        <x:v>5</x:v>
      </x:c>
      <x:c r="U753" s="6" t="str">
        <x:v>4–10</x:v>
      </x:c>
      <x:c r="V753" s="6" t="str">
        <x:v>Page-one CTR review and top-three relevance</x:v>
      </x:c>
      <x:c r="W753" s="6" t="str">
        <x:v>Relevant supporting</x:v>
      </x:c>
      <x:c r="X753" s="6" t="n">
        <x:v>749</x:v>
      </x:c>
      <x:c r="Y753" s="6" t="str">
        <x:v>Unconfirmed — joint query/page data required</x:v>
      </x:c>
    </x:row>
    <x:row r="754" ht="57" customHeight="1">
      <x:c r="A754" s="6" t="str">
        <x:v>tire repair shop near me</x:v>
      </x:c>
      <x:c r="B754" s="14" t="n">
        <x:v>0</x:v>
      </x:c>
      <x:c r="C754" s="14" t="n">
        <x:v>16</x:v>
      </x:c>
      <x:c r="D754" s="15" t="n">
        <x:v>0</x:v>
      </x:c>
      <x:c r="E754" s="16" t="n">
        <x:v>11</x:v>
      </x:c>
      <x:c r="F754" s="6" t="str">
        <x:v>GROWTH</x:v>
      </x:c>
      <x:c r="G754" s="17" t="n">
        <x:f>'Scoring'!I754</x:f>
        <x:v>72.1</x:v>
      </x:c>
      <x:c r="H754" s="6" t="str">
        <x:v>SUPPORT</x:v>
      </x:c>
      <x:c r="I754" s="6" t="str">
        <x:v>All vehicles: Tyre repair</x:v>
      </x:c>
      <x:c r="J754" s="6" t="str">
        <x:v>Secondary</x:v>
      </x:c>
      <x:c r="K754" s="6" t="str">
        <x:v>Commercial service enquiry</x:v>
      </x:c>
      <x:c r="L754" s="6" t="str">
        <x:v>High</x:v>
      </x:c>
      <x:c r="M754" s="6" t="str">
        <x:v>https://digitecme.com/services/tire-repair-dubai</x:v>
      </x:c>
      <x:c r="N754" s="6" t="str">
        <x:v>Unknown — export has no query/page pairing</x:v>
      </x:c>
      <x:c r="O754" s="6" t="str">
        <x:v>Retain primary intent and support variants</x:v>
      </x:c>
      <x:c r="P754" s="6" t="str">
        <x:v>Relevant workshop tyre enquiry with lower assumed value than specialist repair; no mobile or roadside claim. 16 impressions at average position 11.00; strengthen the appropriate intent owner and measure with a fresh comparable period.</x:v>
      </x:c>
      <x:c r="Q754" s="6" t="str">
        <x:v>All vehicles</x:v>
      </x:c>
      <x:c r="R754" s="6" t="str">
        <x:v>tire-repair</x:v>
      </x:c>
      <x:c r="S754" s="6" t="str">
        <x:v>Near me; location unknown</x:v>
      </x:c>
      <x:c r="T754" s="6" t="n">
        <x:v>2</x:v>
      </x:c>
      <x:c r="U754" s="6" t="str">
        <x:v>11–20</x:v>
      </x:c>
      <x:c r="V754" s="6" t="str">
        <x:v>Ranking and owner relevance</x:v>
      </x:c>
      <x:c r="W754" s="6" t="str">
        <x:v>Relevant supporting</x:v>
      </x:c>
      <x:c r="X754" s="6" t="n">
        <x:v>750</x:v>
      </x:c>
      <x:c r="Y754" s="6" t="str">
        <x:v>Unconfirmed — joint query/page data required</x:v>
      </x:c>
    </x:row>
    <x:row r="755" ht="42" customHeight="1">
      <x:c r="A755" s="6" t="str">
        <x:v>mclaren repair shop</x:v>
      </x:c>
      <x:c r="B755" s="14" t="n">
        <x:v>0</x:v>
      </x:c>
      <x:c r="C755" s="14" t="n">
        <x:v>16</x:v>
      </x:c>
      <x:c r="D755" s="15" t="n">
        <x:v>0</x:v>
      </x:c>
      <x:c r="E755" s="16" t="n">
        <x:v>11.56</x:v>
      </x:c>
      <x:c r="F755" s="6" t="str">
        <x:v>HIGH</x:v>
      </x:c>
      <x:c r="G755" s="17" t="n">
        <x:f>'Scoring'!I755</x:f>
        <x:v>79.1</x:v>
      </x:c>
      <x:c r="H755" s="6" t="str">
        <x:v>SUPPORT</x:v>
      </x:c>
      <x:c r="I755" s="6" t="str">
        <x:v>mclaren: Service and repair</x:v>
      </x:c>
      <x:c r="J755" s="6" t="str">
        <x:v>Secondary</x:v>
      </x:c>
      <x:c r="K755" s="6" t="str">
        <x:v>Commercial service enquiry</x:v>
      </x:c>
      <x:c r="L755" s="6" t="str">
        <x:v>High</x:v>
      </x:c>
      <x:c r="M755" s="6" t="str">
        <x:v>https://digitecme.com/brands/mclaren-service-dubai</x:v>
      </x:c>
      <x:c r="N755" s="6" t="str">
        <x:v>Unknown — export has no query/page pairing</x:v>
      </x:c>
      <x:c r="O755" s="6" t="str">
        <x:v>Retain primary intent and support variants</x:v>
      </x:c>
      <x:c r="P755" s="6" t="str">
        <x:v>16 impressions at average position 11.56; strengthen the appropriate intent owner and measure with a fresh comparable period.</x:v>
      </x:c>
      <x:c r="Q755" s="6" t="str">
        <x:v>mclaren</x:v>
      </x:c>
      <x:c r="R755" s="6" t="str">
        <x:v>service-repair</x:v>
      </x:c>
      <x:c r="S755" s="6" t="str">
        <x:v>Location unspecified</x:v>
      </x:c>
      <x:c r="T755" s="6" t="n">
        <x:v>5</x:v>
      </x:c>
      <x:c r="U755" s="6" t="str">
        <x:v>11–20</x:v>
      </x:c>
      <x:c r="V755" s="6" t="str">
        <x:v>Ranking and owner relevance</x:v>
      </x:c>
      <x:c r="W755" s="6" t="str">
        <x:v>Relevant supporting</x:v>
      </x:c>
      <x:c r="X755" s="6" t="n">
        <x:v>751</x:v>
      </x:c>
      <x:c r="Y755" s="6" t="str">
        <x:v>Unconfirmed — joint query/page data required</x:v>
      </x:c>
    </x:row>
    <x:row r="756" ht="42" customHeight="1">
      <x:c r="A756" s="6" t="str">
        <x:v>land rover suspension repair</x:v>
      </x:c>
      <x:c r="B756" s="14" t="n">
        <x:v>0</x:v>
      </x:c>
      <x:c r="C756" s="14" t="n">
        <x:v>16</x:v>
      </x:c>
      <x:c r="D756" s="15" t="n">
        <x:v>0</x:v>
      </x:c>
      <x:c r="E756" s="16" t="n">
        <x:v>14.75</x:v>
      </x:c>
      <x:c r="F756" s="6" t="str">
        <x:v>HIGH</x:v>
      </x:c>
      <x:c r="G756" s="17" t="n">
        <x:f>'Scoring'!I756</x:f>
        <x:v>79.1</x:v>
      </x:c>
      <x:c r="H756" s="6" t="str">
        <x:v>SPLIT</x:v>
      </x:c>
      <x:c r="I756" s="6" t="str">
        <x:v>land-rover: Suspension repair</x:v>
      </x:c>
      <x:c r="J756" s="6" t="str">
        <x:v>Primary</x:v>
      </x:c>
      <x:c r="K756" s="6" t="str">
        <x:v>Commercial service enquiry</x:v>
      </x:c>
      <x:c r="L756" s="6" t="str">
        <x:v>High</x:v>
      </x:c>
      <x:c r="M756" s="6" t="str">
        <x:v>https://digitecme.com/brands/land-rover-service-dubai/suspension-repair</x:v>
      </x:c>
      <x:c r="N756" s="6" t="str">
        <x:v>Unknown — export has no query/page pairing</x:v>
      </x:c>
      <x:c r="O756" s="6" t="str">
        <x:v>Use dedicated service owner</x:v>
      </x:c>
      <x:c r="P756" s="6" t="str">
        <x:v>16 impressions at average position 14.75; strengthen the appropriate intent owner and measure with a fresh comparable period.</x:v>
      </x:c>
      <x:c r="Q756" s="6" t="str">
        <x:v>land-rover</x:v>
      </x:c>
      <x:c r="R756" s="6" t="str">
        <x:v>suspension-repair</x:v>
      </x:c>
      <x:c r="S756" s="6" t="str">
        <x:v>Location unspecified</x:v>
      </x:c>
      <x:c r="T756" s="6" t="n">
        <x:v>5</x:v>
      </x:c>
      <x:c r="U756" s="6" t="str">
        <x:v>11–20</x:v>
      </x:c>
      <x:c r="V756" s="6" t="str">
        <x:v>Ranking and owner relevance</x:v>
      </x:c>
      <x:c r="W756" s="6" t="str">
        <x:v>High-value commercial</x:v>
      </x:c>
      <x:c r="X756" s="6" t="n">
        <x:v>752</x:v>
      </x:c>
      <x:c r="Y756" s="6" t="str">
        <x:v>Unconfirmed — joint query/page data required</x:v>
      </x:c>
    </x:row>
    <x:row r="757" ht="57" customHeight="1">
      <x:c r="A757" s="6" t="str">
        <x:v>chevrolet transmission repair dubai</x:v>
      </x:c>
      <x:c r="B757" s="14" t="n">
        <x:v>0</x:v>
      </x:c>
      <x:c r="C757" s="14" t="n">
        <x:v>16</x:v>
      </x:c>
      <x:c r="D757" s="15" t="n">
        <x:v>0</x:v>
      </x:c>
      <x:c r="E757" s="16" t="n">
        <x:v>15.19</x:v>
      </x:c>
      <x:c r="F757" s="6" t="str">
        <x:v>HIGH</x:v>
      </x:c>
      <x:c r="G757" s="17" t="n">
        <x:f>'Scoring'!I757</x:f>
        <x:v>39.7</x:v>
      </x:c>
      <x:c r="H757" s="6" t="str">
        <x:v>SPLIT</x:v>
      </x:c>
      <x:c r="I757" s="6" t="str">
        <x:v>chevrolet: Transmission and gearbox repair</x:v>
      </x:c>
      <x:c r="J757" s="6" t="str">
        <x:v>Primary</x:v>
      </x:c>
      <x:c r="K757" s="6" t="str">
        <x:v>Commercial service enquiry</x:v>
      </x:c>
      <x:c r="L757" s="6" t="str">
        <x:v>Medium</x:v>
      </x:c>
      <x:c r="M757" s="6" t="str">
        <x:v>https://digitecme.com/brands/chevrolet-service-dubai/transmission-repair</x:v>
      </x:c>
      <x:c r="N757" s="6" t="str">
        <x:v>Unknown — export has no query/page pairing</x:v>
      </x:c>
      <x:c r="O757" s="6" t="str">
        <x:v>Use dedicated service owner</x:v>
      </x:c>
      <x:c r="P757" s="6" t="str">
        <x:v>Existing specific page is noindex; assess service evidence and distinct content before changing indexation. 16 impressions at average position 15.19; strengthen the appropriate intent owner and measure with a fresh comparable period.</x:v>
      </x:c>
      <x:c r="Q757" s="6" t="str">
        <x:v>chevrolet</x:v>
      </x:c>
      <x:c r="R757" s="6" t="str">
        <x:v>transmission-repair</x:v>
      </x:c>
      <x:c r="S757" s="6" t="str">
        <x:v>Dubai explicit</x:v>
      </x:c>
      <x:c r="T757" s="6" t="n">
        <x:v>3</x:v>
      </x:c>
      <x:c r="U757" s="6" t="str">
        <x:v>11–20</x:v>
      </x:c>
      <x:c r="V757" s="6" t="str">
        <x:v>Ranking and owner relevance</x:v>
      </x:c>
      <x:c r="W757" s="6" t="str">
        <x:v>High-value commercial</x:v>
      </x:c>
      <x:c r="X757" s="6" t="n">
        <x:v>753</x:v>
      </x:c>
      <x:c r="Y757" s="6" t="str">
        <x:v>Unconfirmed — joint query/page data required</x:v>
      </x:c>
    </x:row>
    <x:row r="758" ht="57" customHeight="1">
      <x:c r="A758" s="6" t="str">
        <x:v>exhaust repair cost</x:v>
      </x:c>
      <x:c r="B758" s="14" t="n">
        <x:v>0</x:v>
      </x:c>
      <x:c r="C758" s="14" t="n">
        <x:v>16</x:v>
      </x:c>
      <x:c r="D758" s="15" t="n">
        <x:v>0</x:v>
      </x:c>
      <x:c r="E758" s="16" t="n">
        <x:v>15.5</x:v>
      </x:c>
      <x:c r="F758" s="6" t="str">
        <x:v>HIGH</x:v>
      </x:c>
      <x:c r="G758" s="17" t="n">
        <x:f>'Scoring'!I758</x:f>
        <x:v>63.6</x:v>
      </x:c>
      <x:c r="H758" s="6" t="str">
        <x:v>SUPPORT</x:v>
      </x:c>
      <x:c r="I758" s="6" t="str">
        <x:v>All vehicles: Exhaust repair</x:v>
      </x:c>
      <x:c r="J758" s="6" t="str">
        <x:v>Secondary</x:v>
      </x:c>
      <x:c r="K758" s="6" t="str">
        <x:v>Commercial cost research</x:v>
      </x:c>
      <x:c r="L758" s="6" t="str">
        <x:v>High</x:v>
      </x:c>
      <x:c r="M758" s="6" t="str">
        <x:v>https://digitecme.com/services/exhaust-repair-dubai</x:v>
      </x:c>
      <x:c r="N758" s="6" t="str">
        <x:v>Unknown — export has no query/page pairing</x:v>
      </x:c>
      <x:c r="O758" s="6" t="str">
        <x:v>Retain primary intent and support variants</x:v>
      </x:c>
      <x:c r="P758" s="6" t="str">
        <x:v>Explain diagnosis, parts and labour cost factors without inventing prices. 16 impressions at average position 15.50; strengthen the appropriate intent owner and measure with a fresh comparable period.</x:v>
      </x:c>
      <x:c r="Q758" s="6" t="str">
        <x:v>All vehicles</x:v>
      </x:c>
      <x:c r="R758" s="6" t="str">
        <x:v>exhaust-repair</x:v>
      </x:c>
      <x:c r="S758" s="6" t="str">
        <x:v>Location unspecified</x:v>
      </x:c>
      <x:c r="T758" s="6" t="n">
        <x:v>3</x:v>
      </x:c>
      <x:c r="U758" s="6" t="str">
        <x:v>11–20</x:v>
      </x:c>
      <x:c r="V758" s="6" t="str">
        <x:v>Ranking and owner relevance</x:v>
      </x:c>
      <x:c r="W758" s="6" t="str">
        <x:v>Relevant supporting</x:v>
      </x:c>
      <x:c r="X758" s="6" t="n">
        <x:v>754</x:v>
      </x:c>
      <x:c r="Y758" s="6" t="str">
        <x:v>Unconfirmed — joint query/page data required</x:v>
      </x:c>
    </x:row>
    <x:row r="759" ht="57" customHeight="1">
      <x:c r="A759" s="6" t="str">
        <x:v>صيانة مازدا دبي</x:v>
      </x:c>
      <x:c r="B759" s="14" t="n">
        <x:v>0</x:v>
      </x:c>
      <x:c r="C759" s="14" t="n">
        <x:v>16</x:v>
      </x:c>
      <x:c r="D759" s="15" t="n">
        <x:v>0</x:v>
      </x:c>
      <x:c r="E759" s="16" t="n">
        <x:v>17.31</x:v>
      </x:c>
      <x:c r="F759" s="6" t="str">
        <x:v>HIGH</x:v>
      </x:c>
      <x:c r="G759" s="17" t="n">
        <x:f>'Scoring'!I759</x:f>
        <x:v>68.6</x:v>
      </x:c>
      <x:c r="H759" s="6" t="str">
        <x:v>PRIORITIZE</x:v>
      </x:c>
      <x:c r="I759" s="6" t="str">
        <x:v>mazda: Service and repair (Arabic)</x:v>
      </x:c>
      <x:c r="J759" s="6" t="str">
        <x:v>Primary</x:v>
      </x:c>
      <x:c r="K759" s="6" t="str">
        <x:v>Commercial service enquiry</x:v>
      </x:c>
      <x:c r="L759" s="6" t="str">
        <x:v>High</x:v>
      </x:c>
      <x:c r="M759" s="6" t="str">
        <x:v>https://digitecme.com/ar/brands/mazda-service-dubai</x:v>
      </x:c>
      <x:c r="N759" s="6" t="str">
        <x:v>Unknown — export has no query/page pairing</x:v>
      </x:c>
      <x:c r="O759" s="6" t="str">
        <x:v>Strengthen this primary intent owner</x:v>
      </x:c>
      <x:c r="P759" s="6" t="str">
        <x:v>Use the existing Arabic counterpart and verify its translation quality. 16 impressions at average position 17.31; strengthen the appropriate intent owner and measure with a fresh comparable period.</x:v>
      </x:c>
      <x:c r="Q759" s="6" t="str">
        <x:v>mazda</x:v>
      </x:c>
      <x:c r="R759" s="6" t="str">
        <x:v>service-repair</x:v>
      </x:c>
      <x:c r="S759" s="6" t="str">
        <x:v>Dubai explicit</x:v>
      </x:c>
      <x:c r="T759" s="6" t="n">
        <x:v>3</x:v>
      </x:c>
      <x:c r="U759" s="6" t="str">
        <x:v>11–20</x:v>
      </x:c>
      <x:c r="V759" s="6" t="str">
        <x:v>Ranking and owner relevance</x:v>
      </x:c>
      <x:c r="W759" s="6" t="str">
        <x:v>High-value commercial</x:v>
      </x:c>
      <x:c r="X759" s="6" t="n">
        <x:v>755</x:v>
      </x:c>
      <x:c r="Y759" s="6" t="str">
        <x:v>Unconfirmed — joint query/page data required</x:v>
      </x:c>
    </x:row>
    <x:row r="760" ht="57" customHeight="1">
      <x:c r="A760" s="6" t="str">
        <x:v>gmc transmission repair dubai</x:v>
      </x:c>
      <x:c r="B760" s="14" t="n">
        <x:v>0</x:v>
      </x:c>
      <x:c r="C760" s="14" t="n">
        <x:v>16</x:v>
      </x:c>
      <x:c r="D760" s="15" t="n">
        <x:v>0</x:v>
      </x:c>
      <x:c r="E760" s="16" t="n">
        <x:v>17.69</x:v>
      </x:c>
      <x:c r="F760" s="6" t="str">
        <x:v>HIGH</x:v>
      </x:c>
      <x:c r="G760" s="17" t="n">
        <x:f>'Scoring'!I760</x:f>
        <x:v>39.7</x:v>
      </x:c>
      <x:c r="H760" s="6" t="str">
        <x:v>SPLIT</x:v>
      </x:c>
      <x:c r="I760" s="6" t="str">
        <x:v>gmc: Transmission and gearbox repair</x:v>
      </x:c>
      <x:c r="J760" s="6" t="str">
        <x:v>Primary</x:v>
      </x:c>
      <x:c r="K760" s="6" t="str">
        <x:v>Commercial service enquiry</x:v>
      </x:c>
      <x:c r="L760" s="6" t="str">
        <x:v>Medium</x:v>
      </x:c>
      <x:c r="M760" s="6" t="str">
        <x:v>https://digitecme.com/brands/gmc-service-dubai/transmission-repair</x:v>
      </x:c>
      <x:c r="N760" s="6" t="str">
        <x:v>Unknown — export has no query/page pairing</x:v>
      </x:c>
      <x:c r="O760" s="6" t="str">
        <x:v>Use dedicated service owner</x:v>
      </x:c>
      <x:c r="P760" s="6" t="str">
        <x:v>Existing specific page is noindex; assess service evidence and distinct content before changing indexation. 16 impressions at average position 17.69; strengthen the appropriate intent owner and measure with a fresh comparable period.</x:v>
      </x:c>
      <x:c r="Q760" s="6" t="str">
        <x:v>gmc</x:v>
      </x:c>
      <x:c r="R760" s="6" t="str">
        <x:v>transmission-repair</x:v>
      </x:c>
      <x:c r="S760" s="6" t="str">
        <x:v>Dubai explicit</x:v>
      </x:c>
      <x:c r="T760" s="6" t="n">
        <x:v>3</x:v>
      </x:c>
      <x:c r="U760" s="6" t="str">
        <x:v>11–20</x:v>
      </x:c>
      <x:c r="V760" s="6" t="str">
        <x:v>Ranking and owner relevance</x:v>
      </x:c>
      <x:c r="W760" s="6" t="str">
        <x:v>High-value commercial</x:v>
      </x:c>
      <x:c r="X760" s="6" t="n">
        <x:v>756</x:v>
      </x:c>
      <x:c r="Y760" s="6" t="str">
        <x:v>Unconfirmed — joint query/page data required</x:v>
      </x:c>
    </x:row>
    <x:row r="761" ht="42" customHeight="1">
      <x:c r="A761" s="6" t="str">
        <x:v>toyota lubricants dubai</x:v>
      </x:c>
      <x:c r="B761" s="14" t="n">
        <x:v>0</x:v>
      </x:c>
      <x:c r="C761" s="14" t="n">
        <x:v>16</x:v>
      </x:c>
      <x:c r="D761" s="15" t="n">
        <x:v>0</x:v>
      </x:c>
      <x:c r="E761" s="16" t="n">
        <x:v>21.69</x:v>
      </x:c>
      <x:c r="F761" s="6" t="str">
        <x:v>DEPRIORITIZE</x:v>
      </x:c>
      <x:c r="G761" s="17" t="n">
        <x:f>'Scoring'!I761</x:f>
        <x:v>42</x:v>
      </x:c>
      <x:c r="H761" s="6" t="str">
        <x:v>DEPRIORITIZE</x:v>
      </x:c>
      <x:c r="I761" s="6" t="str">
        <x:v>toyota: Oil change</x:v>
      </x:c>
      <x:c r="J761" s="6" t="str">
        <x:v>Primary</x:v>
      </x:c>
      <x:c r="K761" s="6" t="str">
        <x:v>Commercial service enquiry</x:v>
      </x:c>
      <x:c r="L761" s="6" t="str">
        <x:v>Medium</x:v>
      </x:c>
      <x:c r="M761" s="6" t="str">
        <x:v>https://digitecme.com/brands/toyota-service-dubai/oil-change</x:v>
      </x:c>
      <x:c r="N761" s="6" t="str">
        <x:v>Unknown — export has no query/page pairing</x:v>
      </x:c>
      <x:c r="O761" s="6" t="str">
        <x:v>Confirm scope or deprioritize</x:v>
      </x:c>
      <x:c r="P761" s="6" t="str">
        <x:v>Possible product or parts-retail intent; confirm repair-enquiry intent before active targeting. Average position 21.69 makes ranking the main issue; avoid a CTR-only rewrite.</x:v>
      </x:c>
      <x:c r="Q761" s="6" t="str">
        <x:v>toyota</x:v>
      </x:c>
      <x:c r="R761" s="6" t="str">
        <x:v>oil-change</x:v>
      </x:c>
      <x:c r="S761" s="6" t="str">
        <x:v>Dubai explicit</x:v>
      </x:c>
      <x:c r="T761" s="6" t="n">
        <x:v>2</x:v>
      </x:c>
      <x:c r="U761" s="6" t="str">
        <x:v>21–40</x:v>
      </x:c>
      <x:c r="V761" s="6" t="str">
        <x:v>Content, internal authority and owner alignment</x:v>
      </x:c>
      <x:c r="W761" s="6" t="str">
        <x:v>Low-value</x:v>
      </x:c>
      <x:c r="X761" s="6" t="n">
        <x:v>757</x:v>
      </x:c>
      <x:c r="Y761" s="6" t="str">
        <x:v>Unconfirmed — joint query/page data required</x:v>
      </x:c>
    </x:row>
    <x:row r="762" ht="42" customHeight="1">
      <x:c r="A762" s="6" t="str">
        <x:v>oil change workshop</x:v>
      </x:c>
      <x:c r="B762" s="14" t="n">
        <x:v>0</x:v>
      </x:c>
      <x:c r="C762" s="14" t="n">
        <x:v>16</x:v>
      </x:c>
      <x:c r="D762" s="15" t="n">
        <x:v>0</x:v>
      </x:c>
      <x:c r="E762" s="16" t="n">
        <x:v>22.69</x:v>
      </x:c>
      <x:c r="F762" s="6" t="str">
        <x:v>HIGH</x:v>
      </x:c>
      <x:c r="G762" s="17" t="n">
        <x:f>'Scoring'!I762</x:f>
        <x:v>63.6</x:v>
      </x:c>
      <x:c r="H762" s="6" t="str">
        <x:v>SUPPORT</x:v>
      </x:c>
      <x:c r="I762" s="6" t="str">
        <x:v>All vehicles: Oil change (English)</x:v>
      </x:c>
      <x:c r="J762" s="6" t="str">
        <x:v>Secondary</x:v>
      </x:c>
      <x:c r="K762" s="6" t="str">
        <x:v>Commercial service enquiry</x:v>
      </x:c>
      <x:c r="L762" s="6" t="str">
        <x:v>High</x:v>
      </x:c>
      <x:c r="M762" s="6" t="str">
        <x:v>https://digitecme.com/services/oil-change-dubai</x:v>
      </x:c>
      <x:c r="N762" s="6" t="str">
        <x:v>Unknown — export has no query/page pairing</x:v>
      </x:c>
      <x:c r="O762" s="6" t="str">
        <x:v>Retain primary intent and support variants</x:v>
      </x:c>
      <x:c r="P762" s="6" t="str">
        <x:v>Average position 22.69 makes ranking the main issue; avoid a CTR-only rewrite.</x:v>
      </x:c>
      <x:c r="Q762" s="6" t="str">
        <x:v>All vehicles</x:v>
      </x:c>
      <x:c r="R762" s="6" t="str">
        <x:v>oil-change</x:v>
      </x:c>
      <x:c r="S762" s="6" t="str">
        <x:v>Location unspecified</x:v>
      </x:c>
      <x:c r="T762" s="6" t="n">
        <x:v>3</x:v>
      </x:c>
      <x:c r="U762" s="6" t="str">
        <x:v>21–40</x:v>
      </x:c>
      <x:c r="V762" s="6" t="str">
        <x:v>Content, internal authority and owner alignment</x:v>
      </x:c>
      <x:c r="W762" s="6" t="str">
        <x:v>Relevant supporting</x:v>
      </x:c>
      <x:c r="X762" s="6" t="n">
        <x:v>758</x:v>
      </x:c>
      <x:c r="Y762" s="6" t="str">
        <x:v>Unconfirmed — joint query/page data required</x:v>
      </x:c>
    </x:row>
    <x:row r="763" ht="42" customHeight="1">
      <x:c r="A763" s="6" t="str">
        <x:v>best synthetic oil change for cars in dubai</x:v>
      </x:c>
      <x:c r="B763" s="14" t="n">
        <x:v>0</x:v>
      </x:c>
      <x:c r="C763" s="14" t="n">
        <x:v>16</x:v>
      </x:c>
      <x:c r="D763" s="15" t="n">
        <x:v>0</x:v>
      </x:c>
      <x:c r="E763" s="16" t="n">
        <x:v>23.81</x:v>
      </x:c>
      <x:c r="F763" s="6" t="str">
        <x:v>HIGH</x:v>
      </x:c>
      <x:c r="G763" s="17" t="n">
        <x:f>'Scoring'!I763</x:f>
        <x:v>68.6</x:v>
      </x:c>
      <x:c r="H763" s="6" t="str">
        <x:v>SUPPORT</x:v>
      </x:c>
      <x:c r="I763" s="6" t="str">
        <x:v>All vehicles: Oil change (English)</x:v>
      </x:c>
      <x:c r="J763" s="6" t="str">
        <x:v>Secondary</x:v>
      </x:c>
      <x:c r="K763" s="6" t="str">
        <x:v>Commercial service enquiry</x:v>
      </x:c>
      <x:c r="L763" s="6" t="str">
        <x:v>High</x:v>
      </x:c>
      <x:c r="M763" s="6" t="str">
        <x:v>https://digitecme.com/services/oil-change-dubai</x:v>
      </x:c>
      <x:c r="N763" s="6" t="str">
        <x:v>Unknown — export has no query/page pairing</x:v>
      </x:c>
      <x:c r="O763" s="6" t="str">
        <x:v>Retain primary intent and support variants</x:v>
      </x:c>
      <x:c r="P763" s="6" t="str">
        <x:v>Average position 23.81 makes ranking the main issue; avoid a CTR-only rewrite.</x:v>
      </x:c>
      <x:c r="Q763" s="6" t="str">
        <x:v>All vehicles</x:v>
      </x:c>
      <x:c r="R763" s="6" t="str">
        <x:v>oil-change</x:v>
      </x:c>
      <x:c r="S763" s="6" t="str">
        <x:v>Dubai explicit</x:v>
      </x:c>
      <x:c r="T763" s="6" t="n">
        <x:v>3</x:v>
      </x:c>
      <x:c r="U763" s="6" t="str">
        <x:v>21–40</x:v>
      </x:c>
      <x:c r="V763" s="6" t="str">
        <x:v>Content, internal authority and owner alignment</x:v>
      </x:c>
      <x:c r="W763" s="6" t="str">
        <x:v>Relevant supporting</x:v>
      </x:c>
      <x:c r="X763" s="6" t="n">
        <x:v>759</x:v>
      </x:c>
      <x:c r="Y763" s="6" t="str">
        <x:v>Unconfirmed — joint query/page data required</x:v>
      </x:c>
    </x:row>
    <x:row r="764" ht="42" customHeight="1">
      <x:c r="A764" s="6" t="str">
        <x:v>best mercedes garage in dubai</x:v>
      </x:c>
      <x:c r="B764" s="14" t="n">
        <x:v>0</x:v>
      </x:c>
      <x:c r="C764" s="14" t="n">
        <x:v>16</x:v>
      </x:c>
      <x:c r="D764" s="15" t="n">
        <x:v>0</x:v>
      </x:c>
      <x:c r="E764" s="16" t="n">
        <x:v>26.81</x:v>
      </x:c>
      <x:c r="F764" s="6" t="str">
        <x:v>HIGH</x:v>
      </x:c>
      <x:c r="G764" s="17" t="n">
        <x:f>'Scoring'!I764</x:f>
        <x:v>76.6</x:v>
      </x:c>
      <x:c r="H764" s="6" t="str">
        <x:v>SUPPORT</x:v>
      </x:c>
      <x:c r="I764" s="6" t="str">
        <x:v>mercedes-benz: Service and repair (English)</x:v>
      </x:c>
      <x:c r="J764" s="6" t="str">
        <x:v>Secondary</x:v>
      </x:c>
      <x:c r="K764" s="6" t="str">
        <x:v>Commercial service enquiry</x:v>
      </x:c>
      <x:c r="L764" s="6" t="str">
        <x:v>High</x:v>
      </x:c>
      <x:c r="M764" s="6" t="str">
        <x:v>https://digitecme.com/brands/mercedes-benz-service-dubai</x:v>
      </x:c>
      <x:c r="N764" s="6" t="str">
        <x:v>Unknown — export has no query/page pairing</x:v>
      </x:c>
      <x:c r="O764" s="6" t="str">
        <x:v>Retain primary intent and support variants</x:v>
      </x:c>
      <x:c r="P764" s="6" t="str">
        <x:v>Average position 26.81 makes ranking the main issue; avoid a CTR-only rewrite.</x:v>
      </x:c>
      <x:c r="Q764" s="6" t="str">
        <x:v>mercedes-benz</x:v>
      </x:c>
      <x:c r="R764" s="6" t="str">
        <x:v>service-repair</x:v>
      </x:c>
      <x:c r="S764" s="6" t="str">
        <x:v>Dubai explicit</x:v>
      </x:c>
      <x:c r="T764" s="6" t="n">
        <x:v>5</x:v>
      </x:c>
      <x:c r="U764" s="6" t="str">
        <x:v>21–40</x:v>
      </x:c>
      <x:c r="V764" s="6" t="str">
        <x:v>Content, internal authority and owner alignment</x:v>
      </x:c>
      <x:c r="W764" s="6" t="str">
        <x:v>Relevant supporting</x:v>
      </x:c>
      <x:c r="X764" s="6" t="n">
        <x:v>760</x:v>
      </x:c>
      <x:c r="Y764" s="6" t="str">
        <x:v>Unconfirmed — joint query/page data required</x:v>
      </x:c>
    </x:row>
    <x:row r="765" ht="42" customHeight="1">
      <x:c r="A765" s="6" t="str">
        <x:v>car code performance</x:v>
      </x:c>
      <x:c r="B765" s="14" t="n">
        <x:v>0</x:v>
      </x:c>
      <x:c r="C765" s="14" t="n">
        <x:v>16</x:v>
      </x:c>
      <x:c r="D765" s="15" t="n">
        <x:v>0</x:v>
      </x:c>
      <x:c r="E765" s="16" t="n">
        <x:v>28.81</x:v>
      </x:c>
      <x:c r="F765" s="6" t="str">
        <x:v>HIGH</x:v>
      </x:c>
      <x:c r="G765" s="17" t="n">
        <x:f>'Scoring'!I765</x:f>
        <x:v>71.6</x:v>
      </x:c>
      <x:c r="H765" s="6" t="str">
        <x:v>SUPPORT</x:v>
      </x:c>
      <x:c r="I765" s="6" t="str">
        <x:v>All vehicles: Performance tuning</x:v>
      </x:c>
      <x:c r="J765" s="6" t="str">
        <x:v>Secondary</x:v>
      </x:c>
      <x:c r="K765" s="6" t="str">
        <x:v>Commercial service enquiry</x:v>
      </x:c>
      <x:c r="L765" s="6" t="str">
        <x:v>High</x:v>
      </x:c>
      <x:c r="M765" s="6" t="str">
        <x:v>https://digitecme.com/tuning</x:v>
      </x:c>
      <x:c r="N765" s="6" t="str">
        <x:v>Unknown — export has no query/page pairing</x:v>
      </x:c>
      <x:c r="O765" s="6" t="str">
        <x:v>Retain primary intent and support variants</x:v>
      </x:c>
      <x:c r="P765" s="6" t="str">
        <x:v>Use the existing tuning page; model scope and any GAD relationship require verified facts. Average position 28.81 makes ranking the main issue; avoid a CTR-only rewrite.</x:v>
      </x:c>
      <x:c r="Q765" s="6" t="str">
        <x:v>All vehicles</x:v>
      </x:c>
      <x:c r="R765" s="6" t="str">
        <x:v>tuning</x:v>
      </x:c>
      <x:c r="S765" s="6" t="str">
        <x:v>Location unspecified</x:v>
      </x:c>
      <x:c r="T765" s="6" t="n">
        <x:v>5</x:v>
      </x:c>
      <x:c r="U765" s="6" t="str">
        <x:v>21–40</x:v>
      </x:c>
      <x:c r="V765" s="6" t="str">
        <x:v>Content, internal authority and owner alignment</x:v>
      </x:c>
      <x:c r="W765" s="6" t="str">
        <x:v>Relevant supporting</x:v>
      </x:c>
      <x:c r="X765" s="6" t="n">
        <x:v>761</x:v>
      </x:c>
      <x:c r="Y765" s="6" t="str">
        <x:v>Unconfirmed — joint query/page data required</x:v>
      </x:c>
    </x:row>
    <x:row r="766" ht="42" customHeight="1">
      <x:c r="A766" s="6" t="str">
        <x:v>nissan service center</x:v>
      </x:c>
      <x:c r="B766" s="14" t="n">
        <x:v>0</x:v>
      </x:c>
      <x:c r="C766" s="14" t="n">
        <x:v>16</x:v>
      </x:c>
      <x:c r="D766" s="15" t="n">
        <x:v>0</x:v>
      </x:c>
      <x:c r="E766" s="16" t="n">
        <x:v>30.44</x:v>
      </x:c>
      <x:c r="F766" s="6" t="str">
        <x:v>GROWTH</x:v>
      </x:c>
      <x:c r="G766" s="17" t="n">
        <x:f>'Scoring'!I766</x:f>
        <x:v>56.1</x:v>
      </x:c>
      <x:c r="H766" s="6" t="str">
        <x:v>SUPPORT</x:v>
      </x:c>
      <x:c r="I766" s="6" t="str">
        <x:v>nissan: Service and repair</x:v>
      </x:c>
      <x:c r="J766" s="6" t="str">
        <x:v>Secondary</x:v>
      </x:c>
      <x:c r="K766" s="6" t="str">
        <x:v>Commercial service enquiry</x:v>
      </x:c>
      <x:c r="L766" s="6" t="str">
        <x:v>High</x:v>
      </x:c>
      <x:c r="M766" s="6" t="str">
        <x:v>https://digitecme.com/brands/nissan-service-dubai</x:v>
      </x:c>
      <x:c r="N766" s="6" t="str">
        <x:v>Unknown — export has no query/page pairing</x:v>
      </x:c>
      <x:c r="O766" s="6" t="str">
        <x:v>Retain primary intent and support variants</x:v>
      </x:c>
      <x:c r="P766" s="6" t="str">
        <x:v>Average position 30.44 makes ranking the main issue; avoid a CTR-only rewrite.</x:v>
      </x:c>
      <x:c r="Q766" s="6" t="str">
        <x:v>nissan</x:v>
      </x:c>
      <x:c r="R766" s="6" t="str">
        <x:v>service-repair</x:v>
      </x:c>
      <x:c r="S766" s="6" t="str">
        <x:v>Location unspecified</x:v>
      </x:c>
      <x:c r="T766" s="6" t="n">
        <x:v>3</x:v>
      </x:c>
      <x:c r="U766" s="6" t="str">
        <x:v>21–40</x:v>
      </x:c>
      <x:c r="V766" s="6" t="str">
        <x:v>Content, internal authority and owner alignment</x:v>
      </x:c>
      <x:c r="W766" s="6" t="str">
        <x:v>Relevant supporting</x:v>
      </x:c>
      <x:c r="X766" s="6" t="n">
        <x:v>762</x:v>
      </x:c>
      <x:c r="Y766" s="6" t="str">
        <x:v>Unconfirmed — joint query/page data required</x:v>
      </x:c>
    </x:row>
    <x:row r="767" ht="42" customHeight="1">
      <x:c r="A767" s="6" t="str">
        <x:v>lincoln car service specialist dubai</x:v>
      </x:c>
      <x:c r="B767" s="14" t="n">
        <x:v>0</x:v>
      </x:c>
      <x:c r="C767" s="14" t="n">
        <x:v>16</x:v>
      </x:c>
      <x:c r="D767" s="15" t="n">
        <x:v>0</x:v>
      </x:c>
      <x:c r="E767" s="16" t="n">
        <x:v>32.31</x:v>
      </x:c>
      <x:c r="F767" s="6" t="str">
        <x:v>GROWTH</x:v>
      </x:c>
      <x:c r="G767" s="17" t="n">
        <x:f>'Scoring'!I767</x:f>
        <x:v>61.1</x:v>
      </x:c>
      <x:c r="H767" s="6" t="str">
        <x:v>SUPPORT</x:v>
      </x:c>
      <x:c r="I767" s="6" t="str">
        <x:v>lincoln: Service and repair (English)</x:v>
      </x:c>
      <x:c r="J767" s="6" t="str">
        <x:v>Secondary</x:v>
      </x:c>
      <x:c r="K767" s="6" t="str">
        <x:v>Commercial service enquiry</x:v>
      </x:c>
      <x:c r="L767" s="6" t="str">
        <x:v>High</x:v>
      </x:c>
      <x:c r="M767" s="6" t="str">
        <x:v>https://digitecme.com/brands/lincoln-service-dubai</x:v>
      </x:c>
      <x:c r="N767" s="6" t="str">
        <x:v>Unknown — export has no query/page pairing</x:v>
      </x:c>
      <x:c r="O767" s="6" t="str">
        <x:v>Retain primary intent and support variants</x:v>
      </x:c>
      <x:c r="P767" s="6" t="str">
        <x:v>Average position 32.31 makes ranking the main issue; avoid a CTR-only rewrite.</x:v>
      </x:c>
      <x:c r="Q767" s="6" t="str">
        <x:v>lincoln</x:v>
      </x:c>
      <x:c r="R767" s="6" t="str">
        <x:v>service-repair</x:v>
      </x:c>
      <x:c r="S767" s="6" t="str">
        <x:v>Dubai explicit</x:v>
      </x:c>
      <x:c r="T767" s="6" t="n">
        <x:v>3</x:v>
      </x:c>
      <x:c r="U767" s="6" t="str">
        <x:v>21–40</x:v>
      </x:c>
      <x:c r="V767" s="6" t="str">
        <x:v>Content, internal authority and owner alignment</x:v>
      </x:c>
      <x:c r="W767" s="6" t="str">
        <x:v>Relevant supporting</x:v>
      </x:c>
      <x:c r="X767" s="6" t="n">
        <x:v>763</x:v>
      </x:c>
      <x:c r="Y767" s="6" t="str">
        <x:v>Unconfirmed — joint query/page data required</x:v>
      </x:c>
    </x:row>
    <x:row r="768" ht="42" customHeight="1">
      <x:c r="A768" s="6" t="str">
        <x:v>car exhaust dubai</x:v>
      </x:c>
      <x:c r="B768" s="14" t="n">
        <x:v>0</x:v>
      </x:c>
      <x:c r="C768" s="14" t="n">
        <x:v>16</x:v>
      </x:c>
      <x:c r="D768" s="15" t="n">
        <x:v>0</x:v>
      </x:c>
      <x:c r="E768" s="16" t="n">
        <x:v>33.69</x:v>
      </x:c>
      <x:c r="F768" s="6" t="str">
        <x:v>GROWTH</x:v>
      </x:c>
      <x:c r="G768" s="17" t="n">
        <x:f>'Scoring'!I768</x:f>
        <x:v>61.1</x:v>
      </x:c>
      <x:c r="H768" s="6" t="str">
        <x:v>SUPPORT</x:v>
      </x:c>
      <x:c r="I768" s="6" t="str">
        <x:v>All vehicles: Exhaust repair</x:v>
      </x:c>
      <x:c r="J768" s="6" t="str">
        <x:v>Secondary</x:v>
      </x:c>
      <x:c r="K768" s="6" t="str">
        <x:v>Commercial service enquiry</x:v>
      </x:c>
      <x:c r="L768" s="6" t="str">
        <x:v>High</x:v>
      </x:c>
      <x:c r="M768" s="6" t="str">
        <x:v>https://digitecme.com/services/exhaust-repair-dubai</x:v>
      </x:c>
      <x:c r="N768" s="6" t="str">
        <x:v>Unknown — export has no query/page pairing</x:v>
      </x:c>
      <x:c r="O768" s="6" t="str">
        <x:v>Retain primary intent and support variants</x:v>
      </x:c>
      <x:c r="P768" s="6" t="str">
        <x:v>Average position 33.69 makes ranking the main issue; avoid a CTR-only rewrite.</x:v>
      </x:c>
      <x:c r="Q768" s="6" t="str">
        <x:v>All vehicles</x:v>
      </x:c>
      <x:c r="R768" s="6" t="str">
        <x:v>exhaust-repair</x:v>
      </x:c>
      <x:c r="S768" s="6" t="str">
        <x:v>Dubai explicit</x:v>
      </x:c>
      <x:c r="T768" s="6" t="n">
        <x:v>3</x:v>
      </x:c>
      <x:c r="U768" s="6" t="str">
        <x:v>21–40</x:v>
      </x:c>
      <x:c r="V768" s="6" t="str">
        <x:v>Content, internal authority and owner alignment</x:v>
      </x:c>
      <x:c r="W768" s="6" t="str">
        <x:v>Relevant supporting</x:v>
      </x:c>
      <x:c r="X768" s="6" t="n">
        <x:v>764</x:v>
      </x:c>
      <x:c r="Y768" s="6" t="str">
        <x:v>Unconfirmed — joint query/page data required</x:v>
      </x:c>
    </x:row>
    <x:row r="769" ht="42" customHeight="1">
      <x:c r="A769" s="6" t="str">
        <x:v>mercedes services</x:v>
      </x:c>
      <x:c r="B769" s="14" t="n">
        <x:v>0</x:v>
      </x:c>
      <x:c r="C769" s="14" t="n">
        <x:v>16</x:v>
      </x:c>
      <x:c r="D769" s="15" t="n">
        <x:v>0</x:v>
      </x:c>
      <x:c r="E769" s="16" t="n">
        <x:v>34.44</x:v>
      </x:c>
      <x:c r="F769" s="6" t="str">
        <x:v>GROWTH</x:v>
      </x:c>
      <x:c r="G769" s="17" t="n">
        <x:f>'Scoring'!I769</x:f>
        <x:v>64.1</x:v>
      </x:c>
      <x:c r="H769" s="6" t="str">
        <x:v>SUPPORT</x:v>
      </x:c>
      <x:c r="I769" s="6" t="str">
        <x:v>mercedes-benz: Service and repair (English)</x:v>
      </x:c>
      <x:c r="J769" s="6" t="str">
        <x:v>Secondary</x:v>
      </x:c>
      <x:c r="K769" s="6" t="str">
        <x:v>Commercial service enquiry</x:v>
      </x:c>
      <x:c r="L769" s="6" t="str">
        <x:v>High</x:v>
      </x:c>
      <x:c r="M769" s="6" t="str">
        <x:v>https://digitecme.com/brands/mercedes-benz-service-dubai</x:v>
      </x:c>
      <x:c r="N769" s="6" t="str">
        <x:v>Unknown — export has no query/page pairing</x:v>
      </x:c>
      <x:c r="O769" s="6" t="str">
        <x:v>Retain primary intent and support variants</x:v>
      </x:c>
      <x:c r="P769" s="6" t="str">
        <x:v>Average position 34.44 makes ranking the main issue; avoid a CTR-only rewrite.</x:v>
      </x:c>
      <x:c r="Q769" s="6" t="str">
        <x:v>mercedes-benz</x:v>
      </x:c>
      <x:c r="R769" s="6" t="str">
        <x:v>service-repair</x:v>
      </x:c>
      <x:c r="S769" s="6" t="str">
        <x:v>Location unspecified</x:v>
      </x:c>
      <x:c r="T769" s="6" t="n">
        <x:v>5</x:v>
      </x:c>
      <x:c r="U769" s="6" t="str">
        <x:v>21–40</x:v>
      </x:c>
      <x:c r="V769" s="6" t="str">
        <x:v>Content, internal authority and owner alignment</x:v>
      </x:c>
      <x:c r="W769" s="6" t="str">
        <x:v>Relevant supporting</x:v>
      </x:c>
      <x:c r="X769" s="6" t="n">
        <x:v>765</x:v>
      </x:c>
      <x:c r="Y769" s="6" t="str">
        <x:v>Unconfirmed — joint query/page data required</x:v>
      </x:c>
    </x:row>
    <x:row r="770" ht="57" customHeight="1">
      <x:c r="A770" s="6" t="str">
        <x:v>lamborghini showroom dubai</x:v>
      </x:c>
      <x:c r="B770" s="14" t="n">
        <x:v>0</x:v>
      </x:c>
      <x:c r="C770" s="14" t="n">
        <x:v>16</x:v>
      </x:c>
      <x:c r="D770" s="15" t="n">
        <x:v>0</x:v>
      </x:c>
      <x:c r="E770" s="16" t="n">
        <x:v>34.69</x:v>
      </x:c>
      <x:c r="F770" s="6" t="str">
        <x:v>IGNORE</x:v>
      </x:c>
      <x:c r="G770" s="17" t="n">
        <x:f>'Scoring'!I770</x:f>
        <x:v>0</x:v>
      </x:c>
      <x:c r="H770" s="6" t="str">
        <x:v>IGNORE</x:v>
      </x:c>
      <x:c r="I770" s="6" t="str">
        <x:v>Excluded: Dealer or showroom</x:v>
      </x:c>
      <x:c r="J770" s="6" t="str">
        <x:v>Primary</x:v>
      </x:c>
      <x:c r="K770" s="6" t="str">
        <x:v>Other or mismatched intent</x:v>
      </x:c>
      <x:c r="L770" s="6" t="str">
        <x:v>None</x:v>
      </x:c>
      <x:c r="M770" s="6" t="str"/>
      <x:c r="N770" s="6" t="str">
        <x:v>Unknown — export has no query/page pairing</x:v>
      </x:c>
      <x:c r="O770" s="6" t="str">
        <x:v>Do not target</x:v>
      </x:c>
      <x:c r="P770" s="6" t="str">
        <x:v>Dealer, product, industrial, unrelated entity or non-service intent does not match the independent workshop offer. Average position 34.69 makes ranking the main issue; avoid a CTR-only rewrite.</x:v>
      </x:c>
      <x:c r="Q770" s="6" t="str">
        <x:v>lamborghini</x:v>
      </x:c>
      <x:c r="R770" s="6" t="str">
        <x:v>service-repair</x:v>
      </x:c>
      <x:c r="S770" s="6" t="str">
        <x:v>Dubai explicit</x:v>
      </x:c>
      <x:c r="T770" s="6" t="n">
        <x:v>0</x:v>
      </x:c>
      <x:c r="U770" s="6" t="str">
        <x:v>21–40</x:v>
      </x:c>
      <x:c r="V770" s="6" t="str">
        <x:v>Content, internal authority and owner alignment</x:v>
      </x:c>
      <x:c r="W770" s="6" t="str">
        <x:v>Irrelevant</x:v>
      </x:c>
      <x:c r="X770" s="6" t="n">
        <x:v>766</x:v>
      </x:c>
      <x:c r="Y770" s="6" t="str">
        <x:v>Unconfirmed — joint query/page data required</x:v>
      </x:c>
    </x:row>
    <x:row r="771" ht="42" customHeight="1">
      <x:c r="A771" s="6" t="str">
        <x:v>mazda service dubai</x:v>
      </x:c>
      <x:c r="B771" s="14" t="n">
        <x:v>0</x:v>
      </x:c>
      <x:c r="C771" s="14" t="n">
        <x:v>16</x:v>
      </x:c>
      <x:c r="D771" s="15" t="n">
        <x:v>0</x:v>
      </x:c>
      <x:c r="E771" s="16" t="n">
        <x:v>35.38</x:v>
      </x:c>
      <x:c r="F771" s="6" t="str">
        <x:v>GROWTH</x:v>
      </x:c>
      <x:c r="G771" s="17" t="n">
        <x:f>'Scoring'!I771</x:f>
        <x:v>61.1</x:v>
      </x:c>
      <x:c r="H771" s="6" t="str">
        <x:v>SUPPORT</x:v>
      </x:c>
      <x:c r="I771" s="6" t="str">
        <x:v>mazda: Service and repair (English)</x:v>
      </x:c>
      <x:c r="J771" s="6" t="str">
        <x:v>Secondary</x:v>
      </x:c>
      <x:c r="K771" s="6" t="str">
        <x:v>Commercial service enquiry</x:v>
      </x:c>
      <x:c r="L771" s="6" t="str">
        <x:v>High</x:v>
      </x:c>
      <x:c r="M771" s="6" t="str">
        <x:v>https://digitecme.com/brands/mazda-service-dubai</x:v>
      </x:c>
      <x:c r="N771" s="6" t="str">
        <x:v>Unknown — export has no query/page pairing</x:v>
      </x:c>
      <x:c r="O771" s="6" t="str">
        <x:v>Retain primary intent and support variants</x:v>
      </x:c>
      <x:c r="P771" s="6" t="str">
        <x:v>Average position 35.38 makes ranking the main issue; avoid a CTR-only rewrite.</x:v>
      </x:c>
      <x:c r="Q771" s="6" t="str">
        <x:v>mazda</x:v>
      </x:c>
      <x:c r="R771" s="6" t="str">
        <x:v>service-repair</x:v>
      </x:c>
      <x:c r="S771" s="6" t="str">
        <x:v>Dubai explicit</x:v>
      </x:c>
      <x:c r="T771" s="6" t="n">
        <x:v>3</x:v>
      </x:c>
      <x:c r="U771" s="6" t="str">
        <x:v>21–40</x:v>
      </x:c>
      <x:c r="V771" s="6" t="str">
        <x:v>Content, internal authority and owner alignment</x:v>
      </x:c>
      <x:c r="W771" s="6" t="str">
        <x:v>Relevant supporting</x:v>
      </x:c>
      <x:c r="X771" s="6" t="n">
        <x:v>767</x:v>
      </x:c>
      <x:c r="Y771" s="6" t="str">
        <x:v>Unconfirmed — joint query/page data required</x:v>
      </x:c>
    </x:row>
    <x:row r="772" ht="42" customHeight="1">
      <x:c r="A772" s="6" t="str">
        <x:v>jaguar repair in dubai</x:v>
      </x:c>
      <x:c r="B772" s="14" t="n">
        <x:v>0</x:v>
      </x:c>
      <x:c r="C772" s="14" t="n">
        <x:v>16</x:v>
      </x:c>
      <x:c r="D772" s="15" t="n">
        <x:v>0</x:v>
      </x:c>
      <x:c r="E772" s="16" t="n">
        <x:v>36.25</x:v>
      </x:c>
      <x:c r="F772" s="6" t="str">
        <x:v>GROWTH</x:v>
      </x:c>
      <x:c r="G772" s="17" t="n">
        <x:f>'Scoring'!I772</x:f>
        <x:v>61.1</x:v>
      </x:c>
      <x:c r="H772" s="6" t="str">
        <x:v>SUPPORT</x:v>
      </x:c>
      <x:c r="I772" s="6" t="str">
        <x:v>jaguar: Service and repair</x:v>
      </x:c>
      <x:c r="J772" s="6" t="str">
        <x:v>Secondary</x:v>
      </x:c>
      <x:c r="K772" s="6" t="str">
        <x:v>Commercial service enquiry</x:v>
      </x:c>
      <x:c r="L772" s="6" t="str">
        <x:v>High</x:v>
      </x:c>
      <x:c r="M772" s="6" t="str">
        <x:v>https://digitecme.com/brands/jaguar-service-dubai</x:v>
      </x:c>
      <x:c r="N772" s="6" t="str">
        <x:v>Unknown — export has no query/page pairing</x:v>
      </x:c>
      <x:c r="O772" s="6" t="str">
        <x:v>Retain primary intent and support variants</x:v>
      </x:c>
      <x:c r="P772" s="6" t="str">
        <x:v>Average position 36.25 makes ranking the main issue; avoid a CTR-only rewrite.</x:v>
      </x:c>
      <x:c r="Q772" s="6" t="str">
        <x:v>jaguar</x:v>
      </x:c>
      <x:c r="R772" s="6" t="str">
        <x:v>service-repair</x:v>
      </x:c>
      <x:c r="S772" s="6" t="str">
        <x:v>Dubai explicit</x:v>
      </x:c>
      <x:c r="T772" s="6" t="n">
        <x:v>3</x:v>
      </x:c>
      <x:c r="U772" s="6" t="str">
        <x:v>21–40</x:v>
      </x:c>
      <x:c r="V772" s="6" t="str">
        <x:v>Content, internal authority and owner alignment</x:v>
      </x:c>
      <x:c r="W772" s="6" t="str">
        <x:v>Relevant supporting</x:v>
      </x:c>
      <x:c r="X772" s="6" t="n">
        <x:v>768</x:v>
      </x:c>
      <x:c r="Y772" s="6" t="str">
        <x:v>Unconfirmed — joint query/page data required</x:v>
      </x:c>
    </x:row>
    <x:row r="773" ht="42" customHeight="1">
      <x:c r="A773" s="6" t="str">
        <x:v>performance garage dubai</x:v>
      </x:c>
      <x:c r="B773" s="14" t="n">
        <x:v>0</x:v>
      </x:c>
      <x:c r="C773" s="14" t="n">
        <x:v>16</x:v>
      </x:c>
      <x:c r="D773" s="15" t="n">
        <x:v>0</x:v>
      </x:c>
      <x:c r="E773" s="16" t="n">
        <x:v>36.5</x:v>
      </x:c>
      <x:c r="F773" s="6" t="str">
        <x:v>GROWTH</x:v>
      </x:c>
      <x:c r="G773" s="17" t="n">
        <x:f>'Scoring'!I773</x:f>
        <x:v>69.1</x:v>
      </x:c>
      <x:c r="H773" s="6" t="str">
        <x:v>SUPPORT</x:v>
      </x:c>
      <x:c r="I773" s="6" t="str">
        <x:v>All vehicles: Performance tuning</x:v>
      </x:c>
      <x:c r="J773" s="6" t="str">
        <x:v>Secondary</x:v>
      </x:c>
      <x:c r="K773" s="6" t="str">
        <x:v>Commercial service enquiry</x:v>
      </x:c>
      <x:c r="L773" s="6" t="str">
        <x:v>High</x:v>
      </x:c>
      <x:c r="M773" s="6" t="str">
        <x:v>https://digitecme.com/tuning</x:v>
      </x:c>
      <x:c r="N773" s="6" t="str">
        <x:v>Unknown — export has no query/page pairing</x:v>
      </x:c>
      <x:c r="O773" s="6" t="str">
        <x:v>Retain primary intent and support variants</x:v>
      </x:c>
      <x:c r="P773" s="6" t="str">
        <x:v>Use the existing tuning page; model scope and any GAD relationship require verified facts. Average position 36.50 makes ranking the main issue; avoid a CTR-only rewrite.</x:v>
      </x:c>
      <x:c r="Q773" s="6" t="str">
        <x:v>All vehicles</x:v>
      </x:c>
      <x:c r="R773" s="6" t="str">
        <x:v>tuning</x:v>
      </x:c>
      <x:c r="S773" s="6" t="str">
        <x:v>Dubai explicit</x:v>
      </x:c>
      <x:c r="T773" s="6" t="n">
        <x:v>5</x:v>
      </x:c>
      <x:c r="U773" s="6" t="str">
        <x:v>21–40</x:v>
      </x:c>
      <x:c r="V773" s="6" t="str">
        <x:v>Content, internal authority and owner alignment</x:v>
      </x:c>
      <x:c r="W773" s="6" t="str">
        <x:v>Relevant supporting</x:v>
      </x:c>
      <x:c r="X773" s="6" t="n">
        <x:v>769</x:v>
      </x:c>
      <x:c r="Y773" s="6" t="str">
        <x:v>Unconfirmed — joint query/page data required</x:v>
      </x:c>
    </x:row>
    <x:row r="774" ht="42" customHeight="1">
      <x:c r="A774" s="6" t="str">
        <x:v>تصليح جيب في الامارات</x:v>
      </x:c>
      <x:c r="B774" s="14" t="n">
        <x:v>0</x:v>
      </x:c>
      <x:c r="C774" s="14" t="n">
        <x:v>16</x:v>
      </x:c>
      <x:c r="D774" s="15" t="n">
        <x:v>0</x:v>
      </x:c>
      <x:c r="E774" s="16" t="n">
        <x:v>37.5</x:v>
      </x:c>
      <x:c r="F774" s="6" t="str">
        <x:v>GROWTH</x:v>
      </x:c>
      <x:c r="G774" s="17" t="n">
        <x:f>'Scoring'!I774</x:f>
        <x:v>56.1</x:v>
      </x:c>
      <x:c r="H774" s="6" t="str">
        <x:v>PRIORITIZE</x:v>
      </x:c>
      <x:c r="I774" s="6" t="str">
        <x:v>jeep: Service and repair (Arabic)</x:v>
      </x:c>
      <x:c r="J774" s="6" t="str">
        <x:v>Primary</x:v>
      </x:c>
      <x:c r="K774" s="6" t="str">
        <x:v>Commercial service enquiry</x:v>
      </x:c>
      <x:c r="L774" s="6" t="str">
        <x:v>High</x:v>
      </x:c>
      <x:c r="M774" s="6" t="str">
        <x:v>https://digitecme.com/ar/brands/jeep-service-dubai</x:v>
      </x:c>
      <x:c r="N774" s="6" t="str">
        <x:v>Unknown — export has no query/page pairing</x:v>
      </x:c>
      <x:c r="O774" s="6" t="str">
        <x:v>Strengthen this primary intent owner</x:v>
      </x:c>
      <x:c r="P774" s="6" t="str">
        <x:v>Use the existing Arabic counterpart and verify its translation quality. Average position 37.50 makes ranking the main issue; avoid a CTR-only rewrite.</x:v>
      </x:c>
      <x:c r="Q774" s="6" t="str">
        <x:v>jeep</x:v>
      </x:c>
      <x:c r="R774" s="6" t="str">
        <x:v>service-repair</x:v>
      </x:c>
      <x:c r="S774" s="6" t="str">
        <x:v>Location unspecified</x:v>
      </x:c>
      <x:c r="T774" s="6" t="n">
        <x:v>3</x:v>
      </x:c>
      <x:c r="U774" s="6" t="str">
        <x:v>21–40</x:v>
      </x:c>
      <x:c r="V774" s="6" t="str">
        <x:v>Content, internal authority and owner alignment</x:v>
      </x:c>
      <x:c r="W774" s="6" t="str">
        <x:v>High-value commercial</x:v>
      </x:c>
      <x:c r="X774" s="6" t="n">
        <x:v>770</x:v>
      </x:c>
      <x:c r="Y774" s="6" t="str">
        <x:v>Unconfirmed — joint query/page data required</x:v>
      </x:c>
    </x:row>
    <x:row r="775" ht="42" customHeight="1">
      <x:c r="A775" s="6" t="str">
        <x:v>volvo garage dubai</x:v>
      </x:c>
      <x:c r="B775" s="14" t="n">
        <x:v>0</x:v>
      </x:c>
      <x:c r="C775" s="14" t="n">
        <x:v>16</x:v>
      </x:c>
      <x:c r="D775" s="15" t="n">
        <x:v>0</x:v>
      </x:c>
      <x:c r="E775" s="16" t="n">
        <x:v>40.69</x:v>
      </x:c>
      <x:c r="F775" s="6" t="str">
        <x:v>GROWTH</x:v>
      </x:c>
      <x:c r="G775" s="17" t="n">
        <x:f>'Scoring'!I775</x:f>
        <x:v>54.9</x:v>
      </x:c>
      <x:c r="H775" s="6" t="str">
        <x:v>SUPPORT</x:v>
      </x:c>
      <x:c r="I775" s="6" t="str">
        <x:v>volvo: Service and repair</x:v>
      </x:c>
      <x:c r="J775" s="6" t="str">
        <x:v>Secondary</x:v>
      </x:c>
      <x:c r="K775" s="6" t="str">
        <x:v>Commercial service enquiry</x:v>
      </x:c>
      <x:c r="L775" s="6" t="str">
        <x:v>High</x:v>
      </x:c>
      <x:c r="M775" s="6" t="str">
        <x:v>https://digitecme.com/brands/volvo-service-dubai</x:v>
      </x:c>
      <x:c r="N775" s="6" t="str">
        <x:v>Unknown — export has no query/page pairing</x:v>
      </x:c>
      <x:c r="O775" s="6" t="str">
        <x:v>Retain primary intent and support variants</x:v>
      </x:c>
      <x:c r="P775" s="6" t="str">
        <x:v>Average position 40.69 makes ranking the main issue; avoid a CTR-only rewrite.</x:v>
      </x:c>
      <x:c r="Q775" s="6" t="str">
        <x:v>volvo</x:v>
      </x:c>
      <x:c r="R775" s="6" t="str">
        <x:v>service-repair</x:v>
      </x:c>
      <x:c r="S775" s="6" t="str">
        <x:v>Dubai explicit</x:v>
      </x:c>
      <x:c r="T775" s="6" t="n">
        <x:v>3</x:v>
      </x:c>
      <x:c r="U775" s="6" t="str">
        <x:v>40+</x:v>
      </x:c>
      <x:c r="V775" s="6" t="str">
        <x:v>Relevance, capability, indexing and authority review</x:v>
      </x:c>
      <x:c r="W775" s="6" t="str">
        <x:v>Relevant supporting</x:v>
      </x:c>
      <x:c r="X775" s="6" t="n">
        <x:v>771</x:v>
      </x:c>
      <x:c r="Y775" s="6" t="str">
        <x:v>Unconfirmed — joint query/page data required</x:v>
      </x:c>
    </x:row>
    <x:row r="776" ht="42" customHeight="1">
      <x:c r="A776" s="6" t="str">
        <x:v>exhaust shop</x:v>
      </x:c>
      <x:c r="B776" s="14" t="n">
        <x:v>0</x:v>
      </x:c>
      <x:c r="C776" s="14" t="n">
        <x:v>16</x:v>
      </x:c>
      <x:c r="D776" s="15" t="n">
        <x:v>0</x:v>
      </x:c>
      <x:c r="E776" s="16" t="n">
        <x:v>41.75</x:v>
      </x:c>
      <x:c r="F776" s="6" t="str">
        <x:v>GROWTH</x:v>
      </x:c>
      <x:c r="G776" s="17" t="n">
        <x:f>'Scoring'!I776</x:f>
        <x:v>49.9</x:v>
      </x:c>
      <x:c r="H776" s="6" t="str">
        <x:v>SUPPORT</x:v>
      </x:c>
      <x:c r="I776" s="6" t="str">
        <x:v>All vehicles: Exhaust repair</x:v>
      </x:c>
      <x:c r="J776" s="6" t="str">
        <x:v>Secondary</x:v>
      </x:c>
      <x:c r="K776" s="6" t="str">
        <x:v>Commercial service enquiry</x:v>
      </x:c>
      <x:c r="L776" s="6" t="str">
        <x:v>High</x:v>
      </x:c>
      <x:c r="M776" s="6" t="str">
        <x:v>https://digitecme.com/services/exhaust-repair-dubai</x:v>
      </x:c>
      <x:c r="N776" s="6" t="str">
        <x:v>Unknown — export has no query/page pairing</x:v>
      </x:c>
      <x:c r="O776" s="6" t="str">
        <x:v>Retain primary intent and support variants</x:v>
      </x:c>
      <x:c r="P776" s="6" t="str">
        <x:v>Average position 41.75 makes ranking the main issue; avoid a CTR-only rewrite.</x:v>
      </x:c>
      <x:c r="Q776" s="6" t="str">
        <x:v>All vehicles</x:v>
      </x:c>
      <x:c r="R776" s="6" t="str">
        <x:v>exhaust-repair</x:v>
      </x:c>
      <x:c r="S776" s="6" t="str">
        <x:v>Location unspecified</x:v>
      </x:c>
      <x:c r="T776" s="6" t="n">
        <x:v>3</x:v>
      </x:c>
      <x:c r="U776" s="6" t="str">
        <x:v>40+</x:v>
      </x:c>
      <x:c r="V776" s="6" t="str">
        <x:v>Relevance, capability, indexing and authority review</x:v>
      </x:c>
      <x:c r="W776" s="6" t="str">
        <x:v>Relevant supporting</x:v>
      </x:c>
      <x:c r="X776" s="6" t="n">
        <x:v>772</x:v>
      </x:c>
      <x:c r="Y776" s="6" t="str">
        <x:v>Unconfirmed — joint query/page data required</x:v>
      </x:c>
    </x:row>
    <x:row r="777" ht="42" customHeight="1">
      <x:c r="A777" s="6" t="str">
        <x:v>volvo car repair in dubai</x:v>
      </x:c>
      <x:c r="B777" s="14" t="n">
        <x:v>0</x:v>
      </x:c>
      <x:c r="C777" s="14" t="n">
        <x:v>16</x:v>
      </x:c>
      <x:c r="D777" s="15" t="n">
        <x:v>0</x:v>
      </x:c>
      <x:c r="E777" s="16" t="n">
        <x:v>44.31</x:v>
      </x:c>
      <x:c r="F777" s="6" t="str">
        <x:v>GROWTH</x:v>
      </x:c>
      <x:c r="G777" s="17" t="n">
        <x:f>'Scoring'!I777</x:f>
        <x:v>54.9</x:v>
      </x:c>
      <x:c r="H777" s="6" t="str">
        <x:v>SUPPORT</x:v>
      </x:c>
      <x:c r="I777" s="6" t="str">
        <x:v>volvo: Service and repair</x:v>
      </x:c>
      <x:c r="J777" s="6" t="str">
        <x:v>Secondary</x:v>
      </x:c>
      <x:c r="K777" s="6" t="str">
        <x:v>Commercial service enquiry</x:v>
      </x:c>
      <x:c r="L777" s="6" t="str">
        <x:v>High</x:v>
      </x:c>
      <x:c r="M777" s="6" t="str">
        <x:v>https://digitecme.com/brands/volvo-service-dubai</x:v>
      </x:c>
      <x:c r="N777" s="6" t="str">
        <x:v>Unknown — export has no query/page pairing</x:v>
      </x:c>
      <x:c r="O777" s="6" t="str">
        <x:v>Retain primary intent and support variants</x:v>
      </x:c>
      <x:c r="P777" s="6" t="str">
        <x:v>Average position 44.31 makes ranking the main issue; avoid a CTR-only rewrite.</x:v>
      </x:c>
      <x:c r="Q777" s="6" t="str">
        <x:v>volvo</x:v>
      </x:c>
      <x:c r="R777" s="6" t="str">
        <x:v>service-repair</x:v>
      </x:c>
      <x:c r="S777" s="6" t="str">
        <x:v>Dubai explicit</x:v>
      </x:c>
      <x:c r="T777" s="6" t="n">
        <x:v>3</x:v>
      </x:c>
      <x:c r="U777" s="6" t="str">
        <x:v>40+</x:v>
      </x:c>
      <x:c r="V777" s="6" t="str">
        <x:v>Relevance, capability, indexing and authority review</x:v>
      </x:c>
      <x:c r="W777" s="6" t="str">
        <x:v>Relevant supporting</x:v>
      </x:c>
      <x:c r="X777" s="6" t="n">
        <x:v>773</x:v>
      </x:c>
      <x:c r="Y777" s="6" t="str">
        <x:v>Unconfirmed — joint query/page data required</x:v>
      </x:c>
    </x:row>
    <x:row r="778" ht="42" customHeight="1">
      <x:c r="A778" s="6" t="str">
        <x:v>chrysler garage near me</x:v>
      </x:c>
      <x:c r="B778" s="14" t="n">
        <x:v>0</x:v>
      </x:c>
      <x:c r="C778" s="14" t="n">
        <x:v>16</x:v>
      </x:c>
      <x:c r="D778" s="15" t="n">
        <x:v>0</x:v>
      </x:c>
      <x:c r="E778" s="16" t="n">
        <x:v>46.88</x:v>
      </x:c>
      <x:c r="F778" s="6" t="str">
        <x:v>GROWTH</x:v>
      </x:c>
      <x:c r="G778" s="17" t="n">
        <x:f>'Scoring'!I778</x:f>
        <x:v>54.9</x:v>
      </x:c>
      <x:c r="H778" s="6" t="str">
        <x:v>SUPPORT</x:v>
      </x:c>
      <x:c r="I778" s="6" t="str">
        <x:v>chrysler: Service and repair</x:v>
      </x:c>
      <x:c r="J778" s="6" t="str">
        <x:v>Secondary</x:v>
      </x:c>
      <x:c r="K778" s="6" t="str">
        <x:v>Commercial service enquiry</x:v>
      </x:c>
      <x:c r="L778" s="6" t="str">
        <x:v>High</x:v>
      </x:c>
      <x:c r="M778" s="6" t="str">
        <x:v>https://digitecme.com/brands/chrysler-service-dubai</x:v>
      </x:c>
      <x:c r="N778" s="6" t="str">
        <x:v>Unknown — export has no query/page pairing</x:v>
      </x:c>
      <x:c r="O778" s="6" t="str">
        <x:v>Retain primary intent and support variants</x:v>
      </x:c>
      <x:c r="P778" s="6" t="str">
        <x:v>Average position 46.88 makes ranking the main issue; avoid a CTR-only rewrite.</x:v>
      </x:c>
      <x:c r="Q778" s="6" t="str">
        <x:v>chrysler</x:v>
      </x:c>
      <x:c r="R778" s="6" t="str">
        <x:v>service-repair</x:v>
      </x:c>
      <x:c r="S778" s="6" t="str">
        <x:v>Near me; location unknown</x:v>
      </x:c>
      <x:c r="T778" s="6" t="n">
        <x:v>3</x:v>
      </x:c>
      <x:c r="U778" s="6" t="str">
        <x:v>40+</x:v>
      </x:c>
      <x:c r="V778" s="6" t="str">
        <x:v>Relevance, capability, indexing and authority review</x:v>
      </x:c>
      <x:c r="W778" s="6" t="str">
        <x:v>Relevant supporting</x:v>
      </x:c>
      <x:c r="X778" s="6" t="n">
        <x:v>774</x:v>
      </x:c>
      <x:c r="Y778" s="6" t="str">
        <x:v>Unconfirmed — joint query/page data required</x:v>
      </x:c>
    </x:row>
    <x:row r="779" ht="42" customHeight="1">
      <x:c r="A779" s="6" t="str">
        <x:v>porsche gearbox repair</x:v>
      </x:c>
      <x:c r="B779" s="14" t="n">
        <x:v>0</x:v>
      </x:c>
      <x:c r="C779" s="14" t="n">
        <x:v>16</x:v>
      </x:c>
      <x:c r="D779" s="15" t="n">
        <x:v>0</x:v>
      </x:c>
      <x:c r="E779" s="16" t="n">
        <x:v>47.12</x:v>
      </x:c>
      <x:c r="F779" s="6" t="str">
        <x:v>GROWTH</x:v>
      </x:c>
      <x:c r="G779" s="17" t="n">
        <x:f>'Scoring'!I779</x:f>
        <x:v>57.9</x:v>
      </x:c>
      <x:c r="H779" s="6" t="str">
        <x:v>SPLIT</x:v>
      </x:c>
      <x:c r="I779" s="6" t="str">
        <x:v>porsche: Transmission and gearbox repair</x:v>
      </x:c>
      <x:c r="J779" s="6" t="str">
        <x:v>Secondary</x:v>
      </x:c>
      <x:c r="K779" s="6" t="str">
        <x:v>Commercial service enquiry</x:v>
      </x:c>
      <x:c r="L779" s="6" t="str">
        <x:v>High</x:v>
      </x:c>
      <x:c r="M779" s="6" t="str">
        <x:v>https://digitecme.com/brands/porsche-service-dubai/transmission-repair</x:v>
      </x:c>
      <x:c r="N779" s="6" t="str">
        <x:v>Unknown — export has no query/page pairing</x:v>
      </x:c>
      <x:c r="O779" s="6" t="str">
        <x:v>Use dedicated service owner</x:v>
      </x:c>
      <x:c r="P779" s="6" t="str">
        <x:v>Average position 47.12 makes ranking the main issue; avoid a CTR-only rewrite.</x:v>
      </x:c>
      <x:c r="Q779" s="6" t="str">
        <x:v>porsche</x:v>
      </x:c>
      <x:c r="R779" s="6" t="str">
        <x:v>transmission-repair</x:v>
      </x:c>
      <x:c r="S779" s="6" t="str">
        <x:v>Location unspecified</x:v>
      </x:c>
      <x:c r="T779" s="6" t="n">
        <x:v>5</x:v>
      </x:c>
      <x:c r="U779" s="6" t="str">
        <x:v>40+</x:v>
      </x:c>
      <x:c r="V779" s="6" t="str">
        <x:v>Relevance, capability, indexing and authority review</x:v>
      </x:c>
      <x:c r="W779" s="6" t="str">
        <x:v>High-value commercial</x:v>
      </x:c>
      <x:c r="X779" s="6" t="n">
        <x:v>775</x:v>
      </x:c>
      <x:c r="Y779" s="6" t="str">
        <x:v>Unconfirmed — joint query/page data required</x:v>
      </x:c>
    </x:row>
    <x:row r="780" ht="42" customHeight="1">
      <x:c r="A780" s="6" t="str">
        <x:v>mazda car service</x:v>
      </x:c>
      <x:c r="B780" s="14" t="n">
        <x:v>0</x:v>
      </x:c>
      <x:c r="C780" s="14" t="n">
        <x:v>16</x:v>
      </x:c>
      <x:c r="D780" s="15" t="n">
        <x:v>0</x:v>
      </x:c>
      <x:c r="E780" s="16" t="n">
        <x:v>49.12</x:v>
      </x:c>
      <x:c r="F780" s="6" t="str">
        <x:v>GROWTH</x:v>
      </x:c>
      <x:c r="G780" s="17" t="n">
        <x:f>'Scoring'!I780</x:f>
        <x:v>49.9</x:v>
      </x:c>
      <x:c r="H780" s="6" t="str">
        <x:v>SUPPORT</x:v>
      </x:c>
      <x:c r="I780" s="6" t="str">
        <x:v>mazda: Service and repair (English)</x:v>
      </x:c>
      <x:c r="J780" s="6" t="str">
        <x:v>Secondary</x:v>
      </x:c>
      <x:c r="K780" s="6" t="str">
        <x:v>Commercial service enquiry</x:v>
      </x:c>
      <x:c r="L780" s="6" t="str">
        <x:v>High</x:v>
      </x:c>
      <x:c r="M780" s="6" t="str">
        <x:v>https://digitecme.com/brands/mazda-service-dubai</x:v>
      </x:c>
      <x:c r="N780" s="6" t="str">
        <x:v>Unknown — export has no query/page pairing</x:v>
      </x:c>
      <x:c r="O780" s="6" t="str">
        <x:v>Retain primary intent and support variants</x:v>
      </x:c>
      <x:c r="P780" s="6" t="str">
        <x:v>Average position 49.12 makes ranking the main issue; avoid a CTR-only rewrite.</x:v>
      </x:c>
      <x:c r="Q780" s="6" t="str">
        <x:v>mazda</x:v>
      </x:c>
      <x:c r="R780" s="6" t="str">
        <x:v>service-repair</x:v>
      </x:c>
      <x:c r="S780" s="6" t="str">
        <x:v>Location unspecified</x:v>
      </x:c>
      <x:c r="T780" s="6" t="n">
        <x:v>3</x:v>
      </x:c>
      <x:c r="U780" s="6" t="str">
        <x:v>40+</x:v>
      </x:c>
      <x:c r="V780" s="6" t="str">
        <x:v>Relevance, capability, indexing and authority review</x:v>
      </x:c>
      <x:c r="W780" s="6" t="str">
        <x:v>Relevant supporting</x:v>
      </x:c>
      <x:c r="X780" s="6" t="n">
        <x:v>776</x:v>
      </x:c>
      <x:c r="Y780" s="6" t="str">
        <x:v>Unconfirmed — joint query/page data required</x:v>
      </x:c>
    </x:row>
    <x:row r="781" ht="42" customHeight="1">
      <x:c r="A781" s="6" t="str">
        <x:v>cadillac garage dubai</x:v>
      </x:c>
      <x:c r="B781" s="14" t="n">
        <x:v>0</x:v>
      </x:c>
      <x:c r="C781" s="14" t="n">
        <x:v>16</x:v>
      </x:c>
      <x:c r="D781" s="15" t="n">
        <x:v>0</x:v>
      </x:c>
      <x:c r="E781" s="16" t="n">
        <x:v>52.31</x:v>
      </x:c>
      <x:c r="F781" s="6" t="str">
        <x:v>GROWTH</x:v>
      </x:c>
      <x:c r="G781" s="17" t="n">
        <x:f>'Scoring'!I781</x:f>
        <x:v>54.9</x:v>
      </x:c>
      <x:c r="H781" s="6" t="str">
        <x:v>SUPPORT</x:v>
      </x:c>
      <x:c r="I781" s="6" t="str">
        <x:v>cadillac: Service and repair</x:v>
      </x:c>
      <x:c r="J781" s="6" t="str">
        <x:v>Secondary</x:v>
      </x:c>
      <x:c r="K781" s="6" t="str">
        <x:v>Commercial service enquiry</x:v>
      </x:c>
      <x:c r="L781" s="6" t="str">
        <x:v>High</x:v>
      </x:c>
      <x:c r="M781" s="6" t="str">
        <x:v>https://digitecme.com/brands/cadillac-service-dubai</x:v>
      </x:c>
      <x:c r="N781" s="6" t="str">
        <x:v>Unknown — export has no query/page pairing</x:v>
      </x:c>
      <x:c r="O781" s="6" t="str">
        <x:v>Retain primary intent and support variants</x:v>
      </x:c>
      <x:c r="P781" s="6" t="str">
        <x:v>Average position 52.31 makes ranking the main issue; avoid a CTR-only rewrite.</x:v>
      </x:c>
      <x:c r="Q781" s="6" t="str">
        <x:v>cadillac</x:v>
      </x:c>
      <x:c r="R781" s="6" t="str">
        <x:v>service-repair</x:v>
      </x:c>
      <x:c r="S781" s="6" t="str">
        <x:v>Dubai explicit</x:v>
      </x:c>
      <x:c r="T781" s="6" t="n">
        <x:v>3</x:v>
      </x:c>
      <x:c r="U781" s="6" t="str">
        <x:v>40+</x:v>
      </x:c>
      <x:c r="V781" s="6" t="str">
        <x:v>Relevance, capability, indexing and authority review</x:v>
      </x:c>
      <x:c r="W781" s="6" t="str">
        <x:v>Relevant supporting</x:v>
      </x:c>
      <x:c r="X781" s="6" t="n">
        <x:v>777</x:v>
      </x:c>
      <x:c r="Y781" s="6" t="str">
        <x:v>Unconfirmed — joint query/page data required</x:v>
      </x:c>
    </x:row>
    <x:row r="782" ht="42" customHeight="1">
      <x:c r="A782" s="6" t="str">
        <x:v>cheap car lubrication and oil change services uae</x:v>
      </x:c>
      <x:c r="B782" s="14" t="n">
        <x:v>0</x:v>
      </x:c>
      <x:c r="C782" s="14" t="n">
        <x:v>16</x:v>
      </x:c>
      <x:c r="D782" s="15" t="n">
        <x:v>0</x:v>
      </x:c>
      <x:c r="E782" s="16" t="n">
        <x:v>52.38</x:v>
      </x:c>
      <x:c r="F782" s="6" t="str">
        <x:v>DEPRIORITIZE</x:v>
      </x:c>
      <x:c r="G782" s="17" t="n">
        <x:f>'Scoring'!I782</x:f>
        <x:v>29.8</x:v>
      </x:c>
      <x:c r="H782" s="6" t="str">
        <x:v>DEPRIORITIZE</x:v>
      </x:c>
      <x:c r="I782" s="6" t="str">
        <x:v>All vehicles: Oil change (English)</x:v>
      </x:c>
      <x:c r="J782" s="6" t="str">
        <x:v>Secondary</x:v>
      </x:c>
      <x:c r="K782" s="6" t="str">
        <x:v>Commercial service enquiry</x:v>
      </x:c>
      <x:c r="L782" s="6" t="str">
        <x:v>Medium</x:v>
      </x:c>
      <x:c r="M782" s="6" t="str">
        <x:v>https://digitecme.com/services/oil-change-dubai</x:v>
      </x:c>
      <x:c r="N782" s="6" t="str">
        <x:v>Unknown — export has no query/page pairing</x:v>
      </x:c>
      <x:c r="O782" s="6" t="str">
        <x:v>Confirm scope or deprioritize</x:v>
      </x:c>
      <x:c r="P782" s="6" t="str">
        <x:v>Price-led demand does not justify invented discounts or a low-price positioning. Average position 52.38 makes ranking the main issue; avoid a CTR-only rewrite.</x:v>
      </x:c>
      <x:c r="Q782" s="6" t="str">
        <x:v>All vehicles</x:v>
      </x:c>
      <x:c r="R782" s="6" t="str">
        <x:v>oil-change</x:v>
      </x:c>
      <x:c r="S782" s="6" t="str">
        <x:v>Location unspecified</x:v>
      </x:c>
      <x:c r="T782" s="6" t="n">
        <x:v>2</x:v>
      </x:c>
      <x:c r="U782" s="6" t="str">
        <x:v>40+</x:v>
      </x:c>
      <x:c r="V782" s="6" t="str">
        <x:v>Relevance, capability, indexing and authority review</x:v>
      </x:c>
      <x:c r="W782" s="6" t="str">
        <x:v>Low-value</x:v>
      </x:c>
      <x:c r="X782" s="6" t="n">
        <x:v>778</x:v>
      </x:c>
      <x:c r="Y782" s="6" t="str">
        <x:v>Unconfirmed — joint query/page data required</x:v>
      </x:c>
    </x:row>
    <x:row r="783" ht="42" customHeight="1">
      <x:c r="A783" s="6" t="str">
        <x:v>battery replace uae</x:v>
      </x:c>
      <x:c r="B783" s="14" t="n">
        <x:v>0</x:v>
      </x:c>
      <x:c r="C783" s="14" t="n">
        <x:v>16</x:v>
      </x:c>
      <x:c r="D783" s="15" t="n">
        <x:v>0</x:v>
      </x:c>
      <x:c r="E783" s="16" t="n">
        <x:v>52.81</x:v>
      </x:c>
      <x:c r="F783" s="6" t="str">
        <x:v>GROWTH</x:v>
      </x:c>
      <x:c r="G783" s="17" t="n">
        <x:f>'Scoring'!I783</x:f>
        <x:v>49.9</x:v>
      </x:c>
      <x:c r="H783" s="6" t="str">
        <x:v>SUPPORT</x:v>
      </x:c>
      <x:c r="I783" s="6" t="str">
        <x:v>All vehicles: Battery service (English)</x:v>
      </x:c>
      <x:c r="J783" s="6" t="str">
        <x:v>Secondary</x:v>
      </x:c>
      <x:c r="K783" s="6" t="str">
        <x:v>Commercial service enquiry</x:v>
      </x:c>
      <x:c r="L783" s="6" t="str">
        <x:v>High</x:v>
      </x:c>
      <x:c r="M783" s="6" t="str">
        <x:v>https://digitecme.com/services/battery-replacement-dubai</x:v>
      </x:c>
      <x:c r="N783" s="6" t="str">
        <x:v>Unknown — export has no query/page pairing</x:v>
      </x:c>
      <x:c r="O783" s="6" t="str">
        <x:v>Retain primary intent and support variants</x:v>
      </x:c>
      <x:c r="P783" s="6" t="str">
        <x:v>Average position 52.81 makes ranking the main issue; avoid a CTR-only rewrite.</x:v>
      </x:c>
      <x:c r="Q783" s="6" t="str">
        <x:v>All vehicles</x:v>
      </x:c>
      <x:c r="R783" s="6" t="str">
        <x:v>battery-replacement</x:v>
      </x:c>
      <x:c r="S783" s="6" t="str">
        <x:v>Location unspecified</x:v>
      </x:c>
      <x:c r="T783" s="6" t="n">
        <x:v>3</x:v>
      </x:c>
      <x:c r="U783" s="6" t="str">
        <x:v>40+</x:v>
      </x:c>
      <x:c r="V783" s="6" t="str">
        <x:v>Relevance, capability, indexing and authority review</x:v>
      </x:c>
      <x:c r="W783" s="6" t="str">
        <x:v>Relevant supporting</x:v>
      </x:c>
      <x:c r="X783" s="6" t="n">
        <x:v>779</x:v>
      </x:c>
      <x:c r="Y783" s="6" t="str">
        <x:v>Unconfirmed — joint query/page data required</x:v>
      </x:c>
    </x:row>
    <x:row r="784" ht="57" customHeight="1">
      <x:c r="A784" s="6" t="str">
        <x:v>car battery delivery</x:v>
      </x:c>
      <x:c r="B784" s="14" t="n">
        <x:v>0</x:v>
      </x:c>
      <x:c r="C784" s="14" t="n">
        <x:v>16</x:v>
      </x:c>
      <x:c r="D784" s="15" t="n">
        <x:v>0</x:v>
      </x:c>
      <x:c r="E784" s="16" t="n">
        <x:v>56.75</x:v>
      </x:c>
      <x:c r="F784" s="6" t="str">
        <x:v>DEPRIORITIZE</x:v>
      </x:c>
      <x:c r="G784" s="17" t="n">
        <x:f>'Scoring'!I784</x:f>
        <x:v>4.7</x:v>
      </x:c>
      <x:c r="H784" s="6" t="str">
        <x:v>DEPRIORITIZE</x:v>
      </x:c>
      <x:c r="I784" s="6" t="str">
        <x:v>All vehicles: Battery service (English)</x:v>
      </x:c>
      <x:c r="J784" s="6" t="str">
        <x:v>Secondary</x:v>
      </x:c>
      <x:c r="K784" s="6" t="str">
        <x:v>Commercial service enquiry</x:v>
      </x:c>
      <x:c r="L784" s="6" t="str">
        <x:v>Unverified</x:v>
      </x:c>
      <x:c r="M784" s="6" t="str">
        <x:v>https://digitecme.com/services/battery-replacement-dubai</x:v>
      </x:c>
      <x:c r="N784" s="6" t="str">
        <x:v>Unknown — export has no query/page pairing</x:v>
      </x:c>
      <x:c r="O784" s="6" t="str">
        <x:v>Confirm scope or deprioritize</x:v>
      </x:c>
      <x:c r="P784" s="6" t="str">
        <x:v>Product, high-voltage, delivery or specialist capability requires business confirmation; existing copy alone is not sufficient evidence. Average position 56.75 makes ranking the main issue; avoid a CTR-only rewrite.</x:v>
      </x:c>
      <x:c r="Q784" s="6" t="str">
        <x:v>All vehicles</x:v>
      </x:c>
      <x:c r="R784" s="6" t="str">
        <x:v>battery-replacement</x:v>
      </x:c>
      <x:c r="S784" s="6" t="str">
        <x:v>Location unspecified</x:v>
      </x:c>
      <x:c r="T784" s="6" t="n">
        <x:v>1</x:v>
      </x:c>
      <x:c r="U784" s="6" t="str">
        <x:v>40+</x:v>
      </x:c>
      <x:c r="V784" s="6" t="str">
        <x:v>Relevance, capability, indexing and authority review</x:v>
      </x:c>
      <x:c r="W784" s="6" t="str">
        <x:v>Low-value</x:v>
      </x:c>
      <x:c r="X784" s="6" t="n">
        <x:v>780</x:v>
      </x:c>
      <x:c r="Y784" s="6" t="str">
        <x:v>Unconfirmed — joint query/page data required</x:v>
      </x:c>
    </x:row>
    <x:row r="785" ht="42" customHeight="1">
      <x:c r="A785" s="6" t="str">
        <x:v>bentley repair in dubai</x:v>
      </x:c>
      <x:c r="B785" s="14" t="n">
        <x:v>0</x:v>
      </x:c>
      <x:c r="C785" s="14" t="n">
        <x:v>16</x:v>
      </x:c>
      <x:c r="D785" s="15" t="n">
        <x:v>0</x:v>
      </x:c>
      <x:c r="E785" s="16" t="n">
        <x:v>57.69</x:v>
      </x:c>
      <x:c r="F785" s="6" t="str">
        <x:v>GROWTH</x:v>
      </x:c>
      <x:c r="G785" s="17" t="n">
        <x:f>'Scoring'!I785</x:f>
        <x:v>62.9</x:v>
      </x:c>
      <x:c r="H785" s="6" t="str">
        <x:v>SUPPORT</x:v>
      </x:c>
      <x:c r="I785" s="6" t="str">
        <x:v>bentley: Service and repair (English)</x:v>
      </x:c>
      <x:c r="J785" s="6" t="str">
        <x:v>Secondary</x:v>
      </x:c>
      <x:c r="K785" s="6" t="str">
        <x:v>Commercial service enquiry</x:v>
      </x:c>
      <x:c r="L785" s="6" t="str">
        <x:v>High</x:v>
      </x:c>
      <x:c r="M785" s="6" t="str">
        <x:v>https://digitecme.com/brands/bentley-service-dubai</x:v>
      </x:c>
      <x:c r="N785" s="6" t="str">
        <x:v>Unknown — export has no query/page pairing</x:v>
      </x:c>
      <x:c r="O785" s="6" t="str">
        <x:v>Retain primary intent and support variants</x:v>
      </x:c>
      <x:c r="P785" s="6" t="str">
        <x:v>Average position 57.69 makes ranking the main issue; avoid a CTR-only rewrite.</x:v>
      </x:c>
      <x:c r="Q785" s="6" t="str">
        <x:v>bentley</x:v>
      </x:c>
      <x:c r="R785" s="6" t="str">
        <x:v>service-repair</x:v>
      </x:c>
      <x:c r="S785" s="6" t="str">
        <x:v>Dubai explicit</x:v>
      </x:c>
      <x:c r="T785" s="6" t="n">
        <x:v>5</x:v>
      </x:c>
      <x:c r="U785" s="6" t="str">
        <x:v>40+</x:v>
      </x:c>
      <x:c r="V785" s="6" t="str">
        <x:v>Relevance, capability, indexing and authority review</x:v>
      </x:c>
      <x:c r="W785" s="6" t="str">
        <x:v>Relevant supporting</x:v>
      </x:c>
      <x:c r="X785" s="6" t="n">
        <x:v>781</x:v>
      </x:c>
      <x:c r="Y785" s="6" t="str">
        <x:v>Unconfirmed — joint query/page data required</x:v>
      </x:c>
    </x:row>
    <x:row r="786" ht="42" customHeight="1">
      <x:c r="A786" s="6" t="str">
        <x:v>garage in dubai</x:v>
      </x:c>
      <x:c r="B786" s="14" t="n">
        <x:v>0</x:v>
      </x:c>
      <x:c r="C786" s="14" t="n">
        <x:v>16</x:v>
      </x:c>
      <x:c r="D786" s="15" t="n">
        <x:v>0</x:v>
      </x:c>
      <x:c r="E786" s="16" t="n">
        <x:v>71.44</x:v>
      </x:c>
      <x:c r="F786" s="6" t="str">
        <x:v>GROWTH</x:v>
      </x:c>
      <x:c r="G786" s="17" t="n">
        <x:f>'Scoring'!I786</x:f>
        <x:v>54.9</x:v>
      </x:c>
      <x:c r="H786" s="6" t="str">
        <x:v>SUPPORT</x:v>
      </x:c>
      <x:c r="I786" s="6" t="str">
        <x:v>All vehicles: General garage and repair (English)</x:v>
      </x:c>
      <x:c r="J786" s="6" t="str">
        <x:v>Secondary</x:v>
      </x:c>
      <x:c r="K786" s="6" t="str">
        <x:v>Commercial service enquiry</x:v>
      </x:c>
      <x:c r="L786" s="6" t="str">
        <x:v>High</x:v>
      </x:c>
      <x:c r="M786" s="6" t="str">
        <x:v>https://digitecme.com/services/car-garage-dubai</x:v>
      </x:c>
      <x:c r="N786" s="6" t="str">
        <x:v>Unknown — export has no query/page pairing</x:v>
      </x:c>
      <x:c r="O786" s="6" t="str">
        <x:v>Retain primary intent and support variants</x:v>
      </x:c>
      <x:c r="P786" s="6" t="str">
        <x:v>Average position 71.44 makes ranking the main issue; avoid a CTR-only rewrite.</x:v>
      </x:c>
      <x:c r="Q786" s="6" t="str">
        <x:v>All vehicles</x:v>
      </x:c>
      <x:c r="R786" s="6" t="str">
        <x:v>service-repair</x:v>
      </x:c>
      <x:c r="S786" s="6" t="str">
        <x:v>Dubai explicit</x:v>
      </x:c>
      <x:c r="T786" s="6" t="n">
        <x:v>3</x:v>
      </x:c>
      <x:c r="U786" s="6" t="str">
        <x:v>40+</x:v>
      </x:c>
      <x:c r="V786" s="6" t="str">
        <x:v>Relevance, capability, indexing and authority review</x:v>
      </x:c>
      <x:c r="W786" s="6" t="str">
        <x:v>Relevant supporting</x:v>
      </x:c>
      <x:c r="X786" s="6" t="n">
        <x:v>782</x:v>
      </x:c>
      <x:c r="Y786" s="6" t="str">
        <x:v>Unconfirmed — joint query/page data required</x:v>
      </x:c>
    </x:row>
    <x:row r="787" ht="42" customHeight="1">
      <x:c r="A787" s="6" t="str">
        <x:v>range rover repair in dubai</x:v>
      </x:c>
      <x:c r="B787" s="14" t="n">
        <x:v>0</x:v>
      </x:c>
      <x:c r="C787" s="14" t="n">
        <x:v>16</x:v>
      </x:c>
      <x:c r="D787" s="15" t="n">
        <x:v>0</x:v>
      </x:c>
      <x:c r="E787" s="16" t="n">
        <x:v>73.44</x:v>
      </x:c>
      <x:c r="F787" s="6" t="str">
        <x:v>GROWTH</x:v>
      </x:c>
      <x:c r="G787" s="17" t="n">
        <x:f>'Scoring'!I787</x:f>
        <x:v>62.9</x:v>
      </x:c>
      <x:c r="H787" s="6" t="str">
        <x:v>SUPPORT</x:v>
      </x:c>
      <x:c r="I787" s="6" t="str">
        <x:v>range-rover: Service and repair</x:v>
      </x:c>
      <x:c r="J787" s="6" t="str">
        <x:v>Secondary</x:v>
      </x:c>
      <x:c r="K787" s="6" t="str">
        <x:v>Commercial service enquiry</x:v>
      </x:c>
      <x:c r="L787" s="6" t="str">
        <x:v>High</x:v>
      </x:c>
      <x:c r="M787" s="6" t="str">
        <x:v>https://digitecme.com/brands/range-rover-service-dubai</x:v>
      </x:c>
      <x:c r="N787" s="6" t="str">
        <x:v>Unknown — export has no query/page pairing</x:v>
      </x:c>
      <x:c r="O787" s="6" t="str">
        <x:v>Retain primary intent and support variants</x:v>
      </x:c>
      <x:c r="P787" s="6" t="str">
        <x:v>Average position 73.44 makes ranking the main issue; avoid a CTR-only rewrite.</x:v>
      </x:c>
      <x:c r="Q787" s="6" t="str">
        <x:v>range-rover</x:v>
      </x:c>
      <x:c r="R787" s="6" t="str">
        <x:v>service-repair</x:v>
      </x:c>
      <x:c r="S787" s="6" t="str">
        <x:v>Dubai explicit</x:v>
      </x:c>
      <x:c r="T787" s="6" t="n">
        <x:v>5</x:v>
      </x:c>
      <x:c r="U787" s="6" t="str">
        <x:v>40+</x:v>
      </x:c>
      <x:c r="V787" s="6" t="str">
        <x:v>Relevance, capability, indexing and authority review</x:v>
      </x:c>
      <x:c r="W787" s="6" t="str">
        <x:v>Relevant supporting</x:v>
      </x:c>
      <x:c r="X787" s="6" t="n">
        <x:v>783</x:v>
      </x:c>
      <x:c r="Y787" s="6" t="str">
        <x:v>Unconfirmed — joint query/page data required</x:v>
      </x:c>
    </x:row>
    <x:row r="788" ht="57" customHeight="1">
      <x:c r="A788" s="6" t="str">
        <x:v>tyre replacement dubai</x:v>
      </x:c>
      <x:c r="B788" s="14" t="n">
        <x:v>0</x:v>
      </x:c>
      <x:c r="C788" s="14" t="n">
        <x:v>16</x:v>
      </x:c>
      <x:c r="D788" s="15" t="n">
        <x:v>0</x:v>
      </x:c>
      <x:c r="E788" s="16" t="n">
        <x:v>73.5</x:v>
      </x:c>
      <x:c r="F788" s="6" t="str">
        <x:v>GROWTH</x:v>
      </x:c>
      <x:c r="G788" s="17" t="n">
        <x:f>'Scoring'!I788</x:f>
        <x:v>50.9</x:v>
      </x:c>
      <x:c r="H788" s="6" t="str">
        <x:v>SUPPORT</x:v>
      </x:c>
      <x:c r="I788" s="6" t="str">
        <x:v>All vehicles: Tyre repair</x:v>
      </x:c>
      <x:c r="J788" s="6" t="str">
        <x:v>Secondary</x:v>
      </x:c>
      <x:c r="K788" s="6" t="str">
        <x:v>Commercial service enquiry</x:v>
      </x:c>
      <x:c r="L788" s="6" t="str">
        <x:v>High</x:v>
      </x:c>
      <x:c r="M788" s="6" t="str">
        <x:v>https://digitecme.com/services/tire-repair-dubai</x:v>
      </x:c>
      <x:c r="N788" s="6" t="str">
        <x:v>Unknown — export has no query/page pairing</x:v>
      </x:c>
      <x:c r="O788" s="6" t="str">
        <x:v>Retain primary intent and support variants</x:v>
      </x:c>
      <x:c r="P788" s="6" t="str">
        <x:v>Relevant workshop tyre enquiry with lower assumed value than specialist repair; no mobile or roadside claim. Average position 73.50 makes ranking the main issue; avoid a CTR-only rewrite.</x:v>
      </x:c>
      <x:c r="Q788" s="6" t="str">
        <x:v>All vehicles</x:v>
      </x:c>
      <x:c r="R788" s="6" t="str">
        <x:v>tire-repair</x:v>
      </x:c>
      <x:c r="S788" s="6" t="str">
        <x:v>Dubai explicit</x:v>
      </x:c>
      <x:c r="T788" s="6" t="n">
        <x:v>2</x:v>
      </x:c>
      <x:c r="U788" s="6" t="str">
        <x:v>40+</x:v>
      </x:c>
      <x:c r="V788" s="6" t="str">
        <x:v>Relevance, capability, indexing and authority review</x:v>
      </x:c>
      <x:c r="W788" s="6" t="str">
        <x:v>Relevant supporting</x:v>
      </x:c>
      <x:c r="X788" s="6" t="n">
        <x:v>784</x:v>
      </x:c>
      <x:c r="Y788" s="6" t="str">
        <x:v>Unconfirmed — joint query/page data required</x:v>
      </x:c>
    </x:row>
    <x:row r="789" ht="57" customHeight="1">
      <x:c r="A789" s="6" t="str">
        <x:v>digitec tuning</x:v>
      </x:c>
      <x:c r="B789" s="14" t="n">
        <x:v>0</x:v>
      </x:c>
      <x:c r="C789" s="14" t="n">
        <x:v>15</x:v>
      </x:c>
      <x:c r="D789" s="15" t="n">
        <x:v>0</x:v>
      </x:c>
      <x:c r="E789" s="16" t="n">
        <x:v>5.47</x:v>
      </x:c>
      <x:c r="F789" s="6" t="str">
        <x:v>HIGH</x:v>
      </x:c>
      <x:c r="G789" s="17" t="n">
        <x:f>'Scoring'!I789</x:f>
        <x:v>79</x:v>
      </x:c>
      <x:c r="H789" s="6" t="str">
        <x:v>SUPPORT</x:v>
      </x:c>
      <x:c r="I789" s="6" t="str">
        <x:v>All vehicles: Performance tuning</x:v>
      </x:c>
      <x:c r="J789" s="6" t="str">
        <x:v>Secondary</x:v>
      </x:c>
      <x:c r="K789" s="6" t="str">
        <x:v>Commercial service enquiry</x:v>
      </x:c>
      <x:c r="L789" s="6" t="str">
        <x:v>High</x:v>
      </x:c>
      <x:c r="M789" s="6" t="str">
        <x:v>https://digitecme.com/tuning</x:v>
      </x:c>
      <x:c r="N789" s="6" t="str">
        <x:v>Unknown — export has no query/page pairing</x:v>
      </x:c>
      <x:c r="O789" s="6" t="str">
        <x:v>Retain primary intent and support variants</x:v>
      </x:c>
      <x:c r="P789" s="6" t="str">
        <x:v>Use the existing tuning page; model scope and any GAD relationship require verified facts. Zero clicks from 15 impressions at average position 5.47; inspect query/page, country/device and SERP before attributing this to the snippet.</x:v>
      </x:c>
      <x:c r="Q789" s="6" t="str">
        <x:v>All vehicles</x:v>
      </x:c>
      <x:c r="R789" s="6" t="str">
        <x:v>tuning</x:v>
      </x:c>
      <x:c r="S789" s="6" t="str">
        <x:v>Location unspecified</x:v>
      </x:c>
      <x:c r="T789" s="6" t="n">
        <x:v>5</x:v>
      </x:c>
      <x:c r="U789" s="6" t="str">
        <x:v>4–10</x:v>
      </x:c>
      <x:c r="V789" s="6" t="str">
        <x:v>Page-one CTR review and top-three relevance</x:v>
      </x:c>
      <x:c r="W789" s="6" t="str">
        <x:v>Relevant supporting</x:v>
      </x:c>
      <x:c r="X789" s="6" t="n">
        <x:v>785</x:v>
      </x:c>
      <x:c r="Y789" s="6" t="str">
        <x:v>Unconfirmed — joint query/page data required</x:v>
      </x:c>
    </x:row>
    <x:row r="790" ht="57" customHeight="1">
      <x:c r="A790" s="6" t="str">
        <x:v>mercedes tuning near me</x:v>
      </x:c>
      <x:c r="B790" s="14" t="n">
        <x:v>0</x:v>
      </x:c>
      <x:c r="C790" s="14" t="n">
        <x:v>15</x:v>
      </x:c>
      <x:c r="D790" s="15" t="n">
        <x:v>0</x:v>
      </x:c>
      <x:c r="E790" s="16" t="n">
        <x:v>6.4</x:v>
      </x:c>
      <x:c r="F790" s="6" t="str">
        <x:v>HIGH</x:v>
      </x:c>
      <x:c r="G790" s="17" t="n">
        <x:f>'Scoring'!I790</x:f>
        <x:v>84</x:v>
      </x:c>
      <x:c r="H790" s="6" t="str">
        <x:v>SUPPORT</x:v>
      </x:c>
      <x:c r="I790" s="6" t="str">
        <x:v>All vehicles: Performance tuning</x:v>
      </x:c>
      <x:c r="J790" s="6" t="str">
        <x:v>Secondary</x:v>
      </x:c>
      <x:c r="K790" s="6" t="str">
        <x:v>Commercial service enquiry</x:v>
      </x:c>
      <x:c r="L790" s="6" t="str">
        <x:v>High</x:v>
      </x:c>
      <x:c r="M790" s="6" t="str">
        <x:v>https://digitecme.com/tuning</x:v>
      </x:c>
      <x:c r="N790" s="6" t="str">
        <x:v>Unknown — export has no query/page pairing</x:v>
      </x:c>
      <x:c r="O790" s="6" t="str">
        <x:v>Retain primary intent and support variants</x:v>
      </x:c>
      <x:c r="P790" s="6" t="str">
        <x:v>Use the existing tuning page; model scope and any GAD relationship require verified facts. Zero clicks from 15 impressions at average position 6.40; inspect query/page, country/device and SERP before attributing this to the snippet.</x:v>
      </x:c>
      <x:c r="Q790" s="6" t="str">
        <x:v>mercedes-benz</x:v>
      </x:c>
      <x:c r="R790" s="6" t="str">
        <x:v>tuning</x:v>
      </x:c>
      <x:c r="S790" s="6" t="str">
        <x:v>Near me; location unknown</x:v>
      </x:c>
      <x:c r="T790" s="6" t="n">
        <x:v>5</x:v>
      </x:c>
      <x:c r="U790" s="6" t="str">
        <x:v>4–10</x:v>
      </x:c>
      <x:c r="V790" s="6" t="str">
        <x:v>Page-one CTR review and top-three relevance</x:v>
      </x:c>
      <x:c r="W790" s="6" t="str">
        <x:v>Relevant supporting</x:v>
      </x:c>
      <x:c r="X790" s="6" t="n">
        <x:v>786</x:v>
      </x:c>
      <x:c r="Y790" s="6" t="str">
        <x:v>Unconfirmed — joint query/page data required</x:v>
      </x:c>
    </x:row>
    <x:row r="791" ht="42" customHeight="1">
      <x:c r="A791" s="6" t="str">
        <x:v>silencer repair near me</x:v>
      </x:c>
      <x:c r="B791" s="14" t="n">
        <x:v>0</x:v>
      </x:c>
      <x:c r="C791" s="14" t="n">
        <x:v>15</x:v>
      </x:c>
      <x:c r="D791" s="15" t="n">
        <x:v>0</x:v>
      </x:c>
      <x:c r="E791" s="16" t="n">
        <x:v>7.87</x:v>
      </x:c>
      <x:c r="F791" s="6" t="str">
        <x:v>HIGH</x:v>
      </x:c>
      <x:c r="G791" s="17" t="n">
        <x:f>'Scoring'!I791</x:f>
        <x:v>76</x:v>
      </x:c>
      <x:c r="H791" s="6" t="str">
        <x:v>SUPPORT</x:v>
      </x:c>
      <x:c r="I791" s="6" t="str">
        <x:v>All vehicles: Exhaust repair</x:v>
      </x:c>
      <x:c r="J791" s="6" t="str">
        <x:v>Secondary</x:v>
      </x:c>
      <x:c r="K791" s="6" t="str">
        <x:v>Commercial service enquiry</x:v>
      </x:c>
      <x:c r="L791" s="6" t="str">
        <x:v>High</x:v>
      </x:c>
      <x:c r="M791" s="6" t="str">
        <x:v>https://digitecme.com/services/exhaust-repair-dubai</x:v>
      </x:c>
      <x:c r="N791" s="6" t="str">
        <x:v>Unknown — export has no query/page pairing</x:v>
      </x:c>
      <x:c r="O791" s="6" t="str">
        <x:v>Retain primary intent and support variants</x:v>
      </x:c>
      <x:c r="P791" s="6" t="str">
        <x:v>Zero clicks from 15 impressions at average position 7.87; inspect query/page, country/device and SERP before attributing this to the snippet.</x:v>
      </x:c>
      <x:c r="Q791" s="6" t="str">
        <x:v>All vehicles</x:v>
      </x:c>
      <x:c r="R791" s="6" t="str">
        <x:v>exhaust-repair</x:v>
      </x:c>
      <x:c r="S791" s="6" t="str">
        <x:v>Near me; location unknown</x:v>
      </x:c>
      <x:c r="T791" s="6" t="n">
        <x:v>3</x:v>
      </x:c>
      <x:c r="U791" s="6" t="str">
        <x:v>4–10</x:v>
      </x:c>
      <x:c r="V791" s="6" t="str">
        <x:v>Page-one CTR review and top-three relevance</x:v>
      </x:c>
      <x:c r="W791" s="6" t="str">
        <x:v>Relevant supporting</x:v>
      </x:c>
      <x:c r="X791" s="6" t="n">
        <x:v>787</x:v>
      </x:c>
      <x:c r="Y791" s="6" t="str">
        <x:v>Unconfirmed — joint query/page data required</x:v>
      </x:c>
    </x:row>
    <x:row r="792" ht="42" customHeight="1">
      <x:c r="A792" s="6" t="str">
        <x:v>nissan workshop</x:v>
      </x:c>
      <x:c r="B792" s="14" t="n">
        <x:v>0</x:v>
      </x:c>
      <x:c r="C792" s="14" t="n">
        <x:v>15</x:v>
      </x:c>
      <x:c r="D792" s="15" t="n">
        <x:v>0</x:v>
      </x:c>
      <x:c r="E792" s="16" t="n">
        <x:v>9.27</x:v>
      </x:c>
      <x:c r="F792" s="6" t="str">
        <x:v>HIGH</x:v>
      </x:c>
      <x:c r="G792" s="17" t="n">
        <x:f>'Scoring'!I792</x:f>
        <x:v>71</x:v>
      </x:c>
      <x:c r="H792" s="6" t="str">
        <x:v>SUPPORT</x:v>
      </x:c>
      <x:c r="I792" s="6" t="str">
        <x:v>nissan: Service and repair</x:v>
      </x:c>
      <x:c r="J792" s="6" t="str">
        <x:v>Secondary</x:v>
      </x:c>
      <x:c r="K792" s="6" t="str">
        <x:v>Commercial service enquiry</x:v>
      </x:c>
      <x:c r="L792" s="6" t="str">
        <x:v>High</x:v>
      </x:c>
      <x:c r="M792" s="6" t="str">
        <x:v>https://digitecme.com/brands/nissan-service-dubai</x:v>
      </x:c>
      <x:c r="N792" s="6" t="str">
        <x:v>Unknown — export has no query/page pairing</x:v>
      </x:c>
      <x:c r="O792" s="6" t="str">
        <x:v>Retain primary intent and support variants</x:v>
      </x:c>
      <x:c r="P792" s="6" t="str">
        <x:v>Zero clicks from 15 impressions at average position 9.27; inspect query/page, country/device and SERP before attributing this to the snippet.</x:v>
      </x:c>
      <x:c r="Q792" s="6" t="str">
        <x:v>nissan</x:v>
      </x:c>
      <x:c r="R792" s="6" t="str">
        <x:v>service-repair</x:v>
      </x:c>
      <x:c r="S792" s="6" t="str">
        <x:v>Location unspecified</x:v>
      </x:c>
      <x:c r="T792" s="6" t="n">
        <x:v>3</x:v>
      </x:c>
      <x:c r="U792" s="6" t="str">
        <x:v>4–10</x:v>
      </x:c>
      <x:c r="V792" s="6" t="str">
        <x:v>Page-one CTR review and top-three relevance</x:v>
      </x:c>
      <x:c r="W792" s="6" t="str">
        <x:v>Relevant supporting</x:v>
      </x:c>
      <x:c r="X792" s="6" t="n">
        <x:v>788</x:v>
      </x:c>
      <x:c r="Y792" s="6" t="str">
        <x:v>Unconfirmed — joint query/page data required</x:v>
      </x:c>
    </x:row>
    <x:row r="793" ht="42" customHeight="1">
      <x:c r="A793" s="6" t="str">
        <x:v>bmw brake repair</x:v>
      </x:c>
      <x:c r="B793" s="14" t="n">
        <x:v>0</x:v>
      </x:c>
      <x:c r="C793" s="14" t="n">
        <x:v>15</x:v>
      </x:c>
      <x:c r="D793" s="15" t="n">
        <x:v>0</x:v>
      </x:c>
      <x:c r="E793" s="16" t="n">
        <x:v>11.2</x:v>
      </x:c>
      <x:c r="F793" s="6" t="str">
        <x:v>HIGH</x:v>
      </x:c>
      <x:c r="G793" s="17" t="n">
        <x:f>'Scoring'!I793</x:f>
        <x:v>79</x:v>
      </x:c>
      <x:c r="H793" s="6" t="str">
        <x:v>SPLIT</x:v>
      </x:c>
      <x:c r="I793" s="6" t="str">
        <x:v>bmw: Brake repair</x:v>
      </x:c>
      <x:c r="J793" s="6" t="str">
        <x:v>Secondary</x:v>
      </x:c>
      <x:c r="K793" s="6" t="str">
        <x:v>Commercial service enquiry</x:v>
      </x:c>
      <x:c r="L793" s="6" t="str">
        <x:v>High</x:v>
      </x:c>
      <x:c r="M793" s="6" t="str">
        <x:v>https://digitecme.com/brands/bmw-service-dubai/brake-repair</x:v>
      </x:c>
      <x:c r="N793" s="6" t="str">
        <x:v>Unknown — export has no query/page pairing</x:v>
      </x:c>
      <x:c r="O793" s="6" t="str">
        <x:v>Use dedicated service owner</x:v>
      </x:c>
      <x:c r="P793" s="6" t="str">
        <x:v>15 impressions at average position 11.20; strengthen the appropriate intent owner and measure with a fresh comparable period.</x:v>
      </x:c>
      <x:c r="Q793" s="6" t="str">
        <x:v>bmw</x:v>
      </x:c>
      <x:c r="R793" s="6" t="str">
        <x:v>brake-repair</x:v>
      </x:c>
      <x:c r="S793" s="6" t="str">
        <x:v>Location unspecified</x:v>
      </x:c>
      <x:c r="T793" s="6" t="n">
        <x:v>5</x:v>
      </x:c>
      <x:c r="U793" s="6" t="str">
        <x:v>11–20</x:v>
      </x:c>
      <x:c r="V793" s="6" t="str">
        <x:v>Ranking and owner relevance</x:v>
      </x:c>
      <x:c r="W793" s="6" t="str">
        <x:v>High-value commercial</x:v>
      </x:c>
      <x:c r="X793" s="6" t="n">
        <x:v>789</x:v>
      </x:c>
      <x:c r="Y793" s="6" t="str">
        <x:v>Unconfirmed — joint query/page data required</x:v>
      </x:c>
    </x:row>
    <x:row r="794" ht="42" customHeight="1">
      <x:c r="A794" s="6" t="str">
        <x:v>muffler shop in dubai</x:v>
      </x:c>
      <x:c r="B794" s="14" t="n">
        <x:v>0</x:v>
      </x:c>
      <x:c r="C794" s="14" t="n">
        <x:v>15</x:v>
      </x:c>
      <x:c r="D794" s="15" t="n">
        <x:v>0</x:v>
      </x:c>
      <x:c r="E794" s="16" t="n">
        <x:v>14.07</x:v>
      </x:c>
      <x:c r="F794" s="6" t="str">
        <x:v>HIGH</x:v>
      </x:c>
      <x:c r="G794" s="17" t="n">
        <x:f>'Scoring'!I794</x:f>
        <x:v>76</x:v>
      </x:c>
      <x:c r="H794" s="6" t="str">
        <x:v>SUPPORT</x:v>
      </x:c>
      <x:c r="I794" s="6" t="str">
        <x:v>All vehicles: Exhaust repair</x:v>
      </x:c>
      <x:c r="J794" s="6" t="str">
        <x:v>Secondary</x:v>
      </x:c>
      <x:c r="K794" s="6" t="str">
        <x:v>Commercial service enquiry</x:v>
      </x:c>
      <x:c r="L794" s="6" t="str">
        <x:v>High</x:v>
      </x:c>
      <x:c r="M794" s="6" t="str">
        <x:v>https://digitecme.com/services/exhaust-repair-dubai</x:v>
      </x:c>
      <x:c r="N794" s="6" t="str">
        <x:v>Unknown — export has no query/page pairing</x:v>
      </x:c>
      <x:c r="O794" s="6" t="str">
        <x:v>Retain primary intent and support variants</x:v>
      </x:c>
      <x:c r="P794" s="6" t="str">
        <x:v>15 impressions at average position 14.07; strengthen the appropriate intent owner and measure with a fresh comparable period.</x:v>
      </x:c>
      <x:c r="Q794" s="6" t="str">
        <x:v>All vehicles</x:v>
      </x:c>
      <x:c r="R794" s="6" t="str">
        <x:v>exhaust-repair</x:v>
      </x:c>
      <x:c r="S794" s="6" t="str">
        <x:v>Dubai explicit</x:v>
      </x:c>
      <x:c r="T794" s="6" t="n">
        <x:v>3</x:v>
      </x:c>
      <x:c r="U794" s="6" t="str">
        <x:v>11–20</x:v>
      </x:c>
      <x:c r="V794" s="6" t="str">
        <x:v>Ranking and owner relevance</x:v>
      </x:c>
      <x:c r="W794" s="6" t="str">
        <x:v>Relevant supporting</x:v>
      </x:c>
      <x:c r="X794" s="6" t="n">
        <x:v>790</x:v>
      </x:c>
      <x:c r="Y794" s="6" t="str">
        <x:v>Unconfirmed — joint query/page data required</x:v>
      </x:c>
    </x:row>
    <x:row r="795" ht="42" customHeight="1">
      <x:c r="A795" s="6" t="str">
        <x:v>nissan service booking</x:v>
      </x:c>
      <x:c r="B795" s="14" t="n">
        <x:v>0</x:v>
      </x:c>
      <x:c r="C795" s="14" t="n">
        <x:v>15</x:v>
      </x:c>
      <x:c r="D795" s="15" t="n">
        <x:v>0</x:v>
      </x:c>
      <x:c r="E795" s="16" t="n">
        <x:v>14.47</x:v>
      </x:c>
      <x:c r="F795" s="6" t="str">
        <x:v>HIGH</x:v>
      </x:c>
      <x:c r="G795" s="17" t="n">
        <x:f>'Scoring'!I795</x:f>
        <x:v>71</x:v>
      </x:c>
      <x:c r="H795" s="6" t="str">
        <x:v>SUPPORT</x:v>
      </x:c>
      <x:c r="I795" s="6" t="str">
        <x:v>nissan: Service and repair</x:v>
      </x:c>
      <x:c r="J795" s="6" t="str">
        <x:v>Secondary</x:v>
      </x:c>
      <x:c r="K795" s="6" t="str">
        <x:v>Commercial service enquiry</x:v>
      </x:c>
      <x:c r="L795" s="6" t="str">
        <x:v>High</x:v>
      </x:c>
      <x:c r="M795" s="6" t="str">
        <x:v>https://digitecme.com/brands/nissan-service-dubai</x:v>
      </x:c>
      <x:c r="N795" s="6" t="str">
        <x:v>Unknown — export has no query/page pairing</x:v>
      </x:c>
      <x:c r="O795" s="6" t="str">
        <x:v>Retain primary intent and support variants</x:v>
      </x:c>
      <x:c r="P795" s="6" t="str">
        <x:v>15 impressions at average position 14.47; strengthen the appropriate intent owner and measure with a fresh comparable period.</x:v>
      </x:c>
      <x:c r="Q795" s="6" t="str">
        <x:v>nissan</x:v>
      </x:c>
      <x:c r="R795" s="6" t="str">
        <x:v>service-repair</x:v>
      </x:c>
      <x:c r="S795" s="6" t="str">
        <x:v>Location unspecified</x:v>
      </x:c>
      <x:c r="T795" s="6" t="n">
        <x:v>3</x:v>
      </x:c>
      <x:c r="U795" s="6" t="str">
        <x:v>11–20</x:v>
      </x:c>
      <x:c r="V795" s="6" t="str">
        <x:v>Ranking and owner relevance</x:v>
      </x:c>
      <x:c r="W795" s="6" t="str">
        <x:v>Relevant supporting</x:v>
      </x:c>
      <x:c r="X795" s="6" t="n">
        <x:v>791</x:v>
      </x:c>
      <x:c r="Y795" s="6" t="str">
        <x:v>Unconfirmed — joint query/page data required</x:v>
      </x:c>
    </x:row>
    <x:row r="796" ht="57" customHeight="1">
      <x:c r="A796" s="6" t="str">
        <x:v>مركز صيانة مازدا دبي</x:v>
      </x:c>
      <x:c r="B796" s="14" t="n">
        <x:v>0</x:v>
      </x:c>
      <x:c r="C796" s="14" t="n">
        <x:v>15</x:v>
      </x:c>
      <x:c r="D796" s="15" t="n">
        <x:v>0</x:v>
      </x:c>
      <x:c r="E796" s="16" t="n">
        <x:v>16.6</x:v>
      </x:c>
      <x:c r="F796" s="6" t="str">
        <x:v>HIGH</x:v>
      </x:c>
      <x:c r="G796" s="17" t="n">
        <x:f>'Scoring'!I796</x:f>
        <x:v>68.5</x:v>
      </x:c>
      <x:c r="H796" s="6" t="str">
        <x:v>SUPPORT</x:v>
      </x:c>
      <x:c r="I796" s="6" t="str">
        <x:v>mazda: Service and repair (Arabic)</x:v>
      </x:c>
      <x:c r="J796" s="6" t="str">
        <x:v>Secondary</x:v>
      </x:c>
      <x:c r="K796" s="6" t="str">
        <x:v>Commercial service enquiry</x:v>
      </x:c>
      <x:c r="L796" s="6" t="str">
        <x:v>High</x:v>
      </x:c>
      <x:c r="M796" s="6" t="str">
        <x:v>https://digitecme.com/ar/brands/mazda-service-dubai</x:v>
      </x:c>
      <x:c r="N796" s="6" t="str">
        <x:v>Unknown — export has no query/page pairing</x:v>
      </x:c>
      <x:c r="O796" s="6" t="str">
        <x:v>Retain primary intent and support variants</x:v>
      </x:c>
      <x:c r="P796" s="6" t="str">
        <x:v>Use the existing Arabic counterpart and verify its translation quality. 15 impressions at average position 16.60; strengthen the appropriate intent owner and measure with a fresh comparable period.</x:v>
      </x:c>
      <x:c r="Q796" s="6" t="str">
        <x:v>mazda</x:v>
      </x:c>
      <x:c r="R796" s="6" t="str">
        <x:v>service-repair</x:v>
      </x:c>
      <x:c r="S796" s="6" t="str">
        <x:v>Dubai explicit</x:v>
      </x:c>
      <x:c r="T796" s="6" t="n">
        <x:v>3</x:v>
      </x:c>
      <x:c r="U796" s="6" t="str">
        <x:v>11–20</x:v>
      </x:c>
      <x:c r="V796" s="6" t="str">
        <x:v>Ranking and owner relevance</x:v>
      </x:c>
      <x:c r="W796" s="6" t="str">
        <x:v>Relevant supporting</x:v>
      </x:c>
      <x:c r="X796" s="6" t="n">
        <x:v>792</x:v>
      </x:c>
      <x:c r="Y796" s="6" t="str">
        <x:v>Unconfirmed — joint query/page data required</x:v>
      </x:c>
    </x:row>
    <x:row r="797" ht="42" customHeight="1">
      <x:c r="A797" s="6" t="str">
        <x:v>bmw engine diagnostics</x:v>
      </x:c>
      <x:c r="B797" s="14" t="n">
        <x:v>0</x:v>
      </x:c>
      <x:c r="C797" s="14" t="n">
        <x:v>15</x:v>
      </x:c>
      <x:c r="D797" s="15" t="n">
        <x:v>0</x:v>
      </x:c>
      <x:c r="E797" s="16" t="n">
        <x:v>17.2</x:v>
      </x:c>
      <x:c r="F797" s="6" t="str">
        <x:v>HIGH</x:v>
      </x:c>
      <x:c r="G797" s="17" t="n">
        <x:f>'Scoring'!I797</x:f>
        <x:v>71.5</x:v>
      </x:c>
      <x:c r="H797" s="6" t="str">
        <x:v>SPLIT</x:v>
      </x:c>
      <x:c r="I797" s="6" t="str">
        <x:v>bmw: Diagnostics and supported coding</x:v>
      </x:c>
      <x:c r="J797" s="6" t="str">
        <x:v>Secondary</x:v>
      </x:c>
      <x:c r="K797" s="6" t="str">
        <x:v>Commercial service enquiry</x:v>
      </x:c>
      <x:c r="L797" s="6" t="str">
        <x:v>High</x:v>
      </x:c>
      <x:c r="M797" s="6" t="str">
        <x:v>https://digitecme.com/brands/bmw-service-dubai/engine-diagnostics</x:v>
      </x:c>
      <x:c r="N797" s="6" t="str">
        <x:v>Unknown — export has no query/page pairing</x:v>
      </x:c>
      <x:c r="O797" s="6" t="str">
        <x:v>Use dedicated service owner</x:v>
      </x:c>
      <x:c r="P797" s="6" t="str">
        <x:v>15 impressions at average position 17.20; strengthen the appropriate intent owner and measure with a fresh comparable period.</x:v>
      </x:c>
      <x:c r="Q797" s="6" t="str">
        <x:v>bmw</x:v>
      </x:c>
      <x:c r="R797" s="6" t="str">
        <x:v>engine-diagnostics</x:v>
      </x:c>
      <x:c r="S797" s="6" t="str">
        <x:v>Location unspecified</x:v>
      </x:c>
      <x:c r="T797" s="6" t="n">
        <x:v>5</x:v>
      </x:c>
      <x:c r="U797" s="6" t="str">
        <x:v>11–20</x:v>
      </x:c>
      <x:c r="V797" s="6" t="str">
        <x:v>Ranking and owner relevance</x:v>
      </x:c>
      <x:c r="W797" s="6" t="str">
        <x:v>High-value commercial</x:v>
      </x:c>
      <x:c r="X797" s="6" t="n">
        <x:v>793</x:v>
      </x:c>
      <x:c r="Y797" s="6" t="str">
        <x:v>Unconfirmed — joint query/page data required</x:v>
      </x:c>
    </x:row>
    <x:row r="798" ht="57" customHeight="1">
      <x:c r="A798" s="6" t="str">
        <x:v>car body repair history dubai</x:v>
      </x:c>
      <x:c r="B798" s="14" t="n">
        <x:v>0</x:v>
      </x:c>
      <x:c r="C798" s="14" t="n">
        <x:v>15</x:v>
      </x:c>
      <x:c r="D798" s="15" t="n">
        <x:v>0</x:v>
      </x:c>
      <x:c r="E798" s="16" t="n">
        <x:v>18.73</x:v>
      </x:c>
      <x:c r="F798" s="6" t="str">
        <x:v>GROWTH</x:v>
      </x:c>
      <x:c r="G798" s="17" t="n">
        <x:f>'Scoring'!I798</x:f>
        <x:v>48</x:v>
      </x:c>
      <x:c r="H798" s="6" t="str">
        <x:v>PRIORITIZE</x:v>
      </x:c>
      <x:c r="I798" s="6" t="str">
        <x:v>Information: Body repair history</x:v>
      </x:c>
      <x:c r="J798" s="6" t="str">
        <x:v>Primary</x:v>
      </x:c>
      <x:c r="K798" s="6" t="str">
        <x:v>Informational</x:v>
      </x:c>
      <x:c r="L798" s="6" t="str">
        <x:v>High</x:v>
      </x:c>
      <x:c r="M798" s="6" t="str">
        <x:v>https://digitecme.com/services/car-body-repair-dubai</x:v>
      </x:c>
      <x:c r="N798" s="6" t="str">
        <x:v>Unknown — export has no query/page pairing</x:v>
      </x:c>
      <x:c r="O798" s="6" t="str">
        <x:v>Strengthen this primary intent owner</x:v>
      </x:c>
      <x:c r="P798" s="6" t="str">
        <x:v>History-check intent differs from booking body repair; avoid claiming an accident-history lookup service. 15 impressions at average position 18.73; strengthen the appropriate intent owner and measure with a fresh comparable period.</x:v>
      </x:c>
      <x:c r="Q798" s="6" t="str">
        <x:v>All vehicles</x:v>
      </x:c>
      <x:c r="R798" s="6" t="str">
        <x:v>body-repair</x:v>
      </x:c>
      <x:c r="S798" s="6" t="str">
        <x:v>Dubai explicit</x:v>
      </x:c>
      <x:c r="T798" s="6" t="n">
        <x:v>1</x:v>
      </x:c>
      <x:c r="U798" s="6" t="str">
        <x:v>11–20</x:v>
      </x:c>
      <x:c r="V798" s="6" t="str">
        <x:v>Ranking and owner relevance</x:v>
      </x:c>
      <x:c r="W798" s="6" t="str">
        <x:v>Informational</x:v>
      </x:c>
      <x:c r="X798" s="6" t="n">
        <x:v>794</x:v>
      </x:c>
      <x:c r="Y798" s="6" t="str">
        <x:v>Unconfirmed — joint query/page data required</x:v>
      </x:c>
    </x:row>
    <x:row r="799" ht="57" customHeight="1">
      <x:c r="A799" s="6" t="str">
        <x:v>bmw tuning dubai</x:v>
      </x:c>
      <x:c r="B799" s="14" t="n">
        <x:v>0</x:v>
      </x:c>
      <x:c r="C799" s="14" t="n">
        <x:v>15</x:v>
      </x:c>
      <x:c r="D799" s="15" t="n">
        <x:v>0</x:v>
      </x:c>
      <x:c r="E799" s="16" t="n">
        <x:v>18.87</x:v>
      </x:c>
      <x:c r="F799" s="6" t="str">
        <x:v>HIGH</x:v>
      </x:c>
      <x:c r="G799" s="17" t="n">
        <x:f>'Scoring'!I799</x:f>
        <x:v>76.5</x:v>
      </x:c>
      <x:c r="H799" s="6" t="str">
        <x:v>SUPPORT</x:v>
      </x:c>
      <x:c r="I799" s="6" t="str">
        <x:v>All vehicles: Performance tuning</x:v>
      </x:c>
      <x:c r="J799" s="6" t="str">
        <x:v>Secondary</x:v>
      </x:c>
      <x:c r="K799" s="6" t="str">
        <x:v>Commercial service enquiry</x:v>
      </x:c>
      <x:c r="L799" s="6" t="str">
        <x:v>High</x:v>
      </x:c>
      <x:c r="M799" s="6" t="str">
        <x:v>https://digitecme.com/tuning</x:v>
      </x:c>
      <x:c r="N799" s="6" t="str">
        <x:v>Unknown — export has no query/page pairing</x:v>
      </x:c>
      <x:c r="O799" s="6" t="str">
        <x:v>Retain primary intent and support variants</x:v>
      </x:c>
      <x:c r="P799" s="6" t="str">
        <x:v>Use the existing tuning page; model scope and any GAD relationship require verified facts. 15 impressions at average position 18.87; strengthen the appropriate intent owner and measure with a fresh comparable period.</x:v>
      </x:c>
      <x:c r="Q799" s="6" t="str">
        <x:v>bmw</x:v>
      </x:c>
      <x:c r="R799" s="6" t="str">
        <x:v>tuning</x:v>
      </x:c>
      <x:c r="S799" s="6" t="str">
        <x:v>Dubai explicit</x:v>
      </x:c>
      <x:c r="T799" s="6" t="n">
        <x:v>5</x:v>
      </x:c>
      <x:c r="U799" s="6" t="str">
        <x:v>11–20</x:v>
      </x:c>
      <x:c r="V799" s="6" t="str">
        <x:v>Ranking and owner relevance</x:v>
      </x:c>
      <x:c r="W799" s="6" t="str">
        <x:v>Relevant supporting</x:v>
      </x:c>
      <x:c r="X799" s="6" t="n">
        <x:v>795</x:v>
      </x:c>
      <x:c r="Y799" s="6" t="str">
        <x:v>Unconfirmed — joint query/page data required</x:v>
      </x:c>
    </x:row>
    <x:row r="800" ht="42" customHeight="1">
      <x:c r="A800" s="6" t="str">
        <x:v>suspension repairs near me</x:v>
      </x:c>
      <x:c r="B800" s="14" t="n">
        <x:v>0</x:v>
      </x:c>
      <x:c r="C800" s="14" t="n">
        <x:v>15</x:v>
      </x:c>
      <x:c r="D800" s="15" t="n">
        <x:v>0</x:v>
      </x:c>
      <x:c r="E800" s="16" t="n">
        <x:v>19</x:v>
      </x:c>
      <x:c r="F800" s="6" t="str">
        <x:v>HIGH</x:v>
      </x:c>
      <x:c r="G800" s="17" t="n">
        <x:f>'Scoring'!I800</x:f>
        <x:v>68.5</x:v>
      </x:c>
      <x:c r="H800" s="6" t="str">
        <x:v>SUPPORT</x:v>
      </x:c>
      <x:c r="I800" s="6" t="str">
        <x:v>All vehicles: Suspension repair (English)</x:v>
      </x:c>
      <x:c r="J800" s="6" t="str">
        <x:v>Secondary</x:v>
      </x:c>
      <x:c r="K800" s="6" t="str">
        <x:v>Commercial service enquiry</x:v>
      </x:c>
      <x:c r="L800" s="6" t="str">
        <x:v>High</x:v>
      </x:c>
      <x:c r="M800" s="6" t="str">
        <x:v>https://digitecme.com/services/suspension-repair-dubai</x:v>
      </x:c>
      <x:c r="N800" s="6" t="str">
        <x:v>Unknown — export has no query/page pairing</x:v>
      </x:c>
      <x:c r="O800" s="6" t="str">
        <x:v>Retain primary intent and support variants</x:v>
      </x:c>
      <x:c r="P800" s="6" t="str">
        <x:v>15 impressions at average position 19.00; strengthen the appropriate intent owner and measure with a fresh comparable period.</x:v>
      </x:c>
      <x:c r="Q800" s="6" t="str">
        <x:v>All vehicles</x:v>
      </x:c>
      <x:c r="R800" s="6" t="str">
        <x:v>suspension-repair</x:v>
      </x:c>
      <x:c r="S800" s="6" t="str">
        <x:v>Near me; location unknown</x:v>
      </x:c>
      <x:c r="T800" s="6" t="n">
        <x:v>3</x:v>
      </x:c>
      <x:c r="U800" s="6" t="str">
        <x:v>11–20</x:v>
      </x:c>
      <x:c r="V800" s="6" t="str">
        <x:v>Ranking and owner relevance</x:v>
      </x:c>
      <x:c r="W800" s="6" t="str">
        <x:v>Relevant supporting</x:v>
      </x:c>
      <x:c r="X800" s="6" t="n">
        <x:v>796</x:v>
      </x:c>
      <x:c r="Y800" s="6" t="str">
        <x:v>Unconfirmed — joint query/page data required</x:v>
      </x:c>
    </x:row>
    <x:row r="801" ht="42" customHeight="1">
      <x:c r="A801" s="6" t="str">
        <x:v>best bmw garage in dubai</x:v>
      </x:c>
      <x:c r="B801" s="14" t="n">
        <x:v>0</x:v>
      </x:c>
      <x:c r="C801" s="14" t="n">
        <x:v>15</x:v>
      </x:c>
      <x:c r="D801" s="15" t="n">
        <x:v>0</x:v>
      </x:c>
      <x:c r="E801" s="16" t="n">
        <x:v>20.8</x:v>
      </x:c>
      <x:c r="F801" s="6" t="str">
        <x:v>HIGH</x:v>
      </x:c>
      <x:c r="G801" s="17" t="n">
        <x:f>'Scoring'!I801</x:f>
        <x:v>76.5</x:v>
      </x:c>
      <x:c r="H801" s="6" t="str">
        <x:v>SUPPORT</x:v>
      </x:c>
      <x:c r="I801" s="6" t="str">
        <x:v>bmw: Service and repair (English)</x:v>
      </x:c>
      <x:c r="J801" s="6" t="str">
        <x:v>Secondary</x:v>
      </x:c>
      <x:c r="K801" s="6" t="str">
        <x:v>Commercial service enquiry</x:v>
      </x:c>
      <x:c r="L801" s="6" t="str">
        <x:v>High</x:v>
      </x:c>
      <x:c r="M801" s="6" t="str">
        <x:v>https://digitecme.com/brands/bmw-service-dubai</x:v>
      </x:c>
      <x:c r="N801" s="6" t="str">
        <x:v>Unknown — export has no query/page pairing</x:v>
      </x:c>
      <x:c r="O801" s="6" t="str">
        <x:v>Retain primary intent and support variants</x:v>
      </x:c>
      <x:c r="P801" s="6" t="str">
        <x:v>Average position 20.80 makes ranking the main issue; avoid a CTR-only rewrite.</x:v>
      </x:c>
      <x:c r="Q801" s="6" t="str">
        <x:v>bmw</x:v>
      </x:c>
      <x:c r="R801" s="6" t="str">
        <x:v>service-repair</x:v>
      </x:c>
      <x:c r="S801" s="6" t="str">
        <x:v>Dubai explicit</x:v>
      </x:c>
      <x:c r="T801" s="6" t="n">
        <x:v>5</x:v>
      </x:c>
      <x:c r="U801" s="6" t="str">
        <x:v>21–40</x:v>
      </x:c>
      <x:c r="V801" s="6" t="str">
        <x:v>Content, internal authority and owner alignment</x:v>
      </x:c>
      <x:c r="W801" s="6" t="str">
        <x:v>Relevant supporting</x:v>
      </x:c>
      <x:c r="X801" s="6" t="n">
        <x:v>797</x:v>
      </x:c>
      <x:c r="Y801" s="6" t="str">
        <x:v>Unconfirmed — joint query/page data required</x:v>
      </x:c>
    </x:row>
    <x:row r="802" ht="57" customHeight="1">
      <x:c r="A802" s="6" t="str">
        <x:v>volkswagen car battery dubai</x:v>
      </x:c>
      <x:c r="B802" s="14" t="n">
        <x:v>0</x:v>
      </x:c>
      <x:c r="C802" s="14" t="n">
        <x:v>15</x:v>
      </x:c>
      <x:c r="D802" s="15" t="n">
        <x:v>0</x:v>
      </x:c>
      <x:c r="E802" s="16" t="n">
        <x:v>22.6</x:v>
      </x:c>
      <x:c r="F802" s="6" t="str">
        <x:v>HIGH</x:v>
      </x:c>
      <x:c r="G802" s="17" t="n">
        <x:f>'Scoring'!I802</x:f>
        <x:v>39.7</x:v>
      </x:c>
      <x:c r="H802" s="6" t="str">
        <x:v>SPLIT</x:v>
      </x:c>
      <x:c r="I802" s="6" t="str">
        <x:v>volkswagen: Battery service</x:v>
      </x:c>
      <x:c r="J802" s="6" t="str">
        <x:v>Primary</x:v>
      </x:c>
      <x:c r="K802" s="6" t="str">
        <x:v>Commercial service enquiry</x:v>
      </x:c>
      <x:c r="L802" s="6" t="str">
        <x:v>Medium</x:v>
      </x:c>
      <x:c r="M802" s="6" t="str">
        <x:v>https://digitecme.com/brands/volkswagen-service-dubai/battery-replacement</x:v>
      </x:c>
      <x:c r="N802" s="6" t="str">
        <x:v>Unknown — export has no query/page pairing</x:v>
      </x:c>
      <x:c r="O802" s="6" t="str">
        <x:v>Use dedicated service owner</x:v>
      </x:c>
      <x:c r="P802" s="6" t="str">
        <x:v>Existing specific page is noindex; assess service evidence and distinct content before changing indexation. Average position 22.60 makes ranking the main issue; avoid a CTR-only rewrite.</x:v>
      </x:c>
      <x:c r="Q802" s="6" t="str">
        <x:v>volkswagen</x:v>
      </x:c>
      <x:c r="R802" s="6" t="str">
        <x:v>battery-replacement</x:v>
      </x:c>
      <x:c r="S802" s="6" t="str">
        <x:v>Dubai explicit</x:v>
      </x:c>
      <x:c r="T802" s="6" t="n">
        <x:v>3</x:v>
      </x:c>
      <x:c r="U802" s="6" t="str">
        <x:v>21–40</x:v>
      </x:c>
      <x:c r="V802" s="6" t="str">
        <x:v>Content, internal authority and owner alignment</x:v>
      </x:c>
      <x:c r="W802" s="6" t="str">
        <x:v>High-value commercial</x:v>
      </x:c>
      <x:c r="X802" s="6" t="n">
        <x:v>798</x:v>
      </x:c>
      <x:c r="Y802" s="6" t="str">
        <x:v>Unconfirmed — joint query/page data required</x:v>
      </x:c>
    </x:row>
    <x:row r="803" ht="42" customHeight="1">
      <x:c r="A803" s="6" t="str">
        <x:v>battery replacement car</x:v>
      </x:c>
      <x:c r="B803" s="14" t="n">
        <x:v>0</x:v>
      </x:c>
      <x:c r="C803" s="14" t="n">
        <x:v>15</x:v>
      </x:c>
      <x:c r="D803" s="15" t="n">
        <x:v>0</x:v>
      </x:c>
      <x:c r="E803" s="16" t="n">
        <x:v>24.13</x:v>
      </x:c>
      <x:c r="F803" s="6" t="str">
        <x:v>HIGH</x:v>
      </x:c>
      <x:c r="G803" s="17" t="n">
        <x:f>'Scoring'!I803</x:f>
        <x:v>63.5</x:v>
      </x:c>
      <x:c r="H803" s="6" t="str">
        <x:v>SUPPORT</x:v>
      </x:c>
      <x:c r="I803" s="6" t="str">
        <x:v>All vehicles: Battery service (English)</x:v>
      </x:c>
      <x:c r="J803" s="6" t="str">
        <x:v>Secondary</x:v>
      </x:c>
      <x:c r="K803" s="6" t="str">
        <x:v>Commercial service enquiry</x:v>
      </x:c>
      <x:c r="L803" s="6" t="str">
        <x:v>High</x:v>
      </x:c>
      <x:c r="M803" s="6" t="str">
        <x:v>https://digitecme.com/services/battery-replacement-dubai</x:v>
      </x:c>
      <x:c r="N803" s="6" t="str">
        <x:v>Unknown — export has no query/page pairing</x:v>
      </x:c>
      <x:c r="O803" s="6" t="str">
        <x:v>Retain primary intent and support variants</x:v>
      </x:c>
      <x:c r="P803" s="6" t="str">
        <x:v>Average position 24.13 makes ranking the main issue; avoid a CTR-only rewrite.</x:v>
      </x:c>
      <x:c r="Q803" s="6" t="str">
        <x:v>All vehicles</x:v>
      </x:c>
      <x:c r="R803" s="6" t="str">
        <x:v>battery-replacement</x:v>
      </x:c>
      <x:c r="S803" s="6" t="str">
        <x:v>Location unspecified</x:v>
      </x:c>
      <x:c r="T803" s="6" t="n">
        <x:v>3</x:v>
      </x:c>
      <x:c r="U803" s="6" t="str">
        <x:v>21–40</x:v>
      </x:c>
      <x:c r="V803" s="6" t="str">
        <x:v>Content, internal authority and owner alignment</x:v>
      </x:c>
      <x:c r="W803" s="6" t="str">
        <x:v>Relevant supporting</x:v>
      </x:c>
      <x:c r="X803" s="6" t="n">
        <x:v>799</x:v>
      </x:c>
      <x:c r="Y803" s="6" t="str">
        <x:v>Unconfirmed — joint query/page data required</x:v>
      </x:c>
    </x:row>
    <x:row r="804" ht="42" customHeight="1">
      <x:c r="A804" s="6" t="str">
        <x:v>bmw engine repair</x:v>
      </x:c>
      <x:c r="B804" s="14" t="n">
        <x:v>0</x:v>
      </x:c>
      <x:c r="C804" s="14" t="n">
        <x:v>15</x:v>
      </x:c>
      <x:c r="D804" s="15" t="n">
        <x:v>0</x:v>
      </x:c>
      <x:c r="E804" s="16" t="n">
        <x:v>24.6</x:v>
      </x:c>
      <x:c r="F804" s="6" t="str">
        <x:v>HIGH</x:v>
      </x:c>
      <x:c r="G804" s="17" t="n">
        <x:f>'Scoring'!I804</x:f>
        <x:v>71.5</x:v>
      </x:c>
      <x:c r="H804" s="6" t="str">
        <x:v>SPLIT</x:v>
      </x:c>
      <x:c r="I804" s="6" t="str">
        <x:v>bmw: Engine and mechanical repair</x:v>
      </x:c>
      <x:c r="J804" s="6" t="str">
        <x:v>Secondary</x:v>
      </x:c>
      <x:c r="K804" s="6" t="str">
        <x:v>Commercial service enquiry</x:v>
      </x:c>
      <x:c r="L804" s="6" t="str">
        <x:v>High</x:v>
      </x:c>
      <x:c r="M804" s="6" t="str">
        <x:v>https://digitecme.com/brands/bmw-service-dubai/mechanical-repair</x:v>
      </x:c>
      <x:c r="N804" s="6" t="str">
        <x:v>Unknown — export has no query/page pairing</x:v>
      </x:c>
      <x:c r="O804" s="6" t="str">
        <x:v>Use dedicated service owner</x:v>
      </x:c>
      <x:c r="P804" s="6" t="str">
        <x:v>Average position 24.60 makes ranking the main issue; avoid a CTR-only rewrite.</x:v>
      </x:c>
      <x:c r="Q804" s="6" t="str">
        <x:v>bmw</x:v>
      </x:c>
      <x:c r="R804" s="6" t="str">
        <x:v>mechanical-repair</x:v>
      </x:c>
      <x:c r="S804" s="6" t="str">
        <x:v>Location unspecified</x:v>
      </x:c>
      <x:c r="T804" s="6" t="n">
        <x:v>5</x:v>
      </x:c>
      <x:c r="U804" s="6" t="str">
        <x:v>21–40</x:v>
      </x:c>
      <x:c r="V804" s="6" t="str">
        <x:v>Content, internal authority and owner alignment</x:v>
      </x:c>
      <x:c r="W804" s="6" t="str">
        <x:v>High-value commercial</x:v>
      </x:c>
      <x:c r="X804" s="6" t="n">
        <x:v>800</x:v>
      </x:c>
      <x:c r="Y804" s="6" t="str">
        <x:v>Unconfirmed — joint query/page data required</x:v>
      </x:c>
    </x:row>
    <x:row r="805" ht="42" customHeight="1">
      <x:c r="A805" s="6" t="str">
        <x:v>nissan auto repair</x:v>
      </x:c>
      <x:c r="B805" s="14" t="n">
        <x:v>0</x:v>
      </x:c>
      <x:c r="C805" s="14" t="n">
        <x:v>15</x:v>
      </x:c>
      <x:c r="D805" s="15" t="n">
        <x:v>0</x:v>
      </x:c>
      <x:c r="E805" s="16" t="n">
        <x:v>25.2</x:v>
      </x:c>
      <x:c r="F805" s="6" t="str">
        <x:v>HIGH</x:v>
      </x:c>
      <x:c r="G805" s="17" t="n">
        <x:f>'Scoring'!I805</x:f>
        <x:v>63.5</x:v>
      </x:c>
      <x:c r="H805" s="6" t="str">
        <x:v>SUPPORT</x:v>
      </x:c>
      <x:c r="I805" s="6" t="str">
        <x:v>nissan: Service and repair</x:v>
      </x:c>
      <x:c r="J805" s="6" t="str">
        <x:v>Secondary</x:v>
      </x:c>
      <x:c r="K805" s="6" t="str">
        <x:v>Commercial service enquiry</x:v>
      </x:c>
      <x:c r="L805" s="6" t="str">
        <x:v>High</x:v>
      </x:c>
      <x:c r="M805" s="6" t="str">
        <x:v>https://digitecme.com/brands/nissan-service-dubai</x:v>
      </x:c>
      <x:c r="N805" s="6" t="str">
        <x:v>Unknown — export has no query/page pairing</x:v>
      </x:c>
      <x:c r="O805" s="6" t="str">
        <x:v>Retain primary intent and support variants</x:v>
      </x:c>
      <x:c r="P805" s="6" t="str">
        <x:v>Average position 25.20 makes ranking the main issue; avoid a CTR-only rewrite.</x:v>
      </x:c>
      <x:c r="Q805" s="6" t="str">
        <x:v>nissan</x:v>
      </x:c>
      <x:c r="R805" s="6" t="str">
        <x:v>service-repair</x:v>
      </x:c>
      <x:c r="S805" s="6" t="str">
        <x:v>Location unspecified</x:v>
      </x:c>
      <x:c r="T805" s="6" t="n">
        <x:v>3</x:v>
      </x:c>
      <x:c r="U805" s="6" t="str">
        <x:v>21–40</x:v>
      </x:c>
      <x:c r="V805" s="6" t="str">
        <x:v>Content, internal authority and owner alignment</x:v>
      </x:c>
      <x:c r="W805" s="6" t="str">
        <x:v>Relevant supporting</x:v>
      </x:c>
      <x:c r="X805" s="6" t="n">
        <x:v>801</x:v>
      </x:c>
      <x:c r="Y805" s="6" t="str">
        <x:v>Unconfirmed — joint query/page data required</x:v>
      </x:c>
    </x:row>
    <x:row r="806" ht="42" customHeight="1">
      <x:c r="A806" s="6" t="str">
        <x:v>صيانة جيب</x:v>
      </x:c>
      <x:c r="B806" s="14" t="n">
        <x:v>0</x:v>
      </x:c>
      <x:c r="C806" s="14" t="n">
        <x:v>15</x:v>
      </x:c>
      <x:c r="D806" s="15" t="n">
        <x:v>0</x:v>
      </x:c>
      <x:c r="E806" s="16" t="n">
        <x:v>25.2</x:v>
      </x:c>
      <x:c r="F806" s="6" t="str">
        <x:v>HIGH</x:v>
      </x:c>
      <x:c r="G806" s="17" t="n">
        <x:f>'Scoring'!I806</x:f>
        <x:v>63.5</x:v>
      </x:c>
      <x:c r="H806" s="6" t="str">
        <x:v>SUPPORT</x:v>
      </x:c>
      <x:c r="I806" s="6" t="str">
        <x:v>jeep: Service and repair (Arabic)</x:v>
      </x:c>
      <x:c r="J806" s="6" t="str">
        <x:v>Secondary</x:v>
      </x:c>
      <x:c r="K806" s="6" t="str">
        <x:v>Commercial service enquiry</x:v>
      </x:c>
      <x:c r="L806" s="6" t="str">
        <x:v>High</x:v>
      </x:c>
      <x:c r="M806" s="6" t="str">
        <x:v>https://digitecme.com/ar/brands/jeep-service-dubai</x:v>
      </x:c>
      <x:c r="N806" s="6" t="str">
        <x:v>Unknown — export has no query/page pairing</x:v>
      </x:c>
      <x:c r="O806" s="6" t="str">
        <x:v>Retain primary intent and support variants</x:v>
      </x:c>
      <x:c r="P806" s="6" t="str">
        <x:v>Use the existing Arabic counterpart and verify its translation quality. Average position 25.20 makes ranking the main issue; avoid a CTR-only rewrite.</x:v>
      </x:c>
      <x:c r="Q806" s="6" t="str">
        <x:v>jeep</x:v>
      </x:c>
      <x:c r="R806" s="6" t="str">
        <x:v>service-repair</x:v>
      </x:c>
      <x:c r="S806" s="6" t="str">
        <x:v>Location unspecified</x:v>
      </x:c>
      <x:c r="T806" s="6" t="n">
        <x:v>3</x:v>
      </x:c>
      <x:c r="U806" s="6" t="str">
        <x:v>21–40</x:v>
      </x:c>
      <x:c r="V806" s="6" t="str">
        <x:v>Content, internal authority and owner alignment</x:v>
      </x:c>
      <x:c r="W806" s="6" t="str">
        <x:v>Relevant supporting</x:v>
      </x:c>
      <x:c r="X806" s="6" t="n">
        <x:v>802</x:v>
      </x:c>
      <x:c r="Y806" s="6" t="str">
        <x:v>Unconfirmed — joint query/page data required</x:v>
      </x:c>
    </x:row>
    <x:row r="807" ht="57" customHeight="1">
      <x:c r="A807" s="6" t="str">
        <x:v>vw golf battery service</x:v>
      </x:c>
      <x:c r="B807" s="14" t="n">
        <x:v>0</x:v>
      </x:c>
      <x:c r="C807" s="14" t="n">
        <x:v>15</x:v>
      </x:c>
      <x:c r="D807" s="15" t="n">
        <x:v>0</x:v>
      </x:c>
      <x:c r="E807" s="16" t="n">
        <x:v>29.87</x:v>
      </x:c>
      <x:c r="F807" s="6" t="str">
        <x:v>HIGH</x:v>
      </x:c>
      <x:c r="G807" s="17" t="n">
        <x:f>'Scoring'!I807</x:f>
        <x:v>36.4</x:v>
      </x:c>
      <x:c r="H807" s="6" t="str">
        <x:v>SPLIT</x:v>
      </x:c>
      <x:c r="I807" s="6" t="str">
        <x:v>volkswagen: Battery service</x:v>
      </x:c>
      <x:c r="J807" s="6" t="str">
        <x:v>Secondary</x:v>
      </x:c>
      <x:c r="K807" s="6" t="str">
        <x:v>Commercial service enquiry</x:v>
      </x:c>
      <x:c r="L807" s="6" t="str">
        <x:v>Medium</x:v>
      </x:c>
      <x:c r="M807" s="6" t="str">
        <x:v>https://digitecme.com/brands/volkswagen-service-dubai/battery-replacement</x:v>
      </x:c>
      <x:c r="N807" s="6" t="str">
        <x:v>Unknown — export has no query/page pairing</x:v>
      </x:c>
      <x:c r="O807" s="6" t="str">
        <x:v>Use dedicated service owner</x:v>
      </x:c>
      <x:c r="P807" s="6" t="str">
        <x:v>Existing specific page is noindex; assess service evidence and distinct content before changing indexation. Average position 29.87 makes ranking the main issue; avoid a CTR-only rewrite.</x:v>
      </x:c>
      <x:c r="Q807" s="6" t="str">
        <x:v>volkswagen</x:v>
      </x:c>
      <x:c r="R807" s="6" t="str">
        <x:v>battery-replacement</x:v>
      </x:c>
      <x:c r="S807" s="6" t="str">
        <x:v>Location unspecified</x:v>
      </x:c>
      <x:c r="T807" s="6" t="n">
        <x:v>3</x:v>
      </x:c>
      <x:c r="U807" s="6" t="str">
        <x:v>21–40</x:v>
      </x:c>
      <x:c r="V807" s="6" t="str">
        <x:v>Content, internal authority and owner alignment</x:v>
      </x:c>
      <x:c r="W807" s="6" t="str">
        <x:v>High-value commercial</x:v>
      </x:c>
      <x:c r="X807" s="6" t="n">
        <x:v>803</x:v>
      </x:c>
      <x:c r="Y807" s="6" t="str">
        <x:v>Unconfirmed — joint query/page data required</x:v>
      </x:c>
    </x:row>
    <x:row r="808" ht="42" customHeight="1">
      <x:c r="A808" s="6" t="str">
        <x:v>audi repair specialist in dubai</x:v>
      </x:c>
      <x:c r="B808" s="14" t="n">
        <x:v>0</x:v>
      </x:c>
      <x:c r="C808" s="14" t="n">
        <x:v>15</x:v>
      </x:c>
      <x:c r="D808" s="15" t="n">
        <x:v>0</x:v>
      </x:c>
      <x:c r="E808" s="16" t="n">
        <x:v>31.13</x:v>
      </x:c>
      <x:c r="F808" s="6" t="str">
        <x:v>GROWTH</x:v>
      </x:c>
      <x:c r="G808" s="17" t="n">
        <x:f>'Scoring'!I808</x:f>
        <x:v>69</x:v>
      </x:c>
      <x:c r="H808" s="6" t="str">
        <x:v>SUPPORT</x:v>
      </x:c>
      <x:c r="I808" s="6" t="str">
        <x:v>audi: Service and repair (English)</x:v>
      </x:c>
      <x:c r="J808" s="6" t="str">
        <x:v>Secondary</x:v>
      </x:c>
      <x:c r="K808" s="6" t="str">
        <x:v>Commercial service enquiry</x:v>
      </x:c>
      <x:c r="L808" s="6" t="str">
        <x:v>High</x:v>
      </x:c>
      <x:c r="M808" s="6" t="str">
        <x:v>https://digitecme.com/brands/audi-service-dubai</x:v>
      </x:c>
      <x:c r="N808" s="6" t="str">
        <x:v>Unknown — export has no query/page pairing</x:v>
      </x:c>
      <x:c r="O808" s="6" t="str">
        <x:v>Retain primary intent and support variants</x:v>
      </x:c>
      <x:c r="P808" s="6" t="str">
        <x:v>Average position 31.13 makes ranking the main issue; avoid a CTR-only rewrite.</x:v>
      </x:c>
      <x:c r="Q808" s="6" t="str">
        <x:v>audi</x:v>
      </x:c>
      <x:c r="R808" s="6" t="str">
        <x:v>service-repair</x:v>
      </x:c>
      <x:c r="S808" s="6" t="str">
        <x:v>Dubai explicit</x:v>
      </x:c>
      <x:c r="T808" s="6" t="n">
        <x:v>5</x:v>
      </x:c>
      <x:c r="U808" s="6" t="str">
        <x:v>21–40</x:v>
      </x:c>
      <x:c r="V808" s="6" t="str">
        <x:v>Content, internal authority and owner alignment</x:v>
      </x:c>
      <x:c r="W808" s="6" t="str">
        <x:v>Relevant supporting</x:v>
      </x:c>
      <x:c r="X808" s="6" t="n">
        <x:v>804</x:v>
      </x:c>
      <x:c r="Y808" s="6" t="str">
        <x:v>Unconfirmed — joint query/page data required</x:v>
      </x:c>
    </x:row>
    <x:row r="809" ht="57" customHeight="1">
      <x:c r="A809" s="6" t="str">
        <x:v>volkswagen car battery uae</x:v>
      </x:c>
      <x:c r="B809" s="14" t="n">
        <x:v>0</x:v>
      </x:c>
      <x:c r="C809" s="14" t="n">
        <x:v>15</x:v>
      </x:c>
      <x:c r="D809" s="15" t="n">
        <x:v>0</x:v>
      </x:c>
      <x:c r="E809" s="16" t="n">
        <x:v>31.67</x:v>
      </x:c>
      <x:c r="F809" s="6" t="str">
        <x:v>GROWTH</x:v>
      </x:c>
      <x:c r="G809" s="17" t="n">
        <x:f>'Scoring'!I809</x:f>
        <x:v>31.5</x:v>
      </x:c>
      <x:c r="H809" s="6" t="str">
        <x:v>SPLIT</x:v>
      </x:c>
      <x:c r="I809" s="6" t="str">
        <x:v>volkswagen: Battery service</x:v>
      </x:c>
      <x:c r="J809" s="6" t="str">
        <x:v>Secondary</x:v>
      </x:c>
      <x:c r="K809" s="6" t="str">
        <x:v>Commercial service enquiry</x:v>
      </x:c>
      <x:c r="L809" s="6" t="str">
        <x:v>Medium</x:v>
      </x:c>
      <x:c r="M809" s="6" t="str">
        <x:v>https://digitecme.com/brands/volkswagen-service-dubai/battery-replacement</x:v>
      </x:c>
      <x:c r="N809" s="6" t="str">
        <x:v>Unknown — export has no query/page pairing</x:v>
      </x:c>
      <x:c r="O809" s="6" t="str">
        <x:v>Use dedicated service owner</x:v>
      </x:c>
      <x:c r="P809" s="6" t="str">
        <x:v>Existing specific page is noindex; assess service evidence and distinct content before changing indexation. Average position 31.67 makes ranking the main issue; avoid a CTR-only rewrite.</x:v>
      </x:c>
      <x:c r="Q809" s="6" t="str">
        <x:v>volkswagen</x:v>
      </x:c>
      <x:c r="R809" s="6" t="str">
        <x:v>battery-replacement</x:v>
      </x:c>
      <x:c r="S809" s="6" t="str">
        <x:v>Location unspecified</x:v>
      </x:c>
      <x:c r="T809" s="6" t="n">
        <x:v>3</x:v>
      </x:c>
      <x:c r="U809" s="6" t="str">
        <x:v>21–40</x:v>
      </x:c>
      <x:c r="V809" s="6" t="str">
        <x:v>Content, internal authority and owner alignment</x:v>
      </x:c>
      <x:c r="W809" s="6" t="str">
        <x:v>High-value commercial</x:v>
      </x:c>
      <x:c r="X809" s="6" t="n">
        <x:v>805</x:v>
      </x:c>
      <x:c r="Y809" s="6" t="str">
        <x:v>Unconfirmed — joint query/page data required</x:v>
      </x:c>
    </x:row>
    <x:row r="810" ht="42" customHeight="1">
      <x:c r="A810" s="6" t="str">
        <x:v>trusted car workshop in dubai</x:v>
      </x:c>
      <x:c r="B810" s="14" t="n">
        <x:v>0</x:v>
      </x:c>
      <x:c r="C810" s="14" t="n">
        <x:v>15</x:v>
      </x:c>
      <x:c r="D810" s="15" t="n">
        <x:v>0</x:v>
      </x:c>
      <x:c r="E810" s="16" t="n">
        <x:v>32.13</x:v>
      </x:c>
      <x:c r="F810" s="6" t="str">
        <x:v>GROWTH</x:v>
      </x:c>
      <x:c r="G810" s="17" t="n">
        <x:f>'Scoring'!I810</x:f>
        <x:v>61</x:v>
      </x:c>
      <x:c r="H810" s="6" t="str">
        <x:v>SUPPORT</x:v>
      </x:c>
      <x:c r="I810" s="6" t="str">
        <x:v>All vehicles: General garage and repair (English)</x:v>
      </x:c>
      <x:c r="J810" s="6" t="str">
        <x:v>Secondary</x:v>
      </x:c>
      <x:c r="K810" s="6" t="str">
        <x:v>Commercial service enquiry</x:v>
      </x:c>
      <x:c r="L810" s="6" t="str">
        <x:v>High</x:v>
      </x:c>
      <x:c r="M810" s="6" t="str">
        <x:v>https://digitecme.com/services/car-garage-dubai</x:v>
      </x:c>
      <x:c r="N810" s="6" t="str">
        <x:v>Unknown — export has no query/page pairing</x:v>
      </x:c>
      <x:c r="O810" s="6" t="str">
        <x:v>Retain primary intent and support variants</x:v>
      </x:c>
      <x:c r="P810" s="6" t="str">
        <x:v>Average position 32.13 makes ranking the main issue; avoid a CTR-only rewrite.</x:v>
      </x:c>
      <x:c r="Q810" s="6" t="str">
        <x:v>All vehicles</x:v>
      </x:c>
      <x:c r="R810" s="6" t="str">
        <x:v>service-repair</x:v>
      </x:c>
      <x:c r="S810" s="6" t="str">
        <x:v>Dubai explicit</x:v>
      </x:c>
      <x:c r="T810" s="6" t="n">
        <x:v>3</x:v>
      </x:c>
      <x:c r="U810" s="6" t="str">
        <x:v>21–40</x:v>
      </x:c>
      <x:c r="V810" s="6" t="str">
        <x:v>Content, internal authority and owner alignment</x:v>
      </x:c>
      <x:c r="W810" s="6" t="str">
        <x:v>Relevant supporting</x:v>
      </x:c>
      <x:c r="X810" s="6" t="n">
        <x:v>806</x:v>
      </x:c>
      <x:c r="Y810" s="6" t="str">
        <x:v>Unconfirmed — joint query/page data required</x:v>
      </x:c>
    </x:row>
    <x:row r="811" ht="42" customHeight="1">
      <x:c r="A811" s="6" t="str">
        <x:v>lamborghini dubai service center</x:v>
      </x:c>
      <x:c r="B811" s="14" t="n">
        <x:v>0</x:v>
      </x:c>
      <x:c r="C811" s="14" t="n">
        <x:v>15</x:v>
      </x:c>
      <x:c r="D811" s="15" t="n">
        <x:v>0</x:v>
      </x:c>
      <x:c r="E811" s="16" t="n">
        <x:v>33.67</x:v>
      </x:c>
      <x:c r="F811" s="6" t="str">
        <x:v>GROWTH</x:v>
      </x:c>
      <x:c r="G811" s="17" t="n">
        <x:f>'Scoring'!I811</x:f>
        <x:v>69</x:v>
      </x:c>
      <x:c r="H811" s="6" t="str">
        <x:v>SUPPORT</x:v>
      </x:c>
      <x:c r="I811" s="6" t="str">
        <x:v>lamborghini: Service and repair</x:v>
      </x:c>
      <x:c r="J811" s="6" t="str">
        <x:v>Secondary</x:v>
      </x:c>
      <x:c r="K811" s="6" t="str">
        <x:v>Commercial service enquiry</x:v>
      </x:c>
      <x:c r="L811" s="6" t="str">
        <x:v>High</x:v>
      </x:c>
      <x:c r="M811" s="6" t="str">
        <x:v>https://digitecme.com/brands/lamborghini-service-dubai</x:v>
      </x:c>
      <x:c r="N811" s="6" t="str">
        <x:v>Unknown — export has no query/page pairing</x:v>
      </x:c>
      <x:c r="O811" s="6" t="str">
        <x:v>Retain primary intent and support variants</x:v>
      </x:c>
      <x:c r="P811" s="6" t="str">
        <x:v>Average position 33.67 makes ranking the main issue; avoid a CTR-only rewrite.</x:v>
      </x:c>
      <x:c r="Q811" s="6" t="str">
        <x:v>lamborghini</x:v>
      </x:c>
      <x:c r="R811" s="6" t="str">
        <x:v>service-repair</x:v>
      </x:c>
      <x:c r="S811" s="6" t="str">
        <x:v>Dubai explicit</x:v>
      </x:c>
      <x:c r="T811" s="6" t="n">
        <x:v>5</x:v>
      </x:c>
      <x:c r="U811" s="6" t="str">
        <x:v>21–40</x:v>
      </x:c>
      <x:c r="V811" s="6" t="str">
        <x:v>Content, internal authority and owner alignment</x:v>
      </x:c>
      <x:c r="W811" s="6" t="str">
        <x:v>Relevant supporting</x:v>
      </x:c>
      <x:c r="X811" s="6" t="n">
        <x:v>807</x:v>
      </x:c>
      <x:c r="Y811" s="6" t="str">
        <x:v>Unconfirmed — joint query/page data required</x:v>
      </x:c>
    </x:row>
    <x:row r="812" ht="42" customHeight="1">
      <x:c r="A812" s="6" t="str">
        <x:v>افضل مركز صيانة لينكولن</x:v>
      </x:c>
      <x:c r="B812" s="14" t="n">
        <x:v>0</x:v>
      </x:c>
      <x:c r="C812" s="14" t="n">
        <x:v>15</x:v>
      </x:c>
      <x:c r="D812" s="15" t="n">
        <x:v>0</x:v>
      </x:c>
      <x:c r="E812" s="16" t="n">
        <x:v>35</x:v>
      </x:c>
      <x:c r="F812" s="6" t="str">
        <x:v>GROWTH</x:v>
      </x:c>
      <x:c r="G812" s="17" t="n">
        <x:f>'Scoring'!I812</x:f>
        <x:v>56</x:v>
      </x:c>
      <x:c r="H812" s="6" t="str">
        <x:v>SUPPORT</x:v>
      </x:c>
      <x:c r="I812" s="6" t="str">
        <x:v>lincoln: Service and repair (Arabic)</x:v>
      </x:c>
      <x:c r="J812" s="6" t="str">
        <x:v>Secondary</x:v>
      </x:c>
      <x:c r="K812" s="6" t="str">
        <x:v>Commercial service enquiry</x:v>
      </x:c>
      <x:c r="L812" s="6" t="str">
        <x:v>High</x:v>
      </x:c>
      <x:c r="M812" s="6" t="str">
        <x:v>https://digitecme.com/ar/brands/lincoln-service-dubai</x:v>
      </x:c>
      <x:c r="N812" s="6" t="str">
        <x:v>Unknown — export has no query/page pairing</x:v>
      </x:c>
      <x:c r="O812" s="6" t="str">
        <x:v>Retain primary intent and support variants</x:v>
      </x:c>
      <x:c r="P812" s="6" t="str">
        <x:v>Use the existing Arabic counterpart and verify its translation quality. Average position 35.00 makes ranking the main issue; avoid a CTR-only rewrite.</x:v>
      </x:c>
      <x:c r="Q812" s="6" t="str">
        <x:v>lincoln</x:v>
      </x:c>
      <x:c r="R812" s="6" t="str">
        <x:v>service-repair</x:v>
      </x:c>
      <x:c r="S812" s="6" t="str">
        <x:v>Location unspecified</x:v>
      </x:c>
      <x:c r="T812" s="6" t="n">
        <x:v>3</x:v>
      </x:c>
      <x:c r="U812" s="6" t="str">
        <x:v>21–40</x:v>
      </x:c>
      <x:c r="V812" s="6" t="str">
        <x:v>Content, internal authority and owner alignment</x:v>
      </x:c>
      <x:c r="W812" s="6" t="str">
        <x:v>Relevant supporting</x:v>
      </x:c>
      <x:c r="X812" s="6" t="n">
        <x:v>808</x:v>
      </x:c>
      <x:c r="Y812" s="6" t="str">
        <x:v>Unconfirmed — joint query/page data required</x:v>
      </x:c>
    </x:row>
    <x:row r="813" ht="42" customHeight="1">
      <x:c r="A813" s="6" t="str">
        <x:v>car ac service in dubai</x:v>
      </x:c>
      <x:c r="B813" s="14" t="n">
        <x:v>0</x:v>
      </x:c>
      <x:c r="C813" s="14" t="n">
        <x:v>15</x:v>
      </x:c>
      <x:c r="D813" s="15" t="n">
        <x:v>0</x:v>
      </x:c>
      <x:c r="E813" s="16" t="n">
        <x:v>36</x:v>
      </x:c>
      <x:c r="F813" s="6" t="str">
        <x:v>GROWTH</x:v>
      </x:c>
      <x:c r="G813" s="17" t="n">
        <x:f>'Scoring'!I813</x:f>
        <x:v>61</x:v>
      </x:c>
      <x:c r="H813" s="6" t="str">
        <x:v>SUPPORT</x:v>
      </x:c>
      <x:c r="I813" s="6" t="str">
        <x:v>All vehicles: AC repair</x:v>
      </x:c>
      <x:c r="J813" s="6" t="str">
        <x:v>Secondary</x:v>
      </x:c>
      <x:c r="K813" s="6" t="str">
        <x:v>Commercial service enquiry</x:v>
      </x:c>
      <x:c r="L813" s="6" t="str">
        <x:v>High</x:v>
      </x:c>
      <x:c r="M813" s="6" t="str">
        <x:v>https://digitecme.com/services/car-ac-repair-dubai</x:v>
      </x:c>
      <x:c r="N813" s="6" t="str">
        <x:v>Unknown — export has no query/page pairing</x:v>
      </x:c>
      <x:c r="O813" s="6" t="str">
        <x:v>Retain primary intent and support variants</x:v>
      </x:c>
      <x:c r="P813" s="6" t="str">
        <x:v>Average position 36.00 makes ranking the main issue; avoid a CTR-only rewrite.</x:v>
      </x:c>
      <x:c r="Q813" s="6" t="str">
        <x:v>All vehicles</x:v>
      </x:c>
      <x:c r="R813" s="6" t="str">
        <x:v>ac-repair</x:v>
      </x:c>
      <x:c r="S813" s="6" t="str">
        <x:v>Dubai explicit</x:v>
      </x:c>
      <x:c r="T813" s="6" t="n">
        <x:v>3</x:v>
      </x:c>
      <x:c r="U813" s="6" t="str">
        <x:v>21–40</x:v>
      </x:c>
      <x:c r="V813" s="6" t="str">
        <x:v>Content, internal authority and owner alignment</x:v>
      </x:c>
      <x:c r="W813" s="6" t="str">
        <x:v>Relevant supporting</x:v>
      </x:c>
      <x:c r="X813" s="6" t="n">
        <x:v>809</x:v>
      </x:c>
      <x:c r="Y813" s="6" t="str">
        <x:v>Unconfirmed — joint query/page data required</x:v>
      </x:c>
    </x:row>
    <x:row r="814" ht="42" customHeight="1">
      <x:c r="A814" s="6" t="str">
        <x:v>mazda service centers</x:v>
      </x:c>
      <x:c r="B814" s="14" t="n">
        <x:v>0</x:v>
      </x:c>
      <x:c r="C814" s="14" t="n">
        <x:v>15</x:v>
      </x:c>
      <x:c r="D814" s="15" t="n">
        <x:v>0</x:v>
      </x:c>
      <x:c r="E814" s="16" t="n">
        <x:v>36.47</x:v>
      </x:c>
      <x:c r="F814" s="6" t="str">
        <x:v>GROWTH</x:v>
      </x:c>
      <x:c r="G814" s="17" t="n">
        <x:f>'Scoring'!I814</x:f>
        <x:v>56</x:v>
      </x:c>
      <x:c r="H814" s="6" t="str">
        <x:v>SUPPORT</x:v>
      </x:c>
      <x:c r="I814" s="6" t="str">
        <x:v>mazda: Service and repair (English)</x:v>
      </x:c>
      <x:c r="J814" s="6" t="str">
        <x:v>Secondary</x:v>
      </x:c>
      <x:c r="K814" s="6" t="str">
        <x:v>Commercial service enquiry</x:v>
      </x:c>
      <x:c r="L814" s="6" t="str">
        <x:v>High</x:v>
      </x:c>
      <x:c r="M814" s="6" t="str">
        <x:v>https://digitecme.com/brands/mazda-service-dubai</x:v>
      </x:c>
      <x:c r="N814" s="6" t="str">
        <x:v>Unknown — export has no query/page pairing</x:v>
      </x:c>
      <x:c r="O814" s="6" t="str">
        <x:v>Retain primary intent and support variants</x:v>
      </x:c>
      <x:c r="P814" s="6" t="str">
        <x:v>Average position 36.47 makes ranking the main issue; avoid a CTR-only rewrite.</x:v>
      </x:c>
      <x:c r="Q814" s="6" t="str">
        <x:v>mazda</x:v>
      </x:c>
      <x:c r="R814" s="6" t="str">
        <x:v>service-repair</x:v>
      </x:c>
      <x:c r="S814" s="6" t="str">
        <x:v>Location unspecified</x:v>
      </x:c>
      <x:c r="T814" s="6" t="n">
        <x:v>3</x:v>
      </x:c>
      <x:c r="U814" s="6" t="str">
        <x:v>21–40</x:v>
      </x:c>
      <x:c r="V814" s="6" t="str">
        <x:v>Content, internal authority and owner alignment</x:v>
      </x:c>
      <x:c r="W814" s="6" t="str">
        <x:v>Relevant supporting</x:v>
      </x:c>
      <x:c r="X814" s="6" t="n">
        <x:v>810</x:v>
      </x:c>
      <x:c r="Y814" s="6" t="str">
        <x:v>Unconfirmed — joint query/page data required</x:v>
      </x:c>
    </x:row>
    <x:row r="815" ht="42" customHeight="1">
      <x:c r="A815" s="6" t="str">
        <x:v>professional ppf service dubai</x:v>
      </x:c>
      <x:c r="B815" s="14" t="n">
        <x:v>0</x:v>
      </x:c>
      <x:c r="C815" s="14" t="n">
        <x:v>15</x:v>
      </x:c>
      <x:c r="D815" s="15" t="n">
        <x:v>0</x:v>
      </x:c>
      <x:c r="E815" s="16" t="n">
        <x:v>37.13</x:v>
      </x:c>
      <x:c r="F815" s="6" t="str">
        <x:v>GROWTH</x:v>
      </x:c>
      <x:c r="G815" s="17" t="n">
        <x:f>'Scoring'!I815</x:f>
        <x:v>69</x:v>
      </x:c>
      <x:c r="H815" s="6" t="str">
        <x:v>SUPPORT</x:v>
      </x:c>
      <x:c r="I815" s="6" t="str">
        <x:v>All vehicles: Paint protection film</x:v>
      </x:c>
      <x:c r="J815" s="6" t="str">
        <x:v>Secondary</x:v>
      </x:c>
      <x:c r="K815" s="6" t="str">
        <x:v>Commercial service enquiry</x:v>
      </x:c>
      <x:c r="L815" s="6" t="str">
        <x:v>High</x:v>
      </x:c>
      <x:c r="M815" s="6" t="str">
        <x:v>https://digitecme.com/services/paint-protection-film</x:v>
      </x:c>
      <x:c r="N815" s="6" t="str">
        <x:v>Unknown — export has no query/page pairing</x:v>
      </x:c>
      <x:c r="O815" s="6" t="str">
        <x:v>Retain primary intent and support variants</x:v>
      </x:c>
      <x:c r="P815" s="6" t="str">
        <x:v>Film intent belongs to the PPF page; vehicle and district terms are secondary context. Average position 37.13 makes ranking the main issue; avoid a CTR-only rewrite.</x:v>
      </x:c>
      <x:c r="Q815" s="6" t="str">
        <x:v>All vehicles</x:v>
      </x:c>
      <x:c r="R815" s="6" t="str">
        <x:v>ppf</x:v>
      </x:c>
      <x:c r="S815" s="6" t="str">
        <x:v>Dubai explicit</x:v>
      </x:c>
      <x:c r="T815" s="6" t="n">
        <x:v>5</x:v>
      </x:c>
      <x:c r="U815" s="6" t="str">
        <x:v>21–40</x:v>
      </x:c>
      <x:c r="V815" s="6" t="str">
        <x:v>Content, internal authority and owner alignment</x:v>
      </x:c>
      <x:c r="W815" s="6" t="str">
        <x:v>Relevant supporting</x:v>
      </x:c>
      <x:c r="X815" s="6" t="n">
        <x:v>811</x:v>
      </x:c>
      <x:c r="Y815" s="6" t="str">
        <x:v>Unconfirmed — joint query/page data required</x:v>
      </x:c>
    </x:row>
    <x:row r="816" ht="42" customHeight="1">
      <x:c r="A816" s="6" t="str">
        <x:v>battery replacement service</x:v>
      </x:c>
      <x:c r="B816" s="14" t="n">
        <x:v>0</x:v>
      </x:c>
      <x:c r="C816" s="14" t="n">
        <x:v>15</x:v>
      </x:c>
      <x:c r="D816" s="15" t="n">
        <x:v>0</x:v>
      </x:c>
      <x:c r="E816" s="16" t="n">
        <x:v>38.27</x:v>
      </x:c>
      <x:c r="F816" s="6" t="str">
        <x:v>GROWTH</x:v>
      </x:c>
      <x:c r="G816" s="17" t="n">
        <x:f>'Scoring'!I816</x:f>
        <x:v>56</x:v>
      </x:c>
      <x:c r="H816" s="6" t="str">
        <x:v>SUPPORT</x:v>
      </x:c>
      <x:c r="I816" s="6" t="str">
        <x:v>All vehicles: Battery service (English)</x:v>
      </x:c>
      <x:c r="J816" s="6" t="str">
        <x:v>Secondary</x:v>
      </x:c>
      <x:c r="K816" s="6" t="str">
        <x:v>Commercial service enquiry</x:v>
      </x:c>
      <x:c r="L816" s="6" t="str">
        <x:v>High</x:v>
      </x:c>
      <x:c r="M816" s="6" t="str">
        <x:v>https://digitecme.com/services/battery-replacement-dubai</x:v>
      </x:c>
      <x:c r="N816" s="6" t="str">
        <x:v>Unknown — export has no query/page pairing</x:v>
      </x:c>
      <x:c r="O816" s="6" t="str">
        <x:v>Retain primary intent and support variants</x:v>
      </x:c>
      <x:c r="P816" s="6" t="str">
        <x:v>Average position 38.27 makes ranking the main issue; avoid a CTR-only rewrite.</x:v>
      </x:c>
      <x:c r="Q816" s="6" t="str">
        <x:v>All vehicles</x:v>
      </x:c>
      <x:c r="R816" s="6" t="str">
        <x:v>battery-replacement</x:v>
      </x:c>
      <x:c r="S816" s="6" t="str">
        <x:v>Location unspecified</x:v>
      </x:c>
      <x:c r="T816" s="6" t="n">
        <x:v>3</x:v>
      </x:c>
      <x:c r="U816" s="6" t="str">
        <x:v>21–40</x:v>
      </x:c>
      <x:c r="V816" s="6" t="str">
        <x:v>Content, internal authority and owner alignment</x:v>
      </x:c>
      <x:c r="W816" s="6" t="str">
        <x:v>Relevant supporting</x:v>
      </x:c>
      <x:c r="X816" s="6" t="n">
        <x:v>812</x:v>
      </x:c>
      <x:c r="Y816" s="6" t="str">
        <x:v>Unconfirmed — joint query/page data required</x:v>
      </x:c>
    </x:row>
    <x:row r="817" ht="42" customHeight="1">
      <x:c r="A817" s="6" t="str">
        <x:v>audi gearbox specialist near me</x:v>
      </x:c>
      <x:c r="B817" s="14" t="n">
        <x:v>0</x:v>
      </x:c>
      <x:c r="C817" s="14" t="n">
        <x:v>15</x:v>
      </x:c>
      <x:c r="D817" s="15" t="n">
        <x:v>0</x:v>
      </x:c>
      <x:c r="E817" s="16" t="n">
        <x:v>40.87</x:v>
      </x:c>
      <x:c r="F817" s="6" t="str">
        <x:v>GROWTH</x:v>
      </x:c>
      <x:c r="G817" s="17" t="n">
        <x:f>'Scoring'!I817</x:f>
        <x:v>62.8</x:v>
      </x:c>
      <x:c r="H817" s="6" t="str">
        <x:v>SPLIT</x:v>
      </x:c>
      <x:c r="I817" s="6" t="str">
        <x:v>audi: Transmission and gearbox repair</x:v>
      </x:c>
      <x:c r="J817" s="6" t="str">
        <x:v>Secondary</x:v>
      </x:c>
      <x:c r="K817" s="6" t="str">
        <x:v>Commercial service enquiry</x:v>
      </x:c>
      <x:c r="L817" s="6" t="str">
        <x:v>High</x:v>
      </x:c>
      <x:c r="M817" s="6" t="str">
        <x:v>https://digitecme.com/brands/audi-service-dubai/transmission-repair</x:v>
      </x:c>
      <x:c r="N817" s="6" t="str">
        <x:v>Unknown — export has no query/page pairing</x:v>
      </x:c>
      <x:c r="O817" s="6" t="str">
        <x:v>Use dedicated service owner</x:v>
      </x:c>
      <x:c r="P817" s="6" t="str">
        <x:v>Average position 40.87 makes ranking the main issue; avoid a CTR-only rewrite.</x:v>
      </x:c>
      <x:c r="Q817" s="6" t="str">
        <x:v>audi</x:v>
      </x:c>
      <x:c r="R817" s="6" t="str">
        <x:v>transmission-repair</x:v>
      </x:c>
      <x:c r="S817" s="6" t="str">
        <x:v>Near me; location unknown</x:v>
      </x:c>
      <x:c r="T817" s="6" t="n">
        <x:v>5</x:v>
      </x:c>
      <x:c r="U817" s="6" t="str">
        <x:v>40+</x:v>
      </x:c>
      <x:c r="V817" s="6" t="str">
        <x:v>Relevance, capability, indexing and authority review</x:v>
      </x:c>
      <x:c r="W817" s="6" t="str">
        <x:v>High-value commercial</x:v>
      </x:c>
      <x:c r="X817" s="6" t="n">
        <x:v>813</x:v>
      </x:c>
      <x:c r="Y817" s="6" t="str">
        <x:v>Unconfirmed — joint query/page data required</x:v>
      </x:c>
    </x:row>
    <x:row r="818" ht="72" customHeight="1">
      <x:c r="A818" s="6" t="str">
        <x:v>graphene car paint protection in dubai</x:v>
      </x:c>
      <x:c r="B818" s="14" t="n">
        <x:v>0</x:v>
      </x:c>
      <x:c r="C818" s="14" t="n">
        <x:v>15</x:v>
      </x:c>
      <x:c r="D818" s="15" t="n">
        <x:v>0</x:v>
      </x:c>
      <x:c r="E818" s="16" t="n">
        <x:v>44.47</x:v>
      </x:c>
      <x:c r="F818" s="6" t="str">
        <x:v>DEPRIORITIZE</x:v>
      </x:c>
      <x:c r="G818" s="17" t="n">
        <x:f>'Scoring'!I818</x:f>
        <x:v>4.7</x:v>
      </x:c>
      <x:c r="H818" s="6" t="str">
        <x:v>DEPRIORITIZE</x:v>
      </x:c>
      <x:c r="I818" s="6" t="str">
        <x:v>All vehicles: Paint care and protection comparison</x:v>
      </x:c>
      <x:c r="J818" s="6" t="str">
        <x:v>Secondary</x:v>
      </x:c>
      <x:c r="K818" s="6" t="str">
        <x:v>Commercial service enquiry</x:v>
      </x:c>
      <x:c r="L818" s="6" t="str">
        <x:v>Unverified</x:v>
      </x:c>
      <x:c r="M818" s="6" t="str">
        <x:v>https://digitecme.com/services/paint-protection-dubai</x:v>
      </x:c>
      <x:c r="N818" s="6" t="str">
        <x:v>Unknown — export has no query/page pairing</x:v>
      </x:c>
      <x:c r="O818" s="6" t="str">
        <x:v>Confirm scope or deprioritize</x:v>
      </x:c>
      <x:c r="P818" s="6" t="str">
        <x:v>Broad protection intent is mixed; the comparison hub should direct film and coating enquiries to their specialist pages. Product, high-voltage, delivery or specialist capability requires business confirmation; existing copy alone is not sufficient evidence. Average position 44.47 makes ranking the main issue; avoid a CTR-only rewrite.</x:v>
      </x:c>
      <x:c r="Q818" s="6" t="str">
        <x:v>All vehicles</x:v>
      </x:c>
      <x:c r="R818" s="6" t="str">
        <x:v>paint-care</x:v>
      </x:c>
      <x:c r="S818" s="6" t="str">
        <x:v>Dubai explicit</x:v>
      </x:c>
      <x:c r="T818" s="6" t="n">
        <x:v>1</x:v>
      </x:c>
      <x:c r="U818" s="6" t="str">
        <x:v>40+</x:v>
      </x:c>
      <x:c r="V818" s="6" t="str">
        <x:v>Relevance, capability, indexing and authority review</x:v>
      </x:c>
      <x:c r="W818" s="6" t="str">
        <x:v>Low-value</x:v>
      </x:c>
      <x:c r="X818" s="6" t="n">
        <x:v>814</x:v>
      </x:c>
      <x:c r="Y818" s="6" t="str">
        <x:v>Unconfirmed — joint query/page data required</x:v>
      </x:c>
    </x:row>
    <x:row r="819" ht="72" customHeight="1">
      <x:c r="A819" s="6" t="str">
        <x:v>tesla battery</x:v>
      </x:c>
      <x:c r="B819" s="14" t="n">
        <x:v>0</x:v>
      </x:c>
      <x:c r="C819" s="14" t="n">
        <x:v>15</x:v>
      </x:c>
      <x:c r="D819" s="15" t="n">
        <x:v>0</x:v>
      </x:c>
      <x:c r="E819" s="16" t="n">
        <x:v>44.8</x:v>
      </x:c>
      <x:c r="F819" s="6" t="str">
        <x:v>DEPRIORITIZE</x:v>
      </x:c>
      <x:c r="G819" s="17" t="n">
        <x:f>'Scoring'!I819</x:f>
        <x:v>3.9</x:v>
      </x:c>
      <x:c r="H819" s="6" t="str">
        <x:v>DEPRIORITIZE</x:v>
      </x:c>
      <x:c r="I819" s="6" t="str">
        <x:v>tesla: Battery service</x:v>
      </x:c>
      <x:c r="J819" s="6" t="str">
        <x:v>Primary</x:v>
      </x:c>
      <x:c r="K819" s="6" t="str">
        <x:v>Commercial service enquiry</x:v>
      </x:c>
      <x:c r="L819" s="6" t="str">
        <x:v>Unverified</x:v>
      </x:c>
      <x:c r="M819" s="6" t="str">
        <x:v>https://digitecme.com/brands/tesla-service-dubai/battery-replacement</x:v>
      </x:c>
      <x:c r="N819" s="6" t="str">
        <x:v>Unknown — export has no query/page pairing</x:v>
      </x:c>
      <x:c r="O819" s="6" t="str">
        <x:v>Confirm scope or deprioritize</x:v>
      </x:c>
      <x:c r="P819" s="6" t="str">
        <x:v>Existing specific page is noindex; assess service evidence and distinct content before changing indexation. Product, high-voltage, delivery or specialist capability requires business confirmation; existing copy alone is not sufficient evidence. Average position 44.80 makes ranking the main issue; avoid a CTR-only rewrite.</x:v>
      </x:c>
      <x:c r="Q819" s="6" t="str">
        <x:v>tesla</x:v>
      </x:c>
      <x:c r="R819" s="6" t="str">
        <x:v>battery-replacement</x:v>
      </x:c>
      <x:c r="S819" s="6" t="str">
        <x:v>Location unspecified</x:v>
      </x:c>
      <x:c r="T819" s="6" t="n">
        <x:v>1</x:v>
      </x:c>
      <x:c r="U819" s="6" t="str">
        <x:v>40+</x:v>
      </x:c>
      <x:c r="V819" s="6" t="str">
        <x:v>Relevance, capability, indexing and authority review</x:v>
      </x:c>
      <x:c r="W819" s="6" t="str">
        <x:v>Low-value</x:v>
      </x:c>
      <x:c r="X819" s="6" t="n">
        <x:v>815</x:v>
      </x:c>
      <x:c r="Y819" s="6" t="str">
        <x:v>Unconfirmed — joint query/page data required</x:v>
      </x:c>
    </x:row>
    <x:row r="820" ht="72" customHeight="1">
      <x:c r="A820" s="6" t="str">
        <x:v>graphene paint protection in dubai</x:v>
      </x:c>
      <x:c r="B820" s="14" t="n">
        <x:v>0</x:v>
      </x:c>
      <x:c r="C820" s="14" t="n">
        <x:v>15</x:v>
      </x:c>
      <x:c r="D820" s="15" t="n">
        <x:v>0</x:v>
      </x:c>
      <x:c r="E820" s="16" t="n">
        <x:v>46</x:v>
      </x:c>
      <x:c r="F820" s="6" t="str">
        <x:v>DEPRIORITIZE</x:v>
      </x:c>
      <x:c r="G820" s="17" t="n">
        <x:f>'Scoring'!I820</x:f>
        <x:v>4.7</x:v>
      </x:c>
      <x:c r="H820" s="6" t="str">
        <x:v>DEPRIORITIZE</x:v>
      </x:c>
      <x:c r="I820" s="6" t="str">
        <x:v>All vehicles: Paint care and protection comparison</x:v>
      </x:c>
      <x:c r="J820" s="6" t="str">
        <x:v>Secondary</x:v>
      </x:c>
      <x:c r="K820" s="6" t="str">
        <x:v>Commercial service enquiry</x:v>
      </x:c>
      <x:c r="L820" s="6" t="str">
        <x:v>Unverified</x:v>
      </x:c>
      <x:c r="M820" s="6" t="str">
        <x:v>https://digitecme.com/services/paint-protection-dubai</x:v>
      </x:c>
      <x:c r="N820" s="6" t="str">
        <x:v>Unknown — export has no query/page pairing</x:v>
      </x:c>
      <x:c r="O820" s="6" t="str">
        <x:v>Confirm scope or deprioritize</x:v>
      </x:c>
      <x:c r="P820" s="6" t="str">
        <x:v>Broad protection intent is mixed; the comparison hub should direct film and coating enquiries to their specialist pages. Product, high-voltage, delivery or specialist capability requires business confirmation; existing copy alone is not sufficient evidence. Average position 46.00 makes ranking the main issue; avoid a CTR-only rewrite.</x:v>
      </x:c>
      <x:c r="Q820" s="6" t="str">
        <x:v>All vehicles</x:v>
      </x:c>
      <x:c r="R820" s="6" t="str">
        <x:v>paint-care</x:v>
      </x:c>
      <x:c r="S820" s="6" t="str">
        <x:v>Dubai explicit</x:v>
      </x:c>
      <x:c r="T820" s="6" t="n">
        <x:v>1</x:v>
      </x:c>
      <x:c r="U820" s="6" t="str">
        <x:v>40+</x:v>
      </x:c>
      <x:c r="V820" s="6" t="str">
        <x:v>Relevance, capability, indexing and authority review</x:v>
      </x:c>
      <x:c r="W820" s="6" t="str">
        <x:v>Low-value</x:v>
      </x:c>
      <x:c r="X820" s="6" t="n">
        <x:v>816</x:v>
      </x:c>
      <x:c r="Y820" s="6" t="str">
        <x:v>Unconfirmed — joint query/page data required</x:v>
      </x:c>
    </x:row>
    <x:row r="821" ht="42" customHeight="1">
      <x:c r="A821" s="6" t="str">
        <x:v>land rover repairs dubai</x:v>
      </x:c>
      <x:c r="B821" s="14" t="n">
        <x:v>0</x:v>
      </x:c>
      <x:c r="C821" s="14" t="n">
        <x:v>15</x:v>
      </x:c>
      <x:c r="D821" s="15" t="n">
        <x:v>0</x:v>
      </x:c>
      <x:c r="E821" s="16" t="n">
        <x:v>52.27</x:v>
      </x:c>
      <x:c r="F821" s="6" t="str">
        <x:v>GROWTH</x:v>
      </x:c>
      <x:c r="G821" s="17" t="n">
        <x:f>'Scoring'!I821</x:f>
        <x:v>62.8</x:v>
      </x:c>
      <x:c r="H821" s="6" t="str">
        <x:v>SUPPORT</x:v>
      </x:c>
      <x:c r="I821" s="6" t="str">
        <x:v>land-rover: Service and repair</x:v>
      </x:c>
      <x:c r="J821" s="6" t="str">
        <x:v>Secondary</x:v>
      </x:c>
      <x:c r="K821" s="6" t="str">
        <x:v>Commercial service enquiry</x:v>
      </x:c>
      <x:c r="L821" s="6" t="str">
        <x:v>High</x:v>
      </x:c>
      <x:c r="M821" s="6" t="str">
        <x:v>https://digitecme.com/brands/land-rover-service-dubai</x:v>
      </x:c>
      <x:c r="N821" s="6" t="str">
        <x:v>Unknown — export has no query/page pairing</x:v>
      </x:c>
      <x:c r="O821" s="6" t="str">
        <x:v>Retain primary intent and support variants</x:v>
      </x:c>
      <x:c r="P821" s="6" t="str">
        <x:v>Average position 52.27 makes ranking the main issue; avoid a CTR-only rewrite.</x:v>
      </x:c>
      <x:c r="Q821" s="6" t="str">
        <x:v>land-rover</x:v>
      </x:c>
      <x:c r="R821" s="6" t="str">
        <x:v>service-repair</x:v>
      </x:c>
      <x:c r="S821" s="6" t="str">
        <x:v>Dubai explicit</x:v>
      </x:c>
      <x:c r="T821" s="6" t="n">
        <x:v>5</x:v>
      </x:c>
      <x:c r="U821" s="6" t="str">
        <x:v>40+</x:v>
      </x:c>
      <x:c r="V821" s="6" t="str">
        <x:v>Relevance, capability, indexing and authority review</x:v>
      </x:c>
      <x:c r="W821" s="6" t="str">
        <x:v>Relevant supporting</x:v>
      </x:c>
      <x:c r="X821" s="6" t="n">
        <x:v>817</x:v>
      </x:c>
      <x:c r="Y821" s="6" t="str">
        <x:v>Unconfirmed — joint query/page data required</x:v>
      </x:c>
    </x:row>
    <x:row r="822" ht="42" customHeight="1">
      <x:c r="A822" s="6" t="str">
        <x:v>ford car service in dubai</x:v>
      </x:c>
      <x:c r="B822" s="14" t="n">
        <x:v>0</x:v>
      </x:c>
      <x:c r="C822" s="14" t="n">
        <x:v>15</x:v>
      </x:c>
      <x:c r="D822" s="15" t="n">
        <x:v>0</x:v>
      </x:c>
      <x:c r="E822" s="16" t="n">
        <x:v>54.07</x:v>
      </x:c>
      <x:c r="F822" s="6" t="str">
        <x:v>GROWTH</x:v>
      </x:c>
      <x:c r="G822" s="17" t="n">
        <x:f>'Scoring'!I822</x:f>
        <x:v>54.8</x:v>
      </x:c>
      <x:c r="H822" s="6" t="str">
        <x:v>SUPPORT</x:v>
      </x:c>
      <x:c r="I822" s="6" t="str">
        <x:v>ford: Service and repair (English)</x:v>
      </x:c>
      <x:c r="J822" s="6" t="str">
        <x:v>Secondary</x:v>
      </x:c>
      <x:c r="K822" s="6" t="str">
        <x:v>Commercial service enquiry</x:v>
      </x:c>
      <x:c r="L822" s="6" t="str">
        <x:v>High</x:v>
      </x:c>
      <x:c r="M822" s="6" t="str">
        <x:v>https://digitecme.com/brands/ford-service-dubai</x:v>
      </x:c>
      <x:c r="N822" s="6" t="str">
        <x:v>Unknown — export has no query/page pairing</x:v>
      </x:c>
      <x:c r="O822" s="6" t="str">
        <x:v>Retain primary intent and support variants</x:v>
      </x:c>
      <x:c r="P822" s="6" t="str">
        <x:v>Average position 54.07 makes ranking the main issue; avoid a CTR-only rewrite.</x:v>
      </x:c>
      <x:c r="Q822" s="6" t="str">
        <x:v>ford</x:v>
      </x:c>
      <x:c r="R822" s="6" t="str">
        <x:v>service-repair</x:v>
      </x:c>
      <x:c r="S822" s="6" t="str">
        <x:v>Dubai explicit</x:v>
      </x:c>
      <x:c r="T822" s="6" t="n">
        <x:v>3</x:v>
      </x:c>
      <x:c r="U822" s="6" t="str">
        <x:v>40+</x:v>
      </x:c>
      <x:c r="V822" s="6" t="str">
        <x:v>Relevance, capability, indexing and authority review</x:v>
      </x:c>
      <x:c r="W822" s="6" t="str">
        <x:v>Relevant supporting</x:v>
      </x:c>
      <x:c r="X822" s="6" t="n">
        <x:v>818</x:v>
      </x:c>
      <x:c r="Y822" s="6" t="str">
        <x:v>Unconfirmed — joint query/page data required</x:v>
      </x:c>
    </x:row>
    <x:row r="823" ht="42" customHeight="1">
      <x:c r="A823" s="6" t="str">
        <x:v>range rover specialist</x:v>
      </x:c>
      <x:c r="B823" s="14" t="n">
        <x:v>0</x:v>
      </x:c>
      <x:c r="C823" s="14" t="n">
        <x:v>15</x:v>
      </x:c>
      <x:c r="D823" s="15" t="n">
        <x:v>0</x:v>
      </x:c>
      <x:c r="E823" s="16" t="n">
        <x:v>54.67</x:v>
      </x:c>
      <x:c r="F823" s="6" t="str">
        <x:v>GROWTH</x:v>
      </x:c>
      <x:c r="G823" s="17" t="n">
        <x:f>'Scoring'!I823</x:f>
        <x:v>57.8</x:v>
      </x:c>
      <x:c r="H823" s="6" t="str">
        <x:v>SUPPORT</x:v>
      </x:c>
      <x:c r="I823" s="6" t="str">
        <x:v>range-rover: Service and repair</x:v>
      </x:c>
      <x:c r="J823" s="6" t="str">
        <x:v>Secondary</x:v>
      </x:c>
      <x:c r="K823" s="6" t="str">
        <x:v>Commercial service enquiry</x:v>
      </x:c>
      <x:c r="L823" s="6" t="str">
        <x:v>High</x:v>
      </x:c>
      <x:c r="M823" s="6" t="str">
        <x:v>https://digitecme.com/brands/range-rover-service-dubai</x:v>
      </x:c>
      <x:c r="N823" s="6" t="str">
        <x:v>Unknown — export has no query/page pairing</x:v>
      </x:c>
      <x:c r="O823" s="6" t="str">
        <x:v>Retain primary intent and support variants</x:v>
      </x:c>
      <x:c r="P823" s="6" t="str">
        <x:v>Average position 54.67 makes ranking the main issue; avoid a CTR-only rewrite.</x:v>
      </x:c>
      <x:c r="Q823" s="6" t="str">
        <x:v>range-rover</x:v>
      </x:c>
      <x:c r="R823" s="6" t="str">
        <x:v>service-repair</x:v>
      </x:c>
      <x:c r="S823" s="6" t="str">
        <x:v>Location unspecified</x:v>
      </x:c>
      <x:c r="T823" s="6" t="n">
        <x:v>5</x:v>
      </x:c>
      <x:c r="U823" s="6" t="str">
        <x:v>40+</x:v>
      </x:c>
      <x:c r="V823" s="6" t="str">
        <x:v>Relevance, capability, indexing and authority review</x:v>
      </x:c>
      <x:c r="W823" s="6" t="str">
        <x:v>Relevant supporting</x:v>
      </x:c>
      <x:c r="X823" s="6" t="n">
        <x:v>819</x:v>
      </x:c>
      <x:c r="Y823" s="6" t="str">
        <x:v>Unconfirmed — joint query/page data required</x:v>
      </x:c>
    </x:row>
    <x:row r="824" ht="57" customHeight="1">
      <x:c r="A824" s="6" t="str">
        <x:v>mercedes benz authorized body shop</x:v>
      </x:c>
      <x:c r="B824" s="14" t="n">
        <x:v>0</x:v>
      </x:c>
      <x:c r="C824" s="14" t="n">
        <x:v>15</x:v>
      </x:c>
      <x:c r="D824" s="15" t="n">
        <x:v>0</x:v>
      </x:c>
      <x:c r="E824" s="16" t="n">
        <x:v>55.2</x:v>
      </x:c>
      <x:c r="F824" s="6" t="str">
        <x:v>IGNORE</x:v>
      </x:c>
      <x:c r="G824" s="17" t="n">
        <x:f>'Scoring'!I824</x:f>
        <x:v>0</x:v>
      </x:c>
      <x:c r="H824" s="6" t="str">
        <x:v>IGNORE</x:v>
      </x:c>
      <x:c r="I824" s="6" t="str">
        <x:v>Excluded: Dealer or showroom</x:v>
      </x:c>
      <x:c r="J824" s="6" t="str">
        <x:v>Secondary</x:v>
      </x:c>
      <x:c r="K824" s="6" t="str">
        <x:v>Other or mismatched intent</x:v>
      </x:c>
      <x:c r="L824" s="6" t="str">
        <x:v>None</x:v>
      </x:c>
      <x:c r="M824" s="6" t="str"/>
      <x:c r="N824" s="6" t="str">
        <x:v>Unknown — export has no query/page pairing</x:v>
      </x:c>
      <x:c r="O824" s="6" t="str">
        <x:v>Do not target</x:v>
      </x:c>
      <x:c r="P824" s="6" t="str">
        <x:v>Dealer, product, industrial, unrelated entity or non-service intent does not match the independent workshop offer. Average position 55.20 makes ranking the main issue; avoid a CTR-only rewrite.</x:v>
      </x:c>
      <x:c r="Q824" s="6" t="str">
        <x:v>mercedes-benz</x:v>
      </x:c>
      <x:c r="R824" s="6" t="str">
        <x:v>body-repair</x:v>
      </x:c>
      <x:c r="S824" s="6" t="str">
        <x:v>Location unspecified</x:v>
      </x:c>
      <x:c r="T824" s="6" t="n">
        <x:v>0</x:v>
      </x:c>
      <x:c r="U824" s="6" t="str">
        <x:v>40+</x:v>
      </x:c>
      <x:c r="V824" s="6" t="str">
        <x:v>Relevance, capability, indexing and authority review</x:v>
      </x:c>
      <x:c r="W824" s="6" t="str">
        <x:v>Irrelevant</x:v>
      </x:c>
      <x:c r="X824" s="6" t="n">
        <x:v>820</x:v>
      </x:c>
      <x:c r="Y824" s="6" t="str">
        <x:v>Unconfirmed — joint query/page data required</x:v>
      </x:c>
    </x:row>
    <x:row r="825" ht="42" customHeight="1">
      <x:c r="A825" s="6" t="str">
        <x:v>car body shop dubai</x:v>
      </x:c>
      <x:c r="B825" s="14" t="n">
        <x:v>0</x:v>
      </x:c>
      <x:c r="C825" s="14" t="n">
        <x:v>15</x:v>
      </x:c>
      <x:c r="D825" s="15" t="n">
        <x:v>0</x:v>
      </x:c>
      <x:c r="E825" s="16" t="n">
        <x:v>55.67</x:v>
      </x:c>
      <x:c r="F825" s="6" t="str">
        <x:v>GROWTH</x:v>
      </x:c>
      <x:c r="G825" s="17" t="n">
        <x:f>'Scoring'!I825</x:f>
        <x:v>54.8</x:v>
      </x:c>
      <x:c r="H825" s="6" t="str">
        <x:v>SUPPORT</x:v>
      </x:c>
      <x:c r="I825" s="6" t="str">
        <x:v>All vehicles: Body repair</x:v>
      </x:c>
      <x:c r="J825" s="6" t="str">
        <x:v>Secondary</x:v>
      </x:c>
      <x:c r="K825" s="6" t="str">
        <x:v>Commercial service enquiry</x:v>
      </x:c>
      <x:c r="L825" s="6" t="str">
        <x:v>High</x:v>
      </x:c>
      <x:c r="M825" s="6" t="str">
        <x:v>https://digitecme.com/services/car-body-repair-dubai</x:v>
      </x:c>
      <x:c r="N825" s="6" t="str">
        <x:v>Unknown — export has no query/page pairing</x:v>
      </x:c>
      <x:c r="O825" s="6" t="str">
        <x:v>Retain primary intent and support variants</x:v>
      </x:c>
      <x:c r="P825" s="6" t="str">
        <x:v>Average position 55.67 makes ranking the main issue; avoid a CTR-only rewrite.</x:v>
      </x:c>
      <x:c r="Q825" s="6" t="str">
        <x:v>All vehicles</x:v>
      </x:c>
      <x:c r="R825" s="6" t="str">
        <x:v>body-repair</x:v>
      </x:c>
      <x:c r="S825" s="6" t="str">
        <x:v>Dubai explicit</x:v>
      </x:c>
      <x:c r="T825" s="6" t="n">
        <x:v>3</x:v>
      </x:c>
      <x:c r="U825" s="6" t="str">
        <x:v>40+</x:v>
      </x:c>
      <x:c r="V825" s="6" t="str">
        <x:v>Relevance, capability, indexing and authority review</x:v>
      </x:c>
      <x:c r="W825" s="6" t="str">
        <x:v>Relevant supporting</x:v>
      </x:c>
      <x:c r="X825" s="6" t="n">
        <x:v>821</x:v>
      </x:c>
      <x:c r="Y825" s="6" t="str">
        <x:v>Unconfirmed — joint query/page data required</x:v>
      </x:c>
    </x:row>
    <x:row r="826" ht="42" customHeight="1">
      <x:c r="A826" s="6" t="str">
        <x:v>car garage</x:v>
      </x:c>
      <x:c r="B826" s="14" t="n">
        <x:v>0</x:v>
      </x:c>
      <x:c r="C826" s="14" t="n">
        <x:v>15</x:v>
      </x:c>
      <x:c r="D826" s="15" t="n">
        <x:v>0</x:v>
      </x:c>
      <x:c r="E826" s="16" t="n">
        <x:v>56.13</x:v>
      </x:c>
      <x:c r="F826" s="6" t="str">
        <x:v>GROWTH</x:v>
      </x:c>
      <x:c r="G826" s="17" t="n">
        <x:f>'Scoring'!I826</x:f>
        <x:v>49.8</x:v>
      </x:c>
      <x:c r="H826" s="6" t="str">
        <x:v>SUPPORT</x:v>
      </x:c>
      <x:c r="I826" s="6" t="str">
        <x:v>All vehicles: General garage and repair (English)</x:v>
      </x:c>
      <x:c r="J826" s="6" t="str">
        <x:v>Secondary</x:v>
      </x:c>
      <x:c r="K826" s="6" t="str">
        <x:v>Commercial service enquiry</x:v>
      </x:c>
      <x:c r="L826" s="6" t="str">
        <x:v>High</x:v>
      </x:c>
      <x:c r="M826" s="6" t="str">
        <x:v>https://digitecme.com/services/car-garage-dubai</x:v>
      </x:c>
      <x:c r="N826" s="6" t="str">
        <x:v>Unknown — export has no query/page pairing</x:v>
      </x:c>
      <x:c r="O826" s="6" t="str">
        <x:v>Retain primary intent and support variants</x:v>
      </x:c>
      <x:c r="P826" s="6" t="str">
        <x:v>Average position 56.13 makes ranking the main issue; avoid a CTR-only rewrite.</x:v>
      </x:c>
      <x:c r="Q826" s="6" t="str">
        <x:v>All vehicles</x:v>
      </x:c>
      <x:c r="R826" s="6" t="str">
        <x:v>service-repair</x:v>
      </x:c>
      <x:c r="S826" s="6" t="str">
        <x:v>Location unspecified</x:v>
      </x:c>
      <x:c r="T826" s="6" t="n">
        <x:v>3</x:v>
      </x:c>
      <x:c r="U826" s="6" t="str">
        <x:v>40+</x:v>
      </x:c>
      <x:c r="V826" s="6" t="str">
        <x:v>Relevance, capability, indexing and authority review</x:v>
      </x:c>
      <x:c r="W826" s="6" t="str">
        <x:v>Relevant supporting</x:v>
      </x:c>
      <x:c r="X826" s="6" t="n">
        <x:v>822</x:v>
      </x:c>
      <x:c r="Y826" s="6" t="str">
        <x:v>Unconfirmed — joint query/page data required</x:v>
      </x:c>
    </x:row>
    <x:row r="827" ht="42" customHeight="1">
      <x:c r="A827" s="6" t="str">
        <x:v>ford car service dubai</x:v>
      </x:c>
      <x:c r="B827" s="14" t="n">
        <x:v>0</x:v>
      </x:c>
      <x:c r="C827" s="14" t="n">
        <x:v>15</x:v>
      </x:c>
      <x:c r="D827" s="15" t="n">
        <x:v>0</x:v>
      </x:c>
      <x:c r="E827" s="16" t="n">
        <x:v>57.4</x:v>
      </x:c>
      <x:c r="F827" s="6" t="str">
        <x:v>GROWTH</x:v>
      </x:c>
      <x:c r="G827" s="17" t="n">
        <x:f>'Scoring'!I827</x:f>
        <x:v>54.8</x:v>
      </x:c>
      <x:c r="H827" s="6" t="str">
        <x:v>SUPPORT</x:v>
      </x:c>
      <x:c r="I827" s="6" t="str">
        <x:v>ford: Service and repair (English)</x:v>
      </x:c>
      <x:c r="J827" s="6" t="str">
        <x:v>Secondary</x:v>
      </x:c>
      <x:c r="K827" s="6" t="str">
        <x:v>Commercial service enquiry</x:v>
      </x:c>
      <x:c r="L827" s="6" t="str">
        <x:v>High</x:v>
      </x:c>
      <x:c r="M827" s="6" t="str">
        <x:v>https://digitecme.com/brands/ford-service-dubai</x:v>
      </x:c>
      <x:c r="N827" s="6" t="str">
        <x:v>Unknown — export has no query/page pairing</x:v>
      </x:c>
      <x:c r="O827" s="6" t="str">
        <x:v>Retain primary intent and support variants</x:v>
      </x:c>
      <x:c r="P827" s="6" t="str">
        <x:v>Average position 57.40 makes ranking the main issue; avoid a CTR-only rewrite.</x:v>
      </x:c>
      <x:c r="Q827" s="6" t="str">
        <x:v>ford</x:v>
      </x:c>
      <x:c r="R827" s="6" t="str">
        <x:v>service-repair</x:v>
      </x:c>
      <x:c r="S827" s="6" t="str">
        <x:v>Dubai explicit</x:v>
      </x:c>
      <x:c r="T827" s="6" t="n">
        <x:v>3</x:v>
      </x:c>
      <x:c r="U827" s="6" t="str">
        <x:v>40+</x:v>
      </x:c>
      <x:c r="V827" s="6" t="str">
        <x:v>Relevance, capability, indexing and authority review</x:v>
      </x:c>
      <x:c r="W827" s="6" t="str">
        <x:v>Relevant supporting</x:v>
      </x:c>
      <x:c r="X827" s="6" t="n">
        <x:v>823</x:v>
      </x:c>
      <x:c r="Y827" s="6" t="str">
        <x:v>Unconfirmed — joint query/page data required</x:v>
      </x:c>
    </x:row>
    <x:row r="828" ht="42" customHeight="1">
      <x:c r="A828" s="6" t="str">
        <x:v>volkswagen car repair in dubai</x:v>
      </x:c>
      <x:c r="B828" s="14" t="n">
        <x:v>0</x:v>
      </x:c>
      <x:c r="C828" s="14" t="n">
        <x:v>15</x:v>
      </x:c>
      <x:c r="D828" s="15" t="n">
        <x:v>0</x:v>
      </x:c>
      <x:c r="E828" s="16" t="n">
        <x:v>59.07</x:v>
      </x:c>
      <x:c r="F828" s="6" t="str">
        <x:v>GROWTH</x:v>
      </x:c>
      <x:c r="G828" s="17" t="n">
        <x:f>'Scoring'!I828</x:f>
        <x:v>54.8</x:v>
      </x:c>
      <x:c r="H828" s="6" t="str">
        <x:v>SUPPORT</x:v>
      </x:c>
      <x:c r="I828" s="6" t="str">
        <x:v>volkswagen: Service and repair (English)</x:v>
      </x:c>
      <x:c r="J828" s="6" t="str">
        <x:v>Secondary</x:v>
      </x:c>
      <x:c r="K828" s="6" t="str">
        <x:v>Commercial service enquiry</x:v>
      </x:c>
      <x:c r="L828" s="6" t="str">
        <x:v>High</x:v>
      </x:c>
      <x:c r="M828" s="6" t="str">
        <x:v>https://digitecme.com/brands/volkswagen-service-dubai</x:v>
      </x:c>
      <x:c r="N828" s="6" t="str">
        <x:v>Unknown — export has no query/page pairing</x:v>
      </x:c>
      <x:c r="O828" s="6" t="str">
        <x:v>Retain primary intent and support variants</x:v>
      </x:c>
      <x:c r="P828" s="6" t="str">
        <x:v>Average position 59.07 makes ranking the main issue; avoid a CTR-only rewrite.</x:v>
      </x:c>
      <x:c r="Q828" s="6" t="str">
        <x:v>volkswagen</x:v>
      </x:c>
      <x:c r="R828" s="6" t="str">
        <x:v>service-repair</x:v>
      </x:c>
      <x:c r="S828" s="6" t="str">
        <x:v>Dubai explicit</x:v>
      </x:c>
      <x:c r="T828" s="6" t="n">
        <x:v>3</x:v>
      </x:c>
      <x:c r="U828" s="6" t="str">
        <x:v>40+</x:v>
      </x:c>
      <x:c r="V828" s="6" t="str">
        <x:v>Relevance, capability, indexing and authority review</x:v>
      </x:c>
      <x:c r="W828" s="6" t="str">
        <x:v>Relevant supporting</x:v>
      </x:c>
      <x:c r="X828" s="6" t="n">
        <x:v>824</x:v>
      </x:c>
      <x:c r="Y828" s="6" t="str">
        <x:v>Unconfirmed — joint query/page data required</x:v>
      </x:c>
    </x:row>
    <x:row r="829" ht="42" customHeight="1">
      <x:c r="A829" s="6" t="str">
        <x:v>bentley repairs</x:v>
      </x:c>
      <x:c r="B829" s="14" t="n">
        <x:v>0</x:v>
      </x:c>
      <x:c r="C829" s="14" t="n">
        <x:v>15</x:v>
      </x:c>
      <x:c r="D829" s="15" t="n">
        <x:v>0</x:v>
      </x:c>
      <x:c r="E829" s="16" t="n">
        <x:v>64.27</x:v>
      </x:c>
      <x:c r="F829" s="6" t="str">
        <x:v>GROWTH</x:v>
      </x:c>
      <x:c r="G829" s="17" t="n">
        <x:f>'Scoring'!I829</x:f>
        <x:v>57.8</x:v>
      </x:c>
      <x:c r="H829" s="6" t="str">
        <x:v>SUPPORT</x:v>
      </x:c>
      <x:c r="I829" s="6" t="str">
        <x:v>bentley: Service and repair (English)</x:v>
      </x:c>
      <x:c r="J829" s="6" t="str">
        <x:v>Secondary</x:v>
      </x:c>
      <x:c r="K829" s="6" t="str">
        <x:v>Commercial service enquiry</x:v>
      </x:c>
      <x:c r="L829" s="6" t="str">
        <x:v>High</x:v>
      </x:c>
      <x:c r="M829" s="6" t="str">
        <x:v>https://digitecme.com/brands/bentley-service-dubai</x:v>
      </x:c>
      <x:c r="N829" s="6" t="str">
        <x:v>Unknown — export has no query/page pairing</x:v>
      </x:c>
      <x:c r="O829" s="6" t="str">
        <x:v>Retain primary intent and support variants</x:v>
      </x:c>
      <x:c r="P829" s="6" t="str">
        <x:v>Average position 64.27 makes ranking the main issue; avoid a CTR-only rewrite.</x:v>
      </x:c>
      <x:c r="Q829" s="6" t="str">
        <x:v>bentley</x:v>
      </x:c>
      <x:c r="R829" s="6" t="str">
        <x:v>service-repair</x:v>
      </x:c>
      <x:c r="S829" s="6" t="str">
        <x:v>Location unspecified</x:v>
      </x:c>
      <x:c r="T829" s="6" t="n">
        <x:v>5</x:v>
      </x:c>
      <x:c r="U829" s="6" t="str">
        <x:v>40+</x:v>
      </x:c>
      <x:c r="V829" s="6" t="str">
        <x:v>Relevance, capability, indexing and authority review</x:v>
      </x:c>
      <x:c r="W829" s="6" t="str">
        <x:v>Relevant supporting</x:v>
      </x:c>
      <x:c r="X829" s="6" t="n">
        <x:v>825</x:v>
      </x:c>
      <x:c r="Y829" s="6" t="str">
        <x:v>Unconfirmed — joint query/page data required</x:v>
      </x:c>
    </x:row>
    <x:row r="830" ht="42" customHeight="1">
      <x:c r="A830" s="6" t="str">
        <x:v>change car battery</x:v>
      </x:c>
      <x:c r="B830" s="14" t="n">
        <x:v>0</x:v>
      </x:c>
      <x:c r="C830" s="14" t="n">
        <x:v>15</x:v>
      </x:c>
      <x:c r="D830" s="15" t="n">
        <x:v>0</x:v>
      </x:c>
      <x:c r="E830" s="16" t="n">
        <x:v>71.8</x:v>
      </x:c>
      <x:c r="F830" s="6" t="str">
        <x:v>GROWTH</x:v>
      </x:c>
      <x:c r="G830" s="17" t="n">
        <x:f>'Scoring'!I830</x:f>
        <x:v>49.8</x:v>
      </x:c>
      <x:c r="H830" s="6" t="str">
        <x:v>SUPPORT</x:v>
      </x:c>
      <x:c r="I830" s="6" t="str">
        <x:v>All vehicles: Battery service (English)</x:v>
      </x:c>
      <x:c r="J830" s="6" t="str">
        <x:v>Secondary</x:v>
      </x:c>
      <x:c r="K830" s="6" t="str">
        <x:v>Commercial service enquiry</x:v>
      </x:c>
      <x:c r="L830" s="6" t="str">
        <x:v>High</x:v>
      </x:c>
      <x:c r="M830" s="6" t="str">
        <x:v>https://digitecme.com/services/battery-replacement-dubai</x:v>
      </x:c>
      <x:c r="N830" s="6" t="str">
        <x:v>Unknown — export has no query/page pairing</x:v>
      </x:c>
      <x:c r="O830" s="6" t="str">
        <x:v>Retain primary intent and support variants</x:v>
      </x:c>
      <x:c r="P830" s="6" t="str">
        <x:v>Average position 71.80 makes ranking the main issue; avoid a CTR-only rewrite.</x:v>
      </x:c>
      <x:c r="Q830" s="6" t="str">
        <x:v>All vehicles</x:v>
      </x:c>
      <x:c r="R830" s="6" t="str">
        <x:v>battery-replacement</x:v>
      </x:c>
      <x:c r="S830" s="6" t="str">
        <x:v>Location unspecified</x:v>
      </x:c>
      <x:c r="T830" s="6" t="n">
        <x:v>3</x:v>
      </x:c>
      <x:c r="U830" s="6" t="str">
        <x:v>40+</x:v>
      </x:c>
      <x:c r="V830" s="6" t="str">
        <x:v>Relevance, capability, indexing and authority review</x:v>
      </x:c>
      <x:c r="W830" s="6" t="str">
        <x:v>Relevant supporting</x:v>
      </x:c>
      <x:c r="X830" s="6" t="n">
        <x:v>826</x:v>
      </x:c>
      <x:c r="Y830" s="6" t="str">
        <x:v>Unconfirmed — joint query/page data required</x:v>
      </x:c>
    </x:row>
    <x:row r="831" ht="42" customHeight="1">
      <x:c r="A831" s="6" t="str">
        <x:v>porsche inspection dubai</x:v>
      </x:c>
      <x:c r="B831" s="14" t="n">
        <x:v>0</x:v>
      </x:c>
      <x:c r="C831" s="14" t="n">
        <x:v>15</x:v>
      </x:c>
      <x:c r="D831" s="15" t="n">
        <x:v>0</x:v>
      </x:c>
      <x:c r="E831" s="16" t="n">
        <x:v>74.47</x:v>
      </x:c>
      <x:c r="F831" s="6" t="str">
        <x:v>GROWTH</x:v>
      </x:c>
      <x:c r="G831" s="17" t="n">
        <x:f>'Scoring'!I831</x:f>
        <x:v>62.8</x:v>
      </x:c>
      <x:c r="H831" s="6" t="str">
        <x:v>SPLIT</x:v>
      </x:c>
      <x:c r="I831" s="6" t="str">
        <x:v>porsche: Diagnostics and supported coding</x:v>
      </x:c>
      <x:c r="J831" s="6" t="str">
        <x:v>Secondary</x:v>
      </x:c>
      <x:c r="K831" s="6" t="str">
        <x:v>Commercial service enquiry</x:v>
      </x:c>
      <x:c r="L831" s="6" t="str">
        <x:v>High</x:v>
      </x:c>
      <x:c r="M831" s="6" t="str">
        <x:v>https://digitecme.com/brands/porsche-service-dubai/engine-diagnostics</x:v>
      </x:c>
      <x:c r="N831" s="6" t="str">
        <x:v>Unknown — export has no query/page pairing</x:v>
      </x:c>
      <x:c r="O831" s="6" t="str">
        <x:v>Use dedicated service owner</x:v>
      </x:c>
      <x:c r="P831" s="6" t="str">
        <x:v>Average position 74.47 makes ranking the main issue; avoid a CTR-only rewrite.</x:v>
      </x:c>
      <x:c r="Q831" s="6" t="str">
        <x:v>porsche</x:v>
      </x:c>
      <x:c r="R831" s="6" t="str">
        <x:v>engine-diagnostics</x:v>
      </x:c>
      <x:c r="S831" s="6" t="str">
        <x:v>Dubai explicit</x:v>
      </x:c>
      <x:c r="T831" s="6" t="n">
        <x:v>5</x:v>
      </x:c>
      <x:c r="U831" s="6" t="str">
        <x:v>40+</x:v>
      </x:c>
      <x:c r="V831" s="6" t="str">
        <x:v>Relevance, capability, indexing and authority review</x:v>
      </x:c>
      <x:c r="W831" s="6" t="str">
        <x:v>High-value commercial</x:v>
      </x:c>
      <x:c r="X831" s="6" t="n">
        <x:v>827</x:v>
      </x:c>
      <x:c r="Y831" s="6" t="str">
        <x:v>Unconfirmed — joint query/page data required</x:v>
      </x:c>
    </x:row>
    <x:row r="832" ht="42" customHeight="1">
      <x:c r="A832" s="6" t="str">
        <x:v>automatic car oil change</x:v>
      </x:c>
      <x:c r="B832" s="14" t="n">
        <x:v>0</x:v>
      </x:c>
      <x:c r="C832" s="14" t="n">
        <x:v>15</x:v>
      </x:c>
      <x:c r="D832" s="15" t="n">
        <x:v>0</x:v>
      </x:c>
      <x:c r="E832" s="16" t="n">
        <x:v>74.53</x:v>
      </x:c>
      <x:c r="F832" s="6" t="str">
        <x:v>GROWTH</x:v>
      </x:c>
      <x:c r="G832" s="17" t="n">
        <x:f>'Scoring'!I832</x:f>
        <x:v>49.8</x:v>
      </x:c>
      <x:c r="H832" s="6" t="str">
        <x:v>SUPPORT</x:v>
      </x:c>
      <x:c r="I832" s="6" t="str">
        <x:v>All vehicles: Oil change (English)</x:v>
      </x:c>
      <x:c r="J832" s="6" t="str">
        <x:v>Secondary</x:v>
      </x:c>
      <x:c r="K832" s="6" t="str">
        <x:v>Commercial service enquiry</x:v>
      </x:c>
      <x:c r="L832" s="6" t="str">
        <x:v>High</x:v>
      </x:c>
      <x:c r="M832" s="6" t="str">
        <x:v>https://digitecme.com/services/oil-change-dubai</x:v>
      </x:c>
      <x:c r="N832" s="6" t="str">
        <x:v>Unknown — export has no query/page pairing</x:v>
      </x:c>
      <x:c r="O832" s="6" t="str">
        <x:v>Retain primary intent and support variants</x:v>
      </x:c>
      <x:c r="P832" s="6" t="str">
        <x:v>Average position 74.53 makes ranking the main issue; avoid a CTR-only rewrite.</x:v>
      </x:c>
      <x:c r="Q832" s="6" t="str">
        <x:v>All vehicles</x:v>
      </x:c>
      <x:c r="R832" s="6" t="str">
        <x:v>oil-change</x:v>
      </x:c>
      <x:c r="S832" s="6" t="str">
        <x:v>Location unspecified</x:v>
      </x:c>
      <x:c r="T832" s="6" t="n">
        <x:v>3</x:v>
      </x:c>
      <x:c r="U832" s="6" t="str">
        <x:v>40+</x:v>
      </x:c>
      <x:c r="V832" s="6" t="str">
        <x:v>Relevance, capability, indexing and authority review</x:v>
      </x:c>
      <x:c r="W832" s="6" t="str">
        <x:v>Relevant supporting</x:v>
      </x:c>
      <x:c r="X832" s="6" t="n">
        <x:v>828</x:v>
      </x:c>
      <x:c r="Y832" s="6" t="str">
        <x:v>Unconfirmed — joint query/page data required</x:v>
      </x:c>
    </x:row>
    <x:row r="833" ht="42" customHeight="1">
      <x:c r="A833" s="6" t="str">
        <x:v>كراج تصليح بنتلي</x:v>
      </x:c>
      <x:c r="B833" s="14" t="n">
        <x:v>0</x:v>
      </x:c>
      <x:c r="C833" s="14" t="n">
        <x:v>15</x:v>
      </x:c>
      <x:c r="D833" s="15" t="n">
        <x:v>0</x:v>
      </x:c>
      <x:c r="E833" s="16" t="n">
        <x:v>81.13</x:v>
      </x:c>
      <x:c r="F833" s="6" t="str">
        <x:v>GROWTH</x:v>
      </x:c>
      <x:c r="G833" s="17" t="n">
        <x:f>'Scoring'!I833</x:f>
        <x:v>57.8</x:v>
      </x:c>
      <x:c r="H833" s="6" t="str">
        <x:v>SUPPORT</x:v>
      </x:c>
      <x:c r="I833" s="6" t="str">
        <x:v>bentley: Service and repair (Arabic)</x:v>
      </x:c>
      <x:c r="J833" s="6" t="str">
        <x:v>Secondary</x:v>
      </x:c>
      <x:c r="K833" s="6" t="str">
        <x:v>Commercial service enquiry</x:v>
      </x:c>
      <x:c r="L833" s="6" t="str">
        <x:v>High</x:v>
      </x:c>
      <x:c r="M833" s="6" t="str">
        <x:v>https://digitecme.com/ar/brands/bentley-service-dubai</x:v>
      </x:c>
      <x:c r="N833" s="6" t="str">
        <x:v>Unknown — export has no query/page pairing</x:v>
      </x:c>
      <x:c r="O833" s="6" t="str">
        <x:v>Retain primary intent and support variants</x:v>
      </x:c>
      <x:c r="P833" s="6" t="str">
        <x:v>Use the existing Arabic counterpart and verify its translation quality. Average position 81.13 makes ranking the main issue; avoid a CTR-only rewrite.</x:v>
      </x:c>
      <x:c r="Q833" s="6" t="str">
        <x:v>bentley</x:v>
      </x:c>
      <x:c r="R833" s="6" t="str">
        <x:v>service-repair</x:v>
      </x:c>
      <x:c r="S833" s="6" t="str">
        <x:v>Location unspecified</x:v>
      </x:c>
      <x:c r="T833" s="6" t="n">
        <x:v>5</x:v>
      </x:c>
      <x:c r="U833" s="6" t="str">
        <x:v>40+</x:v>
      </x:c>
      <x:c r="V833" s="6" t="str">
        <x:v>Relevance, capability, indexing and authority review</x:v>
      </x:c>
      <x:c r="W833" s="6" t="str">
        <x:v>Relevant supporting</x:v>
      </x:c>
      <x:c r="X833" s="6" t="n">
        <x:v>829</x:v>
      </x:c>
      <x:c r="Y833" s="6" t="str">
        <x:v>Unconfirmed — joint query/page data required</x:v>
      </x:c>
    </x:row>
    <x:row r="834" ht="42" customHeight="1">
      <x:c r="A834" s="6" t="str">
        <x:v>mercedes exhaust repair</x:v>
      </x:c>
      <x:c r="B834" s="14" t="n">
        <x:v>0</x:v>
      </x:c>
      <x:c r="C834" s="14" t="n">
        <x:v>14</x:v>
      </x:c>
      <x:c r="D834" s="15" t="n">
        <x:v>0</x:v>
      </x:c>
      <x:c r="E834" s="16" t="n">
        <x:v>6.5</x:v>
      </x:c>
      <x:c r="F834" s="6" t="str">
        <x:v>HIGH</x:v>
      </x:c>
      <x:c r="G834" s="17" t="n">
        <x:f>'Scoring'!I834</x:f>
        <x:v>78.9</x:v>
      </x:c>
      <x:c r="H834" s="6" t="str">
        <x:v>SPLIT</x:v>
      </x:c>
      <x:c r="I834" s="6" t="str">
        <x:v>mercedes-benz: Exhaust repair</x:v>
      </x:c>
      <x:c r="J834" s="6" t="str">
        <x:v>Primary</x:v>
      </x:c>
      <x:c r="K834" s="6" t="str">
        <x:v>Commercial service enquiry</x:v>
      </x:c>
      <x:c r="L834" s="6" t="str">
        <x:v>High</x:v>
      </x:c>
      <x:c r="M834" s="6" t="str">
        <x:v>https://digitecme.com/services/mercedes-exhaust-repair-dubai</x:v>
      </x:c>
      <x:c r="N834" s="6" t="str">
        <x:v>Unknown — export has no query/page pairing</x:v>
      </x:c>
      <x:c r="O834" s="6" t="str">
        <x:v>Use dedicated service owner</x:v>
      </x:c>
      <x:c r="P834" s="6" t="str">
        <x:v>Zero clicks from 14 impressions at average position 6.50; inspect query/page, country/device and SERP before attributing this to the snippet.</x:v>
      </x:c>
      <x:c r="Q834" s="6" t="str">
        <x:v>mercedes-benz</x:v>
      </x:c>
      <x:c r="R834" s="6" t="str">
        <x:v>exhaust-repair</x:v>
      </x:c>
      <x:c r="S834" s="6" t="str">
        <x:v>Location unspecified</x:v>
      </x:c>
      <x:c r="T834" s="6" t="n">
        <x:v>5</x:v>
      </x:c>
      <x:c r="U834" s="6" t="str">
        <x:v>4–10</x:v>
      </x:c>
      <x:c r="V834" s="6" t="str">
        <x:v>Page-one CTR review and top-three relevance</x:v>
      </x:c>
      <x:c r="W834" s="6" t="str">
        <x:v>High-value commercial</x:v>
      </x:c>
      <x:c r="X834" s="6" t="n">
        <x:v>830</x:v>
      </x:c>
      <x:c r="Y834" s="6" t="str">
        <x:v>Unconfirmed — joint query/page data required</x:v>
      </x:c>
    </x:row>
    <x:row r="835" ht="42" customHeight="1">
      <x:c r="A835" s="6" t="str">
        <x:v>audi maintenance</x:v>
      </x:c>
      <x:c r="B835" s="14" t="n">
        <x:v>0</x:v>
      </x:c>
      <x:c r="C835" s="14" t="n">
        <x:v>14</x:v>
      </x:c>
      <x:c r="D835" s="15" t="n">
        <x:v>0</x:v>
      </x:c>
      <x:c r="E835" s="16" t="n">
        <x:v>9.29</x:v>
      </x:c>
      <x:c r="F835" s="6" t="str">
        <x:v>HIGH</x:v>
      </x:c>
      <x:c r="G835" s="17" t="n">
        <x:f>'Scoring'!I835</x:f>
        <x:v>78.9</x:v>
      </x:c>
      <x:c r="H835" s="6" t="str">
        <x:v>SUPPORT</x:v>
      </x:c>
      <x:c r="I835" s="6" t="str">
        <x:v>audi: Service and repair (English)</x:v>
      </x:c>
      <x:c r="J835" s="6" t="str">
        <x:v>Secondary</x:v>
      </x:c>
      <x:c r="K835" s="6" t="str">
        <x:v>Commercial service enquiry</x:v>
      </x:c>
      <x:c r="L835" s="6" t="str">
        <x:v>High</x:v>
      </x:c>
      <x:c r="M835" s="6" t="str">
        <x:v>https://digitecme.com/brands/audi-service-dubai</x:v>
      </x:c>
      <x:c r="N835" s="6" t="str">
        <x:v>Unknown — export has no query/page pairing</x:v>
      </x:c>
      <x:c r="O835" s="6" t="str">
        <x:v>Retain primary intent and support variants</x:v>
      </x:c>
      <x:c r="P835" s="6" t="str">
        <x:v>Zero clicks from 14 impressions at average position 9.29; inspect query/page, country/device and SERP before attributing this to the snippet.</x:v>
      </x:c>
      <x:c r="Q835" s="6" t="str">
        <x:v>audi</x:v>
      </x:c>
      <x:c r="R835" s="6" t="str">
        <x:v>service-repair</x:v>
      </x:c>
      <x:c r="S835" s="6" t="str">
        <x:v>Location unspecified</x:v>
      </x:c>
      <x:c r="T835" s="6" t="n">
        <x:v>5</x:v>
      </x:c>
      <x:c r="U835" s="6" t="str">
        <x:v>4–10</x:v>
      </x:c>
      <x:c r="V835" s="6" t="str">
        <x:v>Page-one CTR review and top-three relevance</x:v>
      </x:c>
      <x:c r="W835" s="6" t="str">
        <x:v>Relevant supporting</x:v>
      </x:c>
      <x:c r="X835" s="6" t="n">
        <x:v>831</x:v>
      </x:c>
      <x:c r="Y835" s="6" t="str">
        <x:v>Unconfirmed — joint query/page data required</x:v>
      </x:c>
    </x:row>
    <x:row r="836" ht="42" customHeight="1">
      <x:c r="A836" s="6" t="str">
        <x:v>bmw electrical repair</x:v>
      </x:c>
      <x:c r="B836" s="14" t="n">
        <x:v>0</x:v>
      </x:c>
      <x:c r="C836" s="14" t="n">
        <x:v>14</x:v>
      </x:c>
      <x:c r="D836" s="15" t="n">
        <x:v>0</x:v>
      </x:c>
      <x:c r="E836" s="16" t="n">
        <x:v>9.43</x:v>
      </x:c>
      <x:c r="F836" s="6" t="str">
        <x:v>HIGH</x:v>
      </x:c>
      <x:c r="G836" s="17" t="n">
        <x:f>'Scoring'!I836</x:f>
        <x:v>78.9</x:v>
      </x:c>
      <x:c r="H836" s="6" t="str">
        <x:v>SPLIT</x:v>
      </x:c>
      <x:c r="I836" s="6" t="str">
        <x:v>bmw: Electrical repair</x:v>
      </x:c>
      <x:c r="J836" s="6" t="str">
        <x:v>Primary</x:v>
      </x:c>
      <x:c r="K836" s="6" t="str">
        <x:v>Commercial service enquiry</x:v>
      </x:c>
      <x:c r="L836" s="6" t="str">
        <x:v>High</x:v>
      </x:c>
      <x:c r="M836" s="6" t="str">
        <x:v>https://digitecme.com/brands/bmw-service-dubai/electrical-repair</x:v>
      </x:c>
      <x:c r="N836" s="6" t="str">
        <x:v>Unknown — export has no query/page pairing</x:v>
      </x:c>
      <x:c r="O836" s="6" t="str">
        <x:v>Use dedicated service owner</x:v>
      </x:c>
      <x:c r="P836" s="6" t="str">
        <x:v>Zero clicks from 14 impressions at average position 9.43; inspect query/page, country/device and SERP before attributing this to the snippet.</x:v>
      </x:c>
      <x:c r="Q836" s="6" t="str">
        <x:v>bmw</x:v>
      </x:c>
      <x:c r="R836" s="6" t="str">
        <x:v>electrical-repair</x:v>
      </x:c>
      <x:c r="S836" s="6" t="str">
        <x:v>Location unspecified</x:v>
      </x:c>
      <x:c r="T836" s="6" t="n">
        <x:v>5</x:v>
      </x:c>
      <x:c r="U836" s="6" t="str">
        <x:v>4–10</x:v>
      </x:c>
      <x:c r="V836" s="6" t="str">
        <x:v>Page-one CTR review and top-three relevance</x:v>
      </x:c>
      <x:c r="W836" s="6" t="str">
        <x:v>High-value commercial</x:v>
      </x:c>
      <x:c r="X836" s="6" t="n">
        <x:v>832</x:v>
      </x:c>
      <x:c r="Y836" s="6" t="str">
        <x:v>Unconfirmed — joint query/page data required</x:v>
      </x:c>
    </x:row>
    <x:row r="837" ht="42" customHeight="1">
      <x:c r="A837" s="6" t="str">
        <x:v>mercedes workshop near me</x:v>
      </x:c>
      <x:c r="B837" s="14" t="n">
        <x:v>0</x:v>
      </x:c>
      <x:c r="C837" s="14" t="n">
        <x:v>14</x:v>
      </x:c>
      <x:c r="D837" s="15" t="n">
        <x:v>0</x:v>
      </x:c>
      <x:c r="E837" s="16" t="n">
        <x:v>11.43</x:v>
      </x:c>
      <x:c r="F837" s="6" t="str">
        <x:v>HIGH</x:v>
      </x:c>
      <x:c r="G837" s="17" t="n">
        <x:f>'Scoring'!I837</x:f>
        <x:v>83.9</x:v>
      </x:c>
      <x:c r="H837" s="6" t="str">
        <x:v>SUPPORT</x:v>
      </x:c>
      <x:c r="I837" s="6" t="str">
        <x:v>mercedes-benz: Service and repair (English)</x:v>
      </x:c>
      <x:c r="J837" s="6" t="str">
        <x:v>Secondary</x:v>
      </x:c>
      <x:c r="K837" s="6" t="str">
        <x:v>Commercial service enquiry</x:v>
      </x:c>
      <x:c r="L837" s="6" t="str">
        <x:v>High</x:v>
      </x:c>
      <x:c r="M837" s="6" t="str">
        <x:v>https://digitecme.com/brands/mercedes-benz-service-dubai</x:v>
      </x:c>
      <x:c r="N837" s="6" t="str">
        <x:v>Unknown — export has no query/page pairing</x:v>
      </x:c>
      <x:c r="O837" s="6" t="str">
        <x:v>Retain primary intent and support variants</x:v>
      </x:c>
      <x:c r="P837" s="6" t="str">
        <x:v>14 impressions at average position 11.43; strengthen the appropriate intent owner and measure with a fresh comparable period.</x:v>
      </x:c>
      <x:c r="Q837" s="6" t="str">
        <x:v>mercedes-benz</x:v>
      </x:c>
      <x:c r="R837" s="6" t="str">
        <x:v>service-repair</x:v>
      </x:c>
      <x:c r="S837" s="6" t="str">
        <x:v>Near me; location unknown</x:v>
      </x:c>
      <x:c r="T837" s="6" t="n">
        <x:v>5</x:v>
      </x:c>
      <x:c r="U837" s="6" t="str">
        <x:v>11–20</x:v>
      </x:c>
      <x:c r="V837" s="6" t="str">
        <x:v>Ranking and owner relevance</x:v>
      </x:c>
      <x:c r="W837" s="6" t="str">
        <x:v>Relevant supporting</x:v>
      </x:c>
      <x:c r="X837" s="6" t="n">
        <x:v>833</x:v>
      </x:c>
      <x:c r="Y837" s="6" t="str">
        <x:v>Unconfirmed — joint query/page data required</x:v>
      </x:c>
    </x:row>
    <x:row r="838" ht="42" customHeight="1">
      <x:c r="A838" s="6" t="str">
        <x:v>land rover service</x:v>
      </x:c>
      <x:c r="B838" s="14" t="n">
        <x:v>0</x:v>
      </x:c>
      <x:c r="C838" s="14" t="n">
        <x:v>14</x:v>
      </x:c>
      <x:c r="D838" s="15" t="n">
        <x:v>0</x:v>
      </x:c>
      <x:c r="E838" s="16" t="n">
        <x:v>12.86</x:v>
      </x:c>
      <x:c r="F838" s="6" t="str">
        <x:v>HIGH</x:v>
      </x:c>
      <x:c r="G838" s="17" t="n">
        <x:f>'Scoring'!I838</x:f>
        <x:v>78.9</x:v>
      </x:c>
      <x:c r="H838" s="6" t="str">
        <x:v>SUPPORT</x:v>
      </x:c>
      <x:c r="I838" s="6" t="str">
        <x:v>land-rover: Service and repair</x:v>
      </x:c>
      <x:c r="J838" s="6" t="str">
        <x:v>Secondary</x:v>
      </x:c>
      <x:c r="K838" s="6" t="str">
        <x:v>Commercial service enquiry</x:v>
      </x:c>
      <x:c r="L838" s="6" t="str">
        <x:v>High</x:v>
      </x:c>
      <x:c r="M838" s="6" t="str">
        <x:v>https://digitecme.com/brands/land-rover-service-dubai</x:v>
      </x:c>
      <x:c r="N838" s="6" t="str">
        <x:v>Unknown — export has no query/page pairing</x:v>
      </x:c>
      <x:c r="O838" s="6" t="str">
        <x:v>Retain primary intent and support variants</x:v>
      </x:c>
      <x:c r="P838" s="6" t="str">
        <x:v>14 impressions at average position 12.86; strengthen the appropriate intent owner and measure with a fresh comparable period.</x:v>
      </x:c>
      <x:c r="Q838" s="6" t="str">
        <x:v>land-rover</x:v>
      </x:c>
      <x:c r="R838" s="6" t="str">
        <x:v>service-repair</x:v>
      </x:c>
      <x:c r="S838" s="6" t="str">
        <x:v>Location unspecified</x:v>
      </x:c>
      <x:c r="T838" s="6" t="n">
        <x:v>5</x:v>
      </x:c>
      <x:c r="U838" s="6" t="str">
        <x:v>11–20</x:v>
      </x:c>
      <x:c r="V838" s="6" t="str">
        <x:v>Ranking and owner relevance</x:v>
      </x:c>
      <x:c r="W838" s="6" t="str">
        <x:v>Relevant supporting</x:v>
      </x:c>
      <x:c r="X838" s="6" t="n">
        <x:v>834</x:v>
      </x:c>
      <x:c r="Y838" s="6" t="str">
        <x:v>Unconfirmed — joint query/page data required</x:v>
      </x:c>
    </x:row>
    <x:row r="839" ht="42" customHeight="1">
      <x:c r="A839" s="6" t="str">
        <x:v>nissan body repair</x:v>
      </x:c>
      <x:c r="B839" s="14" t="n">
        <x:v>0</x:v>
      </x:c>
      <x:c r="C839" s="14" t="n">
        <x:v>14</x:v>
      </x:c>
      <x:c r="D839" s="15" t="n">
        <x:v>0</x:v>
      </x:c>
      <x:c r="E839" s="16" t="n">
        <x:v>13.21</x:v>
      </x:c>
      <x:c r="F839" s="6" t="str">
        <x:v>HIGH</x:v>
      </x:c>
      <x:c r="G839" s="17" t="n">
        <x:f>'Scoring'!I839</x:f>
        <x:v>70.9</x:v>
      </x:c>
      <x:c r="H839" s="6" t="str">
        <x:v>SPLIT</x:v>
      </x:c>
      <x:c r="I839" s="6" t="str">
        <x:v>nissan: Body repair</x:v>
      </x:c>
      <x:c r="J839" s="6" t="str">
        <x:v>Secondary</x:v>
      </x:c>
      <x:c r="K839" s="6" t="str">
        <x:v>Commercial service enquiry</x:v>
      </x:c>
      <x:c r="L839" s="6" t="str">
        <x:v>High</x:v>
      </x:c>
      <x:c r="M839" s="6" t="str">
        <x:v>https://digitecme.com/brands/nissan-service-dubai/body-repair</x:v>
      </x:c>
      <x:c r="N839" s="6" t="str">
        <x:v>Unknown — export has no query/page pairing</x:v>
      </x:c>
      <x:c r="O839" s="6" t="str">
        <x:v>Use dedicated service owner</x:v>
      </x:c>
      <x:c r="P839" s="6" t="str">
        <x:v>14 impressions at average position 13.21; strengthen the appropriate intent owner and measure with a fresh comparable period.</x:v>
      </x:c>
      <x:c r="Q839" s="6" t="str">
        <x:v>nissan</x:v>
      </x:c>
      <x:c r="R839" s="6" t="str">
        <x:v>body-repair</x:v>
      </x:c>
      <x:c r="S839" s="6" t="str">
        <x:v>Location unspecified</x:v>
      </x:c>
      <x:c r="T839" s="6" t="n">
        <x:v>3</x:v>
      </x:c>
      <x:c r="U839" s="6" t="str">
        <x:v>11–20</x:v>
      </x:c>
      <x:c r="V839" s="6" t="str">
        <x:v>Ranking and owner relevance</x:v>
      </x:c>
      <x:c r="W839" s="6" t="str">
        <x:v>High-value commercial</x:v>
      </x:c>
      <x:c r="X839" s="6" t="n">
        <x:v>835</x:v>
      </x:c>
      <x:c r="Y839" s="6" t="str">
        <x:v>Unconfirmed — joint query/page data required</x:v>
      </x:c>
    </x:row>
    <x:row r="840" ht="57" customHeight="1">
      <x:c r="A840" s="6" t="str">
        <x:v>ecu tuning dubai</x:v>
      </x:c>
      <x:c r="B840" s="14" t="n">
        <x:v>0</x:v>
      </x:c>
      <x:c r="C840" s="14" t="n">
        <x:v>14</x:v>
      </x:c>
      <x:c r="D840" s="15" t="n">
        <x:v>0</x:v>
      </x:c>
      <x:c r="E840" s="16" t="n">
        <x:v>14.43</x:v>
      </x:c>
      <x:c r="F840" s="6" t="str">
        <x:v>HIGH</x:v>
      </x:c>
      <x:c r="G840" s="17" t="n">
        <x:f>'Scoring'!I840</x:f>
        <x:v>83.9</x:v>
      </x:c>
      <x:c r="H840" s="6" t="str">
        <x:v>SUPPORT</x:v>
      </x:c>
      <x:c r="I840" s="6" t="str">
        <x:v>All vehicles: Performance tuning</x:v>
      </x:c>
      <x:c r="J840" s="6" t="str">
        <x:v>Secondary</x:v>
      </x:c>
      <x:c r="K840" s="6" t="str">
        <x:v>Commercial service enquiry</x:v>
      </x:c>
      <x:c r="L840" s="6" t="str">
        <x:v>High</x:v>
      </x:c>
      <x:c r="M840" s="6" t="str">
        <x:v>https://digitecme.com/tuning</x:v>
      </x:c>
      <x:c r="N840" s="6" t="str">
        <x:v>Unknown — export has no query/page pairing</x:v>
      </x:c>
      <x:c r="O840" s="6" t="str">
        <x:v>Retain primary intent and support variants</x:v>
      </x:c>
      <x:c r="P840" s="6" t="str">
        <x:v>Use the existing tuning page; model scope and any GAD relationship require verified facts. 14 impressions at average position 14.43; strengthen the appropriate intent owner and measure with a fresh comparable period.</x:v>
      </x:c>
      <x:c r="Q840" s="6" t="str">
        <x:v>All vehicles</x:v>
      </x:c>
      <x:c r="R840" s="6" t="str">
        <x:v>tuning</x:v>
      </x:c>
      <x:c r="S840" s="6" t="str">
        <x:v>Dubai explicit</x:v>
      </x:c>
      <x:c r="T840" s="6" t="n">
        <x:v>5</x:v>
      </x:c>
      <x:c r="U840" s="6" t="str">
        <x:v>11–20</x:v>
      </x:c>
      <x:c r="V840" s="6" t="str">
        <x:v>Ranking and owner relevance</x:v>
      </x:c>
      <x:c r="W840" s="6" t="str">
        <x:v>Relevant supporting</x:v>
      </x:c>
      <x:c r="X840" s="6" t="n">
        <x:v>836</x:v>
      </x:c>
      <x:c r="Y840" s="6" t="str">
        <x:v>Unconfirmed — joint query/page data required</x:v>
      </x:c>
    </x:row>
    <x:row r="841" ht="42" customHeight="1">
      <x:c r="A841" s="6" t="str">
        <x:v>auto battery replacement service</x:v>
      </x:c>
      <x:c r="B841" s="14" t="n">
        <x:v>0</x:v>
      </x:c>
      <x:c r="C841" s="14" t="n">
        <x:v>14</x:v>
      </x:c>
      <x:c r="D841" s="15" t="n">
        <x:v>0</x:v>
      </x:c>
      <x:c r="E841" s="16" t="n">
        <x:v>16.29</x:v>
      </x:c>
      <x:c r="F841" s="6" t="str">
        <x:v>HIGH</x:v>
      </x:c>
      <x:c r="G841" s="17" t="n">
        <x:f>'Scoring'!I841</x:f>
        <x:v>63.4</x:v>
      </x:c>
      <x:c r="H841" s="6" t="str">
        <x:v>SUPPORT</x:v>
      </x:c>
      <x:c r="I841" s="6" t="str">
        <x:v>All vehicles: Battery service (English)</x:v>
      </x:c>
      <x:c r="J841" s="6" t="str">
        <x:v>Secondary</x:v>
      </x:c>
      <x:c r="K841" s="6" t="str">
        <x:v>Commercial service enquiry</x:v>
      </x:c>
      <x:c r="L841" s="6" t="str">
        <x:v>High</x:v>
      </x:c>
      <x:c r="M841" s="6" t="str">
        <x:v>https://digitecme.com/services/battery-replacement-dubai</x:v>
      </x:c>
      <x:c r="N841" s="6" t="str">
        <x:v>Unknown — export has no query/page pairing</x:v>
      </x:c>
      <x:c r="O841" s="6" t="str">
        <x:v>Retain primary intent and support variants</x:v>
      </x:c>
      <x:c r="P841" s="6" t="str">
        <x:v>14 impressions at average position 16.29; strengthen the appropriate intent owner and measure with a fresh comparable period.</x:v>
      </x:c>
      <x:c r="Q841" s="6" t="str">
        <x:v>All vehicles</x:v>
      </x:c>
      <x:c r="R841" s="6" t="str">
        <x:v>battery-replacement</x:v>
      </x:c>
      <x:c r="S841" s="6" t="str">
        <x:v>Location unspecified</x:v>
      </x:c>
      <x:c r="T841" s="6" t="n">
        <x:v>3</x:v>
      </x:c>
      <x:c r="U841" s="6" t="str">
        <x:v>11–20</x:v>
      </x:c>
      <x:c r="V841" s="6" t="str">
        <x:v>Ranking and owner relevance</x:v>
      </x:c>
      <x:c r="W841" s="6" t="str">
        <x:v>Relevant supporting</x:v>
      </x:c>
      <x:c r="X841" s="6" t="n">
        <x:v>837</x:v>
      </x:c>
      <x:c r="Y841" s="6" t="str">
        <x:v>Unconfirmed — joint query/page data required</x:v>
      </x:c>
    </x:row>
    <x:row r="842" ht="42" customHeight="1">
      <x:c r="A842" s="6" t="str">
        <x:v>porsche transmission service</x:v>
      </x:c>
      <x:c r="B842" s="14" t="n">
        <x:v>0</x:v>
      </x:c>
      <x:c r="C842" s="14" t="n">
        <x:v>14</x:v>
      </x:c>
      <x:c r="D842" s="15" t="n">
        <x:v>0</x:v>
      </x:c>
      <x:c r="E842" s="16" t="n">
        <x:v>18</x:v>
      </x:c>
      <x:c r="F842" s="6" t="str">
        <x:v>HIGH</x:v>
      </x:c>
      <x:c r="G842" s="17" t="n">
        <x:f>'Scoring'!I842</x:f>
        <x:v>71.4</x:v>
      </x:c>
      <x:c r="H842" s="6" t="str">
        <x:v>SPLIT</x:v>
      </x:c>
      <x:c r="I842" s="6" t="str">
        <x:v>porsche: Transmission and gearbox repair</x:v>
      </x:c>
      <x:c r="J842" s="6" t="str">
        <x:v>Secondary</x:v>
      </x:c>
      <x:c r="K842" s="6" t="str">
        <x:v>Commercial service enquiry</x:v>
      </x:c>
      <x:c r="L842" s="6" t="str">
        <x:v>High</x:v>
      </x:c>
      <x:c r="M842" s="6" t="str">
        <x:v>https://digitecme.com/brands/porsche-service-dubai/transmission-repair</x:v>
      </x:c>
      <x:c r="N842" s="6" t="str">
        <x:v>Unknown — export has no query/page pairing</x:v>
      </x:c>
      <x:c r="O842" s="6" t="str">
        <x:v>Use dedicated service owner</x:v>
      </x:c>
      <x:c r="P842" s="6" t="str">
        <x:v>14 impressions at average position 18.00; strengthen the appropriate intent owner and measure with a fresh comparable period.</x:v>
      </x:c>
      <x:c r="Q842" s="6" t="str">
        <x:v>porsche</x:v>
      </x:c>
      <x:c r="R842" s="6" t="str">
        <x:v>transmission-repair</x:v>
      </x:c>
      <x:c r="S842" s="6" t="str">
        <x:v>Location unspecified</x:v>
      </x:c>
      <x:c r="T842" s="6" t="n">
        <x:v>5</x:v>
      </x:c>
      <x:c r="U842" s="6" t="str">
        <x:v>11–20</x:v>
      </x:c>
      <x:c r="V842" s="6" t="str">
        <x:v>Ranking and owner relevance</x:v>
      </x:c>
      <x:c r="W842" s="6" t="str">
        <x:v>High-value commercial</x:v>
      </x:c>
      <x:c r="X842" s="6" t="n">
        <x:v>838</x:v>
      </x:c>
      <x:c r="Y842" s="6" t="str">
        <x:v>Unconfirmed — joint query/page data required</x:v>
      </x:c>
    </x:row>
    <x:row r="843" ht="42" customHeight="1">
      <x:c r="A843" s="6" t="str">
        <x:v>aston martin specialist</x:v>
      </x:c>
      <x:c r="B843" s="14" t="n">
        <x:v>0</x:v>
      </x:c>
      <x:c r="C843" s="14" t="n">
        <x:v>14</x:v>
      </x:c>
      <x:c r="D843" s="15" t="n">
        <x:v>0</x:v>
      </x:c>
      <x:c r="E843" s="16" t="n">
        <x:v>19.64</x:v>
      </x:c>
      <x:c r="F843" s="6" t="str">
        <x:v>HIGH</x:v>
      </x:c>
      <x:c r="G843" s="17" t="n">
        <x:f>'Scoring'!I843</x:f>
        <x:v>71.4</x:v>
      </x:c>
      <x:c r="H843" s="6" t="str">
        <x:v>SUPPORT</x:v>
      </x:c>
      <x:c r="I843" s="6" t="str">
        <x:v>aston-martin: Service and repair</x:v>
      </x:c>
      <x:c r="J843" s="6" t="str">
        <x:v>Secondary</x:v>
      </x:c>
      <x:c r="K843" s="6" t="str">
        <x:v>Commercial service enquiry</x:v>
      </x:c>
      <x:c r="L843" s="6" t="str">
        <x:v>High</x:v>
      </x:c>
      <x:c r="M843" s="6" t="str">
        <x:v>https://digitecme.com/brands/aston-martin-service-dubai</x:v>
      </x:c>
      <x:c r="N843" s="6" t="str">
        <x:v>Unknown — export has no query/page pairing</x:v>
      </x:c>
      <x:c r="O843" s="6" t="str">
        <x:v>Retain primary intent and support variants</x:v>
      </x:c>
      <x:c r="P843" s="6" t="str">
        <x:v>14 impressions at average position 19.64; strengthen the appropriate intent owner and measure with a fresh comparable period.</x:v>
      </x:c>
      <x:c r="Q843" s="6" t="str">
        <x:v>aston-martin</x:v>
      </x:c>
      <x:c r="R843" s="6" t="str">
        <x:v>service-repair</x:v>
      </x:c>
      <x:c r="S843" s="6" t="str">
        <x:v>Location unspecified</x:v>
      </x:c>
      <x:c r="T843" s="6" t="n">
        <x:v>5</x:v>
      </x:c>
      <x:c r="U843" s="6" t="str">
        <x:v>11–20</x:v>
      </x:c>
      <x:c r="V843" s="6" t="str">
        <x:v>Ranking and owner relevance</x:v>
      </x:c>
      <x:c r="W843" s="6" t="str">
        <x:v>Relevant supporting</x:v>
      </x:c>
      <x:c r="X843" s="6" t="n">
        <x:v>839</x:v>
      </x:c>
      <x:c r="Y843" s="6" t="str">
        <x:v>Unconfirmed — joint query/page data required</x:v>
      </x:c>
    </x:row>
    <x:row r="844" ht="42" customHeight="1">
      <x:c r="A844" s="6" t="str">
        <x:v>car steering repair in al quoz</x:v>
      </x:c>
      <x:c r="B844" s="14" t="n">
        <x:v>0</x:v>
      </x:c>
      <x:c r="C844" s="14" t="n">
        <x:v>14</x:v>
      </x:c>
      <x:c r="D844" s="15" t="n">
        <x:v>0</x:v>
      </x:c>
      <x:c r="E844" s="16" t="n">
        <x:v>20.36</x:v>
      </x:c>
      <x:c r="F844" s="6" t="str">
        <x:v>HIGH</x:v>
      </x:c>
      <x:c r="G844" s="17" t="n">
        <x:f>'Scoring'!I844</x:f>
        <x:v>68.4</x:v>
      </x:c>
      <x:c r="H844" s="6" t="str">
        <x:v>PRIORITIZE</x:v>
      </x:c>
      <x:c r="I844" s="6" t="str">
        <x:v>All vehicles: Steering repair</x:v>
      </x:c>
      <x:c r="J844" s="6" t="str">
        <x:v>Primary</x:v>
      </x:c>
      <x:c r="K844" s="6" t="str">
        <x:v>Commercial service enquiry</x:v>
      </x:c>
      <x:c r="L844" s="6" t="str">
        <x:v>High</x:v>
      </x:c>
      <x:c r="M844" s="6" t="str">
        <x:v>https://digitecme.com/services/steering-repair-dubai</x:v>
      </x:c>
      <x:c r="N844" s="6" t="str">
        <x:v>Unknown — export has no query/page pairing</x:v>
      </x:c>
      <x:c r="O844" s="6" t="str">
        <x:v>Strengthen this primary intent owner</x:v>
      </x:c>
      <x:c r="P844" s="6" t="str">
        <x:v>Average position 20.36 makes ranking the main issue; avoid a CTR-only rewrite.</x:v>
      </x:c>
      <x:c r="Q844" s="6" t="str">
        <x:v>All vehicles</x:v>
      </x:c>
      <x:c r="R844" s="6" t="str">
        <x:v>steering-repair</x:v>
      </x:c>
      <x:c r="S844" s="6" t="str">
        <x:v>Dubai explicit</x:v>
      </x:c>
      <x:c r="T844" s="6" t="n">
        <x:v>3</x:v>
      </x:c>
      <x:c r="U844" s="6" t="str">
        <x:v>21–40</x:v>
      </x:c>
      <x:c r="V844" s="6" t="str">
        <x:v>Content, internal authority and owner alignment</x:v>
      </x:c>
      <x:c r="W844" s="6" t="str">
        <x:v>High-value commercial</x:v>
      </x:c>
      <x:c r="X844" s="6" t="n">
        <x:v>840</x:v>
      </x:c>
      <x:c r="Y844" s="6" t="str">
        <x:v>Unconfirmed — joint query/page data required</x:v>
      </x:c>
    </x:row>
    <x:row r="845" ht="42" customHeight="1">
      <x:c r="A845" s="6" t="str">
        <x:v>gearbox specialist near me</x:v>
      </x:c>
      <x:c r="B845" s="14" t="n">
        <x:v>0</x:v>
      </x:c>
      <x:c r="C845" s="14" t="n">
        <x:v>14</x:v>
      </x:c>
      <x:c r="D845" s="15" t="n">
        <x:v>0</x:v>
      </x:c>
      <x:c r="E845" s="16" t="n">
        <x:v>21.07</x:v>
      </x:c>
      <x:c r="F845" s="6" t="str">
        <x:v>HIGH</x:v>
      </x:c>
      <x:c r="G845" s="17" t="n">
        <x:f>'Scoring'!I845</x:f>
        <x:v>68.4</x:v>
      </x:c>
      <x:c r="H845" s="6" t="str">
        <x:v>SUPPORT</x:v>
      </x:c>
      <x:c r="I845" s="6" t="str">
        <x:v>All vehicles: Transmission and gearbox repair</x:v>
      </x:c>
      <x:c r="J845" s="6" t="str">
        <x:v>Secondary</x:v>
      </x:c>
      <x:c r="K845" s="6" t="str">
        <x:v>Commercial service enquiry</x:v>
      </x:c>
      <x:c r="L845" s="6" t="str">
        <x:v>High</x:v>
      </x:c>
      <x:c r="M845" s="6" t="str">
        <x:v>https://digitecme.com/services/car-service-dubai</x:v>
      </x:c>
      <x:c r="N845" s="6" t="str">
        <x:v>Unknown — export has no query/page pairing</x:v>
      </x:c>
      <x:c r="O845" s="6" t="str">
        <x:v>Retain primary intent and support variants</x:v>
      </x:c>
      <x:c r="P845" s="6" t="str">
        <x:v>Average position 21.07 makes ranking the main issue; avoid a CTR-only rewrite.</x:v>
      </x:c>
      <x:c r="Q845" s="6" t="str">
        <x:v>All vehicles</x:v>
      </x:c>
      <x:c r="R845" s="6" t="str">
        <x:v>transmission-repair</x:v>
      </x:c>
      <x:c r="S845" s="6" t="str">
        <x:v>Near me; location unknown</x:v>
      </x:c>
      <x:c r="T845" s="6" t="n">
        <x:v>3</x:v>
      </x:c>
      <x:c r="U845" s="6" t="str">
        <x:v>21–40</x:v>
      </x:c>
      <x:c r="V845" s="6" t="str">
        <x:v>Content, internal authority and owner alignment</x:v>
      </x:c>
      <x:c r="W845" s="6" t="str">
        <x:v>Relevant supporting</x:v>
      </x:c>
      <x:c r="X845" s="6" t="n">
        <x:v>841</x:v>
      </x:c>
      <x:c r="Y845" s="6" t="str">
        <x:v>Unconfirmed — joint query/page data required</x:v>
      </x:c>
    </x:row>
    <x:row r="846" ht="57" customHeight="1">
      <x:c r="A846" s="6" t="str">
        <x:v>volkswagen transmission repair dubai</x:v>
      </x:c>
      <x:c r="B846" s="14" t="n">
        <x:v>0</x:v>
      </x:c>
      <x:c r="C846" s="14" t="n">
        <x:v>14</x:v>
      </x:c>
      <x:c r="D846" s="15" t="n">
        <x:v>0</x:v>
      </x:c>
      <x:c r="E846" s="16" t="n">
        <x:v>21.14</x:v>
      </x:c>
      <x:c r="F846" s="6" t="str">
        <x:v>HIGH</x:v>
      </x:c>
      <x:c r="G846" s="17" t="n">
        <x:f>'Scoring'!I846</x:f>
        <x:v>39.6</x:v>
      </x:c>
      <x:c r="H846" s="6" t="str">
        <x:v>SPLIT</x:v>
      </x:c>
      <x:c r="I846" s="6" t="str">
        <x:v>volkswagen: Transmission and gearbox repair</x:v>
      </x:c>
      <x:c r="J846" s="6" t="str">
        <x:v>Primary</x:v>
      </x:c>
      <x:c r="K846" s="6" t="str">
        <x:v>Commercial service enquiry</x:v>
      </x:c>
      <x:c r="L846" s="6" t="str">
        <x:v>Medium</x:v>
      </x:c>
      <x:c r="M846" s="6" t="str">
        <x:v>https://digitecme.com/brands/volkswagen-service-dubai/transmission-repair</x:v>
      </x:c>
      <x:c r="N846" s="6" t="str">
        <x:v>Unknown — export has no query/page pairing</x:v>
      </x:c>
      <x:c r="O846" s="6" t="str">
        <x:v>Use dedicated service owner</x:v>
      </x:c>
      <x:c r="P846" s="6" t="str">
        <x:v>Existing specific page is noindex; assess service evidence and distinct content before changing indexation. Average position 21.14 makes ranking the main issue; avoid a CTR-only rewrite.</x:v>
      </x:c>
      <x:c r="Q846" s="6" t="str">
        <x:v>volkswagen</x:v>
      </x:c>
      <x:c r="R846" s="6" t="str">
        <x:v>transmission-repair</x:v>
      </x:c>
      <x:c r="S846" s="6" t="str">
        <x:v>Dubai explicit</x:v>
      </x:c>
      <x:c r="T846" s="6" t="n">
        <x:v>3</x:v>
      </x:c>
      <x:c r="U846" s="6" t="str">
        <x:v>21–40</x:v>
      </x:c>
      <x:c r="V846" s="6" t="str">
        <x:v>Content, internal authority and owner alignment</x:v>
      </x:c>
      <x:c r="W846" s="6" t="str">
        <x:v>High-value commercial</x:v>
      </x:c>
      <x:c r="X846" s="6" t="n">
        <x:v>842</x:v>
      </x:c>
      <x:c r="Y846" s="6" t="str">
        <x:v>Unconfirmed — joint query/page data required</x:v>
      </x:c>
    </x:row>
    <x:row r="847" ht="42" customHeight="1">
      <x:c r="A847" s="6" t="str">
        <x:v>مركز صيانة اودي</x:v>
      </x:c>
      <x:c r="B847" s="14" t="n">
        <x:v>0</x:v>
      </x:c>
      <x:c r="C847" s="14" t="n">
        <x:v>14</x:v>
      </x:c>
      <x:c r="D847" s="15" t="n">
        <x:v>0</x:v>
      </x:c>
      <x:c r="E847" s="16" t="n">
        <x:v>21.43</x:v>
      </x:c>
      <x:c r="F847" s="6" t="str">
        <x:v>HIGH</x:v>
      </x:c>
      <x:c r="G847" s="17" t="n">
        <x:f>'Scoring'!I847</x:f>
        <x:v>71.4</x:v>
      </x:c>
      <x:c r="H847" s="6" t="str">
        <x:v>SUPPORT</x:v>
      </x:c>
      <x:c r="I847" s="6" t="str">
        <x:v>audi: Service and repair (Arabic)</x:v>
      </x:c>
      <x:c r="J847" s="6" t="str">
        <x:v>Secondary</x:v>
      </x:c>
      <x:c r="K847" s="6" t="str">
        <x:v>Commercial service enquiry</x:v>
      </x:c>
      <x:c r="L847" s="6" t="str">
        <x:v>High</x:v>
      </x:c>
      <x:c r="M847" s="6" t="str">
        <x:v>https://digitecme.com/ar/brands/audi-service-dubai</x:v>
      </x:c>
      <x:c r="N847" s="6" t="str">
        <x:v>Unknown — export has no query/page pairing</x:v>
      </x:c>
      <x:c r="O847" s="6" t="str">
        <x:v>Retain primary intent and support variants</x:v>
      </x:c>
      <x:c r="P847" s="6" t="str">
        <x:v>Use the existing Arabic counterpart and verify its translation quality. Average position 21.43 makes ranking the main issue; avoid a CTR-only rewrite.</x:v>
      </x:c>
      <x:c r="Q847" s="6" t="str">
        <x:v>audi</x:v>
      </x:c>
      <x:c r="R847" s="6" t="str">
        <x:v>service-repair</x:v>
      </x:c>
      <x:c r="S847" s="6" t="str">
        <x:v>Location unspecified</x:v>
      </x:c>
      <x:c r="T847" s="6" t="n">
        <x:v>5</x:v>
      </x:c>
      <x:c r="U847" s="6" t="str">
        <x:v>21–40</x:v>
      </x:c>
      <x:c r="V847" s="6" t="str">
        <x:v>Content, internal authority and owner alignment</x:v>
      </x:c>
      <x:c r="W847" s="6" t="str">
        <x:v>Relevant supporting</x:v>
      </x:c>
      <x:c r="X847" s="6" t="n">
        <x:v>843</x:v>
      </x:c>
      <x:c r="Y847" s="6" t="str">
        <x:v>Unconfirmed — joint query/page data required</x:v>
      </x:c>
    </x:row>
    <x:row r="848" ht="42" customHeight="1">
      <x:c r="A848" s="6" t="str">
        <x:v>benz repair near me</x:v>
      </x:c>
      <x:c r="B848" s="14" t="n">
        <x:v>0</x:v>
      </x:c>
      <x:c r="C848" s="14" t="n">
        <x:v>14</x:v>
      </x:c>
      <x:c r="D848" s="15" t="n">
        <x:v>0</x:v>
      </x:c>
      <x:c r="E848" s="16" t="n">
        <x:v>24.64</x:v>
      </x:c>
      <x:c r="F848" s="6" t="str">
        <x:v>HIGH</x:v>
      </x:c>
      <x:c r="G848" s="17" t="n">
        <x:f>'Scoring'!I848</x:f>
        <x:v>76.4</x:v>
      </x:c>
      <x:c r="H848" s="6" t="str">
        <x:v>SUPPORT</x:v>
      </x:c>
      <x:c r="I848" s="6" t="str">
        <x:v>mercedes-benz: Service and repair (English)</x:v>
      </x:c>
      <x:c r="J848" s="6" t="str">
        <x:v>Secondary</x:v>
      </x:c>
      <x:c r="K848" s="6" t="str">
        <x:v>Commercial service enquiry</x:v>
      </x:c>
      <x:c r="L848" s="6" t="str">
        <x:v>High</x:v>
      </x:c>
      <x:c r="M848" s="6" t="str">
        <x:v>https://digitecme.com/brands/mercedes-benz-service-dubai</x:v>
      </x:c>
      <x:c r="N848" s="6" t="str">
        <x:v>Unknown — export has no query/page pairing</x:v>
      </x:c>
      <x:c r="O848" s="6" t="str">
        <x:v>Retain primary intent and support variants</x:v>
      </x:c>
      <x:c r="P848" s="6" t="str">
        <x:v>Average position 24.64 makes ranking the main issue; avoid a CTR-only rewrite.</x:v>
      </x:c>
      <x:c r="Q848" s="6" t="str">
        <x:v>mercedes-benz</x:v>
      </x:c>
      <x:c r="R848" s="6" t="str">
        <x:v>service-repair</x:v>
      </x:c>
      <x:c r="S848" s="6" t="str">
        <x:v>Near me; location unknown</x:v>
      </x:c>
      <x:c r="T848" s="6" t="n">
        <x:v>5</x:v>
      </x:c>
      <x:c r="U848" s="6" t="str">
        <x:v>21–40</x:v>
      </x:c>
      <x:c r="V848" s="6" t="str">
        <x:v>Content, internal authority and owner alignment</x:v>
      </x:c>
      <x:c r="W848" s="6" t="str">
        <x:v>Relevant supporting</x:v>
      </x:c>
      <x:c r="X848" s="6" t="n">
        <x:v>844</x:v>
      </x:c>
      <x:c r="Y848" s="6" t="str">
        <x:v>Unconfirmed — joint query/page data required</x:v>
      </x:c>
    </x:row>
    <x:row r="849" ht="57" customHeight="1">
      <x:c r="A849" s="6" t="str">
        <x:v>lamborghini showroom near me</x:v>
      </x:c>
      <x:c r="B849" s="14" t="n">
        <x:v>0</x:v>
      </x:c>
      <x:c r="C849" s="14" t="n">
        <x:v>14</x:v>
      </x:c>
      <x:c r="D849" s="15" t="n">
        <x:v>0</x:v>
      </x:c>
      <x:c r="E849" s="16" t="n">
        <x:v>24.71</x:v>
      </x:c>
      <x:c r="F849" s="6" t="str">
        <x:v>IGNORE</x:v>
      </x:c>
      <x:c r="G849" s="17" t="n">
        <x:f>'Scoring'!I849</x:f>
        <x:v>0</x:v>
      </x:c>
      <x:c r="H849" s="6" t="str">
        <x:v>IGNORE</x:v>
      </x:c>
      <x:c r="I849" s="6" t="str">
        <x:v>Excluded: Dealer or showroom</x:v>
      </x:c>
      <x:c r="J849" s="6" t="str">
        <x:v>Secondary</x:v>
      </x:c>
      <x:c r="K849" s="6" t="str">
        <x:v>Other or mismatched intent</x:v>
      </x:c>
      <x:c r="L849" s="6" t="str">
        <x:v>None</x:v>
      </x:c>
      <x:c r="M849" s="6" t="str"/>
      <x:c r="N849" s="6" t="str">
        <x:v>Unknown — export has no query/page pairing</x:v>
      </x:c>
      <x:c r="O849" s="6" t="str">
        <x:v>Do not target</x:v>
      </x:c>
      <x:c r="P849" s="6" t="str">
        <x:v>Dealer, product, industrial, unrelated entity or non-service intent does not match the independent workshop offer. Average position 24.71 makes ranking the main issue; avoid a CTR-only rewrite.</x:v>
      </x:c>
      <x:c r="Q849" s="6" t="str">
        <x:v>lamborghini</x:v>
      </x:c>
      <x:c r="R849" s="6" t="str">
        <x:v>service-repair</x:v>
      </x:c>
      <x:c r="S849" s="6" t="str">
        <x:v>Near me; location unknown</x:v>
      </x:c>
      <x:c r="T849" s="6" t="n">
        <x:v>0</x:v>
      </x:c>
      <x:c r="U849" s="6" t="str">
        <x:v>21–40</x:v>
      </x:c>
      <x:c r="V849" s="6" t="str">
        <x:v>Content, internal authority and owner alignment</x:v>
      </x:c>
      <x:c r="W849" s="6" t="str">
        <x:v>Irrelevant</x:v>
      </x:c>
      <x:c r="X849" s="6" t="n">
        <x:v>845</x:v>
      </x:c>
      <x:c r="Y849" s="6" t="str">
        <x:v>Unconfirmed — joint query/page data required</x:v>
      </x:c>
    </x:row>
    <x:row r="850" ht="42" customHeight="1">
      <x:c r="A850" s="6" t="str">
        <x:v>ceramic coating near me</x:v>
      </x:c>
      <x:c r="B850" s="14" t="n">
        <x:v>0</x:v>
      </x:c>
      <x:c r="C850" s="14" t="n">
        <x:v>14</x:v>
      </x:c>
      <x:c r="D850" s="15" t="n">
        <x:v>0</x:v>
      </x:c>
      <x:c r="E850" s="16" t="n">
        <x:v>27.57</x:v>
      </x:c>
      <x:c r="F850" s="6" t="str">
        <x:v>HIGH</x:v>
      </x:c>
      <x:c r="G850" s="17" t="n">
        <x:f>'Scoring'!I850</x:f>
        <x:v>76.4</x:v>
      </x:c>
      <x:c r="H850" s="6" t="str">
        <x:v>SUPPORT</x:v>
      </x:c>
      <x:c r="I850" s="6" t="str">
        <x:v>All vehicles: Ceramic coating</x:v>
      </x:c>
      <x:c r="J850" s="6" t="str">
        <x:v>Secondary</x:v>
      </x:c>
      <x:c r="K850" s="6" t="str">
        <x:v>Commercial service enquiry</x:v>
      </x:c>
      <x:c r="L850" s="6" t="str">
        <x:v>High</x:v>
      </x:c>
      <x:c r="M850" s="6" t="str">
        <x:v>https://digitecme.com/services/ceramic-coating</x:v>
      </x:c>
      <x:c r="N850" s="6" t="str">
        <x:v>Unknown — export has no query/page pairing</x:v>
      </x:c>
      <x:c r="O850" s="6" t="str">
        <x:v>Retain primary intent and support variants</x:v>
      </x:c>
      <x:c r="P850" s="6" t="str">
        <x:v>Coating intent belongs to the ceramic page; distinguish its limitations from film. Average position 27.57 makes ranking the main issue; avoid a CTR-only rewrite.</x:v>
      </x:c>
      <x:c r="Q850" s="6" t="str">
        <x:v>All vehicles</x:v>
      </x:c>
      <x:c r="R850" s="6" t="str">
        <x:v>ceramic</x:v>
      </x:c>
      <x:c r="S850" s="6" t="str">
        <x:v>Near me; location unknown</x:v>
      </x:c>
      <x:c r="T850" s="6" t="n">
        <x:v>5</x:v>
      </x:c>
      <x:c r="U850" s="6" t="str">
        <x:v>21–40</x:v>
      </x:c>
      <x:c r="V850" s="6" t="str">
        <x:v>Content, internal authority and owner alignment</x:v>
      </x:c>
      <x:c r="W850" s="6" t="str">
        <x:v>Relevant supporting</x:v>
      </x:c>
      <x:c r="X850" s="6" t="n">
        <x:v>846</x:v>
      </x:c>
      <x:c r="Y850" s="6" t="str">
        <x:v>Unconfirmed — joint query/page data required</x:v>
      </x:c>
    </x:row>
    <x:row r="851" ht="42" customHeight="1">
      <x:c r="A851" s="6" t="str">
        <x:v>bmw brake service dubai</x:v>
      </x:c>
      <x:c r="B851" s="14" t="n">
        <x:v>0</x:v>
      </x:c>
      <x:c r="C851" s="14" t="n">
        <x:v>14</x:v>
      </x:c>
      <x:c r="D851" s="15" t="n">
        <x:v>0</x:v>
      </x:c>
      <x:c r="E851" s="16" t="n">
        <x:v>27.64</x:v>
      </x:c>
      <x:c r="F851" s="6" t="str">
        <x:v>HIGH</x:v>
      </x:c>
      <x:c r="G851" s="17" t="n">
        <x:f>'Scoring'!I851</x:f>
        <x:v>76.4</x:v>
      </x:c>
      <x:c r="H851" s="6" t="str">
        <x:v>SPLIT</x:v>
      </x:c>
      <x:c r="I851" s="6" t="str">
        <x:v>bmw: Brake repair</x:v>
      </x:c>
      <x:c r="J851" s="6" t="str">
        <x:v>Secondary</x:v>
      </x:c>
      <x:c r="K851" s="6" t="str">
        <x:v>Commercial service enquiry</x:v>
      </x:c>
      <x:c r="L851" s="6" t="str">
        <x:v>High</x:v>
      </x:c>
      <x:c r="M851" s="6" t="str">
        <x:v>https://digitecme.com/brands/bmw-service-dubai/brake-repair</x:v>
      </x:c>
      <x:c r="N851" s="6" t="str">
        <x:v>Unknown — export has no query/page pairing</x:v>
      </x:c>
      <x:c r="O851" s="6" t="str">
        <x:v>Use dedicated service owner</x:v>
      </x:c>
      <x:c r="P851" s="6" t="str">
        <x:v>Average position 27.64 makes ranking the main issue; avoid a CTR-only rewrite.</x:v>
      </x:c>
      <x:c r="Q851" s="6" t="str">
        <x:v>bmw</x:v>
      </x:c>
      <x:c r="R851" s="6" t="str">
        <x:v>brake-repair</x:v>
      </x:c>
      <x:c r="S851" s="6" t="str">
        <x:v>Dubai explicit</x:v>
      </x:c>
      <x:c r="T851" s="6" t="n">
        <x:v>5</x:v>
      </x:c>
      <x:c r="U851" s="6" t="str">
        <x:v>21–40</x:v>
      </x:c>
      <x:c r="V851" s="6" t="str">
        <x:v>Content, internal authority and owner alignment</x:v>
      </x:c>
      <x:c r="W851" s="6" t="str">
        <x:v>High-value commercial</x:v>
      </x:c>
      <x:c r="X851" s="6" t="n">
        <x:v>847</x:v>
      </x:c>
      <x:c r="Y851" s="6" t="str">
        <x:v>Unconfirmed — joint query/page data required</x:v>
      </x:c>
    </x:row>
    <x:row r="852" ht="42" customHeight="1">
      <x:c r="A852" s="6" t="str">
        <x:v>best car workshop dubai</x:v>
      </x:c>
      <x:c r="B852" s="14" t="n">
        <x:v>0</x:v>
      </x:c>
      <x:c r="C852" s="14" t="n">
        <x:v>14</x:v>
      </x:c>
      <x:c r="D852" s="15" t="n">
        <x:v>0</x:v>
      </x:c>
      <x:c r="E852" s="16" t="n">
        <x:v>28.07</x:v>
      </x:c>
      <x:c r="F852" s="6" t="str">
        <x:v>HIGH</x:v>
      </x:c>
      <x:c r="G852" s="17" t="n">
        <x:f>'Scoring'!I852</x:f>
        <x:v>68.4</x:v>
      </x:c>
      <x:c r="H852" s="6" t="str">
        <x:v>SUPPORT</x:v>
      </x:c>
      <x:c r="I852" s="6" t="str">
        <x:v>All vehicles: General garage and repair (English)</x:v>
      </x:c>
      <x:c r="J852" s="6" t="str">
        <x:v>Secondary</x:v>
      </x:c>
      <x:c r="K852" s="6" t="str">
        <x:v>Commercial service enquiry</x:v>
      </x:c>
      <x:c r="L852" s="6" t="str">
        <x:v>High</x:v>
      </x:c>
      <x:c r="M852" s="6" t="str">
        <x:v>https://digitecme.com/services/car-garage-dubai</x:v>
      </x:c>
      <x:c r="N852" s="6" t="str">
        <x:v>Unknown — export has no query/page pairing</x:v>
      </x:c>
      <x:c r="O852" s="6" t="str">
        <x:v>Retain primary intent and support variants</x:v>
      </x:c>
      <x:c r="P852" s="6" t="str">
        <x:v>Average position 28.07 makes ranking the main issue; avoid a CTR-only rewrite.</x:v>
      </x:c>
      <x:c r="Q852" s="6" t="str">
        <x:v>All vehicles</x:v>
      </x:c>
      <x:c r="R852" s="6" t="str">
        <x:v>service-repair</x:v>
      </x:c>
      <x:c r="S852" s="6" t="str">
        <x:v>Dubai explicit</x:v>
      </x:c>
      <x:c r="T852" s="6" t="n">
        <x:v>3</x:v>
      </x:c>
      <x:c r="U852" s="6" t="str">
        <x:v>21–40</x:v>
      </x:c>
      <x:c r="V852" s="6" t="str">
        <x:v>Content, internal authority and owner alignment</x:v>
      </x:c>
      <x:c r="W852" s="6" t="str">
        <x:v>Relevant supporting</x:v>
      </x:c>
      <x:c r="X852" s="6" t="n">
        <x:v>848</x:v>
      </x:c>
      <x:c r="Y852" s="6" t="str">
        <x:v>Unconfirmed — joint query/page data required</x:v>
      </x:c>
    </x:row>
    <x:row r="853" ht="42" customHeight="1">
      <x:c r="A853" s="6" t="str">
        <x:v>mazda service center dubai</x:v>
      </x:c>
      <x:c r="B853" s="14" t="n">
        <x:v>0</x:v>
      </x:c>
      <x:c r="C853" s="14" t="n">
        <x:v>14</x:v>
      </x:c>
      <x:c r="D853" s="15" t="n">
        <x:v>0</x:v>
      </x:c>
      <x:c r="E853" s="16" t="n">
        <x:v>29.93</x:v>
      </x:c>
      <x:c r="F853" s="6" t="str">
        <x:v>HIGH</x:v>
      </x:c>
      <x:c r="G853" s="17" t="n">
        <x:f>'Scoring'!I853</x:f>
        <x:v>68.4</x:v>
      </x:c>
      <x:c r="H853" s="6" t="str">
        <x:v>SUPPORT</x:v>
      </x:c>
      <x:c r="I853" s="6" t="str">
        <x:v>mazda: Service and repair (English)</x:v>
      </x:c>
      <x:c r="J853" s="6" t="str">
        <x:v>Secondary</x:v>
      </x:c>
      <x:c r="K853" s="6" t="str">
        <x:v>Commercial service enquiry</x:v>
      </x:c>
      <x:c r="L853" s="6" t="str">
        <x:v>High</x:v>
      </x:c>
      <x:c r="M853" s="6" t="str">
        <x:v>https://digitecme.com/brands/mazda-service-dubai</x:v>
      </x:c>
      <x:c r="N853" s="6" t="str">
        <x:v>Unknown — export has no query/page pairing</x:v>
      </x:c>
      <x:c r="O853" s="6" t="str">
        <x:v>Retain primary intent and support variants</x:v>
      </x:c>
      <x:c r="P853" s="6" t="str">
        <x:v>Average position 29.93 makes ranking the main issue; avoid a CTR-only rewrite.</x:v>
      </x:c>
      <x:c r="Q853" s="6" t="str">
        <x:v>mazda</x:v>
      </x:c>
      <x:c r="R853" s="6" t="str">
        <x:v>service-repair</x:v>
      </x:c>
      <x:c r="S853" s="6" t="str">
        <x:v>Dubai explicit</x:v>
      </x:c>
      <x:c r="T853" s="6" t="n">
        <x:v>3</x:v>
      </x:c>
      <x:c r="U853" s="6" t="str">
        <x:v>21–40</x:v>
      </x:c>
      <x:c r="V853" s="6" t="str">
        <x:v>Content, internal authority and owner alignment</x:v>
      </x:c>
      <x:c r="W853" s="6" t="str">
        <x:v>Relevant supporting</x:v>
      </x:c>
      <x:c r="X853" s="6" t="n">
        <x:v>849</x:v>
      </x:c>
      <x:c r="Y853" s="6" t="str">
        <x:v>Unconfirmed — joint query/page data required</x:v>
      </x:c>
    </x:row>
    <x:row r="854" ht="42" customHeight="1">
      <x:c r="A854" s="6" t="str">
        <x:v>nissan car battery dubai</x:v>
      </x:c>
      <x:c r="B854" s="14" t="n">
        <x:v>0</x:v>
      </x:c>
      <x:c r="C854" s="14" t="n">
        <x:v>14</x:v>
      </x:c>
      <x:c r="D854" s="15" t="n">
        <x:v>0</x:v>
      </x:c>
      <x:c r="E854" s="16" t="n">
        <x:v>31</x:v>
      </x:c>
      <x:c r="F854" s="6" t="str">
        <x:v>GROWTH</x:v>
      </x:c>
      <x:c r="G854" s="17" t="n">
        <x:f>'Scoring'!I854</x:f>
        <x:v>60.9</x:v>
      </x:c>
      <x:c r="H854" s="6" t="str">
        <x:v>SPLIT</x:v>
      </x:c>
      <x:c r="I854" s="6" t="str">
        <x:v>nissan: Battery service</x:v>
      </x:c>
      <x:c r="J854" s="6" t="str">
        <x:v>Primary</x:v>
      </x:c>
      <x:c r="K854" s="6" t="str">
        <x:v>Commercial service enquiry</x:v>
      </x:c>
      <x:c r="L854" s="6" t="str">
        <x:v>High</x:v>
      </x:c>
      <x:c r="M854" s="6" t="str">
        <x:v>https://digitecme.com/brands/nissan-service-dubai/battery-replacement</x:v>
      </x:c>
      <x:c r="N854" s="6" t="str">
        <x:v>Unknown — export has no query/page pairing</x:v>
      </x:c>
      <x:c r="O854" s="6" t="str">
        <x:v>Use dedicated service owner</x:v>
      </x:c>
      <x:c r="P854" s="6" t="str">
        <x:v>Average position 31.00 makes ranking the main issue; avoid a CTR-only rewrite.</x:v>
      </x:c>
      <x:c r="Q854" s="6" t="str">
        <x:v>nissan</x:v>
      </x:c>
      <x:c r="R854" s="6" t="str">
        <x:v>battery-replacement</x:v>
      </x:c>
      <x:c r="S854" s="6" t="str">
        <x:v>Dubai explicit</x:v>
      </x:c>
      <x:c r="T854" s="6" t="n">
        <x:v>3</x:v>
      </x:c>
      <x:c r="U854" s="6" t="str">
        <x:v>21–40</x:v>
      </x:c>
      <x:c r="V854" s="6" t="str">
        <x:v>Content, internal authority and owner alignment</x:v>
      </x:c>
      <x:c r="W854" s="6" t="str">
        <x:v>High-value commercial</x:v>
      </x:c>
      <x:c r="X854" s="6" t="n">
        <x:v>850</x:v>
      </x:c>
      <x:c r="Y854" s="6" t="str">
        <x:v>Unconfirmed — joint query/page data required</x:v>
      </x:c>
    </x:row>
    <x:row r="855" ht="57" customHeight="1">
      <x:c r="A855" s="6" t="str">
        <x:v>jeep car battery uae</x:v>
      </x:c>
      <x:c r="B855" s="14" t="n">
        <x:v>0</x:v>
      </x:c>
      <x:c r="C855" s="14" t="n">
        <x:v>14</x:v>
      </x:c>
      <x:c r="D855" s="15" t="n">
        <x:v>0</x:v>
      </x:c>
      <x:c r="E855" s="16" t="n">
        <x:v>33</x:v>
      </x:c>
      <x:c r="F855" s="6" t="str">
        <x:v>GROWTH</x:v>
      </x:c>
      <x:c r="G855" s="17" t="n">
        <x:f>'Scoring'!I855</x:f>
        <x:v>31.5</x:v>
      </x:c>
      <x:c r="H855" s="6" t="str">
        <x:v>SPLIT</x:v>
      </x:c>
      <x:c r="I855" s="6" t="str">
        <x:v>jeep: Battery service</x:v>
      </x:c>
      <x:c r="J855" s="6" t="str">
        <x:v>Primary</x:v>
      </x:c>
      <x:c r="K855" s="6" t="str">
        <x:v>Commercial service enquiry</x:v>
      </x:c>
      <x:c r="L855" s="6" t="str">
        <x:v>Medium</x:v>
      </x:c>
      <x:c r="M855" s="6" t="str">
        <x:v>https://digitecme.com/brands/jeep-service-dubai/battery-replacement</x:v>
      </x:c>
      <x:c r="N855" s="6" t="str">
        <x:v>Unknown — export has no query/page pairing</x:v>
      </x:c>
      <x:c r="O855" s="6" t="str">
        <x:v>Use dedicated service owner</x:v>
      </x:c>
      <x:c r="P855" s="6" t="str">
        <x:v>Existing specific page is noindex; assess service evidence and distinct content before changing indexation. Average position 33.00 makes ranking the main issue; avoid a CTR-only rewrite.</x:v>
      </x:c>
      <x:c r="Q855" s="6" t="str">
        <x:v>jeep</x:v>
      </x:c>
      <x:c r="R855" s="6" t="str">
        <x:v>battery-replacement</x:v>
      </x:c>
      <x:c r="S855" s="6" t="str">
        <x:v>Location unspecified</x:v>
      </x:c>
      <x:c r="T855" s="6" t="n">
        <x:v>3</x:v>
      </x:c>
      <x:c r="U855" s="6" t="str">
        <x:v>21–40</x:v>
      </x:c>
      <x:c r="V855" s="6" t="str">
        <x:v>Content, internal authority and owner alignment</x:v>
      </x:c>
      <x:c r="W855" s="6" t="str">
        <x:v>High-value commercial</x:v>
      </x:c>
      <x:c r="X855" s="6" t="n">
        <x:v>851</x:v>
      </x:c>
      <x:c r="Y855" s="6" t="str">
        <x:v>Unconfirmed — joint query/page data required</x:v>
      </x:c>
    </x:row>
    <x:row r="856" ht="42" customHeight="1">
      <x:c r="A856" s="6" t="str">
        <x:v>cadillac service garage dubai</x:v>
      </x:c>
      <x:c r="B856" s="14" t="n">
        <x:v>0</x:v>
      </x:c>
      <x:c r="C856" s="14" t="n">
        <x:v>14</x:v>
      </x:c>
      <x:c r="D856" s="15" t="n">
        <x:v>0</x:v>
      </x:c>
      <x:c r="E856" s="16" t="n">
        <x:v>34.14</x:v>
      </x:c>
      <x:c r="F856" s="6" t="str">
        <x:v>GROWTH</x:v>
      </x:c>
      <x:c r="G856" s="17" t="n">
        <x:f>'Scoring'!I856</x:f>
        <x:v>60.9</x:v>
      </x:c>
      <x:c r="H856" s="6" t="str">
        <x:v>SUPPORT</x:v>
      </x:c>
      <x:c r="I856" s="6" t="str">
        <x:v>cadillac: Service and repair</x:v>
      </x:c>
      <x:c r="J856" s="6" t="str">
        <x:v>Secondary</x:v>
      </x:c>
      <x:c r="K856" s="6" t="str">
        <x:v>Commercial service enquiry</x:v>
      </x:c>
      <x:c r="L856" s="6" t="str">
        <x:v>High</x:v>
      </x:c>
      <x:c r="M856" s="6" t="str">
        <x:v>https://digitecme.com/brands/cadillac-service-dubai</x:v>
      </x:c>
      <x:c r="N856" s="6" t="str">
        <x:v>Unknown — export has no query/page pairing</x:v>
      </x:c>
      <x:c r="O856" s="6" t="str">
        <x:v>Retain primary intent and support variants</x:v>
      </x:c>
      <x:c r="P856" s="6" t="str">
        <x:v>Average position 34.14 makes ranking the main issue; avoid a CTR-only rewrite.</x:v>
      </x:c>
      <x:c r="Q856" s="6" t="str">
        <x:v>cadillac</x:v>
      </x:c>
      <x:c r="R856" s="6" t="str">
        <x:v>service-repair</x:v>
      </x:c>
      <x:c r="S856" s="6" t="str">
        <x:v>Dubai explicit</x:v>
      </x:c>
      <x:c r="T856" s="6" t="n">
        <x:v>3</x:v>
      </x:c>
      <x:c r="U856" s="6" t="str">
        <x:v>21–40</x:v>
      </x:c>
      <x:c r="V856" s="6" t="str">
        <x:v>Content, internal authority and owner alignment</x:v>
      </x:c>
      <x:c r="W856" s="6" t="str">
        <x:v>Relevant supporting</x:v>
      </x:c>
      <x:c r="X856" s="6" t="n">
        <x:v>852</x:v>
      </x:c>
      <x:c r="Y856" s="6" t="str">
        <x:v>Unconfirmed — joint query/page data required</x:v>
      </x:c>
    </x:row>
    <x:row r="857" ht="42" customHeight="1">
      <x:c r="A857" s="6" t="str">
        <x:v>exhaust system dubai</x:v>
      </x:c>
      <x:c r="B857" s="14" t="n">
        <x:v>0</x:v>
      </x:c>
      <x:c r="C857" s="14" t="n">
        <x:v>14</x:v>
      </x:c>
      <x:c r="D857" s="15" t="n">
        <x:v>0</x:v>
      </x:c>
      <x:c r="E857" s="16" t="n">
        <x:v>36.43</x:v>
      </x:c>
      <x:c r="F857" s="6" t="str">
        <x:v>GROWTH</x:v>
      </x:c>
      <x:c r="G857" s="17" t="n">
        <x:f>'Scoring'!I857</x:f>
        <x:v>60.9</x:v>
      </x:c>
      <x:c r="H857" s="6" t="str">
        <x:v>SUPPORT</x:v>
      </x:c>
      <x:c r="I857" s="6" t="str">
        <x:v>All vehicles: Exhaust repair</x:v>
      </x:c>
      <x:c r="J857" s="6" t="str">
        <x:v>Secondary</x:v>
      </x:c>
      <x:c r="K857" s="6" t="str">
        <x:v>Commercial service enquiry</x:v>
      </x:c>
      <x:c r="L857" s="6" t="str">
        <x:v>High</x:v>
      </x:c>
      <x:c r="M857" s="6" t="str">
        <x:v>https://digitecme.com/services/exhaust-repair-dubai</x:v>
      </x:c>
      <x:c r="N857" s="6" t="str">
        <x:v>Unknown — export has no query/page pairing</x:v>
      </x:c>
      <x:c r="O857" s="6" t="str">
        <x:v>Retain primary intent and support variants</x:v>
      </x:c>
      <x:c r="P857" s="6" t="str">
        <x:v>Average position 36.43 makes ranking the main issue; avoid a CTR-only rewrite.</x:v>
      </x:c>
      <x:c r="Q857" s="6" t="str">
        <x:v>All vehicles</x:v>
      </x:c>
      <x:c r="R857" s="6" t="str">
        <x:v>exhaust-repair</x:v>
      </x:c>
      <x:c r="S857" s="6" t="str">
        <x:v>Dubai explicit</x:v>
      </x:c>
      <x:c r="T857" s="6" t="n">
        <x:v>3</x:v>
      </x:c>
      <x:c r="U857" s="6" t="str">
        <x:v>21–40</x:v>
      </x:c>
      <x:c r="V857" s="6" t="str">
        <x:v>Content, internal authority and owner alignment</x:v>
      </x:c>
      <x:c r="W857" s="6" t="str">
        <x:v>Relevant supporting</x:v>
      </x:c>
      <x:c r="X857" s="6" t="n">
        <x:v>853</x:v>
      </x:c>
      <x:c r="Y857" s="6" t="str">
        <x:v>Unconfirmed — joint query/page data required</x:v>
      </x:c>
    </x:row>
    <x:row r="858" ht="42" customHeight="1">
      <x:c r="A858" s="6" t="str">
        <x:v>rolls royce repair</x:v>
      </x:c>
      <x:c r="B858" s="14" t="n">
        <x:v>0</x:v>
      </x:c>
      <x:c r="C858" s="14" t="n">
        <x:v>14</x:v>
      </x:c>
      <x:c r="D858" s="15" t="n">
        <x:v>0</x:v>
      </x:c>
      <x:c r="E858" s="16" t="n">
        <x:v>37.71</x:v>
      </x:c>
      <x:c r="F858" s="6" t="str">
        <x:v>GROWTH</x:v>
      </x:c>
      <x:c r="G858" s="17" t="n">
        <x:f>'Scoring'!I858</x:f>
        <x:v>63.9</x:v>
      </x:c>
      <x:c r="H858" s="6" t="str">
        <x:v>SUPPORT</x:v>
      </x:c>
      <x:c r="I858" s="6" t="str">
        <x:v>rolls-royce: Service and repair</x:v>
      </x:c>
      <x:c r="J858" s="6" t="str">
        <x:v>Secondary</x:v>
      </x:c>
      <x:c r="K858" s="6" t="str">
        <x:v>Commercial service enquiry</x:v>
      </x:c>
      <x:c r="L858" s="6" t="str">
        <x:v>High</x:v>
      </x:c>
      <x:c r="M858" s="6" t="str">
        <x:v>https://digitecme.com/brands/rolls-royce-service-dubai</x:v>
      </x:c>
      <x:c r="N858" s="6" t="str">
        <x:v>Unknown — export has no query/page pairing</x:v>
      </x:c>
      <x:c r="O858" s="6" t="str">
        <x:v>Retain primary intent and support variants</x:v>
      </x:c>
      <x:c r="P858" s="6" t="str">
        <x:v>Average position 37.71 makes ranking the main issue; avoid a CTR-only rewrite.</x:v>
      </x:c>
      <x:c r="Q858" s="6" t="str">
        <x:v>rolls-royce</x:v>
      </x:c>
      <x:c r="R858" s="6" t="str">
        <x:v>service-repair</x:v>
      </x:c>
      <x:c r="S858" s="6" t="str">
        <x:v>Location unspecified</x:v>
      </x:c>
      <x:c r="T858" s="6" t="n">
        <x:v>5</x:v>
      </x:c>
      <x:c r="U858" s="6" t="str">
        <x:v>21–40</x:v>
      </x:c>
      <x:c r="V858" s="6" t="str">
        <x:v>Content, internal authority and owner alignment</x:v>
      </x:c>
      <x:c r="W858" s="6" t="str">
        <x:v>Relevant supporting</x:v>
      </x:c>
      <x:c r="X858" s="6" t="n">
        <x:v>854</x:v>
      </x:c>
      <x:c r="Y858" s="6" t="str">
        <x:v>Unconfirmed — joint query/page data required</x:v>
      </x:c>
    </x:row>
    <x:row r="859" ht="42" customHeight="1">
      <x:c r="A859" s="6" t="str">
        <x:v>audi car battery dubai</x:v>
      </x:c>
      <x:c r="B859" s="14" t="n">
        <x:v>0</x:v>
      </x:c>
      <x:c r="C859" s="14" t="n">
        <x:v>14</x:v>
      </x:c>
      <x:c r="D859" s="15" t="n">
        <x:v>0</x:v>
      </x:c>
      <x:c r="E859" s="16" t="n">
        <x:v>37.86</x:v>
      </x:c>
      <x:c r="F859" s="6" t="str">
        <x:v>GROWTH</x:v>
      </x:c>
      <x:c r="G859" s="17" t="n">
        <x:f>'Scoring'!I859</x:f>
        <x:v>68.9</x:v>
      </x:c>
      <x:c r="H859" s="6" t="str">
        <x:v>SPLIT</x:v>
      </x:c>
      <x:c r="I859" s="6" t="str">
        <x:v>audi: Battery service</x:v>
      </x:c>
      <x:c r="J859" s="6" t="str">
        <x:v>Secondary</x:v>
      </x:c>
      <x:c r="K859" s="6" t="str">
        <x:v>Commercial service enquiry</x:v>
      </x:c>
      <x:c r="L859" s="6" t="str">
        <x:v>High</x:v>
      </x:c>
      <x:c r="M859" s="6" t="str">
        <x:v>https://digitecme.com/brands/audi-service-dubai/battery-replacement</x:v>
      </x:c>
      <x:c r="N859" s="6" t="str">
        <x:v>Unknown — export has no query/page pairing</x:v>
      </x:c>
      <x:c r="O859" s="6" t="str">
        <x:v>Use dedicated service owner</x:v>
      </x:c>
      <x:c r="P859" s="6" t="str">
        <x:v>Average position 37.86 makes ranking the main issue; avoid a CTR-only rewrite.</x:v>
      </x:c>
      <x:c r="Q859" s="6" t="str">
        <x:v>audi</x:v>
      </x:c>
      <x:c r="R859" s="6" t="str">
        <x:v>battery-replacement</x:v>
      </x:c>
      <x:c r="S859" s="6" t="str">
        <x:v>Dubai explicit</x:v>
      </x:c>
      <x:c r="T859" s="6" t="n">
        <x:v>5</x:v>
      </x:c>
      <x:c r="U859" s="6" t="str">
        <x:v>21–40</x:v>
      </x:c>
      <x:c r="V859" s="6" t="str">
        <x:v>Content, internal authority and owner alignment</x:v>
      </x:c>
      <x:c r="W859" s="6" t="str">
        <x:v>High-value commercial</x:v>
      </x:c>
      <x:c r="X859" s="6" t="n">
        <x:v>855</x:v>
      </x:c>
      <x:c r="Y859" s="6" t="str">
        <x:v>Unconfirmed — joint query/page data required</x:v>
      </x:c>
    </x:row>
    <x:row r="860" ht="42" customHeight="1">
      <x:c r="A860" s="6" t="str">
        <x:v>volkswagen dubai service</x:v>
      </x:c>
      <x:c r="B860" s="14" t="n">
        <x:v>0</x:v>
      </x:c>
      <x:c r="C860" s="14" t="n">
        <x:v>14</x:v>
      </x:c>
      <x:c r="D860" s="15" t="n">
        <x:v>0</x:v>
      </x:c>
      <x:c r="E860" s="16" t="n">
        <x:v>38</x:v>
      </x:c>
      <x:c r="F860" s="6" t="str">
        <x:v>GROWTH</x:v>
      </x:c>
      <x:c r="G860" s="17" t="n">
        <x:f>'Scoring'!I860</x:f>
        <x:v>60.9</x:v>
      </x:c>
      <x:c r="H860" s="6" t="str">
        <x:v>SUPPORT</x:v>
      </x:c>
      <x:c r="I860" s="6" t="str">
        <x:v>volkswagen: Service and repair (English)</x:v>
      </x:c>
      <x:c r="J860" s="6" t="str">
        <x:v>Secondary</x:v>
      </x:c>
      <x:c r="K860" s="6" t="str">
        <x:v>Commercial service enquiry</x:v>
      </x:c>
      <x:c r="L860" s="6" t="str">
        <x:v>High</x:v>
      </x:c>
      <x:c r="M860" s="6" t="str">
        <x:v>https://digitecme.com/brands/volkswagen-service-dubai</x:v>
      </x:c>
      <x:c r="N860" s="6" t="str">
        <x:v>Unknown — export has no query/page pairing</x:v>
      </x:c>
      <x:c r="O860" s="6" t="str">
        <x:v>Retain primary intent and support variants</x:v>
      </x:c>
      <x:c r="P860" s="6" t="str">
        <x:v>Average position 38.00 makes ranking the main issue; avoid a CTR-only rewrite.</x:v>
      </x:c>
      <x:c r="Q860" s="6" t="str">
        <x:v>volkswagen</x:v>
      </x:c>
      <x:c r="R860" s="6" t="str">
        <x:v>service-repair</x:v>
      </x:c>
      <x:c r="S860" s="6" t="str">
        <x:v>Dubai explicit</x:v>
      </x:c>
      <x:c r="T860" s="6" t="n">
        <x:v>3</x:v>
      </x:c>
      <x:c r="U860" s="6" t="str">
        <x:v>21–40</x:v>
      </x:c>
      <x:c r="V860" s="6" t="str">
        <x:v>Content, internal authority and owner alignment</x:v>
      </x:c>
      <x:c r="W860" s="6" t="str">
        <x:v>Relevant supporting</x:v>
      </x:c>
      <x:c r="X860" s="6" t="n">
        <x:v>856</x:v>
      </x:c>
      <x:c r="Y860" s="6" t="str">
        <x:v>Unconfirmed — joint query/page data required</x:v>
      </x:c>
    </x:row>
    <x:row r="861" ht="42" customHeight="1">
      <x:c r="A861" s="6" t="str">
        <x:v>transmission repair parts</x:v>
      </x:c>
      <x:c r="B861" s="14" t="n">
        <x:v>0</x:v>
      </x:c>
      <x:c r="C861" s="14" t="n">
        <x:v>14</x:v>
      </x:c>
      <x:c r="D861" s="15" t="n">
        <x:v>0</x:v>
      </x:c>
      <x:c r="E861" s="16" t="n">
        <x:v>38.64</x:v>
      </x:c>
      <x:c r="F861" s="6" t="str">
        <x:v>DEPRIORITIZE</x:v>
      </x:c>
      <x:c r="G861" s="17" t="n">
        <x:f>'Scoring'!I861</x:f>
        <x:v>33.7</x:v>
      </x:c>
      <x:c r="H861" s="6" t="str">
        <x:v>DEPRIORITIZE</x:v>
      </x:c>
      <x:c r="I861" s="6" t="str">
        <x:v>All vehicles: Transmission and gearbox repair</x:v>
      </x:c>
      <x:c r="J861" s="6" t="str">
        <x:v>Secondary</x:v>
      </x:c>
      <x:c r="K861" s="6" t="str">
        <x:v>Commercial service enquiry</x:v>
      </x:c>
      <x:c r="L861" s="6" t="str">
        <x:v>Medium</x:v>
      </x:c>
      <x:c r="M861" s="6" t="str">
        <x:v>https://digitecme.com/services/car-service-dubai</x:v>
      </x:c>
      <x:c r="N861" s="6" t="str">
        <x:v>Unknown — export has no query/page pairing</x:v>
      </x:c>
      <x:c r="O861" s="6" t="str">
        <x:v>Confirm scope or deprioritize</x:v>
      </x:c>
      <x:c r="P861" s="6" t="str">
        <x:v>Possible product or parts-retail intent; confirm repair-enquiry intent before active targeting. Average position 38.64 makes ranking the main issue; avoid a CTR-only rewrite.</x:v>
      </x:c>
      <x:c r="Q861" s="6" t="str">
        <x:v>All vehicles</x:v>
      </x:c>
      <x:c r="R861" s="6" t="str">
        <x:v>transmission-repair</x:v>
      </x:c>
      <x:c r="S861" s="6" t="str">
        <x:v>Location unspecified</x:v>
      </x:c>
      <x:c r="T861" s="6" t="n">
        <x:v>2</x:v>
      </x:c>
      <x:c r="U861" s="6" t="str">
        <x:v>21–40</x:v>
      </x:c>
      <x:c r="V861" s="6" t="str">
        <x:v>Content, internal authority and owner alignment</x:v>
      </x:c>
      <x:c r="W861" s="6" t="str">
        <x:v>Low-value</x:v>
      </x:c>
      <x:c r="X861" s="6" t="n">
        <x:v>857</x:v>
      </x:c>
      <x:c r="Y861" s="6" t="str">
        <x:v>Unconfirmed — joint query/page data required</x:v>
      </x:c>
    </x:row>
    <x:row r="862" ht="42" customHeight="1">
      <x:c r="A862" s="6" t="str">
        <x:v>car servicing</x:v>
      </x:c>
      <x:c r="B862" s="14" t="n">
        <x:v>0</x:v>
      </x:c>
      <x:c r="C862" s="14" t="n">
        <x:v>14</x:v>
      </x:c>
      <x:c r="D862" s="15" t="n">
        <x:v>0</x:v>
      </x:c>
      <x:c r="E862" s="16" t="n">
        <x:v>39.36</x:v>
      </x:c>
      <x:c r="F862" s="6" t="str">
        <x:v>GROWTH</x:v>
      </x:c>
      <x:c r="G862" s="17" t="n">
        <x:f>'Scoring'!I862</x:f>
        <x:v>55.9</x:v>
      </x:c>
      <x:c r="H862" s="6" t="str">
        <x:v>SUPPORT</x:v>
      </x:c>
      <x:c r="I862" s="6" t="str">
        <x:v>All vehicles: Scheduled car service</x:v>
      </x:c>
      <x:c r="J862" s="6" t="str">
        <x:v>Secondary</x:v>
      </x:c>
      <x:c r="K862" s="6" t="str">
        <x:v>Commercial service enquiry</x:v>
      </x:c>
      <x:c r="L862" s="6" t="str">
        <x:v>High</x:v>
      </x:c>
      <x:c r="M862" s="6" t="str">
        <x:v>https://digitecme.com/services/car-service-dubai</x:v>
      </x:c>
      <x:c r="N862" s="6" t="str">
        <x:v>Unknown — export has no query/page pairing</x:v>
      </x:c>
      <x:c r="O862" s="6" t="str">
        <x:v>Retain primary intent and support variants</x:v>
      </x:c>
      <x:c r="P862" s="6" t="str">
        <x:v>Average position 39.36 makes ranking the main issue; avoid a CTR-only rewrite.</x:v>
      </x:c>
      <x:c r="Q862" s="6" t="str">
        <x:v>All vehicles</x:v>
      </x:c>
      <x:c r="R862" s="6" t="str">
        <x:v>service-repair</x:v>
      </x:c>
      <x:c r="S862" s="6" t="str">
        <x:v>Location unspecified</x:v>
      </x:c>
      <x:c r="T862" s="6" t="n">
        <x:v>3</x:v>
      </x:c>
      <x:c r="U862" s="6" t="str">
        <x:v>21–40</x:v>
      </x:c>
      <x:c r="V862" s="6" t="str">
        <x:v>Content, internal authority and owner alignment</x:v>
      </x:c>
      <x:c r="W862" s="6" t="str">
        <x:v>Relevant supporting</x:v>
      </x:c>
      <x:c r="X862" s="6" t="n">
        <x:v>858</x:v>
      </x:c>
      <x:c r="Y862" s="6" t="str">
        <x:v>Unconfirmed — joint query/page data required</x:v>
      </x:c>
    </x:row>
    <x:row r="863" ht="42" customHeight="1">
      <x:c r="A863" s="6" t="str">
        <x:v>professional gear box maintenance company in uae</x:v>
      </x:c>
      <x:c r="B863" s="14" t="n">
        <x:v>0</x:v>
      </x:c>
      <x:c r="C863" s="14" t="n">
        <x:v>14</x:v>
      </x:c>
      <x:c r="D863" s="15" t="n">
        <x:v>0</x:v>
      </x:c>
      <x:c r="E863" s="16" t="n">
        <x:v>40.57</x:v>
      </x:c>
      <x:c r="F863" s="6" t="str">
        <x:v>GROWTH</x:v>
      </x:c>
      <x:c r="G863" s="17" t="n">
        <x:f>'Scoring'!I863</x:f>
        <x:v>49.7</x:v>
      </x:c>
      <x:c r="H863" s="6" t="str">
        <x:v>SUPPORT</x:v>
      </x:c>
      <x:c r="I863" s="6" t="str">
        <x:v>All vehicles: Transmission and gearbox repair</x:v>
      </x:c>
      <x:c r="J863" s="6" t="str">
        <x:v>Secondary</x:v>
      </x:c>
      <x:c r="K863" s="6" t="str">
        <x:v>Commercial service enquiry</x:v>
      </x:c>
      <x:c r="L863" s="6" t="str">
        <x:v>High</x:v>
      </x:c>
      <x:c r="M863" s="6" t="str">
        <x:v>https://digitecme.com/services/car-service-dubai</x:v>
      </x:c>
      <x:c r="N863" s="6" t="str">
        <x:v>Unknown — export has no query/page pairing</x:v>
      </x:c>
      <x:c r="O863" s="6" t="str">
        <x:v>Retain primary intent and support variants</x:v>
      </x:c>
      <x:c r="P863" s="6" t="str">
        <x:v>Average position 40.57 makes ranking the main issue; avoid a CTR-only rewrite.</x:v>
      </x:c>
      <x:c r="Q863" s="6" t="str">
        <x:v>All vehicles</x:v>
      </x:c>
      <x:c r="R863" s="6" t="str">
        <x:v>transmission-repair</x:v>
      </x:c>
      <x:c r="S863" s="6" t="str">
        <x:v>Location unspecified</x:v>
      </x:c>
      <x:c r="T863" s="6" t="n">
        <x:v>3</x:v>
      </x:c>
      <x:c r="U863" s="6" t="str">
        <x:v>40+</x:v>
      </x:c>
      <x:c r="V863" s="6" t="str">
        <x:v>Relevance, capability, indexing and authority review</x:v>
      </x:c>
      <x:c r="W863" s="6" t="str">
        <x:v>Relevant supporting</x:v>
      </x:c>
      <x:c r="X863" s="6" t="n">
        <x:v>859</x:v>
      </x:c>
      <x:c r="Y863" s="6" t="str">
        <x:v>Unconfirmed — joint query/page data required</x:v>
      </x:c>
    </x:row>
    <x:row r="864" ht="42" customHeight="1">
      <x:c r="A864" s="6" t="str">
        <x:v>bmw car battery replacement</x:v>
      </x:c>
      <x:c r="B864" s="14" t="n">
        <x:v>0</x:v>
      </x:c>
      <x:c r="C864" s="14" t="n">
        <x:v>14</x:v>
      </x:c>
      <x:c r="D864" s="15" t="n">
        <x:v>0</x:v>
      </x:c>
      <x:c r="E864" s="16" t="n">
        <x:v>40.86</x:v>
      </x:c>
      <x:c r="F864" s="6" t="str">
        <x:v>GROWTH</x:v>
      </x:c>
      <x:c r="G864" s="17" t="n">
        <x:f>'Scoring'!I864</x:f>
        <x:v>57.7</x:v>
      </x:c>
      <x:c r="H864" s="6" t="str">
        <x:v>SPLIT</x:v>
      </x:c>
      <x:c r="I864" s="6" t="str">
        <x:v>bmw: Battery service</x:v>
      </x:c>
      <x:c r="J864" s="6" t="str">
        <x:v>Secondary</x:v>
      </x:c>
      <x:c r="K864" s="6" t="str">
        <x:v>Commercial service enquiry</x:v>
      </x:c>
      <x:c r="L864" s="6" t="str">
        <x:v>High</x:v>
      </x:c>
      <x:c r="M864" s="6" t="str">
        <x:v>https://digitecme.com/brands/bmw-service-dubai/battery-replacement</x:v>
      </x:c>
      <x:c r="N864" s="6" t="str">
        <x:v>Unknown — export has no query/page pairing</x:v>
      </x:c>
      <x:c r="O864" s="6" t="str">
        <x:v>Use dedicated service owner</x:v>
      </x:c>
      <x:c r="P864" s="6" t="str">
        <x:v>Average position 40.86 makes ranking the main issue; avoid a CTR-only rewrite.</x:v>
      </x:c>
      <x:c r="Q864" s="6" t="str">
        <x:v>bmw</x:v>
      </x:c>
      <x:c r="R864" s="6" t="str">
        <x:v>battery-replacement</x:v>
      </x:c>
      <x:c r="S864" s="6" t="str">
        <x:v>Location unspecified</x:v>
      </x:c>
      <x:c r="T864" s="6" t="n">
        <x:v>5</x:v>
      </x:c>
      <x:c r="U864" s="6" t="str">
        <x:v>40+</x:v>
      </x:c>
      <x:c r="V864" s="6" t="str">
        <x:v>Relevance, capability, indexing and authority review</x:v>
      </x:c>
      <x:c r="W864" s="6" t="str">
        <x:v>High-value commercial</x:v>
      </x:c>
      <x:c r="X864" s="6" t="n">
        <x:v>860</x:v>
      </x:c>
      <x:c r="Y864" s="6" t="str">
        <x:v>Unconfirmed — joint query/page data required</x:v>
      </x:c>
    </x:row>
    <x:row r="865" ht="42" customHeight="1">
      <x:c r="A865" s="6" t="str">
        <x:v>infiniti car service dubai</x:v>
      </x:c>
      <x:c r="B865" s="14" t="n">
        <x:v>0</x:v>
      </x:c>
      <x:c r="C865" s="14" t="n">
        <x:v>14</x:v>
      </x:c>
      <x:c r="D865" s="15" t="n">
        <x:v>0</x:v>
      </x:c>
      <x:c r="E865" s="16" t="n">
        <x:v>42.93</x:v>
      </x:c>
      <x:c r="F865" s="6" t="str">
        <x:v>GROWTH</x:v>
      </x:c>
      <x:c r="G865" s="17" t="n">
        <x:f>'Scoring'!I865</x:f>
        <x:v>54.7</x:v>
      </x:c>
      <x:c r="H865" s="6" t="str">
        <x:v>SUPPORT</x:v>
      </x:c>
      <x:c r="I865" s="6" t="str">
        <x:v>infiniti: Service and repair</x:v>
      </x:c>
      <x:c r="J865" s="6" t="str">
        <x:v>Secondary</x:v>
      </x:c>
      <x:c r="K865" s="6" t="str">
        <x:v>Commercial service enquiry</x:v>
      </x:c>
      <x:c r="L865" s="6" t="str">
        <x:v>High</x:v>
      </x:c>
      <x:c r="M865" s="6" t="str">
        <x:v>https://digitecme.com/brands/infiniti-service-dubai</x:v>
      </x:c>
      <x:c r="N865" s="6" t="str">
        <x:v>Unknown — export has no query/page pairing</x:v>
      </x:c>
      <x:c r="O865" s="6" t="str">
        <x:v>Retain primary intent and support variants</x:v>
      </x:c>
      <x:c r="P865" s="6" t="str">
        <x:v>Average position 42.93 makes ranking the main issue; avoid a CTR-only rewrite.</x:v>
      </x:c>
      <x:c r="Q865" s="6" t="str">
        <x:v>infiniti</x:v>
      </x:c>
      <x:c r="R865" s="6" t="str">
        <x:v>service-repair</x:v>
      </x:c>
      <x:c r="S865" s="6" t="str">
        <x:v>Dubai explicit</x:v>
      </x:c>
      <x:c r="T865" s="6" t="n">
        <x:v>3</x:v>
      </x:c>
      <x:c r="U865" s="6" t="str">
        <x:v>40+</x:v>
      </x:c>
      <x:c r="V865" s="6" t="str">
        <x:v>Relevance, capability, indexing and authority review</x:v>
      </x:c>
      <x:c r="W865" s="6" t="str">
        <x:v>Relevant supporting</x:v>
      </x:c>
      <x:c r="X865" s="6" t="n">
        <x:v>861</x:v>
      </x:c>
      <x:c r="Y865" s="6" t="str">
        <x:v>Unconfirmed — joint query/page data required</x:v>
      </x:c>
    </x:row>
    <x:row r="866" ht="42" customHeight="1">
      <x:c r="A866" s="6" t="str">
        <x:v>dodge repair dubai</x:v>
      </x:c>
      <x:c r="B866" s="14" t="n">
        <x:v>0</x:v>
      </x:c>
      <x:c r="C866" s="14" t="n">
        <x:v>14</x:v>
      </x:c>
      <x:c r="D866" s="15" t="n">
        <x:v>0</x:v>
      </x:c>
      <x:c r="E866" s="16" t="n">
        <x:v>44.57</x:v>
      </x:c>
      <x:c r="F866" s="6" t="str">
        <x:v>GROWTH</x:v>
      </x:c>
      <x:c r="G866" s="17" t="n">
        <x:f>'Scoring'!I866</x:f>
        <x:v>54.7</x:v>
      </x:c>
      <x:c r="H866" s="6" t="str">
        <x:v>PRIORITIZE</x:v>
      </x:c>
      <x:c r="I866" s="6" t="str">
        <x:v>dodge: Service and repair (English)</x:v>
      </x:c>
      <x:c r="J866" s="6" t="str">
        <x:v>Primary</x:v>
      </x:c>
      <x:c r="K866" s="6" t="str">
        <x:v>Commercial service enquiry</x:v>
      </x:c>
      <x:c r="L866" s="6" t="str">
        <x:v>High</x:v>
      </x:c>
      <x:c r="M866" s="6" t="str">
        <x:v>https://digitecme.com/brands/dodge-service-dubai</x:v>
      </x:c>
      <x:c r="N866" s="6" t="str">
        <x:v>Unknown — export has no query/page pairing</x:v>
      </x:c>
      <x:c r="O866" s="6" t="str">
        <x:v>Strengthen this primary intent owner</x:v>
      </x:c>
      <x:c r="P866" s="6" t="str">
        <x:v>Average position 44.57 makes ranking the main issue; avoid a CTR-only rewrite.</x:v>
      </x:c>
      <x:c r="Q866" s="6" t="str">
        <x:v>dodge</x:v>
      </x:c>
      <x:c r="R866" s="6" t="str">
        <x:v>service-repair</x:v>
      </x:c>
      <x:c r="S866" s="6" t="str">
        <x:v>Dubai explicit</x:v>
      </x:c>
      <x:c r="T866" s="6" t="n">
        <x:v>3</x:v>
      </x:c>
      <x:c r="U866" s="6" t="str">
        <x:v>40+</x:v>
      </x:c>
      <x:c r="V866" s="6" t="str">
        <x:v>Relevance, capability, indexing and authority review</x:v>
      </x:c>
      <x:c r="W866" s="6" t="str">
        <x:v>High-value commercial</x:v>
      </x:c>
      <x:c r="X866" s="6" t="n">
        <x:v>862</x:v>
      </x:c>
      <x:c r="Y866" s="6" t="str">
        <x:v>Unconfirmed — joint query/page data required</x:v>
      </x:c>
    </x:row>
    <x:row r="867" ht="42" customHeight="1">
      <x:c r="A867" s="6" t="str">
        <x:v>rolls royce suspension repair dubai</x:v>
      </x:c>
      <x:c r="B867" s="14" t="n">
        <x:v>0</x:v>
      </x:c>
      <x:c r="C867" s="14" t="n">
        <x:v>14</x:v>
      </x:c>
      <x:c r="D867" s="15" t="n">
        <x:v>0</x:v>
      </x:c>
      <x:c r="E867" s="16" t="n">
        <x:v>45.21</x:v>
      </x:c>
      <x:c r="F867" s="6" t="str">
        <x:v>GROWTH</x:v>
      </x:c>
      <x:c r="G867" s="17" t="n">
        <x:f>'Scoring'!I867</x:f>
        <x:v>62.7</x:v>
      </x:c>
      <x:c r="H867" s="6" t="str">
        <x:v>SPLIT</x:v>
      </x:c>
      <x:c r="I867" s="6" t="str">
        <x:v>rolls-royce: Suspension repair</x:v>
      </x:c>
      <x:c r="J867" s="6" t="str">
        <x:v>Primary</x:v>
      </x:c>
      <x:c r="K867" s="6" t="str">
        <x:v>Commercial service enquiry</x:v>
      </x:c>
      <x:c r="L867" s="6" t="str">
        <x:v>High</x:v>
      </x:c>
      <x:c r="M867" s="6" t="str">
        <x:v>https://digitecme.com/brands/rolls-royce-service-dubai/suspension-repair</x:v>
      </x:c>
      <x:c r="N867" s="6" t="str">
        <x:v>Unknown — export has no query/page pairing</x:v>
      </x:c>
      <x:c r="O867" s="6" t="str">
        <x:v>Use dedicated service owner</x:v>
      </x:c>
      <x:c r="P867" s="6" t="str">
        <x:v>Average position 45.21 makes ranking the main issue; avoid a CTR-only rewrite.</x:v>
      </x:c>
      <x:c r="Q867" s="6" t="str">
        <x:v>rolls-royce</x:v>
      </x:c>
      <x:c r="R867" s="6" t="str">
        <x:v>suspension-repair</x:v>
      </x:c>
      <x:c r="S867" s="6" t="str">
        <x:v>Dubai explicit</x:v>
      </x:c>
      <x:c r="T867" s="6" t="n">
        <x:v>5</x:v>
      </x:c>
      <x:c r="U867" s="6" t="str">
        <x:v>40+</x:v>
      </x:c>
      <x:c r="V867" s="6" t="str">
        <x:v>Relevance, capability, indexing and authority review</x:v>
      </x:c>
      <x:c r="W867" s="6" t="str">
        <x:v>High-value commercial</x:v>
      </x:c>
      <x:c r="X867" s="6" t="n">
        <x:v>863</x:v>
      </x:c>
      <x:c r="Y867" s="6" t="str">
        <x:v>Unconfirmed — joint query/page data required</x:v>
      </x:c>
    </x:row>
    <x:row r="868" ht="57" customHeight="1">
      <x:c r="A868" s="6" t="str">
        <x:v>car exterior protection</x:v>
      </x:c>
      <x:c r="B868" s="14" t="n">
        <x:v>0</x:v>
      </x:c>
      <x:c r="C868" s="14" t="n">
        <x:v>14</x:v>
      </x:c>
      <x:c r="D868" s="15" t="n">
        <x:v>0</x:v>
      </x:c>
      <x:c r="E868" s="16" t="n">
        <x:v>46.14</x:v>
      </x:c>
      <x:c r="F868" s="6" t="str">
        <x:v>GROWTH</x:v>
      </x:c>
      <x:c r="G868" s="17" t="n">
        <x:f>'Scoring'!I868</x:f>
        <x:v>57.7</x:v>
      </x:c>
      <x:c r="H868" s="6" t="str">
        <x:v>SUPPORT</x:v>
      </x:c>
      <x:c r="I868" s="6" t="str">
        <x:v>All vehicles: Paint care and protection comparison</x:v>
      </x:c>
      <x:c r="J868" s="6" t="str">
        <x:v>Secondary</x:v>
      </x:c>
      <x:c r="K868" s="6" t="str">
        <x:v>Commercial service enquiry</x:v>
      </x:c>
      <x:c r="L868" s="6" t="str">
        <x:v>High</x:v>
      </x:c>
      <x:c r="M868" s="6" t="str">
        <x:v>https://digitecme.com/services/paint-protection-dubai</x:v>
      </x:c>
      <x:c r="N868" s="6" t="str">
        <x:v>Unknown — export has no query/page pairing</x:v>
      </x:c>
      <x:c r="O868" s="6" t="str">
        <x:v>Retain primary intent and support variants</x:v>
      </x:c>
      <x:c r="P868" s="6" t="str">
        <x:v>Broad protection intent is mixed; the comparison hub should direct film and coating enquiries to their specialist pages. Average position 46.14 makes ranking the main issue; avoid a CTR-only rewrite.</x:v>
      </x:c>
      <x:c r="Q868" s="6" t="str">
        <x:v>All vehicles</x:v>
      </x:c>
      <x:c r="R868" s="6" t="str">
        <x:v>paint-care</x:v>
      </x:c>
      <x:c r="S868" s="6" t="str">
        <x:v>Location unspecified</x:v>
      </x:c>
      <x:c r="T868" s="6" t="n">
        <x:v>5</x:v>
      </x:c>
      <x:c r="U868" s="6" t="str">
        <x:v>40+</x:v>
      </x:c>
      <x:c r="V868" s="6" t="str">
        <x:v>Relevance, capability, indexing and authority review</x:v>
      </x:c>
      <x:c r="W868" s="6" t="str">
        <x:v>Relevant supporting</x:v>
      </x:c>
      <x:c r="X868" s="6" t="n">
        <x:v>864</x:v>
      </x:c>
      <x:c r="Y868" s="6" t="str">
        <x:v>Unconfirmed — joint query/page data required</x:v>
      </x:c>
    </x:row>
    <x:row r="869" ht="42" customHeight="1">
      <x:c r="A869" s="6" t="str">
        <x:v>paint protection film service in dubai</x:v>
      </x:c>
      <x:c r="B869" s="14" t="n">
        <x:v>0</x:v>
      </x:c>
      <x:c r="C869" s="14" t="n">
        <x:v>14</x:v>
      </x:c>
      <x:c r="D869" s="15" t="n">
        <x:v>0</x:v>
      </x:c>
      <x:c r="E869" s="16" t="n">
        <x:v>48.93</x:v>
      </x:c>
      <x:c r="F869" s="6" t="str">
        <x:v>GROWTH</x:v>
      </x:c>
      <x:c r="G869" s="17" t="n">
        <x:f>'Scoring'!I869</x:f>
        <x:v>62.7</x:v>
      </x:c>
      <x:c r="H869" s="6" t="str">
        <x:v>SUPPORT</x:v>
      </x:c>
      <x:c r="I869" s="6" t="str">
        <x:v>All vehicles: Paint protection film</x:v>
      </x:c>
      <x:c r="J869" s="6" t="str">
        <x:v>Secondary</x:v>
      </x:c>
      <x:c r="K869" s="6" t="str">
        <x:v>Commercial service enquiry</x:v>
      </x:c>
      <x:c r="L869" s="6" t="str">
        <x:v>High</x:v>
      </x:c>
      <x:c r="M869" s="6" t="str">
        <x:v>https://digitecme.com/services/paint-protection-film</x:v>
      </x:c>
      <x:c r="N869" s="6" t="str">
        <x:v>Unknown — export has no query/page pairing</x:v>
      </x:c>
      <x:c r="O869" s="6" t="str">
        <x:v>Retain primary intent and support variants</x:v>
      </x:c>
      <x:c r="P869" s="6" t="str">
        <x:v>Film intent belongs to the PPF page; vehicle and district terms are secondary context. Average position 48.93 makes ranking the main issue; avoid a CTR-only rewrite.</x:v>
      </x:c>
      <x:c r="Q869" s="6" t="str">
        <x:v>All vehicles</x:v>
      </x:c>
      <x:c r="R869" s="6" t="str">
        <x:v>ppf</x:v>
      </x:c>
      <x:c r="S869" s="6" t="str">
        <x:v>Dubai explicit</x:v>
      </x:c>
      <x:c r="T869" s="6" t="n">
        <x:v>5</x:v>
      </x:c>
      <x:c r="U869" s="6" t="str">
        <x:v>40+</x:v>
      </x:c>
      <x:c r="V869" s="6" t="str">
        <x:v>Relevance, capability, indexing and authority review</x:v>
      </x:c>
      <x:c r="W869" s="6" t="str">
        <x:v>Relevant supporting</x:v>
      </x:c>
      <x:c r="X869" s="6" t="n">
        <x:v>865</x:v>
      </x:c>
      <x:c r="Y869" s="6" t="str">
        <x:v>Unconfirmed — joint query/page data required</x:v>
      </x:c>
    </x:row>
    <x:row r="870" ht="72" customHeight="1">
      <x:c r="A870" s="6" t="str">
        <x:v>fuel system design uae</x:v>
      </x:c>
      <x:c r="B870" s="14" t="n">
        <x:v>0</x:v>
      </x:c>
      <x:c r="C870" s="14" t="n">
        <x:v>14</x:v>
      </x:c>
      <x:c r="D870" s="15" t="n">
        <x:v>0</x:v>
      </x:c>
      <x:c r="E870" s="16" t="n">
        <x:v>50.86</x:v>
      </x:c>
      <x:c r="F870" s="6" t="str">
        <x:v>DEPRIORITIZE</x:v>
      </x:c>
      <x:c r="G870" s="17" t="n">
        <x:f>'Scoring'!I870</x:f>
        <x:v>4.7</x:v>
      </x:c>
      <x:c r="H870" s="6" t="str">
        <x:v>DEPRIORITIZE</x:v>
      </x:c>
      <x:c r="I870" s="6" t="str">
        <x:v>All vehicles: Performance tuning</x:v>
      </x:c>
      <x:c r="J870" s="6" t="str">
        <x:v>Secondary</x:v>
      </x:c>
      <x:c r="K870" s="6" t="str">
        <x:v>Commercial service enquiry</x:v>
      </x:c>
      <x:c r="L870" s="6" t="str">
        <x:v>Unverified</x:v>
      </x:c>
      <x:c r="M870" s="6" t="str">
        <x:v>https://digitecme.com/tuning</x:v>
      </x:c>
      <x:c r="N870" s="6" t="str">
        <x:v>Unknown — export has no query/page pairing</x:v>
      </x:c>
      <x:c r="O870" s="6" t="str">
        <x:v>Confirm scope or deprioritize</x:v>
      </x:c>
      <x:c r="P870" s="6" t="str">
        <x:v>Use the existing tuning page; model scope and any GAD relationship require verified facts. Product, high-voltage, delivery or specialist capability requires business confirmation; existing copy alone is not sufficient evidence. Average position 50.86 makes ranking the main issue; avoid a CTR-only rewrite.</x:v>
      </x:c>
      <x:c r="Q870" s="6" t="str">
        <x:v>All vehicles</x:v>
      </x:c>
      <x:c r="R870" s="6" t="str">
        <x:v>tuning</x:v>
      </x:c>
      <x:c r="S870" s="6" t="str">
        <x:v>Location unspecified</x:v>
      </x:c>
      <x:c r="T870" s="6" t="n">
        <x:v>1</x:v>
      </x:c>
      <x:c r="U870" s="6" t="str">
        <x:v>40+</x:v>
      </x:c>
      <x:c r="V870" s="6" t="str">
        <x:v>Relevance, capability, indexing and authority review</x:v>
      </x:c>
      <x:c r="W870" s="6" t="str">
        <x:v>Low-value</x:v>
      </x:c>
      <x:c r="X870" s="6" t="n">
        <x:v>866</x:v>
      </x:c>
      <x:c r="Y870" s="6" t="str">
        <x:v>Unconfirmed — joint query/page data required</x:v>
      </x:c>
    </x:row>
    <x:row r="871" ht="42" customHeight="1">
      <x:c r="A871" s="6" t="str">
        <x:v>gmc car service dubai</x:v>
      </x:c>
      <x:c r="B871" s="14" t="n">
        <x:v>0</x:v>
      </x:c>
      <x:c r="C871" s="14" t="n">
        <x:v>14</x:v>
      </x:c>
      <x:c r="D871" s="15" t="n">
        <x:v>0</x:v>
      </x:c>
      <x:c r="E871" s="16" t="n">
        <x:v>51.71</x:v>
      </x:c>
      <x:c r="F871" s="6" t="str">
        <x:v>GROWTH</x:v>
      </x:c>
      <x:c r="G871" s="17" t="n">
        <x:f>'Scoring'!I871</x:f>
        <x:v>54.7</x:v>
      </x:c>
      <x:c r="H871" s="6" t="str">
        <x:v>SUPPORT</x:v>
      </x:c>
      <x:c r="I871" s="6" t="str">
        <x:v>gmc: Service and repair</x:v>
      </x:c>
      <x:c r="J871" s="6" t="str">
        <x:v>Secondary</x:v>
      </x:c>
      <x:c r="K871" s="6" t="str">
        <x:v>Commercial service enquiry</x:v>
      </x:c>
      <x:c r="L871" s="6" t="str">
        <x:v>High</x:v>
      </x:c>
      <x:c r="M871" s="6" t="str">
        <x:v>https://digitecme.com/brands/gmc-service-dubai</x:v>
      </x:c>
      <x:c r="N871" s="6" t="str">
        <x:v>Unknown — export has no query/page pairing</x:v>
      </x:c>
      <x:c r="O871" s="6" t="str">
        <x:v>Retain primary intent and support variants</x:v>
      </x:c>
      <x:c r="P871" s="6" t="str">
        <x:v>Average position 51.71 makes ranking the main issue; avoid a CTR-only rewrite.</x:v>
      </x:c>
      <x:c r="Q871" s="6" t="str">
        <x:v>gmc</x:v>
      </x:c>
      <x:c r="R871" s="6" t="str">
        <x:v>service-repair</x:v>
      </x:c>
      <x:c r="S871" s="6" t="str">
        <x:v>Dubai explicit</x:v>
      </x:c>
      <x:c r="T871" s="6" t="n">
        <x:v>3</x:v>
      </x:c>
      <x:c r="U871" s="6" t="str">
        <x:v>40+</x:v>
      </x:c>
      <x:c r="V871" s="6" t="str">
        <x:v>Relevance, capability, indexing and authority review</x:v>
      </x:c>
      <x:c r="W871" s="6" t="str">
        <x:v>Relevant supporting</x:v>
      </x:c>
      <x:c r="X871" s="6" t="n">
        <x:v>867</x:v>
      </x:c>
      <x:c r="Y871" s="6" t="str">
        <x:v>Unconfirmed — joint query/page data required</x:v>
      </x:c>
    </x:row>
    <x:row r="872" ht="42" customHeight="1">
      <x:c r="A872" s="6" t="str">
        <x:v>bentley repair specialist in dubai</x:v>
      </x:c>
      <x:c r="B872" s="14" t="n">
        <x:v>0</x:v>
      </x:c>
      <x:c r="C872" s="14" t="n">
        <x:v>14</x:v>
      </x:c>
      <x:c r="D872" s="15" t="n">
        <x:v>0</x:v>
      </x:c>
      <x:c r="E872" s="16" t="n">
        <x:v>53.79</x:v>
      </x:c>
      <x:c r="F872" s="6" t="str">
        <x:v>GROWTH</x:v>
      </x:c>
      <x:c r="G872" s="17" t="n">
        <x:f>'Scoring'!I872</x:f>
        <x:v>62.7</x:v>
      </x:c>
      <x:c r="H872" s="6" t="str">
        <x:v>SUPPORT</x:v>
      </x:c>
      <x:c r="I872" s="6" t="str">
        <x:v>bentley: Service and repair (English)</x:v>
      </x:c>
      <x:c r="J872" s="6" t="str">
        <x:v>Secondary</x:v>
      </x:c>
      <x:c r="K872" s="6" t="str">
        <x:v>Commercial service enquiry</x:v>
      </x:c>
      <x:c r="L872" s="6" t="str">
        <x:v>High</x:v>
      </x:c>
      <x:c r="M872" s="6" t="str">
        <x:v>https://digitecme.com/brands/bentley-service-dubai</x:v>
      </x:c>
      <x:c r="N872" s="6" t="str">
        <x:v>Unknown — export has no query/page pairing</x:v>
      </x:c>
      <x:c r="O872" s="6" t="str">
        <x:v>Retain primary intent and support variants</x:v>
      </x:c>
      <x:c r="P872" s="6" t="str">
        <x:v>Average position 53.79 makes ranking the main issue; avoid a CTR-only rewrite.</x:v>
      </x:c>
      <x:c r="Q872" s="6" t="str">
        <x:v>bentley</x:v>
      </x:c>
      <x:c r="R872" s="6" t="str">
        <x:v>service-repair</x:v>
      </x:c>
      <x:c r="S872" s="6" t="str">
        <x:v>Dubai explicit</x:v>
      </x:c>
      <x:c r="T872" s="6" t="n">
        <x:v>5</x:v>
      </x:c>
      <x:c r="U872" s="6" t="str">
        <x:v>40+</x:v>
      </x:c>
      <x:c r="V872" s="6" t="str">
        <x:v>Relevance, capability, indexing and authority review</x:v>
      </x:c>
      <x:c r="W872" s="6" t="str">
        <x:v>Relevant supporting</x:v>
      </x:c>
      <x:c r="X872" s="6" t="n">
        <x:v>868</x:v>
      </x:c>
      <x:c r="Y872" s="6" t="str">
        <x:v>Unconfirmed — joint query/page data required</x:v>
      </x:c>
    </x:row>
    <x:row r="873" ht="42" customHeight="1">
      <x:c r="A873" s="6" t="str">
        <x:v>toyota car battery</x:v>
      </x:c>
      <x:c r="B873" s="14" t="n">
        <x:v>0</x:v>
      </x:c>
      <x:c r="C873" s="14" t="n">
        <x:v>14</x:v>
      </x:c>
      <x:c r="D873" s="15" t="n">
        <x:v>0</x:v>
      </x:c>
      <x:c r="E873" s="16" t="n">
        <x:v>55.79</x:v>
      </x:c>
      <x:c r="F873" s="6" t="str">
        <x:v>GROWTH</x:v>
      </x:c>
      <x:c r="G873" s="17" t="n">
        <x:f>'Scoring'!I873</x:f>
        <x:v>49.7</x:v>
      </x:c>
      <x:c r="H873" s="6" t="str">
        <x:v>SPLIT</x:v>
      </x:c>
      <x:c r="I873" s="6" t="str">
        <x:v>toyota: Battery service</x:v>
      </x:c>
      <x:c r="J873" s="6" t="str">
        <x:v>Secondary</x:v>
      </x:c>
      <x:c r="K873" s="6" t="str">
        <x:v>Commercial service enquiry</x:v>
      </x:c>
      <x:c r="L873" s="6" t="str">
        <x:v>High</x:v>
      </x:c>
      <x:c r="M873" s="6" t="str">
        <x:v>https://digitecme.com/brands/toyota-service-dubai/battery-replacement</x:v>
      </x:c>
      <x:c r="N873" s="6" t="str">
        <x:v>Unknown — export has no query/page pairing</x:v>
      </x:c>
      <x:c r="O873" s="6" t="str">
        <x:v>Use dedicated service owner</x:v>
      </x:c>
      <x:c r="P873" s="6" t="str">
        <x:v>Average position 55.79 makes ranking the main issue; avoid a CTR-only rewrite.</x:v>
      </x:c>
      <x:c r="Q873" s="6" t="str">
        <x:v>toyota</x:v>
      </x:c>
      <x:c r="R873" s="6" t="str">
        <x:v>battery-replacement</x:v>
      </x:c>
      <x:c r="S873" s="6" t="str">
        <x:v>Location unspecified</x:v>
      </x:c>
      <x:c r="T873" s="6" t="n">
        <x:v>3</x:v>
      </x:c>
      <x:c r="U873" s="6" t="str">
        <x:v>40+</x:v>
      </x:c>
      <x:c r="V873" s="6" t="str">
        <x:v>Relevance, capability, indexing and authority review</x:v>
      </x:c>
      <x:c r="W873" s="6" t="str">
        <x:v>High-value commercial</x:v>
      </x:c>
      <x:c r="X873" s="6" t="n">
        <x:v>869</x:v>
      </x:c>
      <x:c r="Y873" s="6" t="str">
        <x:v>Unconfirmed — joint query/page data required</x:v>
      </x:c>
    </x:row>
    <x:row r="874" ht="42" customHeight="1">
      <x:c r="A874" s="6" t="str">
        <x:v>maserati engine repair dubai</x:v>
      </x:c>
      <x:c r="B874" s="14" t="n">
        <x:v>0</x:v>
      </x:c>
      <x:c r="C874" s="14" t="n">
        <x:v>14</x:v>
      </x:c>
      <x:c r="D874" s="15" t="n">
        <x:v>0</x:v>
      </x:c>
      <x:c r="E874" s="16" t="n">
        <x:v>58.21</x:v>
      </x:c>
      <x:c r="F874" s="6" t="str">
        <x:v>GROWTH</x:v>
      </x:c>
      <x:c r="G874" s="17" t="n">
        <x:f>'Scoring'!I874</x:f>
        <x:v>62.7</x:v>
      </x:c>
      <x:c r="H874" s="6" t="str">
        <x:v>SPLIT</x:v>
      </x:c>
      <x:c r="I874" s="6" t="str">
        <x:v>maserati: Engine and mechanical repair</x:v>
      </x:c>
      <x:c r="J874" s="6" t="str">
        <x:v>Primary</x:v>
      </x:c>
      <x:c r="K874" s="6" t="str">
        <x:v>Commercial service enquiry</x:v>
      </x:c>
      <x:c r="L874" s="6" t="str">
        <x:v>High</x:v>
      </x:c>
      <x:c r="M874" s="6" t="str">
        <x:v>https://digitecme.com/brands/maserati-service-dubai/mechanical-repair</x:v>
      </x:c>
      <x:c r="N874" s="6" t="str">
        <x:v>Unknown — export has no query/page pairing</x:v>
      </x:c>
      <x:c r="O874" s="6" t="str">
        <x:v>Use dedicated service owner</x:v>
      </x:c>
      <x:c r="P874" s="6" t="str">
        <x:v>Average position 58.21 makes ranking the main issue; avoid a CTR-only rewrite.</x:v>
      </x:c>
      <x:c r="Q874" s="6" t="str">
        <x:v>maserati</x:v>
      </x:c>
      <x:c r="R874" s="6" t="str">
        <x:v>mechanical-repair</x:v>
      </x:c>
      <x:c r="S874" s="6" t="str">
        <x:v>Dubai explicit</x:v>
      </x:c>
      <x:c r="T874" s="6" t="n">
        <x:v>5</x:v>
      </x:c>
      <x:c r="U874" s="6" t="str">
        <x:v>40+</x:v>
      </x:c>
      <x:c r="V874" s="6" t="str">
        <x:v>Relevance, capability, indexing and authority review</x:v>
      </x:c>
      <x:c r="W874" s="6" t="str">
        <x:v>High-value commercial</x:v>
      </x:c>
      <x:c r="X874" s="6" t="n">
        <x:v>870</x:v>
      </x:c>
      <x:c r="Y874" s="6" t="str">
        <x:v>Unconfirmed — joint query/page data required</x:v>
      </x:c>
    </x:row>
    <x:row r="875" ht="42" customHeight="1">
      <x:c r="A875" s="6" t="str">
        <x:v>porsche engine repair</x:v>
      </x:c>
      <x:c r="B875" s="14" t="n">
        <x:v>0</x:v>
      </x:c>
      <x:c r="C875" s="14" t="n">
        <x:v>14</x:v>
      </x:c>
      <x:c r="D875" s="15" t="n">
        <x:v>0</x:v>
      </x:c>
      <x:c r="E875" s="16" t="n">
        <x:v>60.5</x:v>
      </x:c>
      <x:c r="F875" s="6" t="str">
        <x:v>GROWTH</x:v>
      </x:c>
      <x:c r="G875" s="17" t="n">
        <x:f>'Scoring'!I875</x:f>
        <x:v>57.7</x:v>
      </x:c>
      <x:c r="H875" s="6" t="str">
        <x:v>SPLIT</x:v>
      </x:c>
      <x:c r="I875" s="6" t="str">
        <x:v>porsche: Engine and mechanical repair</x:v>
      </x:c>
      <x:c r="J875" s="6" t="str">
        <x:v>Secondary</x:v>
      </x:c>
      <x:c r="K875" s="6" t="str">
        <x:v>Commercial service enquiry</x:v>
      </x:c>
      <x:c r="L875" s="6" t="str">
        <x:v>High</x:v>
      </x:c>
      <x:c r="M875" s="6" t="str">
        <x:v>https://digitecme.com/brands/porsche-service-dubai/mechanical-repair</x:v>
      </x:c>
      <x:c r="N875" s="6" t="str">
        <x:v>Unknown — export has no query/page pairing</x:v>
      </x:c>
      <x:c r="O875" s="6" t="str">
        <x:v>Use dedicated service owner</x:v>
      </x:c>
      <x:c r="P875" s="6" t="str">
        <x:v>Average position 60.50 makes ranking the main issue; avoid a CTR-only rewrite.</x:v>
      </x:c>
      <x:c r="Q875" s="6" t="str">
        <x:v>porsche</x:v>
      </x:c>
      <x:c r="R875" s="6" t="str">
        <x:v>mechanical-repair</x:v>
      </x:c>
      <x:c r="S875" s="6" t="str">
        <x:v>Location unspecified</x:v>
      </x:c>
      <x:c r="T875" s="6" t="n">
        <x:v>5</x:v>
      </x:c>
      <x:c r="U875" s="6" t="str">
        <x:v>40+</x:v>
      </x:c>
      <x:c r="V875" s="6" t="str">
        <x:v>Relevance, capability, indexing and authority review</x:v>
      </x:c>
      <x:c r="W875" s="6" t="str">
        <x:v>High-value commercial</x:v>
      </x:c>
      <x:c r="X875" s="6" t="n">
        <x:v>871</x:v>
      </x:c>
      <x:c r="Y875" s="6" t="str">
        <x:v>Unconfirmed — joint query/page data required</x:v>
      </x:c>
    </x:row>
    <x:row r="876" ht="42" customHeight="1">
      <x:c r="A876" s="6" t="str">
        <x:v>best car body repair service in dubai</x:v>
      </x:c>
      <x:c r="B876" s="14" t="n">
        <x:v>0</x:v>
      </x:c>
      <x:c r="C876" s="14" t="n">
        <x:v>14</x:v>
      </x:c>
      <x:c r="D876" s="15" t="n">
        <x:v>0</x:v>
      </x:c>
      <x:c r="E876" s="16" t="n">
        <x:v>65.21</x:v>
      </x:c>
      <x:c r="F876" s="6" t="str">
        <x:v>GROWTH</x:v>
      </x:c>
      <x:c r="G876" s="17" t="n">
        <x:f>'Scoring'!I876</x:f>
        <x:v>54.7</x:v>
      </x:c>
      <x:c r="H876" s="6" t="str">
        <x:v>SUPPORT</x:v>
      </x:c>
      <x:c r="I876" s="6" t="str">
        <x:v>All vehicles: Body repair</x:v>
      </x:c>
      <x:c r="J876" s="6" t="str">
        <x:v>Secondary</x:v>
      </x:c>
      <x:c r="K876" s="6" t="str">
        <x:v>Commercial service enquiry</x:v>
      </x:c>
      <x:c r="L876" s="6" t="str">
        <x:v>High</x:v>
      </x:c>
      <x:c r="M876" s="6" t="str">
        <x:v>https://digitecme.com/services/car-body-repair-dubai</x:v>
      </x:c>
      <x:c r="N876" s="6" t="str">
        <x:v>Unknown — export has no query/page pairing</x:v>
      </x:c>
      <x:c r="O876" s="6" t="str">
        <x:v>Retain primary intent and support variants</x:v>
      </x:c>
      <x:c r="P876" s="6" t="str">
        <x:v>Average position 65.21 makes ranking the main issue; avoid a CTR-only rewrite.</x:v>
      </x:c>
      <x:c r="Q876" s="6" t="str">
        <x:v>All vehicles</x:v>
      </x:c>
      <x:c r="R876" s="6" t="str">
        <x:v>body-repair</x:v>
      </x:c>
      <x:c r="S876" s="6" t="str">
        <x:v>Dubai explicit</x:v>
      </x:c>
      <x:c r="T876" s="6" t="n">
        <x:v>3</x:v>
      </x:c>
      <x:c r="U876" s="6" t="str">
        <x:v>40+</x:v>
      </x:c>
      <x:c r="V876" s="6" t="str">
        <x:v>Relevance, capability, indexing and authority review</x:v>
      </x:c>
      <x:c r="W876" s="6" t="str">
        <x:v>Relevant supporting</x:v>
      </x:c>
      <x:c r="X876" s="6" t="n">
        <x:v>872</x:v>
      </x:c>
      <x:c r="Y876" s="6" t="str">
        <x:v>Unconfirmed — joint query/page data required</x:v>
      </x:c>
    </x:row>
    <x:row r="877" ht="57" customHeight="1">
      <x:c r="A877" s="6" t="str">
        <x:v>volkswagen car battery</x:v>
      </x:c>
      <x:c r="B877" s="14" t="n">
        <x:v>0</x:v>
      </x:c>
      <x:c r="C877" s="14" t="n">
        <x:v>14</x:v>
      </x:c>
      <x:c r="D877" s="15" t="n">
        <x:v>0</x:v>
      </x:c>
      <x:c r="E877" s="16" t="n">
        <x:v>66.21</x:v>
      </x:c>
      <x:c r="F877" s="6" t="str">
        <x:v>GROWTH</x:v>
      </x:c>
      <x:c r="G877" s="17" t="n">
        <x:f>'Scoring'!I877</x:f>
        <x:v>27.4</x:v>
      </x:c>
      <x:c r="H877" s="6" t="str">
        <x:v>SPLIT</x:v>
      </x:c>
      <x:c r="I877" s="6" t="str">
        <x:v>volkswagen: Battery service</x:v>
      </x:c>
      <x:c r="J877" s="6" t="str">
        <x:v>Secondary</x:v>
      </x:c>
      <x:c r="K877" s="6" t="str">
        <x:v>Commercial service enquiry</x:v>
      </x:c>
      <x:c r="L877" s="6" t="str">
        <x:v>Medium</x:v>
      </x:c>
      <x:c r="M877" s="6" t="str">
        <x:v>https://digitecme.com/brands/volkswagen-service-dubai/battery-replacement</x:v>
      </x:c>
      <x:c r="N877" s="6" t="str">
        <x:v>Unknown — export has no query/page pairing</x:v>
      </x:c>
      <x:c r="O877" s="6" t="str">
        <x:v>Use dedicated service owner</x:v>
      </x:c>
      <x:c r="P877" s="6" t="str">
        <x:v>Existing specific page is noindex; assess service evidence and distinct content before changing indexation. Average position 66.21 makes ranking the main issue; avoid a CTR-only rewrite.</x:v>
      </x:c>
      <x:c r="Q877" s="6" t="str">
        <x:v>volkswagen</x:v>
      </x:c>
      <x:c r="R877" s="6" t="str">
        <x:v>battery-replacement</x:v>
      </x:c>
      <x:c r="S877" s="6" t="str">
        <x:v>Location unspecified</x:v>
      </x:c>
      <x:c r="T877" s="6" t="n">
        <x:v>3</x:v>
      </x:c>
      <x:c r="U877" s="6" t="str">
        <x:v>40+</x:v>
      </x:c>
      <x:c r="V877" s="6" t="str">
        <x:v>Relevance, capability, indexing and authority review</x:v>
      </x:c>
      <x:c r="W877" s="6" t="str">
        <x:v>High-value commercial</x:v>
      </x:c>
      <x:c r="X877" s="6" t="n">
        <x:v>873</x:v>
      </x:c>
      <x:c r="Y877" s="6" t="str">
        <x:v>Unconfirmed — joint query/page data required</x:v>
      </x:c>
    </x:row>
    <x:row r="878" ht="42" customHeight="1">
      <x:c r="A878" s="6" t="str">
        <x:v>porsche garage dubai</x:v>
      </x:c>
      <x:c r="B878" s="14" t="n">
        <x:v>0</x:v>
      </x:c>
      <x:c r="C878" s="14" t="n">
        <x:v>14</x:v>
      </x:c>
      <x:c r="D878" s="15" t="n">
        <x:v>0</x:v>
      </x:c>
      <x:c r="E878" s="16" t="n">
        <x:v>69.21</x:v>
      </x:c>
      <x:c r="F878" s="6" t="str">
        <x:v>GROWTH</x:v>
      </x:c>
      <x:c r="G878" s="17" t="n">
        <x:f>'Scoring'!I878</x:f>
        <x:v>62.7</x:v>
      </x:c>
      <x:c r="H878" s="6" t="str">
        <x:v>SUPPORT</x:v>
      </x:c>
      <x:c r="I878" s="6" t="str">
        <x:v>porsche: Service and repair (English)</x:v>
      </x:c>
      <x:c r="J878" s="6" t="str">
        <x:v>Secondary</x:v>
      </x:c>
      <x:c r="K878" s="6" t="str">
        <x:v>Commercial service enquiry</x:v>
      </x:c>
      <x:c r="L878" s="6" t="str">
        <x:v>High</x:v>
      </x:c>
      <x:c r="M878" s="6" t="str">
        <x:v>https://digitecme.com/brands/porsche-service-dubai</x:v>
      </x:c>
      <x:c r="N878" s="6" t="str">
        <x:v>Unknown — export has no query/page pairing</x:v>
      </x:c>
      <x:c r="O878" s="6" t="str">
        <x:v>Retain primary intent and support variants</x:v>
      </x:c>
      <x:c r="P878" s="6" t="str">
        <x:v>Average position 69.21 makes ranking the main issue; avoid a CTR-only rewrite.</x:v>
      </x:c>
      <x:c r="Q878" s="6" t="str">
        <x:v>porsche</x:v>
      </x:c>
      <x:c r="R878" s="6" t="str">
        <x:v>service-repair</x:v>
      </x:c>
      <x:c r="S878" s="6" t="str">
        <x:v>Dubai explicit</x:v>
      </x:c>
      <x:c r="T878" s="6" t="n">
        <x:v>5</x:v>
      </x:c>
      <x:c r="U878" s="6" t="str">
        <x:v>40+</x:v>
      </x:c>
      <x:c r="V878" s="6" t="str">
        <x:v>Relevance, capability, indexing and authority review</x:v>
      </x:c>
      <x:c r="W878" s="6" t="str">
        <x:v>Relevant supporting</x:v>
      </x:c>
      <x:c r="X878" s="6" t="n">
        <x:v>874</x:v>
      </x:c>
      <x:c r="Y878" s="6" t="str">
        <x:v>Unconfirmed — joint query/page data required</x:v>
      </x:c>
    </x:row>
    <x:row r="879" ht="42" customHeight="1">
      <x:c r="A879" s="6" t="str">
        <x:v>car garage al quoz</x:v>
      </x:c>
      <x:c r="B879" s="14" t="n">
        <x:v>0</x:v>
      </x:c>
      <x:c r="C879" s="14" t="n">
        <x:v>14</x:v>
      </x:c>
      <x:c r="D879" s="15" t="n">
        <x:v>0</x:v>
      </x:c>
      <x:c r="E879" s="16" t="n">
        <x:v>72.93</x:v>
      </x:c>
      <x:c r="F879" s="6" t="str">
        <x:v>GROWTH</x:v>
      </x:c>
      <x:c r="G879" s="17" t="n">
        <x:f>'Scoring'!I879</x:f>
        <x:v>54.7</x:v>
      </x:c>
      <x:c r="H879" s="6" t="str">
        <x:v>SUPPORT</x:v>
      </x:c>
      <x:c r="I879" s="6" t="str">
        <x:v>All vehicles: General garage and repair (English)</x:v>
      </x:c>
      <x:c r="J879" s="6" t="str">
        <x:v>Secondary</x:v>
      </x:c>
      <x:c r="K879" s="6" t="str">
        <x:v>Commercial service enquiry</x:v>
      </x:c>
      <x:c r="L879" s="6" t="str">
        <x:v>High</x:v>
      </x:c>
      <x:c r="M879" s="6" t="str">
        <x:v>https://digitecme.com/services/car-garage-dubai</x:v>
      </x:c>
      <x:c r="N879" s="6" t="str">
        <x:v>Unknown — export has no query/page pairing</x:v>
      </x:c>
      <x:c r="O879" s="6" t="str">
        <x:v>Retain primary intent and support variants</x:v>
      </x:c>
      <x:c r="P879" s="6" t="str">
        <x:v>Average position 72.93 makes ranking the main issue; avoid a CTR-only rewrite.</x:v>
      </x:c>
      <x:c r="Q879" s="6" t="str">
        <x:v>All vehicles</x:v>
      </x:c>
      <x:c r="R879" s="6" t="str">
        <x:v>service-repair</x:v>
      </x:c>
      <x:c r="S879" s="6" t="str">
        <x:v>Dubai explicit</x:v>
      </x:c>
      <x:c r="T879" s="6" t="n">
        <x:v>3</x:v>
      </x:c>
      <x:c r="U879" s="6" t="str">
        <x:v>40+</x:v>
      </x:c>
      <x:c r="V879" s="6" t="str">
        <x:v>Relevance, capability, indexing and authority review</x:v>
      </x:c>
      <x:c r="W879" s="6" t="str">
        <x:v>Relevant supporting</x:v>
      </x:c>
      <x:c r="X879" s="6" t="n">
        <x:v>875</x:v>
      </x:c>
      <x:c r="Y879" s="6" t="str">
        <x:v>Unconfirmed — joint query/page data required</x:v>
      </x:c>
    </x:row>
    <x:row r="880" ht="57" customHeight="1">
      <x:c r="A880" s="6" t="str">
        <x:v>can you suggest top-rated tuning shops in dubai that specialize in german 
cars and high-performance parts?</x:v>
      </x:c>
      <x:c r="B880" s="14" t="n">
        <x:v>0</x:v>
      </x:c>
      <x:c r="C880" s="14" t="n">
        <x:v>13</x:v>
      </x:c>
      <x:c r="D880" s="15" t="n">
        <x:v>0</x:v>
      </x:c>
      <x:c r="E880" s="16" t="n">
        <x:v>6.08</x:v>
      </x:c>
      <x:c r="F880" s="6" t="str">
        <x:v>HIGH</x:v>
      </x:c>
      <x:c r="G880" s="17" t="n">
        <x:f>'Scoring'!I880</x:f>
        <x:v>83.8</x:v>
      </x:c>
      <x:c r="H880" s="6" t="str">
        <x:v>SUPPORT</x:v>
      </x:c>
      <x:c r="I880" s="6" t="str">
        <x:v>All vehicles: Performance tuning</x:v>
      </x:c>
      <x:c r="J880" s="6" t="str">
        <x:v>Secondary</x:v>
      </x:c>
      <x:c r="K880" s="6" t="str">
        <x:v>Commercial service enquiry</x:v>
      </x:c>
      <x:c r="L880" s="6" t="str">
        <x:v>High</x:v>
      </x:c>
      <x:c r="M880" s="6" t="str">
        <x:v>https://digitecme.com/tuning</x:v>
      </x:c>
      <x:c r="N880" s="6" t="str">
        <x:v>Unknown — export has no query/page pairing</x:v>
      </x:c>
      <x:c r="O880" s="6" t="str">
        <x:v>Retain primary intent and support variants</x:v>
      </x:c>
      <x:c r="P880" s="6" t="str">
        <x:v>Use the existing tuning page; model scope and any GAD relationship require verified facts. Zero clicks from 13 impressions at average position 6.08; inspect query/page, country/device and SERP before attributing this to the snippet.</x:v>
      </x:c>
      <x:c r="Q880" s="6" t="str">
        <x:v>All vehicles</x:v>
      </x:c>
      <x:c r="R880" s="6" t="str">
        <x:v>tuning</x:v>
      </x:c>
      <x:c r="S880" s="6" t="str">
        <x:v>Dubai explicit</x:v>
      </x:c>
      <x:c r="T880" s="6" t="n">
        <x:v>5</x:v>
      </x:c>
      <x:c r="U880" s="6" t="str">
        <x:v>4–10</x:v>
      </x:c>
      <x:c r="V880" s="6" t="str">
        <x:v>Page-one CTR review and top-three relevance</x:v>
      </x:c>
      <x:c r="W880" s="6" t="str">
        <x:v>Relevant supporting</x:v>
      </x:c>
      <x:c r="X880" s="6" t="n">
        <x:v>876</x:v>
      </x:c>
      <x:c r="Y880" s="6" t="str">
        <x:v>Unconfirmed — joint query/page data required</x:v>
      </x:c>
    </x:row>
    <x:row r="881" ht="42" customHeight="1">
      <x:c r="A881" s="6" t="str">
        <x:v>porsche ac repair dubai</x:v>
      </x:c>
      <x:c r="B881" s="14" t="n">
        <x:v>0</x:v>
      </x:c>
      <x:c r="C881" s="14" t="n">
        <x:v>13</x:v>
      </x:c>
      <x:c r="D881" s="15" t="n">
        <x:v>0</x:v>
      </x:c>
      <x:c r="E881" s="16" t="n">
        <x:v>7.15</x:v>
      </x:c>
      <x:c r="F881" s="6" t="str">
        <x:v>HIGH</x:v>
      </x:c>
      <x:c r="G881" s="17" t="n">
        <x:f>'Scoring'!I881</x:f>
        <x:v>83.8</x:v>
      </x:c>
      <x:c r="H881" s="6" t="str">
        <x:v>SPLIT</x:v>
      </x:c>
      <x:c r="I881" s="6" t="str">
        <x:v>porsche: AC repair (English)</x:v>
      </x:c>
      <x:c r="J881" s="6" t="str">
        <x:v>Primary</x:v>
      </x:c>
      <x:c r="K881" s="6" t="str">
        <x:v>Commercial service enquiry</x:v>
      </x:c>
      <x:c r="L881" s="6" t="str">
        <x:v>High</x:v>
      </x:c>
      <x:c r="M881" s="6" t="str">
        <x:v>https://digitecme.com/brands/porsche-service-dubai/ac-repair</x:v>
      </x:c>
      <x:c r="N881" s="6" t="str">
        <x:v>Unknown — export has no query/page pairing</x:v>
      </x:c>
      <x:c r="O881" s="6" t="str">
        <x:v>Use dedicated service owner</x:v>
      </x:c>
      <x:c r="P881" s="6" t="str">
        <x:v>Zero clicks from 13 impressions at average position 7.15; inspect query/page, country/device and SERP before attributing this to the snippet.</x:v>
      </x:c>
      <x:c r="Q881" s="6" t="str">
        <x:v>porsche</x:v>
      </x:c>
      <x:c r="R881" s="6" t="str">
        <x:v>ac-repair</x:v>
      </x:c>
      <x:c r="S881" s="6" t="str">
        <x:v>Dubai explicit</x:v>
      </x:c>
      <x:c r="T881" s="6" t="n">
        <x:v>5</x:v>
      </x:c>
      <x:c r="U881" s="6" t="str">
        <x:v>4–10</x:v>
      </x:c>
      <x:c r="V881" s="6" t="str">
        <x:v>Page-one CTR review and top-three relevance</x:v>
      </x:c>
      <x:c r="W881" s="6" t="str">
        <x:v>High-value commercial</x:v>
      </x:c>
      <x:c r="X881" s="6" t="n">
        <x:v>877</x:v>
      </x:c>
      <x:c r="Y881" s="6" t="str">
        <x:v>Unconfirmed — joint query/page data required</x:v>
      </x:c>
    </x:row>
    <x:row r="882" ht="72" customHeight="1">
      <x:c r="A882" s="6" t="str">
        <x:v>افضل ورشة اودى مصفح</x:v>
      </x:c>
      <x:c r="B882" s="14" t="n">
        <x:v>0</x:v>
      </x:c>
      <x:c r="C882" s="14" t="n">
        <x:v>13</x:v>
      </x:c>
      <x:c r="D882" s="15" t="n">
        <x:v>0</x:v>
      </x:c>
      <x:c r="E882" s="16" t="n">
        <x:v>8.46</x:v>
      </x:c>
      <x:c r="F882" s="6" t="str">
        <x:v>DEPRIORITIZE</x:v>
      </x:c>
      <x:c r="G882" s="17" t="n">
        <x:f>'Scoring'!I882</x:f>
        <x:v>13.6</x:v>
      </x:c>
      <x:c r="H882" s="6" t="str">
        <x:v>DEPRIORITIZE</x:v>
      </x:c>
      <x:c r="I882" s="6" t="str">
        <x:v>audi: Service and repair (outside Dubai)</x:v>
      </x:c>
      <x:c r="J882" s="6" t="str">
        <x:v>Secondary</x:v>
      </x:c>
      <x:c r="K882" s="6" t="str">
        <x:v>Commercial service enquiry</x:v>
      </x:c>
      <x:c r="L882" s="6" t="str">
        <x:v>Low</x:v>
      </x:c>
      <x:c r="M882" s="6" t="str">
        <x:v>https://digitecme.com/ar/brands/audi-service-dubai</x:v>
      </x:c>
      <x:c r="N882" s="6" t="str">
        <x:v>Unknown — export has no query/page pairing</x:v>
      </x:c>
      <x:c r="O882" s="6" t="str">
        <x:v>Confirm scope or deprioritize</x:v>
      </x:c>
      <x:c r="P882" s="6" t="str">
        <x:v>Explicit destination differs from the Al Quoz workshop; do not claim a local branch or service coverage. Use the existing Arabic counterpart and verify its translation quality. Zero clicks from 13 impressions at average position 8.46; inspect query/page, country/device and SERP before attributing this to the snippet.</x:v>
      </x:c>
      <x:c r="Q882" s="6" t="str">
        <x:v>audi</x:v>
      </x:c>
      <x:c r="R882" s="6" t="str">
        <x:v>service-repair</x:v>
      </x:c>
      <x:c r="S882" s="6" t="str">
        <x:v>Outside Dubai</x:v>
      </x:c>
      <x:c r="T882" s="6" t="n">
        <x:v>1</x:v>
      </x:c>
      <x:c r="U882" s="6" t="str">
        <x:v>4–10</x:v>
      </x:c>
      <x:c r="V882" s="6" t="str">
        <x:v>Page-one CTR review and top-three relevance</x:v>
      </x:c>
      <x:c r="W882" s="6" t="str">
        <x:v>Low-value</x:v>
      </x:c>
      <x:c r="X882" s="6" t="n">
        <x:v>878</x:v>
      </x:c>
      <x:c r="Y882" s="6" t="str">
        <x:v>Unconfirmed — joint query/page data required</x:v>
      </x:c>
    </x:row>
    <x:row r="883" ht="42" customHeight="1">
      <x:c r="A883" s="6" t="str">
        <x:v>silencer repair shop near me</x:v>
      </x:c>
      <x:c r="B883" s="14" t="n">
        <x:v>0</x:v>
      </x:c>
      <x:c r="C883" s="14" t="n">
        <x:v>13</x:v>
      </x:c>
      <x:c r="D883" s="15" t="n">
        <x:v>0</x:v>
      </x:c>
      <x:c r="E883" s="16" t="n">
        <x:v>8.54</x:v>
      </x:c>
      <x:c r="F883" s="6" t="str">
        <x:v>HIGH</x:v>
      </x:c>
      <x:c r="G883" s="17" t="n">
        <x:f>'Scoring'!I883</x:f>
        <x:v>75.8</x:v>
      </x:c>
      <x:c r="H883" s="6" t="str">
        <x:v>SUPPORT</x:v>
      </x:c>
      <x:c r="I883" s="6" t="str">
        <x:v>All vehicles: Exhaust repair</x:v>
      </x:c>
      <x:c r="J883" s="6" t="str">
        <x:v>Secondary</x:v>
      </x:c>
      <x:c r="K883" s="6" t="str">
        <x:v>Commercial service enquiry</x:v>
      </x:c>
      <x:c r="L883" s="6" t="str">
        <x:v>High</x:v>
      </x:c>
      <x:c r="M883" s="6" t="str">
        <x:v>https://digitecme.com/services/exhaust-repair-dubai</x:v>
      </x:c>
      <x:c r="N883" s="6" t="str">
        <x:v>Unknown — export has no query/page pairing</x:v>
      </x:c>
      <x:c r="O883" s="6" t="str">
        <x:v>Retain primary intent and support variants</x:v>
      </x:c>
      <x:c r="P883" s="6" t="str">
        <x:v>Zero clicks from 13 impressions at average position 8.54; inspect query/page, country/device and SERP before attributing this to the snippet.</x:v>
      </x:c>
      <x:c r="Q883" s="6" t="str">
        <x:v>All vehicles</x:v>
      </x:c>
      <x:c r="R883" s="6" t="str">
        <x:v>exhaust-repair</x:v>
      </x:c>
      <x:c r="S883" s="6" t="str">
        <x:v>Near me; location unknown</x:v>
      </x:c>
      <x:c r="T883" s="6" t="n">
        <x:v>3</x:v>
      </x:c>
      <x:c r="U883" s="6" t="str">
        <x:v>4–10</x:v>
      </x:c>
      <x:c r="V883" s="6" t="str">
        <x:v>Page-one CTR review and top-three relevance</x:v>
      </x:c>
      <x:c r="W883" s="6" t="str">
        <x:v>Relevant supporting</x:v>
      </x:c>
      <x:c r="X883" s="6" t="n">
        <x:v>879</x:v>
      </x:c>
      <x:c r="Y883" s="6" t="str">
        <x:v>Unconfirmed — joint query/page data required</x:v>
      </x:c>
    </x:row>
    <x:row r="884" ht="42" customHeight="1">
      <x:c r="A884" s="6" t="str">
        <x:v>porsche diagnostic service</x:v>
      </x:c>
      <x:c r="B884" s="14" t="n">
        <x:v>0</x:v>
      </x:c>
      <x:c r="C884" s="14" t="n">
        <x:v>13</x:v>
      </x:c>
      <x:c r="D884" s="15" t="n">
        <x:v>0</x:v>
      </x:c>
      <x:c r="E884" s="16" t="n">
        <x:v>8.92</x:v>
      </x:c>
      <x:c r="F884" s="6" t="str">
        <x:v>HIGH</x:v>
      </x:c>
      <x:c r="G884" s="17" t="n">
        <x:f>'Scoring'!I884</x:f>
        <x:v>78.8</x:v>
      </x:c>
      <x:c r="H884" s="6" t="str">
        <x:v>SPLIT</x:v>
      </x:c>
      <x:c r="I884" s="6" t="str">
        <x:v>porsche: Diagnostics and supported coding</x:v>
      </x:c>
      <x:c r="J884" s="6" t="str">
        <x:v>Secondary</x:v>
      </x:c>
      <x:c r="K884" s="6" t="str">
        <x:v>Commercial service enquiry</x:v>
      </x:c>
      <x:c r="L884" s="6" t="str">
        <x:v>High</x:v>
      </x:c>
      <x:c r="M884" s="6" t="str">
        <x:v>https://digitecme.com/brands/porsche-service-dubai/engine-diagnostics</x:v>
      </x:c>
      <x:c r="N884" s="6" t="str">
        <x:v>Unknown — export has no query/page pairing</x:v>
      </x:c>
      <x:c r="O884" s="6" t="str">
        <x:v>Use dedicated service owner</x:v>
      </x:c>
      <x:c r="P884" s="6" t="str">
        <x:v>Zero clicks from 13 impressions at average position 8.92; inspect query/page, country/device and SERP before attributing this to the snippet.</x:v>
      </x:c>
      <x:c r="Q884" s="6" t="str">
        <x:v>porsche</x:v>
      </x:c>
      <x:c r="R884" s="6" t="str">
        <x:v>engine-diagnostics</x:v>
      </x:c>
      <x:c r="S884" s="6" t="str">
        <x:v>Location unspecified</x:v>
      </x:c>
      <x:c r="T884" s="6" t="n">
        <x:v>5</x:v>
      </x:c>
      <x:c r="U884" s="6" t="str">
        <x:v>4–10</x:v>
      </x:c>
      <x:c r="V884" s="6" t="str">
        <x:v>Page-one CTR review and top-three relevance</x:v>
      </x:c>
      <x:c r="W884" s="6" t="str">
        <x:v>High-value commercial</x:v>
      </x:c>
      <x:c r="X884" s="6" t="n">
        <x:v>880</x:v>
      </x:c>
      <x:c r="Y884" s="6" t="str">
        <x:v>Unconfirmed — joint query/page data required</x:v>
      </x:c>
    </x:row>
    <x:row r="885" ht="42" customHeight="1">
      <x:c r="A885" s="6" t="str">
        <x:v>ferrari maintenance</x:v>
      </x:c>
      <x:c r="B885" s="14" t="n">
        <x:v>0</x:v>
      </x:c>
      <x:c r="C885" s="14" t="n">
        <x:v>13</x:v>
      </x:c>
      <x:c r="D885" s="15" t="n">
        <x:v>0</x:v>
      </x:c>
      <x:c r="E885" s="16" t="n">
        <x:v>10.15</x:v>
      </x:c>
      <x:c r="F885" s="6" t="str">
        <x:v>HIGH</x:v>
      </x:c>
      <x:c r="G885" s="17" t="n">
        <x:f>'Scoring'!I885</x:f>
        <x:v>78.8</x:v>
      </x:c>
      <x:c r="H885" s="6" t="str">
        <x:v>SUPPORT</x:v>
      </x:c>
      <x:c r="I885" s="6" t="str">
        <x:v>ferrari: Service and repair</x:v>
      </x:c>
      <x:c r="J885" s="6" t="str">
        <x:v>Secondary</x:v>
      </x:c>
      <x:c r="K885" s="6" t="str">
        <x:v>Commercial service enquiry</x:v>
      </x:c>
      <x:c r="L885" s="6" t="str">
        <x:v>High</x:v>
      </x:c>
      <x:c r="M885" s="6" t="str">
        <x:v>https://digitecme.com/brands/ferrari-service-dubai</x:v>
      </x:c>
      <x:c r="N885" s="6" t="str">
        <x:v>Unknown — export has no query/page pairing</x:v>
      </x:c>
      <x:c r="O885" s="6" t="str">
        <x:v>Retain primary intent and support variants</x:v>
      </x:c>
      <x:c r="P885" s="6" t="str">
        <x:v>13 impressions at average position 10.15; strengthen the appropriate intent owner and measure with a fresh comparable period.</x:v>
      </x:c>
      <x:c r="Q885" s="6" t="str">
        <x:v>ferrari</x:v>
      </x:c>
      <x:c r="R885" s="6" t="str">
        <x:v>service-repair</x:v>
      </x:c>
      <x:c r="S885" s="6" t="str">
        <x:v>Location unspecified</x:v>
      </x:c>
      <x:c r="T885" s="6" t="n">
        <x:v>5</x:v>
      </x:c>
      <x:c r="U885" s="6" t="str">
        <x:v>11–20</x:v>
      </x:c>
      <x:c r="V885" s="6" t="str">
        <x:v>Ranking and owner relevance</x:v>
      </x:c>
      <x:c r="W885" s="6" t="str">
        <x:v>Relevant supporting</x:v>
      </x:c>
      <x:c r="X885" s="6" t="n">
        <x:v>881</x:v>
      </x:c>
      <x:c r="Y885" s="6" t="str">
        <x:v>Unconfirmed — joint query/page data required</x:v>
      </x:c>
    </x:row>
    <x:row r="886" ht="42" customHeight="1">
      <x:c r="A886" s="6" t="str">
        <x:v>mercedes service center in dubai</x:v>
      </x:c>
      <x:c r="B886" s="14" t="n">
        <x:v>0</x:v>
      </x:c>
      <x:c r="C886" s="14" t="n">
        <x:v>13</x:v>
      </x:c>
      <x:c r="D886" s="15" t="n">
        <x:v>0</x:v>
      </x:c>
      <x:c r="E886" s="16" t="n">
        <x:v>10.15</x:v>
      </x:c>
      <x:c r="F886" s="6" t="str">
        <x:v>HIGH</x:v>
      </x:c>
      <x:c r="G886" s="17" t="n">
        <x:f>'Scoring'!I886</x:f>
        <x:v>83.8</x:v>
      </x:c>
      <x:c r="H886" s="6" t="str">
        <x:v>SUPPORT</x:v>
      </x:c>
      <x:c r="I886" s="6" t="str">
        <x:v>mercedes-benz: Service and repair (English)</x:v>
      </x:c>
      <x:c r="J886" s="6" t="str">
        <x:v>Secondary</x:v>
      </x:c>
      <x:c r="K886" s="6" t="str">
        <x:v>Commercial service enquiry</x:v>
      </x:c>
      <x:c r="L886" s="6" t="str">
        <x:v>High</x:v>
      </x:c>
      <x:c r="M886" s="6" t="str">
        <x:v>https://digitecme.com/brands/mercedes-benz-service-dubai</x:v>
      </x:c>
      <x:c r="N886" s="6" t="str">
        <x:v>Unknown — export has no query/page pairing</x:v>
      </x:c>
      <x:c r="O886" s="6" t="str">
        <x:v>Retain primary intent and support variants</x:v>
      </x:c>
      <x:c r="P886" s="6" t="str">
        <x:v>13 impressions at average position 10.15; strengthen the appropriate intent owner and measure with a fresh comparable period.</x:v>
      </x:c>
      <x:c r="Q886" s="6" t="str">
        <x:v>mercedes-benz</x:v>
      </x:c>
      <x:c r="R886" s="6" t="str">
        <x:v>service-repair</x:v>
      </x:c>
      <x:c r="S886" s="6" t="str">
        <x:v>Dubai explicit</x:v>
      </x:c>
      <x:c r="T886" s="6" t="n">
        <x:v>5</x:v>
      </x:c>
      <x:c r="U886" s="6" t="str">
        <x:v>11–20</x:v>
      </x:c>
      <x:c r="V886" s="6" t="str">
        <x:v>Ranking and owner relevance</x:v>
      </x:c>
      <x:c r="W886" s="6" t="str">
        <x:v>Relevant supporting</x:v>
      </x:c>
      <x:c r="X886" s="6" t="n">
        <x:v>882</x:v>
      </x:c>
      <x:c r="Y886" s="6" t="str">
        <x:v>Unconfirmed — joint query/page data required</x:v>
      </x:c>
    </x:row>
    <x:row r="887" ht="57" customHeight="1">
      <x:c r="A887" s="6" t="str">
        <x:v>tire fix near me</x:v>
      </x:c>
      <x:c r="B887" s="14" t="n">
        <x:v>0</x:v>
      </x:c>
      <x:c r="C887" s="14" t="n">
        <x:v>13</x:v>
      </x:c>
      <x:c r="D887" s="15" t="n">
        <x:v>0</x:v>
      </x:c>
      <x:c r="E887" s="16" t="n">
        <x:v>11</x:v>
      </x:c>
      <x:c r="F887" s="6" t="str">
        <x:v>GROWTH</x:v>
      </x:c>
      <x:c r="G887" s="17" t="n">
        <x:f>'Scoring'!I887</x:f>
        <x:v>71.8</x:v>
      </x:c>
      <x:c r="H887" s="6" t="str">
        <x:v>SUPPORT</x:v>
      </x:c>
      <x:c r="I887" s="6" t="str">
        <x:v>All vehicles: Tyre repair</x:v>
      </x:c>
      <x:c r="J887" s="6" t="str">
        <x:v>Secondary</x:v>
      </x:c>
      <x:c r="K887" s="6" t="str">
        <x:v>Commercial service enquiry</x:v>
      </x:c>
      <x:c r="L887" s="6" t="str">
        <x:v>High</x:v>
      </x:c>
      <x:c r="M887" s="6" t="str">
        <x:v>https://digitecme.com/services/tire-repair-dubai</x:v>
      </x:c>
      <x:c r="N887" s="6" t="str">
        <x:v>Unknown — export has no query/page pairing</x:v>
      </x:c>
      <x:c r="O887" s="6" t="str">
        <x:v>Retain primary intent and support variants</x:v>
      </x:c>
      <x:c r="P887" s="6" t="str">
        <x:v>Relevant workshop tyre enquiry with lower assumed value than specialist repair; no mobile or roadside claim. 13 impressions at average position 11.00; strengthen the appropriate intent owner and measure with a fresh comparable period.</x:v>
      </x:c>
      <x:c r="Q887" s="6" t="str">
        <x:v>All vehicles</x:v>
      </x:c>
      <x:c r="R887" s="6" t="str">
        <x:v>tire-repair</x:v>
      </x:c>
      <x:c r="S887" s="6" t="str">
        <x:v>Near me; location unknown</x:v>
      </x:c>
      <x:c r="T887" s="6" t="n">
        <x:v>2</x:v>
      </x:c>
      <x:c r="U887" s="6" t="str">
        <x:v>11–20</x:v>
      </x:c>
      <x:c r="V887" s="6" t="str">
        <x:v>Ranking and owner relevance</x:v>
      </x:c>
      <x:c r="W887" s="6" t="str">
        <x:v>Relevant supporting</x:v>
      </x:c>
      <x:c r="X887" s="6" t="n">
        <x:v>883</x:v>
      </x:c>
      <x:c r="Y887" s="6" t="str">
        <x:v>Unconfirmed — joint query/page data required</x:v>
      </x:c>
    </x:row>
    <x:row r="888" ht="42" customHeight="1">
      <x:c r="A888" s="6" t="str">
        <x:v>car battery dubai near me</x:v>
      </x:c>
      <x:c r="B888" s="14" t="n">
        <x:v>0</x:v>
      </x:c>
      <x:c r="C888" s="14" t="n">
        <x:v>13</x:v>
      </x:c>
      <x:c r="D888" s="15" t="n">
        <x:v>0</x:v>
      </x:c>
      <x:c r="E888" s="16" t="n">
        <x:v>11.85</x:v>
      </x:c>
      <x:c r="F888" s="6" t="str">
        <x:v>HIGH</x:v>
      </x:c>
      <x:c r="G888" s="17" t="n">
        <x:f>'Scoring'!I888</x:f>
        <x:v>75.8</x:v>
      </x:c>
      <x:c r="H888" s="6" t="str">
        <x:v>SUPPORT</x:v>
      </x:c>
      <x:c r="I888" s="6" t="str">
        <x:v>All vehicles: Battery service (English)</x:v>
      </x:c>
      <x:c r="J888" s="6" t="str">
        <x:v>Secondary</x:v>
      </x:c>
      <x:c r="K888" s="6" t="str">
        <x:v>Commercial service enquiry</x:v>
      </x:c>
      <x:c r="L888" s="6" t="str">
        <x:v>High</x:v>
      </x:c>
      <x:c r="M888" s="6" t="str">
        <x:v>https://digitecme.com/services/battery-replacement-dubai</x:v>
      </x:c>
      <x:c r="N888" s="6" t="str">
        <x:v>Unknown — export has no query/page pairing</x:v>
      </x:c>
      <x:c r="O888" s="6" t="str">
        <x:v>Retain primary intent and support variants</x:v>
      </x:c>
      <x:c r="P888" s="6" t="str">
        <x:v>13 impressions at average position 11.85; strengthen the appropriate intent owner and measure with a fresh comparable period.</x:v>
      </x:c>
      <x:c r="Q888" s="6" t="str">
        <x:v>All vehicles</x:v>
      </x:c>
      <x:c r="R888" s="6" t="str">
        <x:v>battery-replacement</x:v>
      </x:c>
      <x:c r="S888" s="6" t="str">
        <x:v>Dubai explicit</x:v>
      </x:c>
      <x:c r="T888" s="6" t="n">
        <x:v>3</x:v>
      </x:c>
      <x:c r="U888" s="6" t="str">
        <x:v>11–20</x:v>
      </x:c>
      <x:c r="V888" s="6" t="str">
        <x:v>Ranking and owner relevance</x:v>
      </x:c>
      <x:c r="W888" s="6" t="str">
        <x:v>Relevant supporting</x:v>
      </x:c>
      <x:c r="X888" s="6" t="n">
        <x:v>884</x:v>
      </x:c>
      <x:c r="Y888" s="6" t="str">
        <x:v>Unconfirmed — joint query/page data required</x:v>
      </x:c>
    </x:row>
    <x:row r="889" ht="42" customHeight="1">
      <x:c r="A889" s="6" t="str">
        <x:v>mercedes oil change near me</x:v>
      </x:c>
      <x:c r="B889" s="14" t="n">
        <x:v>0</x:v>
      </x:c>
      <x:c r="C889" s="14" t="n">
        <x:v>13</x:v>
      </x:c>
      <x:c r="D889" s="15" t="n">
        <x:v>0</x:v>
      </x:c>
      <x:c r="E889" s="16" t="n">
        <x:v>12.62</x:v>
      </x:c>
      <x:c r="F889" s="6" t="str">
        <x:v>HIGH</x:v>
      </x:c>
      <x:c r="G889" s="17" t="n">
        <x:f>'Scoring'!I889</x:f>
        <x:v>83.8</x:v>
      </x:c>
      <x:c r="H889" s="6" t="str">
        <x:v>SPLIT</x:v>
      </x:c>
      <x:c r="I889" s="6" t="str">
        <x:v>mercedes-benz: Oil change</x:v>
      </x:c>
      <x:c r="J889" s="6" t="str">
        <x:v>Secondary</x:v>
      </x:c>
      <x:c r="K889" s="6" t="str">
        <x:v>Commercial service enquiry</x:v>
      </x:c>
      <x:c r="L889" s="6" t="str">
        <x:v>High</x:v>
      </x:c>
      <x:c r="M889" s="6" t="str">
        <x:v>https://digitecme.com/services/mercedes-oil-change-dubai</x:v>
      </x:c>
      <x:c r="N889" s="6" t="str">
        <x:v>Unknown — export has no query/page pairing</x:v>
      </x:c>
      <x:c r="O889" s="6" t="str">
        <x:v>Use dedicated service owner</x:v>
      </x:c>
      <x:c r="P889" s="6" t="str">
        <x:v>13 impressions at average position 12.62; strengthen the appropriate intent owner and measure with a fresh comparable period.</x:v>
      </x:c>
      <x:c r="Q889" s="6" t="str">
        <x:v>mercedes-benz</x:v>
      </x:c>
      <x:c r="R889" s="6" t="str">
        <x:v>oil-change</x:v>
      </x:c>
      <x:c r="S889" s="6" t="str">
        <x:v>Near me; location unknown</x:v>
      </x:c>
      <x:c r="T889" s="6" t="n">
        <x:v>5</x:v>
      </x:c>
      <x:c r="U889" s="6" t="str">
        <x:v>11–20</x:v>
      </x:c>
      <x:c r="V889" s="6" t="str">
        <x:v>Ranking and owner relevance</x:v>
      </x:c>
      <x:c r="W889" s="6" t="str">
        <x:v>High-value commercial</x:v>
      </x:c>
      <x:c r="X889" s="6" t="n">
        <x:v>885</x:v>
      </x:c>
      <x:c r="Y889" s="6" t="str">
        <x:v>Unconfirmed — joint query/page data required</x:v>
      </x:c>
    </x:row>
    <x:row r="890" ht="42" customHeight="1">
      <x:c r="A890" s="6" t="str">
        <x:v>ferrari workshop</x:v>
      </x:c>
      <x:c r="B890" s="14" t="n">
        <x:v>0</x:v>
      </x:c>
      <x:c r="C890" s="14" t="n">
        <x:v>13</x:v>
      </x:c>
      <x:c r="D890" s="15" t="n">
        <x:v>0</x:v>
      </x:c>
      <x:c r="E890" s="16" t="n">
        <x:v>12.69</x:v>
      </x:c>
      <x:c r="F890" s="6" t="str">
        <x:v>HIGH</x:v>
      </x:c>
      <x:c r="G890" s="17" t="n">
        <x:f>'Scoring'!I890</x:f>
        <x:v>78.8</x:v>
      </x:c>
      <x:c r="H890" s="6" t="str">
        <x:v>SUPPORT</x:v>
      </x:c>
      <x:c r="I890" s="6" t="str">
        <x:v>ferrari: Service and repair</x:v>
      </x:c>
      <x:c r="J890" s="6" t="str">
        <x:v>Secondary</x:v>
      </x:c>
      <x:c r="K890" s="6" t="str">
        <x:v>Commercial service enquiry</x:v>
      </x:c>
      <x:c r="L890" s="6" t="str">
        <x:v>High</x:v>
      </x:c>
      <x:c r="M890" s="6" t="str">
        <x:v>https://digitecme.com/brands/ferrari-service-dubai</x:v>
      </x:c>
      <x:c r="N890" s="6" t="str">
        <x:v>Unknown — export has no query/page pairing</x:v>
      </x:c>
      <x:c r="O890" s="6" t="str">
        <x:v>Retain primary intent and support variants</x:v>
      </x:c>
      <x:c r="P890" s="6" t="str">
        <x:v>13 impressions at average position 12.69; strengthen the appropriate intent owner and measure with a fresh comparable period.</x:v>
      </x:c>
      <x:c r="Q890" s="6" t="str">
        <x:v>ferrari</x:v>
      </x:c>
      <x:c r="R890" s="6" t="str">
        <x:v>service-repair</x:v>
      </x:c>
      <x:c r="S890" s="6" t="str">
        <x:v>Location unspecified</x:v>
      </x:c>
      <x:c r="T890" s="6" t="n">
        <x:v>5</x:v>
      </x:c>
      <x:c r="U890" s="6" t="str">
        <x:v>11–20</x:v>
      </x:c>
      <x:c r="V890" s="6" t="str">
        <x:v>Ranking and owner relevance</x:v>
      </x:c>
      <x:c r="W890" s="6" t="str">
        <x:v>Relevant supporting</x:v>
      </x:c>
      <x:c r="X890" s="6" t="n">
        <x:v>886</x:v>
      </x:c>
      <x:c r="Y890" s="6" t="str">
        <x:v>Unconfirmed — joint query/page data required</x:v>
      </x:c>
    </x:row>
    <x:row r="891" ht="57" customHeight="1">
      <x:c r="A891" s="6" t="str">
        <x:v>jeep suspension repair dubai</x:v>
      </x:c>
      <x:c r="B891" s="14" t="n">
        <x:v>0</x:v>
      </x:c>
      <x:c r="C891" s="14" t="n">
        <x:v>13</x:v>
      </x:c>
      <x:c r="D891" s="15" t="n">
        <x:v>0</x:v>
      </x:c>
      <x:c r="E891" s="16" t="n">
        <x:v>14.46</x:v>
      </x:c>
      <x:c r="F891" s="6" t="str">
        <x:v>HIGH</x:v>
      </x:c>
      <x:c r="G891" s="17" t="n">
        <x:f>'Scoring'!I891</x:f>
        <x:v>44.4</x:v>
      </x:c>
      <x:c r="H891" s="6" t="str">
        <x:v>SPLIT</x:v>
      </x:c>
      <x:c r="I891" s="6" t="str">
        <x:v>jeep: Suspension repair</x:v>
      </x:c>
      <x:c r="J891" s="6" t="str">
        <x:v>Primary</x:v>
      </x:c>
      <x:c r="K891" s="6" t="str">
        <x:v>Commercial service enquiry</x:v>
      </x:c>
      <x:c r="L891" s="6" t="str">
        <x:v>Medium</x:v>
      </x:c>
      <x:c r="M891" s="6" t="str">
        <x:v>https://digitecme.com/brands/jeep-service-dubai/suspension-repair</x:v>
      </x:c>
      <x:c r="N891" s="6" t="str">
        <x:v>Unknown — export has no query/page pairing</x:v>
      </x:c>
      <x:c r="O891" s="6" t="str">
        <x:v>Use dedicated service owner</x:v>
      </x:c>
      <x:c r="P891" s="6" t="str">
        <x:v>Existing specific page is noindex; assess service evidence and distinct content before changing indexation. 13 impressions at average position 14.46; strengthen the appropriate intent owner and measure with a fresh comparable period.</x:v>
      </x:c>
      <x:c r="Q891" s="6" t="str">
        <x:v>jeep</x:v>
      </x:c>
      <x:c r="R891" s="6" t="str">
        <x:v>suspension-repair</x:v>
      </x:c>
      <x:c r="S891" s="6" t="str">
        <x:v>Dubai explicit</x:v>
      </x:c>
      <x:c r="T891" s="6" t="n">
        <x:v>3</x:v>
      </x:c>
      <x:c r="U891" s="6" t="str">
        <x:v>11–20</x:v>
      </x:c>
      <x:c r="V891" s="6" t="str">
        <x:v>Ranking and owner relevance</x:v>
      </x:c>
      <x:c r="W891" s="6" t="str">
        <x:v>High-value commercial</x:v>
      </x:c>
      <x:c r="X891" s="6" t="n">
        <x:v>887</x:v>
      </x:c>
      <x:c r="Y891" s="6" t="str">
        <x:v>Unconfirmed — joint query/page data required</x:v>
      </x:c>
    </x:row>
    <x:row r="892" ht="57" customHeight="1">
      <x:c r="A892" s="6" t="str">
        <x:v>bugatti repair abu dhabi</x:v>
      </x:c>
      <x:c r="B892" s="14" t="n">
        <x:v>0</x:v>
      </x:c>
      <x:c r="C892" s="14" t="n">
        <x:v>13</x:v>
      </x:c>
      <x:c r="D892" s="15" t="n">
        <x:v>0</x:v>
      </x:c>
      <x:c r="E892" s="16" t="n">
        <x:v>16</x:v>
      </x:c>
      <x:c r="F892" s="6" t="str">
        <x:v>DEPRIORITIZE</x:v>
      </x:c>
      <x:c r="G892" s="17" t="n">
        <x:f>'Scoring'!I892</x:f>
        <x:v>12.1</x:v>
      </x:c>
      <x:c r="H892" s="6" t="str">
        <x:v>DEPRIORITIZE</x:v>
      </x:c>
      <x:c r="I892" s="6" t="str">
        <x:v>bugatti: Service and repair (outside Dubai)</x:v>
      </x:c>
      <x:c r="J892" s="6" t="str">
        <x:v>Primary</x:v>
      </x:c>
      <x:c r="K892" s="6" t="str">
        <x:v>Commercial service enquiry</x:v>
      </x:c>
      <x:c r="L892" s="6" t="str">
        <x:v>Low</x:v>
      </x:c>
      <x:c r="M892" s="6" t="str">
        <x:v>https://digitecme.com/brands/bugatti-service-dubai</x:v>
      </x:c>
      <x:c r="N892" s="6" t="str">
        <x:v>Unknown — export has no query/page pairing</x:v>
      </x:c>
      <x:c r="O892" s="6" t="str">
        <x:v>Confirm scope or deprioritize</x:v>
      </x:c>
      <x:c r="P892" s="6" t="str">
        <x:v>Explicit destination differs from the Al Quoz workshop; do not claim a local branch or service coverage. 13 impressions at average position 16.00; strengthen the appropriate intent owner and measure with a fresh comparable period.</x:v>
      </x:c>
      <x:c r="Q892" s="6" t="str">
        <x:v>bugatti</x:v>
      </x:c>
      <x:c r="R892" s="6" t="str">
        <x:v>service-repair</x:v>
      </x:c>
      <x:c r="S892" s="6" t="str">
        <x:v>Outside Dubai</x:v>
      </x:c>
      <x:c r="T892" s="6" t="n">
        <x:v>1</x:v>
      </x:c>
      <x:c r="U892" s="6" t="str">
        <x:v>11–20</x:v>
      </x:c>
      <x:c r="V892" s="6" t="str">
        <x:v>Ranking and owner relevance</x:v>
      </x:c>
      <x:c r="W892" s="6" t="str">
        <x:v>Low-value</x:v>
      </x:c>
      <x:c r="X892" s="6" t="n">
        <x:v>888</x:v>
      </x:c>
      <x:c r="Y892" s="6" t="str">
        <x:v>Unconfirmed — joint query/page data required</x:v>
      </x:c>
    </x:row>
    <x:row r="893" ht="42" customHeight="1">
      <x:c r="A893" s="6" t="str">
        <x:v>volkswagen ac repair dubai</x:v>
      </x:c>
      <x:c r="B893" s="14" t="n">
        <x:v>0</x:v>
      </x:c>
      <x:c r="C893" s="14" t="n">
        <x:v>13</x:v>
      </x:c>
      <x:c r="D893" s="15" t="n">
        <x:v>0</x:v>
      </x:c>
      <x:c r="E893" s="16" t="n">
        <x:v>16</x:v>
      </x:c>
      <x:c r="F893" s="6" t="str">
        <x:v>HIGH</x:v>
      </x:c>
      <x:c r="G893" s="17" t="n">
        <x:f>'Scoring'!I893</x:f>
        <x:v>68.3</x:v>
      </x:c>
      <x:c r="H893" s="6" t="str">
        <x:v>SPLIT</x:v>
      </x:c>
      <x:c r="I893" s="6" t="str">
        <x:v>volkswagen: AC repair</x:v>
      </x:c>
      <x:c r="J893" s="6" t="str">
        <x:v>Primary</x:v>
      </x:c>
      <x:c r="K893" s="6" t="str">
        <x:v>Commercial service enquiry</x:v>
      </x:c>
      <x:c r="L893" s="6" t="str">
        <x:v>High</x:v>
      </x:c>
      <x:c r="M893" s="6" t="str">
        <x:v>https://digitecme.com/brands/volkswagen-service-dubai/ac-repair</x:v>
      </x:c>
      <x:c r="N893" s="6" t="str">
        <x:v>Unknown — export has no query/page pairing</x:v>
      </x:c>
      <x:c r="O893" s="6" t="str">
        <x:v>Use dedicated service owner</x:v>
      </x:c>
      <x:c r="P893" s="6" t="str">
        <x:v>13 impressions at average position 16.00; strengthen the appropriate intent owner and measure with a fresh comparable period.</x:v>
      </x:c>
      <x:c r="Q893" s="6" t="str">
        <x:v>volkswagen</x:v>
      </x:c>
      <x:c r="R893" s="6" t="str">
        <x:v>ac-repair</x:v>
      </x:c>
      <x:c r="S893" s="6" t="str">
        <x:v>Dubai explicit</x:v>
      </x:c>
      <x:c r="T893" s="6" t="n">
        <x:v>3</x:v>
      </x:c>
      <x:c r="U893" s="6" t="str">
        <x:v>11–20</x:v>
      </x:c>
      <x:c r="V893" s="6" t="str">
        <x:v>Ranking and owner relevance</x:v>
      </x:c>
      <x:c r="W893" s="6" t="str">
        <x:v>High-value commercial</x:v>
      </x:c>
      <x:c r="X893" s="6" t="n">
        <x:v>889</x:v>
      </x:c>
      <x:c r="Y893" s="6" t="str">
        <x:v>Unconfirmed — joint query/page data required</x:v>
      </x:c>
    </x:row>
    <x:row r="894" ht="57" customHeight="1">
      <x:c r="A894" s="6" t="str">
        <x:v>porsche tyre replacement dubai</x:v>
      </x:c>
      <x:c r="B894" s="14" t="n">
        <x:v>0</x:v>
      </x:c>
      <x:c r="C894" s="14" t="n">
        <x:v>13</x:v>
      </x:c>
      <x:c r="D894" s="15" t="n">
        <x:v>0</x:v>
      </x:c>
      <x:c r="E894" s="16" t="n">
        <x:v>17.38</x:v>
      </x:c>
      <x:c r="F894" s="6" t="str">
        <x:v>GROWTH</x:v>
      </x:c>
      <x:c r="G894" s="17" t="n">
        <x:f>'Scoring'!I894</x:f>
        <x:v>64.3</x:v>
      </x:c>
      <x:c r="H894" s="6" t="str">
        <x:v>SPLIT</x:v>
      </x:c>
      <x:c r="I894" s="6" t="str">
        <x:v>porsche: Tyre repair</x:v>
      </x:c>
      <x:c r="J894" s="6" t="str">
        <x:v>Primary</x:v>
      </x:c>
      <x:c r="K894" s="6" t="str">
        <x:v>Commercial service enquiry</x:v>
      </x:c>
      <x:c r="L894" s="6" t="str">
        <x:v>High</x:v>
      </x:c>
      <x:c r="M894" s="6" t="str">
        <x:v>https://digitecme.com/brands/porsche-service-dubai/tire-repair</x:v>
      </x:c>
      <x:c r="N894" s="6" t="str">
        <x:v>Unknown — export has no query/page pairing</x:v>
      </x:c>
      <x:c r="O894" s="6" t="str">
        <x:v>Use dedicated service owner</x:v>
      </x:c>
      <x:c r="P894" s="6" t="str">
        <x:v>Relevant workshop tyre enquiry with lower assumed value than specialist repair; no mobile or roadside claim. 13 impressions at average position 17.38; strengthen the appropriate intent owner and measure with a fresh comparable period.</x:v>
      </x:c>
      <x:c r="Q894" s="6" t="str">
        <x:v>porsche</x:v>
      </x:c>
      <x:c r="R894" s="6" t="str">
        <x:v>tire-repair</x:v>
      </x:c>
      <x:c r="S894" s="6" t="str">
        <x:v>Dubai explicit</x:v>
      </x:c>
      <x:c r="T894" s="6" t="n">
        <x:v>2</x:v>
      </x:c>
      <x:c r="U894" s="6" t="str">
        <x:v>11–20</x:v>
      </x:c>
      <x:c r="V894" s="6" t="str">
        <x:v>Ranking and owner relevance</x:v>
      </x:c>
      <x:c r="W894" s="6" t="str">
        <x:v>High-value commercial</x:v>
      </x:c>
      <x:c r="X894" s="6" t="n">
        <x:v>890</x:v>
      </x:c>
      <x:c r="Y894" s="6" t="str">
        <x:v>Unconfirmed — joint query/page data required</x:v>
      </x:c>
    </x:row>
    <x:row r="895" ht="57" customHeight="1">
      <x:c r="A895" s="6" t="str">
        <x:v>صيانة الفرامل لينكون</x:v>
      </x:c>
      <x:c r="B895" s="14" t="n">
        <x:v>0</x:v>
      </x:c>
      <x:c r="C895" s="14" t="n">
        <x:v>13</x:v>
      </x:c>
      <x:c r="D895" s="15" t="n">
        <x:v>0</x:v>
      </x:c>
      <x:c r="E895" s="16" t="n">
        <x:v>18.38</x:v>
      </x:c>
      <x:c r="F895" s="6" t="str">
        <x:v>HIGH</x:v>
      </x:c>
      <x:c r="G895" s="17" t="n">
        <x:f>'Scoring'!I895</x:f>
        <x:v>63.3</x:v>
      </x:c>
      <x:c r="H895" s="6" t="str">
        <x:v>SPLIT</x:v>
      </x:c>
      <x:c r="I895" s="6" t="str">
        <x:v>lincoln: Brake repair</x:v>
      </x:c>
      <x:c r="J895" s="6" t="str">
        <x:v>Primary</x:v>
      </x:c>
      <x:c r="K895" s="6" t="str">
        <x:v>Commercial service enquiry</x:v>
      </x:c>
      <x:c r="L895" s="6" t="str">
        <x:v>High</x:v>
      </x:c>
      <x:c r="M895" s="6" t="str">
        <x:v>https://digitecme.com/ar/brands/lincoln-service-dubai/brake-repair</x:v>
      </x:c>
      <x:c r="N895" s="6" t="str">
        <x:v>Unknown — export has no query/page pairing</x:v>
      </x:c>
      <x:c r="O895" s="6" t="str">
        <x:v>Use dedicated service owner</x:v>
      </x:c>
      <x:c r="P895" s="6" t="str">
        <x:v>Use the existing Arabic counterpart and verify its translation quality. 13 impressions at average position 18.38; strengthen the appropriate intent owner and measure with a fresh comparable period.</x:v>
      </x:c>
      <x:c r="Q895" s="6" t="str">
        <x:v>lincoln</x:v>
      </x:c>
      <x:c r="R895" s="6" t="str">
        <x:v>brake-repair</x:v>
      </x:c>
      <x:c r="S895" s="6" t="str">
        <x:v>Location unspecified</x:v>
      </x:c>
      <x:c r="T895" s="6" t="n">
        <x:v>3</x:v>
      </x:c>
      <x:c r="U895" s="6" t="str">
        <x:v>11–20</x:v>
      </x:c>
      <x:c r="V895" s="6" t="str">
        <x:v>Ranking and owner relevance</x:v>
      </x:c>
      <x:c r="W895" s="6" t="str">
        <x:v>High-value commercial</x:v>
      </x:c>
      <x:c r="X895" s="6" t="n">
        <x:v>891</x:v>
      </x:c>
      <x:c r="Y895" s="6" t="str">
        <x:v>Unconfirmed — joint query/page data required</x:v>
      </x:c>
    </x:row>
    <x:row r="896" ht="42" customHeight="1">
      <x:c r="A896" s="6" t="str">
        <x:v>audi specialists</x:v>
      </x:c>
      <x:c r="B896" s="14" t="n">
        <x:v>0</x:v>
      </x:c>
      <x:c r="C896" s="14" t="n">
        <x:v>13</x:v>
      </x:c>
      <x:c r="D896" s="15" t="n">
        <x:v>0</x:v>
      </x:c>
      <x:c r="E896" s="16" t="n">
        <x:v>19</x:v>
      </x:c>
      <x:c r="F896" s="6" t="str">
        <x:v>HIGH</x:v>
      </x:c>
      <x:c r="G896" s="17" t="n">
        <x:f>'Scoring'!I896</x:f>
        <x:v>71.3</x:v>
      </x:c>
      <x:c r="H896" s="6" t="str">
        <x:v>SUPPORT</x:v>
      </x:c>
      <x:c r="I896" s="6" t="str">
        <x:v>audi: Service and repair (English)</x:v>
      </x:c>
      <x:c r="J896" s="6" t="str">
        <x:v>Secondary</x:v>
      </x:c>
      <x:c r="K896" s="6" t="str">
        <x:v>Commercial service enquiry</x:v>
      </x:c>
      <x:c r="L896" s="6" t="str">
        <x:v>High</x:v>
      </x:c>
      <x:c r="M896" s="6" t="str">
        <x:v>https://digitecme.com/brands/audi-service-dubai</x:v>
      </x:c>
      <x:c r="N896" s="6" t="str">
        <x:v>Unknown — export has no query/page pairing</x:v>
      </x:c>
      <x:c r="O896" s="6" t="str">
        <x:v>Retain primary intent and support variants</x:v>
      </x:c>
      <x:c r="P896" s="6" t="str">
        <x:v>13 impressions at average position 19.00; strengthen the appropriate intent owner and measure with a fresh comparable period.</x:v>
      </x:c>
      <x:c r="Q896" s="6" t="str">
        <x:v>audi</x:v>
      </x:c>
      <x:c r="R896" s="6" t="str">
        <x:v>service-repair</x:v>
      </x:c>
      <x:c r="S896" s="6" t="str">
        <x:v>Location unspecified</x:v>
      </x:c>
      <x:c r="T896" s="6" t="n">
        <x:v>5</x:v>
      </x:c>
      <x:c r="U896" s="6" t="str">
        <x:v>11–20</x:v>
      </x:c>
      <x:c r="V896" s="6" t="str">
        <x:v>Ranking and owner relevance</x:v>
      </x:c>
      <x:c r="W896" s="6" t="str">
        <x:v>Relevant supporting</x:v>
      </x:c>
      <x:c r="X896" s="6" t="n">
        <x:v>892</x:v>
      </x:c>
      <x:c r="Y896" s="6" t="str">
        <x:v>Unconfirmed — joint query/page data required</x:v>
      </x:c>
    </x:row>
    <x:row r="897" ht="57" customHeight="1">
      <x:c r="A897" s="6" t="str">
        <x:v>cadillac car battery uae</x:v>
      </x:c>
      <x:c r="B897" s="14" t="n">
        <x:v>0</x:v>
      </x:c>
      <x:c r="C897" s="14" t="n">
        <x:v>13</x:v>
      </x:c>
      <x:c r="D897" s="15" t="n">
        <x:v>0</x:v>
      </x:c>
      <x:c r="E897" s="16" t="n">
        <x:v>20.23</x:v>
      </x:c>
      <x:c r="F897" s="6" t="str">
        <x:v>HIGH</x:v>
      </x:c>
      <x:c r="G897" s="17" t="n">
        <x:f>'Scoring'!I897</x:f>
        <x:v>36.3</x:v>
      </x:c>
      <x:c r="H897" s="6" t="str">
        <x:v>SPLIT</x:v>
      </x:c>
      <x:c r="I897" s="6" t="str">
        <x:v>cadillac: Battery service</x:v>
      </x:c>
      <x:c r="J897" s="6" t="str">
        <x:v>Secondary</x:v>
      </x:c>
      <x:c r="K897" s="6" t="str">
        <x:v>Commercial service enquiry</x:v>
      </x:c>
      <x:c r="L897" s="6" t="str">
        <x:v>Medium</x:v>
      </x:c>
      <x:c r="M897" s="6" t="str">
        <x:v>https://digitecme.com/brands/cadillac-service-dubai/battery-replacement</x:v>
      </x:c>
      <x:c r="N897" s="6" t="str">
        <x:v>Unknown — export has no query/page pairing</x:v>
      </x:c>
      <x:c r="O897" s="6" t="str">
        <x:v>Use dedicated service owner</x:v>
      </x:c>
      <x:c r="P897" s="6" t="str">
        <x:v>Existing specific page is noindex; assess service evidence and distinct content before changing indexation. Average position 20.23 makes ranking the main issue; avoid a CTR-only rewrite.</x:v>
      </x:c>
      <x:c r="Q897" s="6" t="str">
        <x:v>cadillac</x:v>
      </x:c>
      <x:c r="R897" s="6" t="str">
        <x:v>battery-replacement</x:v>
      </x:c>
      <x:c r="S897" s="6" t="str">
        <x:v>Location unspecified</x:v>
      </x:c>
      <x:c r="T897" s="6" t="n">
        <x:v>3</x:v>
      </x:c>
      <x:c r="U897" s="6" t="str">
        <x:v>21–40</x:v>
      </x:c>
      <x:c r="V897" s="6" t="str">
        <x:v>Content, internal authority and owner alignment</x:v>
      </x:c>
      <x:c r="W897" s="6" t="str">
        <x:v>High-value commercial</x:v>
      </x:c>
      <x:c r="X897" s="6" t="n">
        <x:v>893</x:v>
      </x:c>
      <x:c r="Y897" s="6" t="str">
        <x:v>Unconfirmed — joint query/page data required</x:v>
      </x:c>
    </x:row>
    <x:row r="898" ht="42" customHeight="1">
      <x:c r="A898" s="6" t="str">
        <x:v>صيانة دودج</x:v>
      </x:c>
      <x:c r="B898" s="14" t="n">
        <x:v>0</x:v>
      </x:c>
      <x:c r="C898" s="14" t="n">
        <x:v>13</x:v>
      </x:c>
      <x:c r="D898" s="15" t="n">
        <x:v>0</x:v>
      </x:c>
      <x:c r="E898" s="16" t="n">
        <x:v>21.15</x:v>
      </x:c>
      <x:c r="F898" s="6" t="str">
        <x:v>HIGH</x:v>
      </x:c>
      <x:c r="G898" s="17" t="n">
        <x:f>'Scoring'!I898</x:f>
        <x:v>63.3</x:v>
      </x:c>
      <x:c r="H898" s="6" t="str">
        <x:v>PRIORITIZE</x:v>
      </x:c>
      <x:c r="I898" s="6" t="str">
        <x:v>dodge: Service and repair (Arabic)</x:v>
      </x:c>
      <x:c r="J898" s="6" t="str">
        <x:v>Primary</x:v>
      </x:c>
      <x:c r="K898" s="6" t="str">
        <x:v>Commercial service enquiry</x:v>
      </x:c>
      <x:c r="L898" s="6" t="str">
        <x:v>High</x:v>
      </x:c>
      <x:c r="M898" s="6" t="str">
        <x:v>https://digitecme.com/ar/brands/dodge-service-dubai</x:v>
      </x:c>
      <x:c r="N898" s="6" t="str">
        <x:v>Unknown — export has no query/page pairing</x:v>
      </x:c>
      <x:c r="O898" s="6" t="str">
        <x:v>Strengthen this primary intent owner</x:v>
      </x:c>
      <x:c r="P898" s="6" t="str">
        <x:v>Use the existing Arabic counterpart and verify its translation quality. Average position 21.15 makes ranking the main issue; avoid a CTR-only rewrite.</x:v>
      </x:c>
      <x:c r="Q898" s="6" t="str">
        <x:v>dodge</x:v>
      </x:c>
      <x:c r="R898" s="6" t="str">
        <x:v>service-repair</x:v>
      </x:c>
      <x:c r="S898" s="6" t="str">
        <x:v>Location unspecified</x:v>
      </x:c>
      <x:c r="T898" s="6" t="n">
        <x:v>3</x:v>
      </x:c>
      <x:c r="U898" s="6" t="str">
        <x:v>21–40</x:v>
      </x:c>
      <x:c r="V898" s="6" t="str">
        <x:v>Content, internal authority and owner alignment</x:v>
      </x:c>
      <x:c r="W898" s="6" t="str">
        <x:v>High-value commercial</x:v>
      </x:c>
      <x:c r="X898" s="6" t="n">
        <x:v>894</x:v>
      </x:c>
      <x:c r="Y898" s="6" t="str">
        <x:v>Unconfirmed — joint query/page data required</x:v>
      </x:c>
    </x:row>
    <x:row r="899" ht="57" customHeight="1">
      <x:c r="A899" s="6" t="str">
        <x:v>industrial gearbox repair near me</x:v>
      </x:c>
      <x:c r="B899" s="14" t="n">
        <x:v>0</x:v>
      </x:c>
      <x:c r="C899" s="14" t="n">
        <x:v>13</x:v>
      </x:c>
      <x:c r="D899" s="15" t="n">
        <x:v>0</x:v>
      </x:c>
      <x:c r="E899" s="16" t="n">
        <x:v>22.31</x:v>
      </x:c>
      <x:c r="F899" s="6" t="str">
        <x:v>IGNORE</x:v>
      </x:c>
      <x:c r="G899" s="17" t="n">
        <x:f>'Scoring'!I899</x:f>
        <x:v>0</x:v>
      </x:c>
      <x:c r="H899" s="6" t="str">
        <x:v>IGNORE</x:v>
      </x:c>
      <x:c r="I899" s="6" t="str">
        <x:v>Excluded: Industrial or non-automotive</x:v>
      </x:c>
      <x:c r="J899" s="6" t="str">
        <x:v>Secondary</x:v>
      </x:c>
      <x:c r="K899" s="6" t="str">
        <x:v>Other or mismatched intent</x:v>
      </x:c>
      <x:c r="L899" s="6" t="str">
        <x:v>None</x:v>
      </x:c>
      <x:c r="M899" s="6" t="str"/>
      <x:c r="N899" s="6" t="str">
        <x:v>Unknown — export has no query/page pairing</x:v>
      </x:c>
      <x:c r="O899" s="6" t="str">
        <x:v>Do not target</x:v>
      </x:c>
      <x:c r="P899" s="6" t="str">
        <x:v>Dealer, product, industrial, unrelated entity or non-service intent does not match the independent workshop offer. Average position 22.31 makes ranking the main issue; avoid a CTR-only rewrite.</x:v>
      </x:c>
      <x:c r="Q899" s="6" t="str">
        <x:v>All vehicles</x:v>
      </x:c>
      <x:c r="R899" s="6" t="str">
        <x:v>transmission-repair</x:v>
      </x:c>
      <x:c r="S899" s="6" t="str">
        <x:v>Near me; location unknown</x:v>
      </x:c>
      <x:c r="T899" s="6" t="n">
        <x:v>0</x:v>
      </x:c>
      <x:c r="U899" s="6" t="str">
        <x:v>21–40</x:v>
      </x:c>
      <x:c r="V899" s="6" t="str">
        <x:v>Content, internal authority and owner alignment</x:v>
      </x:c>
      <x:c r="W899" s="6" t="str">
        <x:v>Irrelevant</x:v>
      </x:c>
      <x:c r="X899" s="6" t="n">
        <x:v>895</x:v>
      </x:c>
      <x:c r="Y899" s="6" t="str">
        <x:v>Unconfirmed — joint query/page data required</x:v>
      </x:c>
    </x:row>
    <x:row r="900" ht="42" customHeight="1">
      <x:c r="A900" s="6" t="str">
        <x:v>audi servicing</x:v>
      </x:c>
      <x:c r="B900" s="14" t="n">
        <x:v>0</x:v>
      </x:c>
      <x:c r="C900" s="14" t="n">
        <x:v>13</x:v>
      </x:c>
      <x:c r="D900" s="15" t="n">
        <x:v>0</x:v>
      </x:c>
      <x:c r="E900" s="16" t="n">
        <x:v>22.46</x:v>
      </x:c>
      <x:c r="F900" s="6" t="str">
        <x:v>HIGH</x:v>
      </x:c>
      <x:c r="G900" s="17" t="n">
        <x:f>'Scoring'!I900</x:f>
        <x:v>71.3</x:v>
      </x:c>
      <x:c r="H900" s="6" t="str">
        <x:v>SUPPORT</x:v>
      </x:c>
      <x:c r="I900" s="6" t="str">
        <x:v>audi: Service and repair (English)</x:v>
      </x:c>
      <x:c r="J900" s="6" t="str">
        <x:v>Secondary</x:v>
      </x:c>
      <x:c r="K900" s="6" t="str">
        <x:v>Commercial service enquiry</x:v>
      </x:c>
      <x:c r="L900" s="6" t="str">
        <x:v>High</x:v>
      </x:c>
      <x:c r="M900" s="6" t="str">
        <x:v>https://digitecme.com/brands/audi-service-dubai</x:v>
      </x:c>
      <x:c r="N900" s="6" t="str">
        <x:v>Unknown — export has no query/page pairing</x:v>
      </x:c>
      <x:c r="O900" s="6" t="str">
        <x:v>Retain primary intent and support variants</x:v>
      </x:c>
      <x:c r="P900" s="6" t="str">
        <x:v>Average position 22.46 makes ranking the main issue; avoid a CTR-only rewrite.</x:v>
      </x:c>
      <x:c r="Q900" s="6" t="str">
        <x:v>audi</x:v>
      </x:c>
      <x:c r="R900" s="6" t="str">
        <x:v>service-repair</x:v>
      </x:c>
      <x:c r="S900" s="6" t="str">
        <x:v>Location unspecified</x:v>
      </x:c>
      <x:c r="T900" s="6" t="n">
        <x:v>5</x:v>
      </x:c>
      <x:c r="U900" s="6" t="str">
        <x:v>21–40</x:v>
      </x:c>
      <x:c r="V900" s="6" t="str">
        <x:v>Content, internal authority and owner alignment</x:v>
      </x:c>
      <x:c r="W900" s="6" t="str">
        <x:v>Relevant supporting</x:v>
      </x:c>
      <x:c r="X900" s="6" t="n">
        <x:v>896</x:v>
      </x:c>
      <x:c r="Y900" s="6" t="str">
        <x:v>Unconfirmed — joint query/page data required</x:v>
      </x:c>
    </x:row>
    <x:row r="901" ht="42" customHeight="1">
      <x:c r="A901" s="6" t="str">
        <x:v>best car servicing center for all makes in dubai</x:v>
      </x:c>
      <x:c r="B901" s="14" t="n">
        <x:v>0</x:v>
      </x:c>
      <x:c r="C901" s="14" t="n">
        <x:v>13</x:v>
      </x:c>
      <x:c r="D901" s="15" t="n">
        <x:v>0</x:v>
      </x:c>
      <x:c r="E901" s="16" t="n">
        <x:v>23</x:v>
      </x:c>
      <x:c r="F901" s="6" t="str">
        <x:v>HIGH</x:v>
      </x:c>
      <x:c r="G901" s="17" t="n">
        <x:f>'Scoring'!I901</x:f>
        <x:v>68.3</x:v>
      </x:c>
      <x:c r="H901" s="6" t="str">
        <x:v>SUPPORT</x:v>
      </x:c>
      <x:c r="I901" s="6" t="str">
        <x:v>All vehicles: Scheduled car service</x:v>
      </x:c>
      <x:c r="J901" s="6" t="str">
        <x:v>Secondary</x:v>
      </x:c>
      <x:c r="K901" s="6" t="str">
        <x:v>Commercial service enquiry</x:v>
      </x:c>
      <x:c r="L901" s="6" t="str">
        <x:v>High</x:v>
      </x:c>
      <x:c r="M901" s="6" t="str">
        <x:v>https://digitecme.com/services/car-service-dubai</x:v>
      </x:c>
      <x:c r="N901" s="6" t="str">
        <x:v>Unknown — export has no query/page pairing</x:v>
      </x:c>
      <x:c r="O901" s="6" t="str">
        <x:v>Retain primary intent and support variants</x:v>
      </x:c>
      <x:c r="P901" s="6" t="str">
        <x:v>Average position 23.00 makes ranking the main issue; avoid a CTR-only rewrite.</x:v>
      </x:c>
      <x:c r="Q901" s="6" t="str">
        <x:v>All vehicles</x:v>
      </x:c>
      <x:c r="R901" s="6" t="str">
        <x:v>service-repair</x:v>
      </x:c>
      <x:c r="S901" s="6" t="str">
        <x:v>Dubai explicit</x:v>
      </x:c>
      <x:c r="T901" s="6" t="n">
        <x:v>3</x:v>
      </x:c>
      <x:c r="U901" s="6" t="str">
        <x:v>21–40</x:v>
      </x:c>
      <x:c r="V901" s="6" t="str">
        <x:v>Content, internal authority and owner alignment</x:v>
      </x:c>
      <x:c r="W901" s="6" t="str">
        <x:v>Relevant supporting</x:v>
      </x:c>
      <x:c r="X901" s="6" t="n">
        <x:v>897</x:v>
      </x:c>
      <x:c r="Y901" s="6" t="str">
        <x:v>Unconfirmed — joint query/page data required</x:v>
      </x:c>
    </x:row>
    <x:row r="902" ht="42" customHeight="1">
      <x:c r="A902" s="6" t="str">
        <x:v>bentley suspension repair dubai</x:v>
      </x:c>
      <x:c r="B902" s="14" t="n">
        <x:v>0</x:v>
      </x:c>
      <x:c r="C902" s="14" t="n">
        <x:v>13</x:v>
      </x:c>
      <x:c r="D902" s="15" t="n">
        <x:v>0</x:v>
      </x:c>
      <x:c r="E902" s="16" t="n">
        <x:v>26.15</x:v>
      </x:c>
      <x:c r="F902" s="6" t="str">
        <x:v>HIGH</x:v>
      </x:c>
      <x:c r="G902" s="17" t="n">
        <x:f>'Scoring'!I902</x:f>
        <x:v>76.3</x:v>
      </x:c>
      <x:c r="H902" s="6" t="str">
        <x:v>SPLIT</x:v>
      </x:c>
      <x:c r="I902" s="6" t="str">
        <x:v>bentley: Suspension repair</x:v>
      </x:c>
      <x:c r="J902" s="6" t="str">
        <x:v>Primary</x:v>
      </x:c>
      <x:c r="K902" s="6" t="str">
        <x:v>Commercial service enquiry</x:v>
      </x:c>
      <x:c r="L902" s="6" t="str">
        <x:v>High</x:v>
      </x:c>
      <x:c r="M902" s="6" t="str">
        <x:v>https://digitecme.com/brands/bentley-service-dubai/suspension-repair</x:v>
      </x:c>
      <x:c r="N902" s="6" t="str">
        <x:v>Unknown — export has no query/page pairing</x:v>
      </x:c>
      <x:c r="O902" s="6" t="str">
        <x:v>Use dedicated service owner</x:v>
      </x:c>
      <x:c r="P902" s="6" t="str">
        <x:v>Average position 26.15 makes ranking the main issue; avoid a CTR-only rewrite.</x:v>
      </x:c>
      <x:c r="Q902" s="6" t="str">
        <x:v>bentley</x:v>
      </x:c>
      <x:c r="R902" s="6" t="str">
        <x:v>suspension-repair</x:v>
      </x:c>
      <x:c r="S902" s="6" t="str">
        <x:v>Dubai explicit</x:v>
      </x:c>
      <x:c r="T902" s="6" t="n">
        <x:v>5</x:v>
      </x:c>
      <x:c r="U902" s="6" t="str">
        <x:v>21–40</x:v>
      </x:c>
      <x:c r="V902" s="6" t="str">
        <x:v>Content, internal authority and owner alignment</x:v>
      </x:c>
      <x:c r="W902" s="6" t="str">
        <x:v>High-value commercial</x:v>
      </x:c>
      <x:c r="X902" s="6" t="n">
        <x:v>898</x:v>
      </x:c>
      <x:c r="Y902" s="6" t="str">
        <x:v>Unconfirmed — joint query/page data required</x:v>
      </x:c>
    </x:row>
    <x:row r="903" ht="42" customHeight="1">
      <x:c r="A903" s="6" t="str">
        <x:v>صيانة سيارات فورد</x:v>
      </x:c>
      <x:c r="B903" s="14" t="n">
        <x:v>0</x:v>
      </x:c>
      <x:c r="C903" s="14" t="n">
        <x:v>13</x:v>
      </x:c>
      <x:c r="D903" s="15" t="n">
        <x:v>0</x:v>
      </x:c>
      <x:c r="E903" s="16" t="n">
        <x:v>26.92</x:v>
      </x:c>
      <x:c r="F903" s="6" t="str">
        <x:v>HIGH</x:v>
      </x:c>
      <x:c r="G903" s="17" t="n">
        <x:f>'Scoring'!I903</x:f>
        <x:v>63.3</x:v>
      </x:c>
      <x:c r="H903" s="6" t="str">
        <x:v>PRIORITIZE</x:v>
      </x:c>
      <x:c r="I903" s="6" t="str">
        <x:v>ford: Service and repair (Arabic)</x:v>
      </x:c>
      <x:c r="J903" s="6" t="str">
        <x:v>Primary</x:v>
      </x:c>
      <x:c r="K903" s="6" t="str">
        <x:v>Commercial service enquiry</x:v>
      </x:c>
      <x:c r="L903" s="6" t="str">
        <x:v>High</x:v>
      </x:c>
      <x:c r="M903" s="6" t="str">
        <x:v>https://digitecme.com/ar/brands/ford-service-dubai</x:v>
      </x:c>
      <x:c r="N903" s="6" t="str">
        <x:v>Unknown — export has no query/page pairing</x:v>
      </x:c>
      <x:c r="O903" s="6" t="str">
        <x:v>Strengthen this primary intent owner</x:v>
      </x:c>
      <x:c r="P903" s="6" t="str">
        <x:v>Use the existing Arabic counterpart and verify its translation quality. Average position 26.92 makes ranking the main issue; avoid a CTR-only rewrite.</x:v>
      </x:c>
      <x:c r="Q903" s="6" t="str">
        <x:v>ford</x:v>
      </x:c>
      <x:c r="R903" s="6" t="str">
        <x:v>service-repair</x:v>
      </x:c>
      <x:c r="S903" s="6" t="str">
        <x:v>Location unspecified</x:v>
      </x:c>
      <x:c r="T903" s="6" t="n">
        <x:v>3</x:v>
      </x:c>
      <x:c r="U903" s="6" t="str">
        <x:v>21–40</x:v>
      </x:c>
      <x:c r="V903" s="6" t="str">
        <x:v>Content, internal authority and owner alignment</x:v>
      </x:c>
      <x:c r="W903" s="6" t="str">
        <x:v>High-value commercial</x:v>
      </x:c>
      <x:c r="X903" s="6" t="n">
        <x:v>899</x:v>
      </x:c>
      <x:c r="Y903" s="6" t="str">
        <x:v>Unconfirmed — joint query/page data required</x:v>
      </x:c>
    </x:row>
    <x:row r="904" ht="42" customHeight="1">
      <x:c r="A904" s="6" t="str">
        <x:v>jaguar specialist dubai</x:v>
      </x:c>
      <x:c r="B904" s="14" t="n">
        <x:v>0</x:v>
      </x:c>
      <x:c r="C904" s="14" t="n">
        <x:v>13</x:v>
      </x:c>
      <x:c r="D904" s="15" t="n">
        <x:v>0</x:v>
      </x:c>
      <x:c r="E904" s="16" t="n">
        <x:v>27</x:v>
      </x:c>
      <x:c r="F904" s="6" t="str">
        <x:v>HIGH</x:v>
      </x:c>
      <x:c r="G904" s="17" t="n">
        <x:f>'Scoring'!I904</x:f>
        <x:v>68.3</x:v>
      </x:c>
      <x:c r="H904" s="6" t="str">
        <x:v>SUPPORT</x:v>
      </x:c>
      <x:c r="I904" s="6" t="str">
        <x:v>jaguar: Service and repair</x:v>
      </x:c>
      <x:c r="J904" s="6" t="str">
        <x:v>Secondary</x:v>
      </x:c>
      <x:c r="K904" s="6" t="str">
        <x:v>Commercial service enquiry</x:v>
      </x:c>
      <x:c r="L904" s="6" t="str">
        <x:v>High</x:v>
      </x:c>
      <x:c r="M904" s="6" t="str">
        <x:v>https://digitecme.com/brands/jaguar-service-dubai</x:v>
      </x:c>
      <x:c r="N904" s="6" t="str">
        <x:v>Unknown — export has no query/page pairing</x:v>
      </x:c>
      <x:c r="O904" s="6" t="str">
        <x:v>Retain primary intent and support variants</x:v>
      </x:c>
      <x:c r="P904" s="6" t="str">
        <x:v>Average position 27.00 makes ranking the main issue; avoid a CTR-only rewrite.</x:v>
      </x:c>
      <x:c r="Q904" s="6" t="str">
        <x:v>jaguar</x:v>
      </x:c>
      <x:c r="R904" s="6" t="str">
        <x:v>service-repair</x:v>
      </x:c>
      <x:c r="S904" s="6" t="str">
        <x:v>Dubai explicit</x:v>
      </x:c>
      <x:c r="T904" s="6" t="n">
        <x:v>3</x:v>
      </x:c>
      <x:c r="U904" s="6" t="str">
        <x:v>21–40</x:v>
      </x:c>
      <x:c r="V904" s="6" t="str">
        <x:v>Content, internal authority and owner alignment</x:v>
      </x:c>
      <x:c r="W904" s="6" t="str">
        <x:v>Relevant supporting</x:v>
      </x:c>
      <x:c r="X904" s="6" t="n">
        <x:v>900</x:v>
      </x:c>
      <x:c r="Y904" s="6" t="str">
        <x:v>Unconfirmed — joint query/page data required</x:v>
      </x:c>
    </x:row>
    <x:row r="905" ht="42" customHeight="1">
      <x:c r="A905" s="6" t="str">
        <x:v>porsche panamera service dubai</x:v>
      </x:c>
      <x:c r="B905" s="14" t="n">
        <x:v>0</x:v>
      </x:c>
      <x:c r="C905" s="14" t="n">
        <x:v>13</x:v>
      </x:c>
      <x:c r="D905" s="15" t="n">
        <x:v>0</x:v>
      </x:c>
      <x:c r="E905" s="16" t="n">
        <x:v>27.15</x:v>
      </x:c>
      <x:c r="F905" s="6" t="str">
        <x:v>HIGH</x:v>
      </x:c>
      <x:c r="G905" s="17" t="n">
        <x:f>'Scoring'!I905</x:f>
        <x:v>76.3</x:v>
      </x:c>
      <x:c r="H905" s="6" t="str">
        <x:v>SUPPORT</x:v>
      </x:c>
      <x:c r="I905" s="6" t="str">
        <x:v>porsche: Panamera service</x:v>
      </x:c>
      <x:c r="J905" s="6" t="str">
        <x:v>Secondary</x:v>
      </x:c>
      <x:c r="K905" s="6" t="str">
        <x:v>Commercial service enquiry</x:v>
      </x:c>
      <x:c r="L905" s="6" t="str">
        <x:v>High</x:v>
      </x:c>
      <x:c r="M905" s="6" t="str">
        <x:v>https://digitecme.com/blog/porsche-panamera-service-dubai-guide</x:v>
      </x:c>
      <x:c r="N905" s="6" t="str">
        <x:v>Unknown — export has no query/page pairing</x:v>
      </x:c>
      <x:c r="O905" s="6" t="str">
        <x:v>Retain primary intent and support variants</x:v>
      </x:c>
      <x:c r="P905" s="6" t="str">
        <x:v>Average position 27.15 makes ranking the main issue; avoid a CTR-only rewrite.</x:v>
      </x:c>
      <x:c r="Q905" s="6" t="str">
        <x:v>porsche</x:v>
      </x:c>
      <x:c r="R905" s="6" t="str">
        <x:v>service-repair</x:v>
      </x:c>
      <x:c r="S905" s="6" t="str">
        <x:v>Dubai explicit</x:v>
      </x:c>
      <x:c r="T905" s="6" t="n">
        <x:v>5</x:v>
      </x:c>
      <x:c r="U905" s="6" t="str">
        <x:v>21–40</x:v>
      </x:c>
      <x:c r="V905" s="6" t="str">
        <x:v>Content, internal authority and owner alignment</x:v>
      </x:c>
      <x:c r="W905" s="6" t="str">
        <x:v>Relevant supporting</x:v>
      </x:c>
      <x:c r="X905" s="6" t="n">
        <x:v>901</x:v>
      </x:c>
      <x:c r="Y905" s="6" t="str">
        <x:v>Unconfirmed — joint query/page data required</x:v>
      </x:c>
    </x:row>
    <x:row r="906" ht="42" customHeight="1">
      <x:c r="A906" s="6" t="str">
        <x:v>صيانة سيارات فورد الامارات</x:v>
      </x:c>
      <x:c r="B906" s="14" t="n">
        <x:v>0</x:v>
      </x:c>
      <x:c r="C906" s="14" t="n">
        <x:v>13</x:v>
      </x:c>
      <x:c r="D906" s="15" t="n">
        <x:v>0</x:v>
      </x:c>
      <x:c r="E906" s="16" t="n">
        <x:v>30.38</x:v>
      </x:c>
      <x:c r="F906" s="6" t="str">
        <x:v>GROWTH</x:v>
      </x:c>
      <x:c r="G906" s="17" t="n">
        <x:f>'Scoring'!I906</x:f>
        <x:v>55.8</x:v>
      </x:c>
      <x:c r="H906" s="6" t="str">
        <x:v>SUPPORT</x:v>
      </x:c>
      <x:c r="I906" s="6" t="str">
        <x:v>ford: Service and repair (Arabic)</x:v>
      </x:c>
      <x:c r="J906" s="6" t="str">
        <x:v>Secondary</x:v>
      </x:c>
      <x:c r="K906" s="6" t="str">
        <x:v>Commercial service enquiry</x:v>
      </x:c>
      <x:c r="L906" s="6" t="str">
        <x:v>High</x:v>
      </x:c>
      <x:c r="M906" s="6" t="str">
        <x:v>https://digitecme.com/ar/brands/ford-service-dubai</x:v>
      </x:c>
      <x:c r="N906" s="6" t="str">
        <x:v>Unknown — export has no query/page pairing</x:v>
      </x:c>
      <x:c r="O906" s="6" t="str">
        <x:v>Retain primary intent and support variants</x:v>
      </x:c>
      <x:c r="P906" s="6" t="str">
        <x:v>Use the existing Arabic counterpart and verify its translation quality. Average position 30.38 makes ranking the main issue; avoid a CTR-only rewrite.</x:v>
      </x:c>
      <x:c r="Q906" s="6" t="str">
        <x:v>ford</x:v>
      </x:c>
      <x:c r="R906" s="6" t="str">
        <x:v>service-repair</x:v>
      </x:c>
      <x:c r="S906" s="6" t="str">
        <x:v>Location unspecified</x:v>
      </x:c>
      <x:c r="T906" s="6" t="n">
        <x:v>3</x:v>
      </x:c>
      <x:c r="U906" s="6" t="str">
        <x:v>21–40</x:v>
      </x:c>
      <x:c r="V906" s="6" t="str">
        <x:v>Content, internal authority and owner alignment</x:v>
      </x:c>
      <x:c r="W906" s="6" t="str">
        <x:v>Relevant supporting</x:v>
      </x:c>
      <x:c r="X906" s="6" t="n">
        <x:v>902</x:v>
      </x:c>
      <x:c r="Y906" s="6" t="str">
        <x:v>Unconfirmed — joint query/page data required</x:v>
      </x:c>
    </x:row>
    <x:row r="907" ht="42" customHeight="1">
      <x:c r="A907" s="6" t="str">
        <x:v>nano ceramic paint protection dubai</x:v>
      </x:c>
      <x:c r="B907" s="14" t="n">
        <x:v>0</x:v>
      </x:c>
      <x:c r="C907" s="14" t="n">
        <x:v>13</x:v>
      </x:c>
      <x:c r="D907" s="15" t="n">
        <x:v>0</x:v>
      </x:c>
      <x:c r="E907" s="16" t="n">
        <x:v>31</x:v>
      </x:c>
      <x:c r="F907" s="6" t="str">
        <x:v>GROWTH</x:v>
      </x:c>
      <x:c r="G907" s="17" t="n">
        <x:f>'Scoring'!I907</x:f>
        <x:v>68.8</x:v>
      </x:c>
      <x:c r="H907" s="6" t="str">
        <x:v>SUPPORT</x:v>
      </x:c>
      <x:c r="I907" s="6" t="str">
        <x:v>All vehicles: Ceramic coating</x:v>
      </x:c>
      <x:c r="J907" s="6" t="str">
        <x:v>Secondary</x:v>
      </x:c>
      <x:c r="K907" s="6" t="str">
        <x:v>Commercial service enquiry</x:v>
      </x:c>
      <x:c r="L907" s="6" t="str">
        <x:v>High</x:v>
      </x:c>
      <x:c r="M907" s="6" t="str">
        <x:v>https://digitecme.com/services/ceramic-coating</x:v>
      </x:c>
      <x:c r="N907" s="6" t="str">
        <x:v>Unknown — export has no query/page pairing</x:v>
      </x:c>
      <x:c r="O907" s="6" t="str">
        <x:v>Retain primary intent and support variants</x:v>
      </x:c>
      <x:c r="P907" s="6" t="str">
        <x:v>Coating intent belongs to the ceramic page; distinguish its limitations from film. Average position 31.00 makes ranking the main issue; avoid a CTR-only rewrite.</x:v>
      </x:c>
      <x:c r="Q907" s="6" t="str">
        <x:v>All vehicles</x:v>
      </x:c>
      <x:c r="R907" s="6" t="str">
        <x:v>ceramic</x:v>
      </x:c>
      <x:c r="S907" s="6" t="str">
        <x:v>Dubai explicit</x:v>
      </x:c>
      <x:c r="T907" s="6" t="n">
        <x:v>5</x:v>
      </x:c>
      <x:c r="U907" s="6" t="str">
        <x:v>21–40</x:v>
      </x:c>
      <x:c r="V907" s="6" t="str">
        <x:v>Content, internal authority and owner alignment</x:v>
      </x:c>
      <x:c r="W907" s="6" t="str">
        <x:v>Relevant supporting</x:v>
      </x:c>
      <x:c r="X907" s="6" t="n">
        <x:v>903</x:v>
      </x:c>
      <x:c r="Y907" s="6" t="str">
        <x:v>Unconfirmed — joint query/page data required</x:v>
      </x:c>
    </x:row>
    <x:row r="908" ht="42" customHeight="1">
      <x:c r="A908" s="6" t="str">
        <x:v>ppf coating near me</x:v>
      </x:c>
      <x:c r="B908" s="14" t="n">
        <x:v>0</x:v>
      </x:c>
      <x:c r="C908" s="14" t="n">
        <x:v>13</x:v>
      </x:c>
      <x:c r="D908" s="15" t="n">
        <x:v>0</x:v>
      </x:c>
      <x:c r="E908" s="16" t="n">
        <x:v>31.46</x:v>
      </x:c>
      <x:c r="F908" s="6" t="str">
        <x:v>GROWTH</x:v>
      </x:c>
      <x:c r="G908" s="17" t="n">
        <x:f>'Scoring'!I908</x:f>
        <x:v>68.8</x:v>
      </x:c>
      <x:c r="H908" s="6" t="str">
        <x:v>SUPPORT</x:v>
      </x:c>
      <x:c r="I908" s="6" t="str">
        <x:v>All vehicles: Paint protection film</x:v>
      </x:c>
      <x:c r="J908" s="6" t="str">
        <x:v>Secondary</x:v>
      </x:c>
      <x:c r="K908" s="6" t="str">
        <x:v>Commercial service enquiry</x:v>
      </x:c>
      <x:c r="L908" s="6" t="str">
        <x:v>High</x:v>
      </x:c>
      <x:c r="M908" s="6" t="str">
        <x:v>https://digitecme.com/services/paint-protection-film</x:v>
      </x:c>
      <x:c r="N908" s="6" t="str">
        <x:v>Unknown — export has no query/page pairing</x:v>
      </x:c>
      <x:c r="O908" s="6" t="str">
        <x:v>Retain primary intent and support variants</x:v>
      </x:c>
      <x:c r="P908" s="6" t="str">
        <x:v>Film intent belongs to the PPF page; vehicle and district terms are secondary context. Average position 31.46 makes ranking the main issue; avoid a CTR-only rewrite.</x:v>
      </x:c>
      <x:c r="Q908" s="6" t="str">
        <x:v>All vehicles</x:v>
      </x:c>
      <x:c r="R908" s="6" t="str">
        <x:v>ppf</x:v>
      </x:c>
      <x:c r="S908" s="6" t="str">
        <x:v>Near me; location unknown</x:v>
      </x:c>
      <x:c r="T908" s="6" t="n">
        <x:v>5</x:v>
      </x:c>
      <x:c r="U908" s="6" t="str">
        <x:v>21–40</x:v>
      </x:c>
      <x:c r="V908" s="6" t="str">
        <x:v>Content, internal authority and owner alignment</x:v>
      </x:c>
      <x:c r="W908" s="6" t="str">
        <x:v>Relevant supporting</x:v>
      </x:c>
      <x:c r="X908" s="6" t="n">
        <x:v>904</x:v>
      </x:c>
      <x:c r="Y908" s="6" t="str">
        <x:v>Unconfirmed — joint query/page data required</x:v>
      </x:c>
    </x:row>
    <x:row r="909" ht="42" customHeight="1">
      <x:c r="A909" s="6" t="str">
        <x:v>body repair</x:v>
      </x:c>
      <x:c r="B909" s="14" t="n">
        <x:v>0</x:v>
      </x:c>
      <x:c r="C909" s="14" t="n">
        <x:v>13</x:v>
      </x:c>
      <x:c r="D909" s="15" t="n">
        <x:v>0</x:v>
      </x:c>
      <x:c r="E909" s="16" t="n">
        <x:v>32.15</x:v>
      </x:c>
      <x:c r="F909" s="6" t="str">
        <x:v>GROWTH</x:v>
      </x:c>
      <x:c r="G909" s="17" t="n">
        <x:f>'Scoring'!I909</x:f>
        <x:v>55.8</x:v>
      </x:c>
      <x:c r="H909" s="6" t="str">
        <x:v>SUPPORT</x:v>
      </x:c>
      <x:c r="I909" s="6" t="str">
        <x:v>All vehicles: Body repair</x:v>
      </x:c>
      <x:c r="J909" s="6" t="str">
        <x:v>Secondary</x:v>
      </x:c>
      <x:c r="K909" s="6" t="str">
        <x:v>Commercial service enquiry</x:v>
      </x:c>
      <x:c r="L909" s="6" t="str">
        <x:v>High</x:v>
      </x:c>
      <x:c r="M909" s="6" t="str">
        <x:v>https://digitecme.com/services/car-body-repair-dubai</x:v>
      </x:c>
      <x:c r="N909" s="6" t="str">
        <x:v>Unknown — export has no query/page pairing</x:v>
      </x:c>
      <x:c r="O909" s="6" t="str">
        <x:v>Retain primary intent and support variants</x:v>
      </x:c>
      <x:c r="P909" s="6" t="str">
        <x:v>Average position 32.15 makes ranking the main issue; avoid a CTR-only rewrite.</x:v>
      </x:c>
      <x:c r="Q909" s="6" t="str">
        <x:v>All vehicles</x:v>
      </x:c>
      <x:c r="R909" s="6" t="str">
        <x:v>body-repair</x:v>
      </x:c>
      <x:c r="S909" s="6" t="str">
        <x:v>Location unspecified</x:v>
      </x:c>
      <x:c r="T909" s="6" t="n">
        <x:v>3</x:v>
      </x:c>
      <x:c r="U909" s="6" t="str">
        <x:v>21–40</x:v>
      </x:c>
      <x:c r="V909" s="6" t="str">
        <x:v>Content, internal authority and owner alignment</x:v>
      </x:c>
      <x:c r="W909" s="6" t="str">
        <x:v>Relevant supporting</x:v>
      </x:c>
      <x:c r="X909" s="6" t="n">
        <x:v>905</x:v>
      </x:c>
      <x:c r="Y909" s="6" t="str">
        <x:v>Unconfirmed — joint query/page data required</x:v>
      </x:c>
    </x:row>
    <x:row r="910" ht="42" customHeight="1">
      <x:c r="A910" s="6" t="str">
        <x:v>jaguar service dubai</x:v>
      </x:c>
      <x:c r="B910" s="14" t="n">
        <x:v>0</x:v>
      </x:c>
      <x:c r="C910" s="14" t="n">
        <x:v>13</x:v>
      </x:c>
      <x:c r="D910" s="15" t="n">
        <x:v>0</x:v>
      </x:c>
      <x:c r="E910" s="16" t="n">
        <x:v>32.54</x:v>
      </x:c>
      <x:c r="F910" s="6" t="str">
        <x:v>GROWTH</x:v>
      </x:c>
      <x:c r="G910" s="17" t="n">
        <x:f>'Scoring'!I910</x:f>
        <x:v>60.8</x:v>
      </x:c>
      <x:c r="H910" s="6" t="str">
        <x:v>SUPPORT</x:v>
      </x:c>
      <x:c r="I910" s="6" t="str">
        <x:v>jaguar: Service and repair</x:v>
      </x:c>
      <x:c r="J910" s="6" t="str">
        <x:v>Secondary</x:v>
      </x:c>
      <x:c r="K910" s="6" t="str">
        <x:v>Commercial service enquiry</x:v>
      </x:c>
      <x:c r="L910" s="6" t="str">
        <x:v>High</x:v>
      </x:c>
      <x:c r="M910" s="6" t="str">
        <x:v>https://digitecme.com/brands/jaguar-service-dubai</x:v>
      </x:c>
      <x:c r="N910" s="6" t="str">
        <x:v>Unknown — export has no query/page pairing</x:v>
      </x:c>
      <x:c r="O910" s="6" t="str">
        <x:v>Retain primary intent and support variants</x:v>
      </x:c>
      <x:c r="P910" s="6" t="str">
        <x:v>Average position 32.54 makes ranking the main issue; avoid a CTR-only rewrite.</x:v>
      </x:c>
      <x:c r="Q910" s="6" t="str">
        <x:v>jaguar</x:v>
      </x:c>
      <x:c r="R910" s="6" t="str">
        <x:v>service-repair</x:v>
      </x:c>
      <x:c r="S910" s="6" t="str">
        <x:v>Dubai explicit</x:v>
      </x:c>
      <x:c r="T910" s="6" t="n">
        <x:v>3</x:v>
      </x:c>
      <x:c r="U910" s="6" t="str">
        <x:v>21–40</x:v>
      </x:c>
      <x:c r="V910" s="6" t="str">
        <x:v>Content, internal authority and owner alignment</x:v>
      </x:c>
      <x:c r="W910" s="6" t="str">
        <x:v>Relevant supporting</x:v>
      </x:c>
      <x:c r="X910" s="6" t="n">
        <x:v>906</x:v>
      </x:c>
      <x:c r="Y910" s="6" t="str">
        <x:v>Unconfirmed — joint query/page data required</x:v>
      </x:c>
    </x:row>
    <x:row r="911" ht="42" customHeight="1">
      <x:c r="A911" s="6" t="str">
        <x:v>paint protection film service</x:v>
      </x:c>
      <x:c r="B911" s="14" t="n">
        <x:v>0</x:v>
      </x:c>
      <x:c r="C911" s="14" t="n">
        <x:v>13</x:v>
      </x:c>
      <x:c r="D911" s="15" t="n">
        <x:v>0</x:v>
      </x:c>
      <x:c r="E911" s="16" t="n">
        <x:v>32.77</x:v>
      </x:c>
      <x:c r="F911" s="6" t="str">
        <x:v>GROWTH</x:v>
      </x:c>
      <x:c r="G911" s="17" t="n">
        <x:f>'Scoring'!I911</x:f>
        <x:v>63.8</x:v>
      </x:c>
      <x:c r="H911" s="6" t="str">
        <x:v>SUPPORT</x:v>
      </x:c>
      <x:c r="I911" s="6" t="str">
        <x:v>All vehicles: Paint protection film</x:v>
      </x:c>
      <x:c r="J911" s="6" t="str">
        <x:v>Secondary</x:v>
      </x:c>
      <x:c r="K911" s="6" t="str">
        <x:v>Commercial service enquiry</x:v>
      </x:c>
      <x:c r="L911" s="6" t="str">
        <x:v>High</x:v>
      </x:c>
      <x:c r="M911" s="6" t="str">
        <x:v>https://digitecme.com/services/paint-protection-film</x:v>
      </x:c>
      <x:c r="N911" s="6" t="str">
        <x:v>Unknown — export has no query/page pairing</x:v>
      </x:c>
      <x:c r="O911" s="6" t="str">
        <x:v>Retain primary intent and support variants</x:v>
      </x:c>
      <x:c r="P911" s="6" t="str">
        <x:v>Film intent belongs to the PPF page; vehicle and district terms are secondary context. Average position 32.77 makes ranking the main issue; avoid a CTR-only rewrite.</x:v>
      </x:c>
      <x:c r="Q911" s="6" t="str">
        <x:v>All vehicles</x:v>
      </x:c>
      <x:c r="R911" s="6" t="str">
        <x:v>ppf</x:v>
      </x:c>
      <x:c r="S911" s="6" t="str">
        <x:v>Location unspecified</x:v>
      </x:c>
      <x:c r="T911" s="6" t="n">
        <x:v>5</x:v>
      </x:c>
      <x:c r="U911" s="6" t="str">
        <x:v>21–40</x:v>
      </x:c>
      <x:c r="V911" s="6" t="str">
        <x:v>Content, internal authority and owner alignment</x:v>
      </x:c>
      <x:c r="W911" s="6" t="str">
        <x:v>Relevant supporting</x:v>
      </x:c>
      <x:c r="X911" s="6" t="n">
        <x:v>907</x:v>
      </x:c>
      <x:c r="Y911" s="6" t="str">
        <x:v>Unconfirmed — joint query/page data required</x:v>
      </x:c>
    </x:row>
    <x:row r="912" ht="42" customHeight="1">
      <x:c r="A912" s="6" t="str">
        <x:v>benz repair shop</x:v>
      </x:c>
      <x:c r="B912" s="14" t="n">
        <x:v>0</x:v>
      </x:c>
      <x:c r="C912" s="14" t="n">
        <x:v>13</x:v>
      </x:c>
      <x:c r="D912" s="15" t="n">
        <x:v>0</x:v>
      </x:c>
      <x:c r="E912" s="16" t="n">
        <x:v>34.62</x:v>
      </x:c>
      <x:c r="F912" s="6" t="str">
        <x:v>GROWTH</x:v>
      </x:c>
      <x:c r="G912" s="17" t="n">
        <x:f>'Scoring'!I912</x:f>
        <x:v>63.8</x:v>
      </x:c>
      <x:c r="H912" s="6" t="str">
        <x:v>SUPPORT</x:v>
      </x:c>
      <x:c r="I912" s="6" t="str">
        <x:v>mercedes-benz: Service and repair (English)</x:v>
      </x:c>
      <x:c r="J912" s="6" t="str">
        <x:v>Secondary</x:v>
      </x:c>
      <x:c r="K912" s="6" t="str">
        <x:v>Commercial service enquiry</x:v>
      </x:c>
      <x:c r="L912" s="6" t="str">
        <x:v>High</x:v>
      </x:c>
      <x:c r="M912" s="6" t="str">
        <x:v>https://digitecme.com/brands/mercedes-benz-service-dubai</x:v>
      </x:c>
      <x:c r="N912" s="6" t="str">
        <x:v>Unknown — export has no query/page pairing</x:v>
      </x:c>
      <x:c r="O912" s="6" t="str">
        <x:v>Retain primary intent and support variants</x:v>
      </x:c>
      <x:c r="P912" s="6" t="str">
        <x:v>Average position 34.62 makes ranking the main issue; avoid a CTR-only rewrite.</x:v>
      </x:c>
      <x:c r="Q912" s="6" t="str">
        <x:v>mercedes-benz</x:v>
      </x:c>
      <x:c r="R912" s="6" t="str">
        <x:v>service-repair</x:v>
      </x:c>
      <x:c r="S912" s="6" t="str">
        <x:v>Location unspecified</x:v>
      </x:c>
      <x:c r="T912" s="6" t="n">
        <x:v>5</x:v>
      </x:c>
      <x:c r="U912" s="6" t="str">
        <x:v>21–40</x:v>
      </x:c>
      <x:c r="V912" s="6" t="str">
        <x:v>Content, internal authority and owner alignment</x:v>
      </x:c>
      <x:c r="W912" s="6" t="str">
        <x:v>Relevant supporting</x:v>
      </x:c>
      <x:c r="X912" s="6" t="n">
        <x:v>908</x:v>
      </x:c>
      <x:c r="Y912" s="6" t="str">
        <x:v>Unconfirmed — joint query/page data required</x:v>
      </x:c>
    </x:row>
    <x:row r="913" ht="42" customHeight="1">
      <x:c r="A913" s="6" t="str">
        <x:v>car battery change in dubai</x:v>
      </x:c>
      <x:c r="B913" s="14" t="n">
        <x:v>0</x:v>
      </x:c>
      <x:c r="C913" s="14" t="n">
        <x:v>13</x:v>
      </x:c>
      <x:c r="D913" s="15" t="n">
        <x:v>0</x:v>
      </x:c>
      <x:c r="E913" s="16" t="n">
        <x:v>34.77</x:v>
      </x:c>
      <x:c r="F913" s="6" t="str">
        <x:v>GROWTH</x:v>
      </x:c>
      <x:c r="G913" s="17" t="n">
        <x:f>'Scoring'!I913</x:f>
        <x:v>60.8</x:v>
      </x:c>
      <x:c r="H913" s="6" t="str">
        <x:v>SUPPORT</x:v>
      </x:c>
      <x:c r="I913" s="6" t="str">
        <x:v>All vehicles: Battery service (English)</x:v>
      </x:c>
      <x:c r="J913" s="6" t="str">
        <x:v>Secondary</x:v>
      </x:c>
      <x:c r="K913" s="6" t="str">
        <x:v>Commercial service enquiry</x:v>
      </x:c>
      <x:c r="L913" s="6" t="str">
        <x:v>High</x:v>
      </x:c>
      <x:c r="M913" s="6" t="str">
        <x:v>https://digitecme.com/services/battery-replacement-dubai</x:v>
      </x:c>
      <x:c r="N913" s="6" t="str">
        <x:v>Unknown — export has no query/page pairing</x:v>
      </x:c>
      <x:c r="O913" s="6" t="str">
        <x:v>Retain primary intent and support variants</x:v>
      </x:c>
      <x:c r="P913" s="6" t="str">
        <x:v>Average position 34.77 makes ranking the main issue; avoid a CTR-only rewrite.</x:v>
      </x:c>
      <x:c r="Q913" s="6" t="str">
        <x:v>All vehicles</x:v>
      </x:c>
      <x:c r="R913" s="6" t="str">
        <x:v>battery-replacement</x:v>
      </x:c>
      <x:c r="S913" s="6" t="str">
        <x:v>Dubai explicit</x:v>
      </x:c>
      <x:c r="T913" s="6" t="n">
        <x:v>3</x:v>
      </x:c>
      <x:c r="U913" s="6" t="str">
        <x:v>21–40</x:v>
      </x:c>
      <x:c r="V913" s="6" t="str">
        <x:v>Content, internal authority and owner alignment</x:v>
      </x:c>
      <x:c r="W913" s="6" t="str">
        <x:v>Relevant supporting</x:v>
      </x:c>
      <x:c r="X913" s="6" t="n">
        <x:v>909</x:v>
      </x:c>
      <x:c r="Y913" s="6" t="str">
        <x:v>Unconfirmed — joint query/page data required</x:v>
      </x:c>
    </x:row>
    <x:row r="914" ht="42" customHeight="1">
      <x:c r="A914" s="6" t="str">
        <x:v>bmw car battery dubai</x:v>
      </x:c>
      <x:c r="B914" s="14" t="n">
        <x:v>0</x:v>
      </x:c>
      <x:c r="C914" s="14" t="n">
        <x:v>13</x:v>
      </x:c>
      <x:c r="D914" s="15" t="n">
        <x:v>0</x:v>
      </x:c>
      <x:c r="E914" s="16" t="n">
        <x:v>36.23</x:v>
      </x:c>
      <x:c r="F914" s="6" t="str">
        <x:v>GROWTH</x:v>
      </x:c>
      <x:c r="G914" s="17" t="n">
        <x:f>'Scoring'!I914</x:f>
        <x:v>68.8</x:v>
      </x:c>
      <x:c r="H914" s="6" t="str">
        <x:v>SPLIT</x:v>
      </x:c>
      <x:c r="I914" s="6" t="str">
        <x:v>bmw: Battery service</x:v>
      </x:c>
      <x:c r="J914" s="6" t="str">
        <x:v>Secondary</x:v>
      </x:c>
      <x:c r="K914" s="6" t="str">
        <x:v>Commercial service enquiry</x:v>
      </x:c>
      <x:c r="L914" s="6" t="str">
        <x:v>High</x:v>
      </x:c>
      <x:c r="M914" s="6" t="str">
        <x:v>https://digitecme.com/brands/bmw-service-dubai/battery-replacement</x:v>
      </x:c>
      <x:c r="N914" s="6" t="str">
        <x:v>Unknown — export has no query/page pairing</x:v>
      </x:c>
      <x:c r="O914" s="6" t="str">
        <x:v>Use dedicated service owner</x:v>
      </x:c>
      <x:c r="P914" s="6" t="str">
        <x:v>Average position 36.23 makes ranking the main issue; avoid a CTR-only rewrite.</x:v>
      </x:c>
      <x:c r="Q914" s="6" t="str">
        <x:v>bmw</x:v>
      </x:c>
      <x:c r="R914" s="6" t="str">
        <x:v>battery-replacement</x:v>
      </x:c>
      <x:c r="S914" s="6" t="str">
        <x:v>Dubai explicit</x:v>
      </x:c>
      <x:c r="T914" s="6" t="n">
        <x:v>5</x:v>
      </x:c>
      <x:c r="U914" s="6" t="str">
        <x:v>21–40</x:v>
      </x:c>
      <x:c r="V914" s="6" t="str">
        <x:v>Content, internal authority and owner alignment</x:v>
      </x:c>
      <x:c r="W914" s="6" t="str">
        <x:v>High-value commercial</x:v>
      </x:c>
      <x:c r="X914" s="6" t="n">
        <x:v>910</x:v>
      </x:c>
      <x:c r="Y914" s="6" t="str">
        <x:v>Unconfirmed — joint query/page data required</x:v>
      </x:c>
    </x:row>
    <x:row r="915" ht="42" customHeight="1">
      <x:c r="A915" s="6" t="str">
        <x:v>best car modification in dubai</x:v>
      </x:c>
      <x:c r="B915" s="14" t="n">
        <x:v>0</x:v>
      </x:c>
      <x:c r="C915" s="14" t="n">
        <x:v>13</x:v>
      </x:c>
      <x:c r="D915" s="15" t="n">
        <x:v>0</x:v>
      </x:c>
      <x:c r="E915" s="16" t="n">
        <x:v>37.08</x:v>
      </x:c>
      <x:c r="F915" s="6" t="str">
        <x:v>GROWTH</x:v>
      </x:c>
      <x:c r="G915" s="17" t="n">
        <x:f>'Scoring'!I915</x:f>
        <x:v>68.8</x:v>
      </x:c>
      <x:c r="H915" s="6" t="str">
        <x:v>SUPPORT</x:v>
      </x:c>
      <x:c r="I915" s="6" t="str">
        <x:v>All vehicles: Performance tuning</x:v>
      </x:c>
      <x:c r="J915" s="6" t="str">
        <x:v>Secondary</x:v>
      </x:c>
      <x:c r="K915" s="6" t="str">
        <x:v>Commercial service enquiry</x:v>
      </x:c>
      <x:c r="L915" s="6" t="str">
        <x:v>High</x:v>
      </x:c>
      <x:c r="M915" s="6" t="str">
        <x:v>https://digitecme.com/tuning</x:v>
      </x:c>
      <x:c r="N915" s="6" t="str">
        <x:v>Unknown — export has no query/page pairing</x:v>
      </x:c>
      <x:c r="O915" s="6" t="str">
        <x:v>Retain primary intent and support variants</x:v>
      </x:c>
      <x:c r="P915" s="6" t="str">
        <x:v>Use the existing tuning page; model scope and any GAD relationship require verified facts. Average position 37.08 makes ranking the main issue; avoid a CTR-only rewrite.</x:v>
      </x:c>
      <x:c r="Q915" s="6" t="str">
        <x:v>All vehicles</x:v>
      </x:c>
      <x:c r="R915" s="6" t="str">
        <x:v>tuning</x:v>
      </x:c>
      <x:c r="S915" s="6" t="str">
        <x:v>Dubai explicit</x:v>
      </x:c>
      <x:c r="T915" s="6" t="n">
        <x:v>5</x:v>
      </x:c>
      <x:c r="U915" s="6" t="str">
        <x:v>21–40</x:v>
      </x:c>
      <x:c r="V915" s="6" t="str">
        <x:v>Content, internal authority and owner alignment</x:v>
      </x:c>
      <x:c r="W915" s="6" t="str">
        <x:v>Relevant supporting</x:v>
      </x:c>
      <x:c r="X915" s="6" t="n">
        <x:v>911</x:v>
      </x:c>
      <x:c r="Y915" s="6" t="str">
        <x:v>Unconfirmed — joint query/page data required</x:v>
      </x:c>
    </x:row>
    <x:row r="916" ht="42" customHeight="1">
      <x:c r="A916" s="6" t="str">
        <x:v>افضل مركز صيانة اودى</x:v>
      </x:c>
      <x:c r="B916" s="14" t="n">
        <x:v>0</x:v>
      </x:c>
      <x:c r="C916" s="14" t="n">
        <x:v>13</x:v>
      </x:c>
      <x:c r="D916" s="15" t="n">
        <x:v>0</x:v>
      </x:c>
      <x:c r="E916" s="16" t="n">
        <x:v>38.38</x:v>
      </x:c>
      <x:c r="F916" s="6" t="str">
        <x:v>GROWTH</x:v>
      </x:c>
      <x:c r="G916" s="17" t="n">
        <x:f>'Scoring'!I916</x:f>
        <x:v>63.8</x:v>
      </x:c>
      <x:c r="H916" s="6" t="str">
        <x:v>SUPPORT</x:v>
      </x:c>
      <x:c r="I916" s="6" t="str">
        <x:v>audi: Service and repair (Arabic)</x:v>
      </x:c>
      <x:c r="J916" s="6" t="str">
        <x:v>Secondary</x:v>
      </x:c>
      <x:c r="K916" s="6" t="str">
        <x:v>Commercial service enquiry</x:v>
      </x:c>
      <x:c r="L916" s="6" t="str">
        <x:v>High</x:v>
      </x:c>
      <x:c r="M916" s="6" t="str">
        <x:v>https://digitecme.com/ar/brands/audi-service-dubai</x:v>
      </x:c>
      <x:c r="N916" s="6" t="str">
        <x:v>Unknown — export has no query/page pairing</x:v>
      </x:c>
      <x:c r="O916" s="6" t="str">
        <x:v>Retain primary intent and support variants</x:v>
      </x:c>
      <x:c r="P916" s="6" t="str">
        <x:v>Use the existing Arabic counterpart and verify its translation quality. Average position 38.38 makes ranking the main issue; avoid a CTR-only rewrite.</x:v>
      </x:c>
      <x:c r="Q916" s="6" t="str">
        <x:v>audi</x:v>
      </x:c>
      <x:c r="R916" s="6" t="str">
        <x:v>service-repair</x:v>
      </x:c>
      <x:c r="S916" s="6" t="str">
        <x:v>Location unspecified</x:v>
      </x:c>
      <x:c r="T916" s="6" t="n">
        <x:v>5</x:v>
      </x:c>
      <x:c r="U916" s="6" t="str">
        <x:v>21–40</x:v>
      </x:c>
      <x:c r="V916" s="6" t="str">
        <x:v>Content, internal authority and owner alignment</x:v>
      </x:c>
      <x:c r="W916" s="6" t="str">
        <x:v>Relevant supporting</x:v>
      </x:c>
      <x:c r="X916" s="6" t="n">
        <x:v>912</x:v>
      </x:c>
      <x:c r="Y916" s="6" t="str">
        <x:v>Unconfirmed — joint query/page data required</x:v>
      </x:c>
    </x:row>
    <x:row r="917" ht="42" customHeight="1">
      <x:c r="A917" s="6" t="str">
        <x:v>range rover body repair dubai</x:v>
      </x:c>
      <x:c r="B917" s="14" t="n">
        <x:v>0</x:v>
      </x:c>
      <x:c r="C917" s="14" t="n">
        <x:v>13</x:v>
      </x:c>
      <x:c r="D917" s="15" t="n">
        <x:v>0</x:v>
      </x:c>
      <x:c r="E917" s="16" t="n">
        <x:v>39.54</x:v>
      </x:c>
      <x:c r="F917" s="6" t="str">
        <x:v>GROWTH</x:v>
      </x:c>
      <x:c r="G917" s="17" t="n">
        <x:f>'Scoring'!I917</x:f>
        <x:v>68.8</x:v>
      </x:c>
      <x:c r="H917" s="6" t="str">
        <x:v>SPLIT</x:v>
      </x:c>
      <x:c r="I917" s="6" t="str">
        <x:v>range-rover: Body repair</x:v>
      </x:c>
      <x:c r="J917" s="6" t="str">
        <x:v>Primary</x:v>
      </x:c>
      <x:c r="K917" s="6" t="str">
        <x:v>Commercial service enquiry</x:v>
      </x:c>
      <x:c r="L917" s="6" t="str">
        <x:v>High</x:v>
      </x:c>
      <x:c r="M917" s="6" t="str">
        <x:v>https://digitecme.com/brands/range-rover-service-dubai/body-repair</x:v>
      </x:c>
      <x:c r="N917" s="6" t="str">
        <x:v>Unknown — export has no query/page pairing</x:v>
      </x:c>
      <x:c r="O917" s="6" t="str">
        <x:v>Use dedicated service owner</x:v>
      </x:c>
      <x:c r="P917" s="6" t="str">
        <x:v>Average position 39.54 makes ranking the main issue; avoid a CTR-only rewrite.</x:v>
      </x:c>
      <x:c r="Q917" s="6" t="str">
        <x:v>range-rover</x:v>
      </x:c>
      <x:c r="R917" s="6" t="str">
        <x:v>body-repair</x:v>
      </x:c>
      <x:c r="S917" s="6" t="str">
        <x:v>Dubai explicit</x:v>
      </x:c>
      <x:c r="T917" s="6" t="n">
        <x:v>5</x:v>
      </x:c>
      <x:c r="U917" s="6" t="str">
        <x:v>21–40</x:v>
      </x:c>
      <x:c r="V917" s="6" t="str">
        <x:v>Content, internal authority and owner alignment</x:v>
      </x:c>
      <x:c r="W917" s="6" t="str">
        <x:v>High-value commercial</x:v>
      </x:c>
      <x:c r="X917" s="6" t="n">
        <x:v>913</x:v>
      </x:c>
      <x:c r="Y917" s="6" t="str">
        <x:v>Unconfirmed — joint query/page data required</x:v>
      </x:c>
    </x:row>
    <x:row r="918" ht="42" customHeight="1">
      <x:c r="A918" s="6" t="str">
        <x:v>toyota car battery dubai</x:v>
      </x:c>
      <x:c r="B918" s="14" t="n">
        <x:v>0</x:v>
      </x:c>
      <x:c r="C918" s="14" t="n">
        <x:v>13</x:v>
      </x:c>
      <x:c r="D918" s="15" t="n">
        <x:v>0</x:v>
      </x:c>
      <x:c r="E918" s="16" t="n">
        <x:v>40.85</x:v>
      </x:c>
      <x:c r="F918" s="6" t="str">
        <x:v>GROWTH</x:v>
      </x:c>
      <x:c r="G918" s="17" t="n">
        <x:f>'Scoring'!I918</x:f>
        <x:v>54.6</x:v>
      </x:c>
      <x:c r="H918" s="6" t="str">
        <x:v>SPLIT</x:v>
      </x:c>
      <x:c r="I918" s="6" t="str">
        <x:v>toyota: Battery service</x:v>
      </x:c>
      <x:c r="J918" s="6" t="str">
        <x:v>Primary</x:v>
      </x:c>
      <x:c r="K918" s="6" t="str">
        <x:v>Commercial service enquiry</x:v>
      </x:c>
      <x:c r="L918" s="6" t="str">
        <x:v>High</x:v>
      </x:c>
      <x:c r="M918" s="6" t="str">
        <x:v>https://digitecme.com/brands/toyota-service-dubai/battery-replacement</x:v>
      </x:c>
      <x:c r="N918" s="6" t="str">
        <x:v>Unknown — export has no query/page pairing</x:v>
      </x:c>
      <x:c r="O918" s="6" t="str">
        <x:v>Use dedicated service owner</x:v>
      </x:c>
      <x:c r="P918" s="6" t="str">
        <x:v>Average position 40.85 makes ranking the main issue; avoid a CTR-only rewrite.</x:v>
      </x:c>
      <x:c r="Q918" s="6" t="str">
        <x:v>toyota</x:v>
      </x:c>
      <x:c r="R918" s="6" t="str">
        <x:v>battery-replacement</x:v>
      </x:c>
      <x:c r="S918" s="6" t="str">
        <x:v>Dubai explicit</x:v>
      </x:c>
      <x:c r="T918" s="6" t="n">
        <x:v>3</x:v>
      </x:c>
      <x:c r="U918" s="6" t="str">
        <x:v>40+</x:v>
      </x:c>
      <x:c r="V918" s="6" t="str">
        <x:v>Relevance, capability, indexing and authority review</x:v>
      </x:c>
      <x:c r="W918" s="6" t="str">
        <x:v>High-value commercial</x:v>
      </x:c>
      <x:c r="X918" s="6" t="n">
        <x:v>914</x:v>
      </x:c>
      <x:c r="Y918" s="6" t="str">
        <x:v>Unconfirmed — joint query/page data required</x:v>
      </x:c>
    </x:row>
    <x:row r="919" ht="42" customHeight="1">
      <x:c r="A919" s="6" t="str">
        <x:v>nissan car battery uae</x:v>
      </x:c>
      <x:c r="B919" s="14" t="n">
        <x:v>0</x:v>
      </x:c>
      <x:c r="C919" s="14" t="n">
        <x:v>13</x:v>
      </x:c>
      <x:c r="D919" s="15" t="n">
        <x:v>0</x:v>
      </x:c>
      <x:c r="E919" s="16" t="n">
        <x:v>42.15</x:v>
      </x:c>
      <x:c r="F919" s="6" t="str">
        <x:v>GROWTH</x:v>
      </x:c>
      <x:c r="G919" s="17" t="n">
        <x:f>'Scoring'!I919</x:f>
        <x:v>49.6</x:v>
      </x:c>
      <x:c r="H919" s="6" t="str">
        <x:v>SPLIT</x:v>
      </x:c>
      <x:c r="I919" s="6" t="str">
        <x:v>nissan: Battery service</x:v>
      </x:c>
      <x:c r="J919" s="6" t="str">
        <x:v>Secondary</x:v>
      </x:c>
      <x:c r="K919" s="6" t="str">
        <x:v>Commercial service enquiry</x:v>
      </x:c>
      <x:c r="L919" s="6" t="str">
        <x:v>High</x:v>
      </x:c>
      <x:c r="M919" s="6" t="str">
        <x:v>https://digitecme.com/brands/nissan-service-dubai/battery-replacement</x:v>
      </x:c>
      <x:c r="N919" s="6" t="str">
        <x:v>Unknown — export has no query/page pairing</x:v>
      </x:c>
      <x:c r="O919" s="6" t="str">
        <x:v>Use dedicated service owner</x:v>
      </x:c>
      <x:c r="P919" s="6" t="str">
        <x:v>Average position 42.15 makes ranking the main issue; avoid a CTR-only rewrite.</x:v>
      </x:c>
      <x:c r="Q919" s="6" t="str">
        <x:v>nissan</x:v>
      </x:c>
      <x:c r="R919" s="6" t="str">
        <x:v>battery-replacement</x:v>
      </x:c>
      <x:c r="S919" s="6" t="str">
        <x:v>Location unspecified</x:v>
      </x:c>
      <x:c r="T919" s="6" t="n">
        <x:v>3</x:v>
      </x:c>
      <x:c r="U919" s="6" t="str">
        <x:v>40+</x:v>
      </x:c>
      <x:c r="V919" s="6" t="str">
        <x:v>Relevance, capability, indexing and authority review</x:v>
      </x:c>
      <x:c r="W919" s="6" t="str">
        <x:v>High-value commercial</x:v>
      </x:c>
      <x:c r="X919" s="6" t="n">
        <x:v>915</x:v>
      </x:c>
      <x:c r="Y919" s="6" t="str">
        <x:v>Unconfirmed — joint query/page data required</x:v>
      </x:c>
    </x:row>
    <x:row r="920" ht="42" customHeight="1">
      <x:c r="A920" s="6" t="str">
        <x:v>porsche service jumeirah</x:v>
      </x:c>
      <x:c r="B920" s="14" t="n">
        <x:v>0</x:v>
      </x:c>
      <x:c r="C920" s="14" t="n">
        <x:v>13</x:v>
      </x:c>
      <x:c r="D920" s="15" t="n">
        <x:v>0</x:v>
      </x:c>
      <x:c r="E920" s="16" t="n">
        <x:v>44.62</x:v>
      </x:c>
      <x:c r="F920" s="6" t="str">
        <x:v>GROWTH</x:v>
      </x:c>
      <x:c r="G920" s="17" t="n">
        <x:f>'Scoring'!I920</x:f>
        <x:v>62.6</x:v>
      </x:c>
      <x:c r="H920" s="6" t="str">
        <x:v>SUPPORT</x:v>
      </x:c>
      <x:c r="I920" s="6" t="str">
        <x:v>porsche: Service and repair (English)</x:v>
      </x:c>
      <x:c r="J920" s="6" t="str">
        <x:v>Secondary</x:v>
      </x:c>
      <x:c r="K920" s="6" t="str">
        <x:v>Commercial service enquiry</x:v>
      </x:c>
      <x:c r="L920" s="6" t="str">
        <x:v>High</x:v>
      </x:c>
      <x:c r="M920" s="6" t="str">
        <x:v>https://digitecme.com/brands/porsche-service-dubai</x:v>
      </x:c>
      <x:c r="N920" s="6" t="str">
        <x:v>Unknown — export has no query/page pairing</x:v>
      </x:c>
      <x:c r="O920" s="6" t="str">
        <x:v>Retain primary intent and support variants</x:v>
      </x:c>
      <x:c r="P920" s="6" t="str">
        <x:v>Use the actual Al Quoz location; no district landing page or implied branch. Average position 44.62 makes ranking the main issue; avoid a CTR-only rewrite.</x:v>
      </x:c>
      <x:c r="Q920" s="6" t="str">
        <x:v>porsche</x:v>
      </x:c>
      <x:c r="R920" s="6" t="str">
        <x:v>service-repair</x:v>
      </x:c>
      <x:c r="S920" s="6" t="str">
        <x:v>Other Dubai district</x:v>
      </x:c>
      <x:c r="T920" s="6" t="n">
        <x:v>5</x:v>
      </x:c>
      <x:c r="U920" s="6" t="str">
        <x:v>40+</x:v>
      </x:c>
      <x:c r="V920" s="6" t="str">
        <x:v>Relevance, capability, indexing and authority review</x:v>
      </x:c>
      <x:c r="W920" s="6" t="str">
        <x:v>Relevant supporting</x:v>
      </x:c>
      <x:c r="X920" s="6" t="n">
        <x:v>916</x:v>
      </x:c>
      <x:c r="Y920" s="6" t="str">
        <x:v>Unconfirmed — joint query/page data required</x:v>
      </x:c>
    </x:row>
    <x:row r="921" ht="57" customHeight="1">
      <x:c r="A921" s="6" t="str">
        <x:v>gmc engine repair dubai</x:v>
      </x:c>
      <x:c r="B921" s="14" t="n">
        <x:v>0</x:v>
      </x:c>
      <x:c r="C921" s="14" t="n">
        <x:v>13</x:v>
      </x:c>
      <x:c r="D921" s="15" t="n">
        <x:v>0</x:v>
      </x:c>
      <x:c r="E921" s="16" t="n">
        <x:v>44.92</x:v>
      </x:c>
      <x:c r="F921" s="6" t="str">
        <x:v>GROWTH</x:v>
      </x:c>
      <x:c r="G921" s="17" t="n">
        <x:f>'Scoring'!I921</x:f>
        <x:v>54.6</x:v>
      </x:c>
      <x:c r="H921" s="6" t="str">
        <x:v>SPLIT</x:v>
      </x:c>
      <x:c r="I921" s="6" t="str">
        <x:v>gmc: Engine and mechanical repair</x:v>
      </x:c>
      <x:c r="J921" s="6" t="str">
        <x:v>Primary</x:v>
      </x:c>
      <x:c r="K921" s="6" t="str">
        <x:v>Commercial service enquiry</x:v>
      </x:c>
      <x:c r="L921" s="6" t="str">
        <x:v>High</x:v>
      </x:c>
      <x:c r="M921" s="6" t="str">
        <x:v>https://digitecme.com/brands/gmc-service-dubai</x:v>
      </x:c>
      <x:c r="N921" s="6" t="str">
        <x:v>Unknown — export has no query/page pairing</x:v>
      </x:c>
      <x:c r="O921" s="6" t="str">
        <x:v>Use dedicated service owner</x:v>
      </x:c>
      <x:c r="P921" s="6" t="str">
        <x:v>No existing specific indexable owner established; use a relevant hub section and confirm demand before a new page. Average position 44.92 makes ranking the main issue; avoid a CTR-only rewrite.</x:v>
      </x:c>
      <x:c r="Q921" s="6" t="str">
        <x:v>gmc</x:v>
      </x:c>
      <x:c r="R921" s="6" t="str">
        <x:v>mechanical-repair</x:v>
      </x:c>
      <x:c r="S921" s="6" t="str">
        <x:v>Dubai explicit</x:v>
      </x:c>
      <x:c r="T921" s="6" t="n">
        <x:v>3</x:v>
      </x:c>
      <x:c r="U921" s="6" t="str">
        <x:v>40+</x:v>
      </x:c>
      <x:c r="V921" s="6" t="str">
        <x:v>Relevance, capability, indexing and authority review</x:v>
      </x:c>
      <x:c r="W921" s="6" t="str">
        <x:v>High-value commercial</x:v>
      </x:c>
      <x:c r="X921" s="6" t="n">
        <x:v>917</x:v>
      </x:c>
      <x:c r="Y921" s="6" t="str">
        <x:v>Unconfirmed — joint query/page data required</x:v>
      </x:c>
    </x:row>
    <x:row r="922" ht="42" customHeight="1">
      <x:c r="A922" s="6" t="str">
        <x:v>exhaust modification dubai</x:v>
      </x:c>
      <x:c r="B922" s="14" t="n">
        <x:v>0</x:v>
      </x:c>
      <x:c r="C922" s="14" t="n">
        <x:v>13</x:v>
      </x:c>
      <x:c r="D922" s="15" t="n">
        <x:v>0</x:v>
      </x:c>
      <x:c r="E922" s="16" t="n">
        <x:v>45</x:v>
      </x:c>
      <x:c r="F922" s="6" t="str">
        <x:v>GROWTH</x:v>
      </x:c>
      <x:c r="G922" s="17" t="n">
        <x:f>'Scoring'!I922</x:f>
        <x:v>62.6</x:v>
      </x:c>
      <x:c r="H922" s="6" t="str">
        <x:v>SUPPORT</x:v>
      </x:c>
      <x:c r="I922" s="6" t="str">
        <x:v>All vehicles: Performance tuning</x:v>
      </x:c>
      <x:c r="J922" s="6" t="str">
        <x:v>Secondary</x:v>
      </x:c>
      <x:c r="K922" s="6" t="str">
        <x:v>Commercial service enquiry</x:v>
      </x:c>
      <x:c r="L922" s="6" t="str">
        <x:v>High</x:v>
      </x:c>
      <x:c r="M922" s="6" t="str">
        <x:v>https://digitecme.com/tuning</x:v>
      </x:c>
      <x:c r="N922" s="6" t="str">
        <x:v>Unknown — export has no query/page pairing</x:v>
      </x:c>
      <x:c r="O922" s="6" t="str">
        <x:v>Retain primary intent and support variants</x:v>
      </x:c>
      <x:c r="P922" s="6" t="str">
        <x:v>Use the existing tuning page; model scope and any GAD relationship require verified facts. Average position 45.00 makes ranking the main issue; avoid a CTR-only rewrite.</x:v>
      </x:c>
      <x:c r="Q922" s="6" t="str">
        <x:v>All vehicles</x:v>
      </x:c>
      <x:c r="R922" s="6" t="str">
        <x:v>tuning</x:v>
      </x:c>
      <x:c r="S922" s="6" t="str">
        <x:v>Dubai explicit</x:v>
      </x:c>
      <x:c r="T922" s="6" t="n">
        <x:v>5</x:v>
      </x:c>
      <x:c r="U922" s="6" t="str">
        <x:v>40+</x:v>
      </x:c>
      <x:c r="V922" s="6" t="str">
        <x:v>Relevance, capability, indexing and authority review</x:v>
      </x:c>
      <x:c r="W922" s="6" t="str">
        <x:v>Relevant supporting</x:v>
      </x:c>
      <x:c r="X922" s="6" t="n">
        <x:v>918</x:v>
      </x:c>
      <x:c r="Y922" s="6" t="str">
        <x:v>Unconfirmed — joint query/page data required</x:v>
      </x:c>
    </x:row>
    <x:row r="923" ht="42" customHeight="1">
      <x:c r="A923" s="6" t="str">
        <x:v>صيانة فولكس فاجن</x:v>
      </x:c>
      <x:c r="B923" s="14" t="n">
        <x:v>0</x:v>
      </x:c>
      <x:c r="C923" s="14" t="n">
        <x:v>13</x:v>
      </x:c>
      <x:c r="D923" s="15" t="n">
        <x:v>0</x:v>
      </x:c>
      <x:c r="E923" s="16" t="n">
        <x:v>45.92</x:v>
      </x:c>
      <x:c r="F923" s="6" t="str">
        <x:v>GROWTH</x:v>
      </x:c>
      <x:c r="G923" s="17" t="n">
        <x:f>'Scoring'!I923</x:f>
        <x:v>49.6</x:v>
      </x:c>
      <x:c r="H923" s="6" t="str">
        <x:v>PRIORITIZE</x:v>
      </x:c>
      <x:c r="I923" s="6" t="str">
        <x:v>volkswagen: Service and repair (Arabic)</x:v>
      </x:c>
      <x:c r="J923" s="6" t="str">
        <x:v>Primary</x:v>
      </x:c>
      <x:c r="K923" s="6" t="str">
        <x:v>Commercial service enquiry</x:v>
      </x:c>
      <x:c r="L923" s="6" t="str">
        <x:v>High</x:v>
      </x:c>
      <x:c r="M923" s="6" t="str">
        <x:v>https://digitecme.com/ar/brands/volkswagen-service-dubai</x:v>
      </x:c>
      <x:c r="N923" s="6" t="str">
        <x:v>Unknown — export has no query/page pairing</x:v>
      </x:c>
      <x:c r="O923" s="6" t="str">
        <x:v>Strengthen this primary intent owner</x:v>
      </x:c>
      <x:c r="P923" s="6" t="str">
        <x:v>Use the existing Arabic counterpart and verify its translation quality. Average position 45.92 makes ranking the main issue; avoid a CTR-only rewrite.</x:v>
      </x:c>
      <x:c r="Q923" s="6" t="str">
        <x:v>volkswagen</x:v>
      </x:c>
      <x:c r="R923" s="6" t="str">
        <x:v>service-repair</x:v>
      </x:c>
      <x:c r="S923" s="6" t="str">
        <x:v>Location unspecified</x:v>
      </x:c>
      <x:c r="T923" s="6" t="n">
        <x:v>3</x:v>
      </x:c>
      <x:c r="U923" s="6" t="str">
        <x:v>40+</x:v>
      </x:c>
      <x:c r="V923" s="6" t="str">
        <x:v>Relevance, capability, indexing and authority review</x:v>
      </x:c>
      <x:c r="W923" s="6" t="str">
        <x:v>High-value commercial</x:v>
      </x:c>
      <x:c r="X923" s="6" t="n">
        <x:v>919</x:v>
      </x:c>
      <x:c r="Y923" s="6" t="str">
        <x:v>Unconfirmed — joint query/page data required</x:v>
      </x:c>
    </x:row>
    <x:row r="924" ht="57" customHeight="1">
      <x:c r="A924" s="6" t="str">
        <x:v>cadillac car battery</x:v>
      </x:c>
      <x:c r="B924" s="14" t="n">
        <x:v>0</x:v>
      </x:c>
      <x:c r="C924" s="14" t="n">
        <x:v>13</x:v>
      </x:c>
      <x:c r="D924" s="15" t="n">
        <x:v>0</x:v>
      </x:c>
      <x:c r="E924" s="16" t="n">
        <x:v>46.54</x:v>
      </x:c>
      <x:c r="F924" s="6" t="str">
        <x:v>GROWTH</x:v>
      </x:c>
      <x:c r="G924" s="17" t="n">
        <x:f>'Scoring'!I924</x:f>
        <x:v>27.3</x:v>
      </x:c>
      <x:c r="H924" s="6" t="str">
        <x:v>SPLIT</x:v>
      </x:c>
      <x:c r="I924" s="6" t="str">
        <x:v>cadillac: Battery service</x:v>
      </x:c>
      <x:c r="J924" s="6" t="str">
        <x:v>Secondary</x:v>
      </x:c>
      <x:c r="K924" s="6" t="str">
        <x:v>Commercial service enquiry</x:v>
      </x:c>
      <x:c r="L924" s="6" t="str">
        <x:v>Medium</x:v>
      </x:c>
      <x:c r="M924" s="6" t="str">
        <x:v>https://digitecme.com/brands/cadillac-service-dubai/battery-replacement</x:v>
      </x:c>
      <x:c r="N924" s="6" t="str">
        <x:v>Unknown — export has no query/page pairing</x:v>
      </x:c>
      <x:c r="O924" s="6" t="str">
        <x:v>Use dedicated service owner</x:v>
      </x:c>
      <x:c r="P924" s="6" t="str">
        <x:v>Existing specific page is noindex; assess service evidence and distinct content before changing indexation. Average position 46.54 makes ranking the main issue; avoid a CTR-only rewrite.</x:v>
      </x:c>
      <x:c r="Q924" s="6" t="str">
        <x:v>cadillac</x:v>
      </x:c>
      <x:c r="R924" s="6" t="str">
        <x:v>battery-replacement</x:v>
      </x:c>
      <x:c r="S924" s="6" t="str">
        <x:v>Location unspecified</x:v>
      </x:c>
      <x:c r="T924" s="6" t="n">
        <x:v>3</x:v>
      </x:c>
      <x:c r="U924" s="6" t="str">
        <x:v>40+</x:v>
      </x:c>
      <x:c r="V924" s="6" t="str">
        <x:v>Relevance, capability, indexing and authority review</x:v>
      </x:c>
      <x:c r="W924" s="6" t="str">
        <x:v>High-value commercial</x:v>
      </x:c>
      <x:c r="X924" s="6" t="n">
        <x:v>920</x:v>
      </x:c>
      <x:c r="Y924" s="6" t="str">
        <x:v>Unconfirmed — joint query/page data required</x:v>
      </x:c>
    </x:row>
    <x:row r="925" ht="42" customHeight="1">
      <x:c r="A925" s="6" t="str">
        <x:v>gmc repair center near me</x:v>
      </x:c>
      <x:c r="B925" s="14" t="n">
        <x:v>0</x:v>
      </x:c>
      <x:c r="C925" s="14" t="n">
        <x:v>13</x:v>
      </x:c>
      <x:c r="D925" s="15" t="n">
        <x:v>0</x:v>
      </x:c>
      <x:c r="E925" s="16" t="n">
        <x:v>46.54</x:v>
      </x:c>
      <x:c r="F925" s="6" t="str">
        <x:v>GROWTH</x:v>
      </x:c>
      <x:c r="G925" s="17" t="n">
        <x:f>'Scoring'!I925</x:f>
        <x:v>54.6</x:v>
      </x:c>
      <x:c r="H925" s="6" t="str">
        <x:v>SUPPORT</x:v>
      </x:c>
      <x:c r="I925" s="6" t="str">
        <x:v>gmc: Service and repair</x:v>
      </x:c>
      <x:c r="J925" s="6" t="str">
        <x:v>Secondary</x:v>
      </x:c>
      <x:c r="K925" s="6" t="str">
        <x:v>Commercial service enquiry</x:v>
      </x:c>
      <x:c r="L925" s="6" t="str">
        <x:v>High</x:v>
      </x:c>
      <x:c r="M925" s="6" t="str">
        <x:v>https://digitecme.com/brands/gmc-service-dubai</x:v>
      </x:c>
      <x:c r="N925" s="6" t="str">
        <x:v>Unknown — export has no query/page pairing</x:v>
      </x:c>
      <x:c r="O925" s="6" t="str">
        <x:v>Retain primary intent and support variants</x:v>
      </x:c>
      <x:c r="P925" s="6" t="str">
        <x:v>Average position 46.54 makes ranking the main issue; avoid a CTR-only rewrite.</x:v>
      </x:c>
      <x:c r="Q925" s="6" t="str">
        <x:v>gmc</x:v>
      </x:c>
      <x:c r="R925" s="6" t="str">
        <x:v>service-repair</x:v>
      </x:c>
      <x:c r="S925" s="6" t="str">
        <x:v>Near me; location unknown</x:v>
      </x:c>
      <x:c r="T925" s="6" t="n">
        <x:v>3</x:v>
      </x:c>
      <x:c r="U925" s="6" t="str">
        <x:v>40+</x:v>
      </x:c>
      <x:c r="V925" s="6" t="str">
        <x:v>Relevance, capability, indexing and authority review</x:v>
      </x:c>
      <x:c r="W925" s="6" t="str">
        <x:v>Relevant supporting</x:v>
      </x:c>
      <x:c r="X925" s="6" t="n">
        <x:v>921</x:v>
      </x:c>
      <x:c r="Y925" s="6" t="str">
        <x:v>Unconfirmed — joint query/page data required</x:v>
      </x:c>
    </x:row>
    <x:row r="926" ht="42" customHeight="1">
      <x:c r="A926" s="6" t="str">
        <x:v>luxury car paint protection film dubai</x:v>
      </x:c>
      <x:c r="B926" s="14" t="n">
        <x:v>0</x:v>
      </x:c>
      <x:c r="C926" s="14" t="n">
        <x:v>13</x:v>
      </x:c>
      <x:c r="D926" s="15" t="n">
        <x:v>0</x:v>
      </x:c>
      <x:c r="E926" s="16" t="n">
        <x:v>49.85</x:v>
      </x:c>
      <x:c r="F926" s="6" t="str">
        <x:v>GROWTH</x:v>
      </x:c>
      <x:c r="G926" s="17" t="n">
        <x:f>'Scoring'!I926</x:f>
        <x:v>62.6</x:v>
      </x:c>
      <x:c r="H926" s="6" t="str">
        <x:v>SUPPORT</x:v>
      </x:c>
      <x:c r="I926" s="6" t="str">
        <x:v>All vehicles: Paint protection film</x:v>
      </x:c>
      <x:c r="J926" s="6" t="str">
        <x:v>Secondary</x:v>
      </x:c>
      <x:c r="K926" s="6" t="str">
        <x:v>Commercial service enquiry</x:v>
      </x:c>
      <x:c r="L926" s="6" t="str">
        <x:v>High</x:v>
      </x:c>
      <x:c r="M926" s="6" t="str">
        <x:v>https://digitecme.com/services/paint-protection-film</x:v>
      </x:c>
      <x:c r="N926" s="6" t="str">
        <x:v>Unknown — export has no query/page pairing</x:v>
      </x:c>
      <x:c r="O926" s="6" t="str">
        <x:v>Retain primary intent and support variants</x:v>
      </x:c>
      <x:c r="P926" s="6" t="str">
        <x:v>Film intent belongs to the PPF page; vehicle and district terms are secondary context. Average position 49.85 makes ranking the main issue; avoid a CTR-only rewrite.</x:v>
      </x:c>
      <x:c r="Q926" s="6" t="str">
        <x:v>All vehicles</x:v>
      </x:c>
      <x:c r="R926" s="6" t="str">
        <x:v>ppf</x:v>
      </x:c>
      <x:c r="S926" s="6" t="str">
        <x:v>Dubai explicit</x:v>
      </x:c>
      <x:c r="T926" s="6" t="n">
        <x:v>5</x:v>
      </x:c>
      <x:c r="U926" s="6" t="str">
        <x:v>40+</x:v>
      </x:c>
      <x:c r="V926" s="6" t="str">
        <x:v>Relevance, capability, indexing and authority review</x:v>
      </x:c>
      <x:c r="W926" s="6" t="str">
        <x:v>Relevant supporting</x:v>
      </x:c>
      <x:c r="X926" s="6" t="n">
        <x:v>922</x:v>
      </x:c>
      <x:c r="Y926" s="6" t="str">
        <x:v>Unconfirmed — joint query/page data required</x:v>
      </x:c>
    </x:row>
    <x:row r="927" ht="57" customHeight="1">
      <x:c r="A927" s="6" t="str">
        <x:v>jeep car battery</x:v>
      </x:c>
      <x:c r="B927" s="14" t="n">
        <x:v>0</x:v>
      </x:c>
      <x:c r="C927" s="14" t="n">
        <x:v>13</x:v>
      </x:c>
      <x:c r="D927" s="15" t="n">
        <x:v>0</x:v>
      </x:c>
      <x:c r="E927" s="16" t="n">
        <x:v>50.69</x:v>
      </x:c>
      <x:c r="F927" s="6" t="str">
        <x:v>GROWTH</x:v>
      </x:c>
      <x:c r="G927" s="17" t="n">
        <x:f>'Scoring'!I927</x:f>
        <x:v>27.3</x:v>
      </x:c>
      <x:c r="H927" s="6" t="str">
        <x:v>SPLIT</x:v>
      </x:c>
      <x:c r="I927" s="6" t="str">
        <x:v>jeep: Battery service</x:v>
      </x:c>
      <x:c r="J927" s="6" t="str">
        <x:v>Secondary</x:v>
      </x:c>
      <x:c r="K927" s="6" t="str">
        <x:v>Commercial service enquiry</x:v>
      </x:c>
      <x:c r="L927" s="6" t="str">
        <x:v>Medium</x:v>
      </x:c>
      <x:c r="M927" s="6" t="str">
        <x:v>https://digitecme.com/brands/jeep-service-dubai/battery-replacement</x:v>
      </x:c>
      <x:c r="N927" s="6" t="str">
        <x:v>Unknown — export has no query/page pairing</x:v>
      </x:c>
      <x:c r="O927" s="6" t="str">
        <x:v>Use dedicated service owner</x:v>
      </x:c>
      <x:c r="P927" s="6" t="str">
        <x:v>Existing specific page is noindex; assess service evidence and distinct content before changing indexation. Average position 50.69 makes ranking the main issue; avoid a CTR-only rewrite.</x:v>
      </x:c>
      <x:c r="Q927" s="6" t="str">
        <x:v>jeep</x:v>
      </x:c>
      <x:c r="R927" s="6" t="str">
        <x:v>battery-replacement</x:v>
      </x:c>
      <x:c r="S927" s="6" t="str">
        <x:v>Location unspecified</x:v>
      </x:c>
      <x:c r="T927" s="6" t="n">
        <x:v>3</x:v>
      </x:c>
      <x:c r="U927" s="6" t="str">
        <x:v>40+</x:v>
      </x:c>
      <x:c r="V927" s="6" t="str">
        <x:v>Relevance, capability, indexing and authority review</x:v>
      </x:c>
      <x:c r="W927" s="6" t="str">
        <x:v>High-value commercial</x:v>
      </x:c>
      <x:c r="X927" s="6" t="n">
        <x:v>923</x:v>
      </x:c>
      <x:c r="Y927" s="6" t="str">
        <x:v>Unconfirmed — joint query/page data required</x:v>
      </x:c>
    </x:row>
    <x:row r="928" ht="42" customHeight="1">
      <x:c r="A928" s="6" t="str">
        <x:v>range rover body shop dubai</x:v>
      </x:c>
      <x:c r="B928" s="14" t="n">
        <x:v>0</x:v>
      </x:c>
      <x:c r="C928" s="14" t="n">
        <x:v>13</x:v>
      </x:c>
      <x:c r="D928" s="15" t="n">
        <x:v>0</x:v>
      </x:c>
      <x:c r="E928" s="16" t="n">
        <x:v>52.15</x:v>
      </x:c>
      <x:c r="F928" s="6" t="str">
        <x:v>GROWTH</x:v>
      </x:c>
      <x:c r="G928" s="17" t="n">
        <x:f>'Scoring'!I928</x:f>
        <x:v>62.6</x:v>
      </x:c>
      <x:c r="H928" s="6" t="str">
        <x:v>SPLIT</x:v>
      </x:c>
      <x:c r="I928" s="6" t="str">
        <x:v>range-rover: Body repair</x:v>
      </x:c>
      <x:c r="J928" s="6" t="str">
        <x:v>Secondary</x:v>
      </x:c>
      <x:c r="K928" s="6" t="str">
        <x:v>Commercial service enquiry</x:v>
      </x:c>
      <x:c r="L928" s="6" t="str">
        <x:v>High</x:v>
      </x:c>
      <x:c r="M928" s="6" t="str">
        <x:v>https://digitecme.com/brands/range-rover-service-dubai/body-repair</x:v>
      </x:c>
      <x:c r="N928" s="6" t="str">
        <x:v>Unknown — export has no query/page pairing</x:v>
      </x:c>
      <x:c r="O928" s="6" t="str">
        <x:v>Use dedicated service owner</x:v>
      </x:c>
      <x:c r="P928" s="6" t="str">
        <x:v>Average position 52.15 makes ranking the main issue; avoid a CTR-only rewrite.</x:v>
      </x:c>
      <x:c r="Q928" s="6" t="str">
        <x:v>range-rover</x:v>
      </x:c>
      <x:c r="R928" s="6" t="str">
        <x:v>body-repair</x:v>
      </x:c>
      <x:c r="S928" s="6" t="str">
        <x:v>Dubai explicit</x:v>
      </x:c>
      <x:c r="T928" s="6" t="n">
        <x:v>5</x:v>
      </x:c>
      <x:c r="U928" s="6" t="str">
        <x:v>40+</x:v>
      </x:c>
      <x:c r="V928" s="6" t="str">
        <x:v>Relevance, capability, indexing and authority review</x:v>
      </x:c>
      <x:c r="W928" s="6" t="str">
        <x:v>High-value commercial</x:v>
      </x:c>
      <x:c r="X928" s="6" t="n">
        <x:v>924</x:v>
      </x:c>
      <x:c r="Y928" s="6" t="str">
        <x:v>Unconfirmed — joint query/page data required</x:v>
      </x:c>
    </x:row>
    <x:row r="929" ht="42" customHeight="1">
      <x:c r="A929" s="6" t="str">
        <x:v>brabus repair dubai</x:v>
      </x:c>
      <x:c r="B929" s="14" t="n">
        <x:v>0</x:v>
      </x:c>
      <x:c r="C929" s="14" t="n">
        <x:v>13</x:v>
      </x:c>
      <x:c r="D929" s="15" t="n">
        <x:v>0</x:v>
      </x:c>
      <x:c r="E929" s="16" t="n">
        <x:v>52.23</x:v>
      </x:c>
      <x:c r="F929" s="6" t="str">
        <x:v>GROWTH</x:v>
      </x:c>
      <x:c r="G929" s="17" t="n">
        <x:f>'Scoring'!I929</x:f>
        <x:v>62.6</x:v>
      </x:c>
      <x:c r="H929" s="6" t="str">
        <x:v>SUPPORT</x:v>
      </x:c>
      <x:c r="I929" s="6" t="str">
        <x:v>mercedes-benz: Service and repair (English)</x:v>
      </x:c>
      <x:c r="J929" s="6" t="str">
        <x:v>Secondary</x:v>
      </x:c>
      <x:c r="K929" s="6" t="str">
        <x:v>Commercial service enquiry</x:v>
      </x:c>
      <x:c r="L929" s="6" t="str">
        <x:v>High</x:v>
      </x:c>
      <x:c r="M929" s="6" t="str">
        <x:v>https://digitecme.com/brands/mercedes-benz-service-dubai</x:v>
      </x:c>
      <x:c r="N929" s="6" t="str">
        <x:v>Unknown — export has no query/page pairing</x:v>
      </x:c>
      <x:c r="O929" s="6" t="str">
        <x:v>Retain primary intent and support variants</x:v>
      </x:c>
      <x:c r="P929" s="6" t="str">
        <x:v>Average position 52.23 makes ranking the main issue; avoid a CTR-only rewrite.</x:v>
      </x:c>
      <x:c r="Q929" s="6" t="str">
        <x:v>mercedes-benz</x:v>
      </x:c>
      <x:c r="R929" s="6" t="str">
        <x:v>service-repair</x:v>
      </x:c>
      <x:c r="S929" s="6" t="str">
        <x:v>Dubai explicit</x:v>
      </x:c>
      <x:c r="T929" s="6" t="n">
        <x:v>5</x:v>
      </x:c>
      <x:c r="U929" s="6" t="str">
        <x:v>40+</x:v>
      </x:c>
      <x:c r="V929" s="6" t="str">
        <x:v>Relevance, capability, indexing and authority review</x:v>
      </x:c>
      <x:c r="W929" s="6" t="str">
        <x:v>Relevant supporting</x:v>
      </x:c>
      <x:c r="X929" s="6" t="n">
        <x:v>925</x:v>
      </x:c>
      <x:c r="Y929" s="6" t="str">
        <x:v>Unconfirmed — joint query/page data required</x:v>
      </x:c>
    </x:row>
    <x:row r="930" ht="42" customHeight="1">
      <x:c r="A930" s="6" t="str">
        <x:v>nissan car battery</x:v>
      </x:c>
      <x:c r="B930" s="14" t="n">
        <x:v>0</x:v>
      </x:c>
      <x:c r="C930" s="14" t="n">
        <x:v>13</x:v>
      </x:c>
      <x:c r="D930" s="15" t="n">
        <x:v>0</x:v>
      </x:c>
      <x:c r="E930" s="16" t="n">
        <x:v>52.77</x:v>
      </x:c>
      <x:c r="F930" s="6" t="str">
        <x:v>GROWTH</x:v>
      </x:c>
      <x:c r="G930" s="17" t="n">
        <x:f>'Scoring'!I930</x:f>
        <x:v>49.6</x:v>
      </x:c>
      <x:c r="H930" s="6" t="str">
        <x:v>SPLIT</x:v>
      </x:c>
      <x:c r="I930" s="6" t="str">
        <x:v>nissan: Battery service</x:v>
      </x:c>
      <x:c r="J930" s="6" t="str">
        <x:v>Secondary</x:v>
      </x:c>
      <x:c r="K930" s="6" t="str">
        <x:v>Commercial service enquiry</x:v>
      </x:c>
      <x:c r="L930" s="6" t="str">
        <x:v>High</x:v>
      </x:c>
      <x:c r="M930" s="6" t="str">
        <x:v>https://digitecme.com/brands/nissan-service-dubai/battery-replacement</x:v>
      </x:c>
      <x:c r="N930" s="6" t="str">
        <x:v>Unknown — export has no query/page pairing</x:v>
      </x:c>
      <x:c r="O930" s="6" t="str">
        <x:v>Use dedicated service owner</x:v>
      </x:c>
      <x:c r="P930" s="6" t="str">
        <x:v>Average position 52.77 makes ranking the main issue; avoid a CTR-only rewrite.</x:v>
      </x:c>
      <x:c r="Q930" s="6" t="str">
        <x:v>nissan</x:v>
      </x:c>
      <x:c r="R930" s="6" t="str">
        <x:v>battery-replacement</x:v>
      </x:c>
      <x:c r="S930" s="6" t="str">
        <x:v>Location unspecified</x:v>
      </x:c>
      <x:c r="T930" s="6" t="n">
        <x:v>3</x:v>
      </x:c>
      <x:c r="U930" s="6" t="str">
        <x:v>40+</x:v>
      </x:c>
      <x:c r="V930" s="6" t="str">
        <x:v>Relevance, capability, indexing and authority review</x:v>
      </x:c>
      <x:c r="W930" s="6" t="str">
        <x:v>High-value commercial</x:v>
      </x:c>
      <x:c r="X930" s="6" t="n">
        <x:v>926</x:v>
      </x:c>
      <x:c r="Y930" s="6" t="str">
        <x:v>Unconfirmed — joint query/page data required</x:v>
      </x:c>
    </x:row>
    <x:row r="931" ht="42" customHeight="1">
      <x:c r="A931" s="6" t="str">
        <x:v>car air conditioner repair</x:v>
      </x:c>
      <x:c r="B931" s="14" t="n">
        <x:v>0</x:v>
      </x:c>
      <x:c r="C931" s="14" t="n">
        <x:v>13</x:v>
      </x:c>
      <x:c r="D931" s="15" t="n">
        <x:v>0</x:v>
      </x:c>
      <x:c r="E931" s="16" t="n">
        <x:v>53</x:v>
      </x:c>
      <x:c r="F931" s="6" t="str">
        <x:v>GROWTH</x:v>
      </x:c>
      <x:c r="G931" s="17" t="n">
        <x:f>'Scoring'!I931</x:f>
        <x:v>49.6</x:v>
      </x:c>
      <x:c r="H931" s="6" t="str">
        <x:v>SUPPORT</x:v>
      </x:c>
      <x:c r="I931" s="6" t="str">
        <x:v>All vehicles: AC repair</x:v>
      </x:c>
      <x:c r="J931" s="6" t="str">
        <x:v>Secondary</x:v>
      </x:c>
      <x:c r="K931" s="6" t="str">
        <x:v>Commercial service enquiry</x:v>
      </x:c>
      <x:c r="L931" s="6" t="str">
        <x:v>High</x:v>
      </x:c>
      <x:c r="M931" s="6" t="str">
        <x:v>https://digitecme.com/services/car-ac-repair-dubai</x:v>
      </x:c>
      <x:c r="N931" s="6" t="str">
        <x:v>Unknown — export has no query/page pairing</x:v>
      </x:c>
      <x:c r="O931" s="6" t="str">
        <x:v>Retain primary intent and support variants</x:v>
      </x:c>
      <x:c r="P931" s="6" t="str">
        <x:v>Average position 53.00 makes ranking the main issue; avoid a CTR-only rewrite.</x:v>
      </x:c>
      <x:c r="Q931" s="6" t="str">
        <x:v>All vehicles</x:v>
      </x:c>
      <x:c r="R931" s="6" t="str">
        <x:v>ac-repair</x:v>
      </x:c>
      <x:c r="S931" s="6" t="str">
        <x:v>Location unspecified</x:v>
      </x:c>
      <x:c r="T931" s="6" t="n">
        <x:v>3</x:v>
      </x:c>
      <x:c r="U931" s="6" t="str">
        <x:v>40+</x:v>
      </x:c>
      <x:c r="V931" s="6" t="str">
        <x:v>Relevance, capability, indexing and authority review</x:v>
      </x:c>
      <x:c r="W931" s="6" t="str">
        <x:v>Relevant supporting</x:v>
      </x:c>
      <x:c r="X931" s="6" t="n">
        <x:v>927</x:v>
      </x:c>
      <x:c r="Y931" s="6" t="str">
        <x:v>Unconfirmed — joint query/page data required</x:v>
      </x:c>
    </x:row>
    <x:row r="932" ht="42" customHeight="1">
      <x:c r="A932" s="6" t="str">
        <x:v>jaguar car service in dubai</x:v>
      </x:c>
      <x:c r="B932" s="14" t="n">
        <x:v>0</x:v>
      </x:c>
      <x:c r="C932" s="14" t="n">
        <x:v>13</x:v>
      </x:c>
      <x:c r="D932" s="15" t="n">
        <x:v>0</x:v>
      </x:c>
      <x:c r="E932" s="16" t="n">
        <x:v>54.38</x:v>
      </x:c>
      <x:c r="F932" s="6" t="str">
        <x:v>GROWTH</x:v>
      </x:c>
      <x:c r="G932" s="17" t="n">
        <x:f>'Scoring'!I932</x:f>
        <x:v>54.6</x:v>
      </x:c>
      <x:c r="H932" s="6" t="str">
        <x:v>SUPPORT</x:v>
      </x:c>
      <x:c r="I932" s="6" t="str">
        <x:v>jaguar: Service and repair</x:v>
      </x:c>
      <x:c r="J932" s="6" t="str">
        <x:v>Secondary</x:v>
      </x:c>
      <x:c r="K932" s="6" t="str">
        <x:v>Commercial service enquiry</x:v>
      </x:c>
      <x:c r="L932" s="6" t="str">
        <x:v>High</x:v>
      </x:c>
      <x:c r="M932" s="6" t="str">
        <x:v>https://digitecme.com/brands/jaguar-service-dubai</x:v>
      </x:c>
      <x:c r="N932" s="6" t="str">
        <x:v>Unknown — export has no query/page pairing</x:v>
      </x:c>
      <x:c r="O932" s="6" t="str">
        <x:v>Retain primary intent and support variants</x:v>
      </x:c>
      <x:c r="P932" s="6" t="str">
        <x:v>Average position 54.38 makes ranking the main issue; avoid a CTR-only rewrite.</x:v>
      </x:c>
      <x:c r="Q932" s="6" t="str">
        <x:v>jaguar</x:v>
      </x:c>
      <x:c r="R932" s="6" t="str">
        <x:v>service-repair</x:v>
      </x:c>
      <x:c r="S932" s="6" t="str">
        <x:v>Dubai explicit</x:v>
      </x:c>
      <x:c r="T932" s="6" t="n">
        <x:v>3</x:v>
      </x:c>
      <x:c r="U932" s="6" t="str">
        <x:v>40+</x:v>
      </x:c>
      <x:c r="V932" s="6" t="str">
        <x:v>Relevance, capability, indexing and authority review</x:v>
      </x:c>
      <x:c r="W932" s="6" t="str">
        <x:v>Relevant supporting</x:v>
      </x:c>
      <x:c r="X932" s="6" t="n">
        <x:v>928</x:v>
      </x:c>
      <x:c r="Y932" s="6" t="str">
        <x:v>Unconfirmed — joint query/page data required</x:v>
      </x:c>
    </x:row>
    <x:row r="933" ht="42" customHeight="1">
      <x:c r="A933" s="6" t="str">
        <x:v>dodge garage dubai</x:v>
      </x:c>
      <x:c r="B933" s="14" t="n">
        <x:v>0</x:v>
      </x:c>
      <x:c r="C933" s="14" t="n">
        <x:v>13</x:v>
      </x:c>
      <x:c r="D933" s="15" t="n">
        <x:v>0</x:v>
      </x:c>
      <x:c r="E933" s="16" t="n">
        <x:v>56.92</x:v>
      </x:c>
      <x:c r="F933" s="6" t="str">
        <x:v>GROWTH</x:v>
      </x:c>
      <x:c r="G933" s="17" t="n">
        <x:f>'Scoring'!I933</x:f>
        <x:v>54.6</x:v>
      </x:c>
      <x:c r="H933" s="6" t="str">
        <x:v>SUPPORT</x:v>
      </x:c>
      <x:c r="I933" s="6" t="str">
        <x:v>dodge: Service and repair (English)</x:v>
      </x:c>
      <x:c r="J933" s="6" t="str">
        <x:v>Secondary</x:v>
      </x:c>
      <x:c r="K933" s="6" t="str">
        <x:v>Commercial service enquiry</x:v>
      </x:c>
      <x:c r="L933" s="6" t="str">
        <x:v>High</x:v>
      </x:c>
      <x:c r="M933" s="6" t="str">
        <x:v>https://digitecme.com/brands/dodge-service-dubai</x:v>
      </x:c>
      <x:c r="N933" s="6" t="str">
        <x:v>Unknown — export has no query/page pairing</x:v>
      </x:c>
      <x:c r="O933" s="6" t="str">
        <x:v>Retain primary intent and support variants</x:v>
      </x:c>
      <x:c r="P933" s="6" t="str">
        <x:v>Average position 56.92 makes ranking the main issue; avoid a CTR-only rewrite.</x:v>
      </x:c>
      <x:c r="Q933" s="6" t="str">
        <x:v>dodge</x:v>
      </x:c>
      <x:c r="R933" s="6" t="str">
        <x:v>service-repair</x:v>
      </x:c>
      <x:c r="S933" s="6" t="str">
        <x:v>Dubai explicit</x:v>
      </x:c>
      <x:c r="T933" s="6" t="n">
        <x:v>3</x:v>
      </x:c>
      <x:c r="U933" s="6" t="str">
        <x:v>40+</x:v>
      </x:c>
      <x:c r="V933" s="6" t="str">
        <x:v>Relevance, capability, indexing and authority review</x:v>
      </x:c>
      <x:c r="W933" s="6" t="str">
        <x:v>Relevant supporting</x:v>
      </x:c>
      <x:c r="X933" s="6" t="n">
        <x:v>929</x:v>
      </x:c>
      <x:c r="Y933" s="6" t="str">
        <x:v>Unconfirmed — joint query/page data required</x:v>
      </x:c>
    </x:row>
    <x:row r="934" ht="42" customHeight="1">
      <x:c r="A934" s="6" t="str">
        <x:v>mazda service locations</x:v>
      </x:c>
      <x:c r="B934" s="14" t="n">
        <x:v>0</x:v>
      </x:c>
      <x:c r="C934" s="14" t="n">
        <x:v>13</x:v>
      </x:c>
      <x:c r="D934" s="15" t="n">
        <x:v>0</x:v>
      </x:c>
      <x:c r="E934" s="16" t="n">
        <x:v>58.54</x:v>
      </x:c>
      <x:c r="F934" s="6" t="str">
        <x:v>GROWTH</x:v>
      </x:c>
      <x:c r="G934" s="17" t="n">
        <x:f>'Scoring'!I934</x:f>
        <x:v>49.6</x:v>
      </x:c>
      <x:c r="H934" s="6" t="str">
        <x:v>SUPPORT</x:v>
      </x:c>
      <x:c r="I934" s="6" t="str">
        <x:v>mazda: Service and repair (English)</x:v>
      </x:c>
      <x:c r="J934" s="6" t="str">
        <x:v>Secondary</x:v>
      </x:c>
      <x:c r="K934" s="6" t="str">
        <x:v>Commercial service enquiry</x:v>
      </x:c>
      <x:c r="L934" s="6" t="str">
        <x:v>High</x:v>
      </x:c>
      <x:c r="M934" s="6" t="str">
        <x:v>https://digitecme.com/brands/mazda-service-dubai</x:v>
      </x:c>
      <x:c r="N934" s="6" t="str">
        <x:v>Unknown — export has no query/page pairing</x:v>
      </x:c>
      <x:c r="O934" s="6" t="str">
        <x:v>Retain primary intent and support variants</x:v>
      </x:c>
      <x:c r="P934" s="6" t="str">
        <x:v>Average position 58.54 makes ranking the main issue; avoid a CTR-only rewrite.</x:v>
      </x:c>
      <x:c r="Q934" s="6" t="str">
        <x:v>mazda</x:v>
      </x:c>
      <x:c r="R934" s="6" t="str">
        <x:v>service-repair</x:v>
      </x:c>
      <x:c r="S934" s="6" t="str">
        <x:v>Location unspecified</x:v>
      </x:c>
      <x:c r="T934" s="6" t="n">
        <x:v>3</x:v>
      </x:c>
      <x:c r="U934" s="6" t="str">
        <x:v>40+</x:v>
      </x:c>
      <x:c r="V934" s="6" t="str">
        <x:v>Relevance, capability, indexing and authority review</x:v>
      </x:c>
      <x:c r="W934" s="6" t="str">
        <x:v>Relevant supporting</x:v>
      </x:c>
      <x:c r="X934" s="6" t="n">
        <x:v>930</x:v>
      </x:c>
      <x:c r="Y934" s="6" t="str">
        <x:v>Unconfirmed — joint query/page data required</x:v>
      </x:c>
    </x:row>
    <x:row r="935" ht="42" customHeight="1">
      <x:c r="A935" s="6" t="str">
        <x:v>car garages dubai</x:v>
      </x:c>
      <x:c r="B935" s="14" t="n">
        <x:v>0</x:v>
      </x:c>
      <x:c r="C935" s="14" t="n">
        <x:v>13</x:v>
      </x:c>
      <x:c r="D935" s="15" t="n">
        <x:v>0</x:v>
      </x:c>
      <x:c r="E935" s="16" t="n">
        <x:v>67.38</x:v>
      </x:c>
      <x:c r="F935" s="6" t="str">
        <x:v>GROWTH</x:v>
      </x:c>
      <x:c r="G935" s="17" t="n">
        <x:f>'Scoring'!I935</x:f>
        <x:v>54.6</x:v>
      </x:c>
      <x:c r="H935" s="6" t="str">
        <x:v>SUPPORT</x:v>
      </x:c>
      <x:c r="I935" s="6" t="str">
        <x:v>All vehicles: General garage and repair (English)</x:v>
      </x:c>
      <x:c r="J935" s="6" t="str">
        <x:v>Secondary</x:v>
      </x:c>
      <x:c r="K935" s="6" t="str">
        <x:v>Commercial service enquiry</x:v>
      </x:c>
      <x:c r="L935" s="6" t="str">
        <x:v>High</x:v>
      </x:c>
      <x:c r="M935" s="6" t="str">
        <x:v>https://digitecme.com/services/car-garage-dubai</x:v>
      </x:c>
      <x:c r="N935" s="6" t="str">
        <x:v>Unknown — export has no query/page pairing</x:v>
      </x:c>
      <x:c r="O935" s="6" t="str">
        <x:v>Retain primary intent and support variants</x:v>
      </x:c>
      <x:c r="P935" s="6" t="str">
        <x:v>Average position 67.38 makes ranking the main issue; avoid a CTR-only rewrite.</x:v>
      </x:c>
      <x:c r="Q935" s="6" t="str">
        <x:v>All vehicles</x:v>
      </x:c>
      <x:c r="R935" s="6" t="str">
        <x:v>service-repair</x:v>
      </x:c>
      <x:c r="S935" s="6" t="str">
        <x:v>Dubai explicit</x:v>
      </x:c>
      <x:c r="T935" s="6" t="n">
        <x:v>3</x:v>
      </x:c>
      <x:c r="U935" s="6" t="str">
        <x:v>40+</x:v>
      </x:c>
      <x:c r="V935" s="6" t="str">
        <x:v>Relevance, capability, indexing and authority review</x:v>
      </x:c>
      <x:c r="W935" s="6" t="str">
        <x:v>Relevant supporting</x:v>
      </x:c>
      <x:c r="X935" s="6" t="n">
        <x:v>931</x:v>
      </x:c>
      <x:c r="Y935" s="6" t="str">
        <x:v>Unconfirmed — joint query/page data required</x:v>
      </x:c>
    </x:row>
    <x:row r="936" ht="42" customHeight="1">
      <x:c r="A936" s="6" t="str">
        <x:v>auto service dubai</x:v>
      </x:c>
      <x:c r="B936" s="14" t="n">
        <x:v>0</x:v>
      </x:c>
      <x:c r="C936" s="14" t="n">
        <x:v>13</x:v>
      </x:c>
      <x:c r="D936" s="15" t="n">
        <x:v>0</x:v>
      </x:c>
      <x:c r="E936" s="16" t="n">
        <x:v>90.62</x:v>
      </x:c>
      <x:c r="F936" s="6" t="str">
        <x:v>GROWTH</x:v>
      </x:c>
      <x:c r="G936" s="17" t="n">
        <x:f>'Scoring'!I936</x:f>
        <x:v>54.6</x:v>
      </x:c>
      <x:c r="H936" s="6" t="str">
        <x:v>SUPPORT</x:v>
      </x:c>
      <x:c r="I936" s="6" t="str">
        <x:v>All vehicles: Scheduled car service</x:v>
      </x:c>
      <x:c r="J936" s="6" t="str">
        <x:v>Secondary</x:v>
      </x:c>
      <x:c r="K936" s="6" t="str">
        <x:v>Commercial service enquiry</x:v>
      </x:c>
      <x:c r="L936" s="6" t="str">
        <x:v>High</x:v>
      </x:c>
      <x:c r="M936" s="6" t="str">
        <x:v>https://digitecme.com/services/car-service-dubai</x:v>
      </x:c>
      <x:c r="N936" s="6" t="str">
        <x:v>Unknown — export has no query/page pairing</x:v>
      </x:c>
      <x:c r="O936" s="6" t="str">
        <x:v>Retain primary intent and support variants</x:v>
      </x:c>
      <x:c r="P936" s="6" t="str">
        <x:v>Average position 90.62 makes ranking the main issue; avoid a CTR-only rewrite.</x:v>
      </x:c>
      <x:c r="Q936" s="6" t="str">
        <x:v>All vehicles</x:v>
      </x:c>
      <x:c r="R936" s="6" t="str">
        <x:v>service-repair</x:v>
      </x:c>
      <x:c r="S936" s="6" t="str">
        <x:v>Dubai explicit</x:v>
      </x:c>
      <x:c r="T936" s="6" t="n">
        <x:v>3</x:v>
      </x:c>
      <x:c r="U936" s="6" t="str">
        <x:v>40+</x:v>
      </x:c>
      <x:c r="V936" s="6" t="str">
        <x:v>Relevance, capability, indexing and authority review</x:v>
      </x:c>
      <x:c r="W936" s="6" t="str">
        <x:v>Relevant supporting</x:v>
      </x:c>
      <x:c r="X936" s="6" t="n">
        <x:v>932</x:v>
      </x:c>
      <x:c r="Y936" s="6" t="str">
        <x:v>Unconfirmed — joint query/page data required</x:v>
      </x:c>
    </x:row>
    <x:row r="937" ht="42" customHeight="1">
      <x:c r="A937" s="6" t="str">
        <x:v>silencer welding shop near me</x:v>
      </x:c>
      <x:c r="B937" s="14" t="n">
        <x:v>0</x:v>
      </x:c>
      <x:c r="C937" s="14" t="n">
        <x:v>12</x:v>
      </x:c>
      <x:c r="D937" s="15" t="n">
        <x:v>0</x:v>
      </x:c>
      <x:c r="E937" s="16" t="n">
        <x:v>5.75</x:v>
      </x:c>
      <x:c r="F937" s="6" t="str">
        <x:v>HIGH</x:v>
      </x:c>
      <x:c r="G937" s="17" t="n">
        <x:f>'Scoring'!I937</x:f>
        <x:v>75.7</x:v>
      </x:c>
      <x:c r="H937" s="6" t="str">
        <x:v>SUPPORT</x:v>
      </x:c>
      <x:c r="I937" s="6" t="str">
        <x:v>All vehicles: Exhaust repair</x:v>
      </x:c>
      <x:c r="J937" s="6" t="str">
        <x:v>Secondary</x:v>
      </x:c>
      <x:c r="K937" s="6" t="str">
        <x:v>Commercial service enquiry</x:v>
      </x:c>
      <x:c r="L937" s="6" t="str">
        <x:v>High</x:v>
      </x:c>
      <x:c r="M937" s="6" t="str">
        <x:v>https://digitecme.com/services/exhaust-repair-dubai</x:v>
      </x:c>
      <x:c r="N937" s="6" t="str">
        <x:v>Unknown — export has no query/page pairing</x:v>
      </x:c>
      <x:c r="O937" s="6" t="str">
        <x:v>Retain primary intent and support variants</x:v>
      </x:c>
      <x:c r="P937" s="6" t="str">
        <x:v>Zero clicks from 12 impressions at average position 5.75; inspect query/page, country/device and SERP before attributing this to the snippet.</x:v>
      </x:c>
      <x:c r="Q937" s="6" t="str">
        <x:v>All vehicles</x:v>
      </x:c>
      <x:c r="R937" s="6" t="str">
        <x:v>exhaust-repair</x:v>
      </x:c>
      <x:c r="S937" s="6" t="str">
        <x:v>Near me; location unknown</x:v>
      </x:c>
      <x:c r="T937" s="6" t="n">
        <x:v>3</x:v>
      </x:c>
      <x:c r="U937" s="6" t="str">
        <x:v>4–10</x:v>
      </x:c>
      <x:c r="V937" s="6" t="str">
        <x:v>Page-one CTR review and top-three relevance</x:v>
      </x:c>
      <x:c r="W937" s="6" t="str">
        <x:v>Relevant supporting</x:v>
      </x:c>
      <x:c r="X937" s="6" t="n">
        <x:v>933</x:v>
      </x:c>
      <x:c r="Y937" s="6" t="str">
        <x:v>Unconfirmed — joint query/page data required</x:v>
      </x:c>
    </x:row>
    <x:row r="938" ht="42" customHeight="1">
      <x:c r="A938" s="6" t="str">
        <x:v>maserati workshop</x:v>
      </x:c>
      <x:c r="B938" s="14" t="n">
        <x:v>0</x:v>
      </x:c>
      <x:c r="C938" s="14" t="n">
        <x:v>12</x:v>
      </x:c>
      <x:c r="D938" s="15" t="n">
        <x:v>0</x:v>
      </x:c>
      <x:c r="E938" s="16" t="n">
        <x:v>6.42</x:v>
      </x:c>
      <x:c r="F938" s="6" t="str">
        <x:v>HIGH</x:v>
      </x:c>
      <x:c r="G938" s="17" t="n">
        <x:f>'Scoring'!I938</x:f>
        <x:v>78.7</x:v>
      </x:c>
      <x:c r="H938" s="6" t="str">
        <x:v>SUPPORT</x:v>
      </x:c>
      <x:c r="I938" s="6" t="str">
        <x:v>maserati: Service and repair (English)</x:v>
      </x:c>
      <x:c r="J938" s="6" t="str">
        <x:v>Secondary</x:v>
      </x:c>
      <x:c r="K938" s="6" t="str">
        <x:v>Commercial service enquiry</x:v>
      </x:c>
      <x:c r="L938" s="6" t="str">
        <x:v>High</x:v>
      </x:c>
      <x:c r="M938" s="6" t="str">
        <x:v>https://digitecme.com/brands/maserati-service-dubai</x:v>
      </x:c>
      <x:c r="N938" s="6" t="str">
        <x:v>Unknown — export has no query/page pairing</x:v>
      </x:c>
      <x:c r="O938" s="6" t="str">
        <x:v>Retain primary intent and support variants</x:v>
      </x:c>
      <x:c r="P938" s="6" t="str">
        <x:v>Zero clicks from 12 impressions at average position 6.42; inspect query/page, country/device and SERP before attributing this to the snippet.</x:v>
      </x:c>
      <x:c r="Q938" s="6" t="str">
        <x:v>maserati</x:v>
      </x:c>
      <x:c r="R938" s="6" t="str">
        <x:v>service-repair</x:v>
      </x:c>
      <x:c r="S938" s="6" t="str">
        <x:v>Location unspecified</x:v>
      </x:c>
      <x:c r="T938" s="6" t="n">
        <x:v>5</x:v>
      </x:c>
      <x:c r="U938" s="6" t="str">
        <x:v>4–10</x:v>
      </x:c>
      <x:c r="V938" s="6" t="str">
        <x:v>Page-one CTR review and top-three relevance</x:v>
      </x:c>
      <x:c r="W938" s="6" t="str">
        <x:v>Relevant supporting</x:v>
      </x:c>
      <x:c r="X938" s="6" t="n">
        <x:v>934</x:v>
      </x:c>
      <x:c r="Y938" s="6" t="str">
        <x:v>Unconfirmed — joint query/page data required</x:v>
      </x:c>
    </x:row>
    <x:row r="939" ht="42" customHeight="1">
      <x:c r="A939" s="6" t="str">
        <x:v>land rover workshop</x:v>
      </x:c>
      <x:c r="B939" s="14" t="n">
        <x:v>0</x:v>
      </x:c>
      <x:c r="C939" s="14" t="n">
        <x:v>12</x:v>
      </x:c>
      <x:c r="D939" s="15" t="n">
        <x:v>0</x:v>
      </x:c>
      <x:c r="E939" s="16" t="n">
        <x:v>6.5</x:v>
      </x:c>
      <x:c r="F939" s="6" t="str">
        <x:v>HIGH</x:v>
      </x:c>
      <x:c r="G939" s="17" t="n">
        <x:f>'Scoring'!I939</x:f>
        <x:v>78.7</x:v>
      </x:c>
      <x:c r="H939" s="6" t="str">
        <x:v>SUPPORT</x:v>
      </x:c>
      <x:c r="I939" s="6" t="str">
        <x:v>land-rover: Service and repair</x:v>
      </x:c>
      <x:c r="J939" s="6" t="str">
        <x:v>Secondary</x:v>
      </x:c>
      <x:c r="K939" s="6" t="str">
        <x:v>Commercial service enquiry</x:v>
      </x:c>
      <x:c r="L939" s="6" t="str">
        <x:v>High</x:v>
      </x:c>
      <x:c r="M939" s="6" t="str">
        <x:v>https://digitecme.com/brands/land-rover-service-dubai</x:v>
      </x:c>
      <x:c r="N939" s="6" t="str">
        <x:v>Unknown — export has no query/page pairing</x:v>
      </x:c>
      <x:c r="O939" s="6" t="str">
        <x:v>Retain primary intent and support variants</x:v>
      </x:c>
      <x:c r="P939" s="6" t="str">
        <x:v>Zero clicks from 12 impressions at average position 6.50; inspect query/page, country/device and SERP before attributing this to the snippet.</x:v>
      </x:c>
      <x:c r="Q939" s="6" t="str">
        <x:v>land-rover</x:v>
      </x:c>
      <x:c r="R939" s="6" t="str">
        <x:v>service-repair</x:v>
      </x:c>
      <x:c r="S939" s="6" t="str">
        <x:v>Location unspecified</x:v>
      </x:c>
      <x:c r="T939" s="6" t="n">
        <x:v>5</x:v>
      </x:c>
      <x:c r="U939" s="6" t="str">
        <x:v>4–10</x:v>
      </x:c>
      <x:c r="V939" s="6" t="str">
        <x:v>Page-one CTR review and top-three relevance</x:v>
      </x:c>
      <x:c r="W939" s="6" t="str">
        <x:v>Relevant supporting</x:v>
      </x:c>
      <x:c r="X939" s="6" t="n">
        <x:v>935</x:v>
      </x:c>
      <x:c r="Y939" s="6" t="str">
        <x:v>Unconfirmed — joint query/page data required</x:v>
      </x:c>
    </x:row>
    <x:row r="940" ht="57" customHeight="1">
      <x:c r="A940" s="6" t="str">
        <x:v>rox 01 soft close door</x:v>
      </x:c>
      <x:c r="B940" s="14" t="n">
        <x:v>0</x:v>
      </x:c>
      <x:c r="C940" s="14" t="n">
        <x:v>12</x:v>
      </x:c>
      <x:c r="D940" s="15" t="n">
        <x:v>0</x:v>
      </x:c>
      <x:c r="E940" s="16" t="n">
        <x:v>7.25</x:v>
      </x:c>
      <x:c r="F940" s="6" t="str">
        <x:v>HIGH</x:v>
      </x:c>
      <x:c r="G940" s="17" t="n">
        <x:f>'Scoring'!I940</x:f>
        <x:v>41.1</x:v>
      </x:c>
      <x:c r="H940" s="6" t="str">
        <x:v>SPLIT</x:v>
      </x:c>
      <x:c r="I940" s="6" t="str">
        <x:v>rox: Soft close doors</x:v>
      </x:c>
      <x:c r="J940" s="6" t="str">
        <x:v>Secondary</x:v>
      </x:c>
      <x:c r="K940" s="6" t="str">
        <x:v>Commercial service enquiry</x:v>
      </x:c>
      <x:c r="L940" s="6" t="str">
        <x:v>Medium</x:v>
      </x:c>
      <x:c r="M940" s="6" t="str">
        <x:v>https://digitecme.com/brands/rox-service-dubai/soft-close-door-installation</x:v>
      </x:c>
      <x:c r="N940" s="6" t="str">
        <x:v>Unknown — export has no query/page pairing</x:v>
      </x:c>
      <x:c r="O940" s="6" t="str">
        <x:v>Use dedicated service owner</x:v>
      </x:c>
      <x:c r="P940" s="6" t="str">
        <x:v>Existing specific page is noindex; assess service evidence and distinct content before changing indexation. Zero clicks from 12 impressions at average position 7.25; inspect query/page, country/device and SERP before attributing this to the snippet.</x:v>
      </x:c>
      <x:c r="Q940" s="6" t="str">
        <x:v>rox</x:v>
      </x:c>
      <x:c r="R940" s="6" t="str">
        <x:v>soft-close-door-installation</x:v>
      </x:c>
      <x:c r="S940" s="6" t="str">
        <x:v>Location unspecified</x:v>
      </x:c>
      <x:c r="T940" s="6" t="n">
        <x:v>3</x:v>
      </x:c>
      <x:c r="U940" s="6" t="str">
        <x:v>4–10</x:v>
      </x:c>
      <x:c r="V940" s="6" t="str">
        <x:v>Page-one CTR review and top-three relevance</x:v>
      </x:c>
      <x:c r="W940" s="6" t="str">
        <x:v>High-value commercial</x:v>
      </x:c>
      <x:c r="X940" s="6" t="n">
        <x:v>936</x:v>
      </x:c>
      <x:c r="Y940" s="6" t="str">
        <x:v>Unconfirmed — joint query/page data required</x:v>
      </x:c>
    </x:row>
    <x:row r="941" ht="42" customHeight="1">
      <x:c r="A941" s="6" t="str">
        <x:v>chevrolet workshop</x:v>
      </x:c>
      <x:c r="B941" s="14" t="n">
        <x:v>0</x:v>
      </x:c>
      <x:c r="C941" s="14" t="n">
        <x:v>12</x:v>
      </x:c>
      <x:c r="D941" s="15" t="n">
        <x:v>0</x:v>
      </x:c>
      <x:c r="E941" s="16" t="n">
        <x:v>7.5</x:v>
      </x:c>
      <x:c r="F941" s="6" t="str">
        <x:v>HIGH</x:v>
      </x:c>
      <x:c r="G941" s="17" t="n">
        <x:f>'Scoring'!I941</x:f>
        <x:v>70.7</x:v>
      </x:c>
      <x:c r="H941" s="6" t="str">
        <x:v>SUPPORT</x:v>
      </x:c>
      <x:c r="I941" s="6" t="str">
        <x:v>chevrolet: Service and repair</x:v>
      </x:c>
      <x:c r="J941" s="6" t="str">
        <x:v>Secondary</x:v>
      </x:c>
      <x:c r="K941" s="6" t="str">
        <x:v>Commercial service enquiry</x:v>
      </x:c>
      <x:c r="L941" s="6" t="str">
        <x:v>High</x:v>
      </x:c>
      <x:c r="M941" s="6" t="str">
        <x:v>https://digitecme.com/brands/chevrolet-service-dubai</x:v>
      </x:c>
      <x:c r="N941" s="6" t="str">
        <x:v>Unknown — export has no query/page pairing</x:v>
      </x:c>
      <x:c r="O941" s="6" t="str">
        <x:v>Retain primary intent and support variants</x:v>
      </x:c>
      <x:c r="P941" s="6" t="str">
        <x:v>Zero clicks from 12 impressions at average position 7.50; inspect query/page, country/device and SERP before attributing this to the snippet.</x:v>
      </x:c>
      <x:c r="Q941" s="6" t="str">
        <x:v>chevrolet</x:v>
      </x:c>
      <x:c r="R941" s="6" t="str">
        <x:v>service-repair</x:v>
      </x:c>
      <x:c r="S941" s="6" t="str">
        <x:v>Location unspecified</x:v>
      </x:c>
      <x:c r="T941" s="6" t="n">
        <x:v>3</x:v>
      </x:c>
      <x:c r="U941" s="6" t="str">
        <x:v>4–10</x:v>
      </x:c>
      <x:c r="V941" s="6" t="str">
        <x:v>Page-one CTR review and top-three relevance</x:v>
      </x:c>
      <x:c r="W941" s="6" t="str">
        <x:v>Relevant supporting</x:v>
      </x:c>
      <x:c r="X941" s="6" t="n">
        <x:v>937</x:v>
      </x:c>
      <x:c r="Y941" s="6" t="str">
        <x:v>Unconfirmed — joint query/page data required</x:v>
      </x:c>
    </x:row>
    <x:row r="942" ht="57" customHeight="1">
      <x:c r="A942" s="6" t="str">
        <x:v>engine tuning near me</x:v>
      </x:c>
      <x:c r="B942" s="14" t="n">
        <x:v>0</x:v>
      </x:c>
      <x:c r="C942" s="14" t="n">
        <x:v>12</x:v>
      </x:c>
      <x:c r="D942" s="15" t="n">
        <x:v>0</x:v>
      </x:c>
      <x:c r="E942" s="16" t="n">
        <x:v>7.92</x:v>
      </x:c>
      <x:c r="F942" s="6" t="str">
        <x:v>HIGH</x:v>
      </x:c>
      <x:c r="G942" s="17" t="n">
        <x:f>'Scoring'!I942</x:f>
        <x:v>83.7</x:v>
      </x:c>
      <x:c r="H942" s="6" t="str">
        <x:v>SUPPORT</x:v>
      </x:c>
      <x:c r="I942" s="6" t="str">
        <x:v>All vehicles: Performance tuning</x:v>
      </x:c>
      <x:c r="J942" s="6" t="str">
        <x:v>Secondary</x:v>
      </x:c>
      <x:c r="K942" s="6" t="str">
        <x:v>Commercial service enquiry</x:v>
      </x:c>
      <x:c r="L942" s="6" t="str">
        <x:v>High</x:v>
      </x:c>
      <x:c r="M942" s="6" t="str">
        <x:v>https://digitecme.com/tuning</x:v>
      </x:c>
      <x:c r="N942" s="6" t="str">
        <x:v>Unknown — export has no query/page pairing</x:v>
      </x:c>
      <x:c r="O942" s="6" t="str">
        <x:v>Retain primary intent and support variants</x:v>
      </x:c>
      <x:c r="P942" s="6" t="str">
        <x:v>Use the existing tuning page; model scope and any GAD relationship require verified facts. Zero clicks from 12 impressions at average position 7.92; inspect query/page, country/device and SERP before attributing this to the snippet.</x:v>
      </x:c>
      <x:c r="Q942" s="6" t="str">
        <x:v>All vehicles</x:v>
      </x:c>
      <x:c r="R942" s="6" t="str">
        <x:v>tuning</x:v>
      </x:c>
      <x:c r="S942" s="6" t="str">
        <x:v>Near me; location unknown</x:v>
      </x:c>
      <x:c r="T942" s="6" t="n">
        <x:v>5</x:v>
      </x:c>
      <x:c r="U942" s="6" t="str">
        <x:v>4–10</x:v>
      </x:c>
      <x:c r="V942" s="6" t="str">
        <x:v>Page-one CTR review and top-three relevance</x:v>
      </x:c>
      <x:c r="W942" s="6" t="str">
        <x:v>Relevant supporting</x:v>
      </x:c>
      <x:c r="X942" s="6" t="n">
        <x:v>938</x:v>
      </x:c>
      <x:c r="Y942" s="6" t="str">
        <x:v>Unconfirmed — joint query/page data required</x:v>
      </x:c>
    </x:row>
    <x:row r="943" ht="42" customHeight="1">
      <x:c r="A943" s="6" t="str">
        <x:v>car programming near me</x:v>
      </x:c>
      <x:c r="B943" s="14" t="n">
        <x:v>0</x:v>
      </x:c>
      <x:c r="C943" s="14" t="n">
        <x:v>12</x:v>
      </x:c>
      <x:c r="D943" s="15" t="n">
        <x:v>0</x:v>
      </x:c>
      <x:c r="E943" s="16" t="n">
        <x:v>9.5</x:v>
      </x:c>
      <x:c r="F943" s="6" t="str">
        <x:v>HIGH</x:v>
      </x:c>
      <x:c r="G943" s="17" t="n">
        <x:f>'Scoring'!I943</x:f>
        <x:v>75.7</x:v>
      </x:c>
      <x:c r="H943" s="6" t="str">
        <x:v>SUPPORT</x:v>
      </x:c>
      <x:c r="I943" s="6" t="str">
        <x:v>All vehicles: Diagnostics and supported coding</x:v>
      </x:c>
      <x:c r="J943" s="6" t="str">
        <x:v>Secondary</x:v>
      </x:c>
      <x:c r="K943" s="6" t="str">
        <x:v>Commercial service enquiry</x:v>
      </x:c>
      <x:c r="L943" s="6" t="str">
        <x:v>High</x:v>
      </x:c>
      <x:c r="M943" s="6" t="str">
        <x:v>https://digitecme.com/services/car-diagnostics-dubai</x:v>
      </x:c>
      <x:c r="N943" s="6" t="str">
        <x:v>Unknown — export has no query/page pairing</x:v>
      </x:c>
      <x:c r="O943" s="6" t="str">
        <x:v>Retain primary intent and support variants</x:v>
      </x:c>
      <x:c r="P943" s="6" t="str">
        <x:v>Zero clicks from 12 impressions at average position 9.50; inspect query/page, country/device and SERP before attributing this to the snippet.</x:v>
      </x:c>
      <x:c r="Q943" s="6" t="str">
        <x:v>All vehicles</x:v>
      </x:c>
      <x:c r="R943" s="6" t="str">
        <x:v>engine-diagnostics</x:v>
      </x:c>
      <x:c r="S943" s="6" t="str">
        <x:v>Near me; location unknown</x:v>
      </x:c>
      <x:c r="T943" s="6" t="n">
        <x:v>3</x:v>
      </x:c>
      <x:c r="U943" s="6" t="str">
        <x:v>4–10</x:v>
      </x:c>
      <x:c r="V943" s="6" t="str">
        <x:v>Page-one CTR review and top-three relevance</x:v>
      </x:c>
      <x:c r="W943" s="6" t="str">
        <x:v>Relevant supporting</x:v>
      </x:c>
      <x:c r="X943" s="6" t="n">
        <x:v>939</x:v>
      </x:c>
      <x:c r="Y943" s="6" t="str">
        <x:v>Unconfirmed — joint query/page data required</x:v>
      </x:c>
    </x:row>
    <x:row r="944" ht="57" customHeight="1">
      <x:c r="A944" s="6" t="str">
        <x:v>near me puncher shop</x:v>
      </x:c>
      <x:c r="B944" s="14" t="n">
        <x:v>0</x:v>
      </x:c>
      <x:c r="C944" s="14" t="n">
        <x:v>12</x:v>
      </x:c>
      <x:c r="D944" s="15" t="n">
        <x:v>0</x:v>
      </x:c>
      <x:c r="E944" s="16" t="n">
        <x:v>9.58</x:v>
      </x:c>
      <x:c r="F944" s="6" t="str">
        <x:v>GROWTH</x:v>
      </x:c>
      <x:c r="G944" s="17" t="n">
        <x:f>'Scoring'!I944</x:f>
        <x:v>71.7</x:v>
      </x:c>
      <x:c r="H944" s="6" t="str">
        <x:v>SUPPORT</x:v>
      </x:c>
      <x:c r="I944" s="6" t="str">
        <x:v>All vehicles: Tyre repair</x:v>
      </x:c>
      <x:c r="J944" s="6" t="str">
        <x:v>Secondary</x:v>
      </x:c>
      <x:c r="K944" s="6" t="str">
        <x:v>Commercial service enquiry</x:v>
      </x:c>
      <x:c r="L944" s="6" t="str">
        <x:v>High</x:v>
      </x:c>
      <x:c r="M944" s="6" t="str">
        <x:v>https://digitecme.com/services/tire-repair-dubai</x:v>
      </x:c>
      <x:c r="N944" s="6" t="str">
        <x:v>Unknown — export has no query/page pairing</x:v>
      </x:c>
      <x:c r="O944" s="6" t="str">
        <x:v>Retain primary intent and support variants</x:v>
      </x:c>
      <x:c r="P944" s="6" t="str">
        <x:v>Relevant workshop tyre enquiry with lower assumed value than specialist repair; no mobile or roadside claim. Zero clicks from 12 impressions at average position 9.58; inspect query/page, country/device and SERP before attributing this to the snippet.</x:v>
      </x:c>
      <x:c r="Q944" s="6" t="str">
        <x:v>All vehicles</x:v>
      </x:c>
      <x:c r="R944" s="6" t="str">
        <x:v>tire-repair</x:v>
      </x:c>
      <x:c r="S944" s="6" t="str">
        <x:v>Near me; location unknown</x:v>
      </x:c>
      <x:c r="T944" s="6" t="n">
        <x:v>2</x:v>
      </x:c>
      <x:c r="U944" s="6" t="str">
        <x:v>4–10</x:v>
      </x:c>
      <x:c r="V944" s="6" t="str">
        <x:v>Page-one CTR review and top-three relevance</x:v>
      </x:c>
      <x:c r="W944" s="6" t="str">
        <x:v>Relevant supporting</x:v>
      </x:c>
      <x:c r="X944" s="6" t="n">
        <x:v>940</x:v>
      </x:c>
      <x:c r="Y944" s="6" t="str">
        <x:v>Unconfirmed — joint query/page data required</x:v>
      </x:c>
    </x:row>
    <x:row r="945" ht="42" customHeight="1">
      <x:c r="A945" s="6" t="str">
        <x:v>ford workshop</x:v>
      </x:c>
      <x:c r="B945" s="14" t="n">
        <x:v>0</x:v>
      </x:c>
      <x:c r="C945" s="14" t="n">
        <x:v>12</x:v>
      </x:c>
      <x:c r="D945" s="15" t="n">
        <x:v>0</x:v>
      </x:c>
      <x:c r="E945" s="16" t="n">
        <x:v>9.67</x:v>
      </x:c>
      <x:c r="F945" s="6" t="str">
        <x:v>HIGH</x:v>
      </x:c>
      <x:c r="G945" s="17" t="n">
        <x:f>'Scoring'!I945</x:f>
        <x:v>70.7</x:v>
      </x:c>
      <x:c r="H945" s="6" t="str">
        <x:v>SUPPORT</x:v>
      </x:c>
      <x:c r="I945" s="6" t="str">
        <x:v>ford: Service and repair (English)</x:v>
      </x:c>
      <x:c r="J945" s="6" t="str">
        <x:v>Secondary</x:v>
      </x:c>
      <x:c r="K945" s="6" t="str">
        <x:v>Commercial service enquiry</x:v>
      </x:c>
      <x:c r="L945" s="6" t="str">
        <x:v>High</x:v>
      </x:c>
      <x:c r="M945" s="6" t="str">
        <x:v>https://digitecme.com/brands/ford-service-dubai</x:v>
      </x:c>
      <x:c r="N945" s="6" t="str">
        <x:v>Unknown — export has no query/page pairing</x:v>
      </x:c>
      <x:c r="O945" s="6" t="str">
        <x:v>Retain primary intent and support variants</x:v>
      </x:c>
      <x:c r="P945" s="6" t="str">
        <x:v>Zero clicks from 12 impressions at average position 9.67; inspect query/page, country/device and SERP before attributing this to the snippet.</x:v>
      </x:c>
      <x:c r="Q945" s="6" t="str">
        <x:v>ford</x:v>
      </x:c>
      <x:c r="R945" s="6" t="str">
        <x:v>service-repair</x:v>
      </x:c>
      <x:c r="S945" s="6" t="str">
        <x:v>Location unspecified</x:v>
      </x:c>
      <x:c r="T945" s="6" t="n">
        <x:v>3</x:v>
      </x:c>
      <x:c r="U945" s="6" t="str">
        <x:v>4–10</x:v>
      </x:c>
      <x:c r="V945" s="6" t="str">
        <x:v>Page-one CTR review and top-three relevance</x:v>
      </x:c>
      <x:c r="W945" s="6" t="str">
        <x:v>Relevant supporting</x:v>
      </x:c>
      <x:c r="X945" s="6" t="n">
        <x:v>941</x:v>
      </x:c>
      <x:c r="Y945" s="6" t="str">
        <x:v>Unconfirmed — joint query/page data required</x:v>
      </x:c>
    </x:row>
    <x:row r="946" ht="57" customHeight="1">
      <x:c r="A946" s="6" t="str">
        <x:v>stage 2 tuning near me</x:v>
      </x:c>
      <x:c r="B946" s="14" t="n">
        <x:v>0</x:v>
      </x:c>
      <x:c r="C946" s="14" t="n">
        <x:v>12</x:v>
      </x:c>
      <x:c r="D946" s="15" t="n">
        <x:v>0</x:v>
      </x:c>
      <x:c r="E946" s="16" t="n">
        <x:v>10</x:v>
      </x:c>
      <x:c r="F946" s="6" t="str">
        <x:v>HIGH</x:v>
      </x:c>
      <x:c r="G946" s="17" t="n">
        <x:f>'Scoring'!I946</x:f>
        <x:v>83.7</x:v>
      </x:c>
      <x:c r="H946" s="6" t="str">
        <x:v>SUPPORT</x:v>
      </x:c>
      <x:c r="I946" s="6" t="str">
        <x:v>All vehicles: Performance tuning</x:v>
      </x:c>
      <x:c r="J946" s="6" t="str">
        <x:v>Secondary</x:v>
      </x:c>
      <x:c r="K946" s="6" t="str">
        <x:v>Commercial service enquiry</x:v>
      </x:c>
      <x:c r="L946" s="6" t="str">
        <x:v>High</x:v>
      </x:c>
      <x:c r="M946" s="6" t="str">
        <x:v>https://digitecme.com/tuning</x:v>
      </x:c>
      <x:c r="N946" s="6" t="str">
        <x:v>Unknown — export has no query/page pairing</x:v>
      </x:c>
      <x:c r="O946" s="6" t="str">
        <x:v>Retain primary intent and support variants</x:v>
      </x:c>
      <x:c r="P946" s="6" t="str">
        <x:v>Use the existing tuning page; model scope and any GAD relationship require verified facts. Zero clicks from 12 impressions at average position 10.00; inspect query/page, country/device and SERP before attributing this to the snippet.</x:v>
      </x:c>
      <x:c r="Q946" s="6" t="str">
        <x:v>All vehicles</x:v>
      </x:c>
      <x:c r="R946" s="6" t="str">
        <x:v>tuning</x:v>
      </x:c>
      <x:c r="S946" s="6" t="str">
        <x:v>Near me; location unknown</x:v>
      </x:c>
      <x:c r="T946" s="6" t="n">
        <x:v>5</x:v>
      </x:c>
      <x:c r="U946" s="6" t="str">
        <x:v>4–10</x:v>
      </x:c>
      <x:c r="V946" s="6" t="str">
        <x:v>Page-one CTR review and top-three relevance</x:v>
      </x:c>
      <x:c r="W946" s="6" t="str">
        <x:v>Relevant supporting</x:v>
      </x:c>
      <x:c r="X946" s="6" t="n">
        <x:v>942</x:v>
      </x:c>
      <x:c r="Y946" s="6" t="str">
        <x:v>Unconfirmed — joint query/page data required</x:v>
      </x:c>
    </x:row>
    <x:row r="947" ht="42" customHeight="1">
      <x:c r="A947" s="6" t="str">
        <x:v>exhaust shops near me</x:v>
      </x:c>
      <x:c r="B947" s="14" t="n">
        <x:v>0</x:v>
      </x:c>
      <x:c r="C947" s="14" t="n">
        <x:v>12</x:v>
      </x:c>
      <x:c r="D947" s="15" t="n">
        <x:v>0</x:v>
      </x:c>
      <x:c r="E947" s="16" t="n">
        <x:v>10.25</x:v>
      </x:c>
      <x:c r="F947" s="6" t="str">
        <x:v>HIGH</x:v>
      </x:c>
      <x:c r="G947" s="17" t="n">
        <x:f>'Scoring'!I947</x:f>
        <x:v>75.7</x:v>
      </x:c>
      <x:c r="H947" s="6" t="str">
        <x:v>SUPPORT</x:v>
      </x:c>
      <x:c r="I947" s="6" t="str">
        <x:v>All vehicles: Exhaust repair</x:v>
      </x:c>
      <x:c r="J947" s="6" t="str">
        <x:v>Secondary</x:v>
      </x:c>
      <x:c r="K947" s="6" t="str">
        <x:v>Commercial service enquiry</x:v>
      </x:c>
      <x:c r="L947" s="6" t="str">
        <x:v>High</x:v>
      </x:c>
      <x:c r="M947" s="6" t="str">
        <x:v>https://digitecme.com/services/exhaust-repair-dubai</x:v>
      </x:c>
      <x:c r="N947" s="6" t="str">
        <x:v>Unknown — export has no query/page pairing</x:v>
      </x:c>
      <x:c r="O947" s="6" t="str">
        <x:v>Retain primary intent and support variants</x:v>
      </x:c>
      <x:c r="P947" s="6" t="str">
        <x:v>12 impressions at average position 10.25; strengthen the appropriate intent owner and measure with a fresh comparable period.</x:v>
      </x:c>
      <x:c r="Q947" s="6" t="str">
        <x:v>All vehicles</x:v>
      </x:c>
      <x:c r="R947" s="6" t="str">
        <x:v>exhaust-repair</x:v>
      </x:c>
      <x:c r="S947" s="6" t="str">
        <x:v>Near me; location unknown</x:v>
      </x:c>
      <x:c r="T947" s="6" t="n">
        <x:v>3</x:v>
      </x:c>
      <x:c r="U947" s="6" t="str">
        <x:v>11–20</x:v>
      </x:c>
      <x:c r="V947" s="6" t="str">
        <x:v>Ranking and owner relevance</x:v>
      </x:c>
      <x:c r="W947" s="6" t="str">
        <x:v>Relevant supporting</x:v>
      </x:c>
      <x:c r="X947" s="6" t="n">
        <x:v>943</x:v>
      </x:c>
      <x:c r="Y947" s="6" t="str">
        <x:v>Unconfirmed — joint query/page data required</x:v>
      </x:c>
    </x:row>
    <x:row r="948" ht="42" customHeight="1">
      <x:c r="A948" s="6" t="str">
        <x:v>range rover service</x:v>
      </x:c>
      <x:c r="B948" s="14" t="n">
        <x:v>0</x:v>
      </x:c>
      <x:c r="C948" s="14" t="n">
        <x:v>12</x:v>
      </x:c>
      <x:c r="D948" s="15" t="n">
        <x:v>0</x:v>
      </x:c>
      <x:c r="E948" s="16" t="n">
        <x:v>13.5</x:v>
      </x:c>
      <x:c r="F948" s="6" t="str">
        <x:v>HIGH</x:v>
      </x:c>
      <x:c r="G948" s="17" t="n">
        <x:f>'Scoring'!I948</x:f>
        <x:v>78.7</x:v>
      </x:c>
      <x:c r="H948" s="6" t="str">
        <x:v>SUPPORT</x:v>
      </x:c>
      <x:c r="I948" s="6" t="str">
        <x:v>range-rover: Service and repair</x:v>
      </x:c>
      <x:c r="J948" s="6" t="str">
        <x:v>Secondary</x:v>
      </x:c>
      <x:c r="K948" s="6" t="str">
        <x:v>Commercial service enquiry</x:v>
      </x:c>
      <x:c r="L948" s="6" t="str">
        <x:v>High</x:v>
      </x:c>
      <x:c r="M948" s="6" t="str">
        <x:v>https://digitecme.com/brands/range-rover-service-dubai</x:v>
      </x:c>
      <x:c r="N948" s="6" t="str">
        <x:v>Unknown — export has no query/page pairing</x:v>
      </x:c>
      <x:c r="O948" s="6" t="str">
        <x:v>Retain primary intent and support variants</x:v>
      </x:c>
      <x:c r="P948" s="6" t="str">
        <x:v>12 impressions at average position 13.50; strengthen the appropriate intent owner and measure with a fresh comparable period.</x:v>
      </x:c>
      <x:c r="Q948" s="6" t="str">
        <x:v>range-rover</x:v>
      </x:c>
      <x:c r="R948" s="6" t="str">
        <x:v>service-repair</x:v>
      </x:c>
      <x:c r="S948" s="6" t="str">
        <x:v>Location unspecified</x:v>
      </x:c>
      <x:c r="T948" s="6" t="n">
        <x:v>5</x:v>
      </x:c>
      <x:c r="U948" s="6" t="str">
        <x:v>11–20</x:v>
      </x:c>
      <x:c r="V948" s="6" t="str">
        <x:v>Ranking and owner relevance</x:v>
      </x:c>
      <x:c r="W948" s="6" t="str">
        <x:v>Relevant supporting</x:v>
      </x:c>
      <x:c r="X948" s="6" t="n">
        <x:v>944</x:v>
      </x:c>
      <x:c r="Y948" s="6" t="str">
        <x:v>Unconfirmed — joint query/page data required</x:v>
      </x:c>
    </x:row>
    <x:row r="949" ht="42" customHeight="1">
      <x:c r="A949" s="6" t="str">
        <x:v>nissan maintenance dubai</x:v>
      </x:c>
      <x:c r="B949" s="14" t="n">
        <x:v>0</x:v>
      </x:c>
      <x:c r="C949" s="14" t="n">
        <x:v>12</x:v>
      </x:c>
      <x:c r="D949" s="15" t="n">
        <x:v>0</x:v>
      </x:c>
      <x:c r="E949" s="16" t="n">
        <x:v>14.83</x:v>
      </x:c>
      <x:c r="F949" s="6" t="str">
        <x:v>HIGH</x:v>
      </x:c>
      <x:c r="G949" s="17" t="n">
        <x:f>'Scoring'!I949</x:f>
        <x:v>75.7</x:v>
      </x:c>
      <x:c r="H949" s="6" t="str">
        <x:v>SUPPORT</x:v>
      </x:c>
      <x:c r="I949" s="6" t="str">
        <x:v>nissan: Service and repair</x:v>
      </x:c>
      <x:c r="J949" s="6" t="str">
        <x:v>Secondary</x:v>
      </x:c>
      <x:c r="K949" s="6" t="str">
        <x:v>Commercial service enquiry</x:v>
      </x:c>
      <x:c r="L949" s="6" t="str">
        <x:v>High</x:v>
      </x:c>
      <x:c r="M949" s="6" t="str">
        <x:v>https://digitecme.com/brands/nissan-service-dubai</x:v>
      </x:c>
      <x:c r="N949" s="6" t="str">
        <x:v>Unknown — export has no query/page pairing</x:v>
      </x:c>
      <x:c r="O949" s="6" t="str">
        <x:v>Retain primary intent and support variants</x:v>
      </x:c>
      <x:c r="P949" s="6" t="str">
        <x:v>12 impressions at average position 14.83; strengthen the appropriate intent owner and measure with a fresh comparable period.</x:v>
      </x:c>
      <x:c r="Q949" s="6" t="str">
        <x:v>nissan</x:v>
      </x:c>
      <x:c r="R949" s="6" t="str">
        <x:v>service-repair</x:v>
      </x:c>
      <x:c r="S949" s="6" t="str">
        <x:v>Dubai explicit</x:v>
      </x:c>
      <x:c r="T949" s="6" t="n">
        <x:v>3</x:v>
      </x:c>
      <x:c r="U949" s="6" t="str">
        <x:v>11–20</x:v>
      </x:c>
      <x:c r="V949" s="6" t="str">
        <x:v>Ranking and owner relevance</x:v>
      </x:c>
      <x:c r="W949" s="6" t="str">
        <x:v>Relevant supporting</x:v>
      </x:c>
      <x:c r="X949" s="6" t="n">
        <x:v>945</x:v>
      </x:c>
      <x:c r="Y949" s="6" t="str">
        <x:v>Unconfirmed — joint query/page data required</x:v>
      </x:c>
    </x:row>
    <x:row r="950" ht="42" customHeight="1">
      <x:c r="A950" s="6" t="str">
        <x:v>audi service</x:v>
      </x:c>
      <x:c r="B950" s="14" t="n">
        <x:v>0</x:v>
      </x:c>
      <x:c r="C950" s="14" t="n">
        <x:v>12</x:v>
      </x:c>
      <x:c r="D950" s="15" t="n">
        <x:v>0</x:v>
      </x:c>
      <x:c r="E950" s="16" t="n">
        <x:v>16.5</x:v>
      </x:c>
      <x:c r="F950" s="6" t="str">
        <x:v>HIGH</x:v>
      </x:c>
      <x:c r="G950" s="17" t="n">
        <x:f>'Scoring'!I950</x:f>
        <x:v>71.2</x:v>
      </x:c>
      <x:c r="H950" s="6" t="str">
        <x:v>SUPPORT</x:v>
      </x:c>
      <x:c r="I950" s="6" t="str">
        <x:v>audi: Service and repair (English)</x:v>
      </x:c>
      <x:c r="J950" s="6" t="str">
        <x:v>Secondary</x:v>
      </x:c>
      <x:c r="K950" s="6" t="str">
        <x:v>Commercial service enquiry</x:v>
      </x:c>
      <x:c r="L950" s="6" t="str">
        <x:v>High</x:v>
      </x:c>
      <x:c r="M950" s="6" t="str">
        <x:v>https://digitecme.com/brands/audi-service-dubai</x:v>
      </x:c>
      <x:c r="N950" s="6" t="str">
        <x:v>Unknown — export has no query/page pairing</x:v>
      </x:c>
      <x:c r="O950" s="6" t="str">
        <x:v>Retain primary intent and support variants</x:v>
      </x:c>
      <x:c r="P950" s="6" t="str">
        <x:v>12 impressions at average position 16.50; strengthen the appropriate intent owner and measure with a fresh comparable period.</x:v>
      </x:c>
      <x:c r="Q950" s="6" t="str">
        <x:v>audi</x:v>
      </x:c>
      <x:c r="R950" s="6" t="str">
        <x:v>service-repair</x:v>
      </x:c>
      <x:c r="S950" s="6" t="str">
        <x:v>Location unspecified</x:v>
      </x:c>
      <x:c r="T950" s="6" t="n">
        <x:v>5</x:v>
      </x:c>
      <x:c r="U950" s="6" t="str">
        <x:v>11–20</x:v>
      </x:c>
      <x:c r="V950" s="6" t="str">
        <x:v>Ranking and owner relevance</x:v>
      </x:c>
      <x:c r="W950" s="6" t="str">
        <x:v>Relevant supporting</x:v>
      </x:c>
      <x:c r="X950" s="6" t="n">
        <x:v>946</x:v>
      </x:c>
      <x:c r="Y950" s="6" t="str">
        <x:v>Unconfirmed — joint query/page data required</x:v>
      </x:c>
    </x:row>
    <x:row r="951" ht="42" customHeight="1">
      <x:c r="A951" s="6" t="str">
        <x:v>car ac service dubai</x:v>
      </x:c>
      <x:c r="B951" s="14" t="n">
        <x:v>0</x:v>
      </x:c>
      <x:c r="C951" s="14" t="n">
        <x:v>12</x:v>
      </x:c>
      <x:c r="D951" s="15" t="n">
        <x:v>0</x:v>
      </x:c>
      <x:c r="E951" s="16" t="n">
        <x:v>16.83</x:v>
      </x:c>
      <x:c r="F951" s="6" t="str">
        <x:v>HIGH</x:v>
      </x:c>
      <x:c r="G951" s="17" t="n">
        <x:f>'Scoring'!I951</x:f>
        <x:v>68.2</x:v>
      </x:c>
      <x:c r="H951" s="6" t="str">
        <x:v>SUPPORT</x:v>
      </x:c>
      <x:c r="I951" s="6" t="str">
        <x:v>All vehicles: AC repair</x:v>
      </x:c>
      <x:c r="J951" s="6" t="str">
        <x:v>Secondary</x:v>
      </x:c>
      <x:c r="K951" s="6" t="str">
        <x:v>Commercial service enquiry</x:v>
      </x:c>
      <x:c r="L951" s="6" t="str">
        <x:v>High</x:v>
      </x:c>
      <x:c r="M951" s="6" t="str">
        <x:v>https://digitecme.com/services/car-ac-repair-dubai</x:v>
      </x:c>
      <x:c r="N951" s="6" t="str">
        <x:v>Unknown — export has no query/page pairing</x:v>
      </x:c>
      <x:c r="O951" s="6" t="str">
        <x:v>Retain primary intent and support variants</x:v>
      </x:c>
      <x:c r="P951" s="6" t="str">
        <x:v>12 impressions at average position 16.83; strengthen the appropriate intent owner and measure with a fresh comparable period.</x:v>
      </x:c>
      <x:c r="Q951" s="6" t="str">
        <x:v>All vehicles</x:v>
      </x:c>
      <x:c r="R951" s="6" t="str">
        <x:v>ac-repair</x:v>
      </x:c>
      <x:c r="S951" s="6" t="str">
        <x:v>Dubai explicit</x:v>
      </x:c>
      <x:c r="T951" s="6" t="n">
        <x:v>3</x:v>
      </x:c>
      <x:c r="U951" s="6" t="str">
        <x:v>11–20</x:v>
      </x:c>
      <x:c r="V951" s="6" t="str">
        <x:v>Ranking and owner relevance</x:v>
      </x:c>
      <x:c r="W951" s="6" t="str">
        <x:v>Relevant supporting</x:v>
      </x:c>
      <x:c r="X951" s="6" t="n">
        <x:v>947</x:v>
      </x:c>
      <x:c r="Y951" s="6" t="str">
        <x:v>Unconfirmed — joint query/page data required</x:v>
      </x:c>
    </x:row>
    <x:row r="952" ht="42" customHeight="1">
      <x:c r="A952" s="6" t="str">
        <x:v>porsche battery replacement</x:v>
      </x:c>
      <x:c r="B952" s="14" t="n">
        <x:v>0</x:v>
      </x:c>
      <x:c r="C952" s="14" t="n">
        <x:v>12</x:v>
      </x:c>
      <x:c r="D952" s="15" t="n">
        <x:v>0</x:v>
      </x:c>
      <x:c r="E952" s="16" t="n">
        <x:v>17.75</x:v>
      </x:c>
      <x:c r="F952" s="6" t="str">
        <x:v>HIGH</x:v>
      </x:c>
      <x:c r="G952" s="17" t="n">
        <x:f>'Scoring'!I952</x:f>
        <x:v>71.2</x:v>
      </x:c>
      <x:c r="H952" s="6" t="str">
        <x:v>SPLIT</x:v>
      </x:c>
      <x:c r="I952" s="6" t="str">
        <x:v>porsche: Battery service</x:v>
      </x:c>
      <x:c r="J952" s="6" t="str">
        <x:v>Secondary</x:v>
      </x:c>
      <x:c r="K952" s="6" t="str">
        <x:v>Commercial service enquiry</x:v>
      </x:c>
      <x:c r="L952" s="6" t="str">
        <x:v>High</x:v>
      </x:c>
      <x:c r="M952" s="6" t="str">
        <x:v>https://digitecme.com/brands/porsche-service-dubai/battery-replacement</x:v>
      </x:c>
      <x:c r="N952" s="6" t="str">
        <x:v>Unknown — export has no query/page pairing</x:v>
      </x:c>
      <x:c r="O952" s="6" t="str">
        <x:v>Use dedicated service owner</x:v>
      </x:c>
      <x:c r="P952" s="6" t="str">
        <x:v>12 impressions at average position 17.75; strengthen the appropriate intent owner and measure with a fresh comparable period.</x:v>
      </x:c>
      <x:c r="Q952" s="6" t="str">
        <x:v>porsche</x:v>
      </x:c>
      <x:c r="R952" s="6" t="str">
        <x:v>battery-replacement</x:v>
      </x:c>
      <x:c r="S952" s="6" t="str">
        <x:v>Location unspecified</x:v>
      </x:c>
      <x:c r="T952" s="6" t="n">
        <x:v>5</x:v>
      </x:c>
      <x:c r="U952" s="6" t="str">
        <x:v>11–20</x:v>
      </x:c>
      <x:c r="V952" s="6" t="str">
        <x:v>Ranking and owner relevance</x:v>
      </x:c>
      <x:c r="W952" s="6" t="str">
        <x:v>High-value commercial</x:v>
      </x:c>
      <x:c r="X952" s="6" t="n">
        <x:v>948</x:v>
      </x:c>
      <x:c r="Y952" s="6" t="str">
        <x:v>Unconfirmed — joint query/page data required</x:v>
      </x:c>
    </x:row>
    <x:row r="953" ht="42" customHeight="1">
      <x:c r="A953" s="6" t="str">
        <x:v>vw workshop dubai</x:v>
      </x:c>
      <x:c r="B953" s="14" t="n">
        <x:v>0</x:v>
      </x:c>
      <x:c r="C953" s="14" t="n">
        <x:v>12</x:v>
      </x:c>
      <x:c r="D953" s="15" t="n">
        <x:v>0</x:v>
      </x:c>
      <x:c r="E953" s="16" t="n">
        <x:v>17.75</x:v>
      </x:c>
      <x:c r="F953" s="6" t="str">
        <x:v>HIGH</x:v>
      </x:c>
      <x:c r="G953" s="17" t="n">
        <x:f>'Scoring'!I953</x:f>
        <x:v>68.2</x:v>
      </x:c>
      <x:c r="H953" s="6" t="str">
        <x:v>SUPPORT</x:v>
      </x:c>
      <x:c r="I953" s="6" t="str">
        <x:v>volkswagen: Service and repair (English)</x:v>
      </x:c>
      <x:c r="J953" s="6" t="str">
        <x:v>Secondary</x:v>
      </x:c>
      <x:c r="K953" s="6" t="str">
        <x:v>Commercial service enquiry</x:v>
      </x:c>
      <x:c r="L953" s="6" t="str">
        <x:v>High</x:v>
      </x:c>
      <x:c r="M953" s="6" t="str">
        <x:v>https://digitecme.com/brands/volkswagen-service-dubai</x:v>
      </x:c>
      <x:c r="N953" s="6" t="str">
        <x:v>Unknown — export has no query/page pairing</x:v>
      </x:c>
      <x:c r="O953" s="6" t="str">
        <x:v>Retain primary intent and support variants</x:v>
      </x:c>
      <x:c r="P953" s="6" t="str">
        <x:v>12 impressions at average position 17.75; strengthen the appropriate intent owner and measure with a fresh comparable period.</x:v>
      </x:c>
      <x:c r="Q953" s="6" t="str">
        <x:v>volkswagen</x:v>
      </x:c>
      <x:c r="R953" s="6" t="str">
        <x:v>service-repair</x:v>
      </x:c>
      <x:c r="S953" s="6" t="str">
        <x:v>Dubai explicit</x:v>
      </x:c>
      <x:c r="T953" s="6" t="n">
        <x:v>3</x:v>
      </x:c>
      <x:c r="U953" s="6" t="str">
        <x:v>11–20</x:v>
      </x:c>
      <x:c r="V953" s="6" t="str">
        <x:v>Ranking and owner relevance</x:v>
      </x:c>
      <x:c r="W953" s="6" t="str">
        <x:v>Relevant supporting</x:v>
      </x:c>
      <x:c r="X953" s="6" t="n">
        <x:v>949</x:v>
      </x:c>
      <x:c r="Y953" s="6" t="str">
        <x:v>Unconfirmed — joint query/page data required</x:v>
      </x:c>
    </x:row>
    <x:row r="954" ht="42" customHeight="1">
      <x:c r="A954" s="6" t="str">
        <x:v>mercedes benz sl63 amg service dubai</x:v>
      </x:c>
      <x:c r="B954" s="14" t="n">
        <x:v>0</x:v>
      </x:c>
      <x:c r="C954" s="14" t="n">
        <x:v>12</x:v>
      </x:c>
      <x:c r="D954" s="15" t="n">
        <x:v>0</x:v>
      </x:c>
      <x:c r="E954" s="16" t="n">
        <x:v>19.75</x:v>
      </x:c>
      <x:c r="F954" s="6" t="str">
        <x:v>HIGH</x:v>
      </x:c>
      <x:c r="G954" s="17" t="n">
        <x:f>'Scoring'!I954</x:f>
        <x:v>76.2</x:v>
      </x:c>
      <x:c r="H954" s="6" t="str">
        <x:v>SUPPORT</x:v>
      </x:c>
      <x:c r="I954" s="6" t="str">
        <x:v>mercedes-benz: Service and repair (English)</x:v>
      </x:c>
      <x:c r="J954" s="6" t="str">
        <x:v>Secondary</x:v>
      </x:c>
      <x:c r="K954" s="6" t="str">
        <x:v>Commercial service enquiry</x:v>
      </x:c>
      <x:c r="L954" s="6" t="str">
        <x:v>High</x:v>
      </x:c>
      <x:c r="M954" s="6" t="str">
        <x:v>https://digitecme.com/brands/mercedes-benz-service-dubai</x:v>
      </x:c>
      <x:c r="N954" s="6" t="str">
        <x:v>Unknown — export has no query/page pairing</x:v>
      </x:c>
      <x:c r="O954" s="6" t="str">
        <x:v>Retain primary intent and support variants</x:v>
      </x:c>
      <x:c r="P954" s="6" t="str">
        <x:v>12 impressions at average position 19.75; strengthen the appropriate intent owner and measure with a fresh comparable period.</x:v>
      </x:c>
      <x:c r="Q954" s="6" t="str">
        <x:v>mercedes-benz</x:v>
      </x:c>
      <x:c r="R954" s="6" t="str">
        <x:v>service-repair</x:v>
      </x:c>
      <x:c r="S954" s="6" t="str">
        <x:v>Dubai explicit</x:v>
      </x:c>
      <x:c r="T954" s="6" t="n">
        <x:v>5</x:v>
      </x:c>
      <x:c r="U954" s="6" t="str">
        <x:v>11–20</x:v>
      </x:c>
      <x:c r="V954" s="6" t="str">
        <x:v>Ranking and owner relevance</x:v>
      </x:c>
      <x:c r="W954" s="6" t="str">
        <x:v>Relevant supporting</x:v>
      </x:c>
      <x:c r="X954" s="6" t="n">
        <x:v>950</x:v>
      </x:c>
      <x:c r="Y954" s="6" t="str">
        <x:v>Unconfirmed — joint query/page data required</x:v>
      </x:c>
    </x:row>
    <x:row r="955" ht="72" customHeight="1">
      <x:c r="A955" s="6" t="str">
        <x:v>car fabrication near me</x:v>
      </x:c>
      <x:c r="B955" s="14" t="n">
        <x:v>0</x:v>
      </x:c>
      <x:c r="C955" s="14" t="n">
        <x:v>12</x:v>
      </x:c>
      <x:c r="D955" s="15" t="n">
        <x:v>0</x:v>
      </x:c>
      <x:c r="E955" s="16" t="n">
        <x:v>19.92</x:v>
      </x:c>
      <x:c r="F955" s="6" t="str">
        <x:v>DEPRIORITIZE</x:v>
      </x:c>
      <x:c r="G955" s="17" t="n">
        <x:f>'Scoring'!I955</x:f>
        <x:v>6</x:v>
      </x:c>
      <x:c r="H955" s="6" t="str">
        <x:v>DEPRIORITIZE</x:v>
      </x:c>
      <x:c r="I955" s="6" t="str">
        <x:v>All vehicles: Performance tuning</x:v>
      </x:c>
      <x:c r="J955" s="6" t="str">
        <x:v>Secondary</x:v>
      </x:c>
      <x:c r="K955" s="6" t="str">
        <x:v>Commercial service enquiry</x:v>
      </x:c>
      <x:c r="L955" s="6" t="str">
        <x:v>Unverified</x:v>
      </x:c>
      <x:c r="M955" s="6" t="str">
        <x:v>https://digitecme.com/tuning</x:v>
      </x:c>
      <x:c r="N955" s="6" t="str">
        <x:v>Unknown — export has no query/page pairing</x:v>
      </x:c>
      <x:c r="O955" s="6" t="str">
        <x:v>Confirm scope or deprioritize</x:v>
      </x:c>
      <x:c r="P955" s="6" t="str">
        <x:v>Use the existing tuning page; model scope and any GAD relationship require verified facts. Product, high-voltage, delivery or specialist capability requires business confirmation; existing copy alone is not sufficient evidence. 12 impressions at average position 19.92; strengthen the appropriate intent owner and measure with a fresh comparable period.</x:v>
      </x:c>
      <x:c r="Q955" s="6" t="str">
        <x:v>All vehicles</x:v>
      </x:c>
      <x:c r="R955" s="6" t="str">
        <x:v>tuning</x:v>
      </x:c>
      <x:c r="S955" s="6" t="str">
        <x:v>Near me; location unknown</x:v>
      </x:c>
      <x:c r="T955" s="6" t="n">
        <x:v>1</x:v>
      </x:c>
      <x:c r="U955" s="6" t="str">
        <x:v>11–20</x:v>
      </x:c>
      <x:c r="V955" s="6" t="str">
        <x:v>Ranking and owner relevance</x:v>
      </x:c>
      <x:c r="W955" s="6" t="str">
        <x:v>Low-value</x:v>
      </x:c>
      <x:c r="X955" s="6" t="n">
        <x:v>951</x:v>
      </x:c>
      <x:c r="Y955" s="6" t="str">
        <x:v>Unconfirmed — joint query/page data required</x:v>
      </x:c>
    </x:row>
    <x:row r="956" ht="42" customHeight="1">
      <x:c r="A956" s="6" t="str">
        <x:v>nissan car service dubai</x:v>
      </x:c>
      <x:c r="B956" s="14" t="n">
        <x:v>0</x:v>
      </x:c>
      <x:c r="C956" s="14" t="n">
        <x:v>12</x:v>
      </x:c>
      <x:c r="D956" s="15" t="n">
        <x:v>0</x:v>
      </x:c>
      <x:c r="E956" s="16" t="n">
        <x:v>20.08</x:v>
      </x:c>
      <x:c r="F956" s="6" t="str">
        <x:v>HIGH</x:v>
      </x:c>
      <x:c r="G956" s="17" t="n">
        <x:f>'Scoring'!I956</x:f>
        <x:v>68.2</x:v>
      </x:c>
      <x:c r="H956" s="6" t="str">
        <x:v>SUPPORT</x:v>
      </x:c>
      <x:c r="I956" s="6" t="str">
        <x:v>nissan: Service and repair</x:v>
      </x:c>
      <x:c r="J956" s="6" t="str">
        <x:v>Secondary</x:v>
      </x:c>
      <x:c r="K956" s="6" t="str">
        <x:v>Commercial service enquiry</x:v>
      </x:c>
      <x:c r="L956" s="6" t="str">
        <x:v>High</x:v>
      </x:c>
      <x:c r="M956" s="6" t="str">
        <x:v>https://digitecme.com/brands/nissan-service-dubai</x:v>
      </x:c>
      <x:c r="N956" s="6" t="str">
        <x:v>Unknown — export has no query/page pairing</x:v>
      </x:c>
      <x:c r="O956" s="6" t="str">
        <x:v>Retain primary intent and support variants</x:v>
      </x:c>
      <x:c r="P956" s="6" t="str">
        <x:v>Average position 20.08 makes ranking the main issue; avoid a CTR-only rewrite.</x:v>
      </x:c>
      <x:c r="Q956" s="6" t="str">
        <x:v>nissan</x:v>
      </x:c>
      <x:c r="R956" s="6" t="str">
        <x:v>service-repair</x:v>
      </x:c>
      <x:c r="S956" s="6" t="str">
        <x:v>Dubai explicit</x:v>
      </x:c>
      <x:c r="T956" s="6" t="n">
        <x:v>3</x:v>
      </x:c>
      <x:c r="U956" s="6" t="str">
        <x:v>21–40</x:v>
      </x:c>
      <x:c r="V956" s="6" t="str">
        <x:v>Content, internal authority and owner alignment</x:v>
      </x:c>
      <x:c r="W956" s="6" t="str">
        <x:v>Relevant supporting</x:v>
      </x:c>
      <x:c r="X956" s="6" t="n">
        <x:v>952</x:v>
      </x:c>
      <x:c r="Y956" s="6" t="str">
        <x:v>Unconfirmed — joint query/page data required</x:v>
      </x:c>
    </x:row>
    <x:row r="957" ht="42" customHeight="1">
      <x:c r="A957" s="6" t="str">
        <x:v>best mclaren service center abu dhabi</x:v>
      </x:c>
      <x:c r="B957" s="14" t="n">
        <x:v>0</x:v>
      </x:c>
      <x:c r="C957" s="14" t="n">
        <x:v>12</x:v>
      </x:c>
      <x:c r="D957" s="15" t="n">
        <x:v>0</x:v>
      </x:c>
      <x:c r="E957" s="16" t="n">
        <x:v>21.67</x:v>
      </x:c>
      <x:c r="F957" s="6" t="str">
        <x:v>DEPRIORITIZE</x:v>
      </x:c>
      <x:c r="G957" s="17" t="n">
        <x:f>'Scoring'!I957</x:f>
        <x:v>12</x:v>
      </x:c>
      <x:c r="H957" s="6" t="str">
        <x:v>DEPRIORITIZE</x:v>
      </x:c>
      <x:c r="I957" s="6" t="str">
        <x:v>mclaren: Service and repair (outside Dubai)</x:v>
      </x:c>
      <x:c r="J957" s="6" t="str">
        <x:v>Secondary</x:v>
      </x:c>
      <x:c r="K957" s="6" t="str">
        <x:v>Commercial service enquiry</x:v>
      </x:c>
      <x:c r="L957" s="6" t="str">
        <x:v>Low</x:v>
      </x:c>
      <x:c r="M957" s="6" t="str">
        <x:v>https://digitecme.com/brands/mclaren-service-dubai</x:v>
      </x:c>
      <x:c r="N957" s="6" t="str">
        <x:v>Unknown — export has no query/page pairing</x:v>
      </x:c>
      <x:c r="O957" s="6" t="str">
        <x:v>Confirm scope or deprioritize</x:v>
      </x:c>
      <x:c r="P957" s="6" t="str">
        <x:v>Explicit destination differs from the Al Quoz workshop; do not claim a local branch or service coverage. Average position 21.67 makes ranking the main issue; avoid a CTR-only rewrite.</x:v>
      </x:c>
      <x:c r="Q957" s="6" t="str">
        <x:v>mclaren</x:v>
      </x:c>
      <x:c r="R957" s="6" t="str">
        <x:v>service-repair</x:v>
      </x:c>
      <x:c r="S957" s="6" t="str">
        <x:v>Outside Dubai</x:v>
      </x:c>
      <x:c r="T957" s="6" t="n">
        <x:v>1</x:v>
      </x:c>
      <x:c r="U957" s="6" t="str">
        <x:v>21–40</x:v>
      </x:c>
      <x:c r="V957" s="6" t="str">
        <x:v>Content, internal authority and owner alignment</x:v>
      </x:c>
      <x:c r="W957" s="6" t="str">
        <x:v>Low-value</x:v>
      </x:c>
      <x:c r="X957" s="6" t="n">
        <x:v>953</x:v>
      </x:c>
      <x:c r="Y957" s="6" t="str">
        <x:v>Unconfirmed — joint query/page data required</x:v>
      </x:c>
    </x:row>
    <x:row r="958" ht="42" customHeight="1">
      <x:c r="A958" s="6" t="str">
        <x:v>chevrolet repair dubai</x:v>
      </x:c>
      <x:c r="B958" s="14" t="n">
        <x:v>0</x:v>
      </x:c>
      <x:c r="C958" s="14" t="n">
        <x:v>12</x:v>
      </x:c>
      <x:c r="D958" s="15" t="n">
        <x:v>0</x:v>
      </x:c>
      <x:c r="E958" s="16" t="n">
        <x:v>21.67</x:v>
      </x:c>
      <x:c r="F958" s="6" t="str">
        <x:v>HIGH</x:v>
      </x:c>
      <x:c r="G958" s="17" t="n">
        <x:f>'Scoring'!I958</x:f>
        <x:v>68.2</x:v>
      </x:c>
      <x:c r="H958" s="6" t="str">
        <x:v>SUPPORT</x:v>
      </x:c>
      <x:c r="I958" s="6" t="str">
        <x:v>chevrolet: Service and repair</x:v>
      </x:c>
      <x:c r="J958" s="6" t="str">
        <x:v>Secondary</x:v>
      </x:c>
      <x:c r="K958" s="6" t="str">
        <x:v>Commercial service enquiry</x:v>
      </x:c>
      <x:c r="L958" s="6" t="str">
        <x:v>High</x:v>
      </x:c>
      <x:c r="M958" s="6" t="str">
        <x:v>https://digitecme.com/brands/chevrolet-service-dubai</x:v>
      </x:c>
      <x:c r="N958" s="6" t="str">
        <x:v>Unknown — export has no query/page pairing</x:v>
      </x:c>
      <x:c r="O958" s="6" t="str">
        <x:v>Retain primary intent and support variants</x:v>
      </x:c>
      <x:c r="P958" s="6" t="str">
        <x:v>Average position 21.67 makes ranking the main issue; avoid a CTR-only rewrite.</x:v>
      </x:c>
      <x:c r="Q958" s="6" t="str">
        <x:v>chevrolet</x:v>
      </x:c>
      <x:c r="R958" s="6" t="str">
        <x:v>service-repair</x:v>
      </x:c>
      <x:c r="S958" s="6" t="str">
        <x:v>Dubai explicit</x:v>
      </x:c>
      <x:c r="T958" s="6" t="n">
        <x:v>3</x:v>
      </x:c>
      <x:c r="U958" s="6" t="str">
        <x:v>21–40</x:v>
      </x:c>
      <x:c r="V958" s="6" t="str">
        <x:v>Content, internal authority and owner alignment</x:v>
      </x:c>
      <x:c r="W958" s="6" t="str">
        <x:v>Relevant supporting</x:v>
      </x:c>
      <x:c r="X958" s="6" t="n">
        <x:v>954</x:v>
      </x:c>
      <x:c r="Y958" s="6" t="str">
        <x:v>Unconfirmed — joint query/page data required</x:v>
      </x:c>
    </x:row>
    <x:row r="959" ht="42" customHeight="1">
      <x:c r="A959" s="6" t="str">
        <x:v>car diagnostics</x:v>
      </x:c>
      <x:c r="B959" s="14" t="n">
        <x:v>0</x:v>
      </x:c>
      <x:c r="C959" s="14" t="n">
        <x:v>12</x:v>
      </x:c>
      <x:c r="D959" s="15" t="n">
        <x:v>0</x:v>
      </x:c>
      <x:c r="E959" s="16" t="n">
        <x:v>22.75</x:v>
      </x:c>
      <x:c r="F959" s="6" t="str">
        <x:v>HIGH</x:v>
      </x:c>
      <x:c r="G959" s="17" t="n">
        <x:f>'Scoring'!I959</x:f>
        <x:v>63.2</x:v>
      </x:c>
      <x:c r="H959" s="6" t="str">
        <x:v>SUPPORT</x:v>
      </x:c>
      <x:c r="I959" s="6" t="str">
        <x:v>All vehicles: Diagnostics and supported coding</x:v>
      </x:c>
      <x:c r="J959" s="6" t="str">
        <x:v>Secondary</x:v>
      </x:c>
      <x:c r="K959" s="6" t="str">
        <x:v>Commercial service enquiry</x:v>
      </x:c>
      <x:c r="L959" s="6" t="str">
        <x:v>High</x:v>
      </x:c>
      <x:c r="M959" s="6" t="str">
        <x:v>https://digitecme.com/services/car-diagnostics-dubai</x:v>
      </x:c>
      <x:c r="N959" s="6" t="str">
        <x:v>Unknown — export has no query/page pairing</x:v>
      </x:c>
      <x:c r="O959" s="6" t="str">
        <x:v>Retain primary intent and support variants</x:v>
      </x:c>
      <x:c r="P959" s="6" t="str">
        <x:v>Average position 22.75 makes ranking the main issue; avoid a CTR-only rewrite.</x:v>
      </x:c>
      <x:c r="Q959" s="6" t="str">
        <x:v>All vehicles</x:v>
      </x:c>
      <x:c r="R959" s="6" t="str">
        <x:v>engine-diagnostics</x:v>
      </x:c>
      <x:c r="S959" s="6" t="str">
        <x:v>Location unspecified</x:v>
      </x:c>
      <x:c r="T959" s="6" t="n">
        <x:v>3</x:v>
      </x:c>
      <x:c r="U959" s="6" t="str">
        <x:v>21–40</x:v>
      </x:c>
      <x:c r="V959" s="6" t="str">
        <x:v>Content, internal authority and owner alignment</x:v>
      </x:c>
      <x:c r="W959" s="6" t="str">
        <x:v>Relevant supporting</x:v>
      </x:c>
      <x:c r="X959" s="6" t="n">
        <x:v>955</x:v>
      </x:c>
      <x:c r="Y959" s="6" t="str">
        <x:v>Unconfirmed — joint query/page data required</x:v>
      </x:c>
    </x:row>
    <x:row r="960" ht="42" customHeight="1">
      <x:c r="A960" s="6" t="str">
        <x:v>mechanical repairs dubai</x:v>
      </x:c>
      <x:c r="B960" s="14" t="n">
        <x:v>0</x:v>
      </x:c>
      <x:c r="C960" s="14" t="n">
        <x:v>12</x:v>
      </x:c>
      <x:c r="D960" s="15" t="n">
        <x:v>0</x:v>
      </x:c>
      <x:c r="E960" s="16" t="n">
        <x:v>23.08</x:v>
      </x:c>
      <x:c r="F960" s="6" t="str">
        <x:v>HIGH</x:v>
      </x:c>
      <x:c r="G960" s="17" t="n">
        <x:f>'Scoring'!I960</x:f>
        <x:v>68.2</x:v>
      </x:c>
      <x:c r="H960" s="6" t="str">
        <x:v>SUPPORT</x:v>
      </x:c>
      <x:c r="I960" s="6" t="str">
        <x:v>All vehicles: Engine and mechanical repair</x:v>
      </x:c>
      <x:c r="J960" s="6" t="str">
        <x:v>Secondary</x:v>
      </x:c>
      <x:c r="K960" s="6" t="str">
        <x:v>Commercial service enquiry</x:v>
      </x:c>
      <x:c r="L960" s="6" t="str">
        <x:v>High</x:v>
      </x:c>
      <x:c r="M960" s="6" t="str">
        <x:v>https://digitecme.com/services/mechanical-repair-dubai</x:v>
      </x:c>
      <x:c r="N960" s="6" t="str">
        <x:v>Unknown — export has no query/page pairing</x:v>
      </x:c>
      <x:c r="O960" s="6" t="str">
        <x:v>Retain primary intent and support variants</x:v>
      </x:c>
      <x:c r="P960" s="6" t="str">
        <x:v>Average position 23.08 makes ranking the main issue; avoid a CTR-only rewrite.</x:v>
      </x:c>
      <x:c r="Q960" s="6" t="str">
        <x:v>All vehicles</x:v>
      </x:c>
      <x:c r="R960" s="6" t="str">
        <x:v>mechanical-repair</x:v>
      </x:c>
      <x:c r="S960" s="6" t="str">
        <x:v>Dubai explicit</x:v>
      </x:c>
      <x:c r="T960" s="6" t="n">
        <x:v>3</x:v>
      </x:c>
      <x:c r="U960" s="6" t="str">
        <x:v>21–40</x:v>
      </x:c>
      <x:c r="V960" s="6" t="str">
        <x:v>Content, internal authority and owner alignment</x:v>
      </x:c>
      <x:c r="W960" s="6" t="str">
        <x:v>Relevant supporting</x:v>
      </x:c>
      <x:c r="X960" s="6" t="n">
        <x:v>956</x:v>
      </x:c>
      <x:c r="Y960" s="6" t="str">
        <x:v>Unconfirmed — joint query/page data required</x:v>
      </x:c>
    </x:row>
    <x:row r="961" ht="42" customHeight="1">
      <x:c r="A961" s="6" t="str">
        <x:v>mini repair dubai</x:v>
      </x:c>
      <x:c r="B961" s="14" t="n">
        <x:v>0</x:v>
      </x:c>
      <x:c r="C961" s="14" t="n">
        <x:v>12</x:v>
      </x:c>
      <x:c r="D961" s="15" t="n">
        <x:v>0</x:v>
      </x:c>
      <x:c r="E961" s="16" t="n">
        <x:v>23.17</x:v>
      </x:c>
      <x:c r="F961" s="6" t="str">
        <x:v>HIGH</x:v>
      </x:c>
      <x:c r="G961" s="17" t="n">
        <x:f>'Scoring'!I961</x:f>
        <x:v>68.2</x:v>
      </x:c>
      <x:c r="H961" s="6" t="str">
        <x:v>SUPPORT</x:v>
      </x:c>
      <x:c r="I961" s="6" t="str">
        <x:v>mini: Service and repair (English)</x:v>
      </x:c>
      <x:c r="J961" s="6" t="str">
        <x:v>Secondary</x:v>
      </x:c>
      <x:c r="K961" s="6" t="str">
        <x:v>Commercial service enquiry</x:v>
      </x:c>
      <x:c r="L961" s="6" t="str">
        <x:v>High</x:v>
      </x:c>
      <x:c r="M961" s="6" t="str">
        <x:v>https://digitecme.com/brands/mini-service-dubai</x:v>
      </x:c>
      <x:c r="N961" s="6" t="str">
        <x:v>Unknown — export has no query/page pairing</x:v>
      </x:c>
      <x:c r="O961" s="6" t="str">
        <x:v>Retain primary intent and support variants</x:v>
      </x:c>
      <x:c r="P961" s="6" t="str">
        <x:v>Average position 23.17 makes ranking the main issue; avoid a CTR-only rewrite.</x:v>
      </x:c>
      <x:c r="Q961" s="6" t="str">
        <x:v>mini</x:v>
      </x:c>
      <x:c r="R961" s="6" t="str">
        <x:v>service-repair</x:v>
      </x:c>
      <x:c r="S961" s="6" t="str">
        <x:v>Dubai explicit</x:v>
      </x:c>
      <x:c r="T961" s="6" t="n">
        <x:v>3</x:v>
      </x:c>
      <x:c r="U961" s="6" t="str">
        <x:v>21–40</x:v>
      </x:c>
      <x:c r="V961" s="6" t="str">
        <x:v>Content, internal authority and owner alignment</x:v>
      </x:c>
      <x:c r="W961" s="6" t="str">
        <x:v>Relevant supporting</x:v>
      </x:c>
      <x:c r="X961" s="6" t="n">
        <x:v>957</x:v>
      </x:c>
      <x:c r="Y961" s="6" t="str">
        <x:v>Unconfirmed — joint query/page data required</x:v>
      </x:c>
    </x:row>
    <x:row r="962" ht="42" customHeight="1">
      <x:c r="A962" s="6" t="str">
        <x:v>mercedes performance tuning</x:v>
      </x:c>
      <x:c r="B962" s="14" t="n">
        <x:v>0</x:v>
      </x:c>
      <x:c r="C962" s="14" t="n">
        <x:v>12</x:v>
      </x:c>
      <x:c r="D962" s="15" t="n">
        <x:v>0</x:v>
      </x:c>
      <x:c r="E962" s="16" t="n">
        <x:v>23.58</x:v>
      </x:c>
      <x:c r="F962" s="6" t="str">
        <x:v>HIGH</x:v>
      </x:c>
      <x:c r="G962" s="17" t="n">
        <x:f>'Scoring'!I962</x:f>
        <x:v>71.2</x:v>
      </x:c>
      <x:c r="H962" s="6" t="str">
        <x:v>SUPPORT</x:v>
      </x:c>
      <x:c r="I962" s="6" t="str">
        <x:v>All vehicles: Performance tuning</x:v>
      </x:c>
      <x:c r="J962" s="6" t="str">
        <x:v>Secondary</x:v>
      </x:c>
      <x:c r="K962" s="6" t="str">
        <x:v>Commercial service enquiry</x:v>
      </x:c>
      <x:c r="L962" s="6" t="str">
        <x:v>High</x:v>
      </x:c>
      <x:c r="M962" s="6" t="str">
        <x:v>https://digitecme.com/tuning</x:v>
      </x:c>
      <x:c r="N962" s="6" t="str">
        <x:v>Unknown — export has no query/page pairing</x:v>
      </x:c>
      <x:c r="O962" s="6" t="str">
        <x:v>Retain primary intent and support variants</x:v>
      </x:c>
      <x:c r="P962" s="6" t="str">
        <x:v>Use the existing tuning page; model scope and any GAD relationship require verified facts. Average position 23.58 makes ranking the main issue; avoid a CTR-only rewrite.</x:v>
      </x:c>
      <x:c r="Q962" s="6" t="str">
        <x:v>mercedes-benz</x:v>
      </x:c>
      <x:c r="R962" s="6" t="str">
        <x:v>tuning</x:v>
      </x:c>
      <x:c r="S962" s="6" t="str">
        <x:v>Location unspecified</x:v>
      </x:c>
      <x:c r="T962" s="6" t="n">
        <x:v>5</x:v>
      </x:c>
      <x:c r="U962" s="6" t="str">
        <x:v>21–40</x:v>
      </x:c>
      <x:c r="V962" s="6" t="str">
        <x:v>Content, internal authority and owner alignment</x:v>
      </x:c>
      <x:c r="W962" s="6" t="str">
        <x:v>Relevant supporting</x:v>
      </x:c>
      <x:c r="X962" s="6" t="n">
        <x:v>958</x:v>
      </x:c>
      <x:c r="Y962" s="6" t="str">
        <x:v>Unconfirmed — joint query/page data required</x:v>
      </x:c>
    </x:row>
    <x:row r="963" ht="42" customHeight="1">
      <x:c r="A963" s="6" t="str">
        <x:v>mercedes inspection dubai</x:v>
      </x:c>
      <x:c r="B963" s="14" t="n">
        <x:v>0</x:v>
      </x:c>
      <x:c r="C963" s="14" t="n">
        <x:v>12</x:v>
      </x:c>
      <x:c r="D963" s="15" t="n">
        <x:v>0</x:v>
      </x:c>
      <x:c r="E963" s="16" t="n">
        <x:v>24.67</x:v>
      </x:c>
      <x:c r="F963" s="6" t="str">
        <x:v>HIGH</x:v>
      </x:c>
      <x:c r="G963" s="17" t="n">
        <x:f>'Scoring'!I963</x:f>
        <x:v>76.2</x:v>
      </x:c>
      <x:c r="H963" s="6" t="str">
        <x:v>SPLIT</x:v>
      </x:c>
      <x:c r="I963" s="6" t="str">
        <x:v>mercedes-benz: Diagnostics and supported coding</x:v>
      </x:c>
      <x:c r="J963" s="6" t="str">
        <x:v>Secondary</x:v>
      </x:c>
      <x:c r="K963" s="6" t="str">
        <x:v>Commercial service enquiry</x:v>
      </x:c>
      <x:c r="L963" s="6" t="str">
        <x:v>High</x:v>
      </x:c>
      <x:c r="M963" s="6" t="str">
        <x:v>https://digitecme.com/services/mercedes-diagnostics-dubai</x:v>
      </x:c>
      <x:c r="N963" s="6" t="str">
        <x:v>Unknown — export has no query/page pairing</x:v>
      </x:c>
      <x:c r="O963" s="6" t="str">
        <x:v>Use dedicated service owner</x:v>
      </x:c>
      <x:c r="P963" s="6" t="str">
        <x:v>Average position 24.67 makes ranking the main issue; avoid a CTR-only rewrite.</x:v>
      </x:c>
      <x:c r="Q963" s="6" t="str">
        <x:v>mercedes-benz</x:v>
      </x:c>
      <x:c r="R963" s="6" t="str">
        <x:v>engine-diagnostics</x:v>
      </x:c>
      <x:c r="S963" s="6" t="str">
        <x:v>Dubai explicit</x:v>
      </x:c>
      <x:c r="T963" s="6" t="n">
        <x:v>5</x:v>
      </x:c>
      <x:c r="U963" s="6" t="str">
        <x:v>21–40</x:v>
      </x:c>
      <x:c r="V963" s="6" t="str">
        <x:v>Content, internal authority and owner alignment</x:v>
      </x:c>
      <x:c r="W963" s="6" t="str">
        <x:v>High-value commercial</x:v>
      </x:c>
      <x:c r="X963" s="6" t="n">
        <x:v>959</x:v>
      </x:c>
      <x:c r="Y963" s="6" t="str">
        <x:v>Unconfirmed — joint query/page data required</x:v>
      </x:c>
    </x:row>
    <x:row r="964" ht="42" customHeight="1">
      <x:c r="A964" s="6" t="str">
        <x:v>timing chain specialist</x:v>
      </x:c>
      <x:c r="B964" s="14" t="n">
        <x:v>0</x:v>
      </x:c>
      <x:c r="C964" s="14" t="n">
        <x:v>12</x:v>
      </x:c>
      <x:c r="D964" s="15" t="n">
        <x:v>0</x:v>
      </x:c>
      <x:c r="E964" s="16" t="n">
        <x:v>25.17</x:v>
      </x:c>
      <x:c r="F964" s="6" t="str">
        <x:v>HIGH</x:v>
      </x:c>
      <x:c r="G964" s="17" t="n">
        <x:f>'Scoring'!I964</x:f>
        <x:v>63.2</x:v>
      </x:c>
      <x:c r="H964" s="6" t="str">
        <x:v>SUPPORT</x:v>
      </x:c>
      <x:c r="I964" s="6" t="str">
        <x:v>All vehicles: Engine and mechanical repair</x:v>
      </x:c>
      <x:c r="J964" s="6" t="str">
        <x:v>Secondary</x:v>
      </x:c>
      <x:c r="K964" s="6" t="str">
        <x:v>Commercial service enquiry</x:v>
      </x:c>
      <x:c r="L964" s="6" t="str">
        <x:v>High</x:v>
      </x:c>
      <x:c r="M964" s="6" t="str">
        <x:v>https://digitecme.com/services/mechanical-repair-dubai</x:v>
      </x:c>
      <x:c r="N964" s="6" t="str">
        <x:v>Unknown — export has no query/page pairing</x:v>
      </x:c>
      <x:c r="O964" s="6" t="str">
        <x:v>Retain primary intent and support variants</x:v>
      </x:c>
      <x:c r="P964" s="6" t="str">
        <x:v>Average position 25.17 makes ranking the main issue; avoid a CTR-only rewrite.</x:v>
      </x:c>
      <x:c r="Q964" s="6" t="str">
        <x:v>All vehicles</x:v>
      </x:c>
      <x:c r="R964" s="6" t="str">
        <x:v>mechanical-repair</x:v>
      </x:c>
      <x:c r="S964" s="6" t="str">
        <x:v>Location unspecified</x:v>
      </x:c>
      <x:c r="T964" s="6" t="n">
        <x:v>3</x:v>
      </x:c>
      <x:c r="U964" s="6" t="str">
        <x:v>21–40</x:v>
      </x:c>
      <x:c r="V964" s="6" t="str">
        <x:v>Content, internal authority and owner alignment</x:v>
      </x:c>
      <x:c r="W964" s="6" t="str">
        <x:v>Relevant supporting</x:v>
      </x:c>
      <x:c r="X964" s="6" t="n">
        <x:v>960</x:v>
      </x:c>
      <x:c r="Y964" s="6" t="str">
        <x:v>Unconfirmed — joint query/page data required</x:v>
      </x:c>
    </x:row>
    <x:row r="965" ht="42" customHeight="1">
      <x:c r="A965" s="6" t="str">
        <x:v>engine oil change near me</x:v>
      </x:c>
      <x:c r="B965" s="14" t="n">
        <x:v>0</x:v>
      </x:c>
      <x:c r="C965" s="14" t="n">
        <x:v>12</x:v>
      </x:c>
      <x:c r="D965" s="15" t="n">
        <x:v>0</x:v>
      </x:c>
      <x:c r="E965" s="16" t="n">
        <x:v>25.67</x:v>
      </x:c>
      <x:c r="F965" s="6" t="str">
        <x:v>HIGH</x:v>
      </x:c>
      <x:c r="G965" s="17" t="n">
        <x:f>'Scoring'!I965</x:f>
        <x:v>68.2</x:v>
      </x:c>
      <x:c r="H965" s="6" t="str">
        <x:v>SUPPORT</x:v>
      </x:c>
      <x:c r="I965" s="6" t="str">
        <x:v>All vehicles: Oil change (English)</x:v>
      </x:c>
      <x:c r="J965" s="6" t="str">
        <x:v>Secondary</x:v>
      </x:c>
      <x:c r="K965" s="6" t="str">
        <x:v>Commercial service enquiry</x:v>
      </x:c>
      <x:c r="L965" s="6" t="str">
        <x:v>High</x:v>
      </x:c>
      <x:c r="M965" s="6" t="str">
        <x:v>https://digitecme.com/services/oil-change-dubai</x:v>
      </x:c>
      <x:c r="N965" s="6" t="str">
        <x:v>Unknown — export has no query/page pairing</x:v>
      </x:c>
      <x:c r="O965" s="6" t="str">
        <x:v>Retain primary intent and support variants</x:v>
      </x:c>
      <x:c r="P965" s="6" t="str">
        <x:v>Average position 25.67 makes ranking the main issue; avoid a CTR-only rewrite.</x:v>
      </x:c>
      <x:c r="Q965" s="6" t="str">
        <x:v>All vehicles</x:v>
      </x:c>
      <x:c r="R965" s="6" t="str">
        <x:v>oil-change</x:v>
      </x:c>
      <x:c r="S965" s="6" t="str">
        <x:v>Near me; location unknown</x:v>
      </x:c>
      <x:c r="T965" s="6" t="n">
        <x:v>3</x:v>
      </x:c>
      <x:c r="U965" s="6" t="str">
        <x:v>21–40</x:v>
      </x:c>
      <x:c r="V965" s="6" t="str">
        <x:v>Content, internal authority and owner alignment</x:v>
      </x:c>
      <x:c r="W965" s="6" t="str">
        <x:v>Relevant supporting</x:v>
      </x:c>
      <x:c r="X965" s="6" t="n">
        <x:v>961</x:v>
      </x:c>
      <x:c r="Y965" s="6" t="str">
        <x:v>Unconfirmed — joint query/page data required</x:v>
      </x:c>
    </x:row>
    <x:row r="966" ht="42" customHeight="1">
      <x:c r="A966" s="6" t="str">
        <x:v>amg performance tuning</x:v>
      </x:c>
      <x:c r="B966" s="14" t="n">
        <x:v>0</x:v>
      </x:c>
      <x:c r="C966" s="14" t="n">
        <x:v>12</x:v>
      </x:c>
      <x:c r="D966" s="15" t="n">
        <x:v>0</x:v>
      </x:c>
      <x:c r="E966" s="16" t="n">
        <x:v>26.08</x:v>
      </x:c>
      <x:c r="F966" s="6" t="str">
        <x:v>HIGH</x:v>
      </x:c>
      <x:c r="G966" s="17" t="n">
        <x:f>'Scoring'!I966</x:f>
        <x:v>71.2</x:v>
      </x:c>
      <x:c r="H966" s="6" t="str">
        <x:v>SUPPORT</x:v>
      </x:c>
      <x:c r="I966" s="6" t="str">
        <x:v>All vehicles: Performance tuning</x:v>
      </x:c>
      <x:c r="J966" s="6" t="str">
        <x:v>Secondary</x:v>
      </x:c>
      <x:c r="K966" s="6" t="str">
        <x:v>Commercial service enquiry</x:v>
      </x:c>
      <x:c r="L966" s="6" t="str">
        <x:v>High</x:v>
      </x:c>
      <x:c r="M966" s="6" t="str">
        <x:v>https://digitecme.com/tuning</x:v>
      </x:c>
      <x:c r="N966" s="6" t="str">
        <x:v>Unknown — export has no query/page pairing</x:v>
      </x:c>
      <x:c r="O966" s="6" t="str">
        <x:v>Retain primary intent and support variants</x:v>
      </x:c>
      <x:c r="P966" s="6" t="str">
        <x:v>Use the existing tuning page; model scope and any GAD relationship require verified facts. Average position 26.08 makes ranking the main issue; avoid a CTR-only rewrite.</x:v>
      </x:c>
      <x:c r="Q966" s="6" t="str">
        <x:v>mercedes-benz</x:v>
      </x:c>
      <x:c r="R966" s="6" t="str">
        <x:v>tuning</x:v>
      </x:c>
      <x:c r="S966" s="6" t="str">
        <x:v>Location unspecified</x:v>
      </x:c>
      <x:c r="T966" s="6" t="n">
        <x:v>5</x:v>
      </x:c>
      <x:c r="U966" s="6" t="str">
        <x:v>21–40</x:v>
      </x:c>
      <x:c r="V966" s="6" t="str">
        <x:v>Content, internal authority and owner alignment</x:v>
      </x:c>
      <x:c r="W966" s="6" t="str">
        <x:v>Relevant supporting</x:v>
      </x:c>
      <x:c r="X966" s="6" t="n">
        <x:v>962</x:v>
      </x:c>
      <x:c r="Y966" s="6" t="str">
        <x:v>Unconfirmed — joint query/page data required</x:v>
      </x:c>
    </x:row>
    <x:row r="967" ht="57" customHeight="1">
      <x:c r="A967" s="6" t="str">
        <x:v>road assistance dubai</x:v>
      </x:c>
      <x:c r="B967" s="14" t="n">
        <x:v>0</x:v>
      </x:c>
      <x:c r="C967" s="14" t="n">
        <x:v>12</x:v>
      </x:c>
      <x:c r="D967" s="15" t="n">
        <x:v>0</x:v>
      </x:c>
      <x:c r="E967" s="16" t="n">
        <x:v>29.33</x:v>
      </x:c>
      <x:c r="F967" s="6" t="str">
        <x:v>DEPRIORITIZE</x:v>
      </x:c>
      <x:c r="G967" s="17" t="n">
        <x:f>'Scoring'!I967</x:f>
        <x:v>6</x:v>
      </x:c>
      <x:c r="H967" s="6" t="str">
        <x:v>DEPRIORITIZE</x:v>
      </x:c>
      <x:c r="I967" s="6" t="str">
        <x:v>All vehicles: Roadside or delivery</x:v>
      </x:c>
      <x:c r="J967" s="6" t="str">
        <x:v>Secondary</x:v>
      </x:c>
      <x:c r="K967" s="6" t="str">
        <x:v>Commercial service enquiry</x:v>
      </x:c>
      <x:c r="L967" s="6" t="str">
        <x:v>Unverified</x:v>
      </x:c>
      <x:c r="M967" s="6" t="str">
        <x:v>https://digitecme.com/services/roadside-assistance-dubai</x:v>
      </x:c>
      <x:c r="N967" s="6" t="str">
        <x:v>Unknown — export has no query/page pairing</x:v>
      </x:c>
      <x:c r="O967" s="6" t="str">
        <x:v>Confirm scope or deprioritize</x:v>
      </x:c>
      <x:c r="P967" s="6" t="str">
        <x:v>Product, high-voltage, delivery or specialist capability requires business confirmation; existing copy alone is not sufficient evidence. Average position 29.33 makes ranking the main issue; avoid a CTR-only rewrite.</x:v>
      </x:c>
      <x:c r="Q967" s="6" t="str">
        <x:v>All vehicles</x:v>
      </x:c>
      <x:c r="R967" s="6" t="str">
        <x:v>roadside</x:v>
      </x:c>
      <x:c r="S967" s="6" t="str">
        <x:v>Dubai explicit</x:v>
      </x:c>
      <x:c r="T967" s="6" t="n">
        <x:v>1</x:v>
      </x:c>
      <x:c r="U967" s="6" t="str">
        <x:v>21–40</x:v>
      </x:c>
      <x:c r="V967" s="6" t="str">
        <x:v>Content, internal authority and owner alignment</x:v>
      </x:c>
      <x:c r="W967" s="6" t="str">
        <x:v>Low-value</x:v>
      </x:c>
      <x:c r="X967" s="6" t="n">
        <x:v>963</x:v>
      </x:c>
      <x:c r="Y967" s="6" t="str">
        <x:v>Unconfirmed — joint query/page data required</x:v>
      </x:c>
    </x:row>
    <x:row r="968" ht="57" customHeight="1">
      <x:c r="A968" s="6" t="str">
        <x:v>mercedes authorized service near me</x:v>
      </x:c>
      <x:c r="B968" s="14" t="n">
        <x:v>0</x:v>
      </x:c>
      <x:c r="C968" s="14" t="n">
        <x:v>12</x:v>
      </x:c>
      <x:c r="D968" s="15" t="n">
        <x:v>0</x:v>
      </x:c>
      <x:c r="E968" s="16" t="n">
        <x:v>29.42</x:v>
      </x:c>
      <x:c r="F968" s="6" t="str">
        <x:v>IGNORE</x:v>
      </x:c>
      <x:c r="G968" s="17" t="n">
        <x:f>'Scoring'!I968</x:f>
        <x:v>0</x:v>
      </x:c>
      <x:c r="H968" s="6" t="str">
        <x:v>IGNORE</x:v>
      </x:c>
      <x:c r="I968" s="6" t="str">
        <x:v>Excluded: Dealer or showroom</x:v>
      </x:c>
      <x:c r="J968" s="6" t="str">
        <x:v>Secondary</x:v>
      </x:c>
      <x:c r="K968" s="6" t="str">
        <x:v>Other or mismatched intent</x:v>
      </x:c>
      <x:c r="L968" s="6" t="str">
        <x:v>None</x:v>
      </x:c>
      <x:c r="M968" s="6" t="str"/>
      <x:c r="N968" s="6" t="str">
        <x:v>Unknown — export has no query/page pairing</x:v>
      </x:c>
      <x:c r="O968" s="6" t="str">
        <x:v>Do not target</x:v>
      </x:c>
      <x:c r="P968" s="6" t="str">
        <x:v>Dealer, product, industrial, unrelated entity or non-service intent does not match the independent workshop offer. Average position 29.42 makes ranking the main issue; avoid a CTR-only rewrite.</x:v>
      </x:c>
      <x:c r="Q968" s="6" t="str">
        <x:v>mercedes-benz</x:v>
      </x:c>
      <x:c r="R968" s="6" t="str">
        <x:v>service-repair</x:v>
      </x:c>
      <x:c r="S968" s="6" t="str">
        <x:v>Near me; location unknown</x:v>
      </x:c>
      <x:c r="T968" s="6" t="n">
        <x:v>0</x:v>
      </x:c>
      <x:c r="U968" s="6" t="str">
        <x:v>21–40</x:v>
      </x:c>
      <x:c r="V968" s="6" t="str">
        <x:v>Content, internal authority and owner alignment</x:v>
      </x:c>
      <x:c r="W968" s="6" t="str">
        <x:v>Irrelevant</x:v>
      </x:c>
      <x:c r="X968" s="6" t="n">
        <x:v>964</x:v>
      </x:c>
      <x:c r="Y968" s="6" t="str">
        <x:v>Unconfirmed — joint query/page data required</x:v>
      </x:c>
    </x:row>
    <x:row r="969" ht="42" customHeight="1">
      <x:c r="A969" s="6" t="str">
        <x:v>nissan service centre</x:v>
      </x:c>
      <x:c r="B969" s="14" t="n">
        <x:v>0</x:v>
      </x:c>
      <x:c r="C969" s="14" t="n">
        <x:v>12</x:v>
      </x:c>
      <x:c r="D969" s="15" t="n">
        <x:v>0</x:v>
      </x:c>
      <x:c r="E969" s="16" t="n">
        <x:v>30.08</x:v>
      </x:c>
      <x:c r="F969" s="6" t="str">
        <x:v>GROWTH</x:v>
      </x:c>
      <x:c r="G969" s="17" t="n">
        <x:f>'Scoring'!I969</x:f>
        <x:v>55.7</x:v>
      </x:c>
      <x:c r="H969" s="6" t="str">
        <x:v>SUPPORT</x:v>
      </x:c>
      <x:c r="I969" s="6" t="str">
        <x:v>nissan: Service and repair</x:v>
      </x:c>
      <x:c r="J969" s="6" t="str">
        <x:v>Secondary</x:v>
      </x:c>
      <x:c r="K969" s="6" t="str">
        <x:v>Commercial service enquiry</x:v>
      </x:c>
      <x:c r="L969" s="6" t="str">
        <x:v>High</x:v>
      </x:c>
      <x:c r="M969" s="6" t="str">
        <x:v>https://digitecme.com/brands/nissan-service-dubai</x:v>
      </x:c>
      <x:c r="N969" s="6" t="str">
        <x:v>Unknown — export has no query/page pairing</x:v>
      </x:c>
      <x:c r="O969" s="6" t="str">
        <x:v>Retain primary intent and support variants</x:v>
      </x:c>
      <x:c r="P969" s="6" t="str">
        <x:v>Average position 30.08 makes ranking the main issue; avoid a CTR-only rewrite.</x:v>
      </x:c>
      <x:c r="Q969" s="6" t="str">
        <x:v>nissan</x:v>
      </x:c>
      <x:c r="R969" s="6" t="str">
        <x:v>service-repair</x:v>
      </x:c>
      <x:c r="S969" s="6" t="str">
        <x:v>Location unspecified</x:v>
      </x:c>
      <x:c r="T969" s="6" t="n">
        <x:v>3</x:v>
      </x:c>
      <x:c r="U969" s="6" t="str">
        <x:v>21–40</x:v>
      </x:c>
      <x:c r="V969" s="6" t="str">
        <x:v>Content, internal authority and owner alignment</x:v>
      </x:c>
      <x:c r="W969" s="6" t="str">
        <x:v>Relevant supporting</x:v>
      </x:c>
      <x:c r="X969" s="6" t="n">
        <x:v>965</x:v>
      </x:c>
      <x:c r="Y969" s="6" t="str">
        <x:v>Unconfirmed — joint query/page data required</x:v>
      </x:c>
    </x:row>
    <x:row r="970" ht="42" customHeight="1">
      <x:c r="A970" s="6" t="str">
        <x:v>gearbox repair near me</x:v>
      </x:c>
      <x:c r="B970" s="14" t="n">
        <x:v>0</x:v>
      </x:c>
      <x:c r="C970" s="14" t="n">
        <x:v>12</x:v>
      </x:c>
      <x:c r="D970" s="15" t="n">
        <x:v>0</x:v>
      </x:c>
      <x:c r="E970" s="16" t="n">
        <x:v>30.58</x:v>
      </x:c>
      <x:c r="F970" s="6" t="str">
        <x:v>GROWTH</x:v>
      </x:c>
      <x:c r="G970" s="17" t="n">
        <x:f>'Scoring'!I970</x:f>
        <x:v>60.7</x:v>
      </x:c>
      <x:c r="H970" s="6" t="str">
        <x:v>SUPPORT</x:v>
      </x:c>
      <x:c r="I970" s="6" t="str">
        <x:v>All vehicles: Transmission and gearbox repair</x:v>
      </x:c>
      <x:c r="J970" s="6" t="str">
        <x:v>Secondary</x:v>
      </x:c>
      <x:c r="K970" s="6" t="str">
        <x:v>Commercial service enquiry</x:v>
      </x:c>
      <x:c r="L970" s="6" t="str">
        <x:v>High</x:v>
      </x:c>
      <x:c r="M970" s="6" t="str">
        <x:v>https://digitecme.com/services/car-service-dubai</x:v>
      </x:c>
      <x:c r="N970" s="6" t="str">
        <x:v>Unknown — export has no query/page pairing</x:v>
      </x:c>
      <x:c r="O970" s="6" t="str">
        <x:v>Retain primary intent and support variants</x:v>
      </x:c>
      <x:c r="P970" s="6" t="str">
        <x:v>Average position 30.58 makes ranking the main issue; avoid a CTR-only rewrite.</x:v>
      </x:c>
      <x:c r="Q970" s="6" t="str">
        <x:v>All vehicles</x:v>
      </x:c>
      <x:c r="R970" s="6" t="str">
        <x:v>transmission-repair</x:v>
      </x:c>
      <x:c r="S970" s="6" t="str">
        <x:v>Near me; location unknown</x:v>
      </x:c>
      <x:c r="T970" s="6" t="n">
        <x:v>3</x:v>
      </x:c>
      <x:c r="U970" s="6" t="str">
        <x:v>21–40</x:v>
      </x:c>
      <x:c r="V970" s="6" t="str">
        <x:v>Content, internal authority and owner alignment</x:v>
      </x:c>
      <x:c r="W970" s="6" t="str">
        <x:v>Relevant supporting</x:v>
      </x:c>
      <x:c r="X970" s="6" t="n">
        <x:v>966</x:v>
      </x:c>
      <x:c r="Y970" s="6" t="str">
        <x:v>Unconfirmed — joint query/page data required</x:v>
      </x:c>
    </x:row>
    <x:row r="971" ht="42" customHeight="1">
      <x:c r="A971" s="6" t="str">
        <x:v>bmw repair specialist in dubai</x:v>
      </x:c>
      <x:c r="B971" s="14" t="n">
        <x:v>0</x:v>
      </x:c>
      <x:c r="C971" s="14" t="n">
        <x:v>12</x:v>
      </x:c>
      <x:c r="D971" s="15" t="n">
        <x:v>0</x:v>
      </x:c>
      <x:c r="E971" s="16" t="n">
        <x:v>31.08</x:v>
      </x:c>
      <x:c r="F971" s="6" t="str">
        <x:v>GROWTH</x:v>
      </x:c>
      <x:c r="G971" s="17" t="n">
        <x:f>'Scoring'!I971</x:f>
        <x:v>68.7</x:v>
      </x:c>
      <x:c r="H971" s="6" t="str">
        <x:v>SUPPORT</x:v>
      </x:c>
      <x:c r="I971" s="6" t="str">
        <x:v>bmw: Service and repair (English)</x:v>
      </x:c>
      <x:c r="J971" s="6" t="str">
        <x:v>Secondary</x:v>
      </x:c>
      <x:c r="K971" s="6" t="str">
        <x:v>Commercial service enquiry</x:v>
      </x:c>
      <x:c r="L971" s="6" t="str">
        <x:v>High</x:v>
      </x:c>
      <x:c r="M971" s="6" t="str">
        <x:v>https://digitecme.com/brands/bmw-service-dubai</x:v>
      </x:c>
      <x:c r="N971" s="6" t="str">
        <x:v>Unknown — export has no query/page pairing</x:v>
      </x:c>
      <x:c r="O971" s="6" t="str">
        <x:v>Retain primary intent and support variants</x:v>
      </x:c>
      <x:c r="P971" s="6" t="str">
        <x:v>Average position 31.08 makes ranking the main issue; avoid a CTR-only rewrite.</x:v>
      </x:c>
      <x:c r="Q971" s="6" t="str">
        <x:v>bmw</x:v>
      </x:c>
      <x:c r="R971" s="6" t="str">
        <x:v>service-repair</x:v>
      </x:c>
      <x:c r="S971" s="6" t="str">
        <x:v>Dubai explicit</x:v>
      </x:c>
      <x:c r="T971" s="6" t="n">
        <x:v>5</x:v>
      </x:c>
      <x:c r="U971" s="6" t="str">
        <x:v>21–40</x:v>
      </x:c>
      <x:c r="V971" s="6" t="str">
        <x:v>Content, internal authority and owner alignment</x:v>
      </x:c>
      <x:c r="W971" s="6" t="str">
        <x:v>Relevant supporting</x:v>
      </x:c>
      <x:c r="X971" s="6" t="n">
        <x:v>967</x:v>
      </x:c>
      <x:c r="Y971" s="6" t="str">
        <x:v>Unconfirmed — joint query/page data required</x:v>
      </x:c>
    </x:row>
    <x:row r="972" ht="42" customHeight="1">
      <x:c r="A972" s="6" t="str">
        <x:v>body repair services</x:v>
      </x:c>
      <x:c r="B972" s="14" t="n">
        <x:v>0</x:v>
      </x:c>
      <x:c r="C972" s="14" t="n">
        <x:v>12</x:v>
      </x:c>
      <x:c r="D972" s="15" t="n">
        <x:v>0</x:v>
      </x:c>
      <x:c r="E972" s="16" t="n">
        <x:v>33.17</x:v>
      </x:c>
      <x:c r="F972" s="6" t="str">
        <x:v>GROWTH</x:v>
      </x:c>
      <x:c r="G972" s="17" t="n">
        <x:f>'Scoring'!I972</x:f>
        <x:v>55.7</x:v>
      </x:c>
      <x:c r="H972" s="6" t="str">
        <x:v>SUPPORT</x:v>
      </x:c>
      <x:c r="I972" s="6" t="str">
        <x:v>All vehicles: Body repair</x:v>
      </x:c>
      <x:c r="J972" s="6" t="str">
        <x:v>Secondary</x:v>
      </x:c>
      <x:c r="K972" s="6" t="str">
        <x:v>Commercial service enquiry</x:v>
      </x:c>
      <x:c r="L972" s="6" t="str">
        <x:v>High</x:v>
      </x:c>
      <x:c r="M972" s="6" t="str">
        <x:v>https://digitecme.com/services/car-body-repair-dubai</x:v>
      </x:c>
      <x:c r="N972" s="6" t="str">
        <x:v>Unknown — export has no query/page pairing</x:v>
      </x:c>
      <x:c r="O972" s="6" t="str">
        <x:v>Retain primary intent and support variants</x:v>
      </x:c>
      <x:c r="P972" s="6" t="str">
        <x:v>Average position 33.17 makes ranking the main issue; avoid a CTR-only rewrite.</x:v>
      </x:c>
      <x:c r="Q972" s="6" t="str">
        <x:v>All vehicles</x:v>
      </x:c>
      <x:c r="R972" s="6" t="str">
        <x:v>body-repair</x:v>
      </x:c>
      <x:c r="S972" s="6" t="str">
        <x:v>Location unspecified</x:v>
      </x:c>
      <x:c r="T972" s="6" t="n">
        <x:v>3</x:v>
      </x:c>
      <x:c r="U972" s="6" t="str">
        <x:v>21–40</x:v>
      </x:c>
      <x:c r="V972" s="6" t="str">
        <x:v>Content, internal authority and owner alignment</x:v>
      </x:c>
      <x:c r="W972" s="6" t="str">
        <x:v>Relevant supporting</x:v>
      </x:c>
      <x:c r="X972" s="6" t="n">
        <x:v>968</x:v>
      </x:c>
      <x:c r="Y972" s="6" t="str">
        <x:v>Unconfirmed — joint query/page data required</x:v>
      </x:c>
    </x:row>
    <x:row r="973" ht="42" customHeight="1">
      <x:c r="A973" s="6" t="str">
        <x:v>audi engine repair dubai</x:v>
      </x:c>
      <x:c r="B973" s="14" t="n">
        <x:v>0</x:v>
      </x:c>
      <x:c r="C973" s="14" t="n">
        <x:v>12</x:v>
      </x:c>
      <x:c r="D973" s="15" t="n">
        <x:v>0</x:v>
      </x:c>
      <x:c r="E973" s="16" t="n">
        <x:v>33.5</x:v>
      </x:c>
      <x:c r="F973" s="6" t="str">
        <x:v>GROWTH</x:v>
      </x:c>
      <x:c r="G973" s="17" t="n">
        <x:f>'Scoring'!I973</x:f>
        <x:v>68.7</x:v>
      </x:c>
      <x:c r="H973" s="6" t="str">
        <x:v>SPLIT</x:v>
      </x:c>
      <x:c r="I973" s="6" t="str">
        <x:v>audi: Engine and mechanical repair</x:v>
      </x:c>
      <x:c r="J973" s="6" t="str">
        <x:v>Primary</x:v>
      </x:c>
      <x:c r="K973" s="6" t="str">
        <x:v>Commercial service enquiry</x:v>
      </x:c>
      <x:c r="L973" s="6" t="str">
        <x:v>High</x:v>
      </x:c>
      <x:c r="M973" s="6" t="str">
        <x:v>https://digitecme.com/brands/audi-service-dubai/mechanical-repair</x:v>
      </x:c>
      <x:c r="N973" s="6" t="str">
        <x:v>Unknown — export has no query/page pairing</x:v>
      </x:c>
      <x:c r="O973" s="6" t="str">
        <x:v>Use dedicated service owner</x:v>
      </x:c>
      <x:c r="P973" s="6" t="str">
        <x:v>Average position 33.50 makes ranking the main issue; avoid a CTR-only rewrite.</x:v>
      </x:c>
      <x:c r="Q973" s="6" t="str">
        <x:v>audi</x:v>
      </x:c>
      <x:c r="R973" s="6" t="str">
        <x:v>mechanical-repair</x:v>
      </x:c>
      <x:c r="S973" s="6" t="str">
        <x:v>Dubai explicit</x:v>
      </x:c>
      <x:c r="T973" s="6" t="n">
        <x:v>5</x:v>
      </x:c>
      <x:c r="U973" s="6" t="str">
        <x:v>21–40</x:v>
      </x:c>
      <x:c r="V973" s="6" t="str">
        <x:v>Content, internal authority and owner alignment</x:v>
      </x:c>
      <x:c r="W973" s="6" t="str">
        <x:v>High-value commercial</x:v>
      </x:c>
      <x:c r="X973" s="6" t="n">
        <x:v>969</x:v>
      </x:c>
      <x:c r="Y973" s="6" t="str">
        <x:v>Unconfirmed — joint query/page data required</x:v>
      </x:c>
    </x:row>
    <x:row r="974" ht="42" customHeight="1">
      <x:c r="A974" s="6" t="str">
        <x:v>car mechanical repair dubai</x:v>
      </x:c>
      <x:c r="B974" s="14" t="n">
        <x:v>0</x:v>
      </x:c>
      <x:c r="C974" s="14" t="n">
        <x:v>12</x:v>
      </x:c>
      <x:c r="D974" s="15" t="n">
        <x:v>0</x:v>
      </x:c>
      <x:c r="E974" s="16" t="n">
        <x:v>35.58</x:v>
      </x:c>
      <x:c r="F974" s="6" t="str">
        <x:v>GROWTH</x:v>
      </x:c>
      <x:c r="G974" s="17" t="n">
        <x:f>'Scoring'!I974</x:f>
        <x:v>60.7</x:v>
      </x:c>
      <x:c r="H974" s="6" t="str">
        <x:v>SUPPORT</x:v>
      </x:c>
      <x:c r="I974" s="6" t="str">
        <x:v>All vehicles: Engine and mechanical repair</x:v>
      </x:c>
      <x:c r="J974" s="6" t="str">
        <x:v>Secondary</x:v>
      </x:c>
      <x:c r="K974" s="6" t="str">
        <x:v>Commercial service enquiry</x:v>
      </x:c>
      <x:c r="L974" s="6" t="str">
        <x:v>High</x:v>
      </x:c>
      <x:c r="M974" s="6" t="str">
        <x:v>https://digitecme.com/services/mechanical-repair-dubai</x:v>
      </x:c>
      <x:c r="N974" s="6" t="str">
        <x:v>Unknown — export has no query/page pairing</x:v>
      </x:c>
      <x:c r="O974" s="6" t="str">
        <x:v>Retain primary intent and support variants</x:v>
      </x:c>
      <x:c r="P974" s="6" t="str">
        <x:v>Average position 35.58 makes ranking the main issue; avoid a CTR-only rewrite.</x:v>
      </x:c>
      <x:c r="Q974" s="6" t="str">
        <x:v>All vehicles</x:v>
      </x:c>
      <x:c r="R974" s="6" t="str">
        <x:v>mechanical-repair</x:v>
      </x:c>
      <x:c r="S974" s="6" t="str">
        <x:v>Dubai explicit</x:v>
      </x:c>
      <x:c r="T974" s="6" t="n">
        <x:v>3</x:v>
      </x:c>
      <x:c r="U974" s="6" t="str">
        <x:v>21–40</x:v>
      </x:c>
      <x:c r="V974" s="6" t="str">
        <x:v>Content, internal authority and owner alignment</x:v>
      </x:c>
      <x:c r="W974" s="6" t="str">
        <x:v>Relevant supporting</x:v>
      </x:c>
      <x:c r="X974" s="6" t="n">
        <x:v>970</x:v>
      </x:c>
      <x:c r="Y974" s="6" t="str">
        <x:v>Unconfirmed — joint query/page data required</x:v>
      </x:c>
    </x:row>
    <x:row r="975" ht="42" customHeight="1">
      <x:c r="A975" s="6" t="str">
        <x:v>auto suspension repair</x:v>
      </x:c>
      <x:c r="B975" s="14" t="n">
        <x:v>0</x:v>
      </x:c>
      <x:c r="C975" s="14" t="n">
        <x:v>12</x:v>
      </x:c>
      <x:c r="D975" s="15" t="n">
        <x:v>0</x:v>
      </x:c>
      <x:c r="E975" s="16" t="n">
        <x:v>41.08</x:v>
      </x:c>
      <x:c r="F975" s="6" t="str">
        <x:v>GROWTH</x:v>
      </x:c>
      <x:c r="G975" s="17" t="n">
        <x:f>'Scoring'!I975</x:f>
        <x:v>49.5</x:v>
      </x:c>
      <x:c r="H975" s="6" t="str">
        <x:v>SUPPORT</x:v>
      </x:c>
      <x:c r="I975" s="6" t="str">
        <x:v>All vehicles: Suspension repair (English)</x:v>
      </x:c>
      <x:c r="J975" s="6" t="str">
        <x:v>Secondary</x:v>
      </x:c>
      <x:c r="K975" s="6" t="str">
        <x:v>Commercial service enquiry</x:v>
      </x:c>
      <x:c r="L975" s="6" t="str">
        <x:v>High</x:v>
      </x:c>
      <x:c r="M975" s="6" t="str">
        <x:v>https://digitecme.com/services/suspension-repair-dubai</x:v>
      </x:c>
      <x:c r="N975" s="6" t="str">
        <x:v>Unknown — export has no query/page pairing</x:v>
      </x:c>
      <x:c r="O975" s="6" t="str">
        <x:v>Retain primary intent and support variants</x:v>
      </x:c>
      <x:c r="P975" s="6" t="str">
        <x:v>Average position 41.08 makes ranking the main issue; avoid a CTR-only rewrite.</x:v>
      </x:c>
      <x:c r="Q975" s="6" t="str">
        <x:v>All vehicles</x:v>
      </x:c>
      <x:c r="R975" s="6" t="str">
        <x:v>suspension-repair</x:v>
      </x:c>
      <x:c r="S975" s="6" t="str">
        <x:v>Location unspecified</x:v>
      </x:c>
      <x:c r="T975" s="6" t="n">
        <x:v>3</x:v>
      </x:c>
      <x:c r="U975" s="6" t="str">
        <x:v>40+</x:v>
      </x:c>
      <x:c r="V975" s="6" t="str">
        <x:v>Relevance, capability, indexing and authority review</x:v>
      </x:c>
      <x:c r="W975" s="6" t="str">
        <x:v>Relevant supporting</x:v>
      </x:c>
      <x:c r="X975" s="6" t="n">
        <x:v>971</x:v>
      </x:c>
      <x:c r="Y975" s="6" t="str">
        <x:v>Unconfirmed — joint query/page data required</x:v>
      </x:c>
    </x:row>
    <x:row r="976" ht="42" customHeight="1">
      <x:c r="A976" s="6" t="str">
        <x:v>porsche service dubai investment park</x:v>
      </x:c>
      <x:c r="B976" s="14" t="n">
        <x:v>0</x:v>
      </x:c>
      <x:c r="C976" s="14" t="n">
        <x:v>12</x:v>
      </x:c>
      <x:c r="D976" s="15" t="n">
        <x:v>0</x:v>
      </x:c>
      <x:c r="E976" s="16" t="n">
        <x:v>41.17</x:v>
      </x:c>
      <x:c r="F976" s="6" t="str">
        <x:v>GROWTH</x:v>
      </x:c>
      <x:c r="G976" s="17" t="n">
        <x:f>'Scoring'!I976</x:f>
        <x:v>62.5</x:v>
      </x:c>
      <x:c r="H976" s="6" t="str">
        <x:v>SUPPORT</x:v>
      </x:c>
      <x:c r="I976" s="6" t="str">
        <x:v>porsche: Service and repair (English)</x:v>
      </x:c>
      <x:c r="J976" s="6" t="str">
        <x:v>Secondary</x:v>
      </x:c>
      <x:c r="K976" s="6" t="str">
        <x:v>Commercial service enquiry</x:v>
      </x:c>
      <x:c r="L976" s="6" t="str">
        <x:v>High</x:v>
      </x:c>
      <x:c r="M976" s="6" t="str">
        <x:v>https://digitecme.com/brands/porsche-service-dubai</x:v>
      </x:c>
      <x:c r="N976" s="6" t="str">
        <x:v>Unknown — export has no query/page pairing</x:v>
      </x:c>
      <x:c r="O976" s="6" t="str">
        <x:v>Retain primary intent and support variants</x:v>
      </x:c>
      <x:c r="P976" s="6" t="str">
        <x:v>Use the actual Al Quoz location; no district landing page or implied branch. Average position 41.17 makes ranking the main issue; avoid a CTR-only rewrite.</x:v>
      </x:c>
      <x:c r="Q976" s="6" t="str">
        <x:v>porsche</x:v>
      </x:c>
      <x:c r="R976" s="6" t="str">
        <x:v>service-repair</x:v>
      </x:c>
      <x:c r="S976" s="6" t="str">
        <x:v>Other Dubai district</x:v>
      </x:c>
      <x:c r="T976" s="6" t="n">
        <x:v>5</x:v>
      </x:c>
      <x:c r="U976" s="6" t="str">
        <x:v>40+</x:v>
      </x:c>
      <x:c r="V976" s="6" t="str">
        <x:v>Relevance, capability, indexing and authority review</x:v>
      </x:c>
      <x:c r="W976" s="6" t="str">
        <x:v>Relevant supporting</x:v>
      </x:c>
      <x:c r="X976" s="6" t="n">
        <x:v>972</x:v>
      </x:c>
      <x:c r="Y976" s="6" t="str">
        <x:v>Unconfirmed — joint query/page data required</x:v>
      </x:c>
    </x:row>
    <x:row r="977" ht="57" customHeight="1">
      <x:c r="A977" s="6" t="str">
        <x:v>car battery replacement delivery</x:v>
      </x:c>
      <x:c r="B977" s="14" t="n">
        <x:v>0</x:v>
      </x:c>
      <x:c r="C977" s="14" t="n">
        <x:v>12</x:v>
      </x:c>
      <x:c r="D977" s="15" t="n">
        <x:v>0</x:v>
      </x:c>
      <x:c r="E977" s="16" t="n">
        <x:v>44.92</x:v>
      </x:c>
      <x:c r="F977" s="6" t="str">
        <x:v>DEPRIORITIZE</x:v>
      </x:c>
      <x:c r="G977" s="17" t="n">
        <x:f>'Scoring'!I977</x:f>
        <x:v>4.6</x:v>
      </x:c>
      <x:c r="H977" s="6" t="str">
        <x:v>DEPRIORITIZE</x:v>
      </x:c>
      <x:c r="I977" s="6" t="str">
        <x:v>All vehicles: Battery service (English)</x:v>
      </x:c>
      <x:c r="J977" s="6" t="str">
        <x:v>Secondary</x:v>
      </x:c>
      <x:c r="K977" s="6" t="str">
        <x:v>Commercial service enquiry</x:v>
      </x:c>
      <x:c r="L977" s="6" t="str">
        <x:v>Unverified</x:v>
      </x:c>
      <x:c r="M977" s="6" t="str">
        <x:v>https://digitecme.com/services/battery-replacement-dubai</x:v>
      </x:c>
      <x:c r="N977" s="6" t="str">
        <x:v>Unknown — export has no query/page pairing</x:v>
      </x:c>
      <x:c r="O977" s="6" t="str">
        <x:v>Confirm scope or deprioritize</x:v>
      </x:c>
      <x:c r="P977" s="6" t="str">
        <x:v>Product, high-voltage, delivery or specialist capability requires business confirmation; existing copy alone is not sufficient evidence. Average position 44.92 makes ranking the main issue; avoid a CTR-only rewrite.</x:v>
      </x:c>
      <x:c r="Q977" s="6" t="str">
        <x:v>All vehicles</x:v>
      </x:c>
      <x:c r="R977" s="6" t="str">
        <x:v>battery-replacement</x:v>
      </x:c>
      <x:c r="S977" s="6" t="str">
        <x:v>Location unspecified</x:v>
      </x:c>
      <x:c r="T977" s="6" t="n">
        <x:v>1</x:v>
      </x:c>
      <x:c r="U977" s="6" t="str">
        <x:v>40+</x:v>
      </x:c>
      <x:c r="V977" s="6" t="str">
        <x:v>Relevance, capability, indexing and authority review</x:v>
      </x:c>
      <x:c r="W977" s="6" t="str">
        <x:v>Low-value</x:v>
      </x:c>
      <x:c r="X977" s="6" t="n">
        <x:v>973</x:v>
      </x:c>
      <x:c r="Y977" s="6" t="str">
        <x:v>Unconfirmed — joint query/page data required</x:v>
      </x:c>
    </x:row>
    <x:row r="978" ht="42" customHeight="1">
      <x:c r="A978" s="6" t="str">
        <x:v>jeep repair</x:v>
      </x:c>
      <x:c r="B978" s="14" t="n">
        <x:v>0</x:v>
      </x:c>
      <x:c r="C978" s="14" t="n">
        <x:v>12</x:v>
      </x:c>
      <x:c r="D978" s="15" t="n">
        <x:v>0</x:v>
      </x:c>
      <x:c r="E978" s="16" t="n">
        <x:v>46.92</x:v>
      </x:c>
      <x:c r="F978" s="6" t="str">
        <x:v>GROWTH</x:v>
      </x:c>
      <x:c r="G978" s="17" t="n">
        <x:f>'Scoring'!I978</x:f>
        <x:v>49.5</x:v>
      </x:c>
      <x:c r="H978" s="6" t="str">
        <x:v>SUPPORT</x:v>
      </x:c>
      <x:c r="I978" s="6" t="str">
        <x:v>jeep: Service and repair (English)</x:v>
      </x:c>
      <x:c r="J978" s="6" t="str">
        <x:v>Secondary</x:v>
      </x:c>
      <x:c r="K978" s="6" t="str">
        <x:v>Commercial service enquiry</x:v>
      </x:c>
      <x:c r="L978" s="6" t="str">
        <x:v>High</x:v>
      </x:c>
      <x:c r="M978" s="6" t="str">
        <x:v>https://digitecme.com/brands/jeep-service-dubai</x:v>
      </x:c>
      <x:c r="N978" s="6" t="str">
        <x:v>Unknown — export has no query/page pairing</x:v>
      </x:c>
      <x:c r="O978" s="6" t="str">
        <x:v>Retain primary intent and support variants</x:v>
      </x:c>
      <x:c r="P978" s="6" t="str">
        <x:v>Average position 46.92 makes ranking the main issue; avoid a CTR-only rewrite.</x:v>
      </x:c>
      <x:c r="Q978" s="6" t="str">
        <x:v>jeep</x:v>
      </x:c>
      <x:c r="R978" s="6" t="str">
        <x:v>service-repair</x:v>
      </x:c>
      <x:c r="S978" s="6" t="str">
        <x:v>Location unspecified</x:v>
      </x:c>
      <x:c r="T978" s="6" t="n">
        <x:v>3</x:v>
      </x:c>
      <x:c r="U978" s="6" t="str">
        <x:v>40+</x:v>
      </x:c>
      <x:c r="V978" s="6" t="str">
        <x:v>Relevance, capability, indexing and authority review</x:v>
      </x:c>
      <x:c r="W978" s="6" t="str">
        <x:v>Relevant supporting</x:v>
      </x:c>
      <x:c r="X978" s="6" t="n">
        <x:v>974</x:v>
      </x:c>
      <x:c r="Y978" s="6" t="str">
        <x:v>Unconfirmed — joint query/page data required</x:v>
      </x:c>
    </x:row>
    <x:row r="979" ht="42" customHeight="1">
      <x:c r="A979" s="6" t="str">
        <x:v>best oil change in dubai</x:v>
      </x:c>
      <x:c r="B979" s="14" t="n">
        <x:v>0</x:v>
      </x:c>
      <x:c r="C979" s="14" t="n">
        <x:v>12</x:v>
      </x:c>
      <x:c r="D979" s="15" t="n">
        <x:v>0</x:v>
      </x:c>
      <x:c r="E979" s="16" t="n">
        <x:v>47.17</x:v>
      </x:c>
      <x:c r="F979" s="6" t="str">
        <x:v>GROWTH</x:v>
      </x:c>
      <x:c r="G979" s="17" t="n">
        <x:f>'Scoring'!I979</x:f>
        <x:v>54.5</x:v>
      </x:c>
      <x:c r="H979" s="6" t="str">
        <x:v>SUPPORT</x:v>
      </x:c>
      <x:c r="I979" s="6" t="str">
        <x:v>All vehicles: Oil change (English)</x:v>
      </x:c>
      <x:c r="J979" s="6" t="str">
        <x:v>Secondary</x:v>
      </x:c>
      <x:c r="K979" s="6" t="str">
        <x:v>Commercial service enquiry</x:v>
      </x:c>
      <x:c r="L979" s="6" t="str">
        <x:v>High</x:v>
      </x:c>
      <x:c r="M979" s="6" t="str">
        <x:v>https://digitecme.com/services/oil-change-dubai</x:v>
      </x:c>
      <x:c r="N979" s="6" t="str">
        <x:v>Unknown — export has no query/page pairing</x:v>
      </x:c>
      <x:c r="O979" s="6" t="str">
        <x:v>Retain primary intent and support variants</x:v>
      </x:c>
      <x:c r="P979" s="6" t="str">
        <x:v>Average position 47.17 makes ranking the main issue; avoid a CTR-only rewrite.</x:v>
      </x:c>
      <x:c r="Q979" s="6" t="str">
        <x:v>All vehicles</x:v>
      </x:c>
      <x:c r="R979" s="6" t="str">
        <x:v>oil-change</x:v>
      </x:c>
      <x:c r="S979" s="6" t="str">
        <x:v>Dubai explicit</x:v>
      </x:c>
      <x:c r="T979" s="6" t="n">
        <x:v>3</x:v>
      </x:c>
      <x:c r="U979" s="6" t="str">
        <x:v>40+</x:v>
      </x:c>
      <x:c r="V979" s="6" t="str">
        <x:v>Relevance, capability, indexing and authority review</x:v>
      </x:c>
      <x:c r="W979" s="6" t="str">
        <x:v>Relevant supporting</x:v>
      </x:c>
      <x:c r="X979" s="6" t="n">
        <x:v>975</x:v>
      </x:c>
      <x:c r="Y979" s="6" t="str">
        <x:v>Unconfirmed — joint query/page data required</x:v>
      </x:c>
    </x:row>
    <x:row r="980" ht="42" customHeight="1">
      <x:c r="A980" s="6" t="str">
        <x:v>oil change shops</x:v>
      </x:c>
      <x:c r="B980" s="14" t="n">
        <x:v>0</x:v>
      </x:c>
      <x:c r="C980" s="14" t="n">
        <x:v>12</x:v>
      </x:c>
      <x:c r="D980" s="15" t="n">
        <x:v>0</x:v>
      </x:c>
      <x:c r="E980" s="16" t="n">
        <x:v>47.58</x:v>
      </x:c>
      <x:c r="F980" s="6" t="str">
        <x:v>GROWTH</x:v>
      </x:c>
      <x:c r="G980" s="17" t="n">
        <x:f>'Scoring'!I980</x:f>
        <x:v>49.5</x:v>
      </x:c>
      <x:c r="H980" s="6" t="str">
        <x:v>SUPPORT</x:v>
      </x:c>
      <x:c r="I980" s="6" t="str">
        <x:v>All vehicles: Oil change (English)</x:v>
      </x:c>
      <x:c r="J980" s="6" t="str">
        <x:v>Secondary</x:v>
      </x:c>
      <x:c r="K980" s="6" t="str">
        <x:v>Commercial service enquiry</x:v>
      </x:c>
      <x:c r="L980" s="6" t="str">
        <x:v>High</x:v>
      </x:c>
      <x:c r="M980" s="6" t="str">
        <x:v>https://digitecme.com/services/oil-change-dubai</x:v>
      </x:c>
      <x:c r="N980" s="6" t="str">
        <x:v>Unknown — export has no query/page pairing</x:v>
      </x:c>
      <x:c r="O980" s="6" t="str">
        <x:v>Retain primary intent and support variants</x:v>
      </x:c>
      <x:c r="P980" s="6" t="str">
        <x:v>Average position 47.58 makes ranking the main issue; avoid a CTR-only rewrite.</x:v>
      </x:c>
      <x:c r="Q980" s="6" t="str">
        <x:v>All vehicles</x:v>
      </x:c>
      <x:c r="R980" s="6" t="str">
        <x:v>oil-change</x:v>
      </x:c>
      <x:c r="S980" s="6" t="str">
        <x:v>Location unspecified</x:v>
      </x:c>
      <x:c r="T980" s="6" t="n">
        <x:v>3</x:v>
      </x:c>
      <x:c r="U980" s="6" t="str">
        <x:v>40+</x:v>
      </x:c>
      <x:c r="V980" s="6" t="str">
        <x:v>Relevance, capability, indexing and authority review</x:v>
      </x:c>
      <x:c r="W980" s="6" t="str">
        <x:v>Relevant supporting</x:v>
      </x:c>
      <x:c r="X980" s="6" t="n">
        <x:v>976</x:v>
      </x:c>
      <x:c r="Y980" s="6" t="str">
        <x:v>Unconfirmed — joint query/page data required</x:v>
      </x:c>
    </x:row>
    <x:row r="981" ht="42" customHeight="1">
      <x:c r="A981" s="6" t="str">
        <x:v>exhaust system</x:v>
      </x:c>
      <x:c r="B981" s="14" t="n">
        <x:v>0</x:v>
      </x:c>
      <x:c r="C981" s="14" t="n">
        <x:v>12</x:v>
      </x:c>
      <x:c r="D981" s="15" t="n">
        <x:v>0</x:v>
      </x:c>
      <x:c r="E981" s="16" t="n">
        <x:v>48.5</x:v>
      </x:c>
      <x:c r="F981" s="6" t="str">
        <x:v>GROWTH</x:v>
      </x:c>
      <x:c r="G981" s="17" t="n">
        <x:f>'Scoring'!I981</x:f>
        <x:v>49.5</x:v>
      </x:c>
      <x:c r="H981" s="6" t="str">
        <x:v>SUPPORT</x:v>
      </x:c>
      <x:c r="I981" s="6" t="str">
        <x:v>All vehicles: Exhaust repair</x:v>
      </x:c>
      <x:c r="J981" s="6" t="str">
        <x:v>Secondary</x:v>
      </x:c>
      <x:c r="K981" s="6" t="str">
        <x:v>Commercial service enquiry</x:v>
      </x:c>
      <x:c r="L981" s="6" t="str">
        <x:v>High</x:v>
      </x:c>
      <x:c r="M981" s="6" t="str">
        <x:v>https://digitecme.com/services/exhaust-repair-dubai</x:v>
      </x:c>
      <x:c r="N981" s="6" t="str">
        <x:v>Unknown — export has no query/page pairing</x:v>
      </x:c>
      <x:c r="O981" s="6" t="str">
        <x:v>Retain primary intent and support variants</x:v>
      </x:c>
      <x:c r="P981" s="6" t="str">
        <x:v>Average position 48.50 makes ranking the main issue; avoid a CTR-only rewrite.</x:v>
      </x:c>
      <x:c r="Q981" s="6" t="str">
        <x:v>All vehicles</x:v>
      </x:c>
      <x:c r="R981" s="6" t="str">
        <x:v>exhaust-repair</x:v>
      </x:c>
      <x:c r="S981" s="6" t="str">
        <x:v>Location unspecified</x:v>
      </x:c>
      <x:c r="T981" s="6" t="n">
        <x:v>3</x:v>
      </x:c>
      <x:c r="U981" s="6" t="str">
        <x:v>40+</x:v>
      </x:c>
      <x:c r="V981" s="6" t="str">
        <x:v>Relevance, capability, indexing and authority review</x:v>
      </x:c>
      <x:c r="W981" s="6" t="str">
        <x:v>Relevant supporting</x:v>
      </x:c>
      <x:c r="X981" s="6" t="n">
        <x:v>977</x:v>
      </x:c>
      <x:c r="Y981" s="6" t="str">
        <x:v>Unconfirmed — joint query/page data required</x:v>
      </x:c>
    </x:row>
    <x:row r="982" ht="42" customHeight="1">
      <x:c r="A982" s="6" t="str">
        <x:v>premium ppf service uae</x:v>
      </x:c>
      <x:c r="B982" s="14" t="n">
        <x:v>0</x:v>
      </x:c>
      <x:c r="C982" s="14" t="n">
        <x:v>12</x:v>
      </x:c>
      <x:c r="D982" s="15" t="n">
        <x:v>0</x:v>
      </x:c>
      <x:c r="E982" s="16" t="n">
        <x:v>51.17</x:v>
      </x:c>
      <x:c r="F982" s="6" t="str">
        <x:v>GROWTH</x:v>
      </x:c>
      <x:c r="G982" s="17" t="n">
        <x:f>'Scoring'!I982</x:f>
        <x:v>57.5</x:v>
      </x:c>
      <x:c r="H982" s="6" t="str">
        <x:v>SUPPORT</x:v>
      </x:c>
      <x:c r="I982" s="6" t="str">
        <x:v>All vehicles: Paint protection film</x:v>
      </x:c>
      <x:c r="J982" s="6" t="str">
        <x:v>Secondary</x:v>
      </x:c>
      <x:c r="K982" s="6" t="str">
        <x:v>Commercial service enquiry</x:v>
      </x:c>
      <x:c r="L982" s="6" t="str">
        <x:v>High</x:v>
      </x:c>
      <x:c r="M982" s="6" t="str">
        <x:v>https://digitecme.com/services/paint-protection-film</x:v>
      </x:c>
      <x:c r="N982" s="6" t="str">
        <x:v>Unknown — export has no query/page pairing</x:v>
      </x:c>
      <x:c r="O982" s="6" t="str">
        <x:v>Retain primary intent and support variants</x:v>
      </x:c>
      <x:c r="P982" s="6" t="str">
        <x:v>Film intent belongs to the PPF page; vehicle and district terms are secondary context. Average position 51.17 makes ranking the main issue; avoid a CTR-only rewrite.</x:v>
      </x:c>
      <x:c r="Q982" s="6" t="str">
        <x:v>All vehicles</x:v>
      </x:c>
      <x:c r="R982" s="6" t="str">
        <x:v>ppf</x:v>
      </x:c>
      <x:c r="S982" s="6" t="str">
        <x:v>Location unspecified</x:v>
      </x:c>
      <x:c r="T982" s="6" t="n">
        <x:v>5</x:v>
      </x:c>
      <x:c r="U982" s="6" t="str">
        <x:v>40+</x:v>
      </x:c>
      <x:c r="V982" s="6" t="str">
        <x:v>Relevance, capability, indexing and authority review</x:v>
      </x:c>
      <x:c r="W982" s="6" t="str">
        <x:v>Relevant supporting</x:v>
      </x:c>
      <x:c r="X982" s="6" t="n">
        <x:v>978</x:v>
      </x:c>
      <x:c r="Y982" s="6" t="str">
        <x:v>Unconfirmed — joint query/page data required</x:v>
      </x:c>
    </x:row>
    <x:row r="983" ht="42" customHeight="1">
      <x:c r="A983" s="6" t="str">
        <x:v>bmw body shop</x:v>
      </x:c>
      <x:c r="B983" s="14" t="n">
        <x:v>0</x:v>
      </x:c>
      <x:c r="C983" s="14" t="n">
        <x:v>12</x:v>
      </x:c>
      <x:c r="D983" s="15" t="n">
        <x:v>0</x:v>
      </x:c>
      <x:c r="E983" s="16" t="n">
        <x:v>54.42</x:v>
      </x:c>
      <x:c r="F983" s="6" t="str">
        <x:v>GROWTH</x:v>
      </x:c>
      <x:c r="G983" s="17" t="n">
        <x:f>'Scoring'!I983</x:f>
        <x:v>57.5</x:v>
      </x:c>
      <x:c r="H983" s="6" t="str">
        <x:v>SPLIT</x:v>
      </x:c>
      <x:c r="I983" s="6" t="str">
        <x:v>bmw: Body repair</x:v>
      </x:c>
      <x:c r="J983" s="6" t="str">
        <x:v>Secondary</x:v>
      </x:c>
      <x:c r="K983" s="6" t="str">
        <x:v>Commercial service enquiry</x:v>
      </x:c>
      <x:c r="L983" s="6" t="str">
        <x:v>High</x:v>
      </x:c>
      <x:c r="M983" s="6" t="str">
        <x:v>https://digitecme.com/brands/bmw-service-dubai/body-repair</x:v>
      </x:c>
      <x:c r="N983" s="6" t="str">
        <x:v>Unknown — export has no query/page pairing</x:v>
      </x:c>
      <x:c r="O983" s="6" t="str">
        <x:v>Use dedicated service owner</x:v>
      </x:c>
      <x:c r="P983" s="6" t="str">
        <x:v>Average position 54.42 makes ranking the main issue; avoid a CTR-only rewrite.</x:v>
      </x:c>
      <x:c r="Q983" s="6" t="str">
        <x:v>bmw</x:v>
      </x:c>
      <x:c r="R983" s="6" t="str">
        <x:v>body-repair</x:v>
      </x:c>
      <x:c r="S983" s="6" t="str">
        <x:v>Location unspecified</x:v>
      </x:c>
      <x:c r="T983" s="6" t="n">
        <x:v>5</x:v>
      </x:c>
      <x:c r="U983" s="6" t="str">
        <x:v>40+</x:v>
      </x:c>
      <x:c r="V983" s="6" t="str">
        <x:v>Relevance, capability, indexing and authority review</x:v>
      </x:c>
      <x:c r="W983" s="6" t="str">
        <x:v>High-value commercial</x:v>
      </x:c>
      <x:c r="X983" s="6" t="n">
        <x:v>979</x:v>
      </x:c>
      <x:c r="Y983" s="6" t="str">
        <x:v>Unconfirmed — joint query/page data required</x:v>
      </x:c>
    </x:row>
    <x:row r="984" ht="42" customHeight="1">
      <x:c r="A984" s="6" t="str">
        <x:v>professional car modification and outfitting services uae</x:v>
      </x:c>
      <x:c r="B984" s="14" t="n">
        <x:v>0</x:v>
      </x:c>
      <x:c r="C984" s="14" t="n">
        <x:v>12</x:v>
      </x:c>
      <x:c r="D984" s="15" t="n">
        <x:v>0</x:v>
      </x:c>
      <x:c r="E984" s="16" t="n">
        <x:v>55.58</x:v>
      </x:c>
      <x:c r="F984" s="6" t="str">
        <x:v>GROWTH</x:v>
      </x:c>
      <x:c r="G984" s="17" t="n">
        <x:f>'Scoring'!I984</x:f>
        <x:v>57.5</x:v>
      </x:c>
      <x:c r="H984" s="6" t="str">
        <x:v>SUPPORT</x:v>
      </x:c>
      <x:c r="I984" s="6" t="str">
        <x:v>All vehicles: Performance tuning</x:v>
      </x:c>
      <x:c r="J984" s="6" t="str">
        <x:v>Secondary</x:v>
      </x:c>
      <x:c r="K984" s="6" t="str">
        <x:v>Commercial service enquiry</x:v>
      </x:c>
      <x:c r="L984" s="6" t="str">
        <x:v>High</x:v>
      </x:c>
      <x:c r="M984" s="6" t="str">
        <x:v>https://digitecme.com/tuning</x:v>
      </x:c>
      <x:c r="N984" s="6" t="str">
        <x:v>Unknown — export has no query/page pairing</x:v>
      </x:c>
      <x:c r="O984" s="6" t="str">
        <x:v>Retain primary intent and support variants</x:v>
      </x:c>
      <x:c r="P984" s="6" t="str">
        <x:v>Use the existing tuning page; model scope and any GAD relationship require verified facts. Average position 55.58 makes ranking the main issue; avoid a CTR-only rewrite.</x:v>
      </x:c>
      <x:c r="Q984" s="6" t="str">
        <x:v>All vehicles</x:v>
      </x:c>
      <x:c r="R984" s="6" t="str">
        <x:v>tuning</x:v>
      </x:c>
      <x:c r="S984" s="6" t="str">
        <x:v>Location unspecified</x:v>
      </x:c>
      <x:c r="T984" s="6" t="n">
        <x:v>5</x:v>
      </x:c>
      <x:c r="U984" s="6" t="str">
        <x:v>40+</x:v>
      </x:c>
      <x:c r="V984" s="6" t="str">
        <x:v>Relevance, capability, indexing and authority review</x:v>
      </x:c>
      <x:c r="W984" s="6" t="str">
        <x:v>Relevant supporting</x:v>
      </x:c>
      <x:c r="X984" s="6" t="n">
        <x:v>980</x:v>
      </x:c>
      <x:c r="Y984" s="6" t="str">
        <x:v>Unconfirmed — joint query/page data required</x:v>
      </x:c>
    </x:row>
    <x:row r="985" ht="42" customHeight="1">
      <x:c r="A985" s="6" t="str">
        <x:v>vw brake repair</x:v>
      </x:c>
      <x:c r="B985" s="14" t="n">
        <x:v>0</x:v>
      </x:c>
      <x:c r="C985" s="14" t="n">
        <x:v>12</x:v>
      </x:c>
      <x:c r="D985" s="15" t="n">
        <x:v>0</x:v>
      </x:c>
      <x:c r="E985" s="16" t="n">
        <x:v>56.17</x:v>
      </x:c>
      <x:c r="F985" s="6" t="str">
        <x:v>GROWTH</x:v>
      </x:c>
      <x:c r="G985" s="17" t="n">
        <x:f>'Scoring'!I985</x:f>
        <x:v>49.5</x:v>
      </x:c>
      <x:c r="H985" s="6" t="str">
        <x:v>SPLIT</x:v>
      </x:c>
      <x:c r="I985" s="6" t="str">
        <x:v>volkswagen: Brake repair</x:v>
      </x:c>
      <x:c r="J985" s="6" t="str">
        <x:v>Secondary</x:v>
      </x:c>
      <x:c r="K985" s="6" t="str">
        <x:v>Commercial service enquiry</x:v>
      </x:c>
      <x:c r="L985" s="6" t="str">
        <x:v>High</x:v>
      </x:c>
      <x:c r="M985" s="6" t="str">
        <x:v>https://digitecme.com/brands/volkswagen-service-dubai/brake-repair</x:v>
      </x:c>
      <x:c r="N985" s="6" t="str">
        <x:v>Unknown — export has no query/page pairing</x:v>
      </x:c>
      <x:c r="O985" s="6" t="str">
        <x:v>Use dedicated service owner</x:v>
      </x:c>
      <x:c r="P985" s="6" t="str">
        <x:v>Average position 56.17 makes ranking the main issue; avoid a CTR-only rewrite.</x:v>
      </x:c>
      <x:c r="Q985" s="6" t="str">
        <x:v>volkswagen</x:v>
      </x:c>
      <x:c r="R985" s="6" t="str">
        <x:v>brake-repair</x:v>
      </x:c>
      <x:c r="S985" s="6" t="str">
        <x:v>Location unspecified</x:v>
      </x:c>
      <x:c r="T985" s="6" t="n">
        <x:v>3</x:v>
      </x:c>
      <x:c r="U985" s="6" t="str">
        <x:v>40+</x:v>
      </x:c>
      <x:c r="V985" s="6" t="str">
        <x:v>Relevance, capability, indexing and authority review</x:v>
      </x:c>
      <x:c r="W985" s="6" t="str">
        <x:v>High-value commercial</x:v>
      </x:c>
      <x:c r="X985" s="6" t="n">
        <x:v>981</x:v>
      </x:c>
      <x:c r="Y985" s="6" t="str">
        <x:v>Unconfirmed — joint query/page data required</x:v>
      </x:c>
    </x:row>
    <x:row r="986" ht="42" customHeight="1">
      <x:c r="A986" s="6" t="str">
        <x:v>ford repair shop near me</x:v>
      </x:c>
      <x:c r="B986" s="14" t="n">
        <x:v>0</x:v>
      </x:c>
      <x:c r="C986" s="14" t="n">
        <x:v>12</x:v>
      </x:c>
      <x:c r="D986" s="15" t="n">
        <x:v>0</x:v>
      </x:c>
      <x:c r="E986" s="16" t="n">
        <x:v>56.58</x:v>
      </x:c>
      <x:c r="F986" s="6" t="str">
        <x:v>GROWTH</x:v>
      </x:c>
      <x:c r="G986" s="17" t="n">
        <x:f>'Scoring'!I986</x:f>
        <x:v>54.5</x:v>
      </x:c>
      <x:c r="H986" s="6" t="str">
        <x:v>SUPPORT</x:v>
      </x:c>
      <x:c r="I986" s="6" t="str">
        <x:v>ford: Service and repair (English)</x:v>
      </x:c>
      <x:c r="J986" s="6" t="str">
        <x:v>Secondary</x:v>
      </x:c>
      <x:c r="K986" s="6" t="str">
        <x:v>Commercial service enquiry</x:v>
      </x:c>
      <x:c r="L986" s="6" t="str">
        <x:v>High</x:v>
      </x:c>
      <x:c r="M986" s="6" t="str">
        <x:v>https://digitecme.com/brands/ford-service-dubai</x:v>
      </x:c>
      <x:c r="N986" s="6" t="str">
        <x:v>Unknown — export has no query/page pairing</x:v>
      </x:c>
      <x:c r="O986" s="6" t="str">
        <x:v>Retain primary intent and support variants</x:v>
      </x:c>
      <x:c r="P986" s="6" t="str">
        <x:v>Average position 56.58 makes ranking the main issue; avoid a CTR-only rewrite.</x:v>
      </x:c>
      <x:c r="Q986" s="6" t="str">
        <x:v>ford</x:v>
      </x:c>
      <x:c r="R986" s="6" t="str">
        <x:v>service-repair</x:v>
      </x:c>
      <x:c r="S986" s="6" t="str">
        <x:v>Near me; location unknown</x:v>
      </x:c>
      <x:c r="T986" s="6" t="n">
        <x:v>3</x:v>
      </x:c>
      <x:c r="U986" s="6" t="str">
        <x:v>40+</x:v>
      </x:c>
      <x:c r="V986" s="6" t="str">
        <x:v>Relevance, capability, indexing and authority review</x:v>
      </x:c>
      <x:c r="W986" s="6" t="str">
        <x:v>Relevant supporting</x:v>
      </x:c>
      <x:c r="X986" s="6" t="n">
        <x:v>982</x:v>
      </x:c>
      <x:c r="Y986" s="6" t="str">
        <x:v>Unconfirmed — joint query/page data required</x:v>
      </x:c>
    </x:row>
    <x:row r="987" ht="42" customHeight="1">
      <x:c r="A987" s="6" t="str">
        <x:v>range rover engine repair dubai</x:v>
      </x:c>
      <x:c r="B987" s="14" t="n">
        <x:v>0</x:v>
      </x:c>
      <x:c r="C987" s="14" t="n">
        <x:v>12</x:v>
      </x:c>
      <x:c r="D987" s="15" t="n">
        <x:v>0</x:v>
      </x:c>
      <x:c r="E987" s="16" t="n">
        <x:v>56.92</x:v>
      </x:c>
      <x:c r="F987" s="6" t="str">
        <x:v>GROWTH</x:v>
      </x:c>
      <x:c r="G987" s="17" t="n">
        <x:f>'Scoring'!I987</x:f>
        <x:v>62.5</x:v>
      </x:c>
      <x:c r="H987" s="6" t="str">
        <x:v>SPLIT</x:v>
      </x:c>
      <x:c r="I987" s="6" t="str">
        <x:v>range-rover: Engine and mechanical repair</x:v>
      </x:c>
      <x:c r="J987" s="6" t="str">
        <x:v>Primary</x:v>
      </x:c>
      <x:c r="K987" s="6" t="str">
        <x:v>Commercial service enquiry</x:v>
      </x:c>
      <x:c r="L987" s="6" t="str">
        <x:v>High</x:v>
      </x:c>
      <x:c r="M987" s="6" t="str">
        <x:v>https://digitecme.com/brands/range-rover-service-dubai/mechanical-repair</x:v>
      </x:c>
      <x:c r="N987" s="6" t="str">
        <x:v>Unknown — export has no query/page pairing</x:v>
      </x:c>
      <x:c r="O987" s="6" t="str">
        <x:v>Use dedicated service owner</x:v>
      </x:c>
      <x:c r="P987" s="6" t="str">
        <x:v>Average position 56.92 makes ranking the main issue; avoid a CTR-only rewrite.</x:v>
      </x:c>
      <x:c r="Q987" s="6" t="str">
        <x:v>range-rover</x:v>
      </x:c>
      <x:c r="R987" s="6" t="str">
        <x:v>mechanical-repair</x:v>
      </x:c>
      <x:c r="S987" s="6" t="str">
        <x:v>Dubai explicit</x:v>
      </x:c>
      <x:c r="T987" s="6" t="n">
        <x:v>5</x:v>
      </x:c>
      <x:c r="U987" s="6" t="str">
        <x:v>40+</x:v>
      </x:c>
      <x:c r="V987" s="6" t="str">
        <x:v>Relevance, capability, indexing and authority review</x:v>
      </x:c>
      <x:c r="W987" s="6" t="str">
        <x:v>High-value commercial</x:v>
      </x:c>
      <x:c r="X987" s="6" t="n">
        <x:v>983</x:v>
      </x:c>
      <x:c r="Y987" s="6" t="str">
        <x:v>Unconfirmed — joint query/page data required</x:v>
      </x:c>
    </x:row>
    <x:row r="988" ht="42" customHeight="1">
      <x:c r="A988" s="6" t="str">
        <x:v>افضل كراج صبغ بورش</x:v>
      </x:c>
      <x:c r="B988" s="14" t="n">
        <x:v>0</x:v>
      </x:c>
      <x:c r="C988" s="14" t="n">
        <x:v>12</x:v>
      </x:c>
      <x:c r="D988" s="15" t="n">
        <x:v>0</x:v>
      </x:c>
      <x:c r="E988" s="16" t="n">
        <x:v>65.17</x:v>
      </x:c>
      <x:c r="F988" s="6" t="str">
        <x:v>GROWTH</x:v>
      </x:c>
      <x:c r="G988" s="17" t="n">
        <x:f>'Scoring'!I988</x:f>
        <x:v>57.5</x:v>
      </x:c>
      <x:c r="H988" s="6" t="str">
        <x:v>SPLIT</x:v>
      </x:c>
      <x:c r="I988" s="6" t="str">
        <x:v>porsche: Body repair (Arabic)</x:v>
      </x:c>
      <x:c r="J988" s="6" t="str">
        <x:v>Primary</x:v>
      </x:c>
      <x:c r="K988" s="6" t="str">
        <x:v>Commercial service enquiry</x:v>
      </x:c>
      <x:c r="L988" s="6" t="str">
        <x:v>High</x:v>
      </x:c>
      <x:c r="M988" s="6" t="str">
        <x:v>https://digitecme.com/ar/brands/porsche-service-dubai/body-repair</x:v>
      </x:c>
      <x:c r="N988" s="6" t="str">
        <x:v>Unknown — export has no query/page pairing</x:v>
      </x:c>
      <x:c r="O988" s="6" t="str">
        <x:v>Use dedicated service owner</x:v>
      </x:c>
      <x:c r="P988" s="6" t="str">
        <x:v>Use the existing Arabic counterpart and verify its translation quality. Average position 65.17 makes ranking the main issue; avoid a CTR-only rewrite.</x:v>
      </x:c>
      <x:c r="Q988" s="6" t="str">
        <x:v>porsche</x:v>
      </x:c>
      <x:c r="R988" s="6" t="str">
        <x:v>body-repair</x:v>
      </x:c>
      <x:c r="S988" s="6" t="str">
        <x:v>Location unspecified</x:v>
      </x:c>
      <x:c r="T988" s="6" t="n">
        <x:v>5</x:v>
      </x:c>
      <x:c r="U988" s="6" t="str">
        <x:v>40+</x:v>
      </x:c>
      <x:c r="V988" s="6" t="str">
        <x:v>Relevance, capability, indexing and authority review</x:v>
      </x:c>
      <x:c r="W988" s="6" t="str">
        <x:v>High-value commercial</x:v>
      </x:c>
      <x:c r="X988" s="6" t="n">
        <x:v>984</x:v>
      </x:c>
      <x:c r="Y988" s="6" t="str">
        <x:v>Unconfirmed — joint query/page data required</x:v>
      </x:c>
    </x:row>
    <x:row r="989" ht="57" customHeight="1">
      <x:c r="A989" s="6" t="str">
        <x:v>digital solutions for automotive industry in dubai</x:v>
      </x:c>
      <x:c r="B989" s="14" t="n">
        <x:v>0</x:v>
      </x:c>
      <x:c r="C989" s="14" t="n">
        <x:v>12</x:v>
      </x:c>
      <x:c r="D989" s="15" t="n">
        <x:v>0</x:v>
      </x:c>
      <x:c r="E989" s="16" t="n">
        <x:v>71.08</x:v>
      </x:c>
      <x:c r="F989" s="6" t="str">
        <x:v>IGNORE</x:v>
      </x:c>
      <x:c r="G989" s="17" t="n">
        <x:f>'Scoring'!I989</x:f>
        <x:v>0</x:v>
      </x:c>
      <x:c r="H989" s="6" t="str">
        <x:v>IGNORE</x:v>
      </x:c>
      <x:c r="I989" s="6" t="str">
        <x:v>Excluded: Industrial or non-automotive</x:v>
      </x:c>
      <x:c r="J989" s="6" t="str">
        <x:v>Secondary</x:v>
      </x:c>
      <x:c r="K989" s="6" t="str">
        <x:v>Other or mismatched intent</x:v>
      </x:c>
      <x:c r="L989" s="6" t="str">
        <x:v>None</x:v>
      </x:c>
      <x:c r="M989" s="6" t="str"/>
      <x:c r="N989" s="6" t="str">
        <x:v>Unknown — export has no query/page pairing</x:v>
      </x:c>
      <x:c r="O989" s="6" t="str">
        <x:v>Do not target</x:v>
      </x:c>
      <x:c r="P989" s="6" t="str">
        <x:v>Dealer, product, industrial, unrelated entity or non-service intent does not match the independent workshop offer. Average position 71.08 makes ranking the main issue; avoid a CTR-only rewrite.</x:v>
      </x:c>
      <x:c r="Q989" s="6" t="str">
        <x:v>All vehicles</x:v>
      </x:c>
      <x:c r="R989" s="6" t="str">
        <x:v>service-repair</x:v>
      </x:c>
      <x:c r="S989" s="6" t="str">
        <x:v>Dubai explicit</x:v>
      </x:c>
      <x:c r="T989" s="6" t="n">
        <x:v>0</x:v>
      </x:c>
      <x:c r="U989" s="6" t="str">
        <x:v>40+</x:v>
      </x:c>
      <x:c r="V989" s="6" t="str">
        <x:v>Relevance, capability, indexing and authority review</x:v>
      </x:c>
      <x:c r="W989" s="6" t="str">
        <x:v>Irrelevant</x:v>
      </x:c>
      <x:c r="X989" s="6" t="n">
        <x:v>985</x:v>
      </x:c>
      <x:c r="Y989" s="6" t="str">
        <x:v>Unconfirmed — joint query/page data required</x:v>
      </x:c>
    </x:row>
    <x:row r="990" ht="42" customHeight="1">
      <x:c r="A990" s="6" t="str">
        <x:v>car brakes services</x:v>
      </x:c>
      <x:c r="B990" s="14" t="n">
        <x:v>0</x:v>
      </x:c>
      <x:c r="C990" s="14" t="n">
        <x:v>12</x:v>
      </x:c>
      <x:c r="D990" s="15" t="n">
        <x:v>0</x:v>
      </x:c>
      <x:c r="E990" s="16" t="n">
        <x:v>73.17</x:v>
      </x:c>
      <x:c r="F990" s="6" t="str">
        <x:v>GROWTH</x:v>
      </x:c>
      <x:c r="G990" s="17" t="n">
        <x:f>'Scoring'!I990</x:f>
        <x:v>49.5</x:v>
      </x:c>
      <x:c r="H990" s="6" t="str">
        <x:v>SUPPORT</x:v>
      </x:c>
      <x:c r="I990" s="6" t="str">
        <x:v>All vehicles: Brake repair (English)</x:v>
      </x:c>
      <x:c r="J990" s="6" t="str">
        <x:v>Secondary</x:v>
      </x:c>
      <x:c r="K990" s="6" t="str">
        <x:v>Commercial service enquiry</x:v>
      </x:c>
      <x:c r="L990" s="6" t="str">
        <x:v>High</x:v>
      </x:c>
      <x:c r="M990" s="6" t="str">
        <x:v>https://digitecme.com/services/brake-repair-dubai</x:v>
      </x:c>
      <x:c r="N990" s="6" t="str">
        <x:v>Unknown — export has no query/page pairing</x:v>
      </x:c>
      <x:c r="O990" s="6" t="str">
        <x:v>Retain primary intent and support variants</x:v>
      </x:c>
      <x:c r="P990" s="6" t="str">
        <x:v>Average position 73.17 makes ranking the main issue; avoid a CTR-only rewrite.</x:v>
      </x:c>
      <x:c r="Q990" s="6" t="str">
        <x:v>All vehicles</x:v>
      </x:c>
      <x:c r="R990" s="6" t="str">
        <x:v>brake-repair</x:v>
      </x:c>
      <x:c r="S990" s="6" t="str">
        <x:v>Location unspecified</x:v>
      </x:c>
      <x:c r="T990" s="6" t="n">
        <x:v>3</x:v>
      </x:c>
      <x:c r="U990" s="6" t="str">
        <x:v>40+</x:v>
      </x:c>
      <x:c r="V990" s="6" t="str">
        <x:v>Relevance, capability, indexing and authority review</x:v>
      </x:c>
      <x:c r="W990" s="6" t="str">
        <x:v>Relevant supporting</x:v>
      </x:c>
      <x:c r="X990" s="6" t="n">
        <x:v>986</x:v>
      </x:c>
      <x:c r="Y990" s="6" t="str">
        <x:v>Unconfirmed — joint query/page data required</x:v>
      </x:c>
    </x:row>
    <x:row r="991" ht="57" customHeight="1">
      <x:c r="A991" s="6" t="str">
        <x:v>instrument cluster repair</x:v>
      </x:c>
      <x:c r="B991" s="14" t="n">
        <x:v>0</x:v>
      </x:c>
      <x:c r="C991" s="14" t="n">
        <x:v>12</x:v>
      </x:c>
      <x:c r="D991" s="15" t="n">
        <x:v>0</x:v>
      </x:c>
      <x:c r="E991" s="16" t="n">
        <x:v>75.92</x:v>
      </x:c>
      <x:c r="F991" s="6" t="str">
        <x:v>DEPRIORITIZE</x:v>
      </x:c>
      <x:c r="G991" s="17" t="n">
        <x:f>'Scoring'!I991</x:f>
        <x:v>3.6</x:v>
      </x:c>
      <x:c r="H991" s="6" t="str">
        <x:v>DEPRIORITIZE</x:v>
      </x:c>
      <x:c r="I991" s="6" t="str">
        <x:v>Unspecified brand: Screen or head-unit repair</x:v>
      </x:c>
      <x:c r="J991" s="6" t="str">
        <x:v>Secondary</x:v>
      </x:c>
      <x:c r="K991" s="6" t="str">
        <x:v>Commercial capability enquiry</x:v>
      </x:c>
      <x:c r="L991" s="6" t="str">
        <x:v>Unverified</x:v>
      </x:c>
      <x:c r="M991" s="6" t="str"/>
      <x:c r="N991" s="6" t="str">
        <x:v>Unknown — export has no query/page pairing</x:v>
      </x:c>
      <x:c r="O991" s="6" t="str">
        <x:v>Confirm scope or deprioritize</x:v>
      </x:c>
      <x:c r="P991" s="6" t="str">
        <x:v>Specific retrofit or component repair capability is unconfirmed; do not publish a dedicated sales page before confirmation. Average position 75.92 makes ranking the main issue; avoid a CTR-only rewrite.</x:v>
      </x:c>
      <x:c r="Q991" s="6" t="str">
        <x:v>All vehicles</x:v>
      </x:c>
      <x:c r="R991" s="6" t="str">
        <x:v>audio-retrofit</x:v>
      </x:c>
      <x:c r="S991" s="6" t="str">
        <x:v>Location unspecified</x:v>
      </x:c>
      <x:c r="T991" s="6" t="n">
        <x:v>1</x:v>
      </x:c>
      <x:c r="U991" s="6" t="str">
        <x:v>40+</x:v>
      </x:c>
      <x:c r="V991" s="6" t="str">
        <x:v>Relevance, capability, indexing and authority review</x:v>
      </x:c>
      <x:c r="W991" s="6" t="str">
        <x:v>Low-value</x:v>
      </x:c>
      <x:c r="X991" s="6" t="n">
        <x:v>987</x:v>
      </x:c>
      <x:c r="Y991" s="6" t="str">
        <x:v>Unconfirmed — joint query/page data required</x:v>
      </x:c>
    </x:row>
    <x:row r="992" ht="42" customHeight="1">
      <x:c r="A992" s="6" t="str">
        <x:v>porsche body repair dubai</x:v>
      </x:c>
      <x:c r="B992" s="14" t="n">
        <x:v>0</x:v>
      </x:c>
      <x:c r="C992" s="14" t="n">
        <x:v>11</x:v>
      </x:c>
      <x:c r="D992" s="15" t="n">
        <x:v>0</x:v>
      </x:c>
      <x:c r="E992" s="16" t="n">
        <x:v>5.82</x:v>
      </x:c>
      <x:c r="F992" s="6" t="str">
        <x:v>HIGH</x:v>
      </x:c>
      <x:c r="G992" s="17" t="n">
        <x:f>'Scoring'!I992</x:f>
        <x:v>83.6</x:v>
      </x:c>
      <x:c r="H992" s="6" t="str">
        <x:v>SPLIT</x:v>
      </x:c>
      <x:c r="I992" s="6" t="str">
        <x:v>porsche: Body repair (English)</x:v>
      </x:c>
      <x:c r="J992" s="6" t="str">
        <x:v>Primary</x:v>
      </x:c>
      <x:c r="K992" s="6" t="str">
        <x:v>Commercial service enquiry</x:v>
      </x:c>
      <x:c r="L992" s="6" t="str">
        <x:v>High</x:v>
      </x:c>
      <x:c r="M992" s="6" t="str">
        <x:v>https://digitecme.com/brands/porsche-service-dubai/body-repair</x:v>
      </x:c>
      <x:c r="N992" s="6" t="str">
        <x:v>Unknown — export has no query/page pairing</x:v>
      </x:c>
      <x:c r="O992" s="6" t="str">
        <x:v>Use dedicated service owner</x:v>
      </x:c>
      <x:c r="P992" s="6" t="str">
        <x:v>Zero clicks from 11 impressions at average position 5.82; inspect query/page, country/device and SERP before attributing this to the snippet.</x:v>
      </x:c>
      <x:c r="Q992" s="6" t="str">
        <x:v>porsche</x:v>
      </x:c>
      <x:c r="R992" s="6" t="str">
        <x:v>body-repair</x:v>
      </x:c>
      <x:c r="S992" s="6" t="str">
        <x:v>Dubai explicit</x:v>
      </x:c>
      <x:c r="T992" s="6" t="n">
        <x:v>5</x:v>
      </x:c>
      <x:c r="U992" s="6" t="str">
        <x:v>4–10</x:v>
      </x:c>
      <x:c r="V992" s="6" t="str">
        <x:v>Page-one CTR review and top-three relevance</x:v>
      </x:c>
      <x:c r="W992" s="6" t="str">
        <x:v>High-value commercial</x:v>
      </x:c>
      <x:c r="X992" s="6" t="n">
        <x:v>988</x:v>
      </x:c>
      <x:c r="Y992" s="6" t="str">
        <x:v>Unconfirmed — joint query/page data required</x:v>
      </x:c>
    </x:row>
    <x:row r="993" ht="57" customHeight="1">
      <x:c r="A993" s="6" t="str">
        <x:v>"boasortechikjeitosoradio@gmail.com"</x:v>
      </x:c>
      <x:c r="B993" s="14" t="n">
        <x:v>0</x:v>
      </x:c>
      <x:c r="C993" s="14" t="n">
        <x:v>11</x:v>
      </x:c>
      <x:c r="D993" s="15" t="n">
        <x:v>0</x:v>
      </x:c>
      <x:c r="E993" s="16" t="n">
        <x:v>6.73</x:v>
      </x:c>
      <x:c r="F993" s="6" t="str">
        <x:v>IGNORE</x:v>
      </x:c>
      <x:c r="G993" s="17" t="n">
        <x:f>'Scoring'!I993</x:f>
        <x:v>0</x:v>
      </x:c>
      <x:c r="H993" s="6" t="str">
        <x:v>IGNORE</x:v>
      </x:c>
      <x:c r="I993" s="6" t="str">
        <x:v>Excluded: Unrelated or wrong location</x:v>
      </x:c>
      <x:c r="J993" s="6" t="str">
        <x:v>Secondary</x:v>
      </x:c>
      <x:c r="K993" s="6" t="str">
        <x:v>Other or mismatched intent</x:v>
      </x:c>
      <x:c r="L993" s="6" t="str">
        <x:v>None</x:v>
      </x:c>
      <x:c r="M993" s="6" t="str"/>
      <x:c r="N993" s="6" t="str">
        <x:v>Unknown — export has no query/page pairing</x:v>
      </x:c>
      <x:c r="O993" s="6" t="str">
        <x:v>Do not target</x:v>
      </x:c>
      <x:c r="P993" s="6" t="str">
        <x:v>Dealer, product, industrial, unrelated entity or non-service intent does not match the independent workshop offer. Zero clicks from 11 impressions at average position 6.73; inspect query/page, country/device and SERP before attributing this to the snippet.</x:v>
      </x:c>
      <x:c r="Q993" s="6" t="str">
        <x:v>All vehicles</x:v>
      </x:c>
      <x:c r="R993" s="6" t="str">
        <x:v>service-repair</x:v>
      </x:c>
      <x:c r="S993" s="6" t="str">
        <x:v>Location unspecified</x:v>
      </x:c>
      <x:c r="T993" s="6" t="n">
        <x:v>0</x:v>
      </x:c>
      <x:c r="U993" s="6" t="str">
        <x:v>4–10</x:v>
      </x:c>
      <x:c r="V993" s="6" t="str">
        <x:v>Page-one CTR review and top-three relevance</x:v>
      </x:c>
      <x:c r="W993" s="6" t="str">
        <x:v>Irrelevant</x:v>
      </x:c>
      <x:c r="X993" s="6" t="n">
        <x:v>989</x:v>
      </x:c>
      <x:c r="Y993" s="6" t="str">
        <x:v>Unconfirmed — joint query/page data required</x:v>
      </x:c>
    </x:row>
    <x:row r="994" ht="57" customHeight="1">
      <x:c r="A994" s="6" t="str">
        <x:v>puncture near me</x:v>
      </x:c>
      <x:c r="B994" s="14" t="n">
        <x:v>0</x:v>
      </x:c>
      <x:c r="C994" s="14" t="n">
        <x:v>11</x:v>
      </x:c>
      <x:c r="D994" s="15" t="n">
        <x:v>0</x:v>
      </x:c>
      <x:c r="E994" s="16" t="n">
        <x:v>7.18</x:v>
      </x:c>
      <x:c r="F994" s="6" t="str">
        <x:v>GROWTH</x:v>
      </x:c>
      <x:c r="G994" s="17" t="n">
        <x:f>'Scoring'!I994</x:f>
        <x:v>71.6</x:v>
      </x:c>
      <x:c r="H994" s="6" t="str">
        <x:v>SUPPORT</x:v>
      </x:c>
      <x:c r="I994" s="6" t="str">
        <x:v>All vehicles: Tyre repair</x:v>
      </x:c>
      <x:c r="J994" s="6" t="str">
        <x:v>Secondary</x:v>
      </x:c>
      <x:c r="K994" s="6" t="str">
        <x:v>Commercial service enquiry</x:v>
      </x:c>
      <x:c r="L994" s="6" t="str">
        <x:v>High</x:v>
      </x:c>
      <x:c r="M994" s="6" t="str">
        <x:v>https://digitecme.com/services/tire-repair-dubai</x:v>
      </x:c>
      <x:c r="N994" s="6" t="str">
        <x:v>Unknown — export has no query/page pairing</x:v>
      </x:c>
      <x:c r="O994" s="6" t="str">
        <x:v>Retain primary intent and support variants</x:v>
      </x:c>
      <x:c r="P994" s="6" t="str">
        <x:v>Relevant workshop tyre enquiry with lower assumed value than specialist repair; no mobile or roadside claim. Zero clicks from 11 impressions at average position 7.18; inspect query/page, country/device and SERP before attributing this to the snippet.</x:v>
      </x:c>
      <x:c r="Q994" s="6" t="str">
        <x:v>All vehicles</x:v>
      </x:c>
      <x:c r="R994" s="6" t="str">
        <x:v>tire-repair</x:v>
      </x:c>
      <x:c r="S994" s="6" t="str">
        <x:v>Near me; location unknown</x:v>
      </x:c>
      <x:c r="T994" s="6" t="n">
        <x:v>2</x:v>
      </x:c>
      <x:c r="U994" s="6" t="str">
        <x:v>4–10</x:v>
      </x:c>
      <x:c r="V994" s="6" t="str">
        <x:v>Page-one CTR review and top-three relevance</x:v>
      </x:c>
      <x:c r="W994" s="6" t="str">
        <x:v>Relevant supporting</x:v>
      </x:c>
      <x:c r="X994" s="6" t="n">
        <x:v>990</x:v>
      </x:c>
      <x:c r="Y994" s="6" t="str">
        <x:v>Unconfirmed — joint query/page data required</x:v>
      </x:c>
    </x:row>
    <x:row r="995" ht="42" customHeight="1">
      <x:c r="A995" s="6" t="str">
        <x:v>suspension specialist near me</x:v>
      </x:c>
      <x:c r="B995" s="14" t="n">
        <x:v>0</x:v>
      </x:c>
      <x:c r="C995" s="14" t="n">
        <x:v>11</x:v>
      </x:c>
      <x:c r="D995" s="15" t="n">
        <x:v>0</x:v>
      </x:c>
      <x:c r="E995" s="16" t="n">
        <x:v>8</x:v>
      </x:c>
      <x:c r="F995" s="6" t="str">
        <x:v>HIGH</x:v>
      </x:c>
      <x:c r="G995" s="17" t="n">
        <x:f>'Scoring'!I995</x:f>
        <x:v>75.6</x:v>
      </x:c>
      <x:c r="H995" s="6" t="str">
        <x:v>SUPPORT</x:v>
      </x:c>
      <x:c r="I995" s="6" t="str">
        <x:v>All vehicles: Suspension repair (English)</x:v>
      </x:c>
      <x:c r="J995" s="6" t="str">
        <x:v>Secondary</x:v>
      </x:c>
      <x:c r="K995" s="6" t="str">
        <x:v>Commercial service enquiry</x:v>
      </x:c>
      <x:c r="L995" s="6" t="str">
        <x:v>High</x:v>
      </x:c>
      <x:c r="M995" s="6" t="str">
        <x:v>https://digitecme.com/services/suspension-repair-dubai</x:v>
      </x:c>
      <x:c r="N995" s="6" t="str">
        <x:v>Unknown — export has no query/page pairing</x:v>
      </x:c>
      <x:c r="O995" s="6" t="str">
        <x:v>Retain primary intent and support variants</x:v>
      </x:c>
      <x:c r="P995" s="6" t="str">
        <x:v>Zero clicks from 11 impressions at average position 8.00; inspect query/page, country/device and SERP before attributing this to the snippet.</x:v>
      </x:c>
      <x:c r="Q995" s="6" t="str">
        <x:v>All vehicles</x:v>
      </x:c>
      <x:c r="R995" s="6" t="str">
        <x:v>suspension-repair</x:v>
      </x:c>
      <x:c r="S995" s="6" t="str">
        <x:v>Near me; location unknown</x:v>
      </x:c>
      <x:c r="T995" s="6" t="n">
        <x:v>3</x:v>
      </x:c>
      <x:c r="U995" s="6" t="str">
        <x:v>4–10</x:v>
      </x:c>
      <x:c r="V995" s="6" t="str">
        <x:v>Page-one CTR review and top-three relevance</x:v>
      </x:c>
      <x:c r="W995" s="6" t="str">
        <x:v>Relevant supporting</x:v>
      </x:c>
      <x:c r="X995" s="6" t="n">
        <x:v>991</x:v>
      </x:c>
      <x:c r="Y995" s="6" t="str">
        <x:v>Unconfirmed — joint query/page data required</x:v>
      </x:c>
    </x:row>
    <x:row r="996" ht="42" customHeight="1">
      <x:c r="A996" s="6" t="str">
        <x:v>ecu centre</x:v>
      </x:c>
      <x:c r="B996" s="14" t="n">
        <x:v>0</x:v>
      </x:c>
      <x:c r="C996" s="14" t="n">
        <x:v>11</x:v>
      </x:c>
      <x:c r="D996" s="15" t="n">
        <x:v>0</x:v>
      </x:c>
      <x:c r="E996" s="16" t="n">
        <x:v>8.27</x:v>
      </x:c>
      <x:c r="F996" s="6" t="str">
        <x:v>HIGH</x:v>
      </x:c>
      <x:c r="G996" s="17" t="n">
        <x:f>'Scoring'!I996</x:f>
        <x:v>70.6</x:v>
      </x:c>
      <x:c r="H996" s="6" t="str">
        <x:v>SUPPORT</x:v>
      </x:c>
      <x:c r="I996" s="6" t="str">
        <x:v>All vehicles: Diagnostics and supported coding</x:v>
      </x:c>
      <x:c r="J996" s="6" t="str">
        <x:v>Secondary</x:v>
      </x:c>
      <x:c r="K996" s="6" t="str">
        <x:v>Commercial service enquiry</x:v>
      </x:c>
      <x:c r="L996" s="6" t="str">
        <x:v>High</x:v>
      </x:c>
      <x:c r="M996" s="6" t="str">
        <x:v>https://digitecme.com/services/car-diagnostics-dubai</x:v>
      </x:c>
      <x:c r="N996" s="6" t="str">
        <x:v>Unknown — export has no query/page pairing</x:v>
      </x:c>
      <x:c r="O996" s="6" t="str">
        <x:v>Retain primary intent and support variants</x:v>
      </x:c>
      <x:c r="P996" s="6" t="str">
        <x:v>Zero clicks from 11 impressions at average position 8.27; inspect query/page, country/device and SERP before attributing this to the snippet.</x:v>
      </x:c>
      <x:c r="Q996" s="6" t="str">
        <x:v>All vehicles</x:v>
      </x:c>
      <x:c r="R996" s="6" t="str">
        <x:v>engine-diagnostics</x:v>
      </x:c>
      <x:c r="S996" s="6" t="str">
        <x:v>Location unspecified</x:v>
      </x:c>
      <x:c r="T996" s="6" t="n">
        <x:v>3</x:v>
      </x:c>
      <x:c r="U996" s="6" t="str">
        <x:v>4–10</x:v>
      </x:c>
      <x:c r="V996" s="6" t="str">
        <x:v>Page-one CTR review and top-three relevance</x:v>
      </x:c>
      <x:c r="W996" s="6" t="str">
        <x:v>Relevant supporting</x:v>
      </x:c>
      <x:c r="X996" s="6" t="n">
        <x:v>992</x:v>
      </x:c>
      <x:c r="Y996" s="6" t="str">
        <x:v>Unconfirmed — joint query/page data required</x:v>
      </x:c>
    </x:row>
    <x:row r="997" ht="42" customHeight="1">
      <x:c r="A997" s="6" t="str">
        <x:v>range rover suspension repair</x:v>
      </x:c>
      <x:c r="B997" s="14" t="n">
        <x:v>0</x:v>
      </x:c>
      <x:c r="C997" s="14" t="n">
        <x:v>11</x:v>
      </x:c>
      <x:c r="D997" s="15" t="n">
        <x:v>0</x:v>
      </x:c>
      <x:c r="E997" s="16" t="n">
        <x:v>11.45</x:v>
      </x:c>
      <x:c r="F997" s="6" t="str">
        <x:v>HIGH</x:v>
      </x:c>
      <x:c r="G997" s="17" t="n">
        <x:f>'Scoring'!I997</x:f>
        <x:v>78.6</x:v>
      </x:c>
      <x:c r="H997" s="6" t="str">
        <x:v>SPLIT</x:v>
      </x:c>
      <x:c r="I997" s="6" t="str">
        <x:v>range-rover: Suspension repair</x:v>
      </x:c>
      <x:c r="J997" s="6" t="str">
        <x:v>Primary</x:v>
      </x:c>
      <x:c r="K997" s="6" t="str">
        <x:v>Commercial service enquiry</x:v>
      </x:c>
      <x:c r="L997" s="6" t="str">
        <x:v>High</x:v>
      </x:c>
      <x:c r="M997" s="6" t="str">
        <x:v>https://digitecme.com/brands/range-rover-service-dubai/suspension-repair</x:v>
      </x:c>
      <x:c r="N997" s="6" t="str">
        <x:v>Unknown — export has no query/page pairing</x:v>
      </x:c>
      <x:c r="O997" s="6" t="str">
        <x:v>Use dedicated service owner</x:v>
      </x:c>
      <x:c r="P997" s="6" t="str">
        <x:v>11 impressions at average position 11.45; strengthen the appropriate intent owner and measure with a fresh comparable period.</x:v>
      </x:c>
      <x:c r="Q997" s="6" t="str">
        <x:v>range-rover</x:v>
      </x:c>
      <x:c r="R997" s="6" t="str">
        <x:v>suspension-repair</x:v>
      </x:c>
      <x:c r="S997" s="6" t="str">
        <x:v>Location unspecified</x:v>
      </x:c>
      <x:c r="T997" s="6" t="n">
        <x:v>5</x:v>
      </x:c>
      <x:c r="U997" s="6" t="str">
        <x:v>11–20</x:v>
      </x:c>
      <x:c r="V997" s="6" t="str">
        <x:v>Ranking and owner relevance</x:v>
      </x:c>
      <x:c r="W997" s="6" t="str">
        <x:v>High-value commercial</x:v>
      </x:c>
      <x:c r="X997" s="6" t="n">
        <x:v>993</x:v>
      </x:c>
      <x:c r="Y997" s="6" t="str">
        <x:v>Unconfirmed — joint query/page data required</x:v>
      </x:c>
    </x:row>
    <x:row r="998" ht="57" customHeight="1">
      <x:c r="A998" s="6" t="str">
        <x:v>tire patch near me</x:v>
      </x:c>
      <x:c r="B998" s="14" t="n">
        <x:v>0</x:v>
      </x:c>
      <x:c r="C998" s="14" t="n">
        <x:v>11</x:v>
      </x:c>
      <x:c r="D998" s="15" t="n">
        <x:v>0</x:v>
      </x:c>
      <x:c r="E998" s="16" t="n">
        <x:v>11.55</x:v>
      </x:c>
      <x:c r="F998" s="6" t="str">
        <x:v>GROWTH</x:v>
      </x:c>
      <x:c r="G998" s="17" t="n">
        <x:f>'Scoring'!I998</x:f>
        <x:v>71.6</x:v>
      </x:c>
      <x:c r="H998" s="6" t="str">
        <x:v>SUPPORT</x:v>
      </x:c>
      <x:c r="I998" s="6" t="str">
        <x:v>All vehicles: Tyre repair</x:v>
      </x:c>
      <x:c r="J998" s="6" t="str">
        <x:v>Secondary</x:v>
      </x:c>
      <x:c r="K998" s="6" t="str">
        <x:v>Commercial service enquiry</x:v>
      </x:c>
      <x:c r="L998" s="6" t="str">
        <x:v>High</x:v>
      </x:c>
      <x:c r="M998" s="6" t="str">
        <x:v>https://digitecme.com/services/tire-repair-dubai</x:v>
      </x:c>
      <x:c r="N998" s="6" t="str">
        <x:v>Unknown — export has no query/page pairing</x:v>
      </x:c>
      <x:c r="O998" s="6" t="str">
        <x:v>Retain primary intent and support variants</x:v>
      </x:c>
      <x:c r="P998" s="6" t="str">
        <x:v>Relevant workshop tyre enquiry with lower assumed value than specialist repair; no mobile or roadside claim. 11 impressions at average position 11.55; strengthen the appropriate intent owner and measure with a fresh comparable period.</x:v>
      </x:c>
      <x:c r="Q998" s="6" t="str">
        <x:v>All vehicles</x:v>
      </x:c>
      <x:c r="R998" s="6" t="str">
        <x:v>tire-repair</x:v>
      </x:c>
      <x:c r="S998" s="6" t="str">
        <x:v>Near me; location unknown</x:v>
      </x:c>
      <x:c r="T998" s="6" t="n">
        <x:v>2</x:v>
      </x:c>
      <x:c r="U998" s="6" t="str">
        <x:v>11–20</x:v>
      </x:c>
      <x:c r="V998" s="6" t="str">
        <x:v>Ranking and owner relevance</x:v>
      </x:c>
      <x:c r="W998" s="6" t="str">
        <x:v>Relevant supporting</x:v>
      </x:c>
      <x:c r="X998" s="6" t="n">
        <x:v>994</x:v>
      </x:c>
      <x:c r="Y998" s="6" t="str">
        <x:v>Unconfirmed — joint query/page data required</x:v>
      </x:c>
    </x:row>
    <x:row r="999" ht="42" customHeight="1">
      <x:c r="A999" s="6" t="str">
        <x:v>best mclaren service center dubai</x:v>
      </x:c>
      <x:c r="B999" s="14" t="n">
        <x:v>0</x:v>
      </x:c>
      <x:c r="C999" s="14" t="n">
        <x:v>11</x:v>
      </x:c>
      <x:c r="D999" s="15" t="n">
        <x:v>0</x:v>
      </x:c>
      <x:c r="E999" s="16" t="n">
        <x:v>13.64</x:v>
      </x:c>
      <x:c r="F999" s="6" t="str">
        <x:v>HIGH</x:v>
      </x:c>
      <x:c r="G999" s="17" t="n">
        <x:f>'Scoring'!I999</x:f>
        <x:v>83.6</x:v>
      </x:c>
      <x:c r="H999" s="6" t="str">
        <x:v>SUPPORT</x:v>
      </x:c>
      <x:c r="I999" s="6" t="str">
        <x:v>mclaren: Service and repair</x:v>
      </x:c>
      <x:c r="J999" s="6" t="str">
        <x:v>Secondary</x:v>
      </x:c>
      <x:c r="K999" s="6" t="str">
        <x:v>Commercial service enquiry</x:v>
      </x:c>
      <x:c r="L999" s="6" t="str">
        <x:v>High</x:v>
      </x:c>
      <x:c r="M999" s="6" t="str">
        <x:v>https://digitecme.com/brands/mclaren-service-dubai</x:v>
      </x:c>
      <x:c r="N999" s="6" t="str">
        <x:v>Unknown — export has no query/page pairing</x:v>
      </x:c>
      <x:c r="O999" s="6" t="str">
        <x:v>Retain primary intent and support variants</x:v>
      </x:c>
      <x:c r="P999" s="6" t="str">
        <x:v>11 impressions at average position 13.64; strengthen the appropriate intent owner and measure with a fresh comparable period.</x:v>
      </x:c>
      <x:c r="Q999" s="6" t="str">
        <x:v>mclaren</x:v>
      </x:c>
      <x:c r="R999" s="6" t="str">
        <x:v>service-repair</x:v>
      </x:c>
      <x:c r="S999" s="6" t="str">
        <x:v>Dubai explicit</x:v>
      </x:c>
      <x:c r="T999" s="6" t="n">
        <x:v>5</x:v>
      </x:c>
      <x:c r="U999" s="6" t="str">
        <x:v>11–20</x:v>
      </x:c>
      <x:c r="V999" s="6" t="str">
        <x:v>Ranking and owner relevance</x:v>
      </x:c>
      <x:c r="W999" s="6" t="str">
        <x:v>Relevant supporting</x:v>
      </x:c>
      <x:c r="X999" s="6" t="n">
        <x:v>995</x:v>
      </x:c>
      <x:c r="Y999" s="6" t="str">
        <x:v>Unconfirmed — joint query/page data required</x:v>
      </x:c>
    </x:row>
    <x:row r="1000" ht="57" customHeight="1">
      <x:c r="A1000" s="6" t="str">
        <x:v>cadillac car battery dubai</x:v>
      </x:c>
      <x:c r="B1000" s="14" t="n">
        <x:v>0</x:v>
      </x:c>
      <x:c r="C1000" s="14" t="n">
        <x:v>11</x:v>
      </x:c>
      <x:c r="D1000" s="15" t="n">
        <x:v>0</x:v>
      </x:c>
      <x:c r="E1000" s="16" t="n">
        <x:v>13.64</x:v>
      </x:c>
      <x:c r="F1000" s="6" t="str">
        <x:v>HIGH</x:v>
      </x:c>
      <x:c r="G1000" s="17" t="n">
        <x:f>'Scoring'!I1000</x:f>
        <x:v>44.3</x:v>
      </x:c>
      <x:c r="H1000" s="6" t="str">
        <x:v>SPLIT</x:v>
      </x:c>
      <x:c r="I1000" s="6" t="str">
        <x:v>cadillac: Battery service</x:v>
      </x:c>
      <x:c r="J1000" s="6" t="str">
        <x:v>Primary</x:v>
      </x:c>
      <x:c r="K1000" s="6" t="str">
        <x:v>Commercial service enquiry</x:v>
      </x:c>
      <x:c r="L1000" s="6" t="str">
        <x:v>Medium</x:v>
      </x:c>
      <x:c r="M1000" s="6" t="str">
        <x:v>https://digitecme.com/brands/cadillac-service-dubai/battery-replacement</x:v>
      </x:c>
      <x:c r="N1000" s="6" t="str">
        <x:v>Unknown — export has no query/page pairing</x:v>
      </x:c>
      <x:c r="O1000" s="6" t="str">
        <x:v>Use dedicated service owner</x:v>
      </x:c>
      <x:c r="P1000" s="6" t="str">
        <x:v>Existing specific page is noindex; assess service evidence and distinct content before changing indexation. 11 impressions at average position 13.64; strengthen the appropriate intent owner and measure with a fresh comparable period.</x:v>
      </x:c>
      <x:c r="Q1000" s="6" t="str">
        <x:v>cadillac</x:v>
      </x:c>
      <x:c r="R1000" s="6" t="str">
        <x:v>battery-replacement</x:v>
      </x:c>
      <x:c r="S1000" s="6" t="str">
        <x:v>Dubai explicit</x:v>
      </x:c>
      <x:c r="T1000" s="6" t="n">
        <x:v>3</x:v>
      </x:c>
      <x:c r="U1000" s="6" t="str">
        <x:v>11–20</x:v>
      </x:c>
      <x:c r="V1000" s="6" t="str">
        <x:v>Ranking and owner relevance</x:v>
      </x:c>
      <x:c r="W1000" s="6" t="str">
        <x:v>High-value commercial</x:v>
      </x:c>
      <x:c r="X1000" s="6" t="n">
        <x:v>996</x:v>
      </x:c>
      <x:c r="Y1000" s="6" t="str">
        <x:v>Unconfirmed — joint query/page data required</x:v>
      </x:c>
    </x:row>
    <x:row r="1001" ht="42" customHeight="1">
      <x:c r="A1001" s="6" t="str">
        <x:v>mercedes repair shops dubai</x:v>
      </x:c>
      <x:c r="B1001" s="14" t="n">
        <x:v>0</x:v>
      </x:c>
      <x:c r="C1001" s="14" t="n">
        <x:v>11</x:v>
      </x:c>
      <x:c r="D1001" s="15" t="n">
        <x:v>0</x:v>
      </x:c>
      <x:c r="E1001" s="16" t="n">
        <x:v>15.64</x:v>
      </x:c>
      <x:c r="F1001" s="6" t="str">
        <x:v>HIGH</x:v>
      </x:c>
      <x:c r="G1001" s="17" t="n">
        <x:f>'Scoring'!I1001</x:f>
        <x:v>76.1</x:v>
      </x:c>
      <x:c r="H1001" s="6" t="str">
        <x:v>SUPPORT</x:v>
      </x:c>
      <x:c r="I1001" s="6" t="str">
        <x:v>mercedes-benz: Service and repair (English)</x:v>
      </x:c>
      <x:c r="J1001" s="6" t="str">
        <x:v>Secondary</x:v>
      </x:c>
      <x:c r="K1001" s="6" t="str">
        <x:v>Commercial service enquiry</x:v>
      </x:c>
      <x:c r="L1001" s="6" t="str">
        <x:v>High</x:v>
      </x:c>
      <x:c r="M1001" s="6" t="str">
        <x:v>https://digitecme.com/brands/mercedes-benz-service-dubai</x:v>
      </x:c>
      <x:c r="N1001" s="6" t="str">
        <x:v>Unknown — export has no query/page pairing</x:v>
      </x:c>
      <x:c r="O1001" s="6" t="str">
        <x:v>Retain primary intent and support variants</x:v>
      </x:c>
      <x:c r="P1001" s="6" t="str">
        <x:v>11 impressions at average position 15.64; strengthen the appropriate intent owner and measure with a fresh comparable period.</x:v>
      </x:c>
      <x:c r="Q1001" s="6" t="str">
        <x:v>mercedes-benz</x:v>
      </x:c>
      <x:c r="R1001" s="6" t="str">
        <x:v>service-repair</x:v>
      </x:c>
      <x:c r="S1001" s="6" t="str">
        <x:v>Dubai explicit</x:v>
      </x:c>
      <x:c r="T1001" s="6" t="n">
        <x:v>5</x:v>
      </x:c>
      <x:c r="U1001" s="6" t="str">
        <x:v>11–20</x:v>
      </x:c>
      <x:c r="V1001" s="6" t="str">
        <x:v>Ranking and owner relevance</x:v>
      </x:c>
      <x:c r="W1001" s="6" t="str">
        <x:v>Relevant supporting</x:v>
      </x:c>
      <x:c r="X1001" s="6" t="n">
        <x:v>997</x:v>
      </x:c>
      <x:c r="Y1001" s="6" t="str">
        <x:v>Unconfirmed — joint query/page data required</x:v>
      </x:c>
    </x:row>
    <x:row r="1002" ht="42" customHeight="1">
      <x:c r="A1002" s="6" t="str">
        <x:v>mercedes independent service</x:v>
      </x:c>
      <x:c r="B1002" s="14" t="n">
        <x:v>0</x:v>
      </x:c>
      <x:c r="C1002" s="14" t="n">
        <x:v>11</x:v>
      </x:c>
      <x:c r="D1002" s="15" t="n">
        <x:v>0</x:v>
      </x:c>
      <x:c r="E1002" s="16" t="n">
        <x:v>17</x:v>
      </x:c>
      <x:c r="F1002" s="6" t="str">
        <x:v>HIGH</x:v>
      </x:c>
      <x:c r="G1002" s="17" t="n">
        <x:f>'Scoring'!I1002</x:f>
        <x:v>71.1</x:v>
      </x:c>
      <x:c r="H1002" s="6" t="str">
        <x:v>SUPPORT</x:v>
      </x:c>
      <x:c r="I1002" s="6" t="str">
        <x:v>mercedes-benz: Service and repair (English)</x:v>
      </x:c>
      <x:c r="J1002" s="6" t="str">
        <x:v>Secondary</x:v>
      </x:c>
      <x:c r="K1002" s="6" t="str">
        <x:v>Commercial service enquiry</x:v>
      </x:c>
      <x:c r="L1002" s="6" t="str">
        <x:v>High</x:v>
      </x:c>
      <x:c r="M1002" s="6" t="str">
        <x:v>https://digitecme.com/brands/mercedes-benz-service-dubai</x:v>
      </x:c>
      <x:c r="N1002" s="6" t="str">
        <x:v>Unknown — export has no query/page pairing</x:v>
      </x:c>
      <x:c r="O1002" s="6" t="str">
        <x:v>Retain primary intent and support variants</x:v>
      </x:c>
      <x:c r="P1002" s="6" t="str">
        <x:v>11 impressions at average position 17.00; strengthen the appropriate intent owner and measure with a fresh comparable period.</x:v>
      </x:c>
      <x:c r="Q1002" s="6" t="str">
        <x:v>mercedes-benz</x:v>
      </x:c>
      <x:c r="R1002" s="6" t="str">
        <x:v>service-repair</x:v>
      </x:c>
      <x:c r="S1002" s="6" t="str">
        <x:v>Location unspecified</x:v>
      </x:c>
      <x:c r="T1002" s="6" t="n">
        <x:v>5</x:v>
      </x:c>
      <x:c r="U1002" s="6" t="str">
        <x:v>11–20</x:v>
      </x:c>
      <x:c r="V1002" s="6" t="str">
        <x:v>Ranking and owner relevance</x:v>
      </x:c>
      <x:c r="W1002" s="6" t="str">
        <x:v>Relevant supporting</x:v>
      </x:c>
      <x:c r="X1002" s="6" t="n">
        <x:v>998</x:v>
      </x:c>
      <x:c r="Y1002" s="6" t="str">
        <x:v>Unconfirmed — joint query/page data required</x:v>
      </x:c>
    </x:row>
    <x:row r="1003" ht="42" customHeight="1">
      <x:c r="A1003" s="6" t="str">
        <x:v>fuel pump repair shop</x:v>
      </x:c>
      <x:c r="B1003" s="14" t="n">
        <x:v>0</x:v>
      </x:c>
      <x:c r="C1003" s="14" t="n">
        <x:v>11</x:v>
      </x:c>
      <x:c r="D1003" s="15" t="n">
        <x:v>0</x:v>
      </x:c>
      <x:c r="E1003" s="16" t="n">
        <x:v>17.36</x:v>
      </x:c>
      <x:c r="F1003" s="6" t="str">
        <x:v>HIGH</x:v>
      </x:c>
      <x:c r="G1003" s="17" t="n">
        <x:f>'Scoring'!I1003</x:f>
        <x:v>63.1</x:v>
      </x:c>
      <x:c r="H1003" s="6" t="str">
        <x:v>SUPPORT</x:v>
      </x:c>
      <x:c r="I1003" s="6" t="str">
        <x:v>All vehicles: Fuel system repair</x:v>
      </x:c>
      <x:c r="J1003" s="6" t="str">
        <x:v>Secondary</x:v>
      </x:c>
      <x:c r="K1003" s="6" t="str">
        <x:v>Commercial service enquiry</x:v>
      </x:c>
      <x:c r="L1003" s="6" t="str">
        <x:v>High</x:v>
      </x:c>
      <x:c r="M1003" s="6" t="str">
        <x:v>https://digitecme.com/services/fuel-system-repair-dubai</x:v>
      </x:c>
      <x:c r="N1003" s="6" t="str">
        <x:v>Unknown — export has no query/page pairing</x:v>
      </x:c>
      <x:c r="O1003" s="6" t="str">
        <x:v>Retain primary intent and support variants</x:v>
      </x:c>
      <x:c r="P1003" s="6" t="str">
        <x:v>11 impressions at average position 17.36; strengthen the appropriate intent owner and measure with a fresh comparable period.</x:v>
      </x:c>
      <x:c r="Q1003" s="6" t="str">
        <x:v>All vehicles</x:v>
      </x:c>
      <x:c r="R1003" s="6" t="str">
        <x:v>fuel-system-repair</x:v>
      </x:c>
      <x:c r="S1003" s="6" t="str">
        <x:v>Location unspecified</x:v>
      </x:c>
      <x:c r="T1003" s="6" t="n">
        <x:v>3</x:v>
      </x:c>
      <x:c r="U1003" s="6" t="str">
        <x:v>11–20</x:v>
      </x:c>
      <x:c r="V1003" s="6" t="str">
        <x:v>Ranking and owner relevance</x:v>
      </x:c>
      <x:c r="W1003" s="6" t="str">
        <x:v>Relevant supporting</x:v>
      </x:c>
      <x:c r="X1003" s="6" t="n">
        <x:v>999</x:v>
      </x:c>
      <x:c r="Y1003" s="6" t="str">
        <x:v>Unconfirmed — joint query/page data required</x:v>
      </x:c>
    </x:row>
    <x:row r="1004" ht="57" customHeight="1">
      <x:c r="A1004" s="6" t="str">
        <x:v>dodge transmission repair dubai</x:v>
      </x:c>
      <x:c r="B1004" s="14" t="n">
        <x:v>0</x:v>
      </x:c>
      <x:c r="C1004" s="14" t="n">
        <x:v>11</x:v>
      </x:c>
      <x:c r="D1004" s="15" t="n">
        <x:v>0</x:v>
      </x:c>
      <x:c r="E1004" s="16" t="n">
        <x:v>18.82</x:v>
      </x:c>
      <x:c r="F1004" s="6" t="str">
        <x:v>HIGH</x:v>
      </x:c>
      <x:c r="G1004" s="17" t="n">
        <x:f>'Scoring'!I1004</x:f>
        <x:v>39.4</x:v>
      </x:c>
      <x:c r="H1004" s="6" t="str">
        <x:v>SPLIT</x:v>
      </x:c>
      <x:c r="I1004" s="6" t="str">
        <x:v>dodge: Transmission and gearbox repair</x:v>
      </x:c>
      <x:c r="J1004" s="6" t="str">
        <x:v>Primary</x:v>
      </x:c>
      <x:c r="K1004" s="6" t="str">
        <x:v>Commercial service enquiry</x:v>
      </x:c>
      <x:c r="L1004" s="6" t="str">
        <x:v>Medium</x:v>
      </x:c>
      <x:c r="M1004" s="6" t="str">
        <x:v>https://digitecme.com/brands/dodge-service-dubai/transmission-repair</x:v>
      </x:c>
      <x:c r="N1004" s="6" t="str">
        <x:v>Unknown — export has no query/page pairing</x:v>
      </x:c>
      <x:c r="O1004" s="6" t="str">
        <x:v>Use dedicated service owner</x:v>
      </x:c>
      <x:c r="P1004" s="6" t="str">
        <x:v>Existing specific page is noindex; assess service evidence and distinct content before changing indexation. 11 impressions at average position 18.82; strengthen the appropriate intent owner and measure with a fresh comparable period.</x:v>
      </x:c>
      <x:c r="Q1004" s="6" t="str">
        <x:v>dodge</x:v>
      </x:c>
      <x:c r="R1004" s="6" t="str">
        <x:v>transmission-repair</x:v>
      </x:c>
      <x:c r="S1004" s="6" t="str">
        <x:v>Dubai explicit</x:v>
      </x:c>
      <x:c r="T1004" s="6" t="n">
        <x:v>3</x:v>
      </x:c>
      <x:c r="U1004" s="6" t="str">
        <x:v>11–20</x:v>
      </x:c>
      <x:c r="V1004" s="6" t="str">
        <x:v>Ranking and owner relevance</x:v>
      </x:c>
      <x:c r="W1004" s="6" t="str">
        <x:v>High-value commercial</x:v>
      </x:c>
      <x:c r="X1004" s="6" t="n">
        <x:v>1000</x:v>
      </x:c>
      <x:c r="Y1004" s="6" t="str">
        <x:v>Unconfirmed — joint query/page data required</x:v>
      </x:c>
    </x:row>
    <x:row r="1005" ht="42" customHeight="1">
      <x:c r="A1005" s="6" t="str">
        <x:v>chevrolet service dubai</x:v>
      </x:c>
      <x:c r="B1005" s="14" t="n">
        <x:v>0</x:v>
      </x:c>
      <x:c r="C1005" s="14" t="n">
        <x:v>11</x:v>
      </x:c>
      <x:c r="D1005" s="15" t="n">
        <x:v>0</x:v>
      </x:c>
      <x:c r="E1005" s="16" t="n">
        <x:v>18.91</x:v>
      </x:c>
      <x:c r="F1005" s="6" t="str">
        <x:v>HIGH</x:v>
      </x:c>
      <x:c r="G1005" s="17" t="n">
        <x:f>'Scoring'!I1005</x:f>
        <x:v>68.1</x:v>
      </x:c>
      <x:c r="H1005" s="6" t="str">
        <x:v>SUPPORT</x:v>
      </x:c>
      <x:c r="I1005" s="6" t="str">
        <x:v>chevrolet: Service and repair</x:v>
      </x:c>
      <x:c r="J1005" s="6" t="str">
        <x:v>Secondary</x:v>
      </x:c>
      <x:c r="K1005" s="6" t="str">
        <x:v>Commercial service enquiry</x:v>
      </x:c>
      <x:c r="L1005" s="6" t="str">
        <x:v>High</x:v>
      </x:c>
      <x:c r="M1005" s="6" t="str">
        <x:v>https://digitecme.com/brands/chevrolet-service-dubai</x:v>
      </x:c>
      <x:c r="N1005" s="6" t="str">
        <x:v>Unknown — export has no query/page pairing</x:v>
      </x:c>
      <x:c r="O1005" s="6" t="str">
        <x:v>Retain primary intent and support variants</x:v>
      </x:c>
      <x:c r="P1005" s="6" t="str">
        <x:v>11 impressions at average position 18.91; strengthen the appropriate intent owner and measure with a fresh comparable period.</x:v>
      </x:c>
      <x:c r="Q1005" s="6" t="str">
        <x:v>chevrolet</x:v>
      </x:c>
      <x:c r="R1005" s="6" t="str">
        <x:v>service-repair</x:v>
      </x:c>
      <x:c r="S1005" s="6" t="str">
        <x:v>Dubai explicit</x:v>
      </x:c>
      <x:c r="T1005" s="6" t="n">
        <x:v>3</x:v>
      </x:c>
      <x:c r="U1005" s="6" t="str">
        <x:v>11–20</x:v>
      </x:c>
      <x:c r="V1005" s="6" t="str">
        <x:v>Ranking and owner relevance</x:v>
      </x:c>
      <x:c r="W1005" s="6" t="str">
        <x:v>Relevant supporting</x:v>
      </x:c>
      <x:c r="X1005" s="6" t="n">
        <x:v>1001</x:v>
      </x:c>
      <x:c r="Y1005" s="6" t="str">
        <x:v>Unconfirmed — joint query/page data required</x:v>
      </x:c>
    </x:row>
  </x:sheetData>
  <x:conditionalFormatting sqref="F6:F1005">
    <x:cfRule type="containsText" dxfId="0" priority="1" operator="containsText" text="CRITICAL"/>
    <x:cfRule type="containsText" dxfId="1" priority="2" operator="containsText" text="HIGH"/>
    <x:cfRule type="containsText" dxfId="2" priority="3" operator="containsText" text="DEFEND"/>
  </x:conditionalFormatting>
  <x:pageMargins left="0.7" right="0.7" top="0.75" bottom="0.75" header="0.3" footer="0.3"/>
  <x:tableParts count="1">
    <x:tablePart xmlns:r="http://schemas.openxmlformats.org/officeDocument/2006/relationships" r:id="R33e9ad1ba365488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8" hidden="0" customWidth="1"/>
    <x:col min="2" max="2" width="44" hidden="0" customWidth="1"/>
    <x:col min="3" max="3" width="74" hidden="0" customWidth="1"/>
    <x:col min="4" max="4" width="14" hidden="0" customWidth="1"/>
    <x:col min="5" max="5" width="12" hidden="0" customWidth="1"/>
    <x:col min="6" max="6" width="15" hidden="0" customWidth="1"/>
    <x:col min="7" max="7" width="14" hidden="0" customWidth="1"/>
    <x:col min="8" max="8" width="18" hidden="0" customWidth="1"/>
    <x:col min="9" max="9" width="18" hidden="0" customWidth="1"/>
    <x:col min="10" max="10" width="19" hidden="0" customWidth="1"/>
    <x:col min="11" max="11" width="45" hidden="0" customWidth="1"/>
    <x:col min="12" max="12" width="50" hidden="0" customWidth="1"/>
    <x:col min="13" max="13" width="100" hidden="0" customWidth="1"/>
  </x:cols>
  <x:sheetData>
    <x:row r="1" ht="30" customHeight="1">
      <x:c r="A1" s="2" t="str">
        <x:v>Search intent clusters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3" t="str">
        <x:v>One recommended owner per cluster. Score and priority reflect member opportunities, not just the average position.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2" customHeight="1">
      <x:c r="A5" s="10" t="str">
        <x:v>Query cluster</x:v>
      </x:c>
      <x:c r="B5" s="11" t="str">
        <x:v>Primary query</x:v>
      </x:c>
      <x:c r="C5" s="11" t="str">
        <x:v>Owner URL</x:v>
      </x:c>
      <x:c r="D5" s="11" t="str">
        <x:v>Query count</x:v>
      </x:c>
      <x:c r="E5" s="11" t="str">
        <x:v>Clicks</x:v>
      </x:c>
      <x:c r="F5" s="11" t="str">
        <x:v>Impressions</x:v>
      </x:c>
      <x:c r="G5" s="11" t="str">
        <x:v>CTR</x:v>
      </x:c>
      <x:c r="H5" s="11" t="str">
        <x:v>Weighted position</x:v>
      </x:c>
      <x:c r="I5" s="11" t="str">
        <x:v>Best query score</x:v>
      </x:c>
      <x:c r="J5" s="11" t="str">
        <x:v>Priority</x:v>
      </x:c>
      <x:c r="K5" s="11" t="str">
        <x:v>Best opportunity query</x:v>
      </x:c>
      <x:c r="L5" s="11" t="str">
        <x:v>Action</x:v>
      </x:c>
      <x:c r="M5" s="12" t="str">
        <x:v>Secondary examples</x:v>
      </x:c>
    </x:row>
    <x:row r="6" ht="57" customHeight="1">
      <x:c r="A6" s="6" t="str">
        <x:v>mercedes-benz: Service and repair (English)</x:v>
      </x:c>
      <x:c r="B6" s="6" t="str">
        <x:v>mercedes repair dubai</x:v>
      </x:c>
      <x:c r="C6" s="6" t="str">
        <x:v>https://digitecme.com/brands/mercedes-benz-service-dubai</x:v>
      </x:c>
      <x:c r="D6" s="14" t="n">
        <x:f>COUNTIF('Queries'!$I$6:$I$1005,A6)</x:f>
        <x:v>63</x:v>
      </x:c>
      <x:c r="E6" s="14" t="n">
        <x:f>SUMIF('Queries'!$I$6:$I$1005,A6,'Queries'!$B$6:$B$1005)</x:f>
        <x:v>15</x:v>
      </x:c>
      <x:c r="F6" s="14" t="n">
        <x:f>SUMIF('Queries'!$I$6:$I$1005,A6,'Queries'!$C$6:$C$1005)</x:f>
        <x:v>7014</x:v>
      </x:c>
      <x:c r="G6" s="15" t="n">
        <x:f>E6/F6</x:f>
        <x:v>0.00213857998289136</x:v>
      </x:c>
      <x:c r="H6" s="16" t="n">
        <x:f>SUMIF('Queries'!$I$6:$I$1005,A6,'Scoring'!$J$6:$J$1005)/F6</x:f>
        <x:v>16.231676646706585</x:v>
      </x:c>
      <x:c r="I6" s="16" t="n">
        <x:f>MAX('Queries'!G8,'Queries'!G13,'Queries'!G19,'Queries'!G20,'Queries'!G21,'Queries'!G32,'Queries'!G44,'Queries'!G58,'Queries'!G62,'Queries'!G67,'Queries'!G69,'Queries'!G73,'Queries'!G80,'Queries'!G81,'Queries'!G91,'Queries'!G110,'Queries'!G111,'Queries'!G113,'Queries'!G115,'Queries'!G130,'Queries'!G132,'Queries'!G137,'Queries'!G140,'Queries'!G146,'Queries'!G168,'Queries'!G187,'Queries'!G196,'Queries'!G236,'Queries'!G244,'Queries'!G254,'Queries'!G264,'Queries'!G278,'Queries'!G335,'Queries'!G338,'Queries'!G343,'Queries'!G348,'Queries'!G354,'Queries'!G362,'Queries'!G368,'Queries'!G406,'Queries'!G440,'Queries'!G452,'Queries'!G504,'Queries'!G522,'Queries'!G540,'Queries'!G552,'Queries'!G608,'Queries'!G616,'Queries'!G635,'Queries'!G644,'Queries'!G696,'Queries'!G723,'Queries'!G746,'Queries'!G764,'Queries'!G769,'Queries'!G837,'Queries'!G848,'Queries'!G886,'Queries'!G912,'Queries'!G929,'Queries'!G954,'Queries'!G1001,'Queries'!G1002)</x:f>
        <x:v>97.2</x:v>
      </x:c>
      <x:c r="J6" s="6" t="str">
        <x:v>CRITICAL</x:v>
      </x:c>
      <x:c r="K6" s="6" t="str">
        <x:v>mercedes service in dubai</x:v>
      </x:c>
      <x:c r="L6" s="6" t="str">
        <x:v>Strengthen this primary intent owner</x:v>
      </x:c>
      <x:c r="M6" s="6" t="str">
        <x:v>mercedes repair in dubai; mercedes repair dubai near me; mercedes specialist workshop; mercedes service dubai; mercedes major service dubai; mercedes repair shop; mercedes repair; mercedes workshop dubai</x:v>
      </x:c>
    </x:row>
    <x:row r="7" ht="42" customHeight="1">
      <x:c r="A7" s="6" t="str">
        <x:v>porsche: Diagnostics and supported coding</x:v>
      </x:c>
      <x:c r="B7" s="6" t="str">
        <x:v>porsche diagnostic dubai</x:v>
      </x:c>
      <x:c r="C7" s="6" t="str">
        <x:v>https://digitecme.com/brands/porsche-service-dubai/engine-diagnostics</x:v>
      </x:c>
      <x:c r="D7" s="14" t="n">
        <x:f>COUNTIF('Queries'!$I$6:$I$1005,A7)</x:f>
        <x:v>6</x:v>
      </x:c>
      <x:c r="E7" s="14" t="n">
        <x:f>SUMIF('Queries'!$I$6:$I$1005,A7,'Queries'!$B$6:$B$1005)</x:f>
        <x:v>0</x:v>
      </x:c>
      <x:c r="F7" s="14" t="n">
        <x:f>SUMIF('Queries'!$I$6:$I$1005,A7,'Queries'!$C$6:$C$1005)</x:f>
        <x:v>147</x:v>
      </x:c>
      <x:c r="G7" s="15" t="n">
        <x:f>E7/F7</x:f>
        <x:v>0</x:v>
      </x:c>
      <x:c r="H7" s="16" t="n">
        <x:f>SUMIF('Queries'!$I$6:$I$1005,A7,'Scoring'!$J$6:$J$1005)/F7</x:f>
        <x:v>21.679455782312925</x:v>
      </x:c>
      <x:c r="I7" s="16" t="n">
        <x:f>MAX('Queries'!G342,'Queries'!G445,'Queries'!G571,'Queries'!G601,'Queries'!G831,'Queries'!G884)</x:f>
        <x:v>95.5</x:v>
      </x:c>
      <x:c r="J7" s="6" t="str">
        <x:v>CRITICAL</x:v>
      </x:c>
      <x:c r="K7" s="6" t="str">
        <x:v>porsche diagnostics dip2</x:v>
      </x:c>
      <x:c r="L7" s="6" t="str">
        <x:v>Use dedicated service owner</x:v>
      </x:c>
      <x:c r="M7" s="6" t="str">
        <x:v>porsche diagnostics dip2; porsche engine diagnostics; porsche diagnostics dubai; porsche inspection dubai; porsche diagnostic service</x:v>
      </x:c>
    </x:row>
    <x:row r="8" ht="32" customHeight="1">
      <x:c r="A8" s="6" t="str">
        <x:v>mercedes-benz: Battery service</x:v>
      </x:c>
      <x:c r="B8" s="6" t="str">
        <x:v>mercedes battery replacement dubai</x:v>
      </x:c>
      <x:c r="C8" s="6" t="str">
        <x:v>https://digitecme.com/services/mercedes-battery-replacement-dubai</x:v>
      </x:c>
      <x:c r="D8" s="14" t="n">
        <x:f>COUNTIF('Queries'!$I$6:$I$1005,A8)</x:f>
        <x:v>2</x:v>
      </x:c>
      <x:c r="E8" s="14" t="n">
        <x:f>SUMIF('Queries'!$I$6:$I$1005,A8,'Queries'!$B$6:$B$1005)</x:f>
        <x:v>0</x:v>
      </x:c>
      <x:c r="F8" s="14" t="n">
        <x:f>SUMIF('Queries'!$I$6:$I$1005,A8,'Queries'!$C$6:$C$1005)</x:f>
        <x:v>137</x:v>
      </x:c>
      <x:c r="G8" s="15" t="n">
        <x:f>E8/F8</x:f>
        <x:v>0</x:v>
      </x:c>
      <x:c r="H8" s="16" t="n">
        <x:f>SUMIF('Queries'!$I$6:$I$1005,A8,'Scoring'!$J$6:$J$1005)/F8</x:f>
        <x:v>19.474890510948903</x:v>
      </x:c>
      <x:c r="I8" s="16" t="n">
        <x:f>MAX('Queries'!G165,'Queries'!G395)</x:f>
        <x:v>95.2</x:v>
      </x:c>
      <x:c r="J8" s="6" t="str">
        <x:v>CRITICAL</x:v>
      </x:c>
      <x:c r="K8" s="6" t="str">
        <x:v>mercedes battery replacement near me</x:v>
      </x:c>
      <x:c r="L8" s="6" t="str">
        <x:v>Use dedicated service owner</x:v>
      </x:c>
      <x:c r="M8" s="6" t="str">
        <x:v>mercedes battery replacement near me</x:v>
      </x:c>
    </x:row>
    <x:row r="9" ht="42" customHeight="1">
      <x:c r="A9" s="6" t="str">
        <x:v>bmw: Transmission and gearbox repair</x:v>
      </x:c>
      <x:c r="B9" s="6" t="str">
        <x:v>bmw transmission repair dubai</x:v>
      </x:c>
      <x:c r="C9" s="6" t="str">
        <x:v>https://digitecme.com/brands/bmw-service-dubai/transmission-repair</x:v>
      </x:c>
      <x:c r="D9" s="14" t="n">
        <x:f>COUNTIF('Queries'!$I$6:$I$1005,A9)</x:f>
        <x:v>4</x:v>
      </x:c>
      <x:c r="E9" s="14" t="n">
        <x:f>SUMIF('Queries'!$I$6:$I$1005,A9,'Queries'!$B$6:$B$1005)</x:f>
        <x:v>0</x:v>
      </x:c>
      <x:c r="F9" s="14" t="n">
        <x:f>SUMIF('Queries'!$I$6:$I$1005,A9,'Queries'!$C$6:$C$1005)</x:f>
        <x:v>196</x:v>
      </x:c>
      <x:c r="G9" s="15" t="n">
        <x:f>E9/F9</x:f>
        <x:v>0</x:v>
      </x:c>
      <x:c r="H9" s="16" t="n">
        <x:f>SUMIF('Queries'!$I$6:$I$1005,A9,'Scoring'!$J$6:$J$1005)/F9</x:f>
        <x:v>14.78831632653061</x:v>
      </x:c>
      <x:c r="I9" s="16" t="n">
        <x:f>MAX('Queries'!G192,'Queries'!G304,'Queries'!G438,'Queries'!G476)</x:f>
        <x:v>95</x:v>
      </x:c>
      <x:c r="J9" s="6" t="str">
        <x:v>CRITICAL</x:v>
      </x:c>
      <x:c r="K9" s="6" t="str">
        <x:v>bmw transmission repair in dubai</x:v>
      </x:c>
      <x:c r="L9" s="6" t="str">
        <x:v>Use dedicated service owner</x:v>
      </x:c>
      <x:c r="M9" s="6" t="str">
        <x:v>bmw transmission service; bmw transmission repair in dubai; bmw transmission repair</x:v>
      </x:c>
    </x:row>
    <x:row r="10" ht="32" customHeight="1">
      <x:c r="A10" s="6" t="str">
        <x:v>audi: Body repair</x:v>
      </x:c>
      <x:c r="B10" s="6" t="str">
        <x:v>audi body shop dubai</x:v>
      </x:c>
      <x:c r="C10" s="6" t="str">
        <x:v>https://digitecme.com/brands/audi-service-dubai/body-repair</x:v>
      </x:c>
      <x:c r="D10" s="14" t="n">
        <x:f>COUNTIF('Queries'!$I$6:$I$1005,A10)</x:f>
        <x:v>2</x:v>
      </x:c>
      <x:c r="E10" s="14" t="n">
        <x:f>SUMIF('Queries'!$I$6:$I$1005,A10,'Queries'!$B$6:$B$1005)</x:f>
        <x:v>0</x:v>
      </x:c>
      <x:c r="F10" s="14" t="n">
        <x:f>SUMIF('Queries'!$I$6:$I$1005,A10,'Queries'!$C$6:$C$1005)</x:f>
        <x:v>50</x:v>
      </x:c>
      <x:c r="G10" s="15" t="n">
        <x:f>E10/F10</x:f>
        <x:v>0</x:v>
      </x:c>
      <x:c r="H10" s="16" t="n">
        <x:f>SUMIF('Queries'!$I$6:$I$1005,A10,'Scoring'!$J$6:$J$1005)/F10</x:f>
        <x:v>10.281199999999998</x:v>
      </x:c>
      <x:c r="I10" s="16" t="n">
        <x:f>MAX('Queries'!G439,'Queries'!G658)</x:f>
        <x:v>95</x:v>
      </x:c>
      <x:c r="J10" s="6" t="str">
        <x:v>CRITICAL</x:v>
      </x:c>
      <x:c r="K10" s="6" t="str">
        <x:v>audi body shop dubai</x:v>
      </x:c>
      <x:c r="L10" s="6" t="str">
        <x:v>Use dedicated service owner</x:v>
      </x:c>
      <x:c r="M10" s="6" t="str">
        <x:v>audi body shop</x:v>
      </x:c>
    </x:row>
    <x:row r="11" ht="32" customHeight="1">
      <x:c r="A11" s="6" t="str">
        <x:v>mercedes-benz: Brake repair</x:v>
      </x:c>
      <x:c r="B11" s="6" t="str">
        <x:v>mercedes brake service dubai</x:v>
      </x:c>
      <x:c r="C11" s="6" t="str">
        <x:v>https://digitecme.com/services/mercedes-brake-repair-dubai</x:v>
      </x:c>
      <x:c r="D11" s="14" t="n">
        <x:f>COUNTIF('Queries'!$I$6:$I$1005,A11)</x:f>
        <x:v>3</x:v>
      </x:c>
      <x:c r="E11" s="14" t="n">
        <x:f>SUMIF('Queries'!$I$6:$I$1005,A11,'Queries'!$B$6:$B$1005)</x:f>
        <x:v>0</x:v>
      </x:c>
      <x:c r="F11" s="14" t="n">
        <x:f>SUMIF('Queries'!$I$6:$I$1005,A11,'Queries'!$C$6:$C$1005)</x:f>
        <x:v>117</x:v>
      </x:c>
      <x:c r="G11" s="15" t="n">
        <x:f>E11/F11</x:f>
        <x:v>0</x:v>
      </x:c>
      <x:c r="H11" s="16" t="n">
        <x:f>SUMIF('Queries'!$I$6:$I$1005,A11,'Scoring'!$J$6:$J$1005)/F11</x:f>
        <x:v>33.83786324786325</x:v>
      </x:c>
      <x:c r="I11" s="16" t="n">
        <x:f>MAX('Queries'!G272,'Queries'!G420,'Queries'!G483)</x:f>
        <x:v>94.9</x:v>
      </x:c>
      <x:c r="J11" s="6" t="str">
        <x:v>CRITICAL</x:v>
      </x:c>
      <x:c r="K11" s="6" t="str">
        <x:v>mercedes brake repair dubai</x:v>
      </x:c>
      <x:c r="L11" s="6" t="str">
        <x:v>Use dedicated service owner</x:v>
      </x:c>
      <x:c r="M11" s="6" t="str">
        <x:v>mercedes brake repair; mercedes brake repair dubai</x:v>
      </x:c>
    </x:row>
    <x:row r="12" ht="57" customHeight="1">
      <x:c r="A12" s="6" t="str">
        <x:v>aston-martin: Service and repair</x:v>
      </x:c>
      <x:c r="B12" s="6" t="str">
        <x:v>aston martin repair dubai</x:v>
      </x:c>
      <x:c r="C12" s="6" t="str">
        <x:v>https://digitecme.com/brands/aston-martin-service-dubai</x:v>
      </x:c>
      <x:c r="D12" s="14" t="n">
        <x:f>COUNTIF('Queries'!$I$6:$I$1005,A12)</x:f>
        <x:v>11</x:v>
      </x:c>
      <x:c r="E12" s="14" t="n">
        <x:f>SUMIF('Queries'!$I$6:$I$1005,A12,'Queries'!$B$6:$B$1005)</x:f>
        <x:v>1</x:v>
      </x:c>
      <x:c r="F12" s="14" t="n">
        <x:f>SUMIF('Queries'!$I$6:$I$1005,A12,'Queries'!$C$6:$C$1005)</x:f>
        <x:v>752</x:v>
      </x:c>
      <x:c r="G12" s="15" t="n">
        <x:f>E12/F12</x:f>
        <x:v>0.0013297872340425532</x:v>
      </x:c>
      <x:c r="H12" s="16" t="n">
        <x:f>SUMIF('Queries'!$I$6:$I$1005,A12,'Scoring'!$J$6:$J$1005)/F12</x:f>
        <x:v>21.355811170212764</x:v>
      </x:c>
      <x:c r="I12" s="16" t="n">
        <x:f>MAX('Queries'!G23,'Queries'!G88,'Queries'!G209,'Queries'!G246,'Queries'!G247,'Queries'!G500,'Queries'!G520,'Queries'!G521,'Queries'!G624,'Queries'!G724,'Queries'!G843)</x:f>
        <x:v>94.8</x:v>
      </x:c>
      <x:c r="J12" s="6" t="str">
        <x:v>CRITICAL</x:v>
      </x:c>
      <x:c r="K12" s="6" t="str">
        <x:v>aston martin workshop dubai</x:v>
      </x:c>
      <x:c r="L12" s="6" t="str">
        <x:v>Strengthen this primary intent owner</x:v>
      </x:c>
      <x:c r="M12" s="6" t="str">
        <x:v>aston martin service dubai; aston martin repair; aston martin maintenance dubai; aston martin repair near me; aston martin workshop dubai; aston martin service center dubai; aston martin service center; aston martin garage dubai</x:v>
      </x:c>
    </x:row>
    <x:row r="13" ht="42" customHeight="1">
      <x:c r="A13" s="6" t="str">
        <x:v>mercedes-benz: Diagnostics and supported coding</x:v>
      </x:c>
      <x:c r="B13" s="6" t="str">
        <x:v>mercedes diagnostic dubai</x:v>
      </x:c>
      <x:c r="C13" s="6" t="str">
        <x:v>https://digitecme.com/services/mercedes-diagnostics-dubai</x:v>
      </x:c>
      <x:c r="D13" s="14" t="n">
        <x:f>COUNTIF('Queries'!$I$6:$I$1005,A13)</x:f>
        <x:v>3</x:v>
      </x:c>
      <x:c r="E13" s="14" t="n">
        <x:f>SUMIF('Queries'!$I$6:$I$1005,A13,'Queries'!$B$6:$B$1005)</x:f>
        <x:v>0</x:v>
      </x:c>
      <x:c r="F13" s="14" t="n">
        <x:f>SUMIF('Queries'!$I$6:$I$1005,A13,'Queries'!$C$6:$C$1005)</x:f>
        <x:v>218</x:v>
      </x:c>
      <x:c r="G13" s="15" t="n">
        <x:f>E13/F13</x:f>
        <x:v>0</x:v>
      </x:c>
      <x:c r="H13" s="16" t="n">
        <x:f>SUMIF('Queries'!$I$6:$I$1005,A13,'Scoring'!$J$6:$J$1005)/F13</x:f>
        <x:v>44.527614678899084</x:v>
      </x:c>
      <x:c r="I13" s="16" t="n">
        <x:f>MAX('Queries'!G100,'Queries'!G519,'Queries'!G963)</x:f>
        <x:v>94.8</x:v>
      </x:c>
      <x:c r="J13" s="6" t="str">
        <x:v>CRITICAL</x:v>
      </x:c>
      <x:c r="K13" s="6" t="str">
        <x:v>mercedes diagnostic dubai</x:v>
      </x:c>
      <x:c r="L13" s="6" t="str">
        <x:v>Use dedicated service owner</x:v>
      </x:c>
      <x:c r="M13" s="6" t="str">
        <x:v>mercedes coding service; mercedes inspection dubai</x:v>
      </x:c>
    </x:row>
    <x:row r="14" ht="42" customHeight="1">
      <x:c r="A14" s="6" t="str">
        <x:v>porsche: Suspension repair</x:v>
      </x:c>
      <x:c r="B14" s="6" t="str">
        <x:v>porsche suspension repair dubai</x:v>
      </x:c>
      <x:c r="C14" s="6" t="str">
        <x:v>https://digitecme.com/brands/porsche-service-dubai/suspension-repair</x:v>
      </x:c>
      <x:c r="D14" s="14" t="n">
        <x:f>COUNTIF('Queries'!$I$6:$I$1005,A14)</x:f>
        <x:v>5</x:v>
      </x:c>
      <x:c r="E14" s="14" t="n">
        <x:f>SUMIF('Queries'!$I$6:$I$1005,A14,'Queries'!$B$6:$B$1005)</x:f>
        <x:v>0</x:v>
      </x:c>
      <x:c r="F14" s="14" t="n">
        <x:f>SUMIF('Queries'!$I$6:$I$1005,A14,'Queries'!$C$6:$C$1005)</x:f>
        <x:v>308</x:v>
      </x:c>
      <x:c r="G14" s="15" t="n">
        <x:f>E14/F14</x:f>
        <x:v>0</x:v>
      </x:c>
      <x:c r="H14" s="16" t="n">
        <x:f>SUMIF('Queries'!$I$6:$I$1005,A14,'Scoring'!$J$6:$J$1005)/F14</x:f>
        <x:v>30.908733766233766</x:v>
      </x:c>
      <x:c r="I14" s="16" t="n">
        <x:f>MAX('Queries'!G117,'Queries'!G189,'Queries'!G414,'Queries'!G539,'Queries'!G643)</x:f>
        <x:v>94.7</x:v>
      </x:c>
      <x:c r="J14" s="6" t="str">
        <x:v>CRITICAL</x:v>
      </x:c>
      <x:c r="K14" s="6" t="str">
        <x:v>porche suspension repair dubai</x:v>
      </x:c>
      <x:c r="L14" s="6" t="str">
        <x:v>Use dedicated service owner</x:v>
      </x:c>
      <x:c r="M14" s="6" t="str">
        <x:v>porsche air suspension dubai; porsche suspension service dubai; porche suspension repair dubai; porsche suspension repair</x:v>
      </x:c>
    </x:row>
    <x:row r="15" ht="42" customHeight="1">
      <x:c r="A15" s="6" t="str">
        <x:v>All vehicles: Performance tuning</x:v>
      </x:c>
      <x:c r="B15" s="6" t="str">
        <x:v>car tuning dubai</x:v>
      </x:c>
      <x:c r="C15" s="6" t="str">
        <x:v>https://digitecme.com/tuning</x:v>
      </x:c>
      <x:c r="D15" s="14" t="n">
        <x:f>COUNTIF('Queries'!$I$6:$I$1005,A15)</x:f>
        <x:v>37</x:v>
      </x:c>
      <x:c r="E15" s="14" t="n">
        <x:f>SUMIF('Queries'!$I$6:$I$1005,A15,'Queries'!$B$6:$B$1005)</x:f>
        <x:v>11</x:v>
      </x:c>
      <x:c r="F15" s="14" t="n">
        <x:f>SUMIF('Queries'!$I$6:$I$1005,A15,'Queries'!$C$6:$C$1005)</x:f>
        <x:v>1222</x:v>
      </x:c>
      <x:c r="G15" s="15" t="n">
        <x:f>E15/F15</x:f>
        <x:v>0.00900163666121113</x:v>
      </x:c>
      <x:c r="H15" s="16" t="n">
        <x:f>SUMIF('Queries'!$I$6:$I$1005,A15,'Scoring'!$J$6:$J$1005)/F15</x:f>
        <x:v>17.361808510638294</x:v>
      </x:c>
      <x:c r="I15" s="16" t="n">
        <x:f>MAX('Queries'!G9,'Queries'!G14,'Queries'!G18,'Queries'!G36,'Queries'!G52,'Queries'!G135,'Queries'!G260,'Queries'!G284,'Queries'!G297,'Queries'!G305,'Queries'!G334,'Queries'!G424,'Queries'!G463,'Queries'!G499,'Queries'!G505,'Queries'!G514,'Queries'!G570,'Queries'!G595,'Queries'!G662,'Queries'!G688,'Queries'!G719,'Queries'!G765,'Queries'!G773,'Queries'!G789,'Queries'!G790,'Queries'!G799,'Queries'!G840,'Queries'!G870,'Queries'!G880,'Queries'!G915,'Queries'!G922,'Queries'!G942,'Queries'!G946,'Queries'!G955,'Queries'!G962,'Queries'!G966,'Queries'!G984)</x:f>
        <x:v>90.9</x:v>
      </x:c>
      <x:c r="J15" s="6" t="str">
        <x:v>CRITICAL</x:v>
      </x:c>
      <x:c r="K15" s="6" t="str">
        <x:v>gad mercedes</x:v>
      </x:c>
      <x:c r="L15" s="6" t="str">
        <x:v>Strengthen this primary intent owner</x:v>
      </x:c>
      <x:c r="M15" s="6" t="str">
        <x:v>gad tuning; gad motors; performance tuning dubai; mercedes gad motors; suspension upgrades near me; gad mercedes; fuel system design dubai; gad performance</x:v>
      </x:c>
    </x:row>
    <x:row r="16" ht="57" customHeight="1">
      <x:c r="A16" s="6" t="str">
        <x:v>porsche: Service and repair (English)</x:v>
      </x:c>
      <x:c r="B16" s="6" t="str">
        <x:v>porsche repair dubai</x:v>
      </x:c>
      <x:c r="C16" s="6" t="str">
        <x:v>https://digitecme.com/brands/porsche-service-dubai</x:v>
      </x:c>
      <x:c r="D16" s="14" t="n">
        <x:f>COUNTIF('Queries'!$I$6:$I$1005,A16)</x:f>
        <x:v>23</x:v>
      </x:c>
      <x:c r="E16" s="14" t="n">
        <x:f>SUMIF('Queries'!$I$6:$I$1005,A16,'Queries'!$B$6:$B$1005)</x:f>
        <x:v>2</x:v>
      </x:c>
      <x:c r="F16" s="14" t="n">
        <x:f>SUMIF('Queries'!$I$6:$I$1005,A16,'Queries'!$C$6:$C$1005)</x:f>
        <x:v>689</x:v>
      </x:c>
      <x:c r="G16" s="15" t="n">
        <x:f>E16/F16</x:f>
        <x:v>0.002902757619738752</x:v>
      </x:c>
      <x:c r="H16" s="16" t="n">
        <x:f>SUMIF('Queries'!$I$6:$I$1005,A16,'Scoring'!$J$6:$J$1005)/F16</x:f>
        <x:v>36.639259796806975</x:v>
      </x:c>
      <x:c r="I16" s="16" t="n">
        <x:f>MAX('Queries'!G30,'Queries'!G40,'Queries'!G280,'Queries'!G294,'Queries'!G300,'Queries'!G302,'Queries'!G347,'Queries'!G422,'Queries'!G470,'Queries'!G501,'Queries'!G543,'Queries'!G561,'Queries'!G567,'Queries'!G611,'Queries'!G652,'Queries'!G675,'Queries'!G686,'Queries'!G704,'Queries'!G705,'Queries'!G741,'Queries'!G878,'Queries'!G920,'Queries'!G976)</x:f>
        <x:v>90.7</x:v>
      </x:c>
      <x:c r="J16" s="6" t="str">
        <x:v>CRITICAL</x:v>
      </x:c>
      <x:c r="K16" s="6" t="str">
        <x:v>porsche maintenance</x:v>
      </x:c>
      <x:c r="L16" s="6" t="str">
        <x:v>Strengthen this primary intent owner</x:v>
      </x:c>
      <x:c r="M16" s="6" t="str">
        <x:v>porsche service dubai; porsche workshop dubai; porsche specialist dubai; porsche specialist near motor city; porsche maintenance; porsche repair; porsche workshop; porsche repair specialist</x:v>
      </x:c>
    </x:row>
    <x:row r="17" ht="42" customHeight="1">
      <x:c r="A17" s="6" t="str">
        <x:v>bentley: Transmission and gearbox repair</x:v>
      </x:c>
      <x:c r="B17" s="6" t="str">
        <x:v>bentley transmission repair dubai</x:v>
      </x:c>
      <x:c r="C17" s="6" t="str">
        <x:v>https://digitecme.com/brands/bentley-service-dubai/transmission-repair</x:v>
      </x:c>
      <x:c r="D17" s="14" t="n">
        <x:f>COUNTIF('Queries'!$I$6:$I$1005,A17)</x:f>
        <x:v>2</x:v>
      </x:c>
      <x:c r="E17" s="14" t="n">
        <x:f>SUMIF('Queries'!$I$6:$I$1005,A17,'Queries'!$B$6:$B$1005)</x:f>
        <x:v>0</x:v>
      </x:c>
      <x:c r="F17" s="14" t="n">
        <x:f>SUMIF('Queries'!$I$6:$I$1005,A17,'Queries'!$C$6:$C$1005)</x:f>
        <x:v>44</x:v>
      </x:c>
      <x:c r="G17" s="15" t="n">
        <x:f>E17/F17</x:f>
        <x:v>0</x:v>
      </x:c>
      <x:c r="H17" s="16" t="n">
        <x:f>SUMIF('Queries'!$I$6:$I$1005,A17,'Scoring'!$J$6:$J$1005)/F17</x:f>
        <x:v>17.385454545454543</x:v>
      </x:c>
      <x:c r="I17" s="16" t="n">
        <x:f>MAX('Queries'!G574,'Queries'!G617)</x:f>
        <x:v>89.5</x:v>
      </x:c>
      <x:c r="J17" s="6" t="str">
        <x:v>CRITICAL</x:v>
      </x:c>
      <x:c r="K17" s="6" t="str">
        <x:v>bentley transmission repair</x:v>
      </x:c>
      <x:c r="L17" s="6" t="str">
        <x:v>Use dedicated service owner</x:v>
      </x:c>
      <x:c r="M17" s="6" t="str">
        <x:v>bentley transmission repair</x:v>
      </x:c>
    </x:row>
    <x:row r="18" ht="42" customHeight="1">
      <x:c r="A18" s="6" t="str">
        <x:v>mercedes-benz: AC repair</x:v>
      </x:c>
      <x:c r="B18" s="6" t="str">
        <x:v>mercedes ac repair dubai</x:v>
      </x:c>
      <x:c r="C18" s="6" t="str">
        <x:v>https://digitecme.com/services/mercedes-ac-repair-dubai</x:v>
      </x:c>
      <x:c r="D18" s="14" t="n">
        <x:f>COUNTIF('Queries'!$I$6:$I$1005,A18)</x:f>
        <x:v>5</x:v>
      </x:c>
      <x:c r="E18" s="14" t="n">
        <x:f>SUMIF('Queries'!$I$6:$I$1005,A18,'Queries'!$B$6:$B$1005)</x:f>
        <x:v>1</x:v>
      </x:c>
      <x:c r="F18" s="14" t="n">
        <x:f>SUMIF('Queries'!$I$6:$I$1005,A18,'Queries'!$C$6:$C$1005)</x:f>
        <x:v>223</x:v>
      </x:c>
      <x:c r="G18" s="15" t="n">
        <x:f>E18/F18</x:f>
        <x:v>0.004484304932735426</x:v>
      </x:c>
      <x:c r="H18" s="16" t="n">
        <x:f>SUMIF('Queries'!$I$6:$I$1005,A18,'Scoring'!$J$6:$J$1005)/F18</x:f>
        <x:v>22.55964125560538</x:v>
      </x:c>
      <x:c r="I18" s="16" t="n">
        <x:f>MAX('Queries'!G35,'Queries'!G230,'Queries'!G326,'Queries'!G328,'Queries'!G631)</x:f>
        <x:v>89.4</x:v>
      </x:c>
      <x:c r="J18" s="6" t="str">
        <x:v>CRITICAL</x:v>
      </x:c>
      <x:c r="K18" s="6" t="str">
        <x:v>mercedes benz air conditioning repair</x:v>
      </x:c>
      <x:c r="L18" s="6" t="str">
        <x:v>Use dedicated service owner</x:v>
      </x:c>
      <x:c r="M18" s="6" t="str">
        <x:v>mercedes ac repair; mercedes benz ac repair; mercedes air conditioning repair; mercedes benz air conditioning repair</x:v>
      </x:c>
    </x:row>
    <x:row r="19" ht="57" customHeight="1">
      <x:c r="A19" s="6" t="str">
        <x:v>All vehicles: Exhaust repair</x:v>
      </x:c>
      <x:c r="B19" s="6" t="str">
        <x:v>exhaust repair dubai</x:v>
      </x:c>
      <x:c r="C19" s="6" t="str">
        <x:v>https://digitecme.com/services/exhaust-repair-dubai</x:v>
      </x:c>
      <x:c r="D19" s="14" t="n">
        <x:f>COUNTIF('Queries'!$I$6:$I$1005,A19)</x:f>
        <x:v>25</x:v>
      </x:c>
      <x:c r="E19" s="14" t="n">
        <x:f>SUMIF('Queries'!$I$6:$I$1005,A19,'Queries'!$B$6:$B$1005)</x:f>
        <x:v>4</x:v>
      </x:c>
      <x:c r="F19" s="14" t="n">
        <x:f>SUMIF('Queries'!$I$6:$I$1005,A19,'Queries'!$C$6:$C$1005)</x:f>
        <x:v>757</x:v>
      </x:c>
      <x:c r="G19" s="15" t="n">
        <x:f>E19/F19</x:f>
        <x:v>0.005284015852047556</x:v>
      </x:c>
      <x:c r="H19" s="16" t="n">
        <x:f>SUMIF('Queries'!$I$6:$I$1005,A19,'Scoring'!$J$6:$J$1005)/F19</x:f>
        <x:v>13.677067371202115</x:v>
      </x:c>
      <x:c r="I19" s="16" t="n">
        <x:f>MAX('Queries'!G11,'Queries'!G150,'Queries'!G155,'Queries'!G341,'Queries'!G352,'Queries'!G369,'Queries'!G389,'Queries'!G404,'Queries'!G437,'Queries'!G453,'Queries'!G553,'Queries'!G684,'Queries'!G690,'Queries'!G747,'Queries'!G750,'Queries'!G758,'Queries'!G768,'Queries'!G776,'Queries'!G791,'Queries'!G794,'Queries'!G857,'Queries'!G883,'Queries'!G937,'Queries'!G947,'Queries'!G981)</x:f>
        <x:v>88.8</x:v>
      </x:c>
      <x:c r="J19" s="6" t="str">
        <x:v>CRITICAL</x:v>
      </x:c>
      <x:c r="K19" s="6" t="str">
        <x:v>exhaust repair near me</x:v>
      </x:c>
      <x:c r="L19" s="6" t="str">
        <x:v>Strengthen this primary intent owner</x:v>
      </x:c>
      <x:c r="M19" s="6" t="str">
        <x:v>exhaust repair near me; car exhaust cleaning services; car muffler repair; car silencer repair near me; exhaust shop near me; exhaust repair; car exhaust repair; muffler repair dubai</x:v>
      </x:c>
    </x:row>
    <x:row r="20" ht="57" customHeight="1">
      <x:c r="A20" s="6" t="str">
        <x:v>nissan: Service and repair</x:v>
      </x:c>
      <x:c r="B20" s="6" t="str">
        <x:v>nissan service center dubai</x:v>
      </x:c>
      <x:c r="C20" s="6" t="str">
        <x:v>https://digitecme.com/brands/nissan-service-dubai</x:v>
      </x:c>
      <x:c r="D20" s="14" t="n">
        <x:f>COUNTIF('Queries'!$I$6:$I$1005,A20)</x:f>
        <x:v>20</x:v>
      </x:c>
      <x:c r="E20" s="14" t="n">
        <x:f>SUMIF('Queries'!$I$6:$I$1005,A20,'Queries'!$B$6:$B$1005)</x:f>
        <x:v>1</x:v>
      </x:c>
      <x:c r="F20" s="14" t="n">
        <x:f>SUMIF('Queries'!$I$6:$I$1005,A20,'Queries'!$C$6:$C$1005)</x:f>
        <x:v>506</x:v>
      </x:c>
      <x:c r="G20" s="15" t="n">
        <x:f>E20/F20</x:f>
        <x:v>0.001976284584980237</x:v>
      </x:c>
      <x:c r="H20" s="16" t="n">
        <x:f>SUMIF('Queries'!$I$6:$I$1005,A20,'Scoring'!$J$6:$J$1005)/F20</x:f>
        <x:v>21.587588932806323</x:v>
      </x:c>
      <x:c r="I20" s="16" t="n">
        <x:f>MAX('Queries'!G55,'Queries'!G195,'Queries'!G274,'Queries'!G312,'Queries'!G363,'Queries'!G444,'Queries'!G502,'Queries'!G513,'Queries'!G585,'Queries'!G598,'Queries'!G645,'Queries'!G730,'Queries'!G734,'Queries'!G766,'Queries'!G792,'Queries'!G795,'Queries'!G805,'Queries'!G949,'Queries'!G956,'Queries'!G969)</x:f>
        <x:v>87.8</x:v>
      </x:c>
      <x:c r="J20" s="6" t="str">
        <x:v>CRITICAL</x:v>
      </x:c>
      <x:c r="K20" s="6" t="str">
        <x:v>nissan service center al quoz</x:v>
      </x:c>
      <x:c r="L20" s="6" t="str">
        <x:v>Strengthen this primary intent owner</x:v>
      </x:c>
      <x:c r="M20" s="6" t="str">
        <x:v>nissan mechanic; nissan service center al quoz; nissan service; nissan workshop dubai; nissan repair dubai; nissan repair; nissan workshop near me; nissan service centers near me</x:v>
      </x:c>
    </x:row>
    <x:row r="21" ht="57" customHeight="1">
      <x:c r="A21" s="6" t="str">
        <x:v>mclaren: Service and repair</x:v>
      </x:c>
      <x:c r="B21" s="6" t="str">
        <x:v>mclaren repair dubai</x:v>
      </x:c>
      <x:c r="C21" s="6" t="str">
        <x:v>https://digitecme.com/brands/mclaren-service-dubai</x:v>
      </x:c>
      <x:c r="D21" s="14" t="n">
        <x:f>COUNTIF('Queries'!$I$6:$I$1005,A21)</x:f>
        <x:v>13</x:v>
      </x:c>
      <x:c r="E21" s="14" t="n">
        <x:f>SUMIF('Queries'!$I$6:$I$1005,A21,'Queries'!$B$6:$B$1005)</x:f>
        <x:v>1</x:v>
      </x:c>
      <x:c r="F21" s="14" t="n">
        <x:f>SUMIF('Queries'!$I$6:$I$1005,A21,'Queries'!$C$6:$C$1005)</x:f>
        <x:v>845</x:v>
      </x:c>
      <x:c r="G21" s="15" t="n">
        <x:f>E21/F21</x:f>
        <x:v>0.001183431952662722</x:v>
      </x:c>
      <x:c r="H21" s="16" t="n">
        <x:f>SUMIF('Queries'!$I$6:$I$1005,A21,'Scoring'!$J$6:$J$1005)/F21</x:f>
        <x:v>16.447893491124262</x:v>
      </x:c>
      <x:c r="I21" s="16" t="n">
        <x:f>MAX('Queries'!G22,'Queries'!G106,'Queries'!G175,'Queries'!G198,'Queries'!G240,'Queries'!G261,'Queries'!G441,'Queries'!G454,'Queries'!G473,'Queries'!G596,'Queries'!G722,'Queries'!G755,'Queries'!G999)</x:f>
        <x:v>87.4</x:v>
      </x:c>
      <x:c r="J21" s="6" t="str">
        <x:v>CRITICAL</x:v>
      </x:c>
      <x:c r="K21" s="6" t="str">
        <x:v>mclaren service dubai</x:v>
      </x:c>
      <x:c r="L21" s="6" t="str">
        <x:v>Strengthen this primary intent owner</x:v>
      </x:c>
      <x:c r="M21" s="6" t="str">
        <x:v>mclaren service dubai; mclaren workshop dubai; mclaren maintenance dubai; mclaren garage dubai; mclaren repair; mclaren service center; mclaren service center near me; mclaren service</x:v>
      </x:c>
    </x:row>
    <x:row r="22" ht="42" customHeight="1">
      <x:c r="A22" s="6" t="str">
        <x:v>bmw: Service and repair (English)</x:v>
      </x:c>
      <x:c r="B22" s="6" t="str">
        <x:v>bmw service dubai</x:v>
      </x:c>
      <x:c r="C22" s="6" t="str">
        <x:v>https://digitecme.com/brands/bmw-service-dubai</x:v>
      </x:c>
      <x:c r="D22" s="14" t="n">
        <x:f>COUNTIF('Queries'!$I$6:$I$1005,A22)</x:f>
        <x:v>21</x:v>
      </x:c>
      <x:c r="E22" s="14" t="n">
        <x:f>SUMIF('Queries'!$I$6:$I$1005,A22,'Queries'!$B$6:$B$1005)</x:f>
        <x:v>4</x:v>
      </x:c>
      <x:c r="F22" s="14" t="n">
        <x:f>SUMIF('Queries'!$I$6:$I$1005,A22,'Queries'!$C$6:$C$1005)</x:f>
        <x:v>1273</x:v>
      </x:c>
      <x:c r="G22" s="15" t="n">
        <x:f>E22/F22</x:f>
        <x:v>0.003142183817753339</x:v>
      </x:c>
      <x:c r="H22" s="16" t="n">
        <x:f>SUMIF('Queries'!$I$6:$I$1005,A22,'Scoring'!$J$6:$J$1005)/F22</x:f>
        <x:v>21.801178318931665</x:v>
      </x:c>
      <x:c r="I22" s="16" t="n">
        <x:f>MAX('Queries'!G16,'Queries'!G24,'Queries'!G47,'Queries'!G127,'Queries'!G169,'Queries'!G171,'Queries'!G188,'Queries'!G214,'Queries'!G256,'Queries'!G276,'Queries'!G361,'Queries'!G371,'Queries'!G396,'Queries'!G400,'Queries'!G434,'Queries'!G523,'Queries'!G556,'Queries'!G569,'Queries'!G670,'Queries'!G801,'Queries'!G971)</x:f>
        <x:v>87.3</x:v>
      </x:c>
      <x:c r="J22" s="6" t="str">
        <x:v>CRITICAL</x:v>
      </x:c>
      <x:c r="K22" s="6" t="str">
        <x:v>bmw repair dubai</x:v>
      </x:c>
      <x:c r="L22" s="6" t="str">
        <x:v>Strengthen this primary intent owner</x:v>
      </x:c>
      <x:c r="M22" s="6" t="str">
        <x:v>bmw repair dubai; bmw service center in dubai; bmw service center dubai; bmw service; bmw repair; bmw service in dubai; bmw workshop dubai; bmw car service dubai</x:v>
      </x:c>
    </x:row>
    <x:row r="23" ht="42" customHeight="1">
      <x:c r="A23" s="6" t="str">
        <x:v>porsche: Steering repair</x:v>
      </x:c>
      <x:c r="B23" s="6" t="str">
        <x:v>porsche steering repair dubai</x:v>
      </x:c>
      <x:c r="C23" s="6" t="str">
        <x:v>https://digitecme.com/brands/porsche-service-dubai/steering-repair</x:v>
      </x:c>
      <x:c r="D23" s="14" t="n">
        <x:f>COUNTIF('Queries'!$I$6:$I$1005,A23)</x:f>
        <x:v>1</x:v>
      </x:c>
      <x:c r="E23" s="14" t="n">
        <x:f>SUMIF('Queries'!$I$6:$I$1005,A23,'Queries'!$B$6:$B$1005)</x:f>
        <x:v>0</x:v>
      </x:c>
      <x:c r="F23" s="14" t="n">
        <x:f>SUMIF('Queries'!$I$6:$I$1005,A23,'Queries'!$C$6:$C$1005)</x:f>
        <x:v>105</x:v>
      </x:c>
      <x:c r="G23" s="15" t="n">
        <x:f>E23/F23</x:f>
        <x:v>0</x:v>
      </x:c>
      <x:c r="H23" s="16" t="n">
        <x:f>SUMIF('Queries'!$I$6:$I$1005,A23,'Scoring'!$J$6:$J$1005)/F23</x:f>
        <x:v>10.77</x:v>
      </x:c>
      <x:c r="I23" s="16" t="n">
        <x:f>MAX('Queries'!G157)</x:f>
        <x:v>86.8</x:v>
      </x:c>
      <x:c r="J23" s="6" t="str">
        <x:v>CRITICAL</x:v>
      </x:c>
      <x:c r="K23" s="6" t="str">
        <x:v>porsche steering repair dubai</x:v>
      </x:c>
      <x:c r="L23" s="6" t="str">
        <x:v>Use dedicated service owner</x:v>
      </x:c>
      <x:c r="M23" s="6" t="str"/>
    </x:row>
    <x:row r="24" ht="42" customHeight="1">
      <x:c r="A24" s="6" t="str">
        <x:v>aston-martin: Brake repair</x:v>
      </x:c>
      <x:c r="B24" s="6" t="str">
        <x:v>aston martin brake repair dubai</x:v>
      </x:c>
      <x:c r="C24" s="6" t="str">
        <x:v>https://digitecme.com/brands/aston-martin-service-dubai/brake-repair</x:v>
      </x:c>
      <x:c r="D24" s="14" t="n">
        <x:f>COUNTIF('Queries'!$I$6:$I$1005,A24)</x:f>
        <x:v>1</x:v>
      </x:c>
      <x:c r="E24" s="14" t="n">
        <x:f>SUMIF('Queries'!$I$6:$I$1005,A24,'Queries'!$B$6:$B$1005)</x:f>
        <x:v>0</x:v>
      </x:c>
      <x:c r="F24" s="14" t="n">
        <x:f>SUMIF('Queries'!$I$6:$I$1005,A24,'Queries'!$C$6:$C$1005)</x:f>
        <x:v>79</x:v>
      </x:c>
      <x:c r="G24" s="15" t="n">
        <x:f>E24/F24</x:f>
        <x:v>0</x:v>
      </x:c>
      <x:c r="H24" s="16" t="n">
        <x:f>SUMIF('Queries'!$I$6:$I$1005,A24,'Scoring'!$J$6:$J$1005)/F24</x:f>
        <x:v>13.849999999999998</x:v>
      </x:c>
      <x:c r="I24" s="16" t="n">
        <x:f>MAX('Queries'!G199)</x:f>
        <x:v>86.3</x:v>
      </x:c>
      <x:c r="J24" s="6" t="str">
        <x:v>CRITICAL</x:v>
      </x:c>
      <x:c r="K24" s="6" t="str">
        <x:v>aston martin brake repair dubai</x:v>
      </x:c>
      <x:c r="L24" s="6" t="str">
        <x:v>Use dedicated service owner</x:v>
      </x:c>
      <x:c r="M24" s="6" t="str"/>
    </x:row>
    <x:row r="25" ht="32" customHeight="1">
      <x:c r="A25" s="6" t="str">
        <x:v>mclaren: Oil change</x:v>
      </x:c>
      <x:c r="B25" s="6" t="str">
        <x:v>mclaren oil change service dubai</x:v>
      </x:c>
      <x:c r="C25" s="6" t="str">
        <x:v>https://digitecme.com/brands/mclaren-service-dubai/oil-change</x:v>
      </x:c>
      <x:c r="D25" s="14" t="n">
        <x:f>COUNTIF('Queries'!$I$6:$I$1005,A25)</x:f>
        <x:v>1</x:v>
      </x:c>
      <x:c r="E25" s="14" t="n">
        <x:f>SUMIF('Queries'!$I$6:$I$1005,A25,'Queries'!$B$6:$B$1005)</x:f>
        <x:v>0</x:v>
      </x:c>
      <x:c r="F25" s="14" t="n">
        <x:f>SUMIF('Queries'!$I$6:$I$1005,A25,'Queries'!$C$6:$C$1005)</x:f>
        <x:v>69</x:v>
      </x:c>
      <x:c r="G25" s="15" t="n">
        <x:f>E25/F25</x:f>
        <x:v>0</x:v>
      </x:c>
      <x:c r="H25" s="16" t="n">
        <x:f>SUMIF('Queries'!$I$6:$I$1005,A25,'Scoring'!$J$6:$J$1005)/F25</x:f>
        <x:v>14.96</x:v>
      </x:c>
      <x:c r="I25" s="16" t="n">
        <x:f>MAX('Queries'!G224)</x:f>
        <x:v>86.2</x:v>
      </x:c>
      <x:c r="J25" s="6" t="str">
        <x:v>CRITICAL</x:v>
      </x:c>
      <x:c r="K25" s="6" t="str">
        <x:v>mclaren oil change service dubai</x:v>
      </x:c>
      <x:c r="L25" s="6" t="str">
        <x:v>Use dedicated service owner</x:v>
      </x:c>
      <x:c r="M25" s="6" t="str"/>
    </x:row>
    <x:row r="26" ht="42" customHeight="1">
      <x:c r="A26" s="6" t="str">
        <x:v>bugatti: Service and repair</x:v>
      </x:c>
      <x:c r="B26" s="6" t="str">
        <x:v>bugatti repair dubai</x:v>
      </x:c>
      <x:c r="C26" s="6" t="str">
        <x:v>https://digitecme.com/brands/bugatti-service-dubai</x:v>
      </x:c>
      <x:c r="D26" s="14" t="n">
        <x:f>COUNTIF('Queries'!$I$6:$I$1005,A26)</x:f>
        <x:v>5</x:v>
      </x:c>
      <x:c r="E26" s="14" t="n">
        <x:f>SUMIF('Queries'!$I$6:$I$1005,A26,'Queries'!$B$6:$B$1005)</x:f>
        <x:v>0</x:v>
      </x:c>
      <x:c r="F26" s="14" t="n">
        <x:f>SUMIF('Queries'!$I$6:$I$1005,A26,'Queries'!$C$6:$C$1005)</x:f>
        <x:v>338</x:v>
      </x:c>
      <x:c r="G26" s="15" t="n">
        <x:f>E26/F26</x:f>
        <x:v>0</x:v>
      </x:c>
      <x:c r="H26" s="16" t="n">
        <x:f>SUMIF('Queries'!$I$6:$I$1005,A26,'Scoring'!$J$6:$J$1005)/F26</x:f>
        <x:v>21.54014792899408</x:v>
      </x:c>
      <x:c r="I26" s="16" t="n">
        <x:f>MAX('Queries'!G128,'Queries'!G233,'Queries'!G269,'Queries'!G277,'Queries'!G388)</x:f>
        <x:v>86.1</x:v>
      </x:c>
      <x:c r="J26" s="6" t="str">
        <x:v>CRITICAL</x:v>
      </x:c>
      <x:c r="K26" s="6" t="str">
        <x:v>bugatti service dubai</x:v>
      </x:c>
      <x:c r="L26" s="6" t="str">
        <x:v>Strengthen this primary intent owner</x:v>
      </x:c>
      <x:c r="M26" s="6" t="str">
        <x:v>bugatti service dubai; bugatti workshop dubai; bugatti maintenance dubai; bugatti service center dubai</x:v>
      </x:c>
    </x:row>
    <x:row r="27" ht="42" customHeight="1">
      <x:c r="A27" s="6" t="str">
        <x:v>aston-martin: Transmission and gearbox repair</x:v>
      </x:c>
      <x:c r="B27" s="6" t="str">
        <x:v>aston martin transmission repair dubai</x:v>
      </x:c>
      <x:c r="C27" s="6" t="str">
        <x:v>https://digitecme.com/brands/aston-martin-service-dubai/transmission-repair</x:v>
      </x:c>
      <x:c r="D27" s="14" t="n">
        <x:f>COUNTIF('Queries'!$I$6:$I$1005,A27)</x:f>
        <x:v>2</x:v>
      </x:c>
      <x:c r="E27" s="14" t="n">
        <x:f>SUMIF('Queries'!$I$6:$I$1005,A27,'Queries'!$B$6:$B$1005)</x:f>
        <x:v>0</x:v>
      </x:c>
      <x:c r="F27" s="14" t="n">
        <x:f>SUMIF('Queries'!$I$6:$I$1005,A27,'Queries'!$C$6:$C$1005)</x:f>
        <x:v>77</x:v>
      </x:c>
      <x:c r="G27" s="15" t="n">
        <x:f>E27/F27</x:f>
        <x:v>0</x:v>
      </x:c>
      <x:c r="H27" s="16" t="n">
        <x:f>SUMIF('Queries'!$I$6:$I$1005,A27,'Scoring'!$J$6:$J$1005)/F27</x:f>
        <x:v>12.157142857142857</x:v>
      </x:c>
      <x:c r="I27" s="16" t="n">
        <x:f>MAX('Queries'!G266,'Queries'!G599)</x:f>
        <x:v>85.8</x:v>
      </x:c>
      <x:c r="J27" s="6" t="str">
        <x:v>CRITICAL</x:v>
      </x:c>
      <x:c r="K27" s="6" t="str">
        <x:v>aston martin transmission repair dubai</x:v>
      </x:c>
      <x:c r="L27" s="6" t="str">
        <x:v>Use dedicated service owner</x:v>
      </x:c>
      <x:c r="M27" s="6" t="str">
        <x:v>aston martin transmission repair</x:v>
      </x:c>
    </x:row>
    <x:row r="28" ht="32" customHeight="1">
      <x:c r="A28" s="6" t="str">
        <x:v>maserati: Service and repair (English)</x:v>
      </x:c>
      <x:c r="B28" s="6" t="str">
        <x:v>maserati workshop dubai</x:v>
      </x:c>
      <x:c r="C28" s="6" t="str">
        <x:v>https://digitecme.com/brands/maserati-service-dubai</x:v>
      </x:c>
      <x:c r="D28" s="14" t="n">
        <x:f>COUNTIF('Queries'!$I$6:$I$1005,A28)</x:f>
        <x:v>4</x:v>
      </x:c>
      <x:c r="E28" s="14" t="n">
        <x:f>SUMIF('Queries'!$I$6:$I$1005,A28,'Queries'!$B$6:$B$1005)</x:f>
        <x:v>0</x:v>
      </x:c>
      <x:c r="F28" s="14" t="n">
        <x:f>SUMIF('Queries'!$I$6:$I$1005,A28,'Queries'!$C$6:$C$1005)</x:f>
        <x:v>112</x:v>
      </x:c>
      <x:c r="G28" s="15" t="n">
        <x:f>E28/F28</x:f>
        <x:v>0</x:v>
      </x:c>
      <x:c r="H28" s="16" t="n">
        <x:f>SUMIF('Queries'!$I$6:$I$1005,A28,'Scoring'!$J$6:$J$1005)/F28</x:f>
        <x:v>24.53508928571429</x:v>
      </x:c>
      <x:c r="I28" s="16" t="n">
        <x:f>MAX('Queries'!G275,'Queries'!G549,'Queries'!G628,'Queries'!G938)</x:f>
        <x:v>85.8</x:v>
      </x:c>
      <x:c r="J28" s="6" t="str">
        <x:v>CRITICAL</x:v>
      </x:c>
      <x:c r="K28" s="6" t="str">
        <x:v>maserati workshop dubai</x:v>
      </x:c>
      <x:c r="L28" s="6" t="str">
        <x:v>Strengthen this primary intent owner</x:v>
      </x:c>
      <x:c r="M28" s="6" t="str">
        <x:v>maserati repair dubai; maserati service dubai; maserati workshop</x:v>
      </x:c>
    </x:row>
    <x:row r="29" ht="57" customHeight="1">
      <x:c r="A29" s="6" t="str">
        <x:v>range-rover: Service and repair</x:v>
      </x:c>
      <x:c r="B29" s="6" t="str">
        <x:v>range rover repair dubai</x:v>
      </x:c>
      <x:c r="C29" s="6" t="str">
        <x:v>https://digitecme.com/brands/range-rover-service-dubai</x:v>
      </x:c>
      <x:c r="D29" s="14" t="n">
        <x:f>COUNTIF('Queries'!$I$6:$I$1005,A29)</x:f>
        <x:v>10</x:v>
      </x:c>
      <x:c r="E29" s="14" t="n">
        <x:f>SUMIF('Queries'!$I$6:$I$1005,A29,'Queries'!$B$6:$B$1005)</x:f>
        <x:v>1</x:v>
      </x:c>
      <x:c r="F29" s="14" t="n">
        <x:f>SUMIF('Queries'!$I$6:$I$1005,A29,'Queries'!$C$6:$C$1005)</x:f>
        <x:v>332</x:v>
      </x:c>
      <x:c r="G29" s="15" t="n">
        <x:f>E29/F29</x:f>
        <x:v>0.0030120481927710845</x:v>
      </x:c>
      <x:c r="H29" s="16" t="n">
        <x:f>SUMIF('Queries'!$I$6:$I$1005,A29,'Scoring'!$J$6:$J$1005)/F29</x:f>
        <x:v>39.87846385542169</x:v>
      </x:c>
      <x:c r="I29" s="16" t="n">
        <x:f>MAX('Queries'!G46,'Queries'!G148,'Queries'!G320,'Queries'!G323,'Queries'!G385,'Queries'!G708,'Queries'!G712,'Queries'!G787,'Queries'!G823,'Queries'!G948)</x:f>
        <x:v>85.6</x:v>
      </x:c>
      <x:c r="J29" s="6" t="str">
        <x:v>CRITICAL</x:v>
      </x:c>
      <x:c r="K29" s="6" t="str">
        <x:v>range rover service dubai</x:v>
      </x:c>
      <x:c r="L29" s="6" t="str">
        <x:v>Strengthen this primary intent owner</x:v>
      </x:c>
      <x:c r="M29" s="6" t="str">
        <x:v>range rover workshop; range rover service dubai; range rover workshop dubai; range rover repair specialist in dubai; range rover repair; range rover repair specialist; range rover repair in dubai; range rover specialist</x:v>
      </x:c>
    </x:row>
    <x:row r="30" ht="32" customHeight="1">
      <x:c r="A30" s="6" t="str">
        <x:v>bmw: Brake repair</x:v>
      </x:c>
      <x:c r="B30" s="6" t="str">
        <x:v>bmw brake repair dubai</x:v>
      </x:c>
      <x:c r="C30" s="6" t="str">
        <x:v>https://digitecme.com/brands/bmw-service-dubai/brake-repair</x:v>
      </x:c>
      <x:c r="D30" s="14" t="n">
        <x:f>COUNTIF('Queries'!$I$6:$I$1005,A30)</x:f>
        <x:v>3</x:v>
      </x:c>
      <x:c r="E30" s="14" t="n">
        <x:f>SUMIF('Queries'!$I$6:$I$1005,A30,'Queries'!$B$6:$B$1005)</x:f>
        <x:v>0</x:v>
      </x:c>
      <x:c r="F30" s="14" t="n">
        <x:f>SUMIF('Queries'!$I$6:$I$1005,A30,'Queries'!$C$6:$C$1005)</x:f>
        <x:v>69</x:v>
      </x:c>
      <x:c r="G30" s="15" t="n">
        <x:f>E30/F30</x:f>
        <x:v>0</x:v>
      </x:c>
      <x:c r="H30" s="16" t="n">
        <x:f>SUMIF('Queries'!$I$6:$I$1005,A30,'Scoring'!$J$6:$J$1005)/F30</x:f>
        <x:v>15.231304347826088</x:v>
      </x:c>
      <x:c r="I30" s="16" t="n">
        <x:f>MAX('Queries'!G360,'Queries'!G793,'Queries'!G851)</x:f>
        <x:v>85.4</x:v>
      </x:c>
      <x:c r="J30" s="6" t="str">
        <x:v>CRITICAL</x:v>
      </x:c>
      <x:c r="K30" s="6" t="str">
        <x:v>bmw brake repair dubai</x:v>
      </x:c>
      <x:c r="L30" s="6" t="str">
        <x:v>Use dedicated service owner</x:v>
      </x:c>
      <x:c r="M30" s="6" t="str">
        <x:v>bmw brake repair; bmw brake service dubai</x:v>
      </x:c>
    </x:row>
    <x:row r="31" ht="57" customHeight="1">
      <x:c r="A31" s="6" t="str">
        <x:v>All vehicles: Tyre repair</x:v>
      </x:c>
      <x:c r="B31" s="6" t="str">
        <x:v>tire repair dubai</x:v>
      </x:c>
      <x:c r="C31" s="6" t="str">
        <x:v>https://digitecme.com/services/tire-repair-dubai</x:v>
      </x:c>
      <x:c r="D31" s="14" t="n">
        <x:f>COUNTIF('Queries'!$I$6:$I$1005,A31)</x:f>
        <x:v>30</x:v>
      </x:c>
      <x:c r="E31" s="14" t="n">
        <x:f>SUMIF('Queries'!$I$6:$I$1005,A31,'Queries'!$B$6:$B$1005)</x:f>
        <x:v>2</x:v>
      </x:c>
      <x:c r="F31" s="14" t="n">
        <x:f>SUMIF('Queries'!$I$6:$I$1005,A31,'Queries'!$C$6:$C$1005)</x:f>
        <x:v>1270</x:v>
      </x:c>
      <x:c r="G31" s="15" t="n">
        <x:f>E31/F31</x:f>
        <x:v>0.0015748031496062992</x:v>
      </x:c>
      <x:c r="H31" s="16" t="n">
        <x:f>SUMIF('Queries'!$I$6:$I$1005,A31,'Scoring'!$J$6:$J$1005)/F31</x:f>
        <x:v>27.557196850393705</x:v>
      </x:c>
      <x:c r="I31" s="16" t="n">
        <x:f>MAX('Queries'!G26,'Queries'!G50,'Queries'!G103,'Queries'!G158,'Queries'!G202,'Queries'!G203,'Queries'!G213,'Queries'!G235,'Queries'!G243,'Queries'!G253,'Queries'!G255,'Queries'!G391,'Queries'!G421,'Queries'!G535,'Queries'!G565,'Queries'!G579,'Queries'!G593,'Queries'!G689,'Queries'!G698,'Queries'!G710,'Queries'!G717,'Queries'!G740,'Queries'!G751,'Queries'!G752,'Queries'!G754,'Queries'!G788,'Queries'!G887,'Queries'!G944,'Queries'!G994,'Queries'!G998)</x:f>
        <x:v>85.3</x:v>
      </x:c>
      <x:c r="J31" s="6" t="str">
        <x:v>GROWTH</x:v>
      </x:c>
      <x:c r="K31" s="6" t="str">
        <x:v>vulcanizing shop near me</x:v>
      </x:c>
      <x:c r="L31" s="6" t="str">
        <x:v>Strengthen this primary intent owner</x:v>
      </x:c>
      <x:c r="M31" s="6" t="str">
        <x:v>vulcanizing shop near me; tire patching service near me; tire repair near me; tyre change dubai; tire puncture repair near me; puncher workshop near me; flat tire repair near me; tire change dubai</x:v>
      </x:c>
    </x:row>
    <x:row r="32" ht="32" customHeight="1">
      <x:c r="A32" s="6" t="str">
        <x:v>bmw: Diagnostics and supported coding</x:v>
      </x:c>
      <x:c r="B32" s="6" t="str">
        <x:v>bmw diagnostics dubai</x:v>
      </x:c>
      <x:c r="C32" s="6" t="str">
        <x:v>https://digitecme.com/brands/bmw-service-dubai/engine-diagnostics</x:v>
      </x:c>
      <x:c r="D32" s="14" t="n">
        <x:f>COUNTIF('Queries'!$I$6:$I$1005,A32)</x:f>
        <x:v>3</x:v>
      </x:c>
      <x:c r="E32" s="14" t="n">
        <x:f>SUMIF('Queries'!$I$6:$I$1005,A32,'Queries'!$B$6:$B$1005)</x:f>
        <x:v>0</x:v>
      </x:c>
      <x:c r="F32" s="14" t="n">
        <x:f>SUMIF('Queries'!$I$6:$I$1005,A32,'Queries'!$C$6:$C$1005)</x:f>
        <x:v>122</x:v>
      </x:c>
      <x:c r="G32" s="15" t="n">
        <x:f>E32/F32</x:f>
        <x:v>0</x:v>
      </x:c>
      <x:c r="H32" s="16" t="n">
        <x:f>SUMIF('Queries'!$I$6:$I$1005,A32,'Scoring'!$J$6:$J$1005)/F32</x:f>
        <x:v>27.827786885245903</x:v>
      </x:c>
      <x:c r="I32" s="16" t="n">
        <x:f>MAX('Queries'!G222,'Queries'!G403,'Queries'!G797)</x:f>
        <x:v>85.2</x:v>
      </x:c>
      <x:c r="J32" s="6" t="str">
        <x:v>CRITICAL</x:v>
      </x:c>
      <x:c r="K32" s="6" t="str">
        <x:v>bmw diagnostics dubai</x:v>
      </x:c>
      <x:c r="L32" s="6" t="str">
        <x:v>Use dedicated service owner</x:v>
      </x:c>
      <x:c r="M32" s="6" t="str">
        <x:v>bmw coding service; bmw engine diagnostics</x:v>
      </x:c>
    </x:row>
    <x:row r="33" ht="57" customHeight="1">
      <x:c r="A33" s="6" t="str">
        <x:v>lamborghini: Service and repair</x:v>
      </x:c>
      <x:c r="B33" s="6" t="str">
        <x:v>lamborghini service dubai</x:v>
      </x:c>
      <x:c r="C33" s="6" t="str">
        <x:v>https://digitecme.com/brands/lamborghini-service-dubai</x:v>
      </x:c>
      <x:c r="D33" s="14" t="n">
        <x:f>COUNTIF('Queries'!$I$6:$I$1005,A33)</x:f>
        <x:v>16</x:v>
      </x:c>
      <x:c r="E33" s="14" t="n">
        <x:f>SUMIF('Queries'!$I$6:$I$1005,A33,'Queries'!$B$6:$B$1005)</x:f>
        <x:v>0</x:v>
      </x:c>
      <x:c r="F33" s="14" t="n">
        <x:f>SUMIF('Queries'!$I$6:$I$1005,A33,'Queries'!$C$6:$C$1005)</x:f>
        <x:v>1197</x:v>
      </x:c>
      <x:c r="G33" s="15" t="n">
        <x:f>E33/F33</x:f>
        <x:v>0</x:v>
      </x:c>
      <x:c r="H33" s="16" t="n">
        <x:f>SUMIF('Queries'!$I$6:$I$1005,A33,'Scoring'!$J$6:$J$1005)/F33</x:f>
        <x:v>22.682172096908936</x:v>
      </x:c>
      <x:c r="I33" s="16" t="n">
        <x:f>MAX('Queries'!G86,'Queries'!G87,'Queries'!G124,'Queries'!G142,'Queries'!G147,'Queries'!G166,'Queries'!G286,'Queries'!G307,'Queries'!G401,'Queries'!G416,'Queries'!G472,'Queries'!G475,'Queries'!G477,'Queries'!G506,'Queries'!G544,'Queries'!G811)</x:f>
        <x:v>84.9</x:v>
      </x:c>
      <x:c r="J33" s="6" t="str">
        <x:v>CRITICAL</x:v>
      </x:c>
      <x:c r="K33" s="6" t="str">
        <x:v>best lamborghini service center dubai</x:v>
      </x:c>
      <x:c r="L33" s="6" t="str">
        <x:v>Strengthen this primary intent owner</x:v>
      </x:c>
      <x:c r="M33" s="6" t="str">
        <x:v>lamborghini repair dubai; lamborghini maintenance dubai; lamborghini service center dubai; lamborghini workshop dubai; lamborghini service; lamborghini repair in dubai; lamborghini servicing; lamborghini service center</x:v>
      </x:c>
    </x:row>
    <x:row r="34" ht="57" customHeight="1">
      <x:c r="A34" s="6" t="str">
        <x:v>land-rover: Service and repair</x:v>
      </x:c>
      <x:c r="B34" s="6" t="str">
        <x:v>land rover repair dubai</x:v>
      </x:c>
      <x:c r="C34" s="6" t="str">
        <x:v>https://digitecme.com/brands/land-rover-service-dubai</x:v>
      </x:c>
      <x:c r="D34" s="14" t="n">
        <x:f>COUNTIF('Queries'!$I$6:$I$1005,A34)</x:f>
        <x:v>9</x:v>
      </x:c>
      <x:c r="E34" s="14" t="n">
        <x:f>SUMIF('Queries'!$I$6:$I$1005,A34,'Queries'!$B$6:$B$1005)</x:f>
        <x:v>2</x:v>
      </x:c>
      <x:c r="F34" s="14" t="n">
        <x:f>SUMIF('Queries'!$I$6:$I$1005,A34,'Queries'!$C$6:$C$1005)</x:f>
        <x:v>208</x:v>
      </x:c>
      <x:c r="G34" s="15" t="n">
        <x:f>E34/F34</x:f>
        <x:v>0.009615384615384616</x:v>
      </x:c>
      <x:c r="H34" s="16" t="n">
        <x:f>SUMIF('Queries'!$I$6:$I$1005,A34,'Scoring'!$J$6:$J$1005)/F34</x:f>
        <x:v>24.29346153846154</x:v>
      </x:c>
      <x:c r="I34" s="16" t="n">
        <x:f>MAX('Queries'!G39,'Queries'!G42,'Queries'!G238,'Queries'!G524,'Queries'!G609,'Queries'!G736,'Queries'!G821,'Queries'!G838,'Queries'!G939)</x:f>
        <x:v>84.6</x:v>
      </x:c>
      <x:c r="J34" s="6" t="str">
        <x:v>CRITICAL</x:v>
      </x:c>
      <x:c r="K34" s="6" t="str">
        <x:v>land rover service dubai</x:v>
      </x:c>
      <x:c r="L34" s="6" t="str">
        <x:v>Strengthen this primary intent owner</x:v>
      </x:c>
      <x:c r="M34" s="6" t="str">
        <x:v>land rover service dubai; land rover repair; land rover service center dubai; land rover specialist dubai; land rover workshop dubai; land rover repairs dubai; land rover service; land rover workshop</x:v>
      </x:c>
    </x:row>
    <x:row r="35" ht="32" customHeight="1">
      <x:c r="A35" s="6" t="str">
        <x:v>lotus: Service and repair</x:v>
      </x:c>
      <x:c r="B35" s="6" t="str">
        <x:v>lotus repair dubai</x:v>
      </x:c>
      <x:c r="C35" s="6" t="str">
        <x:v>https://digitecme.com/brands/lotus-service-dubai</x:v>
      </x:c>
      <x:c r="D35" s="14" t="n">
        <x:f>COUNTIF('Queries'!$I$6:$I$1005,A35)</x:f>
        <x:v>4</x:v>
      </x:c>
      <x:c r="E35" s="14" t="n">
        <x:f>SUMIF('Queries'!$I$6:$I$1005,A35,'Queries'!$B$6:$B$1005)</x:f>
        <x:v>0</x:v>
      </x:c>
      <x:c r="F35" s="14" t="n">
        <x:f>SUMIF('Queries'!$I$6:$I$1005,A35,'Queries'!$C$6:$C$1005)</x:f>
        <x:v>88</x:v>
      </x:c>
      <x:c r="G35" s="15" t="n">
        <x:f>E35/F35</x:f>
        <x:v>0</x:v>
      </x:c>
      <x:c r="H35" s="16" t="n">
        <x:f>SUMIF('Queries'!$I$6:$I$1005,A35,'Scoring'!$J$6:$J$1005)/F35</x:f>
        <x:v>14.908636363636363</x:v>
      </x:c>
      <x:c r="I35" s="16" t="n">
        <x:f>MAX('Queries'!G458,'Queries'!G568,'Queries'!G661,'Queries'!G753)</x:f>
        <x:v>84.6</x:v>
      </x:c>
      <x:c r="J35" s="6" t="str">
        <x:v>CRITICAL</x:v>
      </x:c>
      <x:c r="K35" s="6" t="str">
        <x:v>lotus service dubai</x:v>
      </x:c>
      <x:c r="L35" s="6" t="str">
        <x:v>Strengthen this primary intent owner</x:v>
      </x:c>
      <x:c r="M35" s="6" t="str">
        <x:v>lotus service dubai; lotus service center dubai; lotus maintenance dubai</x:v>
      </x:c>
    </x:row>
    <x:row r="36" ht="42" customHeight="1">
      <x:c r="A36" s="6" t="str">
        <x:v>audi: Service and repair (English)</x:v>
      </x:c>
      <x:c r="B36" s="6" t="str">
        <x:v>audi specialist dubai</x:v>
      </x:c>
      <x:c r="C36" s="6" t="str">
        <x:v>https://digitecme.com/brands/audi-service-dubai</x:v>
      </x:c>
      <x:c r="D36" s="14" t="n">
        <x:f>COUNTIF('Queries'!$I$6:$I$1005,A36)</x:f>
        <x:v>11</x:v>
      </x:c>
      <x:c r="E36" s="14" t="n">
        <x:f>SUMIF('Queries'!$I$6:$I$1005,A36,'Queries'!$B$6:$B$1005)</x:f>
        <x:v>0</x:v>
      </x:c>
      <x:c r="F36" s="14" t="n">
        <x:f>SUMIF('Queries'!$I$6:$I$1005,A36,'Queries'!$C$6:$C$1005)</x:f>
        <x:v>219</x:v>
      </x:c>
      <x:c r="G36" s="15" t="n">
        <x:f>E36/F36</x:f>
        <x:v>0</x:v>
      </x:c>
      <x:c r="H36" s="16" t="n">
        <x:f>SUMIF('Queries'!$I$6:$I$1005,A36,'Scoring'!$J$6:$J$1005)/F36</x:f>
        <x:v>20.091689497716896</x:v>
      </x:c>
      <x:c r="I36" s="16" t="n">
        <x:f>MAX('Queries'!G327,'Queries'!G432,'Queries'!G618,'Queries'!G659,'Queries'!G700,'Queries'!G718,'Queries'!G808,'Queries'!G835,'Queries'!G896,'Queries'!G900,'Queries'!G950)</x:f>
        <x:v>84.5</x:v>
      </x:c>
      <x:c r="J36" s="6" t="str">
        <x:v>CRITICAL</x:v>
      </x:c>
      <x:c r="K36" s="6" t="str">
        <x:v>audi workshop dubai</x:v>
      </x:c>
      <x:c r="L36" s="6" t="str">
        <x:v>Strengthen this primary intent owner</x:v>
      </x:c>
      <x:c r="M36" s="6" t="str">
        <x:v>audi service dubai; audi workshop dubai; audi repair dubai; audi service in dubai; audi repair; audi repair specialist in dubai; audi maintenance; audi specialists</x:v>
      </x:c>
    </x:row>
    <x:row r="37" ht="42" customHeight="1">
      <x:c r="A37" s="6" t="str">
        <x:v>rolls-royce: Transmission and gearbox repair</x:v>
      </x:c>
      <x:c r="B37" s="6" t="str">
        <x:v>rolls royce transmission repair dubai</x:v>
      </x:c>
      <x:c r="C37" s="6" t="str">
        <x:v>https://digitecme.com/brands/rolls-royce-service-dubai/transmission-repair</x:v>
      </x:c>
      <x:c r="D37" s="14" t="n">
        <x:f>COUNTIF('Queries'!$I$6:$I$1005,A37)</x:f>
        <x:v>1</x:v>
      </x:c>
      <x:c r="E37" s="14" t="n">
        <x:f>SUMIF('Queries'!$I$6:$I$1005,A37,'Queries'!$B$6:$B$1005)</x:f>
        <x:v>0</x:v>
      </x:c>
      <x:c r="F37" s="14" t="n">
        <x:f>SUMIF('Queries'!$I$6:$I$1005,A37,'Queries'!$C$6:$C$1005)</x:f>
        <x:v>21</x:v>
      </x:c>
      <x:c r="G37" s="15" t="n">
        <x:f>E37/F37</x:f>
        <x:v>0</x:v>
      </x:c>
      <x:c r="H37" s="16" t="n">
        <x:f>SUMIF('Queries'!$I$6:$I$1005,A37,'Scoring'!$J$6:$J$1005)/F37</x:f>
        <x:v>12.67</x:v>
      </x:c>
      <x:c r="I37" s="16" t="n">
        <x:f>MAX('Queries'!G619)</x:f>
        <x:v>84.5</x:v>
      </x:c>
      <x:c r="J37" s="6" t="str">
        <x:v>CRITICAL</x:v>
      </x:c>
      <x:c r="K37" s="6" t="str">
        <x:v>rolls royce transmission repair dubai</x:v>
      </x:c>
      <x:c r="L37" s="6" t="str">
        <x:v>Use dedicated service owner</x:v>
      </x:c>
      <x:c r="M37" s="6" t="str"/>
    </x:row>
    <x:row r="38" ht="42" customHeight="1">
      <x:c r="A38" s="6" t="str">
        <x:v>aston-martin: Oil change</x:v>
      </x:c>
      <x:c r="B38" s="6" t="str">
        <x:v>aston martin oil change dubai</x:v>
      </x:c>
      <x:c r="C38" s="6" t="str">
        <x:v>https://digitecme.com/brands/aston-martin-service-dubai/oil-change</x:v>
      </x:c>
      <x:c r="D38" s="14" t="n">
        <x:f>COUNTIF('Queries'!$I$6:$I$1005,A38)</x:f>
        <x:v>1</x:v>
      </x:c>
      <x:c r="E38" s="14" t="n">
        <x:f>SUMIF('Queries'!$I$6:$I$1005,A38,'Queries'!$B$6:$B$1005)</x:f>
        <x:v>0</x:v>
      </x:c>
      <x:c r="F38" s="14" t="n">
        <x:f>SUMIF('Queries'!$I$6:$I$1005,A38,'Queries'!$C$6:$C$1005)</x:f>
        <x:v>19</x:v>
      </x:c>
      <x:c r="G38" s="15" t="n">
        <x:f>E38/F38</x:f>
        <x:v>0</x:v>
      </x:c>
      <x:c r="H38" s="16" t="n">
        <x:f>SUMIF('Queries'!$I$6:$I$1005,A38,'Scoring'!$J$6:$J$1005)/F38</x:f>
        <x:v>13.11</x:v>
      </x:c>
      <x:c r="I38" s="16" t="n">
        <x:f>MAX('Queries'!G660)</x:f>
        <x:v>84.3</x:v>
      </x:c>
      <x:c r="J38" s="6" t="str">
        <x:v>HIGH</x:v>
      </x:c>
      <x:c r="K38" s="6" t="str">
        <x:v>aston martin oil change dubai</x:v>
      </x:c>
      <x:c r="L38" s="6" t="str">
        <x:v>Use dedicated service owner</x:v>
      </x:c>
      <x:c r="M38" s="6" t="str"/>
    </x:row>
    <x:row r="39" ht="32" customHeight="1">
      <x:c r="A39" s="6" t="str">
        <x:v>bmw: Engine and mechanical repair</x:v>
      </x:c>
      <x:c r="B39" s="6" t="str">
        <x:v>bmw engine repair dubai</x:v>
      </x:c>
      <x:c r="C39" s="6" t="str">
        <x:v>https://digitecme.com/brands/bmw-service-dubai/mechanical-repair</x:v>
      </x:c>
      <x:c r="D39" s="14" t="n">
        <x:f>COUNTIF('Queries'!$I$6:$I$1005,A39)</x:f>
        <x:v>3</x:v>
      </x:c>
      <x:c r="E39" s="14" t="n">
        <x:f>SUMIF('Queries'!$I$6:$I$1005,A39,'Queries'!$B$6:$B$1005)</x:f>
        <x:v>0</x:v>
      </x:c>
      <x:c r="F39" s="14" t="n">
        <x:f>SUMIF('Queries'!$I$6:$I$1005,A39,'Queries'!$C$6:$C$1005)</x:f>
        <x:v>100</x:v>
      </x:c>
      <x:c r="G39" s="15" t="n">
        <x:f>E39/F39</x:f>
        <x:v>0</x:v>
      </x:c>
      <x:c r="H39" s="16" t="n">
        <x:f>SUMIF('Queries'!$I$6:$I$1005,A39,'Scoring'!$J$6:$J$1005)/F39</x:f>
        <x:v>15.691999999999998</x:v>
      </x:c>
      <x:c r="I39" s="16" t="n">
        <x:f>MAX('Queries'!G227,'Queries'!G713,'Queries'!G804)</x:f>
        <x:v>84.2</x:v>
      </x:c>
      <x:c r="J39" s="6" t="str">
        <x:v>HIGH</x:v>
      </x:c>
      <x:c r="K39" s="6" t="str">
        <x:v>bmw engine repair in dubai</x:v>
      </x:c>
      <x:c r="L39" s="6" t="str">
        <x:v>Use dedicated service owner</x:v>
      </x:c>
      <x:c r="M39" s="6" t="str">
        <x:v>bmw engine repair in dubai; bmw engine repair</x:v>
      </x:c>
    </x:row>
    <x:row r="40" ht="42" customHeight="1">
      <x:c r="A40" s="6" t="str">
        <x:v>ferrari: Transmission and gearbox repair</x:v>
      </x:c>
      <x:c r="B40" s="6" t="str">
        <x:v>ferrari transmission repair dubai</x:v>
      </x:c>
      <x:c r="C40" s="6" t="str">
        <x:v>https://digitecme.com/brands/ferrari-service-dubai/transmission-repair</x:v>
      </x:c>
      <x:c r="D40" s="14" t="n">
        <x:f>COUNTIF('Queries'!$I$6:$I$1005,A40)</x:f>
        <x:v>1</x:v>
      </x:c>
      <x:c r="E40" s="14" t="n">
        <x:f>SUMIF('Queries'!$I$6:$I$1005,A40,'Queries'!$B$6:$B$1005)</x:f>
        <x:v>0</x:v>
      </x:c>
      <x:c r="F40" s="14" t="n">
        <x:f>SUMIF('Queries'!$I$6:$I$1005,A40,'Queries'!$C$6:$C$1005)</x:f>
        <x:v>17</x:v>
      </x:c>
      <x:c r="G40" s="15" t="n">
        <x:f>E40/F40</x:f>
        <x:v>0</x:v>
      </x:c>
      <x:c r="H40" s="16" t="n">
        <x:f>SUMIF('Queries'!$I$6:$I$1005,A40,'Scoring'!$J$6:$J$1005)/F40</x:f>
        <x:v>13.82</x:v>
      </x:c>
      <x:c r="I40" s="16" t="n">
        <x:f>MAX('Queries'!G721)</x:f>
        <x:v>84.2</x:v>
      </x:c>
      <x:c r="J40" s="6" t="str">
        <x:v>HIGH</x:v>
      </x:c>
      <x:c r="K40" s="6" t="str">
        <x:v>ferrari transmission repair dubai</x:v>
      </x:c>
      <x:c r="L40" s="6" t="str">
        <x:v>Use dedicated service owner</x:v>
      </x:c>
      <x:c r="M40" s="6" t="str"/>
    </x:row>
    <x:row r="41" ht="42" customHeight="1">
      <x:c r="A41" s="6" t="str">
        <x:v>range-rover: Brake repair</x:v>
      </x:c>
      <x:c r="B41" s="6" t="str">
        <x:v>land rover range rover sport svr brake pads replacement dubai</x:v>
      </x:c>
      <x:c r="C41" s="6" t="str">
        <x:v>https://digitecme.com/brands/range-rover-service-dubai/brake-repair</x:v>
      </x:c>
      <x:c r="D41" s="14" t="n">
        <x:f>COUNTIF('Queries'!$I$6:$I$1005,A41)</x:f>
        <x:v>1</x:v>
      </x:c>
      <x:c r="E41" s="14" t="n">
        <x:f>SUMIF('Queries'!$I$6:$I$1005,A41,'Queries'!$B$6:$B$1005)</x:f>
        <x:v>0</x:v>
      </x:c>
      <x:c r="F41" s="14" t="n">
        <x:f>SUMIF('Queries'!$I$6:$I$1005,A41,'Queries'!$C$6:$C$1005)</x:f>
        <x:v>16</x:v>
      </x:c>
      <x:c r="G41" s="15" t="n">
        <x:f>E41/F41</x:f>
        <x:v>0</x:v>
      </x:c>
      <x:c r="H41" s="16" t="n">
        <x:f>SUMIF('Queries'!$I$6:$I$1005,A41,'Scoring'!$J$6:$J$1005)/F41</x:f>
        <x:v>6.31</x:v>
      </x:c>
      <x:c r="I41" s="16" t="n">
        <x:f>MAX('Queries'!G748)</x:f>
        <x:v>84.1</x:v>
      </x:c>
      <x:c r="J41" s="6" t="str">
        <x:v>HIGH</x:v>
      </x:c>
      <x:c r="K41" s="6" t="str">
        <x:v>land rover range rover sport svr brake pads replacement dubai</x:v>
      </x:c>
      <x:c r="L41" s="6" t="str">
        <x:v>Use dedicated service owner</x:v>
      </x:c>
      <x:c r="M41" s="6" t="str"/>
    </x:row>
    <x:row r="42" ht="32" customHeight="1">
      <x:c r="A42" s="6" t="str">
        <x:v>mercedes-benz: Oil change</x:v>
      </x:c>
      <x:c r="B42" s="6" t="str">
        <x:v>mercedes oil change dubai</x:v>
      </x:c>
      <x:c r="C42" s="6" t="str">
        <x:v>https://digitecme.com/services/mercedes-oil-change-dubai</x:v>
      </x:c>
      <x:c r="D42" s="14" t="n">
        <x:f>COUNTIF('Queries'!$I$6:$I$1005,A42)</x:f>
        <x:v>4</x:v>
      </x:c>
      <x:c r="E42" s="14" t="n">
        <x:f>SUMIF('Queries'!$I$6:$I$1005,A42,'Queries'!$B$6:$B$1005)</x:f>
        <x:v>0</x:v>
      </x:c>
      <x:c r="F42" s="14" t="n">
        <x:f>SUMIF('Queries'!$I$6:$I$1005,A42,'Queries'!$C$6:$C$1005)</x:f>
        <x:v>325</x:v>
      </x:c>
      <x:c r="G42" s="15" t="n">
        <x:f>E42/F42</x:f>
        <x:v>0</x:v>
      </x:c>
      <x:c r="H42" s="16" t="n">
        <x:f>SUMIF('Queries'!$I$6:$I$1005,A42,'Scoring'!$J$6:$J$1005)/F42</x:f>
        <x:v>19.300615384615384</x:v>
      </x:c>
      <x:c r="I42" s="16" t="n">
        <x:f>MAX('Queries'!G101,'Queries'!G144,'Queries'!G654,'Queries'!G889)</x:f>
        <x:v>83.8</x:v>
      </x:c>
      <x:c r="J42" s="6" t="str">
        <x:v>HIGH</x:v>
      </x:c>
      <x:c r="K42" s="6" t="str">
        <x:v>mercedes oil change near me</x:v>
      </x:c>
      <x:c r="L42" s="6" t="str">
        <x:v>Use dedicated service owner</x:v>
      </x:c>
      <x:c r="M42" s="6" t="str">
        <x:v>mercedes oil change; mercedes benz oil change; mercedes oil change near me</x:v>
      </x:c>
    </x:row>
    <x:row r="43" ht="32" customHeight="1">
      <x:c r="A43" s="6" t="str">
        <x:v>porsche: AC repair (English)</x:v>
      </x:c>
      <x:c r="B43" s="6" t="str">
        <x:v>porsche ac repair dubai</x:v>
      </x:c>
      <x:c r="C43" s="6" t="str">
        <x:v>https://digitecme.com/brands/porsche-service-dubai/ac-repair</x:v>
      </x:c>
      <x:c r="D43" s="14" t="n">
        <x:f>COUNTIF('Queries'!$I$6:$I$1005,A43)</x:f>
        <x:v>1</x:v>
      </x:c>
      <x:c r="E43" s="14" t="n">
        <x:f>SUMIF('Queries'!$I$6:$I$1005,A43,'Queries'!$B$6:$B$1005)</x:f>
        <x:v>0</x:v>
      </x:c>
      <x:c r="F43" s="14" t="n">
        <x:f>SUMIF('Queries'!$I$6:$I$1005,A43,'Queries'!$C$6:$C$1005)</x:f>
        <x:v>13</x:v>
      </x:c>
      <x:c r="G43" s="15" t="n">
        <x:f>E43/F43</x:f>
        <x:v>0</x:v>
      </x:c>
      <x:c r="H43" s="16" t="n">
        <x:f>SUMIF('Queries'!$I$6:$I$1005,A43,'Scoring'!$J$6:$J$1005)/F43</x:f>
        <x:v>7.15</x:v>
      </x:c>
      <x:c r="I43" s="16" t="n">
        <x:f>MAX('Queries'!G881)</x:f>
        <x:v>83.8</x:v>
      </x:c>
      <x:c r="J43" s="6" t="str">
        <x:v>HIGH</x:v>
      </x:c>
      <x:c r="K43" s="6" t="str">
        <x:v>porsche ac repair dubai</x:v>
      </x:c>
      <x:c r="L43" s="6" t="str">
        <x:v>Use dedicated service owner</x:v>
      </x:c>
      <x:c r="M43" s="6" t="str"/>
    </x:row>
    <x:row r="44" ht="32" customHeight="1">
      <x:c r="A44" s="6" t="str">
        <x:v>porsche: Body repair (English)</x:v>
      </x:c>
      <x:c r="B44" s="6" t="str">
        <x:v>porsche body repair dubai</x:v>
      </x:c>
      <x:c r="C44" s="6" t="str">
        <x:v>https://digitecme.com/brands/porsche-service-dubai/body-repair</x:v>
      </x:c>
      <x:c r="D44" s="14" t="n">
        <x:f>COUNTIF('Queries'!$I$6:$I$1005,A44)</x:f>
        <x:v>2</x:v>
      </x:c>
      <x:c r="E44" s="14" t="n">
        <x:f>SUMIF('Queries'!$I$6:$I$1005,A44,'Queries'!$B$6:$B$1005)</x:f>
        <x:v>0</x:v>
      </x:c>
      <x:c r="F44" s="14" t="n">
        <x:f>SUMIF('Queries'!$I$6:$I$1005,A44,'Queries'!$C$6:$C$1005)</x:f>
        <x:v>47</x:v>
      </x:c>
      <x:c r="G44" s="15" t="n">
        <x:f>E44/F44</x:f>
        <x:v>0</x:v>
      </x:c>
      <x:c r="H44" s="16" t="n">
        <x:f>SUMIF('Queries'!$I$6:$I$1005,A44,'Scoring'!$J$6:$J$1005)/F44</x:f>
        <x:v>11.618297872340428</x:v>
      </x:c>
      <x:c r="I44" s="16" t="n">
        <x:f>MAX('Queries'!G397,'Queries'!G992)</x:f>
        <x:v>83.6</x:v>
      </x:c>
      <x:c r="J44" s="6" t="str">
        <x:v>CRITICAL</x:v>
      </x:c>
      <x:c r="K44" s="6" t="str">
        <x:v>porsche body repair dubai</x:v>
      </x:c>
      <x:c r="L44" s="6" t="str">
        <x:v>Use dedicated service owner</x:v>
      </x:c>
      <x:c r="M44" s="6" t="str">
        <x:v>porsche body repair</x:v>
      </x:c>
    </x:row>
    <x:row r="45" ht="32" customHeight="1">
      <x:c r="A45" s="6" t="str">
        <x:v>maybach: Service and repair</x:v>
      </x:c>
      <x:c r="B45" s="6" t="str">
        <x:v>maybach service center dubai</x:v>
      </x:c>
      <x:c r="C45" s="6" t="str">
        <x:v>https://digitecme.com/brands/maybach-service-dubai</x:v>
      </x:c>
      <x:c r="D45" s="14" t="n">
        <x:f>COUNTIF('Queries'!$I$6:$I$1005,A45)</x:f>
        <x:v>4</x:v>
      </x:c>
      <x:c r="E45" s="14" t="n">
        <x:f>SUMIF('Queries'!$I$6:$I$1005,A45,'Queries'!$B$6:$B$1005)</x:f>
        <x:v>1</x:v>
      </x:c>
      <x:c r="F45" s="14" t="n">
        <x:f>SUMIF('Queries'!$I$6:$I$1005,A45,'Queries'!$C$6:$C$1005)</x:f>
        <x:v>93</x:v>
      </x:c>
      <x:c r="G45" s="15" t="n">
        <x:f>E45/F45</x:f>
        <x:v>0.010752688172043012</x:v>
      </x:c>
      <x:c r="H45" s="16" t="n">
        <x:f>SUMIF('Queries'!$I$6:$I$1005,A45,'Scoring'!$J$6:$J$1005)/F45</x:f>
        <x:v>15.47247311827957</x:v>
      </x:c>
      <x:c r="I45" s="16" t="n">
        <x:f>MAX('Queries'!G45,'Queries'!G411,'Queries'!G455,'Queries'!G664)</x:f>
        <x:v>83.5</x:v>
      </x:c>
      <x:c r="J45" s="6" t="str">
        <x:v>HIGH</x:v>
      </x:c>
      <x:c r="K45" s="6" t="str">
        <x:v>maybach repair dubai</x:v>
      </x:c>
      <x:c r="L45" s="6" t="str">
        <x:v>Strengthen this primary intent owner</x:v>
      </x:c>
      <x:c r="M45" s="6" t="str">
        <x:v>maybach repair dubai; maybach service center; maybach repair</x:v>
      </x:c>
    </x:row>
    <x:row r="46" ht="57" customHeight="1">
      <x:c r="A46" s="6" t="str">
        <x:v>All vehicles: Steering repair</x:v>
      </x:c>
      <x:c r="B46" s="6" t="str">
        <x:v>car steering repair in al quoz</x:v>
      </x:c>
      <x:c r="C46" s="6" t="str">
        <x:v>https://digitecme.com/services/steering-repair-dubai</x:v>
      </x:c>
      <x:c r="D46" s="14" t="n">
        <x:f>COUNTIF('Queries'!$I$6:$I$1005,A46)</x:f>
        <x:v>19</x:v>
      </x:c>
      <x:c r="E46" s="14" t="n">
        <x:f>SUMIF('Queries'!$I$6:$I$1005,A46,'Queries'!$B$6:$B$1005)</x:f>
        <x:v>1</x:v>
      </x:c>
      <x:c r="F46" s="14" t="n">
        <x:f>SUMIF('Queries'!$I$6:$I$1005,A46,'Queries'!$C$6:$C$1005)</x:f>
        <x:v>868</x:v>
      </x:c>
      <x:c r="G46" s="15" t="n">
        <x:f>E46/F46</x:f>
        <x:v>0.001152073732718894</x:v>
      </x:c>
      <x:c r="H46" s="16" t="n">
        <x:f>SUMIF('Queries'!$I$6:$I$1005,A46,'Scoring'!$J$6:$J$1005)/F46</x:f>
        <x:v>13.517523041474654</x:v>
      </x:c>
      <x:c r="I46" s="16" t="n">
        <x:f>MAX('Queries'!G31,'Queries'!G136,'Queries'!G248,'Queries'!G267,'Queries'!G282,'Queries'!G301,'Queries'!G310,'Queries'!G311,'Queries'!G315,'Queries'!G316,'Queries'!G319,'Queries'!G353,'Queries'!G430,'Queries'!G456,'Queries'!G490,'Queries'!G603,'Queries'!G615,'Queries'!G633,'Queries'!G844)</x:f>
        <x:v>82.7</x:v>
      </x:c>
      <x:c r="J46" s="6" t="str">
        <x:v>CRITICAL</x:v>
      </x:c>
      <x:c r="K46" s="6" t="str">
        <x:v>power steering specialists</x:v>
      </x:c>
      <x:c r="L46" s="6" t="str">
        <x:v>Strengthen this primary intent owner</x:v>
      </x:c>
      <x:c r="M46" s="6" t="str">
        <x:v>steering repair; car steering repair; power steering repair; car steering repair near me; steering box repair; power steering specialists; power steering mechanic; power steering shop</x:v>
      </x:c>
    </x:row>
    <x:row r="47" ht="57" customHeight="1">
      <x:c r="A47" s="6" t="str">
        <x:v>All vehicles: Oil change (English)</x:v>
      </x:c>
      <x:c r="B47" s="6" t="str">
        <x:v>car oil change dubai</x:v>
      </x:c>
      <x:c r="C47" s="6" t="str">
        <x:v>https://digitecme.com/services/oil-change-dubai</x:v>
      </x:c>
      <x:c r="D47" s="14" t="n">
        <x:f>COUNTIF('Queries'!$I$6:$I$1005,A47)</x:f>
        <x:v>30</x:v>
      </x:c>
      <x:c r="E47" s="14" t="n">
        <x:f>SUMIF('Queries'!$I$6:$I$1005,A47,'Queries'!$B$6:$B$1005)</x:f>
        <x:v>1</x:v>
      </x:c>
      <x:c r="F47" s="14" t="n">
        <x:f>SUMIF('Queries'!$I$6:$I$1005,A47,'Queries'!$C$6:$C$1005)</x:f>
        <x:v>3206</x:v>
      </x:c>
      <x:c r="G47" s="15" t="n">
        <x:f>E47/F47</x:f>
        <x:v>0.00031191515907673113</x:v>
      </x:c>
      <x:c r="H47" s="16" t="n">
        <x:f>SUMIF('Queries'!$I$6:$I$1005,A47,'Scoring'!$J$6:$J$1005)/F47</x:f>
        <x:v>27.910467872738607</x:v>
      </x:c>
      <x:c r="I47" s="16" t="n">
        <x:f>MAX('Queries'!G27,'Queries'!G57,'Queries'!G59,'Queries'!G60,'Queries'!G119,'Queries'!G125,'Queries'!G161,'Queries'!G164,'Queries'!G179,'Queries'!G182,'Queries'!G191,'Queries'!G194,'Queries'!G201,'Queries'!G229,'Queries'!G241,'Queries'!G249,'Queries'!G262,'Queries'!G350,'Queries'!G374,'Queries'!G410,'Queries'!G555,'Queries'!G606,'Queries'!G622,'Queries'!G762,'Queries'!G763,'Queries'!G782,'Queries'!G832,'Queries'!G965,'Queries'!G979,'Queries'!G980)</x:f>
        <x:v>80.8</x:v>
      </x:c>
      <x:c r="J47" s="6" t="str">
        <x:v>CRITICAL</x:v>
      </x:c>
      <x:c r="K47" s="6" t="str">
        <x:v>oil change near me</x:v>
      </x:c>
      <x:c r="L47" s="6" t="str">
        <x:v>Strengthen this primary intent owner</x:v>
      </x:c>
      <x:c r="M47" s="6" t="str">
        <x:v>car oil change near me; oil change dubai; oil change near me; car oil change in dubai; oil change service; luxury car oil change; car oil change service dubai; engine oil change dubai</x:v>
      </x:c>
    </x:row>
    <x:row r="48" ht="57" customHeight="1">
      <x:c r="A48" s="6" t="str">
        <x:v>ferrari: Service and repair</x:v>
      </x:c>
      <x:c r="B48" s="6" t="str">
        <x:v>ferrari service dubai</x:v>
      </x:c>
      <x:c r="C48" s="6" t="str">
        <x:v>https://digitecme.com/brands/ferrari-service-dubai</x:v>
      </x:c>
      <x:c r="D48" s="14" t="n">
        <x:f>COUNTIF('Queries'!$I$6:$I$1005,A48)</x:f>
        <x:v>20</x:v>
      </x:c>
      <x:c r="E48" s="14" t="n">
        <x:f>SUMIF('Queries'!$I$6:$I$1005,A48,'Queries'!$B$6:$B$1005)</x:f>
        <x:v>0</x:v>
      </x:c>
      <x:c r="F48" s="14" t="n">
        <x:f>SUMIF('Queries'!$I$6:$I$1005,A48,'Queries'!$C$6:$C$1005)</x:f>
        <x:v>1927</x:v>
      </x:c>
      <x:c r="G48" s="15" t="n">
        <x:f>E48/F48</x:f>
        <x:v>0</x:v>
      </x:c>
      <x:c r="H48" s="16" t="n">
        <x:f>SUMIF('Queries'!$I$6:$I$1005,A48,'Scoring'!$J$6:$J$1005)/F48</x:f>
        <x:v>23.872807472755582</x:v>
      </x:c>
      <x:c r="I48" s="16" t="n">
        <x:f>MAX('Queries'!G71,'Queries'!G74,'Queries'!G104,'Queries'!G105,'Queries'!G112,'Queries'!G121,'Queries'!G151,'Queries'!G178,'Queries'!G184,'Queries'!G211,'Queries'!G218,'Queries'!G221,'Queries'!G268,'Queries'!G317,'Queries'!G358,'Queries'!G433,'Queries'!G546,'Queries'!G551,'Queries'!G885,'Queries'!G890)</x:f>
        <x:v>80.7</x:v>
      </x:c>
      <x:c r="J48" s="6" t="str">
        <x:v>HIGH</x:v>
      </x:c>
      <x:c r="K48" s="6" t="str">
        <x:v>ferrari service dubai</x:v>
      </x:c>
      <x:c r="L48" s="6" t="str">
        <x:v>Strengthen this primary intent owner</x:v>
      </x:c>
      <x:c r="M48" s="6" t="str">
        <x:v>ferrari repair dubai; ferrari service center dubai; ferrari service; ferrari service center; ferrari maintenance dubai; ferrari servicing; ferrari workshop dubai; ferrari specialist dubai</x:v>
      </x:c>
    </x:row>
    <x:row r="49" ht="42" customHeight="1">
      <x:c r="A49" s="6" t="str">
        <x:v>range-rover: Body repair</x:v>
      </x:c>
      <x:c r="B49" s="6" t="str">
        <x:v>range rover body repair dubai</x:v>
      </x:c>
      <x:c r="C49" s="6" t="str">
        <x:v>https://digitecme.com/brands/range-rover-service-dubai/body-repair</x:v>
      </x:c>
      <x:c r="D49" s="14" t="n">
        <x:f>COUNTIF('Queries'!$I$6:$I$1005,A49)</x:f>
        <x:v>3</x:v>
      </x:c>
      <x:c r="E49" s="14" t="n">
        <x:f>SUMIF('Queries'!$I$6:$I$1005,A49,'Queries'!$B$6:$B$1005)</x:f>
        <x:v>0</x:v>
      </x:c>
      <x:c r="F49" s="14" t="n">
        <x:f>SUMIF('Queries'!$I$6:$I$1005,A49,'Queries'!$C$6:$C$1005)</x:f>
        <x:v>77</x:v>
      </x:c>
      <x:c r="G49" s="15" t="n">
        <x:f>E49/F49</x:f>
        <x:v>0</x:v>
      </x:c>
      <x:c r="H49" s="16" t="n">
        <x:f>SUMIF('Queries'!$I$6:$I$1005,A49,'Scoring'!$J$6:$J$1005)/F49</x:f>
        <x:v>24.997922077922073</x:v>
      </x:c>
      <x:c r="I49" s="16" t="n">
        <x:f>MAX('Queries'!G298,'Queries'!G917,'Queries'!G928)</x:f>
        <x:v>80.7</x:v>
      </x:c>
      <x:c r="J49" s="6" t="str">
        <x:v>CRITICAL</x:v>
      </x:c>
      <x:c r="K49" s="6" t="str">
        <x:v>range rover body repair</x:v>
      </x:c>
      <x:c r="L49" s="6" t="str">
        <x:v>Use dedicated service owner</x:v>
      </x:c>
      <x:c r="M49" s="6" t="str">
        <x:v>range rover body repair; range rover body shop dubai</x:v>
      </x:c>
    </x:row>
    <x:row r="50" ht="57" customHeight="1">
      <x:c r="A50" s="6" t="str">
        <x:v>rolls-royce: Service and repair</x:v>
      </x:c>
      <x:c r="B50" s="6" t="str">
        <x:v>rolls royce service dubai</x:v>
      </x:c>
      <x:c r="C50" s="6" t="str">
        <x:v>https://digitecme.com/brands/rolls-royce-service-dubai</x:v>
      </x:c>
      <x:c r="D50" s="14" t="n">
        <x:f>COUNTIF('Queries'!$I$6:$I$1005,A50)</x:f>
        <x:v>9</x:v>
      </x:c>
      <x:c r="E50" s="14" t="n">
        <x:f>SUMIF('Queries'!$I$6:$I$1005,A50,'Queries'!$B$6:$B$1005)</x:f>
        <x:v>1</x:v>
      </x:c>
      <x:c r="F50" s="14" t="n">
        <x:f>SUMIF('Queries'!$I$6:$I$1005,A50,'Queries'!$C$6:$C$1005)</x:f>
        <x:v>830</x:v>
      </x:c>
      <x:c r="G50" s="15" t="n">
        <x:f>E50/F50</x:f>
        <x:v>0.0012048192771084338</x:v>
      </x:c>
      <x:c r="H50" s="16" t="n">
        <x:f>SUMIF('Queries'!$I$6:$I$1005,A50,'Scoring'!$J$6:$J$1005)/F50</x:f>
        <x:v>22.950855421686743</x:v>
      </x:c>
      <x:c r="I50" s="16" t="n">
        <x:f>MAX('Queries'!G25,'Queries'!G78,'Queries'!G183,'Queries'!G193,'Queries'!G225,'Queries'!G271,'Queries'!G283,'Queries'!G321,'Queries'!G858)</x:f>
        <x:v>80.5</x:v>
      </x:c>
      <x:c r="J50" s="6" t="str">
        <x:v>HIGH</x:v>
      </x:c>
      <x:c r="K50" s="6" t="str">
        <x:v>rolls royce service dubai</x:v>
      </x:c>
      <x:c r="L50" s="6" t="str">
        <x:v>Strengthen this primary intent owner</x:v>
      </x:c>
      <x:c r="M50" s="6" t="str">
        <x:v>rolls royce repair dubai; rolls royce service; rolls royce maintenance dubai; rolls royce workshop dubai; rolls royce repair in dubai; rolls royce service center; rolls royce service center dubai; rolls royce repair</x:v>
      </x:c>
    </x:row>
    <x:row r="51" ht="32" customHeight="1">
      <x:c r="A51" s="6" t="str">
        <x:v>mercedes-benz: Suspension repair</x:v>
      </x:c>
      <x:c r="B51" s="6" t="str">
        <x:v>mercedes suspension repair dubai</x:v>
      </x:c>
      <x:c r="C51" s="6" t="str">
        <x:v>https://digitecme.com/services/mercedes-suspension-repair-dubai</x:v>
      </x:c>
      <x:c r="D51" s="14" t="n">
        <x:f>COUNTIF('Queries'!$I$6:$I$1005,A51)</x:f>
        <x:v>2</x:v>
      </x:c>
      <x:c r="E51" s="14" t="n">
        <x:f>SUMIF('Queries'!$I$6:$I$1005,A51,'Queries'!$B$6:$B$1005)</x:f>
        <x:v>0</x:v>
      </x:c>
      <x:c r="F51" s="14" t="n">
        <x:f>SUMIF('Queries'!$I$6:$I$1005,A51,'Queries'!$C$6:$C$1005)</x:f>
        <x:v>363</x:v>
      </x:c>
      <x:c r="G51" s="15" t="n">
        <x:f>E51/F51</x:f>
        <x:v>0</x:v>
      </x:c>
      <x:c r="H51" s="16" t="n">
        <x:f>SUMIF('Queries'!$I$6:$I$1005,A51,'Scoring'!$J$6:$J$1005)/F51</x:f>
        <x:v>20.679944903581266</x:v>
      </x:c>
      <x:c r="I51" s="16" t="n">
        <x:f>MAX('Queries'!G79,'Queries'!G143)</x:f>
        <x:v>80.5</x:v>
      </x:c>
      <x:c r="J51" s="6" t="str">
        <x:v>HIGH</x:v>
      </x:c>
      <x:c r="K51" s="6" t="str">
        <x:v>mercedes suspension repair dubai</x:v>
      </x:c>
      <x:c r="L51" s="6" t="str">
        <x:v>Use dedicated service owner</x:v>
      </x:c>
      <x:c r="M51" s="6" t="str">
        <x:v>mercedes suspension repair</x:v>
      </x:c>
    </x:row>
    <x:row r="52" ht="42" customHeight="1">
      <x:c r="A52" s="6" t="str">
        <x:v>mercedes-benz: Engine and mechanical repair</x:v>
      </x:c>
      <x:c r="B52" s="6" t="str">
        <x:v>mercedes engine repair dubai</x:v>
      </x:c>
      <x:c r="C52" s="6" t="str">
        <x:v>https://digitecme.com/services/mercedes-mechanical-repair-dubai</x:v>
      </x:c>
      <x:c r="D52" s="14" t="n">
        <x:f>COUNTIF('Queries'!$I$6:$I$1005,A52)</x:f>
        <x:v>2</x:v>
      </x:c>
      <x:c r="E52" s="14" t="n">
        <x:f>SUMIF('Queries'!$I$6:$I$1005,A52,'Queries'!$B$6:$B$1005)</x:f>
        <x:v>0</x:v>
      </x:c>
      <x:c r="F52" s="14" t="n">
        <x:f>SUMIF('Queries'!$I$6:$I$1005,A52,'Queries'!$C$6:$C$1005)</x:f>
        <x:v>405</x:v>
      </x:c>
      <x:c r="G52" s="15" t="n">
        <x:f>E52/F52</x:f>
        <x:v>0</x:v>
      </x:c>
      <x:c r="H52" s="16" t="n">
        <x:f>SUMIF('Queries'!$I$6:$I$1005,A52,'Scoring'!$J$6:$J$1005)/F52</x:f>
        <x:v>38.93701234567901</x:v>
      </x:c>
      <x:c r="I52" s="16" t="n">
        <x:f>MAX('Queries'!G83,'Queries'!G95)</x:f>
        <x:v>80.1</x:v>
      </x:c>
      <x:c r="J52" s="6" t="str">
        <x:v>HIGH</x:v>
      </x:c>
      <x:c r="K52" s="6" t="str">
        <x:v>mercedes engine repair dubai</x:v>
      </x:c>
      <x:c r="L52" s="6" t="str">
        <x:v>Use dedicated service owner</x:v>
      </x:c>
      <x:c r="M52" s="6" t="str">
        <x:v>mercedes engine repair</x:v>
      </x:c>
    </x:row>
    <x:row r="53" ht="57" customHeight="1">
      <x:c r="A53" s="6" t="str">
        <x:v>All vehicles: Paint protection film</x:v>
      </x:c>
      <x:c r="B53" s="6" t="str">
        <x:v>professional paint protection film in dubai</x:v>
      </x:c>
      <x:c r="C53" s="6" t="str">
        <x:v>https://digitecme.com/services/paint-protection-film</x:v>
      </x:c>
      <x:c r="D53" s="14" t="n">
        <x:f>COUNTIF('Queries'!$I$6:$I$1005,A53)</x:f>
        <x:v>24</x:v>
      </x:c>
      <x:c r="E53" s="14" t="n">
        <x:f>SUMIF('Queries'!$I$6:$I$1005,A53,'Queries'!$B$6:$B$1005)</x:f>
        <x:v>2</x:v>
      </x:c>
      <x:c r="F53" s="14" t="n">
        <x:f>SUMIF('Queries'!$I$6:$I$1005,A53,'Queries'!$C$6:$C$1005)</x:f>
        <x:v>1042</x:v>
      </x:c>
      <x:c r="G53" s="15" t="n">
        <x:f>E53/F53</x:f>
        <x:v>0.0019193857965451055</x:v>
      </x:c>
      <x:c r="H53" s="16" t="n">
        <x:f>SUMIF('Queries'!$I$6:$I$1005,A53,'Scoring'!$J$6:$J$1005)/F53</x:f>
        <x:v>41.18150671785028</x:v>
      </x:c>
      <x:c r="I53" s="16" t="n">
        <x:f>MAX('Queries'!G17,'Queries'!G96,'Queries'!G133,'Queries'!G186,'Queries'!G207,'Queries'!G220,'Queries'!G258,'Queries'!G288,'Queries'!G356,'Queries'!G359,'Queries'!G393,'Queries'!G532,'Queries'!G559,'Queries'!G591,'Queries'!G657,'Queries'!G677,'Queries'!G702,'Queries'!G742,'Queries'!G815,'Queries'!G869,'Queries'!G908,'Queries'!G911,'Queries'!G926,'Queries'!G982)</x:f>
        <x:v>80</x:v>
      </x:c>
      <x:c r="J53" s="6" t="str">
        <x:v>HIGH</x:v>
      </x:c>
      <x:c r="K53" s="6" t="str">
        <x:v>paint protection film near me</x:v>
      </x:c>
      <x:c r="L53" s="6" t="str">
        <x:v>Strengthen this primary intent owner</x:v>
      </x:c>
      <x:c r="M53" s="6" t="str">
        <x:v>paint protection film dubai; paint protection film near me; paint protection film; paint protection film in deira dubai; best paint protection film al murar; self healing ppf; paint protection film in naif dubai; ppf protection dubai</x:v>
      </x:c>
    </x:row>
    <x:row r="54" ht="32" customHeight="1">
      <x:c r="A54" s="6" t="str">
        <x:v>maserati: Service and repair (Arabic)</x:v>
      </x:c>
      <x:c r="B54" s="6" t="str">
        <x:v>خدمة maserati</x:v>
      </x:c>
      <x:c r="C54" s="6" t="str">
        <x:v>https://digitecme.com/ar/brands/maserati-service-dubai</x:v>
      </x:c>
      <x:c r="D54" s="14" t="n">
        <x:f>COUNTIF('Queries'!$I$6:$I$1005,A54)</x:f>
        <x:v>1</x:v>
      </x:c>
      <x:c r="E54" s="14" t="n">
        <x:f>SUMIF('Queries'!$I$6:$I$1005,A54,'Queries'!$B$6:$B$1005)</x:f>
        <x:v>0</x:v>
      </x:c>
      <x:c r="F54" s="14" t="n">
        <x:f>SUMIF('Queries'!$I$6:$I$1005,A54,'Queries'!$C$6:$C$1005)</x:f>
        <x:v>31</x:v>
      </x:c>
      <x:c r="G54" s="15" t="n">
        <x:f>E54/F54</x:f>
        <x:v>0</x:v>
      </x:c>
      <x:c r="H54" s="16" t="n">
        <x:f>SUMIF('Queries'!$I$6:$I$1005,A54,'Scoring'!$J$6:$J$1005)/F54</x:f>
        <x:v>15</x:v>
      </x:c>
      <x:c r="I54" s="16" t="n">
        <x:f>MAX('Queries'!G442)</x:f>
        <x:v>80</x:v>
      </x:c>
      <x:c r="J54" s="6" t="str">
        <x:v>CRITICAL</x:v>
      </x:c>
      <x:c r="K54" s="6" t="str">
        <x:v>خدمة maserati</x:v>
      </x:c>
      <x:c r="L54" s="6" t="str">
        <x:v>Strengthen this primary intent owner</x:v>
      </x:c>
      <x:c r="M54" s="6" t="str"/>
    </x:row>
    <x:row r="55" ht="42" customHeight="1">
      <x:c r="A55" s="6" t="str">
        <x:v>ferrari: Suspension repair</x:v>
      </x:c>
      <x:c r="B55" s="6" t="str">
        <x:v>ferrari suspension repair dubai</x:v>
      </x:c>
      <x:c r="C55" s="6" t="str">
        <x:v>https://digitecme.com/brands/ferrari-service-dubai/suspension-repair</x:v>
      </x:c>
      <x:c r="D55" s="14" t="n">
        <x:f>COUNTIF('Queries'!$I$6:$I$1005,A55)</x:f>
        <x:v>1</x:v>
      </x:c>
      <x:c r="E55" s="14" t="n">
        <x:f>SUMIF('Queries'!$I$6:$I$1005,A55,'Queries'!$B$6:$B$1005)</x:f>
        <x:v>0</x:v>
      </x:c>
      <x:c r="F55" s="14" t="n">
        <x:f>SUMIF('Queries'!$I$6:$I$1005,A55,'Queries'!$C$6:$C$1005)</x:f>
        <x:v>133</x:v>
      </x:c>
      <x:c r="G55" s="15" t="n">
        <x:f>E55/F55</x:f>
        <x:v>0</x:v>
      </x:c>
      <x:c r="H55" s="16" t="n">
        <x:f>SUMIF('Queries'!$I$6:$I$1005,A55,'Scoring'!$J$6:$J$1005)/F55</x:f>
        <x:v>24.53</x:v>
      </x:c>
      <x:c r="I55" s="16" t="n">
        <x:f>MAX('Queries'!G122)</x:f>
        <x:v>79.6</x:v>
      </x:c>
      <x:c r="J55" s="6" t="str">
        <x:v>HIGH</x:v>
      </x:c>
      <x:c r="K55" s="6" t="str">
        <x:v>ferrari suspension repair dubai</x:v>
      </x:c>
      <x:c r="L55" s="6" t="str">
        <x:v>Use dedicated service owner</x:v>
      </x:c>
      <x:c r="M55" s="6" t="str"/>
    </x:row>
    <x:row r="56" ht="42" customHeight="1">
      <x:c r="A56" s="6" t="str">
        <x:v>mercedes-benz: Transmission and gearbox repair</x:v>
      </x:c>
      <x:c r="B56" s="6" t="str">
        <x:v>mercedes transmission repair dubai</x:v>
      </x:c>
      <x:c r="C56" s="6" t="str">
        <x:v>https://digitecme.com/services/mercedes-transmission-repair-dubai</x:v>
      </x:c>
      <x:c r="D56" s="14" t="n">
        <x:f>COUNTIF('Queries'!$I$6:$I$1005,A56)</x:f>
        <x:v>4</x:v>
      </x:c>
      <x:c r="E56" s="14" t="n">
        <x:f>SUMIF('Queries'!$I$6:$I$1005,A56,'Queries'!$B$6:$B$1005)</x:f>
        <x:v>2</x:v>
      </x:c>
      <x:c r="F56" s="14" t="n">
        <x:f>SUMIF('Queries'!$I$6:$I$1005,A56,'Queries'!$C$6:$C$1005)</x:f>
        <x:v>282</x:v>
      </x:c>
      <x:c r="G56" s="15" t="n">
        <x:f>E56/F56</x:f>
        <x:v>0.0070921985815602835</x:v>
      </x:c>
      <x:c r="H56" s="16" t="n">
        <x:f>SUMIF('Queries'!$I$6:$I$1005,A56,'Scoring'!$J$6:$J$1005)/F56</x:f>
        <x:v>31.514716312056738</x:v>
      </x:c>
      <x:c r="I56" s="16" t="n">
        <x:f>MAX('Queries'!G28,'Queries'!G29,'Queries'!G383,'Queries'!G683)</x:f>
        <x:v>79.5</x:v>
      </x:c>
      <x:c r="J56" s="6" t="str">
        <x:v>HIGH</x:v>
      </x:c>
      <x:c r="K56" s="6" t="str">
        <x:v>mercedes transmission repair dubai</x:v>
      </x:c>
      <x:c r="L56" s="6" t="str">
        <x:v>Use dedicated service owner</x:v>
      </x:c>
      <x:c r="M56" s="6" t="str">
        <x:v>mercedes transmission repair; mercedes benz transmission repair; mercedes gearbox service</x:v>
      </x:c>
    </x:row>
    <x:row r="57" ht="42" customHeight="1">
      <x:c r="A57" s="6" t="str">
        <x:v>mclaren: Engine and mechanical repair</x:v>
      </x:c>
      <x:c r="B57" s="6" t="str">
        <x:v>mclaren engine repair dubai</x:v>
      </x:c>
      <x:c r="C57" s="6" t="str">
        <x:v>https://digitecme.com/brands/mclaren-service-dubai/mechanical-repair</x:v>
      </x:c>
      <x:c r="D57" s="14" t="n">
        <x:f>COUNTIF('Queries'!$I$6:$I$1005,A57)</x:f>
        <x:v>1</x:v>
      </x:c>
      <x:c r="E57" s="14" t="n">
        <x:f>SUMIF('Queries'!$I$6:$I$1005,A57,'Queries'!$B$6:$B$1005)</x:f>
        <x:v>0</x:v>
      </x:c>
      <x:c r="F57" s="14" t="n">
        <x:f>SUMIF('Queries'!$I$6:$I$1005,A57,'Queries'!$C$6:$C$1005)</x:f>
        <x:v>118</x:v>
      </x:c>
      <x:c r="G57" s="15" t="n">
        <x:f>E57/F57</x:f>
        <x:v>0</x:v>
      </x:c>
      <x:c r="H57" s="16" t="n">
        <x:f>SUMIF('Queries'!$I$6:$I$1005,A57,'Scoring'!$J$6:$J$1005)/F57</x:f>
        <x:v>19.5</x:v>
      </x:c>
      <x:c r="I57" s="16" t="n">
        <x:f>MAX('Queries'!G141)</x:f>
        <x:v>79.4</x:v>
      </x:c>
      <x:c r="J57" s="6" t="str">
        <x:v>HIGH</x:v>
      </x:c>
      <x:c r="K57" s="6" t="str">
        <x:v>mclaren engine repair dubai</x:v>
      </x:c>
      <x:c r="L57" s="6" t="str">
        <x:v>Use dedicated service owner</x:v>
      </x:c>
      <x:c r="M57" s="6" t="str"/>
    </x:row>
    <x:row r="58" ht="32" customHeight="1">
      <x:c r="A58" s="6" t="str">
        <x:v>mercedes-benz: Steering repair</x:v>
      </x:c>
      <x:c r="B58" s="6" t="str">
        <x:v>mercedes steering repair</x:v>
      </x:c>
      <x:c r="C58" s="6" t="str">
        <x:v>https://digitecme.com/services/mercedes-steering-repair-dubai</x:v>
      </x:c>
      <x:c r="D58" s="14" t="n">
        <x:f>COUNTIF('Queries'!$I$6:$I$1005,A58)</x:f>
        <x:v>1</x:v>
      </x:c>
      <x:c r="E58" s="14" t="n">
        <x:f>SUMIF('Queries'!$I$6:$I$1005,A58,'Queries'!$B$6:$B$1005)</x:f>
        <x:v>0</x:v>
      </x:c>
      <x:c r="F58" s="14" t="n">
        <x:f>SUMIF('Queries'!$I$6:$I$1005,A58,'Queries'!$C$6:$C$1005)</x:f>
        <x:v>18</x:v>
      </x:c>
      <x:c r="G58" s="15" t="n">
        <x:f>E58/F58</x:f>
        <x:v>0</x:v>
      </x:c>
      <x:c r="H58" s="16" t="n">
        <x:f>SUMIF('Queries'!$I$6:$I$1005,A58,'Scoring'!$J$6:$J$1005)/F58</x:f>
        <x:v>9.72</x:v>
      </x:c>
      <x:c r="I58" s="16" t="n">
        <x:f>MAX('Queries'!G685)</x:f>
        <x:v>79.3</x:v>
      </x:c>
      <x:c r="J58" s="6" t="str">
        <x:v>HIGH</x:v>
      </x:c>
      <x:c r="K58" s="6" t="str">
        <x:v>mercedes steering repair</x:v>
      </x:c>
      <x:c r="L58" s="6" t="str">
        <x:v>Use dedicated service owner</x:v>
      </x:c>
      <x:c r="M58" s="6" t="str"/>
    </x:row>
    <x:row r="59" ht="42" customHeight="1">
      <x:c r="A59" s="6" t="str">
        <x:v>aston-martin: Engine and mechanical repair</x:v>
      </x:c>
      <x:c r="B59" s="6" t="str">
        <x:v>aston martin engine repair dubai</x:v>
      </x:c>
      <x:c r="C59" s="6" t="str">
        <x:v>https://digitecme.com/brands/aston-martin-service-dubai/mechanical-repair</x:v>
      </x:c>
      <x:c r="D59" s="14" t="n">
        <x:f>COUNTIF('Queries'!$I$6:$I$1005,A59)</x:f>
        <x:v>1</x:v>
      </x:c>
      <x:c r="E59" s="14" t="n">
        <x:f>SUMIF('Queries'!$I$6:$I$1005,A59,'Queries'!$B$6:$B$1005)</x:f>
        <x:v>0</x:v>
      </x:c>
      <x:c r="F59" s="14" t="n">
        <x:f>SUMIF('Queries'!$I$6:$I$1005,A59,'Queries'!$C$6:$C$1005)</x:f>
        <x:v>95</x:v>
      </x:c>
      <x:c r="G59" s="15" t="n">
        <x:f>E59/F59</x:f>
        <x:v>0</x:v>
      </x:c>
      <x:c r="H59" s="16" t="n">
        <x:f>SUMIF('Queries'!$I$6:$I$1005,A59,'Scoring'!$J$6:$J$1005)/F59</x:f>
        <x:v>26.48</x:v>
      </x:c>
      <x:c r="I59" s="16" t="n">
        <x:f>MAX('Queries'!G174)</x:f>
        <x:v>79.1</x:v>
      </x:c>
      <x:c r="J59" s="6" t="str">
        <x:v>HIGH</x:v>
      </x:c>
      <x:c r="K59" s="6" t="str">
        <x:v>aston martin engine repair dubai</x:v>
      </x:c>
      <x:c r="L59" s="6" t="str">
        <x:v>Use dedicated service owner</x:v>
      </x:c>
      <x:c r="M59" s="6" t="str"/>
    </x:row>
    <x:row r="60" ht="32" customHeight="1">
      <x:c r="A60" s="6" t="str">
        <x:v>porsche: Oil change</x:v>
      </x:c>
      <x:c r="B60" s="6" t="str">
        <x:v>porsche oil change dubai</x:v>
      </x:c>
      <x:c r="C60" s="6" t="str">
        <x:v>https://digitecme.com/brands/porsche-service-dubai/oil-change</x:v>
      </x:c>
      <x:c r="D60" s="14" t="n">
        <x:f>COUNTIF('Queries'!$I$6:$I$1005,A60)</x:f>
        <x:v>2</x:v>
      </x:c>
      <x:c r="E60" s="14" t="n">
        <x:f>SUMIF('Queries'!$I$6:$I$1005,A60,'Queries'!$B$6:$B$1005)</x:f>
        <x:v>0</x:v>
      </x:c>
      <x:c r="F60" s="14" t="n">
        <x:f>SUMIF('Queries'!$I$6:$I$1005,A60,'Queries'!$C$6:$C$1005)</x:f>
        <x:v>122</x:v>
      </x:c>
      <x:c r="G60" s="15" t="n">
        <x:f>E60/F60</x:f>
        <x:v>0</x:v>
      </x:c>
      <x:c r="H60" s="16" t="n">
        <x:f>SUMIF('Queries'!$I$6:$I$1005,A60,'Scoring'!$J$6:$J$1005)/F60</x:f>
        <x:v>18.30909836065574</x:v>
      </x:c>
      <x:c r="I60" s="16" t="n">
        <x:f>MAX('Queries'!G176,'Queries'!G474)</x:f>
        <x:v>79.1</x:v>
      </x:c>
      <x:c r="J60" s="6" t="str">
        <x:v>HIGH</x:v>
      </x:c>
      <x:c r="K60" s="6" t="str">
        <x:v>porsche oil change dubai</x:v>
      </x:c>
      <x:c r="L60" s="6" t="str">
        <x:v>Use dedicated service owner</x:v>
      </x:c>
      <x:c r="M60" s="6" t="str">
        <x:v>porsche oil change</x:v>
      </x:c>
    </x:row>
    <x:row r="61" ht="42" customHeight="1">
      <x:c r="A61" s="6" t="str">
        <x:v>audi: Diagnostics and supported coding</x:v>
      </x:c>
      <x:c r="B61" s="6" t="str">
        <x:v>audi engine diagnostics</x:v>
      </x:c>
      <x:c r="C61" s="6" t="str">
        <x:v>https://digitecme.com/brands/audi-service-dubai/engine-diagnostics</x:v>
      </x:c>
      <x:c r="D61" s="14" t="n">
        <x:f>COUNTIF('Queries'!$I$6:$I$1005,A61)</x:f>
        <x:v>1</x:v>
      </x:c>
      <x:c r="E61" s="14" t="n">
        <x:f>SUMIF('Queries'!$I$6:$I$1005,A61,'Queries'!$B$6:$B$1005)</x:f>
        <x:v>0</x:v>
      </x:c>
      <x:c r="F61" s="14" t="n">
        <x:f>SUMIF('Queries'!$I$6:$I$1005,A61,'Queries'!$C$6:$C$1005)</x:f>
        <x:v>16</x:v>
      </x:c>
      <x:c r="G61" s="15" t="n">
        <x:f>E61/F61</x:f>
        <x:v>0</x:v>
      </x:c>
      <x:c r="H61" s="16" t="n">
        <x:f>SUMIF('Queries'!$I$6:$I$1005,A61,'Scoring'!$J$6:$J$1005)/F61</x:f>
        <x:v>8.56</x:v>
      </x:c>
      <x:c r="I61" s="16" t="n">
        <x:f>MAX('Queries'!G749)</x:f>
        <x:v>79.1</x:v>
      </x:c>
      <x:c r="J61" s="6" t="str">
        <x:v>HIGH</x:v>
      </x:c>
      <x:c r="K61" s="6" t="str">
        <x:v>audi engine diagnostics</x:v>
      </x:c>
      <x:c r="L61" s="6" t="str">
        <x:v>Use dedicated service owner</x:v>
      </x:c>
      <x:c r="M61" s="6" t="str"/>
    </x:row>
    <x:row r="62" ht="42" customHeight="1">
      <x:c r="A62" s="6" t="str">
        <x:v>land-rover: Suspension repair</x:v>
      </x:c>
      <x:c r="B62" s="6" t="str">
        <x:v>land rover suspension repair</x:v>
      </x:c>
      <x:c r="C62" s="6" t="str">
        <x:v>https://digitecme.com/brands/land-rover-service-dubai/suspension-repair</x:v>
      </x:c>
      <x:c r="D62" s="14" t="n">
        <x:f>COUNTIF('Queries'!$I$6:$I$1005,A62)</x:f>
        <x:v>1</x:v>
      </x:c>
      <x:c r="E62" s="14" t="n">
        <x:f>SUMIF('Queries'!$I$6:$I$1005,A62,'Queries'!$B$6:$B$1005)</x:f>
        <x:v>0</x:v>
      </x:c>
      <x:c r="F62" s="14" t="n">
        <x:f>SUMIF('Queries'!$I$6:$I$1005,A62,'Queries'!$C$6:$C$1005)</x:f>
        <x:v>16</x:v>
      </x:c>
      <x:c r="G62" s="15" t="n">
        <x:f>E62/F62</x:f>
        <x:v>0</x:v>
      </x:c>
      <x:c r="H62" s="16" t="n">
        <x:f>SUMIF('Queries'!$I$6:$I$1005,A62,'Scoring'!$J$6:$J$1005)/F62</x:f>
        <x:v>14.75</x:v>
      </x:c>
      <x:c r="I62" s="16" t="n">
        <x:f>MAX('Queries'!G756)</x:f>
        <x:v>79.1</x:v>
      </x:c>
      <x:c r="J62" s="6" t="str">
        <x:v>HIGH</x:v>
      </x:c>
      <x:c r="K62" s="6" t="str">
        <x:v>land rover suspension repair</x:v>
      </x:c>
      <x:c r="L62" s="6" t="str">
        <x:v>Use dedicated service owner</x:v>
      </x:c>
      <x:c r="M62" s="6" t="str"/>
    </x:row>
    <x:row r="63" ht="42" customHeight="1">
      <x:c r="A63" s="6" t="str">
        <x:v>lamborghini: Battery service</x:v>
      </x:c>
      <x:c r="B63" s="6" t="str">
        <x:v>lamborghini battery replacement dubai</x:v>
      </x:c>
      <x:c r="C63" s="6" t="str">
        <x:v>https://digitecme.com/brands/lamborghini-service-dubai/battery-replacement</x:v>
      </x:c>
      <x:c r="D63" s="14" t="n">
        <x:f>COUNTIF('Queries'!$I$6:$I$1005,A63)</x:f>
        <x:v>1</x:v>
      </x:c>
      <x:c r="E63" s="14" t="n">
        <x:f>SUMIF('Queries'!$I$6:$I$1005,A63,'Queries'!$B$6:$B$1005)</x:f>
        <x:v>0</x:v>
      </x:c>
      <x:c r="F63" s="14" t="n">
        <x:f>SUMIF('Queries'!$I$6:$I$1005,A63,'Queries'!$C$6:$C$1005)</x:f>
        <x:v>90</x:v>
      </x:c>
      <x:c r="G63" s="15" t="n">
        <x:f>E63/F63</x:f>
        <x:v>0</x:v>
      </x:c>
      <x:c r="H63" s="16" t="n">
        <x:f>SUMIF('Queries'!$I$6:$I$1005,A63,'Scoring'!$J$6:$J$1005)/F63</x:f>
        <x:v>27.969999999999995</x:v>
      </x:c>
      <x:c r="I63" s="16" t="n">
        <x:f>MAX('Queries'!G181)</x:f>
        <x:v>79</x:v>
      </x:c>
      <x:c r="J63" s="6" t="str">
        <x:v>HIGH</x:v>
      </x:c>
      <x:c r="K63" s="6" t="str">
        <x:v>lamborghini battery replacement dubai</x:v>
      </x:c>
      <x:c r="L63" s="6" t="str">
        <x:v>Use dedicated service owner</x:v>
      </x:c>
      <x:c r="M63" s="6" t="str"/>
    </x:row>
    <x:row r="64" ht="32" customHeight="1">
      <x:c r="A64" s="6" t="str">
        <x:v>mercedes-benz: Exhaust repair</x:v>
      </x:c>
      <x:c r="B64" s="6" t="str">
        <x:v>mercedes exhaust repair</x:v>
      </x:c>
      <x:c r="C64" s="6" t="str">
        <x:v>https://digitecme.com/services/mercedes-exhaust-repair-dubai</x:v>
      </x:c>
      <x:c r="D64" s="14" t="n">
        <x:f>COUNTIF('Queries'!$I$6:$I$1005,A64)</x:f>
        <x:v>1</x:v>
      </x:c>
      <x:c r="E64" s="14" t="n">
        <x:f>SUMIF('Queries'!$I$6:$I$1005,A64,'Queries'!$B$6:$B$1005)</x:f>
        <x:v>0</x:v>
      </x:c>
      <x:c r="F64" s="14" t="n">
        <x:f>SUMIF('Queries'!$I$6:$I$1005,A64,'Queries'!$C$6:$C$1005)</x:f>
        <x:v>14</x:v>
      </x:c>
      <x:c r="G64" s="15" t="n">
        <x:f>E64/F64</x:f>
        <x:v>0</x:v>
      </x:c>
      <x:c r="H64" s="16" t="n">
        <x:f>SUMIF('Queries'!$I$6:$I$1005,A64,'Scoring'!$J$6:$J$1005)/F64</x:f>
        <x:v>6.5</x:v>
      </x:c>
      <x:c r="I64" s="16" t="n">
        <x:f>MAX('Queries'!G834)</x:f>
        <x:v>78.9</x:v>
      </x:c>
      <x:c r="J64" s="6" t="str">
        <x:v>HIGH</x:v>
      </x:c>
      <x:c r="K64" s="6" t="str">
        <x:v>mercedes exhaust repair</x:v>
      </x:c>
      <x:c r="L64" s="6" t="str">
        <x:v>Use dedicated service owner</x:v>
      </x:c>
      <x:c r="M64" s="6" t="str"/>
    </x:row>
    <x:row r="65" ht="32" customHeight="1">
      <x:c r="A65" s="6" t="str">
        <x:v>bmw: Electrical repair</x:v>
      </x:c>
      <x:c r="B65" s="6" t="str">
        <x:v>bmw electrical repair</x:v>
      </x:c>
      <x:c r="C65" s="6" t="str">
        <x:v>https://digitecme.com/brands/bmw-service-dubai/electrical-repair</x:v>
      </x:c>
      <x:c r="D65" s="14" t="n">
        <x:f>COUNTIF('Queries'!$I$6:$I$1005,A65)</x:f>
        <x:v>1</x:v>
      </x:c>
      <x:c r="E65" s="14" t="n">
        <x:f>SUMIF('Queries'!$I$6:$I$1005,A65,'Queries'!$B$6:$B$1005)</x:f>
        <x:v>0</x:v>
      </x:c>
      <x:c r="F65" s="14" t="n">
        <x:f>SUMIF('Queries'!$I$6:$I$1005,A65,'Queries'!$C$6:$C$1005)</x:f>
        <x:v>14</x:v>
      </x:c>
      <x:c r="G65" s="15" t="n">
        <x:f>E65/F65</x:f>
        <x:v>0</x:v>
      </x:c>
      <x:c r="H65" s="16" t="n">
        <x:f>SUMIF('Queries'!$I$6:$I$1005,A65,'Scoring'!$J$6:$J$1005)/F65</x:f>
        <x:v>9.429999999999998</x:v>
      </x:c>
      <x:c r="I65" s="16" t="n">
        <x:f>MAX('Queries'!G836)</x:f>
        <x:v>78.9</x:v>
      </x:c>
      <x:c r="J65" s="6" t="str">
        <x:v>HIGH</x:v>
      </x:c>
      <x:c r="K65" s="6" t="str">
        <x:v>bmw electrical repair</x:v>
      </x:c>
      <x:c r="L65" s="6" t="str">
        <x:v>Use dedicated service owner</x:v>
      </x:c>
      <x:c r="M65" s="6" t="str"/>
    </x:row>
    <x:row r="66" ht="42" customHeight="1">
      <x:c r="A66" s="6" t="str">
        <x:v>porsche: Transmission and gearbox repair</x:v>
      </x:c>
      <x:c r="B66" s="6" t="str">
        <x:v>porsche gearbox repair dubai</x:v>
      </x:c>
      <x:c r="C66" s="6" t="str">
        <x:v>https://digitecme.com/brands/porsche-service-dubai/transmission-repair</x:v>
      </x:c>
      <x:c r="D66" s="14" t="n">
        <x:f>COUNTIF('Queries'!$I$6:$I$1005,A66)</x:f>
        <x:v>6</x:v>
      </x:c>
      <x:c r="E66" s="14" t="n">
        <x:f>SUMIF('Queries'!$I$6:$I$1005,A66,'Queries'!$B$6:$B$1005)</x:f>
        <x:v>0</x:v>
      </x:c>
      <x:c r="F66" s="14" t="n">
        <x:f>SUMIF('Queries'!$I$6:$I$1005,A66,'Queries'!$C$6:$C$1005)</x:f>
        <x:v>226</x:v>
      </x:c>
      <x:c r="G66" s="15" t="n">
        <x:f>E66/F66</x:f>
        <x:v>0</x:v>
      </x:c>
      <x:c r="H66" s="16" t="n">
        <x:f>SUMIF('Queries'!$I$6:$I$1005,A66,'Scoring'!$J$6:$J$1005)/F66</x:f>
        <x:v>24.370530973451327</x:v>
      </x:c>
      <x:c r="I66" s="16" t="n">
        <x:f>MAX('Queries'!G204,'Queries'!G228,'Queries'!G461,'Queries'!G639,'Queries'!G779,'Queries'!G842)</x:f>
        <x:v>78.8</x:v>
      </x:c>
      <x:c r="J66" s="6" t="str">
        <x:v>HIGH</x:v>
      </x:c>
      <x:c r="K66" s="6" t="str">
        <x:v>porsche gearbox repair dubai</x:v>
      </x:c>
      <x:c r="L66" s="6" t="str">
        <x:v>Use dedicated service owner</x:v>
      </x:c>
      <x:c r="M66" s="6" t="str">
        <x:v>porsche transmission repair dubai; porsche transmission service dubai; porsche clutch repair dubai; porsche gearbox repair; porsche transmission service</x:v>
      </x:c>
    </x:row>
    <x:row r="67" ht="42" customHeight="1">
      <x:c r="A67" s="6" t="str">
        <x:v>rolls-royce: Engine and mechanical repair</x:v>
      </x:c>
      <x:c r="B67" s="6" t="str">
        <x:v>rolls royce engine repair dubai</x:v>
      </x:c>
      <x:c r="C67" s="6" t="str">
        <x:v>https://digitecme.com/brands/rolls-royce-service-dubai/mechanical-repair</x:v>
      </x:c>
      <x:c r="D67" s="14" t="n">
        <x:f>COUNTIF('Queries'!$I$6:$I$1005,A67)</x:f>
        <x:v>1</x:v>
      </x:c>
      <x:c r="E67" s="14" t="n">
        <x:f>SUMIF('Queries'!$I$6:$I$1005,A67,'Queries'!$B$6:$B$1005)</x:f>
        <x:v>0</x:v>
      </x:c>
      <x:c r="F67" s="14" t="n">
        <x:f>SUMIF('Queries'!$I$6:$I$1005,A67,'Queries'!$C$6:$C$1005)</x:f>
        <x:v>73</x:v>
      </x:c>
      <x:c r="G67" s="15" t="n">
        <x:f>E67/F67</x:f>
        <x:v>0</x:v>
      </x:c>
      <x:c r="H67" s="16" t="n">
        <x:f>SUMIF('Queries'!$I$6:$I$1005,A67,'Scoring'!$J$6:$J$1005)/F67</x:f>
        <x:v>28.04</x:v>
      </x:c>
      <x:c r="I67" s="16" t="n">
        <x:f>MAX('Queries'!G217)</x:f>
        <x:v>78.7</x:v>
      </x:c>
      <x:c r="J67" s="6" t="str">
        <x:v>HIGH</x:v>
      </x:c>
      <x:c r="K67" s="6" t="str">
        <x:v>rolls royce engine repair dubai</x:v>
      </x:c>
      <x:c r="L67" s="6" t="str">
        <x:v>Use dedicated service owner</x:v>
      </x:c>
      <x:c r="M67" s="6" t="str"/>
    </x:row>
    <x:row r="68" ht="42" customHeight="1">
      <x:c r="A68" s="6" t="str">
        <x:v>range-rover: Suspension repair</x:v>
      </x:c>
      <x:c r="B68" s="6" t="str">
        <x:v>range rover suspension repair</x:v>
      </x:c>
      <x:c r="C68" s="6" t="str">
        <x:v>https://digitecme.com/brands/range-rover-service-dubai/suspension-repair</x:v>
      </x:c>
      <x:c r="D68" s="14" t="n">
        <x:f>COUNTIF('Queries'!$I$6:$I$1005,A68)</x:f>
        <x:v>1</x:v>
      </x:c>
      <x:c r="E68" s="14" t="n">
        <x:f>SUMIF('Queries'!$I$6:$I$1005,A68,'Queries'!$B$6:$B$1005)</x:f>
        <x:v>0</x:v>
      </x:c>
      <x:c r="F68" s="14" t="n">
        <x:f>SUMIF('Queries'!$I$6:$I$1005,A68,'Queries'!$C$6:$C$1005)</x:f>
        <x:v>11</x:v>
      </x:c>
      <x:c r="G68" s="15" t="n">
        <x:f>E68/F68</x:f>
        <x:v>0</x:v>
      </x:c>
      <x:c r="H68" s="16" t="n">
        <x:f>SUMIF('Queries'!$I$6:$I$1005,A68,'Scoring'!$J$6:$J$1005)/F68</x:f>
        <x:v>11.45</x:v>
      </x:c>
      <x:c r="I68" s="16" t="n">
        <x:f>MAX('Queries'!G997)</x:f>
        <x:v>78.6</x:v>
      </x:c>
      <x:c r="J68" s="6" t="str">
        <x:v>HIGH</x:v>
      </x:c>
      <x:c r="K68" s="6" t="str">
        <x:v>range rover suspension repair</x:v>
      </x:c>
      <x:c r="L68" s="6" t="str">
        <x:v>Use dedicated service owner</x:v>
      </x:c>
      <x:c r="M68" s="6" t="str"/>
    </x:row>
    <x:row r="69" ht="42" customHeight="1">
      <x:c r="A69" s="6" t="str">
        <x:v>audi: Battery service</x:v>
      </x:c>
      <x:c r="B69" s="6" t="str">
        <x:v>audi battery replacement dubai</x:v>
      </x:c>
      <x:c r="C69" s="6" t="str">
        <x:v>https://digitecme.com/brands/audi-service-dubai/battery-replacement</x:v>
      </x:c>
      <x:c r="D69" s="14" t="n">
        <x:f>COUNTIF('Queries'!$I$6:$I$1005,A69)</x:f>
        <x:v>2</x:v>
      </x:c>
      <x:c r="E69" s="14" t="n">
        <x:f>SUMIF('Queries'!$I$6:$I$1005,A69,'Queries'!$B$6:$B$1005)</x:f>
        <x:v>0</x:v>
      </x:c>
      <x:c r="F69" s="14" t="n">
        <x:f>SUMIF('Queries'!$I$6:$I$1005,A69,'Queries'!$C$6:$C$1005)</x:f>
        <x:v>78</x:v>
      </x:c>
      <x:c r="G69" s="15" t="n">
        <x:f>E69/F69</x:f>
        <x:v>0</x:v>
      </x:c>
      <x:c r="H69" s="16" t="n">
        <x:f>SUMIF('Queries'!$I$6:$I$1005,A69,'Scoring'!$J$6:$J$1005)/F69</x:f>
        <x:v>22.68051282051282</x:v>
      </x:c>
      <x:c r="I69" s="16" t="n">
        <x:f>MAX('Queries'!G237,'Queries'!G859)</x:f>
        <x:v>78.5</x:v>
      </x:c>
      <x:c r="J69" s="6" t="str">
        <x:v>HIGH</x:v>
      </x:c>
      <x:c r="K69" s="6" t="str">
        <x:v>audi battery replacement dubai</x:v>
      </x:c>
      <x:c r="L69" s="6" t="str">
        <x:v>Use dedicated service owner</x:v>
      </x:c>
      <x:c r="M69" s="6" t="str">
        <x:v>audi car battery dubai</x:v>
      </x:c>
    </x:row>
    <x:row r="70" ht="32" customHeight="1">
      <x:c r="A70" s="6" t="str">
        <x:v>ferrari: Oil change</x:v>
      </x:c>
      <x:c r="B70" s="6" t="str">
        <x:v>ferrari oil change in dubai</x:v>
      </x:c>
      <x:c r="C70" s="6" t="str">
        <x:v>https://digitecme.com/brands/ferrari-service-dubai/oil-change</x:v>
      </x:c>
      <x:c r="D70" s="14" t="n">
        <x:f>COUNTIF('Queries'!$I$6:$I$1005,A70)</x:f>
        <x:v>1</x:v>
      </x:c>
      <x:c r="E70" s="14" t="n">
        <x:f>SUMIF('Queries'!$I$6:$I$1005,A70,'Queries'!$B$6:$B$1005)</x:f>
        <x:v>0</x:v>
      </x:c>
      <x:c r="F70" s="14" t="n">
        <x:f>SUMIF('Queries'!$I$6:$I$1005,A70,'Queries'!$C$6:$C$1005)</x:f>
        <x:v>62</x:v>
      </x:c>
      <x:c r="G70" s="15" t="n">
        <x:f>E70/F70</x:f>
        <x:v>0</x:v>
      </x:c>
      <x:c r="H70" s="16" t="n">
        <x:f>SUMIF('Queries'!$I$6:$I$1005,A70,'Scoring'!$J$6:$J$1005)/F70</x:f>
        <x:v>23.56</x:v>
      </x:c>
      <x:c r="I70" s="16" t="n">
        <x:f>MAX('Queries'!G245)</x:f>
        <x:v>78.5</x:v>
      </x:c>
      <x:c r="J70" s="6" t="str">
        <x:v>HIGH</x:v>
      </x:c>
      <x:c r="K70" s="6" t="str">
        <x:v>ferrari oil change in dubai</x:v>
      </x:c>
      <x:c r="L70" s="6" t="str">
        <x:v>Use dedicated service owner</x:v>
      </x:c>
      <x:c r="M70" s="6" t="str"/>
    </x:row>
    <x:row r="71" ht="32" customHeight="1">
      <x:c r="A71" s="6" t="str">
        <x:v>mercedes-benz: Body repair</x:v>
      </x:c>
      <x:c r="B71" s="6" t="str">
        <x:v>mercedes body repair dubai</x:v>
      </x:c>
      <x:c r="C71" s="6" t="str">
        <x:v>https://digitecme.com/services/mercedes-body-repair-dubai</x:v>
      </x:c>
      <x:c r="D71" s="14" t="n">
        <x:f>COUNTIF('Queries'!$I$6:$I$1005,A71)</x:f>
        <x:v>4</x:v>
      </x:c>
      <x:c r="E71" s="14" t="n">
        <x:f>SUMIF('Queries'!$I$6:$I$1005,A71,'Queries'!$B$6:$B$1005)</x:f>
        <x:v>0</x:v>
      </x:c>
      <x:c r="F71" s="14" t="n">
        <x:f>SUMIF('Queries'!$I$6:$I$1005,A71,'Queries'!$C$6:$C$1005)</x:f>
        <x:v>118</x:v>
      </x:c>
      <x:c r="G71" s="15" t="n">
        <x:f>E71/F71</x:f>
        <x:v>0</x:v>
      </x:c>
      <x:c r="H71" s="16" t="n">
        <x:f>SUMIF('Queries'!$I$6:$I$1005,A71,'Scoring'!$J$6:$J$1005)/F71</x:f>
        <x:v>33.916101694915255</x:v>
      </x:c>
      <x:c r="I71" s="16" t="n">
        <x:f>MAX('Queries'!G292,'Queries'!G462,'Queries'!G682,'Queries'!G729)</x:f>
        <x:v>78.2</x:v>
      </x:c>
      <x:c r="J71" s="6" t="str">
        <x:v>HIGH</x:v>
      </x:c>
      <x:c r="K71" s="6" t="str">
        <x:v>mercedes body repair dubai</x:v>
      </x:c>
      <x:c r="L71" s="6" t="str">
        <x:v>Use dedicated service owner</x:v>
      </x:c>
      <x:c r="M71" s="6" t="str">
        <x:v>mercedes body repair; mercedes body shop; mercedes body shop dubai</x:v>
      </x:c>
    </x:row>
    <x:row r="72" ht="32" customHeight="1">
      <x:c r="A72" s="6" t="str">
        <x:v>audi: Oil change</x:v>
      </x:c>
      <x:c r="B72" s="6" t="str">
        <x:v>audi oil change dubai</x:v>
      </x:c>
      <x:c r="C72" s="6" t="str">
        <x:v>https://digitecme.com/brands/audi-service-dubai/oil-change</x:v>
      </x:c>
      <x:c r="D72" s="14" t="n">
        <x:f>COUNTIF('Queries'!$I$6:$I$1005,A72)</x:f>
        <x:v>1</x:v>
      </x:c>
      <x:c r="E72" s="14" t="n">
        <x:f>SUMIF('Queries'!$I$6:$I$1005,A72,'Queries'!$B$6:$B$1005)</x:f>
        <x:v>0</x:v>
      </x:c>
      <x:c r="F72" s="14" t="n">
        <x:f>SUMIF('Queries'!$I$6:$I$1005,A72,'Queries'!$C$6:$C$1005)</x:f>
        <x:v>43</x:v>
      </x:c>
      <x:c r="G72" s="15" t="n">
        <x:f>E72/F72</x:f>
        <x:v>0</x:v>
      </x:c>
      <x:c r="H72" s="16" t="n">
        <x:f>SUMIF('Queries'!$I$6:$I$1005,A72,'Scoring'!$J$6:$J$1005)/F72</x:f>
        <x:v>17.74</x:v>
      </x:c>
      <x:c r="I72" s="16" t="n">
        <x:f>MAX('Queries'!G344)</x:f>
        <x:v>78</x:v>
      </x:c>
      <x:c r="J72" s="6" t="str">
        <x:v>HIGH</x:v>
      </x:c>
      <x:c r="K72" s="6" t="str">
        <x:v>audi oil change dubai</x:v>
      </x:c>
      <x:c r="L72" s="6" t="str">
        <x:v>Use dedicated service owner</x:v>
      </x:c>
      <x:c r="M72" s="6" t="str"/>
    </x:row>
    <x:row r="73" ht="42" customHeight="1">
      <x:c r="A73" s="6" t="str">
        <x:v>porsche: Battery service</x:v>
      </x:c>
      <x:c r="B73" s="6" t="str">
        <x:v>porsche battery replacement dubai</x:v>
      </x:c>
      <x:c r="C73" s="6" t="str">
        <x:v>https://digitecme.com/brands/porsche-service-dubai/battery-replacement</x:v>
      </x:c>
      <x:c r="D73" s="14" t="n">
        <x:f>COUNTIF('Queries'!$I$6:$I$1005,A73)</x:f>
        <x:v>5</x:v>
      </x:c>
      <x:c r="E73" s="14" t="n">
        <x:f>SUMIF('Queries'!$I$6:$I$1005,A73,'Queries'!$B$6:$B$1005)</x:f>
        <x:v>0</x:v>
      </x:c>
      <x:c r="F73" s="14" t="n">
        <x:f>SUMIF('Queries'!$I$6:$I$1005,A73,'Queries'!$C$6:$C$1005)</x:f>
        <x:v>133</x:v>
      </x:c>
      <x:c r="G73" s="15" t="n">
        <x:f>E73/F73</x:f>
        <x:v>0</x:v>
      </x:c>
      <x:c r="H73" s="16" t="n">
        <x:f>SUMIF('Queries'!$I$6:$I$1005,A73,'Scoring'!$J$6:$J$1005)/F73</x:f>
        <x:v>27.8187969924812</x:v>
      </x:c>
      <x:c r="I73" s="16" t="n">
        <x:f>MAX('Queries'!G370,'Queries'!G488,'Queries'!G503,'Queries'!G516,'Queries'!G952)</x:f>
        <x:v>77.8</x:v>
      </x:c>
      <x:c r="J73" s="6" t="str">
        <x:v>HIGH</x:v>
      </x:c>
      <x:c r="K73" s="6" t="str">
        <x:v>porsche battery replacement dubai</x:v>
      </x:c>
      <x:c r="L73" s="6" t="str">
        <x:v>Use dedicated service owner</x:v>
      </x:c>
      <x:c r="M73" s="6" t="str">
        <x:v>porsche car battery uae; porsche car battery dubai; porsche car battery; porsche battery replacement</x:v>
      </x:c>
    </x:row>
    <x:row r="74" ht="42" customHeight="1">
      <x:c r="A74" s="6" t="str">
        <x:v>porsche: Electrical repair</x:v>
      </x:c>
      <x:c r="B74" s="6" t="str">
        <x:v>porsche electrical repair dubai</x:v>
      </x:c>
      <x:c r="C74" s="6" t="str">
        <x:v>https://digitecme.com/brands/porsche-service-dubai/electrical-repair</x:v>
      </x:c>
      <x:c r="D74" s="14" t="n">
        <x:f>COUNTIF('Queries'!$I$6:$I$1005,A74)</x:f>
        <x:v>1</x:v>
      </x:c>
      <x:c r="E74" s="14" t="n">
        <x:f>SUMIF('Queries'!$I$6:$I$1005,A74,'Queries'!$B$6:$B$1005)</x:f>
        <x:v>0</x:v>
      </x:c>
      <x:c r="F74" s="14" t="n">
        <x:f>SUMIF('Queries'!$I$6:$I$1005,A74,'Queries'!$C$6:$C$1005)</x:f>
        <x:v>38</x:v>
      </x:c>
      <x:c r="G74" s="15" t="n">
        <x:f>E74/F74</x:f>
        <x:v>0</x:v>
      </x:c>
      <x:c r="H74" s="16" t="n">
        <x:f>SUMIF('Queries'!$I$6:$I$1005,A74,'Scoring'!$J$6:$J$1005)/F74</x:f>
        <x:v>20.76</x:v>
      </x:c>
      <x:c r="I74" s="16" t="n">
        <x:f>MAX('Queries'!G380)</x:f>
        <x:v>77.8</x:v>
      </x:c>
      <x:c r="J74" s="6" t="str">
        <x:v>HIGH</x:v>
      </x:c>
      <x:c r="K74" s="6" t="str">
        <x:v>porsche electrical repair dubai</x:v>
      </x:c>
      <x:c r="L74" s="6" t="str">
        <x:v>Use dedicated service owner</x:v>
      </x:c>
      <x:c r="M74" s="6" t="str"/>
    </x:row>
    <x:row r="75" ht="57" customHeight="1">
      <x:c r="A75" s="6" t="str">
        <x:v>All vehicles: Suspension repair (English)</x:v>
      </x:c>
      <x:c r="B75" s="6" t="str">
        <x:v>car suspension repair dubai</x:v>
      </x:c>
      <x:c r="C75" s="6" t="str">
        <x:v>https://digitecme.com/services/suspension-repair-dubai</x:v>
      </x:c>
      <x:c r="D75" s="14" t="n">
        <x:f>COUNTIF('Queries'!$I$6:$I$1005,A75)</x:f>
        <x:v>11</x:v>
      </x:c>
      <x:c r="E75" s="14" t="n">
        <x:f>SUMIF('Queries'!$I$6:$I$1005,A75,'Queries'!$B$6:$B$1005)</x:f>
        <x:v>0</x:v>
      </x:c>
      <x:c r="F75" s="14" t="n">
        <x:f>SUMIF('Queries'!$I$6:$I$1005,A75,'Queries'!$C$6:$C$1005)</x:f>
        <x:v>852</x:v>
      </x:c>
      <x:c r="G75" s="15" t="n">
        <x:f>E75/F75</x:f>
        <x:v>0</x:v>
      </x:c>
      <x:c r="H75" s="16" t="n">
        <x:f>SUMIF('Queries'!$I$6:$I$1005,A75,'Scoring'!$J$6:$J$1005)/F75</x:f>
        <x:v>29.51041079812206</x:v>
      </x:c>
      <x:c r="I75" s="16" t="n">
        <x:f>MAX('Queries'!G85,'Queries'!G93,'Queries'!G120,'Queries'!G156,'Queries'!G290,'Queries'!G303,'Queries'!G313,'Queries'!G727,'Queries'!G800,'Queries'!G975,'Queries'!G995)</x:f>
        <x:v>77.7</x:v>
      </x:c>
      <x:c r="J75" s="6" t="str">
        <x:v>CRITICAL</x:v>
      </x:c>
      <x:c r="K75" s="6" t="str">
        <x:v>suspension repair near me</x:v>
      </x:c>
      <x:c r="L75" s="6" t="str">
        <x:v>Strengthen this primary intent owner</x:v>
      </x:c>
      <x:c r="M75" s="6" t="str">
        <x:v>suspension repair dubai; car suspension repair in dubai; ride height adjustment dubai; car suspension repair; air suspension repair; suspension repair near me; car suspension repair near me; suspension repairs near me</x:v>
      </x:c>
    </x:row>
    <x:row r="76" ht="42" customHeight="1">
      <x:c r="A76" s="6" t="str">
        <x:v>land-rover: Transmission and gearbox repair</x:v>
      </x:c>
      <x:c r="B76" s="6" t="str">
        <x:v>land rover transmission repair dubai</x:v>
      </x:c>
      <x:c r="C76" s="6" t="str">
        <x:v>https://digitecme.com/brands/land-rover-service-dubai/transmission-repair</x:v>
      </x:c>
      <x:c r="D76" s="14" t="n">
        <x:f>COUNTIF('Queries'!$I$6:$I$1005,A76)</x:f>
        <x:v>2</x:v>
      </x:c>
      <x:c r="E76" s="14" t="n">
        <x:f>SUMIF('Queries'!$I$6:$I$1005,A76,'Queries'!$B$6:$B$1005)</x:f>
        <x:v>0</x:v>
      </x:c>
      <x:c r="F76" s="14" t="n">
        <x:f>SUMIF('Queries'!$I$6:$I$1005,A76,'Queries'!$C$6:$C$1005)</x:f>
        <x:v>56</x:v>
      </x:c>
      <x:c r="G76" s="15" t="n">
        <x:f>E76/F76</x:f>
        <x:v>0</x:v>
      </x:c>
      <x:c r="H76" s="16" t="n">
        <x:f>SUMIF('Queries'!$I$6:$I$1005,A76,'Scoring'!$J$6:$J$1005)/F76</x:f>
        <x:v>18.212142857142855</x:v>
      </x:c>
      <x:c r="I76" s="16" t="n">
        <x:f>MAX('Queries'!G398,'Queries'!G634)</x:f>
        <x:v>77.7</x:v>
      </x:c>
      <x:c r="J76" s="6" t="str">
        <x:v>HIGH</x:v>
      </x:c>
      <x:c r="K76" s="6" t="str">
        <x:v>land rover transmission repair dubai</x:v>
      </x:c>
      <x:c r="L76" s="6" t="str">
        <x:v>Use dedicated service owner</x:v>
      </x:c>
      <x:c r="M76" s="6" t="str">
        <x:v>land rover transmission repair</x:v>
      </x:c>
    </x:row>
    <x:row r="77" ht="42" customHeight="1">
      <x:c r="A77" s="6" t="str">
        <x:v>mclaren: Transmission and gearbox repair</x:v>
      </x:c>
      <x:c r="B77" s="6" t="str">
        <x:v>mclaren transmission repair dubai</x:v>
      </x:c>
      <x:c r="C77" s="6" t="str">
        <x:v>https://digitecme.com/brands/mclaren-service-dubai/transmission-repair</x:v>
      </x:c>
      <x:c r="D77" s="14" t="n">
        <x:f>COUNTIF('Queries'!$I$6:$I$1005,A77)</x:f>
        <x:v>1</x:v>
      </x:c>
      <x:c r="E77" s="14" t="n">
        <x:f>SUMIF('Queries'!$I$6:$I$1005,A77,'Queries'!$B$6:$B$1005)</x:f>
        <x:v>0</x:v>
      </x:c>
      <x:c r="F77" s="14" t="n">
        <x:f>SUMIF('Queries'!$I$6:$I$1005,A77,'Queries'!$C$6:$C$1005)</x:f>
        <x:v>34</x:v>
      </x:c>
      <x:c r="G77" s="15" t="n">
        <x:f>E77/F77</x:f>
        <x:v>0</x:v>
      </x:c>
      <x:c r="H77" s="16" t="n">
        <x:f>SUMIF('Queries'!$I$6:$I$1005,A77,'Scoring'!$J$6:$J$1005)/F77</x:f>
        <x:v>21.21</x:v>
      </x:c>
      <x:c r="I77" s="16" t="n">
        <x:f>MAX('Queries'!G412)</x:f>
        <x:v>77.6</x:v>
      </x:c>
      <x:c r="J77" s="6" t="str">
        <x:v>HIGH</x:v>
      </x:c>
      <x:c r="K77" s="6" t="str">
        <x:v>mclaren transmission repair dubai</x:v>
      </x:c>
      <x:c r="L77" s="6" t="str">
        <x:v>Use dedicated service owner</x:v>
      </x:c>
      <x:c r="M77" s="6" t="str"/>
    </x:row>
    <x:row r="78" ht="42" customHeight="1">
      <x:c r="A78" s="6" t="str">
        <x:v>porsche: 911 service and model variants</x:v>
      </x:c>
      <x:c r="B78" s="6" t="str">
        <x:v>porsche targa service dubai</x:v>
      </x:c>
      <x:c r="C78" s="6" t="str">
        <x:v>https://digitecme.com/blog/porsche-911-service-dubai-guide</x:v>
      </x:c>
      <x:c r="D78" s="14" t="n">
        <x:f>COUNTIF('Queries'!$I$6:$I$1005,A78)</x:f>
        <x:v>6</x:v>
      </x:c>
      <x:c r="E78" s="14" t="n">
        <x:f>SUMIF('Queries'!$I$6:$I$1005,A78,'Queries'!$B$6:$B$1005)</x:f>
        <x:v>0</x:v>
      </x:c>
      <x:c r="F78" s="14" t="n">
        <x:f>SUMIF('Queries'!$I$6:$I$1005,A78,'Queries'!$C$6:$C$1005)</x:f>
        <x:v>129</x:v>
      </x:c>
      <x:c r="G78" s="15" t="n">
        <x:f>E78/F78</x:f>
        <x:v>0</x:v>
      </x:c>
      <x:c r="H78" s="16" t="n">
        <x:f>SUMIF('Queries'!$I$6:$I$1005,A78,'Scoring'!$J$6:$J$1005)/F78</x:f>
        <x:v>29.930542635658913</x:v>
      </x:c>
      <x:c r="I78" s="16" t="n">
        <x:f>MAX('Queries'!G431,'Queries'!G584,'Queries'!G637,'Queries'!G694,'Queries'!G697,'Queries'!G701)</x:f>
        <x:v>77.6</x:v>
      </x:c>
      <x:c r="J78" s="6" t="str">
        <x:v>HIGH</x:v>
      </x:c>
      <x:c r="K78" s="6" t="str">
        <x:v>porsche targa service dubai</x:v>
      </x:c>
      <x:c r="L78" s="6" t="str">
        <x:v>Strengthen this primary intent owner</x:v>
      </x:c>
      <x:c r="M78" s="6" t="str">
        <x:v>porsche carrera service dubai; porsche 911 repair dubai; porsche gt3 service dubai; porsche 911 service dubai; porsche turbo service dubai</x:v>
      </x:c>
    </x:row>
    <x:row r="79" ht="32" customHeight="1">
      <x:c r="A79" s="6" t="str">
        <x:v>porsche: Brake repair</x:v>
      </x:c>
      <x:c r="B79" s="6" t="str">
        <x:v>porsche brake repair dubai</x:v>
      </x:c>
      <x:c r="C79" s="6" t="str">
        <x:v>https://digitecme.com/brands/porsche-service-dubai/brake-repair</x:v>
      </x:c>
      <x:c r="D79" s="14" t="n">
        <x:f>COUNTIF('Queries'!$I$6:$I$1005,A79)</x:f>
        <x:v>2</x:v>
      </x:c>
      <x:c r="E79" s="14" t="n">
        <x:f>SUMIF('Queries'!$I$6:$I$1005,A79,'Queries'!$B$6:$B$1005)</x:f>
        <x:v>0</x:v>
      </x:c>
      <x:c r="F79" s="14" t="n">
        <x:f>SUMIF('Queries'!$I$6:$I$1005,A79,'Queries'!$C$6:$C$1005)</x:f>
        <x:v>153</x:v>
      </x:c>
      <x:c r="G79" s="15" t="n">
        <x:f>E79/F79</x:f>
        <x:v>0</x:v>
      </x:c>
      <x:c r="H79" s="16" t="n">
        <x:f>SUMIF('Queries'!$I$6:$I$1005,A79,'Scoring'!$J$6:$J$1005)/F79</x:f>
        <x:v>36.00411764705883</x:v>
      </x:c>
      <x:c r="I79" s="16" t="n">
        <x:f>MAX('Queries'!G134,'Queries'!G487)</x:f>
        <x:v>77.4</x:v>
      </x:c>
      <x:c r="J79" s="6" t="str">
        <x:v>HIGH</x:v>
      </x:c>
      <x:c r="K79" s="6" t="str">
        <x:v>porsche brake service dubai</x:v>
      </x:c>
      <x:c r="L79" s="6" t="str">
        <x:v>Use dedicated service owner</x:v>
      </x:c>
      <x:c r="M79" s="6" t="str">
        <x:v>porsche brake service dubai</x:v>
      </x:c>
    </x:row>
    <x:row r="80" ht="57" customHeight="1">
      <x:c r="A80" s="6" t="str">
        <x:v>All vehicles: Battery service (English)</x:v>
      </x:c>
      <x:c r="B80" s="6" t="str">
        <x:v>battery replacement dubai</x:v>
      </x:c>
      <x:c r="C80" s="6" t="str">
        <x:v>https://digitecme.com/services/battery-replacement-dubai</x:v>
      </x:c>
      <x:c r="D80" s="14" t="n">
        <x:f>COUNTIF('Queries'!$I$6:$I$1005,A80)</x:f>
        <x:v>26</x:v>
      </x:c>
      <x:c r="E80" s="14" t="n">
        <x:f>SUMIF('Queries'!$I$6:$I$1005,A80,'Queries'!$B$6:$B$1005)</x:f>
        <x:v>1</x:v>
      </x:c>
      <x:c r="F80" s="14" t="n">
        <x:f>SUMIF('Queries'!$I$6:$I$1005,A80,'Queries'!$C$6:$C$1005)</x:f>
        <x:v>1506</x:v>
      </x:c>
      <x:c r="G80" s="15" t="n">
        <x:f>E80/F80</x:f>
        <x:v>0.0006640106241699867</x:v>
      </x:c>
      <x:c r="H80" s="16" t="n">
        <x:f>SUMIF('Queries'!$I$6:$I$1005,A80,'Scoring'!$J$6:$J$1005)/F80</x:f>
        <x:v>38.280424966799465</x:v>
      </x:c>
      <x:c r="I80" s="16" t="n">
        <x:f>MAX('Queries'!G33,'Queries'!G72,'Queries'!G92,'Queries'!G97,'Queries'!G99,'Queries'!G208,'Queries'!G219,'Queries'!G265,'Queries'!G336,'Queries'!G345,'Queries'!G379,'Queries'!G382,'Queries'!G509,'Queries'!G530,'Queries'!G590,'Queries'!G735,'Queries'!G745,'Queries'!G783,'Queries'!G784,'Queries'!G803,'Queries'!G816,'Queries'!G830,'Queries'!G841,'Queries'!G888,'Queries'!G913,'Queries'!G977)</x:f>
        <x:v>77.3</x:v>
      </x:c>
      <x:c r="J80" s="6" t="str">
        <x:v>CRITICAL</x:v>
      </x:c>
      <x:c r="K80" s="6" t="str">
        <x:v>car battery change near me</x:v>
      </x:c>
      <x:c r="L80" s="6" t="str">
        <x:v>Strengthen this primary intent owner</x:v>
      </x:c>
      <x:c r="M80" s="6" t="str">
        <x:v>car battery replacement; car battery replacement dubai; battery replacement; battery change dubai; car battery change; car battery change dubai; car battery replacement in dubai; car battery replacement near me</x:v>
      </x:c>
    </x:row>
    <x:row r="81" ht="42" customHeight="1">
      <x:c r="A81" s="6" t="str">
        <x:v>range-rover: Transmission and gearbox repair</x:v>
      </x:c>
      <x:c r="B81" s="6" t="str">
        <x:v>range rover transmission repair dubai</x:v>
      </x:c>
      <x:c r="C81" s="6" t="str">
        <x:v>https://digitecme.com/brands/range-rover-service-dubai/transmission-repair</x:v>
      </x:c>
      <x:c r="D81" s="14" t="n">
        <x:f>COUNTIF('Queries'!$I$6:$I$1005,A81)</x:f>
        <x:v>1</x:v>
      </x:c>
      <x:c r="E81" s="14" t="n">
        <x:f>SUMIF('Queries'!$I$6:$I$1005,A81,'Queries'!$B$6:$B$1005)</x:f>
        <x:v>0</x:v>
      </x:c>
      <x:c r="F81" s="14" t="n">
        <x:f>SUMIF('Queries'!$I$6:$I$1005,A81,'Queries'!$C$6:$C$1005)</x:f>
        <x:v>24</x:v>
      </x:c>
      <x:c r="G81" s="15" t="n">
        <x:f>E81/F81</x:f>
        <x:v>0</x:v>
      </x:c>
      <x:c r="H81" s="16" t="n">
        <x:f>SUMIF('Queries'!$I$6:$I$1005,A81,'Scoring'!$J$6:$J$1005)/F81</x:f>
        <x:v>27.38</x:v>
      </x:c>
      <x:c r="I81" s="16" t="n">
        <x:f>MAX('Queries'!G558)</x:f>
        <x:v>77.2</x:v>
      </x:c>
      <x:c r="J81" s="6" t="str">
        <x:v>HIGH</x:v>
      </x:c>
      <x:c r="K81" s="6" t="str">
        <x:v>range rover transmission repair dubai</x:v>
      </x:c>
      <x:c r="L81" s="6" t="str">
        <x:v>Use dedicated service owner</x:v>
      </x:c>
      <x:c r="M81" s="6" t="str"/>
    </x:row>
    <x:row r="82" ht="32" customHeight="1">
      <x:c r="A82" s="6" t="str">
        <x:v>pagani: Service and repair</x:v>
      </x:c>
      <x:c r="B82" s="6" t="str">
        <x:v>pagani repair dubai</x:v>
      </x:c>
      <x:c r="C82" s="6" t="str">
        <x:v>https://digitecme.com/brands/pagani-service-dubai</x:v>
      </x:c>
      <x:c r="D82" s="14" t="n">
        <x:f>COUNTIF('Queries'!$I$6:$I$1005,A82)</x:f>
        <x:v>1</x:v>
      </x:c>
      <x:c r="E82" s="14" t="n">
        <x:f>SUMIF('Queries'!$I$6:$I$1005,A82,'Queries'!$B$6:$B$1005)</x:f>
        <x:v>0</x:v>
      </x:c>
      <x:c r="F82" s="14" t="n">
        <x:f>SUMIF('Queries'!$I$6:$I$1005,A82,'Queries'!$C$6:$C$1005)</x:f>
        <x:v>23</x:v>
      </x:c>
      <x:c r="G82" s="15" t="n">
        <x:f>E82/F82</x:f>
        <x:v>0</x:v>
      </x:c>
      <x:c r="H82" s="16" t="n">
        <x:f>SUMIF('Queries'!$I$6:$I$1005,A82,'Scoring'!$J$6:$J$1005)/F82</x:f>
        <x:v>27.61</x:v>
      </x:c>
      <x:c r="I82" s="16" t="n">
        <x:f>MAX('Queries'!G575)</x:f>
        <x:v>77.1</x:v>
      </x:c>
      <x:c r="J82" s="6" t="str">
        <x:v>HIGH</x:v>
      </x:c>
      <x:c r="K82" s="6" t="str">
        <x:v>pagani repair dubai</x:v>
      </x:c>
      <x:c r="L82" s="6" t="str">
        <x:v>Strengthen this primary intent owner</x:v>
      </x:c>
      <x:c r="M82" s="6" t="str"/>
    </x:row>
    <x:row r="83" ht="42" customHeight="1">
      <x:c r="A83" s="6" t="str">
        <x:v>porsche: Engine and mechanical repair</x:v>
      </x:c>
      <x:c r="B83" s="6" t="str">
        <x:v>porsche engine repair dubai</x:v>
      </x:c>
      <x:c r="C83" s="6" t="str">
        <x:v>https://digitecme.com/brands/porsche-service-dubai/mechanical-repair</x:v>
      </x:c>
      <x:c r="D83" s="14" t="n">
        <x:f>COUNTIF('Queries'!$I$6:$I$1005,A83)</x:f>
        <x:v>3</x:v>
      </x:c>
      <x:c r="E83" s="14" t="n">
        <x:f>SUMIF('Queries'!$I$6:$I$1005,A83,'Queries'!$B$6:$B$1005)</x:f>
        <x:v>0</x:v>
      </x:c>
      <x:c r="F83" s="14" t="n">
        <x:f>SUMIF('Queries'!$I$6:$I$1005,A83,'Queries'!$C$6:$C$1005)</x:f>
        <x:v>68</x:v>
      </x:c>
      <x:c r="G83" s="15" t="n">
        <x:f>E83/F83</x:f>
        <x:v>0</x:v>
      </x:c>
      <x:c r="H83" s="16" t="n">
        <x:f>SUMIF('Queries'!$I$6:$I$1005,A83,'Scoring'!$J$6:$J$1005)/F83</x:f>
        <x:v>35.56029411764706</x:v>
      </x:c>
      <x:c r="I83" s="16" t="n">
        <x:f>MAX('Queries'!G435,'Queries'!G600,'Queries'!G875)</x:f>
        <x:v>77</x:v>
      </x:c>
      <x:c r="J83" s="6" t="str">
        <x:v>HIGH</x:v>
      </x:c>
      <x:c r="K83" s="6" t="str">
        <x:v>porsche turbo repair dubai</x:v>
      </x:c>
      <x:c r="L83" s="6" t="str">
        <x:v>Use dedicated service owner</x:v>
      </x:c>
      <x:c r="M83" s="6" t="str">
        <x:v>porsche turbo repair dubai; porsche engine repair</x:v>
      </x:c>
    </x:row>
    <x:row r="84" ht="42" customHeight="1">
      <x:c r="A84" s="6" t="str">
        <x:v>lamborghini: Transmission and gearbox repair</x:v>
      </x:c>
      <x:c r="B84" s="6" t="str">
        <x:v>lamborghini transmission repair dubai</x:v>
      </x:c>
      <x:c r="C84" s="6" t="str">
        <x:v>https://digitecme.com/brands/lamborghini-service-dubai/transmission-repair</x:v>
      </x:c>
      <x:c r="D84" s="14" t="n">
        <x:f>COUNTIF('Queries'!$I$6:$I$1005,A84)</x:f>
        <x:v>1</x:v>
      </x:c>
      <x:c r="E84" s="14" t="n">
        <x:f>SUMIF('Queries'!$I$6:$I$1005,A84,'Queries'!$B$6:$B$1005)</x:f>
        <x:v>0</x:v>
      </x:c>
      <x:c r="F84" s="14" t="n">
        <x:f>SUMIF('Queries'!$I$6:$I$1005,A84,'Queries'!$C$6:$C$1005)</x:f>
        <x:v>21</x:v>
      </x:c>
      <x:c r="G84" s="15" t="n">
        <x:f>E84/F84</x:f>
        <x:v>0</x:v>
      </x:c>
      <x:c r="H84" s="16" t="n">
        <x:f>SUMIF('Queries'!$I$6:$I$1005,A84,'Scoring'!$J$6:$J$1005)/F84</x:f>
        <x:v>23.81</x:v>
      </x:c>
      <x:c r="I84" s="16" t="n">
        <x:f>MAX('Queries'!G621)</x:f>
        <x:v>77</x:v>
      </x:c>
      <x:c r="J84" s="6" t="str">
        <x:v>HIGH</x:v>
      </x:c>
      <x:c r="K84" s="6" t="str">
        <x:v>lamborghini transmission repair dubai</x:v>
      </x:c>
      <x:c r="L84" s="6" t="str">
        <x:v>Use dedicated service owner</x:v>
      </x:c>
      <x:c r="M84" s="6" t="str"/>
    </x:row>
    <x:row r="85" ht="32" customHeight="1">
      <x:c r="A85" s="6" t="str">
        <x:v>lotus: Engine and mechanical repair</x:v>
      </x:c>
      <x:c r="B85" s="6" t="str">
        <x:v>lotus engine repair dubai</x:v>
      </x:c>
      <x:c r="C85" s="6" t="str">
        <x:v>https://digitecme.com/brands/lotus-service-dubai</x:v>
      </x:c>
      <x:c r="D85" s="14" t="n">
        <x:f>COUNTIF('Queries'!$I$6:$I$1005,A85)</x:f>
        <x:v>1</x:v>
      </x:c>
      <x:c r="E85" s="14" t="n">
        <x:f>SUMIF('Queries'!$I$6:$I$1005,A85,'Queries'!$B$6:$B$1005)</x:f>
        <x:v>0</x:v>
      </x:c>
      <x:c r="F85" s="14" t="n">
        <x:f>SUMIF('Queries'!$I$6:$I$1005,A85,'Queries'!$C$6:$C$1005)</x:f>
        <x:v>20</x:v>
      </x:c>
      <x:c r="G85" s="15" t="n">
        <x:f>E85/F85</x:f>
        <x:v>0</x:v>
      </x:c>
      <x:c r="H85" s="16" t="n">
        <x:f>SUMIF('Queries'!$I$6:$I$1005,A85,'Scoring'!$J$6:$J$1005)/F85</x:f>
        <x:v>26.3</x:v>
      </x:c>
      <x:c r="I85" s="16" t="n">
        <x:f>MAX('Queries'!G638)</x:f>
        <x:v>76.9</x:v>
      </x:c>
      <x:c r="J85" s="6" t="str">
        <x:v>HIGH</x:v>
      </x:c>
      <x:c r="K85" s="6" t="str">
        <x:v>lotus engine repair dubai</x:v>
      </x:c>
      <x:c r="L85" s="6" t="str">
        <x:v>Use dedicated service owner</x:v>
      </x:c>
      <x:c r="M85" s="6" t="str"/>
    </x:row>
    <x:row r="86" ht="42" customHeight="1">
      <x:c r="A86" s="6" t="str">
        <x:v>bmw: Battery service</x:v>
      </x:c>
      <x:c r="B86" s="6" t="str">
        <x:v>bmw battery replacement dubai</x:v>
      </x:c>
      <x:c r="C86" s="6" t="str">
        <x:v>https://digitecme.com/brands/bmw-service-dubai/battery-replacement</x:v>
      </x:c>
      <x:c r="D86" s="14" t="n">
        <x:f>COUNTIF('Queries'!$I$6:$I$1005,A86)</x:f>
        <x:v>4</x:v>
      </x:c>
      <x:c r="E86" s="14" t="n">
        <x:f>SUMIF('Queries'!$I$6:$I$1005,A86,'Queries'!$B$6:$B$1005)</x:f>
        <x:v>0</x:v>
      </x:c>
      <x:c r="F86" s="14" t="n">
        <x:f>SUMIF('Queries'!$I$6:$I$1005,A86,'Queries'!$C$6:$C$1005)</x:f>
        <x:v>74</x:v>
      </x:c>
      <x:c r="G86" s="15" t="n">
        <x:f>E86/F86</x:f>
        <x:v>0</x:v>
      </x:c>
      <x:c r="H86" s="16" t="n">
        <x:f>SUMIF('Queries'!$I$6:$I$1005,A86,'Scoring'!$J$6:$J$1005)/F86</x:f>
        <x:v>30.94486486486486</x:v>
      </x:c>
      <x:c r="I86" s="16" t="n">
        <x:f>MAX('Queries'!G480,'Queries'!G695,'Queries'!G864,'Queries'!G914)</x:f>
        <x:v>76.8</x:v>
      </x:c>
      <x:c r="J86" s="6" t="str">
        <x:v>HIGH</x:v>
      </x:c>
      <x:c r="K86" s="6" t="str">
        <x:v>bmw battery replacement dubai</x:v>
      </x:c>
      <x:c r="L86" s="6" t="str">
        <x:v>Use dedicated service owner</x:v>
      </x:c>
      <x:c r="M86" s="6" t="str">
        <x:v>bmw battery replacement; bmw car battery replacement; bmw car battery dubai</x:v>
      </x:c>
    </x:row>
    <x:row r="87" ht="32" customHeight="1">
      <x:c r="A87" s="6" t="str">
        <x:v>bmw: Body repair</x:v>
      </x:c>
      <x:c r="B87" s="6" t="str">
        <x:v>bmw body shop dubai</x:v>
      </x:c>
      <x:c r="C87" s="6" t="str">
        <x:v>https://digitecme.com/brands/bmw-service-dubai/body-repair</x:v>
      </x:c>
      <x:c r="D87" s="14" t="n">
        <x:f>COUNTIF('Queries'!$I$6:$I$1005,A87)</x:f>
        <x:v>4</x:v>
      </x:c>
      <x:c r="E87" s="14" t="n">
        <x:f>SUMIF('Queries'!$I$6:$I$1005,A87,'Queries'!$B$6:$B$1005)</x:f>
        <x:v>0</x:v>
      </x:c>
      <x:c r="F87" s="14" t="n">
        <x:f>SUMIF('Queries'!$I$6:$I$1005,A87,'Queries'!$C$6:$C$1005)</x:f>
        <x:v>83</x:v>
      </x:c>
      <x:c r="G87" s="15" t="n">
        <x:f>E87/F87</x:f>
        <x:v>0</x:v>
      </x:c>
      <x:c r="H87" s="16" t="n">
        <x:f>SUMIF('Queries'!$I$6:$I$1005,A87,'Scoring'!$J$6:$J$1005)/F87</x:f>
        <x:v>46.35084337349397</x:v>
      </x:c>
      <x:c r="I87" s="16" t="n">
        <x:f>MAX('Queries'!G515,'Queries'!G533,'Queries'!G693,'Queries'!G983)</x:f>
        <x:v>76.8</x:v>
      </x:c>
      <x:c r="J87" s="6" t="str">
        <x:v>HIGH</x:v>
      </x:c>
      <x:c r="K87" s="6" t="str">
        <x:v>bmw body repair dubai</x:v>
      </x:c>
      <x:c r="L87" s="6" t="str">
        <x:v>Use dedicated service owner</x:v>
      </x:c>
      <x:c r="M87" s="6" t="str">
        <x:v>bmw body repair garage; bmw body repair dubai; bmw body shop</x:v>
      </x:c>
    </x:row>
    <x:row r="88" ht="32" customHeight="1">
      <x:c r="A88" s="6" t="str">
        <x:v>gmc: Oil change</x:v>
      </x:c>
      <x:c r="B88" s="6" t="str">
        <x:v>gmc oil change dubai</x:v>
      </x:c>
      <x:c r="C88" s="6" t="str">
        <x:v>https://digitecme.com/brands/gmc-service-dubai/oil-change</x:v>
      </x:c>
      <x:c r="D88" s="14" t="n">
        <x:f>COUNTIF('Queries'!$I$6:$I$1005,A88)</x:f>
        <x:v>1</x:v>
      </x:c>
      <x:c r="E88" s="14" t="n">
        <x:f>SUMIF('Queries'!$I$6:$I$1005,A88,'Queries'!$B$6:$B$1005)</x:f>
        <x:v>0</x:v>
      </x:c>
      <x:c r="F88" s="14" t="n">
        <x:f>SUMIF('Queries'!$I$6:$I$1005,A88,'Queries'!$C$6:$C$1005)</x:f>
        <x:v>25</x:v>
      </x:c>
      <x:c r="G88" s="15" t="n">
        <x:f>E88/F88</x:f>
        <x:v>0</x:v>
      </x:c>
      <x:c r="H88" s="16" t="n">
        <x:f>SUMIF('Queries'!$I$6:$I$1005,A88,'Scoring'!$J$6:$J$1005)/F88</x:f>
        <x:v>12</x:v>
      </x:c>
      <x:c r="I88" s="16" t="n">
        <x:f>MAX('Queries'!G541)</x:f>
        <x:v>76.7</x:v>
      </x:c>
      <x:c r="J88" s="6" t="str">
        <x:v>CRITICAL</x:v>
      </x:c>
      <x:c r="K88" s="6" t="str">
        <x:v>gmc oil change dubai</x:v>
      </x:c>
      <x:c r="L88" s="6" t="str">
        <x:v>Use dedicated service owner</x:v>
      </x:c>
      <x:c r="M88" s="6" t="str"/>
    </x:row>
    <x:row r="89" ht="42" customHeight="1">
      <x:c r="A89" s="6" t="str">
        <x:v>All vehicles: Ceramic coating</x:v>
      </x:c>
      <x:c r="B89" s="6" t="str">
        <x:v>ceramic paint protection dubai</x:v>
      </x:c>
      <x:c r="C89" s="6" t="str">
        <x:v>https://digitecme.com/services/ceramic-coating</x:v>
      </x:c>
      <x:c r="D89" s="14" t="n">
        <x:f>COUNTIF('Queries'!$I$6:$I$1005,A89)</x:f>
        <x:v>7</x:v>
      </x:c>
      <x:c r="E89" s="14" t="n">
        <x:f>SUMIF('Queries'!$I$6:$I$1005,A89,'Queries'!$B$6:$B$1005)</x:f>
        <x:v>0</x:v>
      </x:c>
      <x:c r="F89" s="14" t="n">
        <x:f>SUMIF('Queries'!$I$6:$I$1005,A89,'Queries'!$C$6:$C$1005)</x:f>
        <x:v>1101</x:v>
      </x:c>
      <x:c r="G89" s="15" t="n">
        <x:f>E89/F89</x:f>
        <x:v>0</x:v>
      </x:c>
      <x:c r="H89" s="16" t="n">
        <x:f>SUMIF('Queries'!$I$6:$I$1005,A89,'Scoring'!$J$6:$J$1005)/F89</x:f>
        <x:v>35.027647593097186</x:v>
      </x:c>
      <x:c r="I89" s="16" t="n">
        <x:f>MAX('Queries'!G64,'Queries'!G66,'Queries'!G82,'Queries'!G138,'Queries'!G680,'Queries'!G850,'Queries'!G907)</x:f>
        <x:v>76.4</x:v>
      </x:c>
      <x:c r="J89" s="6" t="str">
        <x:v>HIGH</x:v>
      </x:c>
      <x:c r="K89" s="6" t="str">
        <x:v>ceramic coating near me</x:v>
      </x:c>
      <x:c r="L89" s="6" t="str">
        <x:v>Strengthen this primary intent owner</x:v>
      </x:c>
      <x:c r="M89" s="6" t="str">
        <x:v>paint protection coating; ceramic paint protection; car paint protection coating; car coating dubai; ceramic coating near me; nano ceramic paint protection dubai</x:v>
      </x:c>
    </x:row>
    <x:row r="90" ht="32" customHeight="1">
      <x:c r="A90" s="6" t="str">
        <x:v>porsche: Panamera service</x:v>
      </x:c>
      <x:c r="B90" s="6" t="str">
        <x:v>porsche panamera repair dubai</x:v>
      </x:c>
      <x:c r="C90" s="6" t="str">
        <x:v>https://digitecme.com/blog/porsche-panamera-service-dubai-guide</x:v>
      </x:c>
      <x:c r="D90" s="14" t="n">
        <x:f>COUNTIF('Queries'!$I$6:$I$1005,A90)</x:f>
        <x:v>2</x:v>
      </x:c>
      <x:c r="E90" s="14" t="n">
        <x:f>SUMIF('Queries'!$I$6:$I$1005,A90,'Queries'!$B$6:$B$1005)</x:f>
        <x:v>0</x:v>
      </x:c>
      <x:c r="F90" s="14" t="n">
        <x:f>SUMIF('Queries'!$I$6:$I$1005,A90,'Queries'!$C$6:$C$1005)</x:f>
        <x:v>32</x:v>
      </x:c>
      <x:c r="G90" s="15" t="n">
        <x:f>E90/F90</x:f>
        <x:v>0</x:v>
      </x:c>
      <x:c r="H90" s="16" t="n">
        <x:f>SUMIF('Queries'!$I$6:$I$1005,A90,'Scoring'!$J$6:$J$1005)/F90</x:f>
        <x:v>31.591250000000002</x:v>
      </x:c>
      <x:c r="I90" s="16" t="n">
        <x:f>MAX('Queries'!G672,'Queries'!G905)</x:f>
        <x:v>76.3</x:v>
      </x:c>
      <x:c r="J90" s="6" t="str">
        <x:v>HIGH</x:v>
      </x:c>
      <x:c r="K90" s="6" t="str">
        <x:v>porsche panamera service dubai</x:v>
      </x:c>
      <x:c r="L90" s="6" t="str">
        <x:v>Strengthen this primary intent owner</x:v>
      </x:c>
      <x:c r="M90" s="6" t="str">
        <x:v>porsche panamera service dubai</x:v>
      </x:c>
    </x:row>
    <x:row r="91" ht="42" customHeight="1">
      <x:c r="A91" s="6" t="str">
        <x:v>All vehicles: General garage and repair (Arabic)</x:v>
      </x:c>
      <x:c r="B91" s="6" t="str">
        <x:v>كراج سيارات دبي</x:v>
      </x:c>
      <x:c r="C91" s="6" t="str">
        <x:v>https://digitecme.com/ar/services/car-garage-dubai</x:v>
      </x:c>
      <x:c r="D91" s="14" t="n">
        <x:f>COUNTIF('Queries'!$I$6:$I$1005,A91)</x:f>
        <x:v>1</x:v>
      </x:c>
      <x:c r="E91" s="14" t="n">
        <x:f>SUMIF('Queries'!$I$6:$I$1005,A91,'Queries'!$B$6:$B$1005)</x:f>
        <x:v>0</x:v>
      </x:c>
      <x:c r="F91" s="14" t="n">
        <x:f>SUMIF('Queries'!$I$6:$I$1005,A91,'Queries'!$C$6:$C$1005)</x:f>
        <x:v>18</x:v>
      </x:c>
      <x:c r="G91" s="15" t="n">
        <x:f>E91/F91</x:f>
        <x:v>0</x:v>
      </x:c>
      <x:c r="H91" s="16" t="n">
        <x:f>SUMIF('Queries'!$I$6:$I$1005,A91,'Scoring'!$J$6:$J$1005)/F91</x:f>
        <x:v>11.11</x:v>
      </x:c>
      <x:c r="I91" s="16" t="n">
        <x:f>MAX('Queries'!G687)</x:f>
        <x:v>76.3</x:v>
      </x:c>
      <x:c r="J91" s="6" t="str">
        <x:v>HIGH</x:v>
      </x:c>
      <x:c r="K91" s="6" t="str">
        <x:v>كراج سيارات دبي</x:v>
      </x:c>
      <x:c r="L91" s="6" t="str">
        <x:v>Strengthen this primary intent owner</x:v>
      </x:c>
      <x:c r="M91" s="6" t="str"/>
    </x:row>
    <x:row r="92" ht="42" customHeight="1">
      <x:c r="A92" s="6" t="str">
        <x:v>bentley: Suspension repair</x:v>
      </x:c>
      <x:c r="B92" s="6" t="str">
        <x:v>bentley suspension repair dubai</x:v>
      </x:c>
      <x:c r="C92" s="6" t="str">
        <x:v>https://digitecme.com/brands/bentley-service-dubai/suspension-repair</x:v>
      </x:c>
      <x:c r="D92" s="14" t="n">
        <x:f>COUNTIF('Queries'!$I$6:$I$1005,A92)</x:f>
        <x:v>1</x:v>
      </x:c>
      <x:c r="E92" s="14" t="n">
        <x:f>SUMIF('Queries'!$I$6:$I$1005,A92,'Queries'!$B$6:$B$1005)</x:f>
        <x:v>0</x:v>
      </x:c>
      <x:c r="F92" s="14" t="n">
        <x:f>SUMIF('Queries'!$I$6:$I$1005,A92,'Queries'!$C$6:$C$1005)</x:f>
        <x:v>13</x:v>
      </x:c>
      <x:c r="G92" s="15" t="n">
        <x:f>E92/F92</x:f>
        <x:v>0</x:v>
      </x:c>
      <x:c r="H92" s="16" t="n">
        <x:f>SUMIF('Queries'!$I$6:$I$1005,A92,'Scoring'!$J$6:$J$1005)/F92</x:f>
        <x:v>26.15</x:v>
      </x:c>
      <x:c r="I92" s="16" t="n">
        <x:f>MAX('Queries'!G902)</x:f>
        <x:v>76.3</x:v>
      </x:c>
      <x:c r="J92" s="6" t="str">
        <x:v>HIGH</x:v>
      </x:c>
      <x:c r="K92" s="6" t="str">
        <x:v>bentley suspension repair dubai</x:v>
      </x:c>
      <x:c r="L92" s="6" t="str">
        <x:v>Use dedicated service owner</x:v>
      </x:c>
      <x:c r="M92" s="6" t="str"/>
    </x:row>
    <x:row r="93" ht="32" customHeight="1">
      <x:c r="A93" s="6" t="str">
        <x:v>nissan: Body repair</x:v>
      </x:c>
      <x:c r="B93" s="6" t="str">
        <x:v>nissan body shop dubai</x:v>
      </x:c>
      <x:c r="C93" s="6" t="str">
        <x:v>https://digitecme.com/brands/nissan-service-dubai/body-repair</x:v>
      </x:c>
      <x:c r="D93" s="14" t="n">
        <x:f>COUNTIF('Queries'!$I$6:$I$1005,A93)</x:f>
        <x:v>3</x:v>
      </x:c>
      <x:c r="E93" s="14" t="n">
        <x:f>SUMIF('Queries'!$I$6:$I$1005,A93,'Queries'!$B$6:$B$1005)</x:f>
        <x:v>0</x:v>
      </x:c>
      <x:c r="F93" s="14" t="n">
        <x:f>SUMIF('Queries'!$I$6:$I$1005,A93,'Queries'!$C$6:$C$1005)</x:f>
        <x:v>105</x:v>
      </x:c>
      <x:c r="G93" s="15" t="n">
        <x:f>E93/F93</x:f>
        <x:v>0</x:v>
      </x:c>
      <x:c r="H93" s="16" t="n">
        <x:f>SUMIF('Queries'!$I$6:$I$1005,A93,'Scoring'!$J$6:$J$1005)/F93</x:f>
        <x:v>12.406857142857143</x:v>
      </x:c>
      <x:c r="I93" s="16" t="n">
        <x:f>MAX('Queries'!G215,'Queries'!G716,'Queries'!G839)</x:f>
        <x:v>76.2</x:v>
      </x:c>
      <x:c r="J93" s="6" t="str">
        <x:v>CRITICAL</x:v>
      </x:c>
      <x:c r="K93" s="6" t="str">
        <x:v>nissan body shop dubai</x:v>
      </x:c>
      <x:c r="L93" s="6" t="str">
        <x:v>Use dedicated service owner</x:v>
      </x:c>
      <x:c r="M93" s="6" t="str">
        <x:v>nissan body shop; nissan body repair</x:v>
      </x:c>
    </x:row>
    <x:row r="94" ht="57" customHeight="1">
      <x:c r="A94" s="6" t="str">
        <x:v>All vehicles: Diagnostics and supported coding</x:v>
      </x:c>
      <x:c r="B94" s="6" t="str">
        <x:v>car diagnostic dubai</x:v>
      </x:c>
      <x:c r="C94" s="6" t="str">
        <x:v>https://digitecme.com/services/car-diagnostics-dubai</x:v>
      </x:c>
      <x:c r="D94" s="14" t="n">
        <x:f>COUNTIF('Queries'!$I$6:$I$1005,A94)</x:f>
        <x:v>18</x:v>
      </x:c>
      <x:c r="E94" s="14" t="n">
        <x:f>SUMIF('Queries'!$I$6:$I$1005,A94,'Queries'!$B$6:$B$1005)</x:f>
        <x:v>0</x:v>
      </x:c>
      <x:c r="F94" s="14" t="n">
        <x:f>SUMIF('Queries'!$I$6:$I$1005,A94,'Queries'!$C$6:$C$1005)</x:f>
        <x:v>911</x:v>
      </x:c>
      <x:c r="G94" s="15" t="n">
        <x:f>E94/F94</x:f>
        <x:v>0</x:v>
      </x:c>
      <x:c r="H94" s="16" t="n">
        <x:f>SUMIF('Queries'!$I$6:$I$1005,A94,'Scoring'!$J$6:$J$1005)/F94</x:f>
        <x:v>38.61389681668496</x:v>
      </x:c>
      <x:c r="I94" s="16" t="n">
        <x:f>MAX('Queries'!G131,'Queries'!G153,'Queries'!G154,'Queries'!G180,'Queries'!G234,'Queries'!G239,'Queries'!G287,'Queries'!G308,'Queries'!G309,'Queries'!G349,'Queries'!G436,'Queries'!G577,'Queries'!G587,'Queries'!G592,'Queries'!G703,'Queries'!G943,'Queries'!G959,'Queries'!G996)</x:f>
        <x:v>75.7</x:v>
      </x:c>
      <x:c r="J94" s="6" t="str">
        <x:v>HIGH</x:v>
      </x:c>
      <x:c r="K94" s="6" t="str">
        <x:v>car programming near me</x:v>
      </x:c>
      <x:c r="L94" s="6" t="str">
        <x:v>Strengthen this primary intent owner</x:v>
      </x:c>
      <x:c r="M94" s="6" t="str">
        <x:v>car diagnostics dip2; fault code scanning dubai; auto electrical diagnostics dubai; car diagnostic; car scanning and diagnostics in dubai; car diagnostic service dubai; vehicle diagnostics dubai; car scanning dubai</x:v>
      </x:c>
    </x:row>
    <x:row r="95" ht="32" customHeight="1">
      <x:c r="A95" s="6" t="str">
        <x:v>audi: Service and repair (Arabic)</x:v>
      </x:c>
      <x:c r="B95" s="6" t="str">
        <x:v>صيانة اودي</x:v>
      </x:c>
      <x:c r="C95" s="6" t="str">
        <x:v>https://digitecme.com/ar/brands/audi-service-dubai</x:v>
      </x:c>
      <x:c r="D95" s="14" t="n">
        <x:f>COUNTIF('Queries'!$I$6:$I$1005,A95)</x:f>
        <x:v>5</x:v>
      </x:c>
      <x:c r="E95" s="14" t="n">
        <x:f>SUMIF('Queries'!$I$6:$I$1005,A95,'Queries'!$B$6:$B$1005)</x:f>
        <x:v>0</x:v>
      </x:c>
      <x:c r="F95" s="14" t="n">
        <x:f>SUMIF('Queries'!$I$6:$I$1005,A95,'Queries'!$C$6:$C$1005)</x:f>
        <x:v>136</x:v>
      </x:c>
      <x:c r="G95" s="15" t="n">
        <x:f>E95/F95</x:f>
        <x:v>0</x:v>
      </x:c>
      <x:c r="H95" s="16" t="n">
        <x:f>SUMIF('Queries'!$I$6:$I$1005,A95,'Scoring'!$J$6:$J$1005)/F95</x:f>
        <x:v>25.632132352941177</x:v>
      </x:c>
      <x:c r="I95" s="16" t="n">
        <x:f>MAX('Queries'!G337,'Queries'!G405,'Queries'!G460,'Queries'!G847,'Queries'!G916)</x:f>
        <x:v>73</x:v>
      </x:c>
      <x:c r="J95" s="6" t="str">
        <x:v>HIGH</x:v>
      </x:c>
      <x:c r="K95" s="6" t="str">
        <x:v>صيانة اودي</x:v>
      </x:c>
      <x:c r="L95" s="6" t="str">
        <x:v>Strengthen this primary intent owner</x:v>
      </x:c>
      <x:c r="M95" s="6" t="str">
        <x:v>ورشة صيانة اودي; افضل ورشة صيانة اودي; مركز صيانة اودي; افضل مركز صيانة اودى</x:v>
      </x:c>
    </x:row>
    <x:row r="96" ht="32" customHeight="1">
      <x:c r="A96" s="6" t="str">
        <x:v>All vehicles: Fuel system repair</x:v>
      </x:c>
      <x:c r="B96" s="6" t="str">
        <x:v>fuel system repair</x:v>
      </x:c>
      <x:c r="C96" s="6" t="str">
        <x:v>https://digitecme.com/services/fuel-system-repair-dubai</x:v>
      </x:c>
      <x:c r="D96" s="14" t="n">
        <x:f>COUNTIF('Queries'!$I$6:$I$1005,A96)</x:f>
        <x:v>3</x:v>
      </x:c>
      <x:c r="E96" s="14" t="n">
        <x:f>SUMIF('Queries'!$I$6:$I$1005,A96,'Queries'!$B$6:$B$1005)</x:f>
        <x:v>1</x:v>
      </x:c>
      <x:c r="F96" s="14" t="n">
        <x:f>SUMIF('Queries'!$I$6:$I$1005,A96,'Queries'!$C$6:$C$1005)</x:f>
        <x:v>81</x:v>
      </x:c>
      <x:c r="G96" s="15" t="n">
        <x:f>E96/F96</x:f>
        <x:v>0.012345679012345678</x:v>
      </x:c>
      <x:c r="H96" s="16" t="n">
        <x:f>SUMIF('Queries'!$I$6:$I$1005,A96,'Scoring'!$J$6:$J$1005)/F96</x:f>
        <x:v>10.841234567901235</x:v>
      </x:c>
      <x:c r="I96" s="16" t="n">
        <x:f>MAX('Queries'!G34,'Queries'!G597,'Queries'!G1003)</x:f>
        <x:v>72.6</x:v>
      </x:c>
      <x:c r="J96" s="6" t="str">
        <x:v>CRITICAL</x:v>
      </x:c>
      <x:c r="K96" s="6" t="str">
        <x:v>fuel system repair</x:v>
      </x:c>
      <x:c r="L96" s="6" t="str">
        <x:v>Strengthen this primary intent owner</x:v>
      </x:c>
      <x:c r="M96" s="6" t="str">
        <x:v>fuel pump servicing; fuel pump repair shop</x:v>
      </x:c>
    </x:row>
    <x:row r="97" ht="57" customHeight="1">
      <x:c r="A97" s="6" t="str">
        <x:v>All vehicles: Paint care and protection comparison</x:v>
      </x:c>
      <x:c r="B97" s="6" t="str">
        <x:v>car paint protection dubai</x:v>
      </x:c>
      <x:c r="C97" s="6" t="str">
        <x:v>https://digitecme.com/services/paint-protection-dubai</x:v>
      </x:c>
      <x:c r="D97" s="14" t="n">
        <x:f>COUNTIF('Queries'!$I$6:$I$1005,A97)</x:f>
        <x:v>13</x:v>
      </x:c>
      <x:c r="E97" s="14" t="n">
        <x:f>SUMIF('Queries'!$I$6:$I$1005,A97,'Queries'!$B$6:$B$1005)</x:f>
        <x:v>0</x:v>
      </x:c>
      <x:c r="F97" s="14" t="n">
        <x:f>SUMIF('Queries'!$I$6:$I$1005,A97,'Queries'!$C$6:$C$1005)</x:f>
        <x:v>1102</x:v>
      </x:c>
      <x:c r="G97" s="15" t="n">
        <x:f>E97/F97</x:f>
        <x:v>0</x:v>
      </x:c>
      <x:c r="H97" s="16" t="n">
        <x:f>SUMIF('Queries'!$I$6:$I$1005,A97,'Scoring'!$J$6:$J$1005)/F97</x:f>
        <x:v>39.33905626134302</x:v>
      </x:c>
      <x:c r="I97" s="16" t="n">
        <x:f>MAX('Queries'!G61,'Queries'!G90,'Queries'!G102,'Queries'!G129,'Queries'!G365,'Queries'!G409,'Queries'!G481,'Queries'!G650,'Queries'!G699,'Queries'!G728,'Queries'!G818,'Queries'!G820,'Queries'!G868)</x:f>
        <x:v>72.6</x:v>
      </x:c>
      <x:c r="J97" s="6" t="str">
        <x:v>HIGH</x:v>
      </x:c>
      <x:c r="K97" s="6" t="str">
        <x:v>car paint protection dubai</x:v>
      </x:c>
      <x:c r="L97" s="6" t="str">
        <x:v>Strengthen this primary intent owner</x:v>
      </x:c>
      <x:c r="M97" s="6" t="str">
        <x:v>car paint protection; paint protection; paint protection dubai; automotive paint protection; vehicle paint protection; car paint protection in dubai; paint protection solutions; car paint protection services</x:v>
      </x:c>
    </x:row>
    <x:row r="98" ht="32" customHeight="1">
      <x:c r="A98" s="6" t="str">
        <x:v>porsche: Service and repair (Arabic)</x:v>
      </x:c>
      <x:c r="B98" s="6" t="str">
        <x:v>افضل ورشة بورش</x:v>
      </x:c>
      <x:c r="C98" s="6" t="str">
        <x:v>https://digitecme.com/ar/brands/porsche-service-dubai</x:v>
      </x:c>
      <x:c r="D98" s="14" t="n">
        <x:f>COUNTIF('Queries'!$I$6:$I$1005,A98)</x:f>
        <x:v>2</x:v>
      </x:c>
      <x:c r="E98" s="14" t="n">
        <x:f>SUMIF('Queries'!$I$6:$I$1005,A98,'Queries'!$B$6:$B$1005)</x:f>
        <x:v>0</x:v>
      </x:c>
      <x:c r="F98" s="14" t="n">
        <x:f>SUMIF('Queries'!$I$6:$I$1005,A98,'Queries'!$C$6:$C$1005)</x:f>
        <x:v>46</x:v>
      </x:c>
      <x:c r="G98" s="15" t="n">
        <x:f>E98/F98</x:f>
        <x:v>0</x:v>
      </x:c>
      <x:c r="H98" s="16" t="n">
        <x:f>SUMIF('Queries'!$I$6:$I$1005,A98,'Scoring'!$J$6:$J$1005)/F98</x:f>
        <x:v>40.67521739130434</x:v>
      </x:c>
      <x:c r="I98" s="16" t="n">
        <x:f>MAX('Queries'!G526,'Queries'!G656)</x:f>
        <x:v>72.3</x:v>
      </x:c>
      <x:c r="J98" s="6" t="str">
        <x:v>HIGH</x:v>
      </x:c>
      <x:c r="K98" s="6" t="str">
        <x:v>افضل ورشة بورش</x:v>
      </x:c>
      <x:c r="L98" s="6" t="str">
        <x:v>Strengthen this primary intent owner</x:v>
      </x:c>
      <x:c r="M98" s="6" t="str">
        <x:v>افضل كراج بورش</x:v>
      </x:c>
    </x:row>
    <x:row r="99" ht="42" customHeight="1">
      <x:c r="A99" s="6" t="str">
        <x:v>mclaren: Suspension repair</x:v>
      </x:c>
      <x:c r="B99" s="6" t="str">
        <x:v>mclaren suspension specialist</x:v>
      </x:c>
      <x:c r="C99" s="6" t="str">
        <x:v>https://digitecme.com/brands/mclaren-service-dubai/suspension-repair</x:v>
      </x:c>
      <x:c r="D99" s="14" t="n">
        <x:f>COUNTIF('Queries'!$I$6:$I$1005,A99)</x:f>
        <x:v>1</x:v>
      </x:c>
      <x:c r="E99" s="14" t="n">
        <x:f>SUMIF('Queries'!$I$6:$I$1005,A99,'Queries'!$B$6:$B$1005)</x:f>
        <x:v>0</x:v>
      </x:c>
      <x:c r="F99" s="14" t="n">
        <x:f>SUMIF('Queries'!$I$6:$I$1005,A99,'Queries'!$C$6:$C$1005)</x:f>
        <x:v>24</x:v>
      </x:c>
      <x:c r="G99" s="15" t="n">
        <x:f>E99/F99</x:f>
        <x:v>0</x:v>
      </x:c>
      <x:c r="H99" s="16" t="n">
        <x:f>SUMIF('Queries'!$I$6:$I$1005,A99,'Scoring'!$J$6:$J$1005)/F99</x:f>
        <x:v>25</x:v>
      </x:c>
      <x:c r="I99" s="16" t="n">
        <x:f>MAX('Queries'!G557)</x:f>
        <x:v>72.2</x:v>
      </x:c>
      <x:c r="J99" s="6" t="str">
        <x:v>HIGH</x:v>
      </x:c>
      <x:c r="K99" s="6" t="str">
        <x:v>mclaren suspension specialist</x:v>
      </x:c>
      <x:c r="L99" s="6" t="str">
        <x:v>Use dedicated service owner</x:v>
      </x:c>
      <x:c r="M99" s="6" t="str"/>
    </x:row>
    <x:row r="100" ht="32" customHeight="1">
      <x:c r="A100" s="6" t="str">
        <x:v>ferrari: Brake repair</x:v>
      </x:c>
      <x:c r="B100" s="6" t="str">
        <x:v>ferrari brake repair dubai</x:v>
      </x:c>
      <x:c r="C100" s="6" t="str">
        <x:v>https://digitecme.com/brands/ferrari-service-dubai/brake-repair</x:v>
      </x:c>
      <x:c r="D100" s="14" t="n">
        <x:f>COUNTIF('Queries'!$I$6:$I$1005,A100)</x:f>
        <x:v>2</x:v>
      </x:c>
      <x:c r="E100" s="14" t="n">
        <x:f>SUMIF('Queries'!$I$6:$I$1005,A100,'Queries'!$B$6:$B$1005)</x:f>
        <x:v>0</x:v>
      </x:c>
      <x:c r="F100" s="14" t="n">
        <x:f>SUMIF('Queries'!$I$6:$I$1005,A100,'Queries'!$C$6:$C$1005)</x:f>
        <x:v>126</x:v>
      </x:c>
      <x:c r="G100" s="15" t="n">
        <x:f>E100/F100</x:f>
        <x:v>0</x:v>
      </x:c>
      <x:c r="H100" s="16" t="n">
        <x:f>SUMIF('Queries'!$I$6:$I$1005,A100,'Scoring'!$J$6:$J$1005)/F100</x:f>
        <x:v>32.041825396825395</x:v>
      </x:c>
      <x:c r="I100" s="16" t="n">
        <x:f>MAX('Queries'!G163,'Queries'!G573)</x:f>
        <x:v>72.1</x:v>
      </x:c>
      <x:c r="J100" s="6" t="str">
        <x:v>HIGH</x:v>
      </x:c>
      <x:c r="K100" s="6" t="str">
        <x:v>ferrari brake repair</x:v>
      </x:c>
      <x:c r="L100" s="6" t="str">
        <x:v>Use dedicated service owner</x:v>
      </x:c>
      <x:c r="M100" s="6" t="str">
        <x:v>ferrari brake repair</x:v>
      </x:c>
    </x:row>
    <x:row r="101" ht="32" customHeight="1">
      <x:c r="A101" s="6" t="str">
        <x:v>bmw: Suspension repair</x:v>
      </x:c>
      <x:c r="B101" s="6" t="str">
        <x:v>bmw suspension repair dubai</x:v>
      </x:c>
      <x:c r="C101" s="6" t="str">
        <x:v>https://digitecme.com/brands/bmw-service-dubai/suspension-repair</x:v>
      </x:c>
      <x:c r="D101" s="14" t="n">
        <x:f>COUNTIF('Queries'!$I$6:$I$1005,A101)</x:f>
        <x:v>2</x:v>
      </x:c>
      <x:c r="E101" s="14" t="n">
        <x:f>SUMIF('Queries'!$I$6:$I$1005,A101,'Queries'!$B$6:$B$1005)</x:f>
        <x:v>0</x:v>
      </x:c>
      <x:c r="F101" s="14" t="n">
        <x:f>SUMIF('Queries'!$I$6:$I$1005,A101,'Queries'!$C$6:$C$1005)</x:f>
        <x:v>47</x:v>
      </x:c>
      <x:c r="G101" s="15" t="n">
        <x:f>E101/F101</x:f>
        <x:v>0</x:v>
      </x:c>
      <x:c r="H101" s="16" t="n">
        <x:f>SUMIF('Queries'!$I$6:$I$1005,A101,'Scoring'!$J$6:$J$1005)/F101</x:f>
        <x:v>34.47021276595744</x:v>
      </x:c>
      <x:c r="I101" s="16" t="n">
        <x:f>MAX('Queries'!G547,'Queries'!G604)</x:f>
        <x:v>72</x:v>
      </x:c>
      <x:c r="J101" s="6" t="str">
        <x:v>HIGH</x:v>
      </x:c>
      <x:c r="K101" s="6" t="str">
        <x:v>bmw suspension repair</x:v>
      </x:c>
      <x:c r="L101" s="6" t="str">
        <x:v>Use dedicated service owner</x:v>
      </x:c>
      <x:c r="M101" s="6" t="str">
        <x:v>bmw suspension repair</x:v>
      </x:c>
    </x:row>
    <x:row r="102" ht="32" customHeight="1">
      <x:c r="A102" s="6" t="str">
        <x:v>range-rover: AC repair</x:v>
      </x:c>
      <x:c r="B102" s="6" t="str">
        <x:v>range rover ac repair</x:v>
      </x:c>
      <x:c r="C102" s="6" t="str">
        <x:v>https://digitecme.com/brands/range-rover-service-dubai/ac-repair</x:v>
      </x:c>
      <x:c r="D102" s="14" t="n">
        <x:f>COUNTIF('Queries'!$I$6:$I$1005,A102)</x:f>
        <x:v>1</x:v>
      </x:c>
      <x:c r="E102" s="14" t="n">
        <x:f>SUMIF('Queries'!$I$6:$I$1005,A102,'Queries'!$B$6:$B$1005)</x:f>
        <x:v>0</x:v>
      </x:c>
      <x:c r="F102" s="14" t="n">
        <x:f>SUMIF('Queries'!$I$6:$I$1005,A102,'Queries'!$C$6:$C$1005)</x:f>
        <x:v>22</x:v>
      </x:c>
      <x:c r="G102" s="15" t="n">
        <x:f>E102/F102</x:f>
        <x:v>0</x:v>
      </x:c>
      <x:c r="H102" s="16" t="n">
        <x:f>SUMIF('Queries'!$I$6:$I$1005,A102,'Scoring'!$J$6:$J$1005)/F102</x:f>
        <x:v>23.36</x:v>
      </x:c>
      <x:c r="I102" s="16" t="n">
        <x:f>MAX('Queries'!G602)</x:f>
        <x:v>72</x:v>
      </x:c>
      <x:c r="J102" s="6" t="str">
        <x:v>HIGH</x:v>
      </x:c>
      <x:c r="K102" s="6" t="str">
        <x:v>range rover ac repair</x:v>
      </x:c>
      <x:c r="L102" s="6" t="str">
        <x:v>Use dedicated service owner</x:v>
      </x:c>
      <x:c r="M102" s="6" t="str"/>
    </x:row>
    <x:row r="103" ht="32" customHeight="1">
      <x:c r="A103" s="6" t="str">
        <x:v>bmw: Service and repair (Arabic)</x:v>
      </x:c>
      <x:c r="B103" s="6" t="str">
        <x:v>افضل مركز بي ام دبليو</x:v>
      </x:c>
      <x:c r="C103" s="6" t="str">
        <x:v>https://digitecme.com/ar/brands/bmw-service-dubai</x:v>
      </x:c>
      <x:c r="D103" s="14" t="n">
        <x:f>COUNTIF('Queries'!$I$6:$I$1005,A103)</x:f>
        <x:v>1</x:v>
      </x:c>
      <x:c r="E103" s="14" t="n">
        <x:f>SUMIF('Queries'!$I$6:$I$1005,A103,'Queries'!$B$6:$B$1005)</x:f>
        <x:v>0</x:v>
      </x:c>
      <x:c r="F103" s="14" t="n">
        <x:f>SUMIF('Queries'!$I$6:$I$1005,A103,'Queries'!$C$6:$C$1005)</x:f>
        <x:v>22</x:v>
      </x:c>
      <x:c r="G103" s="15" t="n">
        <x:f>E103/F103</x:f>
        <x:v>0</x:v>
      </x:c>
      <x:c r="H103" s="16" t="n">
        <x:f>SUMIF('Queries'!$I$6:$I$1005,A103,'Scoring'!$J$6:$J$1005)/F103</x:f>
        <x:v>29.230000000000004</x:v>
      </x:c>
      <x:c r="I103" s="16" t="n">
        <x:f>MAX('Queries'!G605)</x:f>
        <x:v>72</x:v>
      </x:c>
      <x:c r="J103" s="6" t="str">
        <x:v>HIGH</x:v>
      </x:c>
      <x:c r="K103" s="6" t="str">
        <x:v>افضل مركز بي ام دبليو</x:v>
      </x:c>
      <x:c r="L103" s="6" t="str">
        <x:v>Strengthen this primary intent owner</x:v>
      </x:c>
      <x:c r="M103" s="6" t="str"/>
    </x:row>
    <x:row r="104" ht="32" customHeight="1">
      <x:c r="A104" s="6" t="str">
        <x:v>mercedes-benz: Electrical repair</x:v>
      </x:c>
      <x:c r="B104" s="6" t="str">
        <x:v>mercedes electrical repair</x:v>
      </x:c>
      <x:c r="C104" s="6" t="str">
        <x:v>https://digitecme.com/services/mercedes-electrical-repair-dubai</x:v>
      </x:c>
      <x:c r="D104" s="14" t="n">
        <x:f>COUNTIF('Queries'!$I$6:$I$1005,A104)</x:f>
        <x:v>1</x:v>
      </x:c>
      <x:c r="E104" s="14" t="n">
        <x:f>SUMIF('Queries'!$I$6:$I$1005,A104,'Queries'!$B$6:$B$1005)</x:f>
        <x:v>0</x:v>
      </x:c>
      <x:c r="F104" s="14" t="n">
        <x:f>SUMIF('Queries'!$I$6:$I$1005,A104,'Queries'!$C$6:$C$1005)</x:f>
        <x:v>20</x:v>
      </x:c>
      <x:c r="G104" s="15" t="n">
        <x:f>E104/F104</x:f>
        <x:v>0</x:v>
      </x:c>
      <x:c r="H104" s="16" t="n">
        <x:f>SUMIF('Queries'!$I$6:$I$1005,A104,'Scoring'!$J$6:$J$1005)/F104</x:f>
        <x:v>24.2</x:v>
      </x:c>
      <x:c r="I104" s="16" t="n">
        <x:f>MAX('Queries'!G636)</x:f>
        <x:v>71.9</x:v>
      </x:c>
      <x:c r="J104" s="6" t="str">
        <x:v>HIGH</x:v>
      </x:c>
      <x:c r="K104" s="6" t="str">
        <x:v>mercedes electrical repair</x:v>
      </x:c>
      <x:c r="L104" s="6" t="str">
        <x:v>Use dedicated service owner</x:v>
      </x:c>
      <x:c r="M104" s="6" t="str"/>
    </x:row>
    <x:row r="105" ht="42" customHeight="1">
      <x:c r="A105" s="6" t="str">
        <x:v>audi: Transmission and gearbox repair</x:v>
      </x:c>
      <x:c r="B105" s="6" t="str">
        <x:v>audi transmission repair dubai</x:v>
      </x:c>
      <x:c r="C105" s="6" t="str">
        <x:v>https://digitecme.com/brands/audi-service-dubai/transmission-repair</x:v>
      </x:c>
      <x:c r="D105" s="14" t="n">
        <x:f>COUNTIF('Queries'!$I$6:$I$1005,A105)</x:f>
        <x:v>3</x:v>
      </x:c>
      <x:c r="E105" s="14" t="n">
        <x:f>SUMIF('Queries'!$I$6:$I$1005,A105,'Queries'!$B$6:$B$1005)</x:f>
        <x:v>0</x:v>
      </x:c>
      <x:c r="F105" s="14" t="n">
        <x:f>SUMIF('Queries'!$I$6:$I$1005,A105,'Queries'!$C$6:$C$1005)</x:f>
        <x:v>100</x:v>
      </x:c>
      <x:c r="G105" s="15" t="n">
        <x:f>E105/F105</x:f>
        <x:v>0</x:v>
      </x:c>
      <x:c r="H105" s="16" t="n">
        <x:f>SUMIF('Queries'!$I$6:$I$1005,A105,'Scoring'!$J$6:$J$1005)/F105</x:f>
        <x:v>32.7233</x:v>
      </x:c>
      <x:c r="I105" s="16" t="n">
        <x:f>MAX('Queries'!G232,'Queries'!G669,'Queries'!G817)</x:f>
        <x:v>71.8</x:v>
      </x:c>
      <x:c r="J105" s="6" t="str">
        <x:v>HIGH</x:v>
      </x:c>
      <x:c r="K105" s="6" t="str">
        <x:v>audi transmission repair</x:v>
      </x:c>
      <x:c r="L105" s="6" t="str">
        <x:v>Use dedicated service owner</x:v>
      </x:c>
      <x:c r="M105" s="6" t="str">
        <x:v>audi transmission repair; audi gearbox specialist near me</x:v>
      </x:c>
    </x:row>
    <x:row r="106" ht="42" customHeight="1">
      <x:c r="A106" s="6" t="str">
        <x:v>land-rover: Brake repair</x:v>
      </x:c>
      <x:c r="B106" s="6" t="str">
        <x:v>land rover brake repair</x:v>
      </x:c>
      <x:c r="C106" s="6" t="str">
        <x:v>https://digitecme.com/brands/land-rover-service-dubai/brake-repair</x:v>
      </x:c>
      <x:c r="D106" s="14" t="n">
        <x:f>COUNTIF('Queries'!$I$6:$I$1005,A106)</x:f>
        <x:v>1</x:v>
      </x:c>
      <x:c r="E106" s="14" t="n">
        <x:f>SUMIF('Queries'!$I$6:$I$1005,A106,'Queries'!$B$6:$B$1005)</x:f>
        <x:v>0</x:v>
      </x:c>
      <x:c r="F106" s="14" t="n">
        <x:f>SUMIF('Queries'!$I$6:$I$1005,A106,'Queries'!$C$6:$C$1005)</x:f>
        <x:v>19</x:v>
      </x:c>
      <x:c r="G106" s="15" t="n">
        <x:f>E106/F106</x:f>
        <x:v>0</x:v>
      </x:c>
      <x:c r="H106" s="16" t="n">
        <x:f>SUMIF('Queries'!$I$6:$I$1005,A106,'Scoring'!$J$6:$J$1005)/F106</x:f>
        <x:v>17.79</x:v>
      </x:c>
      <x:c r="I106" s="16" t="n">
        <x:f>MAX('Queries'!G663)</x:f>
        <x:v>71.8</x:v>
      </x:c>
      <x:c r="J106" s="6" t="str">
        <x:v>HIGH</x:v>
      </x:c>
      <x:c r="K106" s="6" t="str">
        <x:v>land rover brake repair</x:v>
      </x:c>
      <x:c r="L106" s="6" t="str">
        <x:v>Use dedicated service owner</x:v>
      </x:c>
      <x:c r="M106" s="6" t="str"/>
    </x:row>
    <x:row r="107" ht="57" customHeight="1">
      <x:c r="A107" s="6" t="str">
        <x:v>All vehicles: Brake repair (English)</x:v>
      </x:c>
      <x:c r="B107" s="6" t="str">
        <x:v>brake repair dubai</x:v>
      </x:c>
      <x:c r="C107" s="6" t="str">
        <x:v>https://digitecme.com/services/brake-repair-dubai</x:v>
      </x:c>
      <x:c r="D107" s="14" t="n">
        <x:f>COUNTIF('Queries'!$I$6:$I$1005,A107)</x:f>
        <x:v>17</x:v>
      </x:c>
      <x:c r="E107" s="14" t="n">
        <x:f>SUMIF('Queries'!$I$6:$I$1005,A107,'Queries'!$B$6:$B$1005)</x:f>
        <x:v>0</x:v>
      </x:c>
      <x:c r="F107" s="14" t="n">
        <x:f>SUMIF('Queries'!$I$6:$I$1005,A107,'Queries'!$C$6:$C$1005)</x:f>
        <x:v>1550</x:v>
      </x:c>
      <x:c r="G107" s="15" t="n">
        <x:f>E107/F107</x:f>
        <x:v>0</x:v>
      </x:c>
      <x:c r="H107" s="16" t="n">
        <x:f>SUMIF('Queries'!$I$6:$I$1005,A107,'Scoring'!$J$6:$J$1005)/F107</x:f>
        <x:v>35.33227741935483</x:v>
      </x:c>
      <x:c r="I107" s="16" t="n">
        <x:f>MAX('Queries'!G63,'Queries'!G75,'Queries'!G94,'Queries'!G116,'Queries'!G173,'Queries'!G177,'Queries'!G185,'Queries'!G190,'Queries'!G376,'Queries'!G390,'Queries'!G457,'Queries'!G471,'Queries'!G542,'Queries'!G720,'Queries'!G738,'Queries'!G744,'Queries'!G990)</x:f>
        <x:v>71.7</x:v>
      </x:c>
      <x:c r="J107" s="6" t="str">
        <x:v>CRITICAL</x:v>
      </x:c>
      <x:c r="K107" s="6" t="str">
        <x:v>brake service</x:v>
      </x:c>
      <x:c r="L107" s="6" t="str">
        <x:v>Strengthen this primary intent owner</x:v>
      </x:c>
      <x:c r="M107" s="6" t="str">
        <x:v>frenos near me; car brake maintenance in dubai; brake service dubai; brake inspection dubai; car brake maintenance dubai; car brake maintenance in uae; car brake repair dubai; car brake repair in dubai</x:v>
      </x:c>
    </x:row>
    <x:row r="108" ht="57" customHeight="1">
      <x:c r="A108" s="6" t="str">
        <x:v>All vehicles: Transmission and gearbox repair</x:v>
      </x:c>
      <x:c r="B108" s="6" t="str">
        <x:v>transmission repair dubai</x:v>
      </x:c>
      <x:c r="C108" s="6" t="str">
        <x:v>https://digitecme.com/services/car-service-dubai</x:v>
      </x:c>
      <x:c r="D108" s="14" t="n">
        <x:f>COUNTIF('Queries'!$I$6:$I$1005,A108)</x:f>
        <x:v>13</x:v>
      </x:c>
      <x:c r="E108" s="14" t="n">
        <x:f>SUMIF('Queries'!$I$6:$I$1005,A108,'Queries'!$B$6:$B$1005)</x:f>
        <x:v>0</x:v>
      </x:c>
      <x:c r="F108" s="14" t="n">
        <x:f>SUMIF('Queries'!$I$6:$I$1005,A108,'Queries'!$C$6:$C$1005)</x:f>
        <x:v>540</x:v>
      </x:c>
      <x:c r="G108" s="15" t="n">
        <x:f>E108/F108</x:f>
        <x:v>0</x:v>
      </x:c>
      <x:c r="H108" s="16" t="n">
        <x:f>SUMIF('Queries'!$I$6:$I$1005,A108,'Scoring'!$J$6:$J$1005)/F108</x:f>
        <x:v>33.50396296296296</x:v>
      </x:c>
      <x:c r="I108" s="16" t="n">
        <x:f>MAX('Queries'!G114,'Queries'!G170,'Queries'!G279,'Queries'!G351,'Queries'!G373,'Queries'!G407,'Queries'!G491,'Queries'!G586,'Queries'!G607,'Queries'!G845,'Queries'!G861,'Queries'!G863,'Queries'!G970)</x:f>
        <x:v>71.7</x:v>
      </x:c>
      <x:c r="J108" s="6" t="str">
        <x:v>HIGH</x:v>
      </x:c>
      <x:c r="K108" s="6" t="str">
        <x:v>transmission repair dubai</x:v>
      </x:c>
      <x:c r="L108" s="6" t="str">
        <x:v>Strengthen this primary intent owner</x:v>
      </x:c>
      <x:c r="M108" s="6" t="str">
        <x:v>gearbox repair dubai; car transmission repair dubai; gearbox specialist; gear box repair services in dubai; transmission repair; car gearbox repair dubai; gear box dubai; automatic gear box repair uae</x:v>
      </x:c>
    </x:row>
    <x:row r="109" ht="32" customHeight="1">
      <x:c r="A109" s="6" t="str">
        <x:v>volkswagen: Oil change</x:v>
      </x:c>
      <x:c r="B109" s="6" t="str">
        <x:v>volkswagen oil change dubai</x:v>
      </x:c>
      <x:c r="C109" s="6" t="str">
        <x:v>https://digitecme.com/brands/volkswagen-service-dubai/oil-change</x:v>
      </x:c>
      <x:c r="D109" s="14" t="n">
        <x:f>COUNTIF('Queries'!$I$6:$I$1005,A109)</x:f>
        <x:v>2</x:v>
      </x:c>
      <x:c r="E109" s="14" t="n">
        <x:f>SUMIF('Queries'!$I$6:$I$1005,A109,'Queries'!$B$6:$B$1005)</x:f>
        <x:v>0</x:v>
      </x:c>
      <x:c r="F109" s="14" t="n">
        <x:f>SUMIF('Queries'!$I$6:$I$1005,A109,'Queries'!$C$6:$C$1005)</x:f>
        <x:v>44</x:v>
      </x:c>
      <x:c r="G109" s="15" t="n">
        <x:f>E109/F109</x:f>
        <x:v>0</x:v>
      </x:c>
      <x:c r="H109" s="16" t="n">
        <x:f>SUMIF('Queries'!$I$6:$I$1005,A109,'Scoring'!$J$6:$J$1005)/F109</x:f>
        <x:v>17.090227272727272</x:v>
      </x:c>
      <x:c r="I109" s="16" t="n">
        <x:f>MAX('Queries'!G572,'Queries'!G620)</x:f>
        <x:v>71.5</x:v>
      </x:c>
      <x:c r="J109" s="6" t="str">
        <x:v>CRITICAL</x:v>
      </x:c>
      <x:c r="K109" s="6" t="str">
        <x:v>volkswagen oil change</x:v>
      </x:c>
      <x:c r="L109" s="6" t="str">
        <x:v>Use dedicated service owner</x:v>
      </x:c>
      <x:c r="M109" s="6" t="str">
        <x:v>volkswagen oil change</x:v>
      </x:c>
    </x:row>
    <x:row r="110" ht="42" customHeight="1">
      <x:c r="A110" s="6" t="str">
        <x:v>All vehicles: AC repair</x:v>
      </x:c>
      <x:c r="B110" s="6" t="str">
        <x:v>car ac gas refill dubai</x:v>
      </x:c>
      <x:c r="C110" s="6" t="str">
        <x:v>https://digitecme.com/services/car-ac-repair-dubai</x:v>
      </x:c>
      <x:c r="D110" s="14" t="n">
        <x:f>COUNTIF('Queries'!$I$6:$I$1005,A110)</x:f>
        <x:v>8</x:v>
      </x:c>
      <x:c r="E110" s="14" t="n">
        <x:f>SUMIF('Queries'!$I$6:$I$1005,A110,'Queries'!$B$6:$B$1005)</x:f>
        <x:v>0</x:v>
      </x:c>
      <x:c r="F110" s="14" t="n">
        <x:f>SUMIF('Queries'!$I$6:$I$1005,A110,'Queries'!$C$6:$C$1005)</x:f>
        <x:v>556</x:v>
      </x:c>
      <x:c r="G110" s="15" t="n">
        <x:f>E110/F110</x:f>
        <x:v>0</x:v>
      </x:c>
      <x:c r="H110" s="16" t="n">
        <x:f>SUMIF('Queries'!$I$6:$I$1005,A110,'Scoring'!$J$6:$J$1005)/F110</x:f>
        <x:v>37.85829136690647</x:v>
      </x:c>
      <x:c r="I110" s="16" t="n">
        <x:f>MAX('Queries'!G76,'Queries'!G145,'Queries'!G206,'Queries'!G273,'Queries'!G711,'Queries'!G813,'Queries'!G931,'Queries'!G951)</x:f>
        <x:v>71.4</x:v>
      </x:c>
      <x:c r="J110" s="6" t="str">
        <x:v>HIGH</x:v>
      </x:c>
      <x:c r="K110" s="6" t="str">
        <x:v>car ac repair dubai</x:v>
      </x:c>
      <x:c r="L110" s="6" t="str">
        <x:v>Strengthen this primary intent owner</x:v>
      </x:c>
      <x:c r="M110" s="6" t="str">
        <x:v>car ac repair dubai; car ac refill services dubai; auto air con; car ac repair; car ac service in dubai; car air conditioner repair; car ac service dubai</x:v>
      </x:c>
    </x:row>
    <x:row r="111" ht="42" customHeight="1">
      <x:c r="A111" s="6" t="str">
        <x:v>bentley: Service and repair (English)</x:v>
      </x:c>
      <x:c r="B111" s="6" t="str">
        <x:v>bentley service dubai</x:v>
      </x:c>
      <x:c r="C111" s="6" t="str">
        <x:v>https://digitecme.com/brands/bentley-service-dubai</x:v>
      </x:c>
      <x:c r="D111" s="14" t="n">
        <x:f>COUNTIF('Queries'!$I$6:$I$1005,A111)</x:f>
        <x:v>10</x:v>
      </x:c>
      <x:c r="E111" s="14" t="n">
        <x:f>SUMIF('Queries'!$I$6:$I$1005,A111,'Queries'!$B$6:$B$1005)</x:f>
        <x:v>0</x:v>
      </x:c>
      <x:c r="F111" s="14" t="n">
        <x:f>SUMIF('Queries'!$I$6:$I$1005,A111,'Queries'!$C$6:$C$1005)</x:f>
        <x:v>395</x:v>
      </x:c>
      <x:c r="G111" s="15" t="n">
        <x:f>E111/F111</x:f>
        <x:v>0</x:v>
      </x:c>
      <x:c r="H111" s="16" t="n">
        <x:f>SUMIF('Queries'!$I$6:$I$1005,A111,'Scoring'!$J$6:$J$1005)/F111</x:f>
        <x:v>47.57321518987342</x:v>
      </x:c>
      <x:c r="I111" s="16" t="n">
        <x:f>MAX('Queries'!G139,'Queries'!G216,'Queries'!G332,'Queries'!G426,'Queries'!G496,'Queries'!G517,'Queries'!G564,'Queries'!G785,'Queries'!G829,'Queries'!G872)</x:f>
        <x:v>71.3</x:v>
      </x:c>
      <x:c r="J111" s="6" t="str">
        <x:v>GROWTH</x:v>
      </x:c>
      <x:c r="K111" s="6" t="str">
        <x:v>bentley workshop dubai</x:v>
      </x:c>
      <x:c r="L111" s="6" t="str">
        <x:v>Strengthen this primary intent owner</x:v>
      </x:c>
      <x:c r="M111" s="6" t="str">
        <x:v>bentley workshop dubai; bentley service; bentley servicing; bentley service center dubai; bentley repair; bentley service centre; bentley repair in dubai; bentley repairs</x:v>
      </x:c>
    </x:row>
    <x:row r="112" ht="32" customHeight="1">
      <x:c r="A112" s="6" t="str">
        <x:v>chrysler: Oil change</x:v>
      </x:c>
      <x:c r="B112" s="6" t="str">
        <x:v>chrysler oil change in dubai</x:v>
      </x:c>
      <x:c r="C112" s="6" t="str">
        <x:v>https://digitecme.com/brands/chrysler-service-dubai/oil-change</x:v>
      </x:c>
      <x:c r="D112" s="14" t="n">
        <x:f>COUNTIF('Queries'!$I$6:$I$1005,A112)</x:f>
        <x:v>2</x:v>
      </x:c>
      <x:c r="E112" s="14" t="n">
        <x:f>SUMIF('Queries'!$I$6:$I$1005,A112,'Queries'!$B$6:$B$1005)</x:f>
        <x:v>0</x:v>
      </x:c>
      <x:c r="F112" s="14" t="n">
        <x:f>SUMIF('Queries'!$I$6:$I$1005,A112,'Queries'!$C$6:$C$1005)</x:f>
        <x:v>120</x:v>
      </x:c>
      <x:c r="G112" s="15" t="n">
        <x:f>E112/F112</x:f>
        <x:v>0</x:v>
      </x:c>
      <x:c r="H112" s="16" t="n">
        <x:f>SUMIF('Queries'!$I$6:$I$1005,A112,'Scoring'!$J$6:$J$1005)/F112</x:f>
        <x:v>25.316666666666666</x:v>
      </x:c>
      <x:c r="I112" s="16" t="n">
        <x:f>MAX('Queries'!G167,'Queries'!G632)</x:f>
        <x:v>71.2</x:v>
      </x:c>
      <x:c r="J112" s="6" t="str">
        <x:v>HIGH</x:v>
      </x:c>
      <x:c r="K112" s="6" t="str">
        <x:v>chrysler oil change in dubai</x:v>
      </x:c>
      <x:c r="L112" s="6" t="str">
        <x:v>Use dedicated service owner</x:v>
      </x:c>
      <x:c r="M112" s="6" t="str">
        <x:v>chrysler oil change service</x:v>
      </x:c>
    </x:row>
    <x:row r="113" ht="42" customHeight="1">
      <x:c r="A113" s="6" t="str">
        <x:v>ferrari: Battery service</x:v>
      </x:c>
      <x:c r="B113" s="6" t="str">
        <x:v>ferrari battery replacement dubai</x:v>
      </x:c>
      <x:c r="C113" s="6" t="str">
        <x:v>https://digitecme.com/brands/ferrari-service-dubai/battery-replacement</x:v>
      </x:c>
      <x:c r="D113" s="14" t="n">
        <x:f>COUNTIF('Queries'!$I$6:$I$1005,A113)</x:f>
        <x:v>1</x:v>
      </x:c>
      <x:c r="E113" s="14" t="n">
        <x:f>SUMIF('Queries'!$I$6:$I$1005,A113,'Queries'!$B$6:$B$1005)</x:f>
        <x:v>0</x:v>
      </x:c>
      <x:c r="F113" s="14" t="n">
        <x:f>SUMIF('Queries'!$I$6:$I$1005,A113,'Queries'!$C$6:$C$1005)</x:f>
        <x:v>67</x:v>
      </x:c>
      <x:c r="G113" s="15" t="n">
        <x:f>E113/F113</x:f>
        <x:v>0</x:v>
      </x:c>
      <x:c r="H113" s="16" t="n">
        <x:f>SUMIF('Queries'!$I$6:$I$1005,A113,'Scoring'!$J$6:$J$1005)/F113</x:f>
        <x:v>31.450000000000003</x:v>
      </x:c>
      <x:c r="I113" s="16" t="n">
        <x:f>MAX('Queries'!G231)</x:f>
        <x:v>71.1</x:v>
      </x:c>
      <x:c r="J113" s="6" t="str">
        <x:v>GROWTH</x:v>
      </x:c>
      <x:c r="K113" s="6" t="str">
        <x:v>ferrari battery replacement dubai</x:v>
      </x:c>
      <x:c r="L113" s="6" t="str">
        <x:v>Use dedicated service owner</x:v>
      </x:c>
      <x:c r="M113" s="6" t="str"/>
    </x:row>
    <x:row r="114" ht="42" customHeight="1">
      <x:c r="A114" s="6" t="str">
        <x:v>ferrari: Engine and mechanical repair</x:v>
      </x:c>
      <x:c r="B114" s="6" t="str">
        <x:v>ferrari engine repair dubai</x:v>
      </x:c>
      <x:c r="C114" s="6" t="str">
        <x:v>https://digitecme.com/brands/ferrari-service-dubai/mechanical-repair</x:v>
      </x:c>
      <x:c r="D114" s="14" t="n">
        <x:f>COUNTIF('Queries'!$I$6:$I$1005,A114)</x:f>
        <x:v>1</x:v>
      </x:c>
      <x:c r="E114" s="14" t="n">
        <x:f>SUMIF('Queries'!$I$6:$I$1005,A114,'Queries'!$B$6:$B$1005)</x:f>
        <x:v>0</x:v>
      </x:c>
      <x:c r="F114" s="14" t="n">
        <x:f>SUMIF('Queries'!$I$6:$I$1005,A114,'Queries'!$C$6:$C$1005)</x:f>
        <x:v>59</x:v>
      </x:c>
      <x:c r="G114" s="15" t="n">
        <x:f>E114/F114</x:f>
        <x:v>0</x:v>
      </x:c>
      <x:c r="H114" s="16" t="n">
        <x:f>SUMIF('Queries'!$I$6:$I$1005,A114,'Scoring'!$J$6:$J$1005)/F114</x:f>
        <x:v>34.34</x:v>
      </x:c>
      <x:c r="I114" s="16" t="n">
        <x:f>MAX('Queries'!G252)</x:f>
        <x:v>70.9</x:v>
      </x:c>
      <x:c r="J114" s="6" t="str">
        <x:v>GROWTH</x:v>
      </x:c>
      <x:c r="K114" s="6" t="str">
        <x:v>ferrari engine repair dubai</x:v>
      </x:c>
      <x:c r="L114" s="6" t="str">
        <x:v>Use dedicated service owner</x:v>
      </x:c>
      <x:c r="M114" s="6" t="str"/>
    </x:row>
    <x:row r="115" ht="32" customHeight="1">
      <x:c r="A115" s="6" t="str">
        <x:v>hummer: Engine and mechanical repair</x:v>
      </x:c>
      <x:c r="B115" s="6" t="str">
        <x:v>hummer engine repair dubai</x:v>
      </x:c>
      <x:c r="C115" s="6" t="str">
        <x:v>https://digitecme.com/brands/hummer-service-dubai</x:v>
      </x:c>
      <x:c r="D115" s="14" t="n">
        <x:f>COUNTIF('Queries'!$I$6:$I$1005,A115)</x:f>
        <x:v>1</x:v>
      </x:c>
      <x:c r="E115" s="14" t="n">
        <x:f>SUMIF('Queries'!$I$6:$I$1005,A115,'Queries'!$B$6:$B$1005)</x:f>
        <x:v>0</x:v>
      </x:c>
      <x:c r="F115" s="14" t="n">
        <x:f>SUMIF('Queries'!$I$6:$I$1005,A115,'Queries'!$C$6:$C$1005)</x:f>
        <x:v>79</x:v>
      </x:c>
      <x:c r="G115" s="15" t="n">
        <x:f>E115/F115</x:f>
        <x:v>0</x:v>
      </x:c>
      <x:c r="H115" s="16" t="n">
        <x:f>SUMIF('Queries'!$I$6:$I$1005,A115,'Scoring'!$J$6:$J$1005)/F115</x:f>
        <x:v>26.37</x:v>
      </x:c>
      <x:c r="I115" s="16" t="n">
        <x:f>MAX('Queries'!G200)</x:f>
        <x:v>70.8</x:v>
      </x:c>
      <x:c r="J115" s="6" t="str">
        <x:v>HIGH</x:v>
      </x:c>
      <x:c r="K115" s="6" t="str">
        <x:v>hummer engine repair dubai</x:v>
      </x:c>
      <x:c r="L115" s="6" t="str">
        <x:v>Use dedicated service owner</x:v>
      </x:c>
      <x:c r="M115" s="6" t="str"/>
    </x:row>
    <x:row r="116" ht="57" customHeight="1">
      <x:c r="A116" s="6" t="str">
        <x:v>chevrolet: Service and repair</x:v>
      </x:c>
      <x:c r="B116" s="6" t="str">
        <x:v>chevrolet repair in dubai</x:v>
      </x:c>
      <x:c r="C116" s="6" t="str">
        <x:v>https://digitecme.com/brands/chevrolet-service-dubai</x:v>
      </x:c>
      <x:c r="D116" s="14" t="n">
        <x:f>COUNTIF('Queries'!$I$6:$I$1005,A116)</x:f>
        <x:v>8</x:v>
      </x:c>
      <x:c r="E116" s="14" t="n">
        <x:f>SUMIF('Queries'!$I$6:$I$1005,A116,'Queries'!$B$6:$B$1005)</x:f>
        <x:v>0</x:v>
      </x:c>
      <x:c r="F116" s="14" t="n">
        <x:f>SUMIF('Queries'!$I$6:$I$1005,A116,'Queries'!$C$6:$C$1005)</x:f>
        <x:v>239</x:v>
      </x:c>
      <x:c r="G116" s="15" t="n">
        <x:f>E116/F116</x:f>
        <x:v>0</x:v>
      </x:c>
      <x:c r="H116" s="16" t="n">
        <x:f>SUMIF('Queries'!$I$6:$I$1005,A116,'Scoring'!$J$6:$J$1005)/F116</x:f>
        <x:v>28.37041841004184</x:v>
      </x:c>
      <x:c r="I116" s="16" t="n">
        <x:f>MAX('Queries'!G205,'Queries'!G306,'Queries'!G427,'Queries'!G562,'Queries'!G666,'Queries'!G941,'Queries'!G958,'Queries'!G1005)</x:f>
        <x:v>70.7</x:v>
      </x:c>
      <x:c r="J116" s="6" t="str">
        <x:v>HIGH</x:v>
      </x:c>
      <x:c r="K116" s="6" t="str">
        <x:v>chevrolet workshop</x:v>
      </x:c>
      <x:c r="L116" s="6" t="str">
        <x:v>Strengthen this primary intent owner</x:v>
      </x:c>
      <x:c r="M116" s="6" t="str">
        <x:v>best chevrolet workshop; chevrolet car service in dubai; chevrolet repair specialist; chevrolet service center dubai; chevrolet workshop; chevrolet repair dubai; chevrolet service dubai</x:v>
      </x:c>
    </x:row>
    <x:row r="117" ht="57" customHeight="1">
      <x:c r="A117" s="6" t="str">
        <x:v>ford: Service and repair (English)</x:v>
      </x:c>
      <x:c r="B117" s="6" t="str">
        <x:v>ford service dubai</x:v>
      </x:c>
      <x:c r="C117" s="6" t="str">
        <x:v>https://digitecme.com/brands/ford-service-dubai</x:v>
      </x:c>
      <x:c r="D117" s="14" t="n">
        <x:f>COUNTIF('Queries'!$I$6:$I$1005,A117)</x:f>
        <x:v>9</x:v>
      </x:c>
      <x:c r="E117" s="14" t="n">
        <x:f>SUMIF('Queries'!$I$6:$I$1005,A117,'Queries'!$B$6:$B$1005)</x:f>
        <x:v>0</x:v>
      </x:c>
      <x:c r="F117" s="14" t="n">
        <x:f>SUMIF('Queries'!$I$6:$I$1005,A117,'Queries'!$C$6:$C$1005)</x:f>
        <x:v>167</x:v>
      </x:c>
      <x:c r="G117" s="15" t="n">
        <x:f>E117/F117</x:f>
        <x:v>0</x:v>
      </x:c>
      <x:c r="H117" s="16" t="n">
        <x:f>SUMIF('Queries'!$I$6:$I$1005,A117,'Scoring'!$J$6:$J$1005)/F117</x:f>
        <x:v>42.18610778443114</x:v>
      </x:c>
      <x:c r="I117" s="16" t="n">
        <x:f>MAX('Queries'!G512,'Queries'!G528,'Queries'!G581,'Queries'!G673,'Queries'!G707,'Queries'!G822,'Queries'!G827,'Queries'!G945,'Queries'!G986)</x:f>
        <x:v>70.7</x:v>
      </x:c>
      <x:c r="J117" s="6" t="str">
        <x:v>HIGH</x:v>
      </x:c>
      <x:c r="K117" s="6" t="str">
        <x:v>ford workshop</x:v>
      </x:c>
      <x:c r="L117" s="6" t="str">
        <x:v>Strengthen this primary intent owner</x:v>
      </x:c>
      <x:c r="M117" s="6" t="str">
        <x:v>ford repair specialist; ford repair dubai; ford repair in dubai; ford car service specialist dubai; ford car service in dubai; ford car service dubai; ford workshop; ford repair shop near me</x:v>
      </x:c>
    </x:row>
    <x:row r="118" ht="42" customHeight="1">
      <x:c r="A118" s="6" t="str">
        <x:v>lamborghini: Engine and mechanical repair</x:v>
      </x:c>
      <x:c r="B118" s="6" t="str">
        <x:v>lamborghini engine repair dubai</x:v>
      </x:c>
      <x:c r="C118" s="6" t="str">
        <x:v>https://digitecme.com/brands/lamborghini-service-dubai/mechanical-repair</x:v>
      </x:c>
      <x:c r="D118" s="14" t="n">
        <x:f>COUNTIF('Queries'!$I$6:$I$1005,A118)</x:f>
        <x:v>1</x:v>
      </x:c>
      <x:c r="E118" s="14" t="n">
        <x:f>SUMIF('Queries'!$I$6:$I$1005,A118,'Queries'!$B$6:$B$1005)</x:f>
        <x:v>0</x:v>
      </x:c>
      <x:c r="F118" s="14" t="n">
        <x:f>SUMIF('Queries'!$I$6:$I$1005,A118,'Queries'!$C$6:$C$1005)</x:f>
        <x:v>43</x:v>
      </x:c>
      <x:c r="G118" s="15" t="n">
        <x:f>E118/F118</x:f>
        <x:v>0</x:v>
      </x:c>
      <x:c r="H118" s="16" t="n">
        <x:f>SUMIF('Queries'!$I$6:$I$1005,A118,'Scoring'!$J$6:$J$1005)/F118</x:f>
        <x:v>31.579999999999995</x:v>
      </x:c>
      <x:c r="I118" s="16" t="n">
        <x:f>MAX('Queries'!G346)</x:f>
        <x:v>70.5</x:v>
      </x:c>
      <x:c r="J118" s="6" t="str">
        <x:v>GROWTH</x:v>
      </x:c>
      <x:c r="K118" s="6" t="str">
        <x:v>lamborghini engine repair dubai</x:v>
      </x:c>
      <x:c r="L118" s="6" t="str">
        <x:v>Use dedicated service owner</x:v>
      </x:c>
      <x:c r="M118" s="6" t="str"/>
    </x:row>
    <x:row r="119" ht="32" customHeight="1">
      <x:c r="A119" s="6" t="str">
        <x:v>ford: Oil change</x:v>
      </x:c>
      <x:c r="B119" s="6" t="str">
        <x:v>ford oil change service in dubai</x:v>
      </x:c>
      <x:c r="C119" s="6" t="str">
        <x:v>https://digitecme.com/brands/ford-service-dubai/oil-change</x:v>
      </x:c>
      <x:c r="D119" s="14" t="n">
        <x:f>COUNTIF('Queries'!$I$6:$I$1005,A119)</x:f>
        <x:v>1</x:v>
      </x:c>
      <x:c r="E119" s="14" t="n">
        <x:f>SUMIF('Queries'!$I$6:$I$1005,A119,'Queries'!$B$6:$B$1005)</x:f>
        <x:v>0</x:v>
      </x:c>
      <x:c r="F119" s="14" t="n">
        <x:f>SUMIF('Queries'!$I$6:$I$1005,A119,'Queries'!$C$6:$C$1005)</x:f>
        <x:v>58</x:v>
      </x:c>
      <x:c r="G119" s="15" t="n">
        <x:f>E119/F119</x:f>
        <x:v>0</x:v>
      </x:c>
      <x:c r="H119" s="16" t="n">
        <x:f>SUMIF('Queries'!$I$6:$I$1005,A119,'Scoring'!$J$6:$J$1005)/F119</x:f>
        <x:v>29.29</x:v>
      </x:c>
      <x:c r="I119" s="16" t="n">
        <x:f>MAX('Queries'!G257)</x:f>
        <x:v>70.4</x:v>
      </x:c>
      <x:c r="J119" s="6" t="str">
        <x:v>HIGH</x:v>
      </x:c>
      <x:c r="K119" s="6" t="str">
        <x:v>ford oil change service in dubai</x:v>
      </x:c>
      <x:c r="L119" s="6" t="str">
        <x:v>Use dedicated service owner</x:v>
      </x:c>
      <x:c r="M119" s="6" t="str"/>
    </x:row>
    <x:row r="120" ht="32" customHeight="1">
      <x:c r="A120" s="6" t="str">
        <x:v>audi: Suspension repair</x:v>
      </x:c>
      <x:c r="B120" s="6" t="str">
        <x:v>audi suspension repair dubai</x:v>
      </x:c>
      <x:c r="C120" s="6" t="str">
        <x:v>https://digitecme.com/brands/audi-service-dubai/suspension-repair</x:v>
      </x:c>
      <x:c r="D120" s="14" t="n">
        <x:f>COUNTIF('Queries'!$I$6:$I$1005,A120)</x:f>
        <x:v>2</x:v>
      </x:c>
      <x:c r="E120" s="14" t="n">
        <x:f>SUMIF('Queries'!$I$6:$I$1005,A120,'Queries'!$B$6:$B$1005)</x:f>
        <x:v>0</x:v>
      </x:c>
      <x:c r="F120" s="14" t="n">
        <x:f>SUMIF('Queries'!$I$6:$I$1005,A120,'Queries'!$C$6:$C$1005)</x:f>
        <x:v>60</x:v>
      </x:c>
      <x:c r="G120" s="15" t="n">
        <x:f>E120/F120</x:f>
        <x:v>0</x:v>
      </x:c>
      <x:c r="H120" s="16" t="n">
        <x:f>SUMIF('Queries'!$I$6:$I$1005,A120,'Scoring'!$J$6:$J$1005)/F120</x:f>
        <x:v>39.8</x:v>
      </x:c>
      <x:c r="I120" s="16" t="n">
        <x:f>MAX('Queries'!G364,'Queries'!G655)</x:f>
        <x:v>70.4</x:v>
      </x:c>
      <x:c r="J120" s="6" t="str">
        <x:v>GROWTH</x:v>
      </x:c>
      <x:c r="K120" s="6" t="str">
        <x:v>audi suspension repair dubai</x:v>
      </x:c>
      <x:c r="L120" s="6" t="str">
        <x:v>Use dedicated service owner</x:v>
      </x:c>
      <x:c r="M120" s="6" t="str">
        <x:v>audi suspension repair</x:v>
      </x:c>
    </x:row>
    <x:row r="121" ht="32" customHeight="1">
      <x:c r="A121" s="6" t="str">
        <x:v>cadillac: Oil change</x:v>
      </x:c>
      <x:c r="B121" s="6" t="str">
        <x:v>cadillac oil change dubai</x:v>
      </x:c>
      <x:c r="C121" s="6" t="str">
        <x:v>https://digitecme.com/brands/cadillac-service-dubai/oil-change</x:v>
      </x:c>
      <x:c r="D121" s="14" t="n">
        <x:f>COUNTIF('Queries'!$I$6:$I$1005,A121)</x:f>
        <x:v>1</x:v>
      </x:c>
      <x:c r="E121" s="14" t="n">
        <x:f>SUMIF('Queries'!$I$6:$I$1005,A121,'Queries'!$B$6:$B$1005)</x:f>
        <x:v>0</x:v>
      </x:c>
      <x:c r="F121" s="14" t="n">
        <x:f>SUMIF('Queries'!$I$6:$I$1005,A121,'Queries'!$C$6:$C$1005)</x:f>
        <x:v>55</x:v>
      </x:c>
      <x:c r="G121" s="15" t="n">
        <x:f>E121/F121</x:f>
        <x:v>0</x:v>
      </x:c>
      <x:c r="H121" s="16" t="n">
        <x:f>SUMIF('Queries'!$I$6:$I$1005,A121,'Scoring'!$J$6:$J$1005)/F121</x:f>
        <x:v>21.36</x:v>
      </x:c>
      <x:c r="I121" s="16" t="n">
        <x:f>MAX('Queries'!G270)</x:f>
        <x:v>70.3</x:v>
      </x:c>
      <x:c r="J121" s="6" t="str">
        <x:v>HIGH</x:v>
      </x:c>
      <x:c r="K121" s="6" t="str">
        <x:v>cadillac oil change dubai</x:v>
      </x:c>
      <x:c r="L121" s="6" t="str">
        <x:v>Use dedicated service owner</x:v>
      </x:c>
      <x:c r="M121" s="6" t="str"/>
    </x:row>
    <x:row r="122" ht="57" customHeight="1">
      <x:c r="A122" s="6" t="str">
        <x:v>All vehicles: General garage and repair (English)</x:v>
      </x:c>
      <x:c r="B122" s="6" t="str">
        <x:v>luxury car repair dubai</x:v>
      </x:c>
      <x:c r="C122" s="6" t="str">
        <x:v>https://digitecme.com/services/car-garage-dubai</x:v>
      </x:c>
      <x:c r="D122" s="14" t="n">
        <x:f>COUNTIF('Queries'!$I$6:$I$1005,A122)</x:f>
        <x:v>25</x:v>
      </x:c>
      <x:c r="E122" s="14" t="n">
        <x:f>SUMIF('Queries'!$I$6:$I$1005,A122,'Queries'!$B$6:$B$1005)</x:f>
        <x:v>0</x:v>
      </x:c>
      <x:c r="F122" s="14" t="n">
        <x:f>SUMIF('Queries'!$I$6:$I$1005,A122,'Queries'!$C$6:$C$1005)</x:f>
        <x:v>1000</x:v>
      </x:c>
      <x:c r="G122" s="15" t="n">
        <x:f>E122/F122</x:f>
        <x:v>0</x:v>
      </x:c>
      <x:c r="H122" s="16" t="n">
        <x:f>SUMIF('Queries'!$I$6:$I$1005,A122,'Scoring'!$J$6:$J$1005)/F122</x:f>
        <x:v>42.319089999999996</x:v>
      </x:c>
      <x:c r="I122" s="16" t="n">
        <x:f>MAX('Queries'!G98,'Queries'!G152,'Queries'!G162,'Queries'!G250,'Queries'!G291,'Queries'!G293,'Queries'!G299,'Queries'!G377,'Queries'!G394,'Queries'!G429,'Queries'!G537,'Queries'!G550,'Queries'!G563,'Queries'!G623,'Queries'!G630,'Queries'!G653,'Queries'!G665,'Queries'!G671,'Queries'!G679,'Queries'!G786,'Queries'!G810,'Queries'!G826,'Queries'!G852,'Queries'!G879,'Queries'!G935)</x:f>
        <x:v>70.2</x:v>
      </x:c>
      <x:c r="J122" s="6" t="str">
        <x:v>HIGH</x:v>
      </x:c>
      <x:c r="K122" s="6" t="str">
        <x:v>car workshop dubai</x:v>
      </x:c>
      <x:c r="L122" s="6" t="str">
        <x:v>Strengthen this primary intent owner</x:v>
      </x:c>
      <x:c r="M122" s="6" t="str">
        <x:v>luxury car workshop; cars workshop dubai; best luxury car garages in dubai; car workshop dubai; luxury car repair; best car workshop in dubai; luxury car garage dubai; auto garage in dubai</x:v>
      </x:c>
    </x:row>
    <x:row r="123" ht="32" customHeight="1">
      <x:c r="A123" s="6" t="str">
        <x:v>hummer: Service and repair</x:v>
      </x:c>
      <x:c r="B123" s="6" t="str">
        <x:v>hummer repair dubai</x:v>
      </x:c>
      <x:c r="C123" s="6" t="str">
        <x:v>https://digitecme.com/brands/hummer-service-dubai</x:v>
      </x:c>
      <x:c r="D123" s="14" t="n">
        <x:f>COUNTIF('Queries'!$I$6:$I$1005,A123)</x:f>
        <x:v>3</x:v>
      </x:c>
      <x:c r="E123" s="14" t="n">
        <x:f>SUMIF('Queries'!$I$6:$I$1005,A123,'Queries'!$B$6:$B$1005)</x:f>
        <x:v>0</x:v>
      </x:c>
      <x:c r="F123" s="14" t="n">
        <x:f>SUMIF('Queries'!$I$6:$I$1005,A123,'Queries'!$C$6:$C$1005)</x:f>
        <x:v>96</x:v>
      </x:c>
      <x:c r="G123" s="15" t="n">
        <x:f>E123/F123</x:f>
        <x:v>0</x:v>
      </x:c>
      <x:c r="H123" s="16" t="n">
        <x:f>SUMIF('Queries'!$I$6:$I$1005,A123,'Scoring'!$J$6:$J$1005)/F123</x:f>
        <x:v>27.146874999999998</x:v>
      </x:c>
      <x:c r="I123" s="16" t="n">
        <x:f>MAX('Queries'!G372,'Queries'!G399,'Queries'!G626)</x:f>
        <x:v>69.8</x:v>
      </x:c>
      <x:c r="J123" s="6" t="str">
        <x:v>HIGH</x:v>
      </x:c>
      <x:c r="K123" s="6" t="str">
        <x:v>hummer repair dubai</x:v>
      </x:c>
      <x:c r="L123" s="6" t="str">
        <x:v>Strengthen this primary intent owner</x:v>
      </x:c>
      <x:c r="M123" s="6" t="str">
        <x:v>hummer service dubai; hummer garage dubai</x:v>
      </x:c>
    </x:row>
    <x:row r="124" ht="57" customHeight="1">
      <x:c r="A124" s="6" t="str">
        <x:v>volkswagen: Service and repair (English)</x:v>
      </x:c>
      <x:c r="B124" s="6" t="str">
        <x:v>volkswagen service dubai</x:v>
      </x:c>
      <x:c r="C124" s="6" t="str">
        <x:v>https://digitecme.com/brands/volkswagen-service-dubai</x:v>
      </x:c>
      <x:c r="D124" s="14" t="n">
        <x:f>COUNTIF('Queries'!$I$6:$I$1005,A124)</x:f>
        <x:v>12</x:v>
      </x:c>
      <x:c r="E124" s="14" t="n">
        <x:f>SUMIF('Queries'!$I$6:$I$1005,A124,'Queries'!$B$6:$B$1005)</x:f>
        <x:v>0</x:v>
      </x:c>
      <x:c r="F124" s="14" t="n">
        <x:f>SUMIF('Queries'!$I$6:$I$1005,A124,'Queries'!$C$6:$C$1005)</x:f>
        <x:v>306</x:v>
      </x:c>
      <x:c r="G124" s="15" t="n">
        <x:f>E124/F124</x:f>
        <x:v>0</x:v>
      </x:c>
      <x:c r="H124" s="16" t="n">
        <x:f>SUMIF('Queries'!$I$6:$I$1005,A124,'Scoring'!$J$6:$J$1005)/F124</x:f>
        <x:v>39.549313725490194</x:v>
      </x:c>
      <x:c r="I124" s="16" t="n">
        <x:f>MAX('Queries'!G318,'Queries'!G381,'Queries'!G423,'Queries'!G465,'Queries'!G466,'Queries'!G580,'Queries'!G582,'Queries'!G610,'Queries'!G674,'Queries'!G828,'Queries'!G860,'Queries'!G953)</x:f>
        <x:v>69.6</x:v>
      </x:c>
      <x:c r="J124" s="6" t="str">
        <x:v>HIGH</x:v>
      </x:c>
      <x:c r="K124" s="6" t="str">
        <x:v>volkswagen workshop dubai</x:v>
      </x:c>
      <x:c r="L124" s="6" t="str">
        <x:v>Strengthen this primary intent owner</x:v>
      </x:c>
      <x:c r="M124" s="6" t="str">
        <x:v>volkswagen repair dubai; volkswagen workshop dubai; vw repair specialist; vw repair; volkswagen repair in dubai; volkswagen service center dubai; vw service center dubai; volkswagen repair</x:v>
      </x:c>
    </x:row>
    <x:row r="125" ht="42" customHeight="1">
      <x:c r="A125" s="6" t="str">
        <x:v>chrysler: Service and repair</x:v>
      </x:c>
      <x:c r="B125" s="6" t="str">
        <x:v>chrysler repair dubai</x:v>
      </x:c>
      <x:c r="C125" s="6" t="str">
        <x:v>https://digitecme.com/brands/chrysler-service-dubai</x:v>
      </x:c>
      <x:c r="D125" s="14" t="n">
        <x:f>COUNTIF('Queries'!$I$6:$I$1005,A125)</x:f>
        <x:v>5</x:v>
      </x:c>
      <x:c r="E125" s="14" t="n">
        <x:f>SUMIF('Queries'!$I$6:$I$1005,A125,'Queries'!$B$6:$B$1005)</x:f>
        <x:v>0</x:v>
      </x:c>
      <x:c r="F125" s="14" t="n">
        <x:f>SUMIF('Queries'!$I$6:$I$1005,A125,'Queries'!$C$6:$C$1005)</x:f>
        <x:v>113</x:v>
      </x:c>
      <x:c r="G125" s="15" t="n">
        <x:f>E125/F125</x:f>
        <x:v>0</x:v>
      </x:c>
      <x:c r="H125" s="16" t="n">
        <x:f>SUMIF('Queries'!$I$6:$I$1005,A125,'Scoring'!$J$6:$J$1005)/F125</x:f>
        <x:v>37.6016814159292</x:v>
      </x:c>
      <x:c r="I125" s="16" t="n">
        <x:f>MAX('Queries'!G413,'Queries'!G479,'Queries'!G739,'Queries'!G743,'Queries'!G778)</x:f>
        <x:v>69.6</x:v>
      </x:c>
      <x:c r="J125" s="6" t="str">
        <x:v>HIGH</x:v>
      </x:c>
      <x:c r="K125" s="6" t="str">
        <x:v>chrysler repair dubai</x:v>
      </x:c>
      <x:c r="L125" s="6" t="str">
        <x:v>Strengthen this primary intent owner</x:v>
      </x:c>
      <x:c r="M125" s="6" t="str">
        <x:v>chrysler repair shop near me; chrysler car repair dubai; chrysler garage in dubai; chrysler garage near me</x:v>
      </x:c>
    </x:row>
    <x:row r="126" ht="32" customHeight="1">
      <x:c r="A126" s="6" t="str">
        <x:v>All vehicles: Nearby workshop access</x:v>
      </x:c>
      <x:c r="B126" s="6" t="str">
        <x:v>garage near me</x:v>
      </x:c>
      <x:c r="C126" s="6" t="str">
        <x:v>https://digitecme.com/services/garage-near-me-dubai</x:v>
      </x:c>
      <x:c r="D126" s="14" t="n">
        <x:f>COUNTIF('Queries'!$I$6:$I$1005,A126)</x:f>
        <x:v>1</x:v>
      </x:c>
      <x:c r="E126" s="14" t="n">
        <x:f>SUMIF('Queries'!$I$6:$I$1005,A126,'Queries'!$B$6:$B$1005)</x:f>
        <x:v>1</x:v>
      </x:c>
      <x:c r="F126" s="14" t="n">
        <x:f>SUMIF('Queries'!$I$6:$I$1005,A126,'Queries'!$C$6:$C$1005)</x:f>
        <x:v>31</x:v>
      </x:c>
      <x:c r="G126" s="15" t="n">
        <x:f>E126/F126</x:f>
        <x:v>0.03225806451612903</x:v>
      </x:c>
      <x:c r="H126" s="16" t="n">
        <x:f>SUMIF('Queries'!$I$6:$I$1005,A126,'Scoring'!$J$6:$J$1005)/F126</x:f>
        <x:v>16.61</x:v>
      </x:c>
      <x:c r="I126" s="16" t="n">
        <x:f>MAX('Queries'!G38)</x:f>
        <x:v>69.5</x:v>
      </x:c>
      <x:c r="J126" s="6" t="str">
        <x:v>HIGH</x:v>
      </x:c>
      <x:c r="K126" s="6" t="str">
        <x:v>garage near me</x:v>
      </x:c>
      <x:c r="L126" s="6" t="str">
        <x:v>Strengthen this primary intent owner</x:v>
      </x:c>
      <x:c r="M126" s="6" t="str"/>
    </x:row>
    <x:row r="127" ht="57" customHeight="1">
      <x:c r="A127" s="6" t="str">
        <x:v>cadillac: Service and repair</x:v>
      </x:c>
      <x:c r="B127" s="6" t="str">
        <x:v>cadillac repair dubai</x:v>
      </x:c>
      <x:c r="C127" s="6" t="str">
        <x:v>https://digitecme.com/brands/cadillac-service-dubai</x:v>
      </x:c>
      <x:c r="D127" s="14" t="n">
        <x:f>COUNTIF('Queries'!$I$6:$I$1005,A127)</x:f>
        <x:v>14</x:v>
      </x:c>
      <x:c r="E127" s="14" t="n">
        <x:f>SUMIF('Queries'!$I$6:$I$1005,A127,'Queries'!$B$6:$B$1005)</x:f>
        <x:v>1</x:v>
      </x:c>
      <x:c r="F127" s="14" t="n">
        <x:f>SUMIF('Queries'!$I$6:$I$1005,A127,'Queries'!$C$6:$C$1005)</x:f>
        <x:v>339</x:v>
      </x:c>
      <x:c r="G127" s="15" t="n">
        <x:f>E127/F127</x:f>
        <x:v>0.0029498525073746312</x:v>
      </x:c>
      <x:c r="H127" s="16" t="n">
        <x:f>SUMIF('Queries'!$I$6:$I$1005,A127,'Scoring'!$J$6:$J$1005)/F127</x:f>
        <x:v>41.516371681415926</x:v>
      </x:c>
      <x:c r="I127" s="16" t="n">
        <x:f>MAX('Queries'!G43,'Queries'!G330,'Queries'!G418,'Queries'!G448,'Queries'!G449,'Queries'!G482,'Queries'!G495,'Queries'!G545,'Queries'!G646,'Queries'!G649,'Queries'!G731,'Queries'!G737,'Queries'!G781,'Queries'!G856)</x:f>
        <x:v>69.5</x:v>
      </x:c>
      <x:c r="J127" s="6" t="str">
        <x:v>HIGH</x:v>
      </x:c>
      <x:c r="K127" s="6" t="str">
        <x:v>cadillac service dubai</x:v>
      </x:c>
      <x:c r="L127" s="6" t="str">
        <x:v>Strengthen this primary intent owner</x:v>
      </x:c>
      <x:c r="M127" s="6" t="str">
        <x:v>cadillac repair near me; cadillac repair; cadillac service dubai; cadillac repair specialist; best cadillac repair garage dubai; cadillac specialist garage; cadillac service in dubai; cadillac maintenance dubai</x:v>
      </x:c>
    </x:row>
    <x:row r="128" ht="57" customHeight="1">
      <x:c r="A128" s="6" t="str">
        <x:v>All vehicles: Scheduled car service</x:v>
      </x:c>
      <x:c r="B128" s="6" t="str">
        <x:v>car service package dubai</x:v>
      </x:c>
      <x:c r="C128" s="6" t="str">
        <x:v>https://digitecme.com/services/car-service-dubai</x:v>
      </x:c>
      <x:c r="D128" s="14" t="n">
        <x:f>COUNTIF('Queries'!$I$6:$I$1005,A128)</x:f>
        <x:v>13</x:v>
      </x:c>
      <x:c r="E128" s="14" t="n">
        <x:f>SUMIF('Queries'!$I$6:$I$1005,A128,'Queries'!$B$6:$B$1005)</x:f>
        <x:v>0</x:v>
      </x:c>
      <x:c r="F128" s="14" t="n">
        <x:f>SUMIF('Queries'!$I$6:$I$1005,A128,'Queries'!$C$6:$C$1005)</x:f>
        <x:v>526</x:v>
      </x:c>
      <x:c r="G128" s="15" t="n">
        <x:f>E128/F128</x:f>
        <x:v>0</x:v>
      </x:c>
      <x:c r="H128" s="16" t="n">
        <x:f>SUMIF('Queries'!$I$6:$I$1005,A128,'Scoring'!$J$6:$J$1005)/F128</x:f>
        <x:v>54.487433460076055</x:v>
      </x:c>
      <x:c r="I128" s="16" t="n">
        <x:f>MAX('Queries'!G109,'Queries'!G289,'Queries'!G295,'Queries'!G329,'Queries'!G333,'Queries'!G428,'Queries'!G447,'Queries'!G498,'Queries'!G566,'Queries'!G576,'Queries'!G862,'Queries'!G901,'Queries'!G936)</x:f>
        <x:v>69.5</x:v>
      </x:c>
      <x:c r="J128" s="6" t="str">
        <x:v>HIGH</x:v>
      </x:c>
      <x:c r="K128" s="6" t="str">
        <x:v>best car service center in dubai</x:v>
      </x:c>
      <x:c r="L128" s="6" t="str">
        <x:v>Strengthen this primary intent owner</x:v>
      </x:c>
      <x:c r="M128" s="6" t="str">
        <x:v>car servicing package; supercar service dubai; luxury car maintenance dubai; car servicing dubai; car maintenance dubai; best car service center in dubai; car service center in dubai; car service center dubai</x:v>
      </x:c>
    </x:row>
    <x:row r="129" ht="32" customHeight="1">
      <x:c r="A129" s="6" t="str">
        <x:v>infiniti: Oil change</x:v>
      </x:c>
      <x:c r="B129" s="6" t="str">
        <x:v>infiniti car oil change in dubai</x:v>
      </x:c>
      <x:c r="C129" s="6" t="str">
        <x:v>https://digitecme.com/brands/infiniti-service-dubai/oil-change</x:v>
      </x:c>
      <x:c r="D129" s="14" t="n">
        <x:f>COUNTIF('Queries'!$I$6:$I$1005,A129)</x:f>
        <x:v>1</x:v>
      </x:c>
      <x:c r="E129" s="14" t="n">
        <x:f>SUMIF('Queries'!$I$6:$I$1005,A129,'Queries'!$B$6:$B$1005)</x:f>
        <x:v>0</x:v>
      </x:c>
      <x:c r="F129" s="14" t="n">
        <x:f>SUMIF('Queries'!$I$6:$I$1005,A129,'Queries'!$C$6:$C$1005)</x:f>
        <x:v>28</x:v>
      </x:c>
      <x:c r="G129" s="15" t="n">
        <x:f>E129/F129</x:f>
        <x:v>0</x:v>
      </x:c>
      <x:c r="H129" s="16" t="n">
        <x:f>SUMIF('Queries'!$I$6:$I$1005,A129,'Scoring'!$J$6:$J$1005)/F129</x:f>
        <x:v>20.96</x:v>
      </x:c>
      <x:c r="I129" s="16" t="n">
        <x:f>MAX('Queries'!G485)</x:f>
        <x:v>69.4</x:v>
      </x:c>
      <x:c r="J129" s="6" t="str">
        <x:v>HIGH</x:v>
      </x:c>
      <x:c r="K129" s="6" t="str">
        <x:v>infiniti car oil change in dubai</x:v>
      </x:c>
      <x:c r="L129" s="6" t="str">
        <x:v>Use dedicated service owner</x:v>
      </x:c>
      <x:c r="M129" s="6" t="str"/>
    </x:row>
    <x:row r="130" ht="42" customHeight="1">
      <x:c r="A130" s="6" t="str">
        <x:v>jeep: Service and repair (English)</x:v>
      </x:c>
      <x:c r="B130" s="6" t="str">
        <x:v>jeep repair dubai</x:v>
      </x:c>
      <x:c r="C130" s="6" t="str">
        <x:v>https://digitecme.com/brands/jeep-service-dubai</x:v>
      </x:c>
      <x:c r="D130" s="14" t="n">
        <x:f>COUNTIF('Queries'!$I$6:$I$1005,A130)</x:f>
        <x:v>9</x:v>
      </x:c>
      <x:c r="E130" s="14" t="n">
        <x:f>SUMIF('Queries'!$I$6:$I$1005,A130,'Queries'!$B$6:$B$1005)</x:f>
        <x:v>0</x:v>
      </x:c>
      <x:c r="F130" s="14" t="n">
        <x:f>SUMIF('Queries'!$I$6:$I$1005,A130,'Queries'!$C$6:$C$1005)</x:f>
        <x:v>297</x:v>
      </x:c>
      <x:c r="G130" s="15" t="n">
        <x:f>E130/F130</x:f>
        <x:v>0</x:v>
      </x:c>
      <x:c r="H130" s="16" t="n">
        <x:f>SUMIF('Queries'!$I$6:$I$1005,A130,'Scoring'!$J$6:$J$1005)/F130</x:f>
        <x:v>44.386767676767676</x:v>
      </x:c>
      <x:c r="I130" s="16" t="n">
        <x:f>MAX('Queries'!G223,'Queries'!G242,'Queries'!G464,'Queries'!G494,'Queries'!G525,'Queries'!G531,'Queries'!G614,'Queries'!G651,'Queries'!G978)</x:f>
        <x:v>69.3</x:v>
      </x:c>
      <x:c r="J130" s="6" t="str">
        <x:v>HIGH</x:v>
      </x:c>
      <x:c r="K130" s="6" t="str">
        <x:v>jeep service dubai al quoz</x:v>
      </x:c>
      <x:c r="L130" s="6" t="str">
        <x:v>Strengthen this primary intent owner</x:v>
      </x:c>
      <x:c r="M130" s="6" t="str">
        <x:v>jeep service dubai; jeep repair specialist; jeep service center; jeep service dubai al quoz; jeep service; best jeep repair dubai; jeep repair in dubai; jeep repair</x:v>
      </x:c>
    </x:row>
    <x:row r="131" ht="32" customHeight="1">
      <x:c r="A131" s="6" t="str">
        <x:v>volvo: Oil change</x:v>
      </x:c>
      <x:c r="B131" s="6" t="str">
        <x:v>volvo oil change in dubai</x:v>
      </x:c>
      <x:c r="C131" s="6" t="str">
        <x:v>https://digitecme.com/brands/volvo-service-dubai/oil-change</x:v>
      </x:c>
      <x:c r="D131" s="14" t="n">
        <x:f>COUNTIF('Queries'!$I$6:$I$1005,A131)</x:f>
        <x:v>1</x:v>
      </x:c>
      <x:c r="E131" s="14" t="n">
        <x:f>SUMIF('Queries'!$I$6:$I$1005,A131,'Queries'!$B$6:$B$1005)</x:f>
        <x:v>0</x:v>
      </x:c>
      <x:c r="F131" s="14" t="n">
        <x:f>SUMIF('Queries'!$I$6:$I$1005,A131,'Queries'!$C$6:$C$1005)</x:f>
        <x:v>24</x:v>
      </x:c>
      <x:c r="G131" s="15" t="n">
        <x:f>E131/F131</x:f>
        <x:v>0</x:v>
      </x:c>
      <x:c r="H131" s="16" t="n">
        <x:f>SUMIF('Queries'!$I$6:$I$1005,A131,'Scoring'!$J$6:$J$1005)/F131</x:f>
        <x:v>16.88</x:v>
      </x:c>
      <x:c r="I131" s="16" t="n">
        <x:f>MAX('Queries'!G554)</x:f>
        <x:v>69.2</x:v>
      </x:c>
      <x:c r="J131" s="6" t="str">
        <x:v>HIGH</x:v>
      </x:c>
      <x:c r="K131" s="6" t="str">
        <x:v>volvo oil change in dubai</x:v>
      </x:c>
      <x:c r="L131" s="6" t="str">
        <x:v>Use dedicated service owner</x:v>
      </x:c>
      <x:c r="M131" s="6" t="str"/>
    </x:row>
    <x:row r="132" ht="32" customHeight="1">
      <x:c r="A132" s="6" t="str">
        <x:v>byd: Service and repair</x:v>
      </x:c>
      <x:c r="B132" s="6" t="str">
        <x:v>مركز صيانة بي واي دي</x:v>
      </x:c>
      <x:c r="C132" s="6" t="str">
        <x:v>https://digitecme.com/ar/brands/byd-service-dubai</x:v>
      </x:c>
      <x:c r="D132" s="14" t="n">
        <x:f>COUNTIF('Queries'!$I$6:$I$1005,A132)</x:f>
        <x:v>1</x:v>
      </x:c>
      <x:c r="E132" s="14" t="n">
        <x:f>SUMIF('Queries'!$I$6:$I$1005,A132,'Queries'!$B$6:$B$1005)</x:f>
        <x:v>1</x:v>
      </x:c>
      <x:c r="F132" s="14" t="n">
        <x:f>SUMIF('Queries'!$I$6:$I$1005,A132,'Queries'!$C$6:$C$1005)</x:f>
        <x:v>3</x:v>
      </x:c>
      <x:c r="G132" s="15" t="n">
        <x:f>E132/F132</x:f>
        <x:v>0.3333333333333333</x:v>
      </x:c>
      <x:c r="H132" s="16" t="n">
        <x:f>SUMIF('Queries'!$I$6:$I$1005,A132,'Scoring'!$J$6:$J$1005)/F132</x:f>
        <x:v>11</x:v>
      </x:c>
      <x:c r="I132" s="16" t="n">
        <x:f>MAX('Queries'!G48)</x:f>
        <x:v>69</x:v>
      </x:c>
      <x:c r="J132" s="6" t="str">
        <x:v>HIGH</x:v>
      </x:c>
      <x:c r="K132" s="6" t="str">
        <x:v>مركز صيانة بي واي دي</x:v>
      </x:c>
      <x:c r="L132" s="6" t="str">
        <x:v>Strengthen this primary intent owner</x:v>
      </x:c>
      <x:c r="M132" s="6" t="str"/>
    </x:row>
    <x:row r="133" ht="32" customHeight="1">
      <x:c r="A133" s="6" t="str">
        <x:v>All vehicles: Battery service (Arabic)</x:v>
      </x:c>
      <x:c r="B133" s="6" t="str">
        <x:v>خدمة تبديل بطارية السيارة دبي</x:v>
      </x:c>
      <x:c r="C133" s="6" t="str">
        <x:v>https://digitecme.com/ar/services/battery-replacement-dubai</x:v>
      </x:c>
      <x:c r="D133" s="14" t="n">
        <x:f>COUNTIF('Queries'!$I$6:$I$1005,A133)</x:f>
        <x:v>1</x:v>
      </x:c>
      <x:c r="E133" s="14" t="n">
        <x:f>SUMIF('Queries'!$I$6:$I$1005,A133,'Queries'!$B$6:$B$1005)</x:f>
        <x:v>0</x:v>
      </x:c>
      <x:c r="F133" s="14" t="n">
        <x:f>SUMIF('Queries'!$I$6:$I$1005,A133,'Queries'!$C$6:$C$1005)</x:f>
        <x:v>18</x:v>
      </x:c>
      <x:c r="G133" s="15" t="n">
        <x:f>E133/F133</x:f>
        <x:v>0</x:v>
      </x:c>
      <x:c r="H133" s="16" t="n">
        <x:f>SUMIF('Queries'!$I$6:$I$1005,A133,'Scoring'!$J$6:$J$1005)/F133</x:f>
        <x:v>15.220000000000002</x:v>
      </x:c>
      <x:c r="I133" s="16" t="n">
        <x:f>MAX('Queries'!G692)</x:f>
        <x:v>68.8</x:v>
      </x:c>
      <x:c r="J133" s="6" t="str">
        <x:v>HIGH</x:v>
      </x:c>
      <x:c r="K133" s="6" t="str">
        <x:v>خدمة تبديل بطارية السيارة دبي</x:v>
      </x:c>
      <x:c r="L133" s="6" t="str">
        <x:v>Strengthen this primary intent owner</x:v>
      </x:c>
      <x:c r="M133" s="6" t="str"/>
    </x:row>
    <x:row r="134" ht="32" customHeight="1">
      <x:c r="A134" s="6" t="str">
        <x:v>audi: Engine and mechanical repair</x:v>
      </x:c>
      <x:c r="B134" s="6" t="str">
        <x:v>audi engine repair dubai</x:v>
      </x:c>
      <x:c r="C134" s="6" t="str">
        <x:v>https://digitecme.com/brands/audi-service-dubai/mechanical-repair</x:v>
      </x:c>
      <x:c r="D134" s="14" t="n">
        <x:f>COUNTIF('Queries'!$I$6:$I$1005,A134)</x:f>
        <x:v>1</x:v>
      </x:c>
      <x:c r="E134" s="14" t="n">
        <x:f>SUMIF('Queries'!$I$6:$I$1005,A134,'Queries'!$B$6:$B$1005)</x:f>
        <x:v>0</x:v>
      </x:c>
      <x:c r="F134" s="14" t="n">
        <x:f>SUMIF('Queries'!$I$6:$I$1005,A134,'Queries'!$C$6:$C$1005)</x:f>
        <x:v>12</x:v>
      </x:c>
      <x:c r="G134" s="15" t="n">
        <x:f>E134/F134</x:f>
        <x:v>0</x:v>
      </x:c>
      <x:c r="H134" s="16" t="n">
        <x:f>SUMIF('Queries'!$I$6:$I$1005,A134,'Scoring'!$J$6:$J$1005)/F134</x:f>
        <x:v>33.5</x:v>
      </x:c>
      <x:c r="I134" s="16" t="n">
        <x:f>MAX('Queries'!G973)</x:f>
        <x:v>68.7</x:v>
      </x:c>
      <x:c r="J134" s="6" t="str">
        <x:v>GROWTH</x:v>
      </x:c>
      <x:c r="K134" s="6" t="str">
        <x:v>audi engine repair dubai</x:v>
      </x:c>
      <x:c r="L134" s="6" t="str">
        <x:v>Use dedicated service owner</x:v>
      </x:c>
      <x:c r="M134" s="6" t="str"/>
    </x:row>
    <x:row r="135" ht="32" customHeight="1">
      <x:c r="A135" s="6" t="str">
        <x:v>mazda: Service and repair (Arabic)</x:v>
      </x:c>
      <x:c r="B135" s="6" t="str">
        <x:v>صيانة مازدا دبي</x:v>
      </x:c>
      <x:c r="C135" s="6" t="str">
        <x:v>https://digitecme.com/ar/brands/mazda-service-dubai</x:v>
      </x:c>
      <x:c r="D135" s="14" t="n">
        <x:f>COUNTIF('Queries'!$I$6:$I$1005,A135)</x:f>
        <x:v>2</x:v>
      </x:c>
      <x:c r="E135" s="14" t="n">
        <x:f>SUMIF('Queries'!$I$6:$I$1005,A135,'Queries'!$B$6:$B$1005)</x:f>
        <x:v>0</x:v>
      </x:c>
      <x:c r="F135" s="14" t="n">
        <x:f>SUMIF('Queries'!$I$6:$I$1005,A135,'Queries'!$C$6:$C$1005)</x:f>
        <x:v>31</x:v>
      </x:c>
      <x:c r="G135" s="15" t="n">
        <x:f>E135/F135</x:f>
        <x:v>0</x:v>
      </x:c>
      <x:c r="H135" s="16" t="n">
        <x:f>SUMIF('Queries'!$I$6:$I$1005,A135,'Scoring'!$J$6:$J$1005)/F135</x:f>
        <x:v>16.966451612903228</x:v>
      </x:c>
      <x:c r="I135" s="16" t="n">
        <x:f>MAX('Queries'!G759,'Queries'!G796)</x:f>
        <x:v>68.6</x:v>
      </x:c>
      <x:c r="J135" s="6" t="str">
        <x:v>HIGH</x:v>
      </x:c>
      <x:c r="K135" s="6" t="str">
        <x:v>صيانة مازدا دبي</x:v>
      </x:c>
      <x:c r="L135" s="6" t="str">
        <x:v>Strengthen this primary intent owner</x:v>
      </x:c>
      <x:c r="M135" s="6" t="str">
        <x:v>مركز صيانة مازدا دبي</x:v>
      </x:c>
    </x:row>
    <x:row r="136" ht="42" customHeight="1">
      <x:c r="A136" s="6" t="str">
        <x:v>mazda: Service and repair (English)</x:v>
      </x:c>
      <x:c r="B136" s="6" t="str">
        <x:v>mazda service centers in dubai</x:v>
      </x:c>
      <x:c r="C136" s="6" t="str">
        <x:v>https://digitecme.com/brands/mazda-service-dubai</x:v>
      </x:c>
      <x:c r="D136" s="14" t="n">
        <x:f>COUNTIF('Queries'!$I$6:$I$1005,A136)</x:f>
        <x:v>6</x:v>
      </x:c>
      <x:c r="E136" s="14" t="n">
        <x:f>SUMIF('Queries'!$I$6:$I$1005,A136,'Queries'!$B$6:$B$1005)</x:f>
        <x:v>0</x:v>
      </x:c>
      <x:c r="F136" s="14" t="n">
        <x:f>SUMIF('Queries'!$I$6:$I$1005,A136,'Queries'!$C$6:$C$1005)</x:f>
        <x:v>111</x:v>
      </x:c>
      <x:c r="G136" s="15" t="n">
        <x:f>E136/F136</x:f>
        <x:v>0</x:v>
      </x:c>
      <x:c r="H136" s="16" t="n">
        <x:f>SUMIF('Queries'!$I$6:$I$1005,A136,'Scoring'!$J$6:$J$1005)/F136</x:f>
        <x:v>38.406216216216215</x:v>
      </x:c>
      <x:c r="I136" s="16" t="n">
        <x:f>MAX('Queries'!G392,'Queries'!G771,'Queries'!G780,'Queries'!G814,'Queries'!G853,'Queries'!G934)</x:f>
        <x:v>68.4</x:v>
      </x:c>
      <x:c r="J136" s="6" t="str">
        <x:v>HIGH</x:v>
      </x:c>
      <x:c r="K136" s="6" t="str">
        <x:v>mazda service center dubai</x:v>
      </x:c>
      <x:c r="L136" s="6" t="str">
        <x:v>Strengthen this primary intent owner</x:v>
      </x:c>
      <x:c r="M136" s="6" t="str">
        <x:v>mazda service dubai; mazda car service; mazda service centers; mazda service center dubai; mazda service locations</x:v>
      </x:c>
    </x:row>
    <x:row r="137" ht="42" customHeight="1">
      <x:c r="A137" s="6" t="str">
        <x:v>jaguar: Service and repair</x:v>
      </x:c>
      <x:c r="B137" s="6" t="str">
        <x:v>jaguar repair dubai</x:v>
      </x:c>
      <x:c r="C137" s="6" t="str">
        <x:v>https://digitecme.com/brands/jaguar-service-dubai</x:v>
      </x:c>
      <x:c r="D137" s="14" t="n">
        <x:f>COUNTIF('Queries'!$I$6:$I$1005,A137)</x:f>
        <x:v>6</x:v>
      </x:c>
      <x:c r="E137" s="14" t="n">
        <x:f>SUMIF('Queries'!$I$6:$I$1005,A137,'Queries'!$B$6:$B$1005)</x:f>
        <x:v>0</x:v>
      </x:c>
      <x:c r="F137" s="14" t="n">
        <x:f>SUMIF('Queries'!$I$6:$I$1005,A137,'Queries'!$C$6:$C$1005)</x:f>
        <x:v>114</x:v>
      </x:c>
      <x:c r="G137" s="15" t="n">
        <x:f>E137/F137</x:f>
        <x:v>0</x:v>
      </x:c>
      <x:c r="H137" s="16" t="n">
        <x:f>SUMIF('Queries'!$I$6:$I$1005,A137,'Scoring'!$J$6:$J$1005)/F137</x:f>
        <x:v>36.97289473684211</x:v>
      </x:c>
      <x:c r="I137" s="16" t="n">
        <x:f>MAX('Queries'!G408,'Queries'!G560,'Queries'!G772,'Queries'!G904,'Queries'!G910,'Queries'!G932)</x:f>
        <x:v>68.3</x:v>
      </x:c>
      <x:c r="J137" s="6" t="str">
        <x:v>HIGH</x:v>
      </x:c>
      <x:c r="K137" s="6" t="str">
        <x:v>jaguar specialist dubai</x:v>
      </x:c>
      <x:c r="L137" s="6" t="str">
        <x:v>Strengthen this primary intent owner</x:v>
      </x:c>
      <x:c r="M137" s="6" t="str">
        <x:v>jaguar repair specialist; jaguar repair in dubai; jaguar specialist dubai; jaguar service dubai; jaguar car service in dubai</x:v>
      </x:c>
    </x:row>
    <x:row r="138" ht="32" customHeight="1">
      <x:c r="A138" s="6" t="str">
        <x:v>volkswagen: AC repair</x:v>
      </x:c>
      <x:c r="B138" s="6" t="str">
        <x:v>volkswagen ac repair dubai</x:v>
      </x:c>
      <x:c r="C138" s="6" t="str">
        <x:v>https://digitecme.com/brands/volkswagen-service-dubai/ac-repair</x:v>
      </x:c>
      <x:c r="D138" s="14" t="n">
        <x:f>COUNTIF('Queries'!$I$6:$I$1005,A138)</x:f>
        <x:v>2</x:v>
      </x:c>
      <x:c r="E138" s="14" t="n">
        <x:f>SUMIF('Queries'!$I$6:$I$1005,A138,'Queries'!$B$6:$B$1005)</x:f>
        <x:v>0</x:v>
      </x:c>
      <x:c r="F138" s="14" t="n">
        <x:f>SUMIF('Queries'!$I$6:$I$1005,A138,'Queries'!$C$6:$C$1005)</x:f>
        <x:v>44</x:v>
      </x:c>
      <x:c r="G138" s="15" t="n">
        <x:f>E138/F138</x:f>
        <x:v>0</x:v>
      </x:c>
      <x:c r="H138" s="16" t="n">
        <x:f>SUMIF('Queries'!$I$6:$I$1005,A138,'Scoring'!$J$6:$J$1005)/F138</x:f>
        <x:v>16.070454545454545</x:v>
      </x:c>
      <x:c r="I138" s="16" t="n">
        <x:f>MAX('Queries'!G443,'Queries'!G893)</x:f>
        <x:v>68.3</x:v>
      </x:c>
      <x:c r="J138" s="6" t="str">
        <x:v>HIGH</x:v>
      </x:c>
      <x:c r="K138" s="6" t="str">
        <x:v>volkswagen ac repair dubai</x:v>
      </x:c>
      <x:c r="L138" s="6" t="str">
        <x:v>Use dedicated service owner</x:v>
      </x:c>
      <x:c r="M138" s="6" t="str">
        <x:v>volkswagen ac repair</x:v>
      </x:c>
    </x:row>
    <x:row r="139" ht="32" customHeight="1">
      <x:c r="A139" s="6" t="str">
        <x:v>mini: Service and repair (English)</x:v>
      </x:c>
      <x:c r="B139" s="6" t="str">
        <x:v>mini cooper service dubai</x:v>
      </x:c>
      <x:c r="C139" s="6" t="str">
        <x:v>https://digitecme.com/brands/mini-service-dubai</x:v>
      </x:c>
      <x:c r="D139" s="14" t="n">
        <x:f>COUNTIF('Queries'!$I$6:$I$1005,A139)</x:f>
        <x:v>3</x:v>
      </x:c>
      <x:c r="E139" s="14" t="n">
        <x:f>SUMIF('Queries'!$I$6:$I$1005,A139,'Queries'!$B$6:$B$1005)</x:f>
        <x:v>1</x:v>
      </x:c>
      <x:c r="F139" s="14" t="n">
        <x:f>SUMIF('Queries'!$I$6:$I$1005,A139,'Queries'!$C$6:$C$1005)</x:f>
        <x:v>31</x:v>
      </x:c>
      <x:c r="G139" s="15" t="n">
        <x:f>E139/F139</x:f>
        <x:v>0.03225806451612903</x:v>
      </x:c>
      <x:c r="H139" s="16" t="n">
        <x:f>SUMIF('Queries'!$I$6:$I$1005,A139,'Scoring'!$J$6:$J$1005)/F139</x:f>
        <x:v>34.516129032258064</x:v>
      </x:c>
      <x:c r="I139" s="16" t="n">
        <x:f>MAX('Queries'!G53,'Queries'!G706,'Queries'!G961)</x:f>
        <x:v>68.2</x:v>
      </x:c>
      <x:c r="J139" s="6" t="str">
        <x:v>HIGH</x:v>
      </x:c>
      <x:c r="K139" s="6" t="str">
        <x:v>mini repair dubai</x:v>
      </x:c>
      <x:c r="L139" s="6" t="str">
        <x:v>Strengthen this primary intent owner</x:v>
      </x:c>
      <x:c r="M139" s="6" t="str">
        <x:v>mini workshop; mini repair dubai</x:v>
      </x:c>
    </x:row>
    <x:row r="140" ht="32" customHeight="1">
      <x:c r="A140" s="6" t="str">
        <x:v>All vehicles: Engine and mechanical repair</x:v>
      </x:c>
      <x:c r="B140" s="6" t="str">
        <x:v>car engine service dubai</x:v>
      </x:c>
      <x:c r="C140" s="6" t="str">
        <x:v>https://digitecme.com/services/mechanical-repair-dubai</x:v>
      </x:c>
      <x:c r="D140" s="14" t="n">
        <x:f>COUNTIF('Queries'!$I$6:$I$1005,A140)</x:f>
        <x:v>4</x:v>
      </x:c>
      <x:c r="E140" s="14" t="n">
        <x:f>SUMIF('Queries'!$I$6:$I$1005,A140,'Queries'!$B$6:$B$1005)</x:f>
        <x:v>0</x:v>
      </x:c>
      <x:c r="F140" s="14" t="n">
        <x:f>SUMIF('Queries'!$I$6:$I$1005,A140,'Queries'!$C$6:$C$1005)</x:f>
        <x:v>67</x:v>
      </x:c>
      <x:c r="G140" s="15" t="n">
        <x:f>E140/F140</x:f>
        <x:v>0</x:v>
      </x:c>
      <x:c r="H140" s="16" t="n">
        <x:f>SUMIF('Queries'!$I$6:$I$1005,A140,'Scoring'!$J$6:$J$1005)/F140</x:f>
        <x:v>38.1023880597015</x:v>
      </x:c>
      <x:c r="I140" s="16" t="n">
        <x:f>MAX('Queries'!G450,'Queries'!G960,'Queries'!G964,'Queries'!G974)</x:f>
        <x:v>68.2</x:v>
      </x:c>
      <x:c r="J140" s="6" t="str">
        <x:v>HIGH</x:v>
      </x:c>
      <x:c r="K140" s="6" t="str">
        <x:v>mechanical repairs dubai</x:v>
      </x:c>
      <x:c r="L140" s="6" t="str">
        <x:v>Strengthen this primary intent owner</x:v>
      </x:c>
      <x:c r="M140" s="6" t="str">
        <x:v>mechanical repairs dubai; timing chain specialist; car mechanical repair dubai</x:v>
      </x:c>
    </x:row>
    <x:row r="141" ht="57" customHeight="1">
      <x:c r="A141" s="6" t="str">
        <x:v>All vehicles: Body repair</x:v>
      </x:c>
      <x:c r="B141" s="6" t="str">
        <x:v>car body repair dubai</x:v>
      </x:c>
      <x:c r="C141" s="6" t="str">
        <x:v>https://digitecme.com/services/car-body-repair-dubai</x:v>
      </x:c>
      <x:c r="D141" s="14" t="n">
        <x:f>COUNTIF('Queries'!$I$6:$I$1005,A141)</x:f>
        <x:v>11</x:v>
      </x:c>
      <x:c r="E141" s="14" t="n">
        <x:f>SUMIF('Queries'!$I$6:$I$1005,A141,'Queries'!$B$6:$B$1005)</x:f>
        <x:v>1</x:v>
      </x:c>
      <x:c r="F141" s="14" t="n">
        <x:f>SUMIF('Queries'!$I$6:$I$1005,A141,'Queries'!$C$6:$C$1005)</x:f>
        <x:v>370</x:v>
      </x:c>
      <x:c r="G141" s="15" t="n">
        <x:f>E141/F141</x:f>
        <x:v>0.002702702702702703</x:v>
      </x:c>
      <x:c r="H141" s="16" t="n">
        <x:f>SUMIF('Queries'!$I$6:$I$1005,A141,'Scoring'!$J$6:$J$1005)/F141</x:f>
        <x:v>42.062243243243245</x:v>
      </x:c>
      <x:c r="I141" s="16" t="n">
        <x:f>MAX('Queries'!G56,'Queries'!G172,'Queries'!G210,'Queries'!G314,'Queries'!G357,'Queries'!G425,'Queries'!G681,'Queries'!G825,'Queries'!G876,'Queries'!G909,'Queries'!G972)</x:f>
        <x:v>68</x:v>
      </x:c>
      <x:c r="J141" s="6" t="str">
        <x:v>HIGH</x:v>
      </x:c>
      <x:c r="K141" s="6" t="str">
        <x:v>car door repair</x:v>
      </x:c>
      <x:c r="L141" s="6" t="str">
        <x:v>Strengthen this primary intent owner</x:v>
      </x:c>
      <x:c r="M141" s="6" t="str">
        <x:v>car door repair; auto body repair dubai; car body repair; collision repair dubai; car accident repair dubai; car body fix; car body shop dubai; best car body repair service in dubai</x:v>
      </x:c>
    </x:row>
    <x:row r="142" ht="42" customHeight="1">
      <x:c r="A142" s="6" t="str">
        <x:v>DIGI-TEC: Business navigation</x:v>
      </x:c>
      <x:c r="B142" s="6" t="str">
        <x:v>digitec</x:v>
      </x:c>
      <x:c r="C142" s="6" t="str">
        <x:v>https://digitecme.com/</x:v>
      </x:c>
      <x:c r="D142" s="14" t="n">
        <x:f>COUNTIF('Queries'!$I$6:$I$1005,A142)</x:f>
        <x:v>9</x:v>
      </x:c>
      <x:c r="E142" s="14" t="n">
        <x:f>SUMIF('Queries'!$I$6:$I$1005,A142,'Queries'!$B$6:$B$1005)</x:f>
        <x:v>41</x:v>
      </x:c>
      <x:c r="F142" s="14" t="n">
        <x:f>SUMIF('Queries'!$I$6:$I$1005,A142,'Queries'!$C$6:$C$1005)</x:f>
        <x:v>842</x:v>
      </x:c>
      <x:c r="G142" s="15" t="n">
        <x:f>E142/F142</x:f>
        <x:v>0.048693586698337295</x:v>
      </x:c>
      <x:c r="H142" s="16" t="n">
        <x:f>SUMIF('Queries'!$I$6:$I$1005,A142,'Scoring'!$J$6:$J$1005)/F142</x:f>
        <x:v>3.8985866983372923</x:v>
      </x:c>
      <x:c r="I142" s="16" t="n">
        <x:f>MAX('Queries'!G6,'Queries'!G7,'Queries'!G10,'Queries'!G12,'Queries'!G15,'Queries'!G89,'Queries'!G118,'Queries'!G378,'Queries'!G715)</x:f>
        <x:v>66</x:v>
      </x:c>
      <x:c r="J142" s="6" t="str">
        <x:v>DEFEND</x:v>
      </x:c>
      <x:c r="K142" s="6" t="str">
        <x:v>digi-tec</x:v>
      </x:c>
      <x:c r="L142" s="6" t="str">
        <x:v>Strengthen this primary intent owner</x:v>
      </x:c>
      <x:c r="M142" s="6" t="str">
        <x:v>digitec performance center; digitec performance center l.l.c.; digi tec; digi-tec; digitech dubai; digitech; digi tech; tec performance</x:v>
      </x:c>
    </x:row>
    <x:row r="143" ht="32" customHeight="1">
      <x:c r="A143" s="6" t="str">
        <x:v>porsche: AC repair (Arabic)</x:v>
      </x:c>
      <x:c r="B143" s="6" t="str">
        <x:v>تصليح مكيف بورش</x:v>
      </x:c>
      <x:c r="C143" s="6" t="str">
        <x:v>https://digitecme.com/ar/brands/porsche-service-dubai/ac-repair</x:v>
      </x:c>
      <x:c r="D143" s="14" t="n">
        <x:f>COUNTIF('Queries'!$I$6:$I$1005,A143)</x:f>
        <x:v>1</x:v>
      </x:c>
      <x:c r="E143" s="14" t="n">
        <x:f>SUMIF('Queries'!$I$6:$I$1005,A143,'Queries'!$B$6:$B$1005)</x:f>
        <x:v>0</x:v>
      </x:c>
      <x:c r="F143" s="14" t="n">
        <x:f>SUMIF('Queries'!$I$6:$I$1005,A143,'Queries'!$C$6:$C$1005)</x:f>
        <x:v>27</x:v>
      </x:c>
      <x:c r="G143" s="15" t="n">
        <x:f>E143/F143</x:f>
        <x:v>0</x:v>
      </x:c>
      <x:c r="H143" s="16" t="n">
        <x:f>SUMIF('Queries'!$I$6:$I$1005,A143,'Scoring'!$J$6:$J$1005)/F143</x:f>
        <x:v>35.48</x:v>
      </x:c>
      <x:c r="I143" s="16" t="n">
        <x:f>MAX('Queries'!G510)</x:f>
        <x:v>64.8</x:v>
      </x:c>
      <x:c r="J143" s="6" t="str">
        <x:v>GROWTH</x:v>
      </x:c>
      <x:c r="K143" s="6" t="str">
        <x:v>تصليح مكيف بورش</x:v>
      </x:c>
      <x:c r="L143" s="6" t="str">
        <x:v>Use dedicated service owner</x:v>
      </x:c>
      <x:c r="M143" s="6" t="str"/>
    </x:row>
    <x:row r="144" ht="32" customHeight="1">
      <x:c r="A144" s="6" t="str">
        <x:v>audi: Brake repair</x:v>
      </x:c>
      <x:c r="B144" s="6" t="str">
        <x:v>audi brake repair dubai</x:v>
      </x:c>
      <x:c r="C144" s="6" t="str">
        <x:v>https://digitecme.com/brands/audi-service-dubai/brake-repair</x:v>
      </x:c>
      <x:c r="D144" s="14" t="n">
        <x:f>COUNTIF('Queries'!$I$6:$I$1005,A144)</x:f>
        <x:v>1</x:v>
      </x:c>
      <x:c r="E144" s="14" t="n">
        <x:f>SUMIF('Queries'!$I$6:$I$1005,A144,'Queries'!$B$6:$B$1005)</x:f>
        <x:v>0</x:v>
      </x:c>
      <x:c r="F144" s="14" t="n">
        <x:f>SUMIF('Queries'!$I$6:$I$1005,A144,'Queries'!$C$6:$C$1005)</x:f>
        <x:v>57</x:v>
      </x:c>
      <x:c r="G144" s="15" t="n">
        <x:f>E144/F144</x:f>
        <x:v>0</x:v>
      </x:c>
      <x:c r="H144" s="16" t="n">
        <x:f>SUMIF('Queries'!$I$6:$I$1005,A144,'Scoring'!$J$6:$J$1005)/F144</x:f>
        <x:v>42.53999999999999</x:v>
      </x:c>
      <x:c r="I144" s="16" t="n">
        <x:f>MAX('Queries'!G263)</x:f>
        <x:v>64.6</x:v>
      </x:c>
      <x:c r="J144" s="6" t="str">
        <x:v>GROWTH</x:v>
      </x:c>
      <x:c r="K144" s="6" t="str">
        <x:v>audi brake repair dubai</x:v>
      </x:c>
      <x:c r="L144" s="6" t="str">
        <x:v>Use dedicated service owner</x:v>
      </x:c>
      <x:c r="M144" s="6" t="str"/>
    </x:row>
    <x:row r="145" ht="32" customHeight="1">
      <x:c r="A145" s="6" t="str">
        <x:v>porsche: Tyre repair</x:v>
      </x:c>
      <x:c r="B145" s="6" t="str">
        <x:v>porsche tyre replacement dubai</x:v>
      </x:c>
      <x:c r="C145" s="6" t="str">
        <x:v>https://digitecme.com/brands/porsche-service-dubai/tire-repair</x:v>
      </x:c>
      <x:c r="D145" s="14" t="n">
        <x:f>COUNTIF('Queries'!$I$6:$I$1005,A145)</x:f>
        <x:v>1</x:v>
      </x:c>
      <x:c r="E145" s="14" t="n">
        <x:f>SUMIF('Queries'!$I$6:$I$1005,A145,'Queries'!$B$6:$B$1005)</x:f>
        <x:v>0</x:v>
      </x:c>
      <x:c r="F145" s="14" t="n">
        <x:f>SUMIF('Queries'!$I$6:$I$1005,A145,'Queries'!$C$6:$C$1005)</x:f>
        <x:v>13</x:v>
      </x:c>
      <x:c r="G145" s="15" t="n">
        <x:f>E145/F145</x:f>
        <x:v>0</x:v>
      </x:c>
      <x:c r="H145" s="16" t="n">
        <x:f>SUMIF('Queries'!$I$6:$I$1005,A145,'Scoring'!$J$6:$J$1005)/F145</x:f>
        <x:v>17.38</x:v>
      </x:c>
      <x:c r="I145" s="16" t="n">
        <x:f>MAX('Queries'!G894)</x:f>
        <x:v>64.3</x:v>
      </x:c>
      <x:c r="J145" s="6" t="str">
        <x:v>GROWTH</x:v>
      </x:c>
      <x:c r="K145" s="6" t="str">
        <x:v>porsche tyre replacement dubai</x:v>
      </x:c>
      <x:c r="L145" s="6" t="str">
        <x:v>Use dedicated service owner</x:v>
      </x:c>
      <x:c r="M145" s="6" t="str"/>
    </x:row>
    <x:row r="146" ht="32" customHeight="1">
      <x:c r="A146" s="6" t="str">
        <x:v>lincoln: Service and repair (Arabic)</x:v>
      </x:c>
      <x:c r="B146" s="6" t="str">
        <x:v>صيانة لينكون</x:v>
      </x:c>
      <x:c r="C146" s="6" t="str">
        <x:v>https://digitecme.com/ar/brands/lincoln-service-dubai</x:v>
      </x:c>
      <x:c r="D146" s="14" t="n">
        <x:f>COUNTIF('Queries'!$I$6:$I$1005,A146)</x:f>
        <x:v>2</x:v>
      </x:c>
      <x:c r="E146" s="14" t="n">
        <x:f>SUMIF('Queries'!$I$6:$I$1005,A146,'Queries'!$B$6:$B$1005)</x:f>
        <x:v>0</x:v>
      </x:c>
      <x:c r="F146" s="14" t="n">
        <x:f>SUMIF('Queries'!$I$6:$I$1005,A146,'Queries'!$C$6:$C$1005)</x:f>
        <x:v>32</x:v>
      </x:c>
      <x:c r="G146" s="15" t="n">
        <x:f>E146/F146</x:f>
        <x:v>0</x:v>
      </x:c>
      <x:c r="H146" s="16" t="n">
        <x:f>SUMIF('Queries'!$I$6:$I$1005,A146,'Scoring'!$J$6:$J$1005)/F146</x:f>
        <x:v>27.7484375</x:v>
      </x:c>
      <x:c r="I146" s="16" t="n">
        <x:f>MAX('Queries'!G726,'Queries'!G812)</x:f>
        <x:v>63.7</x:v>
      </x:c>
      <x:c r="J146" s="6" t="str">
        <x:v>HIGH</x:v>
      </x:c>
      <x:c r="K146" s="6" t="str">
        <x:v>صيانة لينكون</x:v>
      </x:c>
      <x:c r="L146" s="6" t="str">
        <x:v>Strengthen this primary intent owner</x:v>
      </x:c>
      <x:c r="M146" s="6" t="str">
        <x:v>افضل مركز صيانة لينكولن</x:v>
      </x:c>
    </x:row>
    <x:row r="147" ht="32" customHeight="1">
      <x:c r="A147" s="6" t="str">
        <x:v>jeep: Service and repair (Arabic)</x:v>
      </x:c>
      <x:c r="B147" s="6" t="str">
        <x:v>تصليح جيب في الامارات</x:v>
      </x:c>
      <x:c r="C147" s="6" t="str">
        <x:v>https://digitecme.com/ar/brands/jeep-service-dubai</x:v>
      </x:c>
      <x:c r="D147" s="14" t="n">
        <x:f>COUNTIF('Queries'!$I$6:$I$1005,A147)</x:f>
        <x:v>2</x:v>
      </x:c>
      <x:c r="E147" s="14" t="n">
        <x:f>SUMIF('Queries'!$I$6:$I$1005,A147,'Queries'!$B$6:$B$1005)</x:f>
        <x:v>0</x:v>
      </x:c>
      <x:c r="F147" s="14" t="n">
        <x:f>SUMIF('Queries'!$I$6:$I$1005,A147,'Queries'!$C$6:$C$1005)</x:f>
        <x:v>31</x:v>
      </x:c>
      <x:c r="G147" s="15" t="n">
        <x:f>E147/F147</x:f>
        <x:v>0</x:v>
      </x:c>
      <x:c r="H147" s="16" t="n">
        <x:f>SUMIF('Queries'!$I$6:$I$1005,A147,'Scoring'!$J$6:$J$1005)/F147</x:f>
        <x:v>31.548387096774192</x:v>
      </x:c>
      <x:c r="I147" s="16" t="n">
        <x:f>MAX('Queries'!G774,'Queries'!G806)</x:f>
        <x:v>63.5</x:v>
      </x:c>
      <x:c r="J147" s="6" t="str">
        <x:v>HIGH</x:v>
      </x:c>
      <x:c r="K147" s="6" t="str">
        <x:v>صيانة جيب</x:v>
      </x:c>
      <x:c r="L147" s="6" t="str">
        <x:v>Strengthen this primary intent owner</x:v>
      </x:c>
      <x:c r="M147" s="6" t="str">
        <x:v>صيانة جيب</x:v>
      </x:c>
    </x:row>
    <x:row r="148" ht="42" customHeight="1">
      <x:c r="A148" s="6" t="str">
        <x:v>lincoln: Brake repair</x:v>
      </x:c>
      <x:c r="B148" s="6" t="str">
        <x:v>صيانة الفرامل لينكون</x:v>
      </x:c>
      <x:c r="C148" s="6" t="str">
        <x:v>https://digitecme.com/ar/brands/lincoln-service-dubai/brake-repair</x:v>
      </x:c>
      <x:c r="D148" s="14" t="n">
        <x:f>COUNTIF('Queries'!$I$6:$I$1005,A148)</x:f>
        <x:v>1</x:v>
      </x:c>
      <x:c r="E148" s="14" t="n">
        <x:f>SUMIF('Queries'!$I$6:$I$1005,A148,'Queries'!$B$6:$B$1005)</x:f>
        <x:v>0</x:v>
      </x:c>
      <x:c r="F148" s="14" t="n">
        <x:f>SUMIF('Queries'!$I$6:$I$1005,A148,'Queries'!$C$6:$C$1005)</x:f>
        <x:v>13</x:v>
      </x:c>
      <x:c r="G148" s="15" t="n">
        <x:f>E148/F148</x:f>
        <x:v>0</x:v>
      </x:c>
      <x:c r="H148" s="16" t="n">
        <x:f>SUMIF('Queries'!$I$6:$I$1005,A148,'Scoring'!$J$6:$J$1005)/F148</x:f>
        <x:v>18.38</x:v>
      </x:c>
      <x:c r="I148" s="16" t="n">
        <x:f>MAX('Queries'!G895)</x:f>
        <x:v>63.3</x:v>
      </x:c>
      <x:c r="J148" s="6" t="str">
        <x:v>HIGH</x:v>
      </x:c>
      <x:c r="K148" s="6" t="str">
        <x:v>صيانة الفرامل لينكون</x:v>
      </x:c>
      <x:c r="L148" s="6" t="str">
        <x:v>Use dedicated service owner</x:v>
      </x:c>
      <x:c r="M148" s="6" t="str"/>
    </x:row>
    <x:row r="149" ht="32" customHeight="1">
      <x:c r="A149" s="6" t="str">
        <x:v>dodge: Service and repair (Arabic)</x:v>
      </x:c>
      <x:c r="B149" s="6" t="str">
        <x:v>صيانة دودج</x:v>
      </x:c>
      <x:c r="C149" s="6" t="str">
        <x:v>https://digitecme.com/ar/brands/dodge-service-dubai</x:v>
      </x:c>
      <x:c r="D149" s="14" t="n">
        <x:f>COUNTIF('Queries'!$I$6:$I$1005,A149)</x:f>
        <x:v>1</x:v>
      </x:c>
      <x:c r="E149" s="14" t="n">
        <x:f>SUMIF('Queries'!$I$6:$I$1005,A149,'Queries'!$B$6:$B$1005)</x:f>
        <x:v>0</x:v>
      </x:c>
      <x:c r="F149" s="14" t="n">
        <x:f>SUMIF('Queries'!$I$6:$I$1005,A149,'Queries'!$C$6:$C$1005)</x:f>
        <x:v>13</x:v>
      </x:c>
      <x:c r="G149" s="15" t="n">
        <x:f>E149/F149</x:f>
        <x:v>0</x:v>
      </x:c>
      <x:c r="H149" s="16" t="n">
        <x:f>SUMIF('Queries'!$I$6:$I$1005,A149,'Scoring'!$J$6:$J$1005)/F149</x:f>
        <x:v>21.15</x:v>
      </x:c>
      <x:c r="I149" s="16" t="n">
        <x:f>MAX('Queries'!G898)</x:f>
        <x:v>63.3</x:v>
      </x:c>
      <x:c r="J149" s="6" t="str">
        <x:v>HIGH</x:v>
      </x:c>
      <x:c r="K149" s="6" t="str">
        <x:v>صيانة دودج</x:v>
      </x:c>
      <x:c r="L149" s="6" t="str">
        <x:v>Strengthen this primary intent owner</x:v>
      </x:c>
      <x:c r="M149" s="6" t="str"/>
    </x:row>
    <x:row r="150" ht="32" customHeight="1">
      <x:c r="A150" s="6" t="str">
        <x:v>ford: Service and repair (Arabic)</x:v>
      </x:c>
      <x:c r="B150" s="6" t="str">
        <x:v>صيانة سيارات فورد</x:v>
      </x:c>
      <x:c r="C150" s="6" t="str">
        <x:v>https://digitecme.com/ar/brands/ford-service-dubai</x:v>
      </x:c>
      <x:c r="D150" s="14" t="n">
        <x:f>COUNTIF('Queries'!$I$6:$I$1005,A150)</x:f>
        <x:v>2</x:v>
      </x:c>
      <x:c r="E150" s="14" t="n">
        <x:f>SUMIF('Queries'!$I$6:$I$1005,A150,'Queries'!$B$6:$B$1005)</x:f>
        <x:v>0</x:v>
      </x:c>
      <x:c r="F150" s="14" t="n">
        <x:f>SUMIF('Queries'!$I$6:$I$1005,A150,'Queries'!$C$6:$C$1005)</x:f>
        <x:v>26</x:v>
      </x:c>
      <x:c r="G150" s="15" t="n">
        <x:f>E150/F150</x:f>
        <x:v>0</x:v>
      </x:c>
      <x:c r="H150" s="16" t="n">
        <x:f>SUMIF('Queries'!$I$6:$I$1005,A150,'Scoring'!$J$6:$J$1005)/F150</x:f>
        <x:v>28.650000000000002</x:v>
      </x:c>
      <x:c r="I150" s="16" t="n">
        <x:f>MAX('Queries'!G903,'Queries'!G906)</x:f>
        <x:v>63.3</x:v>
      </x:c>
      <x:c r="J150" s="6" t="str">
        <x:v>HIGH</x:v>
      </x:c>
      <x:c r="K150" s="6" t="str">
        <x:v>صيانة سيارات فورد</x:v>
      </x:c>
      <x:c r="L150" s="6" t="str">
        <x:v>Strengthen this primary intent owner</x:v>
      </x:c>
      <x:c r="M150" s="6" t="str">
        <x:v>صيانة سيارات فورد الامارات</x:v>
      </x:c>
    </x:row>
    <x:row r="151" ht="32" customHeight="1">
      <x:c r="A151" s="6" t="str">
        <x:v>dodge: Oil change</x:v>
      </x:c>
      <x:c r="B151" s="6" t="str">
        <x:v>dodge oil change in dubai</x:v>
      </x:c>
      <x:c r="C151" s="6" t="str">
        <x:v>https://digitecme.com/brands/dodge-service-dubai/oil-change</x:v>
      </x:c>
      <x:c r="D151" s="14" t="n">
        <x:f>COUNTIF('Queries'!$I$6:$I$1005,A151)</x:f>
        <x:v>1</x:v>
      </x:c>
      <x:c r="E151" s="14" t="n">
        <x:f>SUMIF('Queries'!$I$6:$I$1005,A151,'Queries'!$B$6:$B$1005)</x:f>
        <x:v>0</x:v>
      </x:c>
      <x:c r="F151" s="14" t="n">
        <x:f>SUMIF('Queries'!$I$6:$I$1005,A151,'Queries'!$C$6:$C$1005)</x:f>
        <x:v>53</x:v>
      </x:c>
      <x:c r="G151" s="15" t="n">
        <x:f>E151/F151</x:f>
        <x:v>0</x:v>
      </x:c>
      <x:c r="H151" s="16" t="n">
        <x:f>SUMIF('Queries'!$I$6:$I$1005,A151,'Scoring'!$J$6:$J$1005)/F151</x:f>
        <x:v>30.28</x:v>
      </x:c>
      <x:c r="I151" s="16" t="n">
        <x:f>MAX('Queries'!G285)</x:f>
        <x:v>62.8</x:v>
      </x:c>
      <x:c r="J151" s="6" t="str">
        <x:v>GROWTH</x:v>
      </x:c>
      <x:c r="K151" s="6" t="str">
        <x:v>dodge oil change in dubai</x:v>
      </x:c>
      <x:c r="L151" s="6" t="str">
        <x:v>Use dedicated service owner</x:v>
      </x:c>
      <x:c r="M151" s="6" t="str"/>
    </x:row>
    <x:row r="152" ht="42" customHeight="1">
      <x:c r="A152" s="6" t="str">
        <x:v>rolls-royce: Suspension repair</x:v>
      </x:c>
      <x:c r="B152" s="6" t="str">
        <x:v>rolls royce suspension repair dubai</x:v>
      </x:c>
      <x:c r="C152" s="6" t="str">
        <x:v>https://digitecme.com/brands/rolls-royce-service-dubai/suspension-repair</x:v>
      </x:c>
      <x:c r="D152" s="14" t="n">
        <x:f>COUNTIF('Queries'!$I$6:$I$1005,A152)</x:f>
        <x:v>1</x:v>
      </x:c>
      <x:c r="E152" s="14" t="n">
        <x:f>SUMIF('Queries'!$I$6:$I$1005,A152,'Queries'!$B$6:$B$1005)</x:f>
        <x:v>0</x:v>
      </x:c>
      <x:c r="F152" s="14" t="n">
        <x:f>SUMIF('Queries'!$I$6:$I$1005,A152,'Queries'!$C$6:$C$1005)</x:f>
        <x:v>14</x:v>
      </x:c>
      <x:c r="G152" s="15" t="n">
        <x:f>E152/F152</x:f>
        <x:v>0</x:v>
      </x:c>
      <x:c r="H152" s="16" t="n">
        <x:f>SUMIF('Queries'!$I$6:$I$1005,A152,'Scoring'!$J$6:$J$1005)/F152</x:f>
        <x:v>45.21</x:v>
      </x:c>
      <x:c r="I152" s="16" t="n">
        <x:f>MAX('Queries'!G867)</x:f>
        <x:v>62.7</x:v>
      </x:c>
      <x:c r="J152" s="6" t="str">
        <x:v>GROWTH</x:v>
      </x:c>
      <x:c r="K152" s="6" t="str">
        <x:v>rolls royce suspension repair dubai</x:v>
      </x:c>
      <x:c r="L152" s="6" t="str">
        <x:v>Use dedicated service owner</x:v>
      </x:c>
      <x:c r="M152" s="6" t="str"/>
    </x:row>
    <x:row r="153" ht="42" customHeight="1">
      <x:c r="A153" s="6" t="str">
        <x:v>maserati: Engine and mechanical repair</x:v>
      </x:c>
      <x:c r="B153" s="6" t="str">
        <x:v>maserati engine repair dubai</x:v>
      </x:c>
      <x:c r="C153" s="6" t="str">
        <x:v>https://digitecme.com/brands/maserati-service-dubai/mechanical-repair</x:v>
      </x:c>
      <x:c r="D153" s="14" t="n">
        <x:f>COUNTIF('Queries'!$I$6:$I$1005,A153)</x:f>
        <x:v>1</x:v>
      </x:c>
      <x:c r="E153" s="14" t="n">
        <x:f>SUMIF('Queries'!$I$6:$I$1005,A153,'Queries'!$B$6:$B$1005)</x:f>
        <x:v>0</x:v>
      </x:c>
      <x:c r="F153" s="14" t="n">
        <x:f>SUMIF('Queries'!$I$6:$I$1005,A153,'Queries'!$C$6:$C$1005)</x:f>
        <x:v>14</x:v>
      </x:c>
      <x:c r="G153" s="15" t="n">
        <x:f>E153/F153</x:f>
        <x:v>0</x:v>
      </x:c>
      <x:c r="H153" s="16" t="n">
        <x:f>SUMIF('Queries'!$I$6:$I$1005,A153,'Scoring'!$J$6:$J$1005)/F153</x:f>
        <x:v>58.21</x:v>
      </x:c>
      <x:c r="I153" s="16" t="n">
        <x:f>MAX('Queries'!G874)</x:f>
        <x:v>62.7</x:v>
      </x:c>
      <x:c r="J153" s="6" t="str">
        <x:v>GROWTH</x:v>
      </x:c>
      <x:c r="K153" s="6" t="str">
        <x:v>maserati engine repair dubai</x:v>
      </x:c>
      <x:c r="L153" s="6" t="str">
        <x:v>Use dedicated service owner</x:v>
      </x:c>
      <x:c r="M153" s="6" t="str"/>
    </x:row>
    <x:row r="154" ht="42" customHeight="1">
      <x:c r="A154" s="6" t="str">
        <x:v>range-rover: Engine and mechanical repair</x:v>
      </x:c>
      <x:c r="B154" s="6" t="str">
        <x:v>range rover engine repair dubai</x:v>
      </x:c>
      <x:c r="C154" s="6" t="str">
        <x:v>https://digitecme.com/brands/range-rover-service-dubai/mechanical-repair</x:v>
      </x:c>
      <x:c r="D154" s="14" t="n">
        <x:f>COUNTIF('Queries'!$I$6:$I$1005,A154)</x:f>
        <x:v>2</x:v>
      </x:c>
      <x:c r="E154" s="14" t="n">
        <x:f>SUMIF('Queries'!$I$6:$I$1005,A154,'Queries'!$B$6:$B$1005)</x:f>
        <x:v>0</x:v>
      </x:c>
      <x:c r="F154" s="14" t="n">
        <x:f>SUMIF('Queries'!$I$6:$I$1005,A154,'Queries'!$C$6:$C$1005)</x:f>
        <x:v>34</x:v>
      </x:c>
      <x:c r="G154" s="15" t="n">
        <x:f>E154/F154</x:f>
        <x:v>0</x:v>
      </x:c>
      <x:c r="H154" s="16" t="n">
        <x:f>SUMIF('Queries'!$I$6:$I$1005,A154,'Scoring'!$J$6:$J$1005)/F154</x:f>
        <x:v>65.02764705882353</x:v>
      </x:c>
      <x:c r="I154" s="16" t="n">
        <x:f>MAX('Queries'!G613,'Queries'!G987)</x:f>
        <x:v>62.5</x:v>
      </x:c>
      <x:c r="J154" s="6" t="str">
        <x:v>GROWTH</x:v>
      </x:c>
      <x:c r="K154" s="6" t="str">
        <x:v>range rover engine repair dubai</x:v>
      </x:c>
      <x:c r="L154" s="6" t="str">
        <x:v>Use dedicated service owner</x:v>
      </x:c>
      <x:c r="M154" s="6" t="str">
        <x:v>range rover engine repair</x:v>
      </x:c>
    </x:row>
    <x:row r="155" ht="32" customHeight="1">
      <x:c r="A155" s="6" t="str">
        <x:v>jeep: Oil change</x:v>
      </x:c>
      <x:c r="B155" s="6" t="str">
        <x:v>jeep oil change service in dubai</x:v>
      </x:c>
      <x:c r="C155" s="6" t="str">
        <x:v>https://digitecme.com/brands/jeep-service-dubai/oil-change</x:v>
      </x:c>
      <x:c r="D155" s="14" t="n">
        <x:f>COUNTIF('Queries'!$I$6:$I$1005,A155)</x:f>
        <x:v>1</x:v>
      </x:c>
      <x:c r="E155" s="14" t="n">
        <x:f>SUMIF('Queries'!$I$6:$I$1005,A155,'Queries'!$B$6:$B$1005)</x:f>
        <x:v>0</x:v>
      </x:c>
      <x:c r="F155" s="14" t="n">
        <x:f>SUMIF('Queries'!$I$6:$I$1005,A155,'Queries'!$C$6:$C$1005)</x:f>
        <x:v>41</x:v>
      </x:c>
      <x:c r="G155" s="15" t="n">
        <x:f>E155/F155</x:f>
        <x:v>0</x:v>
      </x:c>
      <x:c r="H155" s="16" t="n">
        <x:f>SUMIF('Queries'!$I$6:$I$1005,A155,'Scoring'!$J$6:$J$1005)/F155</x:f>
        <x:v>30.37</x:v>
      </x:c>
      <x:c r="I155" s="16" t="n">
        <x:f>MAX('Queries'!G355)</x:f>
        <x:v>62.4</x:v>
      </x:c>
      <x:c r="J155" s="6" t="str">
        <x:v>GROWTH</x:v>
      </x:c>
      <x:c r="K155" s="6" t="str">
        <x:v>jeep oil change service in dubai</x:v>
      </x:c>
      <x:c r="L155" s="6" t="str">
        <x:v>Use dedicated service owner</x:v>
      </x:c>
      <x:c r="M155" s="6" t="str"/>
    </x:row>
    <x:row r="156" ht="32" customHeight="1">
      <x:c r="A156" s="6" t="str">
        <x:v>All vehicles: Brake repair (Arabic)</x:v>
      </x:c>
      <x:c r="B156" s="6" t="str">
        <x:v>تصليح فرامل السيارة في دبي</x:v>
      </x:c>
      <x:c r="C156" s="6" t="str">
        <x:v>https://digitecme.com/ar/services/brake-repair-dubai</x:v>
      </x:c>
      <x:c r="D156" s="14" t="n">
        <x:f>COUNTIF('Queries'!$I$6:$I$1005,A156)</x:f>
        <x:v>2</x:v>
      </x:c>
      <x:c r="E156" s="14" t="n">
        <x:f>SUMIF('Queries'!$I$6:$I$1005,A156,'Queries'!$B$6:$B$1005)</x:f>
        <x:v>1</x:v>
      </x:c>
      <x:c r="F156" s="14" t="n">
        <x:f>SUMIF('Queries'!$I$6:$I$1005,A156,'Queries'!$C$6:$C$1005)</x:f>
        <x:v>91</x:v>
      </x:c>
      <x:c r="G156" s="15" t="n">
        <x:f>E156/F156</x:f>
        <x:v>0.01098901098901099</x:v>
      </x:c>
      <x:c r="H156" s="16" t="n">
        <x:f>SUMIF('Queries'!$I$6:$I$1005,A156,'Scoring'!$J$6:$J$1005)/F156</x:f>
        <x:v>45.75879120879121</x:v>
      </x:c>
      <x:c r="I156" s="16" t="n">
        <x:f>MAX('Queries'!G37,'Queries'!G259)</x:f>
        <x:v>62.1</x:v>
      </x:c>
      <x:c r="J156" s="6" t="str">
        <x:v>GROWTH</x:v>
      </x:c>
      <x:c r="K156" s="6" t="str">
        <x:v>تصليح فرامل السيارة في دبي</x:v>
      </x:c>
      <x:c r="L156" s="6" t="str">
        <x:v>Strengthen this primary intent owner</x:v>
      </x:c>
      <x:c r="M156" s="6" t="str">
        <x:v>صيانة بريكات السيارات</x:v>
      </x:c>
    </x:row>
    <x:row r="157" ht="42" customHeight="1">
      <x:c r="A157" s="6" t="str">
        <x:v>gmc: Service and repair</x:v>
      </x:c>
      <x:c r="B157" s="6" t="str">
        <x:v>gmc repair dubai</x:v>
      </x:c>
      <x:c r="C157" s="6" t="str">
        <x:v>https://digitecme.com/brands/gmc-service-dubai</x:v>
      </x:c>
      <x:c r="D157" s="14" t="n">
        <x:f>COUNTIF('Queries'!$I$6:$I$1005,A157)</x:f>
        <x:v>6</x:v>
      </x:c>
      <x:c r="E157" s="14" t="n">
        <x:f>SUMIF('Queries'!$I$6:$I$1005,A157,'Queries'!$B$6:$B$1005)</x:f>
        <x:v>0</x:v>
      </x:c>
      <x:c r="F157" s="14" t="n">
        <x:f>SUMIF('Queries'!$I$6:$I$1005,A157,'Queries'!$C$6:$C$1005)</x:f>
        <x:v>117</x:v>
      </x:c>
      <x:c r="G157" s="15" t="n">
        <x:f>E157/F157</x:f>
        <x:v>0</x:v>
      </x:c>
      <x:c r="H157" s="16" t="n">
        <x:f>SUMIF('Queries'!$I$6:$I$1005,A157,'Scoring'!$J$6:$J$1005)/F157</x:f>
        <x:v>40.71700854700854</x:v>
      </x:c>
      <x:c r="I157" s="16" t="n">
        <x:f>MAX('Queries'!G492,'Queries'!G508,'Queries'!G709,'Queries'!G733,'Queries'!G871,'Queries'!G925)</x:f>
        <x:v>61.9</x:v>
      </x:c>
      <x:c r="J157" s="6" t="str">
        <x:v>GROWTH</x:v>
      </x:c>
      <x:c r="K157" s="6" t="str">
        <x:v>gmc repair dubai</x:v>
      </x:c>
      <x:c r="L157" s="6" t="str">
        <x:v>Strengthen this primary intent owner</x:v>
      </x:c>
      <x:c r="M157" s="6" t="str">
        <x:v>gmc service dubai; gmc garage dubai; gmc service in dubai; gmc car service dubai; gmc repair center near me</x:v>
      </x:c>
    </x:row>
    <x:row r="158" ht="42" customHeight="1">
      <x:c r="A158" s="6" t="str">
        <x:v>volvo: Service and repair</x:v>
      </x:c>
      <x:c r="B158" s="6" t="str">
        <x:v>volvo service dubai</x:v>
      </x:c>
      <x:c r="C158" s="6" t="str">
        <x:v>https://digitecme.com/brands/volvo-service-dubai</x:v>
      </x:c>
      <x:c r="D158" s="14" t="n">
        <x:f>COUNTIF('Queries'!$I$6:$I$1005,A158)</x:f>
        <x:v>6</x:v>
      </x:c>
      <x:c r="E158" s="14" t="n">
        <x:f>SUMIF('Queries'!$I$6:$I$1005,A158,'Queries'!$B$6:$B$1005)</x:f>
        <x:v>0</x:v>
      </x:c>
      <x:c r="F158" s="14" t="n">
        <x:f>SUMIF('Queries'!$I$6:$I$1005,A158,'Queries'!$C$6:$C$1005)</x:f>
        <x:v>128</x:v>
      </x:c>
      <x:c r="G158" s="15" t="n">
        <x:f>E158/F158</x:f>
        <x:v>0</x:v>
      </x:c>
      <x:c r="H158" s="16" t="n">
        <x:f>SUMIF('Queries'!$I$6:$I$1005,A158,'Scoring'!$J$6:$J$1005)/F158</x:f>
        <x:v>39.086093749999996</x:v>
      </x:c>
      <x:c r="I158" s="16" t="n">
        <x:f>MAX('Queries'!G511,'Queries'!G529,'Queries'!G578,'Queries'!G647,'Queries'!G775,'Queries'!G777)</x:f>
        <x:v>61.8</x:v>
      </x:c>
      <x:c r="J158" s="6" t="str">
        <x:v>GROWTH</x:v>
      </x:c>
      <x:c r="K158" s="6" t="str">
        <x:v>volvo service dubai</x:v>
      </x:c>
      <x:c r="L158" s="6" t="str">
        <x:v>Strengthen this primary intent owner</x:v>
      </x:c>
      <x:c r="M158" s="6" t="str">
        <x:v>volvo service center; volvo repair dubai; volvo service in dubai; volvo garage dubai; volvo car repair in dubai</x:v>
      </x:c>
    </x:row>
    <x:row r="159" ht="32" customHeight="1">
      <x:c r="A159" s="6" t="str">
        <x:v>infiniti: Service and repair</x:v>
      </x:c>
      <x:c r="B159" s="6" t="str">
        <x:v>infiniti service dubai</x:v>
      </x:c>
      <x:c r="C159" s="6" t="str">
        <x:v>https://digitecme.com/brands/infiniti-service-dubai</x:v>
      </x:c>
      <x:c r="D159" s="14" t="n">
        <x:f>COUNTIF('Queries'!$I$6:$I$1005,A159)</x:f>
        <x:v>3</x:v>
      </x:c>
      <x:c r="E159" s="14" t="n">
        <x:f>SUMIF('Queries'!$I$6:$I$1005,A159,'Queries'!$B$6:$B$1005)</x:f>
        <x:v>0</x:v>
      </x:c>
      <x:c r="F159" s="14" t="n">
        <x:f>SUMIF('Queries'!$I$6:$I$1005,A159,'Queries'!$C$6:$C$1005)</x:f>
        <x:v>56</x:v>
      </x:c>
      <x:c r="G159" s="15" t="n">
        <x:f>E159/F159</x:f>
        <x:v>0</x:v>
      </x:c>
      <x:c r="H159" s="16" t="n">
        <x:f>SUMIF('Queries'!$I$6:$I$1005,A159,'Scoring'!$J$6:$J$1005)/F159</x:f>
        <x:v>35.606249999999996</x:v>
      </x:c>
      <x:c r="I159" s="16" t="n">
        <x:f>MAX('Queries'!G625,'Queries'!G627,'Queries'!G865)</x:f>
        <x:v>61.5</x:v>
      </x:c>
      <x:c r="J159" s="6" t="str">
        <x:v>GROWTH</x:v>
      </x:c>
      <x:c r="K159" s="6" t="str">
        <x:v>infiniti service dubai</x:v>
      </x:c>
      <x:c r="L159" s="6" t="str">
        <x:v>Strengthen this primary intent owner</x:v>
      </x:c>
      <x:c r="M159" s="6" t="str">
        <x:v>infiniti repair dubai; infiniti car service dubai</x:v>
      </x:c>
    </x:row>
    <x:row r="160" ht="32" customHeight="1">
      <x:c r="A160" s="6" t="str">
        <x:v>lincoln: Service and repair (English)</x:v>
      </x:c>
      <x:c r="B160" s="6" t="str">
        <x:v>lincoln service dubai</x:v>
      </x:c>
      <x:c r="C160" s="6" t="str">
        <x:v>https://digitecme.com/brands/lincoln-service-dubai</x:v>
      </x:c>
      <x:c r="D160" s="14" t="n">
        <x:f>COUNTIF('Queries'!$I$6:$I$1005,A160)</x:f>
        <x:v>3</x:v>
      </x:c>
      <x:c r="E160" s="14" t="n">
        <x:f>SUMIF('Queries'!$I$6:$I$1005,A160,'Queries'!$B$6:$B$1005)</x:f>
        <x:v>0</x:v>
      </x:c>
      <x:c r="F160" s="14" t="n">
        <x:f>SUMIF('Queries'!$I$6:$I$1005,A160,'Queries'!$C$6:$C$1005)</x:f>
        <x:v>53</x:v>
      </x:c>
      <x:c r="G160" s="15" t="n">
        <x:f>E160/F160</x:f>
        <x:v>0</x:v>
      </x:c>
      <x:c r="H160" s="16" t="n">
        <x:f>SUMIF('Queries'!$I$6:$I$1005,A160,'Scoring'!$J$6:$J$1005)/F160</x:f>
        <x:v>32.39679245283019</x:v>
      </x:c>
      <x:c r="I160" s="16" t="n">
        <x:f>MAX('Queries'!G642,'Queries'!G732,'Queries'!G767)</x:f>
        <x:v>61.4</x:v>
      </x:c>
      <x:c r="J160" s="6" t="str">
        <x:v>GROWTH</x:v>
      </x:c>
      <x:c r="K160" s="6" t="str">
        <x:v>lincoln service dubai</x:v>
      </x:c>
      <x:c r="L160" s="6" t="str">
        <x:v>Strengthen this primary intent owner</x:v>
      </x:c>
      <x:c r="M160" s="6" t="str">
        <x:v>lincoln repair garage in dubai; lincoln car service specialist dubai</x:v>
      </x:c>
    </x:row>
    <x:row r="161" ht="42" customHeight="1">
      <x:c r="A161" s="6" t="str">
        <x:v>nissan: Battery service</x:v>
      </x:c>
      <x:c r="B161" s="6" t="str">
        <x:v>nissan car battery dubai</x:v>
      </x:c>
      <x:c r="C161" s="6" t="str">
        <x:v>https://digitecme.com/brands/nissan-service-dubai/battery-replacement</x:v>
      </x:c>
      <x:c r="D161" s="14" t="n">
        <x:f>COUNTIF('Queries'!$I$6:$I$1005,A161)</x:f>
        <x:v>3</x:v>
      </x:c>
      <x:c r="E161" s="14" t="n">
        <x:f>SUMIF('Queries'!$I$6:$I$1005,A161,'Queries'!$B$6:$B$1005)</x:f>
        <x:v>0</x:v>
      </x:c>
      <x:c r="F161" s="14" t="n">
        <x:f>SUMIF('Queries'!$I$6:$I$1005,A161,'Queries'!$C$6:$C$1005)</x:f>
        <x:v>40</x:v>
      </x:c>
      <x:c r="G161" s="15" t="n">
        <x:f>E161/F161</x:f>
        <x:v>0</x:v>
      </x:c>
      <x:c r="H161" s="16" t="n">
        <x:f>SUMIF('Queries'!$I$6:$I$1005,A161,'Scoring'!$J$6:$J$1005)/F161</x:f>
        <x:v>41.699</x:v>
      </x:c>
      <x:c r="I161" s="16" t="n">
        <x:f>MAX('Queries'!G854,'Queries'!G919,'Queries'!G930)</x:f>
        <x:v>60.9</x:v>
      </x:c>
      <x:c r="J161" s="6" t="str">
        <x:v>GROWTH</x:v>
      </x:c>
      <x:c r="K161" s="6" t="str">
        <x:v>nissan car battery dubai</x:v>
      </x:c>
      <x:c r="L161" s="6" t="str">
        <x:v>Use dedicated service owner</x:v>
      </x:c>
      <x:c r="M161" s="6" t="str">
        <x:v>nissan car battery uae; nissan car battery</x:v>
      </x:c>
    </x:row>
    <x:row r="162" ht="32" customHeight="1">
      <x:c r="A162" s="6" t="str">
        <x:v>bentley: Service and repair (Arabic)</x:v>
      </x:c>
      <x:c r="B162" s="6" t="str">
        <x:v>ورشة صيانة بنتلي</x:v>
      </x:c>
      <x:c r="C162" s="6" t="str">
        <x:v>https://digitecme.com/ar/brands/bentley-service-dubai</x:v>
      </x:c>
      <x:c r="D162" s="14" t="n">
        <x:f>COUNTIF('Queries'!$I$6:$I$1005,A162)</x:f>
        <x:v>3</x:v>
      </x:c>
      <x:c r="E162" s="14" t="n">
        <x:f>SUMIF('Queries'!$I$6:$I$1005,A162,'Queries'!$B$6:$B$1005)</x:f>
        <x:v>0</x:v>
      </x:c>
      <x:c r="F162" s="14" t="n">
        <x:f>SUMIF('Queries'!$I$6:$I$1005,A162,'Queries'!$C$6:$C$1005)</x:f>
        <x:v>77</x:v>
      </x:c>
      <x:c r="G162" s="15" t="n">
        <x:f>E162/F162</x:f>
        <x:v>0</x:v>
      </x:c>
      <x:c r="H162" s="16" t="n">
        <x:f>SUMIF('Queries'!$I$6:$I$1005,A162,'Scoring'!$J$6:$J$1005)/F162</x:f>
        <x:v>61.11675324675324</x:v>
      </x:c>
      <x:c r="I162" s="16" t="n">
        <x:f>MAX('Queries'!G402,'Queries'!G536,'Queries'!G833)</x:f>
        <x:v>59</x:v>
      </x:c>
      <x:c r="J162" s="6" t="str">
        <x:v>GROWTH</x:v>
      </x:c>
      <x:c r="K162" s="6" t="str">
        <x:v>ورشة صيانة بنتلي</x:v>
      </x:c>
      <x:c r="L162" s="6" t="str">
        <x:v>Strengthen this primary intent owner</x:v>
      </x:c>
      <x:c r="M162" s="6" t="str">
        <x:v>صيانة بنتلي; كراج تصليح بنتلي</x:v>
      </x:c>
    </x:row>
    <x:row r="163" ht="32" customHeight="1">
      <x:c r="A163" s="6" t="str">
        <x:v>mercedes-benz: Service and repair (Arabic)</x:v>
      </x:c>
      <x:c r="B163" s="6" t="str">
        <x:v>صيانة مرسيدس</x:v>
      </x:c>
      <x:c r="C163" s="6" t="str">
        <x:v>https://digitecme.com/ar/brands/mercedes-benz-service-dubai</x:v>
      </x:c>
      <x:c r="D163" s="14" t="n">
        <x:f>COUNTIF('Queries'!$I$6:$I$1005,A163)</x:f>
        <x:v>2</x:v>
      </x:c>
      <x:c r="E163" s="14" t="n">
        <x:f>SUMIF('Queries'!$I$6:$I$1005,A163,'Queries'!$B$6:$B$1005)</x:f>
        <x:v>0</x:v>
      </x:c>
      <x:c r="F163" s="14" t="n">
        <x:f>SUMIF('Queries'!$I$6:$I$1005,A163,'Queries'!$C$6:$C$1005)</x:f>
        <x:v>52</x:v>
      </x:c>
      <x:c r="G163" s="15" t="n">
        <x:f>E163/F163</x:f>
        <x:v>0</x:v>
      </x:c>
      <x:c r="H163" s="16" t="n">
        <x:f>SUMIF('Queries'!$I$6:$I$1005,A163,'Scoring'!$J$6:$J$1005)/F163</x:f>
        <x:v>60.11576923076923</x:v>
      </x:c>
      <x:c r="I163" s="16" t="n">
        <x:f>MAX('Queries'!G468,'Queries'!G612)</x:f>
        <x:v>58.7</x:v>
      </x:c>
      <x:c r="J163" s="6" t="str">
        <x:v>GROWTH</x:v>
      </x:c>
      <x:c r="K163" s="6" t="str">
        <x:v>صيانة مرسيدس</x:v>
      </x:c>
      <x:c r="L163" s="6" t="str">
        <x:v>Strengthen this primary intent owner</x:v>
      </x:c>
      <x:c r="M163" s="6" t="str">
        <x:v>صيانة مرسيدس بنز</x:v>
      </x:c>
    </x:row>
    <x:row r="164" ht="42" customHeight="1">
      <x:c r="A164" s="6" t="str">
        <x:v>All vehicles: Electrical repair</x:v>
      </x:c>
      <x:c r="B164" s="6" t="str">
        <x:v>car electrical repair dubai</x:v>
      </x:c>
      <x:c r="C164" s="6" t="str">
        <x:v>https://digitecme.com/services/auto-electrical-repair-dubai</x:v>
      </x:c>
      <x:c r="D164" s="14" t="n">
        <x:f>COUNTIF('Queries'!$I$6:$I$1005,A164)</x:f>
        <x:v>6</x:v>
      </x:c>
      <x:c r="E164" s="14" t="n">
        <x:f>SUMIF('Queries'!$I$6:$I$1005,A164,'Queries'!$B$6:$B$1005)</x:f>
        <x:v>0</x:v>
      </x:c>
      <x:c r="F164" s="14" t="n">
        <x:f>SUMIF('Queries'!$I$6:$I$1005,A164,'Queries'!$C$6:$C$1005)</x:f>
        <x:v>482</x:v>
      </x:c>
      <x:c r="G164" s="15" t="n">
        <x:f>E164/F164</x:f>
        <x:v>0</x:v>
      </x:c>
      <x:c r="H164" s="16" t="n">
        <x:f>SUMIF('Queries'!$I$6:$I$1005,A164,'Scoring'!$J$6:$J$1005)/F164</x:f>
        <x:v>61.53456431535269</x:v>
      </x:c>
      <x:c r="I164" s="16" t="n">
        <x:f>MAX('Queries'!G84,'Queries'!G160,'Queries'!G281,'Queries'!G324,'Queries'!G387,'Queries'!G629)</x:f>
        <x:v>58.6</x:v>
      </x:c>
      <x:c r="J164" s="6" t="str">
        <x:v>GROWTH</x:v>
      </x:c>
      <x:c r="K164" s="6" t="str">
        <x:v>car electrical repair dubai</x:v>
      </x:c>
      <x:c r="L164" s="6" t="str">
        <x:v>Strengthen this primary intent owner</x:v>
      </x:c>
      <x:c r="M164" s="6" t="str">
        <x:v>car electrical services dubai; car electrical repair in dubai; car wiring repair; mechanical electrical repair dubai; car electrical fault repair in dubai</x:v>
      </x:c>
    </x:row>
    <x:row r="165" ht="42" customHeight="1">
      <x:c r="A165" s="6" t="str">
        <x:v>lamborghini: Suspension repair</x:v>
      </x:c>
      <x:c r="B165" s="6" t="str">
        <x:v>lamborghini suspension repair</x:v>
      </x:c>
      <x:c r="C165" s="6" t="str">
        <x:v>https://digitecme.com/brands/lamborghini-service-dubai/suspension-repair</x:v>
      </x:c>
      <x:c r="D165" s="14" t="n">
        <x:f>COUNTIF('Queries'!$I$6:$I$1005,A165)</x:f>
        <x:v>1</x:v>
      </x:c>
      <x:c r="E165" s="14" t="n">
        <x:f>SUMIF('Queries'!$I$6:$I$1005,A165,'Queries'!$B$6:$B$1005)</x:f>
        <x:v>0</x:v>
      </x:c>
      <x:c r="F165" s="14" t="n">
        <x:f>SUMIF('Queries'!$I$6:$I$1005,A165,'Queries'!$C$6:$C$1005)</x:f>
        <x:v>23</x:v>
      </x:c>
      <x:c r="G165" s="15" t="n">
        <x:f>E165/F165</x:f>
        <x:v>0</x:v>
      </x:c>
      <x:c r="H165" s="16" t="n">
        <x:f>SUMIF('Queries'!$I$6:$I$1005,A165,'Scoring'!$J$6:$J$1005)/F165</x:f>
        <x:v>51.09000000000001</x:v>
      </x:c>
      <x:c r="I165" s="16" t="n">
        <x:f>MAX('Queries'!G589)</x:f>
        <x:v>58.4</x:v>
      </x:c>
      <x:c r="J165" s="6" t="str">
        <x:v>GROWTH</x:v>
      </x:c>
      <x:c r="K165" s="6" t="str">
        <x:v>lamborghini suspension repair</x:v>
      </x:c>
      <x:c r="L165" s="6" t="str">
        <x:v>Use dedicated service owner</x:v>
      </x:c>
      <x:c r="M165" s="6" t="str"/>
    </x:row>
    <x:row r="166" ht="32" customHeight="1">
      <x:c r="A166" s="6" t="str">
        <x:v>ferrari: Body repair</x:v>
      </x:c>
      <x:c r="B166" s="6" t="str">
        <x:v>ferrari auto body shop</x:v>
      </x:c>
      <x:c r="C166" s="6" t="str">
        <x:v>https://digitecme.com/brands/ferrari-service-dubai/body-repair</x:v>
      </x:c>
      <x:c r="D166" s="14" t="n">
        <x:f>COUNTIF('Queries'!$I$6:$I$1005,A166)</x:f>
        <x:v>1</x:v>
      </x:c>
      <x:c r="E166" s="14" t="n">
        <x:f>SUMIF('Queries'!$I$6:$I$1005,A166,'Queries'!$B$6:$B$1005)</x:f>
        <x:v>0</x:v>
      </x:c>
      <x:c r="F166" s="14" t="n">
        <x:f>SUMIF('Queries'!$I$6:$I$1005,A166,'Queries'!$C$6:$C$1005)</x:f>
        <x:v>19</x:v>
      </x:c>
      <x:c r="G166" s="15" t="n">
        <x:f>E166/F166</x:f>
        <x:v>0</x:v>
      </x:c>
      <x:c r="H166" s="16" t="n">
        <x:f>SUMIF('Queries'!$I$6:$I$1005,A166,'Scoring'!$J$6:$J$1005)/F166</x:f>
        <x:v>45.84</x:v>
      </x:c>
      <x:c r="I166" s="16" t="n">
        <x:f>MAX('Queries'!G676)</x:f>
        <x:v>58.1</x:v>
      </x:c>
      <x:c r="J166" s="6" t="str">
        <x:v>GROWTH</x:v>
      </x:c>
      <x:c r="K166" s="6" t="str">
        <x:v>ferrari auto body shop</x:v>
      </x:c>
      <x:c r="L166" s="6" t="str">
        <x:v>Use dedicated service owner</x:v>
      </x:c>
      <x:c r="M166" s="6" t="str"/>
    </x:row>
    <x:row r="167" ht="32" customHeight="1">
      <x:c r="A167" s="6" t="str">
        <x:v>porsche: Body repair (Arabic)</x:v>
      </x:c>
      <x:c r="B167" s="6" t="str">
        <x:v>افضل كراج صبغ بورش</x:v>
      </x:c>
      <x:c r="C167" s="6" t="str">
        <x:v>https://digitecme.com/ar/brands/porsche-service-dubai/body-repair</x:v>
      </x:c>
      <x:c r="D167" s="14" t="n">
        <x:f>COUNTIF('Queries'!$I$6:$I$1005,A167)</x:f>
        <x:v>1</x:v>
      </x:c>
      <x:c r="E167" s="14" t="n">
        <x:f>SUMIF('Queries'!$I$6:$I$1005,A167,'Queries'!$B$6:$B$1005)</x:f>
        <x:v>0</x:v>
      </x:c>
      <x:c r="F167" s="14" t="n">
        <x:f>SUMIF('Queries'!$I$6:$I$1005,A167,'Queries'!$C$6:$C$1005)</x:f>
        <x:v>12</x:v>
      </x:c>
      <x:c r="G167" s="15" t="n">
        <x:f>E167/F167</x:f>
        <x:v>0</x:v>
      </x:c>
      <x:c r="H167" s="16" t="n">
        <x:f>SUMIF('Queries'!$I$6:$I$1005,A167,'Scoring'!$J$6:$J$1005)/F167</x:f>
        <x:v>65.17</x:v>
      </x:c>
      <x:c r="I167" s="16" t="n">
        <x:f>MAX('Queries'!G988)</x:f>
        <x:v>57.5</x:v>
      </x:c>
      <x:c r="J167" s="6" t="str">
        <x:v>GROWTH</x:v>
      </x:c>
      <x:c r="K167" s="6" t="str">
        <x:v>افضل كراج صبغ بورش</x:v>
      </x:c>
      <x:c r="L167" s="6" t="str">
        <x:v>Use dedicated service owner</x:v>
      </x:c>
      <x:c r="M167" s="6" t="str"/>
    </x:row>
    <x:row r="168" ht="32" customHeight="1">
      <x:c r="A168" s="6" t="str">
        <x:v>mini: Service and repair (Arabic)</x:v>
      </x:c>
      <x:c r="B168" s="6" t="str">
        <x:v>ورشة تصليح مينى</x:v>
      </x:c>
      <x:c r="C168" s="6" t="str">
        <x:v>https://digitecme.com/ar/brands/mini-service-dubai</x:v>
      </x:c>
      <x:c r="D168" s="14" t="n">
        <x:f>COUNTIF('Queries'!$I$6:$I$1005,A168)</x:f>
        <x:v>1</x:v>
      </x:c>
      <x:c r="E168" s="14" t="n">
        <x:f>SUMIF('Queries'!$I$6:$I$1005,A168,'Queries'!$B$6:$B$1005)</x:f>
        <x:v>0</x:v>
      </x:c>
      <x:c r="F168" s="14" t="n">
        <x:f>SUMIF('Queries'!$I$6:$I$1005,A168,'Queries'!$C$6:$C$1005)</x:f>
        <x:v>28</x:v>
      </x:c>
      <x:c r="G168" s="15" t="n">
        <x:f>E168/F168</x:f>
        <x:v>0</x:v>
      </x:c>
      <x:c r="H168" s="16" t="n">
        <x:f>SUMIF('Queries'!$I$6:$I$1005,A168,'Scoring'!$J$6:$J$1005)/F168</x:f>
        <x:v>36.79</x:v>
      </x:c>
      <x:c r="I168" s="16" t="n">
        <x:f>MAX('Queries'!G493)</x:f>
        <x:v>56.9</x:v>
      </x:c>
      <x:c r="J168" s="6" t="str">
        <x:v>GROWTH</x:v>
      </x:c>
      <x:c r="K168" s="6" t="str">
        <x:v>ورشة تصليح مينى</x:v>
      </x:c>
      <x:c r="L168" s="6" t="str">
        <x:v>Strengthen this primary intent owner</x:v>
      </x:c>
      <x:c r="M168" s="6" t="str"/>
    </x:row>
    <x:row r="169" ht="32" customHeight="1">
      <x:c r="A169" s="6" t="str">
        <x:v>All vehicles: Suspension repair (Arabic)</x:v>
      </x:c>
      <x:c r="B169" s="6" t="str">
        <x:v>تصليح تعليق السيارة في دبي</x:v>
      </x:c>
      <x:c r="C169" s="6" t="str">
        <x:v>https://digitecme.com/ar/services/suspension-repair-dubai</x:v>
      </x:c>
      <x:c r="D169" s="14" t="n">
        <x:f>COUNTIF('Queries'!$I$6:$I$1005,A169)</x:f>
        <x:v>1</x:v>
      </x:c>
      <x:c r="E169" s="14" t="n">
        <x:f>SUMIF('Queries'!$I$6:$I$1005,A169,'Queries'!$B$6:$B$1005)</x:f>
        <x:v>0</x:v>
      </x:c>
      <x:c r="F169" s="14" t="n">
        <x:f>SUMIF('Queries'!$I$6:$I$1005,A169,'Queries'!$C$6:$C$1005)</x:f>
        <x:v>40</x:v>
      </x:c>
      <x:c r="G169" s="15" t="n">
        <x:f>E169/F169</x:f>
        <x:v>0</x:v>
      </x:c>
      <x:c r="H169" s="16" t="n">
        <x:f>SUMIF('Queries'!$I$6:$I$1005,A169,'Scoring'!$J$6:$J$1005)/F169</x:f>
        <x:v>41.08</x:v>
      </x:c>
      <x:c r="I169" s="16" t="n">
        <x:f>MAX('Queries'!G366)</x:f>
        <x:v>56.1</x:v>
      </x:c>
      <x:c r="J169" s="6" t="str">
        <x:v>GROWTH</x:v>
      </x:c>
      <x:c r="K169" s="6" t="str">
        <x:v>تصليح تعليق السيارة في دبي</x:v>
      </x:c>
      <x:c r="L169" s="6" t="str">
        <x:v>Strengthen this primary intent owner</x:v>
      </x:c>
      <x:c r="M169" s="6" t="str"/>
    </x:row>
    <x:row r="170" ht="32" customHeight="1">
      <x:c r="A170" s="6" t="str">
        <x:v>All vehicles: Oil change (Arabic)</x:v>
      </x:c>
      <x:c r="B170" s="6" t="str">
        <x:v>تغيير زيت السيارة في دبي</x:v>
      </x:c>
      <x:c r="C170" s="6" t="str">
        <x:v>https://digitecme.com/ar/services/oil-change-dubai</x:v>
      </x:c>
      <x:c r="D170" s="14" t="n">
        <x:f>COUNTIF('Queries'!$I$6:$I$1005,A170)</x:f>
        <x:v>1</x:v>
      </x:c>
      <x:c r="E170" s="14" t="n">
        <x:f>SUMIF('Queries'!$I$6:$I$1005,A170,'Queries'!$B$6:$B$1005)</x:f>
        <x:v>0</x:v>
      </x:c>
      <x:c r="F170" s="14" t="n">
        <x:f>SUMIF('Queries'!$I$6:$I$1005,A170,'Queries'!$C$6:$C$1005)</x:f>
        <x:v>34</x:v>
      </x:c>
      <x:c r="G170" s="15" t="n">
        <x:f>E170/F170</x:f>
        <x:v>0</x:v>
      </x:c>
      <x:c r="H170" s="16" t="n">
        <x:f>SUMIF('Queries'!$I$6:$I$1005,A170,'Scoring'!$J$6:$J$1005)/F170</x:f>
        <x:v>40.32</x:v>
      </x:c>
      <x:c r="I170" s="16" t="n">
        <x:f>MAX('Queries'!G417)</x:f>
        <x:v>55.9</x:v>
      </x:c>
      <x:c r="J170" s="6" t="str">
        <x:v>GROWTH</x:v>
      </x:c>
      <x:c r="K170" s="6" t="str">
        <x:v>تغيير زيت السيارة في دبي</x:v>
      </x:c>
      <x:c r="L170" s="6" t="str">
        <x:v>Strengthen this primary intent owner</x:v>
      </x:c>
      <x:c r="M170" s="6" t="str"/>
    </x:row>
    <x:row r="171" ht="32" customHeight="1">
      <x:c r="A171" s="6" t="str">
        <x:v>lexus: Service and repair</x:v>
      </x:c>
      <x:c r="B171" s="6" t="str">
        <x:v>lexus service dubai</x:v>
      </x:c>
      <x:c r="C171" s="6" t="str">
        <x:v>https://digitecme.com/brands/lexus-service-dubai</x:v>
      </x:c>
      <x:c r="D171" s="14" t="n">
        <x:f>COUNTIF('Queries'!$I$6:$I$1005,A171)</x:f>
        <x:v>1</x:v>
      </x:c>
      <x:c r="E171" s="14" t="n">
        <x:f>SUMIF('Queries'!$I$6:$I$1005,A171,'Queries'!$B$6:$B$1005)</x:f>
        <x:v>0</x:v>
      </x:c>
      <x:c r="F171" s="14" t="n">
        <x:f>SUMIF('Queries'!$I$6:$I$1005,A171,'Queries'!$C$6:$C$1005)</x:f>
        <x:v>25</x:v>
      </x:c>
      <x:c r="G171" s="15" t="n">
        <x:f>E171/F171</x:f>
        <x:v>0</x:v>
      </x:c>
      <x:c r="H171" s="16" t="n">
        <x:f>SUMIF('Queries'!$I$6:$I$1005,A171,'Scoring'!$J$6:$J$1005)/F171</x:f>
        <x:v>43.68</x:v>
      </x:c>
      <x:c r="I171" s="16" t="n">
        <x:f>MAX('Queries'!G548)</x:f>
        <x:v>55.5</x:v>
      </x:c>
      <x:c r="J171" s="6" t="str">
        <x:v>GROWTH</x:v>
      </x:c>
      <x:c r="K171" s="6" t="str">
        <x:v>lexus service dubai</x:v>
      </x:c>
      <x:c r="L171" s="6" t="str">
        <x:v>Strengthen this primary intent owner</x:v>
      </x:c>
      <x:c r="M171" s="6" t="str"/>
    </x:row>
    <x:row r="172" ht="32" customHeight="1">
      <x:c r="A172" s="6" t="str">
        <x:v>dodge: Service and repair (English)</x:v>
      </x:c>
      <x:c r="B172" s="6" t="str">
        <x:v>dodge repair dubai</x:v>
      </x:c>
      <x:c r="C172" s="6" t="str">
        <x:v>https://digitecme.com/brands/dodge-service-dubai</x:v>
      </x:c>
      <x:c r="D172" s="14" t="n">
        <x:f>COUNTIF('Queries'!$I$6:$I$1005,A172)</x:f>
        <x:v>2</x:v>
      </x:c>
      <x:c r="E172" s="14" t="n">
        <x:f>SUMIF('Queries'!$I$6:$I$1005,A172,'Queries'!$B$6:$B$1005)</x:f>
        <x:v>0</x:v>
      </x:c>
      <x:c r="F172" s="14" t="n">
        <x:f>SUMIF('Queries'!$I$6:$I$1005,A172,'Queries'!$C$6:$C$1005)</x:f>
        <x:v>27</x:v>
      </x:c>
      <x:c r="G172" s="15" t="n">
        <x:f>E172/F172</x:f>
        <x:v>0</x:v>
      </x:c>
      <x:c r="H172" s="16" t="n">
        <x:f>SUMIF('Queries'!$I$6:$I$1005,A172,'Scoring'!$J$6:$J$1005)/F172</x:f>
        <x:v>50.5162962962963</x:v>
      </x:c>
      <x:c r="I172" s="16" t="n">
        <x:f>MAX('Queries'!G866,'Queries'!G933)</x:f>
        <x:v>54.7</x:v>
      </x:c>
      <x:c r="J172" s="6" t="str">
        <x:v>GROWTH</x:v>
      </x:c>
      <x:c r="K172" s="6" t="str">
        <x:v>dodge repair dubai</x:v>
      </x:c>
      <x:c r="L172" s="6" t="str">
        <x:v>Strengthen this primary intent owner</x:v>
      </x:c>
      <x:c r="M172" s="6" t="str">
        <x:v>dodge garage dubai</x:v>
      </x:c>
    </x:row>
    <x:row r="173" ht="42" customHeight="1">
      <x:c r="A173" s="6" t="str">
        <x:v>toyota: Battery service</x:v>
      </x:c>
      <x:c r="B173" s="6" t="str">
        <x:v>toyota car battery dubai</x:v>
      </x:c>
      <x:c r="C173" s="6" t="str">
        <x:v>https://digitecme.com/brands/toyota-service-dubai/battery-replacement</x:v>
      </x:c>
      <x:c r="D173" s="14" t="n">
        <x:f>COUNTIF('Queries'!$I$6:$I$1005,A173)</x:f>
        <x:v>2</x:v>
      </x:c>
      <x:c r="E173" s="14" t="n">
        <x:f>SUMIF('Queries'!$I$6:$I$1005,A173,'Queries'!$B$6:$B$1005)</x:f>
        <x:v>0</x:v>
      </x:c>
      <x:c r="F173" s="14" t="n">
        <x:f>SUMIF('Queries'!$I$6:$I$1005,A173,'Queries'!$C$6:$C$1005)</x:f>
        <x:v>27</x:v>
      </x:c>
      <x:c r="G173" s="15" t="n">
        <x:f>E173/F173</x:f>
        <x:v>0</x:v>
      </x:c>
      <x:c r="H173" s="16" t="n">
        <x:f>SUMIF('Queries'!$I$6:$I$1005,A173,'Scoring'!$J$6:$J$1005)/F173</x:f>
        <x:v>48.59666666666667</x:v>
      </x:c>
      <x:c r="I173" s="16" t="n">
        <x:f>MAX('Queries'!G873,'Queries'!G918)</x:f>
        <x:v>54.6</x:v>
      </x:c>
      <x:c r="J173" s="6" t="str">
        <x:v>GROWTH</x:v>
      </x:c>
      <x:c r="K173" s="6" t="str">
        <x:v>toyota car battery dubai</x:v>
      </x:c>
      <x:c r="L173" s="6" t="str">
        <x:v>Use dedicated service owner</x:v>
      </x:c>
      <x:c r="M173" s="6" t="str">
        <x:v>toyota car battery</x:v>
      </x:c>
    </x:row>
    <x:row r="174" ht="32" customHeight="1">
      <x:c r="A174" s="6" t="str">
        <x:v>gmc: Engine and mechanical repair</x:v>
      </x:c>
      <x:c r="B174" s="6" t="str">
        <x:v>gmc engine repair dubai</x:v>
      </x:c>
      <x:c r="C174" s="6" t="str">
        <x:v>https://digitecme.com/brands/gmc-service-dubai</x:v>
      </x:c>
      <x:c r="D174" s="14" t="n">
        <x:f>COUNTIF('Queries'!$I$6:$I$1005,A174)</x:f>
        <x:v>1</x:v>
      </x:c>
      <x:c r="E174" s="14" t="n">
        <x:f>SUMIF('Queries'!$I$6:$I$1005,A174,'Queries'!$B$6:$B$1005)</x:f>
        <x:v>0</x:v>
      </x:c>
      <x:c r="F174" s="14" t="n">
        <x:f>SUMIF('Queries'!$I$6:$I$1005,A174,'Queries'!$C$6:$C$1005)</x:f>
        <x:v>13</x:v>
      </x:c>
      <x:c r="G174" s="15" t="n">
        <x:f>E174/F174</x:f>
        <x:v>0</x:v>
      </x:c>
      <x:c r="H174" s="16" t="n">
        <x:f>SUMIF('Queries'!$I$6:$I$1005,A174,'Scoring'!$J$6:$J$1005)/F174</x:f>
        <x:v>44.92</x:v>
      </x:c>
      <x:c r="I174" s="16" t="n">
        <x:f>MAX('Queries'!G921)</x:f>
        <x:v>54.6</x:v>
      </x:c>
      <x:c r="J174" s="6" t="str">
        <x:v>GROWTH</x:v>
      </x:c>
      <x:c r="K174" s="6" t="str">
        <x:v>gmc engine repair dubai</x:v>
      </x:c>
      <x:c r="L174" s="6" t="str">
        <x:v>Use dedicated service owner</x:v>
      </x:c>
      <x:c r="M174" s="6" t="str"/>
    </x:row>
    <x:row r="175" ht="32" customHeight="1">
      <x:c r="A175" s="6" t="str">
        <x:v>cadillac: AC repair</x:v>
      </x:c>
      <x:c r="B175" s="6" t="str">
        <x:v>cadillac ac repair</x:v>
      </x:c>
      <x:c r="C175" s="6" t="str">
        <x:v>https://digitecme.com/brands/cadillac-service-dubai/ac-repair</x:v>
      </x:c>
      <x:c r="D175" s="14" t="n">
        <x:f>COUNTIF('Queries'!$I$6:$I$1005,A175)</x:f>
        <x:v>1</x:v>
      </x:c>
      <x:c r="E175" s="14" t="n">
        <x:f>SUMIF('Queries'!$I$6:$I$1005,A175,'Queries'!$B$6:$B$1005)</x:f>
        <x:v>0</x:v>
      </x:c>
      <x:c r="F175" s="14" t="n">
        <x:f>SUMIF('Queries'!$I$6:$I$1005,A175,'Queries'!$C$6:$C$1005)</x:f>
        <x:v>69</x:v>
      </x:c>
      <x:c r="G175" s="15" t="n">
        <x:f>E175/F175</x:f>
        <x:v>0</x:v>
      </x:c>
      <x:c r="H175" s="16" t="n">
        <x:f>SUMIF('Queries'!$I$6:$I$1005,A175,'Scoring'!$J$6:$J$1005)/F175</x:f>
        <x:v>46.3</x:v>
      </x:c>
      <x:c r="I175" s="16" t="n">
        <x:f>MAX('Queries'!G226)</x:f>
        <x:v>51.9</x:v>
      </x:c>
      <x:c r="J175" s="6" t="str">
        <x:v>GROWTH</x:v>
      </x:c>
      <x:c r="K175" s="6" t="str">
        <x:v>cadillac ac repair</x:v>
      </x:c>
      <x:c r="L175" s="6" t="str">
        <x:v>Use dedicated service owner</x:v>
      </x:c>
      <x:c r="M175" s="6" t="str"/>
    </x:row>
    <x:row r="176" ht="42" customHeight="1">
      <x:c r="A176" s="6" t="str">
        <x:v>volkswagen: Brake repair</x:v>
      </x:c>
      <x:c r="B176" s="6" t="str">
        <x:v>volkswagen brake repair</x:v>
      </x:c>
      <x:c r="C176" s="6" t="str">
        <x:v>https://digitecme.com/brands/volkswagen-service-dubai/brake-repair</x:v>
      </x:c>
      <x:c r="D176" s="14" t="n">
        <x:f>COUNTIF('Queries'!$I$6:$I$1005,A176)</x:f>
        <x:v>2</x:v>
      </x:c>
      <x:c r="E176" s="14" t="n">
        <x:f>SUMIF('Queries'!$I$6:$I$1005,A176,'Queries'!$B$6:$B$1005)</x:f>
        <x:v>0</x:v>
      </x:c>
      <x:c r="F176" s="14" t="n">
        <x:f>SUMIF('Queries'!$I$6:$I$1005,A176,'Queries'!$C$6:$C$1005)</x:f>
        <x:v>51</x:v>
      </x:c>
      <x:c r="G176" s="15" t="n">
        <x:f>E176/F176</x:f>
        <x:v>0</x:v>
      </x:c>
      <x:c r="H176" s="16" t="n">
        <x:f>SUMIF('Queries'!$I$6:$I$1005,A176,'Scoring'!$J$6:$J$1005)/F176</x:f>
        <x:v>45.74705882352941</x:v>
      </x:c>
      <x:c r="I176" s="16" t="n">
        <x:f>MAX('Queries'!G375,'Queries'!G985)</x:f>
        <x:v>51.1</x:v>
      </x:c>
      <x:c r="J176" s="6" t="str">
        <x:v>GROWTH</x:v>
      </x:c>
      <x:c r="K176" s="6" t="str">
        <x:v>volkswagen brake repair</x:v>
      </x:c>
      <x:c r="L176" s="6" t="str">
        <x:v>Use dedicated service owner</x:v>
      </x:c>
      <x:c r="M176" s="6" t="str">
        <x:v>vw brake repair</x:v>
      </x:c>
    </x:row>
    <x:row r="177" ht="32" customHeight="1">
      <x:c r="A177" s="6" t="str">
        <x:v>mini: Engine and mechanical repair</x:v>
      </x:c>
      <x:c r="B177" s="6" t="str">
        <x:v>mini engine repair</x:v>
      </x:c>
      <x:c r="C177" s="6" t="str">
        <x:v>https://digitecme.com/brands/mini-service-dubai</x:v>
      </x:c>
      <x:c r="D177" s="14" t="n">
        <x:f>COUNTIF('Queries'!$I$6:$I$1005,A177)</x:f>
        <x:v>1</x:v>
      </x:c>
      <x:c r="E177" s="14" t="n">
        <x:f>SUMIF('Queries'!$I$6:$I$1005,A177,'Queries'!$B$6:$B$1005)</x:f>
        <x:v>0</x:v>
      </x:c>
      <x:c r="F177" s="14" t="n">
        <x:f>SUMIF('Queries'!$I$6:$I$1005,A177,'Queries'!$C$6:$C$1005)</x:f>
        <x:v>27</x:v>
      </x:c>
      <x:c r="G177" s="15" t="n">
        <x:f>E177/F177</x:f>
        <x:v>0</x:v>
      </x:c>
      <x:c r="H177" s="16" t="n">
        <x:f>SUMIF('Queries'!$I$6:$I$1005,A177,'Scoring'!$J$6:$J$1005)/F177</x:f>
        <x:v>61.96</x:v>
      </x:c>
      <x:c r="I177" s="16" t="n">
        <x:f>MAX('Queries'!G518)</x:f>
        <x:v>50.6</x:v>
      </x:c>
      <x:c r="J177" s="6" t="str">
        <x:v>GROWTH</x:v>
      </x:c>
      <x:c r="K177" s="6" t="str">
        <x:v>mini engine repair</x:v>
      </x:c>
      <x:c r="L177" s="6" t="str">
        <x:v>Use dedicated service owner</x:v>
      </x:c>
      <x:c r="M177" s="6" t="str"/>
    </x:row>
    <x:row r="178" ht="32" customHeight="1">
      <x:c r="A178" s="6" t="str">
        <x:v>volkswagen: Service and repair (Arabic)</x:v>
      </x:c>
      <x:c r="B178" s="6" t="str">
        <x:v>صيانة فولكس فاجن</x:v>
      </x:c>
      <x:c r="C178" s="6" t="str">
        <x:v>https://digitecme.com/ar/brands/volkswagen-service-dubai</x:v>
      </x:c>
      <x:c r="D178" s="14" t="n">
        <x:f>COUNTIF('Queries'!$I$6:$I$1005,A178)</x:f>
        <x:v>1</x:v>
      </x:c>
      <x:c r="E178" s="14" t="n">
        <x:f>SUMIF('Queries'!$I$6:$I$1005,A178,'Queries'!$B$6:$B$1005)</x:f>
        <x:v>0</x:v>
      </x:c>
      <x:c r="F178" s="14" t="n">
        <x:f>SUMIF('Queries'!$I$6:$I$1005,A178,'Queries'!$C$6:$C$1005)</x:f>
        <x:v>13</x:v>
      </x:c>
      <x:c r="G178" s="15" t="n">
        <x:f>E178/F178</x:f>
        <x:v>0</x:v>
      </x:c>
      <x:c r="H178" s="16" t="n">
        <x:f>SUMIF('Queries'!$I$6:$I$1005,A178,'Scoring'!$J$6:$J$1005)/F178</x:f>
        <x:v>45.92</x:v>
      </x:c>
      <x:c r="I178" s="16" t="n">
        <x:f>MAX('Queries'!G923)</x:f>
        <x:v>49.6</x:v>
      </x:c>
      <x:c r="J178" s="6" t="str">
        <x:v>GROWTH</x:v>
      </x:c>
      <x:c r="K178" s="6" t="str">
        <x:v>صيانة فولكس فاجن</x:v>
      </x:c>
      <x:c r="L178" s="6" t="str">
        <x:v>Strengthen this primary intent owner</x:v>
      </x:c>
      <x:c r="M178" s="6" t="str"/>
    </x:row>
    <x:row r="179" ht="42" customHeight="1">
      <x:c r="A179" s="6" t="str">
        <x:v>rox: Soft close doors</x:v>
      </x:c>
      <x:c r="B179" s="6" t="str">
        <x:v>rox01 soft close door</x:v>
      </x:c>
      <x:c r="C179" s="6" t="str">
        <x:v>https://digitecme.com/brands/rox-service-dubai/soft-close-door-installation</x:v>
      </x:c>
      <x:c r="D179" s="14" t="n">
        <x:f>COUNTIF('Queries'!$I$6:$I$1005,A179)</x:f>
        <x:v>2</x:v>
      </x:c>
      <x:c r="E179" s="14" t="n">
        <x:f>SUMIF('Queries'!$I$6:$I$1005,A179,'Queries'!$B$6:$B$1005)</x:f>
        <x:v>0</x:v>
      </x:c>
      <x:c r="F179" s="14" t="n">
        <x:f>SUMIF('Queries'!$I$6:$I$1005,A179,'Queries'!$C$6:$C$1005)</x:f>
        <x:v>55</x:v>
      </x:c>
      <x:c r="G179" s="15" t="n">
        <x:f>E179/F179</x:f>
        <x:v>0</x:v>
      </x:c>
      <x:c r="H179" s="16" t="n">
        <x:f>SUMIF('Queries'!$I$6:$I$1005,A179,'Scoring'!$J$6:$J$1005)/F179</x:f>
        <x:v>7.508</x:v>
      </x:c>
      <x:c r="I179" s="16" t="n">
        <x:f>MAX('Queries'!G340,'Queries'!G940)</x:f>
        <x:v>48.7</x:v>
      </x:c>
      <x:c r="J179" s="6" t="str">
        <x:v>CRITICAL</x:v>
      </x:c>
      <x:c r="K179" s="6" t="str">
        <x:v>rox01 soft close door</x:v>
      </x:c>
      <x:c r="L179" s="6" t="str">
        <x:v>Use dedicated service owner</x:v>
      </x:c>
      <x:c r="M179" s="6" t="str">
        <x:v>rox 01 soft close door</x:v>
      </x:c>
    </x:row>
    <x:row r="180" ht="32" customHeight="1">
      <x:c r="A180" s="6" t="str">
        <x:v>Information: Body repair history</x:v>
      </x:c>
      <x:c r="B180" s="6" t="str">
        <x:v>car body repair history dubai</x:v>
      </x:c>
      <x:c r="C180" s="6" t="str">
        <x:v>https://digitecme.com/services/car-body-repair-dubai</x:v>
      </x:c>
      <x:c r="D180" s="14" t="n">
        <x:f>COUNTIF('Queries'!$I$6:$I$1005,A180)</x:f>
        <x:v>1</x:v>
      </x:c>
      <x:c r="E180" s="14" t="n">
        <x:f>SUMIF('Queries'!$I$6:$I$1005,A180,'Queries'!$B$6:$B$1005)</x:f>
        <x:v>0</x:v>
      </x:c>
      <x:c r="F180" s="14" t="n">
        <x:f>SUMIF('Queries'!$I$6:$I$1005,A180,'Queries'!$C$6:$C$1005)</x:f>
        <x:v>15</x:v>
      </x:c>
      <x:c r="G180" s="15" t="n">
        <x:f>E180/F180</x:f>
        <x:v>0</x:v>
      </x:c>
      <x:c r="H180" s="16" t="n">
        <x:f>SUMIF('Queries'!$I$6:$I$1005,A180,'Scoring'!$J$6:$J$1005)/F180</x:f>
        <x:v>18.73</x:v>
      </x:c>
      <x:c r="I180" s="16" t="n">
        <x:f>MAX('Queries'!G798)</x:f>
        <x:v>48</x:v>
      </x:c>
      <x:c r="J180" s="6" t="str">
        <x:v>GROWTH</x:v>
      </x:c>
      <x:c r="K180" s="6" t="str">
        <x:v>car body repair history dubai</x:v>
      </x:c>
      <x:c r="L180" s="6" t="str">
        <x:v>Strengthen this primary intent owner</x:v>
      </x:c>
      <x:c r="M180" s="6" t="str"/>
    </x:row>
    <x:row r="181" ht="42" customHeight="1">
      <x:c r="A181" s="6" t="str">
        <x:v>lotus: Transmission and gearbox repair</x:v>
      </x:c>
      <x:c r="B181" s="6" t="str">
        <x:v>lotus transmission repair dubai</x:v>
      </x:c>
      <x:c r="C181" s="6" t="str">
        <x:v>https://digitecme.com/brands/lotus-service-dubai/transmission-repair</x:v>
      </x:c>
      <x:c r="D181" s="14" t="n">
        <x:f>COUNTIF('Queries'!$I$6:$I$1005,A181)</x:f>
        <x:v>1</x:v>
      </x:c>
      <x:c r="E181" s="14" t="n">
        <x:f>SUMIF('Queries'!$I$6:$I$1005,A181,'Queries'!$B$6:$B$1005)</x:f>
        <x:v>0</x:v>
      </x:c>
      <x:c r="F181" s="14" t="n">
        <x:f>SUMIF('Queries'!$I$6:$I$1005,A181,'Queries'!$C$6:$C$1005)</x:f>
        <x:v>30</x:v>
      </x:c>
      <x:c r="G181" s="15" t="n">
        <x:f>E181/F181</x:f>
        <x:v>0</x:v>
      </x:c>
      <x:c r="H181" s="16" t="n">
        <x:f>SUMIF('Queries'!$I$6:$I$1005,A181,'Scoring'!$J$6:$J$1005)/F181</x:f>
        <x:v>27.57</x:v>
      </x:c>
      <x:c r="I181" s="16" t="n">
        <x:f>MAX('Queries'!G459)</x:f>
        <x:v>45.5</x:v>
      </x:c>
      <x:c r="J181" s="6" t="str">
        <x:v>HIGH</x:v>
      </x:c>
      <x:c r="K181" s="6" t="str">
        <x:v>lotus transmission repair dubai</x:v>
      </x:c>
      <x:c r="L181" s="6" t="str">
        <x:v>Use dedicated service owner</x:v>
      </x:c>
      <x:c r="M181" s="6" t="str"/>
    </x:row>
    <x:row r="182" ht="32" customHeight="1">
      <x:c r="A182" s="6" t="str">
        <x:v>Information: Battery life</x:v>
      </x:c>
      <x:c r="B182" s="6" t="str">
        <x:v>car battery life in uae</x:v>
      </x:c>
      <x:c r="C182" s="6" t="str">
        <x:v>https://digitecme.com/blog/car-battery-life-dubai-heat</x:v>
      </x:c>
      <x:c r="D182" s="14" t="n">
        <x:f>COUNTIF('Queries'!$I$6:$I$1005,A182)</x:f>
        <x:v>1</x:v>
      </x:c>
      <x:c r="E182" s="14" t="n">
        <x:f>SUMIF('Queries'!$I$6:$I$1005,A182,'Queries'!$B$6:$B$1005)</x:f>
        <x:v>0</x:v>
      </x:c>
      <x:c r="F182" s="14" t="n">
        <x:f>SUMIF('Queries'!$I$6:$I$1005,A182,'Queries'!$C$6:$C$1005)</x:f>
        <x:v>22</x:v>
      </x:c>
      <x:c r="G182" s="15" t="n">
        <x:f>E182/F182</x:f>
        <x:v>0</x:v>
      </x:c>
      <x:c r="H182" s="16" t="n">
        <x:f>SUMIF('Queries'!$I$6:$I$1005,A182,'Scoring'!$J$6:$J$1005)/F182</x:f>
        <x:v>8.23</x:v>
      </x:c>
      <x:c r="I182" s="16" t="n">
        <x:f>MAX('Queries'!G594)</x:f>
        <x:v>45.5</x:v>
      </x:c>
      <x:c r="J182" s="6" t="str">
        <x:v>GROWTH</x:v>
      </x:c>
      <x:c r="K182" s="6" t="str">
        <x:v>car battery life in uae</x:v>
      </x:c>
      <x:c r="L182" s="6" t="str">
        <x:v>Strengthen this primary intent owner</x:v>
      </x:c>
      <x:c r="M182" s="6" t="str"/>
    </x:row>
    <x:row r="183" ht="42" customHeight="1">
      <x:c r="A183" s="6" t="str">
        <x:v>volvo: Battery service</x:v>
      </x:c>
      <x:c r="B183" s="6" t="str">
        <x:v>volvo battery dubai</x:v>
      </x:c>
      <x:c r="C183" s="6" t="str">
        <x:v>https://digitecme.com/brands/volvo-service-dubai/battery-replacement</x:v>
      </x:c>
      <x:c r="D183" s="14" t="n">
        <x:f>COUNTIF('Queries'!$I$6:$I$1005,A183)</x:f>
        <x:v>2</x:v>
      </x:c>
      <x:c r="E183" s="14" t="n">
        <x:f>SUMIF('Queries'!$I$6:$I$1005,A183,'Queries'!$B$6:$B$1005)</x:f>
        <x:v>0</x:v>
      </x:c>
      <x:c r="F183" s="14" t="n">
        <x:f>SUMIF('Queries'!$I$6:$I$1005,A183,'Queries'!$C$6:$C$1005)</x:f>
        <x:v>44</x:v>
      </x:c>
      <x:c r="G183" s="15" t="n">
        <x:f>E183/F183</x:f>
        <x:v>0</x:v>
      </x:c>
      <x:c r="H183" s="16" t="n">
        <x:f>SUMIF('Queries'!$I$6:$I$1005,A183,'Scoring'!$J$6:$J$1005)/F183</x:f>
        <x:v>17.822045454545453</x:v>
      </x:c>
      <x:c r="I183" s="16" t="n">
        <x:f>MAX('Queries'!G507,'Queries'!G714)</x:f>
        <x:v>44.6</x:v>
      </x:c>
      <x:c r="J183" s="6" t="str">
        <x:v>HIGH</x:v>
      </x:c>
      <x:c r="K183" s="6" t="str">
        <x:v>volvo battery dubai</x:v>
      </x:c>
      <x:c r="L183" s="6" t="str">
        <x:v>Use dedicated service owner</x:v>
      </x:c>
      <x:c r="M183" s="6" t="str">
        <x:v>volvo battery</x:v>
      </x:c>
    </x:row>
    <x:row r="184" ht="32" customHeight="1">
      <x:c r="A184" s="6" t="str">
        <x:v>jeep: Suspension repair</x:v>
      </x:c>
      <x:c r="B184" s="6" t="str">
        <x:v>jeep suspension repair dubai</x:v>
      </x:c>
      <x:c r="C184" s="6" t="str">
        <x:v>https://digitecme.com/brands/jeep-service-dubai/suspension-repair</x:v>
      </x:c>
      <x:c r="D184" s="14" t="n">
        <x:f>COUNTIF('Queries'!$I$6:$I$1005,A184)</x:f>
        <x:v>1</x:v>
      </x:c>
      <x:c r="E184" s="14" t="n">
        <x:f>SUMIF('Queries'!$I$6:$I$1005,A184,'Queries'!$B$6:$B$1005)</x:f>
        <x:v>0</x:v>
      </x:c>
      <x:c r="F184" s="14" t="n">
        <x:f>SUMIF('Queries'!$I$6:$I$1005,A184,'Queries'!$C$6:$C$1005)</x:f>
        <x:v>13</x:v>
      </x:c>
      <x:c r="G184" s="15" t="n">
        <x:f>E184/F184</x:f>
        <x:v>0</x:v>
      </x:c>
      <x:c r="H184" s="16" t="n">
        <x:f>SUMIF('Queries'!$I$6:$I$1005,A184,'Scoring'!$J$6:$J$1005)/F184</x:f>
        <x:v>14.46</x:v>
      </x:c>
      <x:c r="I184" s="16" t="n">
        <x:f>MAX('Queries'!G891)</x:f>
        <x:v>44.4</x:v>
      </x:c>
      <x:c r="J184" s="6" t="str">
        <x:v>HIGH</x:v>
      </x:c>
      <x:c r="K184" s="6" t="str">
        <x:v>jeep suspension repair dubai</x:v>
      </x:c>
      <x:c r="L184" s="6" t="str">
        <x:v>Use dedicated service owner</x:v>
      </x:c>
      <x:c r="M184" s="6" t="str"/>
    </x:row>
    <x:row r="185" ht="42" customHeight="1">
      <x:c r="A185" s="6" t="str">
        <x:v>cadillac: Battery service</x:v>
      </x:c>
      <x:c r="B185" s="6" t="str">
        <x:v>cadillac car battery dubai</x:v>
      </x:c>
      <x:c r="C185" s="6" t="str">
        <x:v>https://digitecme.com/brands/cadillac-service-dubai/battery-replacement</x:v>
      </x:c>
      <x:c r="D185" s="14" t="n">
        <x:f>COUNTIF('Queries'!$I$6:$I$1005,A185)</x:f>
        <x:v>3</x:v>
      </x:c>
      <x:c r="E185" s="14" t="n">
        <x:f>SUMIF('Queries'!$I$6:$I$1005,A185,'Queries'!$B$6:$B$1005)</x:f>
        <x:v>0</x:v>
      </x:c>
      <x:c r="F185" s="14" t="n">
        <x:f>SUMIF('Queries'!$I$6:$I$1005,A185,'Queries'!$C$6:$C$1005)</x:f>
        <x:v>37</x:v>
      </x:c>
      <x:c r="G185" s="15" t="n">
        <x:f>E185/F185</x:f>
        <x:v>0</x:v>
      </x:c>
      <x:c r="H185" s="16" t="n">
        <x:f>SUMIF('Queries'!$I$6:$I$1005,A185,'Scoring'!$J$6:$J$1005)/F185</x:f>
        <x:v>27.514864864864865</x:v>
      </x:c>
      <x:c r="I185" s="16" t="n">
        <x:f>MAX('Queries'!G897,'Queries'!G924,'Queries'!G1000)</x:f>
        <x:v>44.3</x:v>
      </x:c>
      <x:c r="J185" s="6" t="str">
        <x:v>HIGH</x:v>
      </x:c>
      <x:c r="K185" s="6" t="str">
        <x:v>cadillac car battery dubai</x:v>
      </x:c>
      <x:c r="L185" s="6" t="str">
        <x:v>Use dedicated service owner</x:v>
      </x:c>
      <x:c r="M185" s="6" t="str">
        <x:v>cadillac car battery uae; cadillac car battery</x:v>
      </x:c>
    </x:row>
    <x:row r="186" ht="32" customHeight="1">
      <x:c r="A186" s="6" t="str">
        <x:v>toyota: Oil change</x:v>
      </x:c>
      <x:c r="B186" s="6" t="str">
        <x:v>toyota lubricants dubai</x:v>
      </x:c>
      <x:c r="C186" s="6" t="str">
        <x:v>https://digitecme.com/brands/toyota-service-dubai/oil-change</x:v>
      </x:c>
      <x:c r="D186" s="14" t="n">
        <x:f>COUNTIF('Queries'!$I$6:$I$1005,A186)</x:f>
        <x:v>1</x:v>
      </x:c>
      <x:c r="E186" s="14" t="n">
        <x:f>SUMIF('Queries'!$I$6:$I$1005,A186,'Queries'!$B$6:$B$1005)</x:f>
        <x:v>0</x:v>
      </x:c>
      <x:c r="F186" s="14" t="n">
        <x:f>SUMIF('Queries'!$I$6:$I$1005,A186,'Queries'!$C$6:$C$1005)</x:f>
        <x:v>16</x:v>
      </x:c>
      <x:c r="G186" s="15" t="n">
        <x:f>E186/F186</x:f>
        <x:v>0</x:v>
      </x:c>
      <x:c r="H186" s="16" t="n">
        <x:f>SUMIF('Queries'!$I$6:$I$1005,A186,'Scoring'!$J$6:$J$1005)/F186</x:f>
        <x:v>21.69</x:v>
      </x:c>
      <x:c r="I186" s="16" t="n">
        <x:f>MAX('Queries'!G761)</x:f>
        <x:v>42</x:v>
      </x:c>
      <x:c r="J186" s="6" t="str">
        <x:v>DEPRIORITIZE</x:v>
      </x:c>
      <x:c r="K186" s="6" t="str">
        <x:v>toyota lubricants dubai</x:v>
      </x:c>
      <x:c r="L186" s="6" t="str">
        <x:v>Confirm scope or deprioritize</x:v>
      </x:c>
      <x:c r="M186" s="6" t="str"/>
    </x:row>
    <x:row r="187" ht="42" customHeight="1">
      <x:c r="A187" s="6" t="str">
        <x:v>cadillac: Transmission and gearbox repair</x:v>
      </x:c>
      <x:c r="B187" s="6" t="str">
        <x:v>cadillac transmission repair dubai</x:v>
      </x:c>
      <x:c r="C187" s="6" t="str">
        <x:v>https://digitecme.com/brands/cadillac-service-dubai/transmission-repair</x:v>
      </x:c>
      <x:c r="D187" s="14" t="n">
        <x:f>COUNTIF('Queries'!$I$6:$I$1005,A187)</x:f>
        <x:v>1</x:v>
      </x:c>
      <x:c r="E187" s="14" t="n">
        <x:f>SUMIF('Queries'!$I$6:$I$1005,A187,'Queries'!$B$6:$B$1005)</x:f>
        <x:v>0</x:v>
      </x:c>
      <x:c r="F187" s="14" t="n">
        <x:f>SUMIF('Queries'!$I$6:$I$1005,A187,'Queries'!$C$6:$C$1005)</x:f>
        <x:v>26</x:v>
      </x:c>
      <x:c r="G187" s="15" t="n">
        <x:f>E187/F187</x:f>
        <x:v>0</x:v>
      </x:c>
      <x:c r="H187" s="16" t="n">
        <x:f>SUMIF('Queries'!$I$6:$I$1005,A187,'Scoring'!$J$6:$J$1005)/F187</x:f>
        <x:v>29.77</x:v>
      </x:c>
      <x:c r="I187" s="16" t="n">
        <x:f>MAX('Queries'!G527)</x:f>
        <x:v>40.2</x:v>
      </x:c>
      <x:c r="J187" s="6" t="str">
        <x:v>HIGH</x:v>
      </x:c>
      <x:c r="K187" s="6" t="str">
        <x:v>cadillac transmission repair dubai</x:v>
      </x:c>
      <x:c r="L187" s="6" t="str">
        <x:v>Use dedicated service owner</x:v>
      </x:c>
      <x:c r="M187" s="6" t="str"/>
    </x:row>
    <x:row r="188" ht="42" customHeight="1">
      <x:c r="A188" s="6" t="str">
        <x:v>hummer: Transmission and gearbox repair</x:v>
      </x:c>
      <x:c r="B188" s="6" t="str">
        <x:v>hummer transmission repair dubai</x:v>
      </x:c>
      <x:c r="C188" s="6" t="str">
        <x:v>https://digitecme.com/brands/hummer-service-dubai/transmission-repair</x:v>
      </x:c>
      <x:c r="D188" s="14" t="n">
        <x:f>COUNTIF('Queries'!$I$6:$I$1005,A188)</x:f>
        <x:v>1</x:v>
      </x:c>
      <x:c r="E188" s="14" t="n">
        <x:f>SUMIF('Queries'!$I$6:$I$1005,A188,'Queries'!$B$6:$B$1005)</x:f>
        <x:v>0</x:v>
      </x:c>
      <x:c r="F188" s="14" t="n">
        <x:f>SUMIF('Queries'!$I$6:$I$1005,A188,'Queries'!$C$6:$C$1005)</x:f>
        <x:v>20</x:v>
      </x:c>
      <x:c r="G188" s="15" t="n">
        <x:f>E188/F188</x:f>
        <x:v>0</x:v>
      </x:c>
      <x:c r="H188" s="16" t="n">
        <x:f>SUMIF('Queries'!$I$6:$I$1005,A188,'Scoring'!$J$6:$J$1005)/F188</x:f>
        <x:v>29.2</x:v>
      </x:c>
      <x:c r="I188" s="16" t="n">
        <x:f>MAX('Queries'!G640)</x:f>
        <x:v>39.9</x:v>
      </x:c>
      <x:c r="J188" s="6" t="str">
        <x:v>HIGH</x:v>
      </x:c>
      <x:c r="K188" s="6" t="str">
        <x:v>hummer transmission repair dubai</x:v>
      </x:c>
      <x:c r="L188" s="6" t="str">
        <x:v>Use dedicated service owner</x:v>
      </x:c>
      <x:c r="M188" s="6" t="str"/>
    </x:row>
    <x:row r="189" ht="42" customHeight="1">
      <x:c r="A189" s="6" t="str">
        <x:v>chevrolet: Transmission and gearbox repair</x:v>
      </x:c>
      <x:c r="B189" s="6" t="str">
        <x:v>chevrolet transmission repair dubai</x:v>
      </x:c>
      <x:c r="C189" s="6" t="str">
        <x:v>https://digitecme.com/brands/chevrolet-service-dubai/transmission-repair</x:v>
      </x:c>
      <x:c r="D189" s="14" t="n">
        <x:f>COUNTIF('Queries'!$I$6:$I$1005,A189)</x:f>
        <x:v>1</x:v>
      </x:c>
      <x:c r="E189" s="14" t="n">
        <x:f>SUMIF('Queries'!$I$6:$I$1005,A189,'Queries'!$B$6:$B$1005)</x:f>
        <x:v>0</x:v>
      </x:c>
      <x:c r="F189" s="14" t="n">
        <x:f>SUMIF('Queries'!$I$6:$I$1005,A189,'Queries'!$C$6:$C$1005)</x:f>
        <x:v>16</x:v>
      </x:c>
      <x:c r="G189" s="15" t="n">
        <x:f>E189/F189</x:f>
        <x:v>0</x:v>
      </x:c>
      <x:c r="H189" s="16" t="n">
        <x:f>SUMIF('Queries'!$I$6:$I$1005,A189,'Scoring'!$J$6:$J$1005)/F189</x:f>
        <x:v>15.19</x:v>
      </x:c>
      <x:c r="I189" s="16" t="n">
        <x:f>MAX('Queries'!G757)</x:f>
        <x:v>39.7</x:v>
      </x:c>
      <x:c r="J189" s="6" t="str">
        <x:v>HIGH</x:v>
      </x:c>
      <x:c r="K189" s="6" t="str">
        <x:v>chevrolet transmission repair dubai</x:v>
      </x:c>
      <x:c r="L189" s="6" t="str">
        <x:v>Use dedicated service owner</x:v>
      </x:c>
      <x:c r="M189" s="6" t="str"/>
    </x:row>
    <x:row r="190" ht="42" customHeight="1">
      <x:c r="A190" s="6" t="str">
        <x:v>gmc: Transmission and gearbox repair</x:v>
      </x:c>
      <x:c r="B190" s="6" t="str">
        <x:v>gmc transmission repair dubai</x:v>
      </x:c>
      <x:c r="C190" s="6" t="str">
        <x:v>https://digitecme.com/brands/gmc-service-dubai/transmission-repair</x:v>
      </x:c>
      <x:c r="D190" s="14" t="n">
        <x:f>COUNTIF('Queries'!$I$6:$I$1005,A190)</x:f>
        <x:v>1</x:v>
      </x:c>
      <x:c r="E190" s="14" t="n">
        <x:f>SUMIF('Queries'!$I$6:$I$1005,A190,'Queries'!$B$6:$B$1005)</x:f>
        <x:v>0</x:v>
      </x:c>
      <x:c r="F190" s="14" t="n">
        <x:f>SUMIF('Queries'!$I$6:$I$1005,A190,'Queries'!$C$6:$C$1005)</x:f>
        <x:v>16</x:v>
      </x:c>
      <x:c r="G190" s="15" t="n">
        <x:f>E190/F190</x:f>
        <x:v>0</x:v>
      </x:c>
      <x:c r="H190" s="16" t="n">
        <x:f>SUMIF('Queries'!$I$6:$I$1005,A190,'Scoring'!$J$6:$J$1005)/F190</x:f>
        <x:v>17.69</x:v>
      </x:c>
      <x:c r="I190" s="16" t="n">
        <x:f>MAX('Queries'!G760)</x:f>
        <x:v>39.7</x:v>
      </x:c>
      <x:c r="J190" s="6" t="str">
        <x:v>HIGH</x:v>
      </x:c>
      <x:c r="K190" s="6" t="str">
        <x:v>gmc transmission repair dubai</x:v>
      </x:c>
      <x:c r="L190" s="6" t="str">
        <x:v>Use dedicated service owner</x:v>
      </x:c>
      <x:c r="M190" s="6" t="str"/>
    </x:row>
    <x:row r="191" ht="42" customHeight="1">
      <x:c r="A191" s="6" t="str">
        <x:v>volkswagen: Battery service</x:v>
      </x:c>
      <x:c r="B191" s="6" t="str">
        <x:v>volkswagen car battery dubai</x:v>
      </x:c>
      <x:c r="C191" s="6" t="str">
        <x:v>https://digitecme.com/brands/volkswagen-service-dubai/battery-replacement</x:v>
      </x:c>
      <x:c r="D191" s="14" t="n">
        <x:f>COUNTIF('Queries'!$I$6:$I$1005,A191)</x:f>
        <x:v>4</x:v>
      </x:c>
      <x:c r="E191" s="14" t="n">
        <x:f>SUMIF('Queries'!$I$6:$I$1005,A191,'Queries'!$B$6:$B$1005)</x:f>
        <x:v>0</x:v>
      </x:c>
      <x:c r="F191" s="14" t="n">
        <x:f>SUMIF('Queries'!$I$6:$I$1005,A191,'Queries'!$C$6:$C$1005)</x:f>
        <x:v>59</x:v>
      </x:c>
      <x:c r="G191" s="15" t="n">
        <x:f>E191/F191</x:f>
        <x:v>0</x:v>
      </x:c>
      <x:c r="H191" s="16" t="n">
        <x:f>SUMIF('Queries'!$I$6:$I$1005,A191,'Scoring'!$J$6:$J$1005)/F191</x:f>
        <x:v>37.10237288135593</x:v>
      </x:c>
      <x:c r="I191" s="16" t="n">
        <x:f>MAX('Queries'!G802,'Queries'!G807,'Queries'!G809,'Queries'!G877)</x:f>
        <x:v>39.7</x:v>
      </x:c>
      <x:c r="J191" s="6" t="str">
        <x:v>HIGH</x:v>
      </x:c>
      <x:c r="K191" s="6" t="str">
        <x:v>volkswagen car battery dubai</x:v>
      </x:c>
      <x:c r="L191" s="6" t="str">
        <x:v>Use dedicated service owner</x:v>
      </x:c>
      <x:c r="M191" s="6" t="str">
        <x:v>vw golf battery service; volkswagen car battery uae; volkswagen car battery</x:v>
      </x:c>
    </x:row>
    <x:row r="192" ht="42" customHeight="1">
      <x:c r="A192" s="6" t="str">
        <x:v>volkswagen: Transmission and gearbox repair</x:v>
      </x:c>
      <x:c r="B192" s="6" t="str">
        <x:v>volkswagen transmission repair dubai</x:v>
      </x:c>
      <x:c r="C192" s="6" t="str">
        <x:v>https://digitecme.com/brands/volkswagen-service-dubai/transmission-repair</x:v>
      </x:c>
      <x:c r="D192" s="14" t="n">
        <x:f>COUNTIF('Queries'!$I$6:$I$1005,A192)</x:f>
        <x:v>2</x:v>
      </x:c>
      <x:c r="E192" s="14" t="n">
        <x:f>SUMIF('Queries'!$I$6:$I$1005,A192,'Queries'!$B$6:$B$1005)</x:f>
        <x:v>0</x:v>
      </x:c>
      <x:c r="F192" s="14" t="n">
        <x:f>SUMIF('Queries'!$I$6:$I$1005,A192,'Queries'!$C$6:$C$1005)</x:f>
        <x:v>34</x:v>
      </x:c>
      <x:c r="G192" s="15" t="n">
        <x:f>E192/F192</x:f>
        <x:v>0</x:v>
      </x:c>
      <x:c r="H192" s="16" t="n">
        <x:f>SUMIF('Queries'!$I$6:$I$1005,A192,'Scoring'!$J$6:$J$1005)/F192</x:f>
        <x:v>26.410588235294117</x:v>
      </x:c>
      <x:c r="I192" s="16" t="n">
        <x:f>MAX('Queries'!G641,'Queries'!G846)</x:f>
        <x:v>39.6</x:v>
      </x:c>
      <x:c r="J192" s="6" t="str">
        <x:v>HIGH</x:v>
      </x:c>
      <x:c r="K192" s="6" t="str">
        <x:v>volkswagen transmission repair dubai</x:v>
      </x:c>
      <x:c r="L192" s="6" t="str">
        <x:v>Use dedicated service owner</x:v>
      </x:c>
      <x:c r="M192" s="6" t="str">
        <x:v>volkswagen dsg oil change</x:v>
      </x:c>
    </x:row>
    <x:row r="193" ht="42" customHeight="1">
      <x:c r="A193" s="6" t="str">
        <x:v>dodge: Transmission and gearbox repair</x:v>
      </x:c>
      <x:c r="B193" s="6" t="str">
        <x:v>dodge transmission repair dubai</x:v>
      </x:c>
      <x:c r="C193" s="6" t="str">
        <x:v>https://digitecme.com/brands/dodge-service-dubai/transmission-repair</x:v>
      </x:c>
      <x:c r="D193" s="14" t="n">
        <x:f>COUNTIF('Queries'!$I$6:$I$1005,A193)</x:f>
        <x:v>1</x:v>
      </x:c>
      <x:c r="E193" s="14" t="n">
        <x:f>SUMIF('Queries'!$I$6:$I$1005,A193,'Queries'!$B$6:$B$1005)</x:f>
        <x:v>0</x:v>
      </x:c>
      <x:c r="F193" s="14" t="n">
        <x:f>SUMIF('Queries'!$I$6:$I$1005,A193,'Queries'!$C$6:$C$1005)</x:f>
        <x:v>11</x:v>
      </x:c>
      <x:c r="G193" s="15" t="n">
        <x:f>E193/F193</x:f>
        <x:v>0</x:v>
      </x:c>
      <x:c r="H193" s="16" t="n">
        <x:f>SUMIF('Queries'!$I$6:$I$1005,A193,'Scoring'!$J$6:$J$1005)/F193</x:f>
        <x:v>18.82</x:v>
      </x:c>
      <x:c r="I193" s="16" t="n">
        <x:f>MAX('Queries'!G1004)</x:f>
        <x:v>39.4</x:v>
      </x:c>
      <x:c r="J193" s="6" t="str">
        <x:v>HIGH</x:v>
      </x:c>
      <x:c r="K193" s="6" t="str">
        <x:v>dodge transmission repair dubai</x:v>
      </x:c>
      <x:c r="L193" s="6" t="str">
        <x:v>Use dedicated service owner</x:v>
      </x:c>
      <x:c r="M193" s="6" t="str"/>
    </x:row>
    <x:row r="194" ht="42" customHeight="1">
      <x:c r="A194" s="6" t="str">
        <x:v>jeep: Battery service</x:v>
      </x:c>
      <x:c r="B194" s="6" t="str">
        <x:v>jeep car battery uae</x:v>
      </x:c>
      <x:c r="C194" s="6" t="str">
        <x:v>https://digitecme.com/brands/jeep-service-dubai/battery-replacement</x:v>
      </x:c>
      <x:c r="D194" s="14" t="n">
        <x:f>COUNTIF('Queries'!$I$6:$I$1005,A194)</x:f>
        <x:v>2</x:v>
      </x:c>
      <x:c r="E194" s="14" t="n">
        <x:f>SUMIF('Queries'!$I$6:$I$1005,A194,'Queries'!$B$6:$B$1005)</x:f>
        <x:v>0</x:v>
      </x:c>
      <x:c r="F194" s="14" t="n">
        <x:f>SUMIF('Queries'!$I$6:$I$1005,A194,'Queries'!$C$6:$C$1005)</x:f>
        <x:v>27</x:v>
      </x:c>
      <x:c r="G194" s="15" t="n">
        <x:f>E194/F194</x:f>
        <x:v>0</x:v>
      </x:c>
      <x:c r="H194" s="16" t="n">
        <x:f>SUMIF('Queries'!$I$6:$I$1005,A194,'Scoring'!$J$6:$J$1005)/F194</x:f>
        <x:v>41.51740740740741</x:v>
      </x:c>
      <x:c r="I194" s="16" t="n">
        <x:f>MAX('Queries'!G855,'Queries'!G927)</x:f>
        <x:v>31.5</x:v>
      </x:c>
      <x:c r="J194" s="6" t="str">
        <x:v>GROWTH</x:v>
      </x:c>
      <x:c r="K194" s="6" t="str">
        <x:v>jeep car battery uae</x:v>
      </x:c>
      <x:c r="L194" s="6" t="str">
        <x:v>Use dedicated service owner</x:v>
      </x:c>
      <x:c r="M194" s="6" t="str">
        <x:v>jeep car battery</x:v>
      </x:c>
    </x:row>
    <x:row r="195" ht="42" customHeight="1">
      <x:c r="A195" s="6" t="str">
        <x:v>mclaren: Engine and mechanical repair (outside Dubai)</x:v>
      </x:c>
      <x:c r="B195" s="6" t="str">
        <x:v>mclaren engine repair abu dhabi</x:v>
      </x:c>
      <x:c r="C195" s="6" t="str">
        <x:v>https://digitecme.com/brands/mclaren-service-dubai/mechanical-repair</x:v>
      </x:c>
      <x:c r="D195" s="14" t="n">
        <x:f>COUNTIF('Queries'!$I$6:$I$1005,A195)</x:f>
        <x:v>1</x:v>
      </x:c>
      <x:c r="E195" s="14" t="n">
        <x:f>SUMIF('Queries'!$I$6:$I$1005,A195,'Queries'!$B$6:$B$1005)</x:f>
        <x:v>0</x:v>
      </x:c>
      <x:c r="F195" s="14" t="n">
        <x:f>SUMIF('Queries'!$I$6:$I$1005,A195,'Queries'!$C$6:$C$1005)</x:f>
        <x:v>18</x:v>
      </x:c>
      <x:c r="G195" s="15" t="n">
        <x:f>E195/F195</x:f>
        <x:v>0</x:v>
      </x:c>
      <x:c r="H195" s="16" t="n">
        <x:f>SUMIF('Queries'!$I$6:$I$1005,A195,'Scoring'!$J$6:$J$1005)/F195</x:f>
        <x:v>14</x:v>
      </x:c>
      <x:c r="I195" s="16" t="n">
        <x:f>MAX('Queries'!G691)</x:f>
        <x:v>13.7</x:v>
      </x:c>
      <x:c r="J195" s="6" t="str">
        <x:v>DEPRIORITIZE</x:v>
      </x:c>
      <x:c r="K195" s="6" t="str">
        <x:v>mclaren engine repair abu dhabi</x:v>
      </x:c>
      <x:c r="L195" s="6" t="str">
        <x:v>Confirm scope or deprioritize</x:v>
      </x:c>
      <x:c r="M195" s="6" t="str"/>
    </x:row>
    <x:row r="196" ht="32" customHeight="1">
      <x:c r="A196" s="6" t="str">
        <x:v>audi: Service and repair (outside Dubai)</x:v>
      </x:c>
      <x:c r="B196" s="6" t="str">
        <x:v>تصليح اودى ابو ظبي</x:v>
      </x:c>
      <x:c r="C196" s="6" t="str">
        <x:v>https://digitecme.com/ar/brands/audi-service-dubai</x:v>
      </x:c>
      <x:c r="D196" s="14" t="n">
        <x:f>COUNTIF('Queries'!$I$6:$I$1005,A196)</x:f>
        <x:v>2</x:v>
      </x:c>
      <x:c r="E196" s="14" t="n">
        <x:f>SUMIF('Queries'!$I$6:$I$1005,A196,'Queries'!$B$6:$B$1005)</x:f>
        <x:v>0</x:v>
      </x:c>
      <x:c r="F196" s="14" t="n">
        <x:f>SUMIF('Queries'!$I$6:$I$1005,A196,'Queries'!$C$6:$C$1005)</x:f>
        <x:v>44</x:v>
      </x:c>
      <x:c r="G196" s="15" t="n">
        <x:f>E196/F196</x:f>
        <x:v>0</x:v>
      </x:c>
      <x:c r="H196" s="16" t="n">
        <x:f>SUMIF('Queries'!$I$6:$I$1005,A196,'Scoring'!$J$6:$J$1005)/F196</x:f>
        <x:v>38.522954545454546</x:v>
      </x:c>
      <x:c r="I196" s="16" t="n">
        <x:f>MAX('Queries'!G451,'Queries'!G882)</x:f>
        <x:v>13.6</x:v>
      </x:c>
      <x:c r="J196" s="6" t="str">
        <x:v>DEPRIORITIZE</x:v>
      </x:c>
      <x:c r="K196" s="6" t="str">
        <x:v>افضل ورشة اودى مصفح</x:v>
      </x:c>
      <x:c r="L196" s="6" t="str">
        <x:v>Confirm scope or deprioritize</x:v>
      </x:c>
      <x:c r="M196" s="6" t="str">
        <x:v>افضل ورشة اودى مصفح</x:v>
      </x:c>
    </x:row>
    <x:row r="197" ht="42" customHeight="1">
      <x:c r="A197" s="6" t="str">
        <x:v>mclaren: Service and repair (outside Dubai)</x:v>
      </x:c>
      <x:c r="B197" s="6" t="str">
        <x:v>mclaren repair abu dhabi</x:v>
      </x:c>
      <x:c r="C197" s="6" t="str">
        <x:v>https://digitecme.com/brands/mclaren-service-dubai</x:v>
      </x:c>
      <x:c r="D197" s="14" t="n">
        <x:f>COUNTIF('Queries'!$I$6:$I$1005,A197)</x:f>
        <x:v>3</x:v>
      </x:c>
      <x:c r="E197" s="14" t="n">
        <x:f>SUMIF('Queries'!$I$6:$I$1005,A197,'Queries'!$B$6:$B$1005)</x:f>
        <x:v>0</x:v>
      </x:c>
      <x:c r="F197" s="14" t="n">
        <x:f>SUMIF('Queries'!$I$6:$I$1005,A197,'Queries'!$C$6:$C$1005)</x:f>
        <x:v>120</x:v>
      </x:c>
      <x:c r="G197" s="15" t="n">
        <x:f>E197/F197</x:f>
        <x:v>0</x:v>
      </x:c>
      <x:c r="H197" s="16" t="n">
        <x:f>SUMIF('Queries'!$I$6:$I$1005,A197,'Scoring'!$J$6:$J$1005)/F197</x:f>
        <x:v>19.25133333333333</x:v>
      </x:c>
      <x:c r="I197" s="16" t="n">
        <x:f>MAX('Queries'!G197,'Queries'!G484,'Queries'!G957)</x:f>
        <x:v>12.6</x:v>
      </x:c>
      <x:c r="J197" s="6" t="str">
        <x:v>DEPRIORITIZE</x:v>
      </x:c>
      <x:c r="K197" s="6" t="str">
        <x:v>mclaren repair abu dhabi</x:v>
      </x:c>
      <x:c r="L197" s="6" t="str">
        <x:v>Confirm scope or deprioritize</x:v>
      </x:c>
      <x:c r="M197" s="6" t="str">
        <x:v>mclaren service abu dhabi; best mclaren service center abu dhabi</x:v>
      </x:c>
    </x:row>
    <x:row r="198" ht="32" customHeight="1">
      <x:c r="A198" s="6" t="str">
        <x:v>mini: Service and repair (outside Dubai)</x:v>
      </x:c>
      <x:c r="B198" s="6" t="str">
        <x:v>best mini workshop abu dhabi</x:v>
      </x:c>
      <x:c r="C198" s="6" t="str">
        <x:v>https://digitecme.com/brands/mini-service-dubai</x:v>
      </x:c>
      <x:c r="D198" s="14" t="n">
        <x:f>COUNTIF('Queries'!$I$6:$I$1005,A198)</x:f>
        <x:v>1</x:v>
      </x:c>
      <x:c r="E198" s="14" t="n">
        <x:f>SUMIF('Queries'!$I$6:$I$1005,A198,'Queries'!$B$6:$B$1005)</x:f>
        <x:v>0</x:v>
      </x:c>
      <x:c r="F198" s="14" t="n">
        <x:f>SUMIF('Queries'!$I$6:$I$1005,A198,'Queries'!$C$6:$C$1005)</x:f>
        <x:v>60</x:v>
      </x:c>
      <x:c r="G198" s="15" t="n">
        <x:f>E198/F198</x:f>
        <x:v>0</x:v>
      </x:c>
      <x:c r="H198" s="16" t="n">
        <x:f>SUMIF('Queries'!$I$6:$I$1005,A198,'Scoring'!$J$6:$J$1005)/F198</x:f>
        <x:v>18.12</x:v>
      </x:c>
      <x:c r="I198" s="16" t="n">
        <x:f>MAX('Queries'!G251)</x:f>
        <x:v>12.5</x:v>
      </x:c>
      <x:c r="J198" s="6" t="str">
        <x:v>DEPRIORITIZE</x:v>
      </x:c>
      <x:c r="K198" s="6" t="str">
        <x:v>best mini workshop abu dhabi</x:v>
      </x:c>
      <x:c r="L198" s="6" t="str">
        <x:v>Confirm scope or deprioritize</x:v>
      </x:c>
      <x:c r="M198" s="6" t="str"/>
    </x:row>
    <x:row r="199" ht="42" customHeight="1">
      <x:c r="A199" s="6" t="str">
        <x:v>aston-martin: Service and repair (outside Dubai)</x:v>
      </x:c>
      <x:c r="B199" s="6" t="str">
        <x:v>aston martin repair abu dhabi</x:v>
      </x:c>
      <x:c r="C199" s="6" t="str">
        <x:v>https://digitecme.com/brands/aston-martin-service-dubai</x:v>
      </x:c>
      <x:c r="D199" s="14" t="n">
        <x:f>COUNTIF('Queries'!$I$6:$I$1005,A199)</x:f>
        <x:v>1</x:v>
      </x:c>
      <x:c r="E199" s="14" t="n">
        <x:f>SUMIF('Queries'!$I$6:$I$1005,A199,'Queries'!$B$6:$B$1005)</x:f>
        <x:v>0</x:v>
      </x:c>
      <x:c r="F199" s="14" t="n">
        <x:f>SUMIF('Queries'!$I$6:$I$1005,A199,'Queries'!$C$6:$C$1005)</x:f>
        <x:v>28</x:v>
      </x:c>
      <x:c r="G199" s="15" t="n">
        <x:f>E199/F199</x:f>
        <x:v>0</x:v>
      </x:c>
      <x:c r="H199" s="16" t="n">
        <x:f>SUMIF('Queries'!$I$6:$I$1005,A199,'Scoring'!$J$6:$J$1005)/F199</x:f>
        <x:v>21.25</x:v>
      </x:c>
      <x:c r="I199" s="16" t="n">
        <x:f>MAX('Queries'!G486)</x:f>
        <x:v>12.3</x:v>
      </x:c>
      <x:c r="J199" s="6" t="str">
        <x:v>DEPRIORITIZE</x:v>
      </x:c>
      <x:c r="K199" s="6" t="str">
        <x:v>aston martin repair abu dhabi</x:v>
      </x:c>
      <x:c r="L199" s="6" t="str">
        <x:v>Confirm scope or deprioritize</x:v>
      </x:c>
      <x:c r="M199" s="6" t="str"/>
    </x:row>
    <x:row r="200" ht="42" customHeight="1">
      <x:c r="A200" s="6" t="str">
        <x:v>aston-martin: Engine and mechanical repair (outside Dubai)</x:v>
      </x:c>
      <x:c r="B200" s="6" t="str">
        <x:v>aston martin engine repair abu dhabi</x:v>
      </x:c>
      <x:c r="C200" s="6" t="str">
        <x:v>https://digitecme.com/brands/aston-martin-service-dubai/mechanical-repair</x:v>
      </x:c>
      <x:c r="D200" s="14" t="n">
        <x:f>COUNTIF('Queries'!$I$6:$I$1005,A200)</x:f>
        <x:v>1</x:v>
      </x:c>
      <x:c r="E200" s="14" t="n">
        <x:f>SUMIF('Queries'!$I$6:$I$1005,A200,'Queries'!$B$6:$B$1005)</x:f>
        <x:v>0</x:v>
      </x:c>
      <x:c r="F200" s="14" t="n">
        <x:f>SUMIF('Queries'!$I$6:$I$1005,A200,'Queries'!$C$6:$C$1005)</x:f>
        <x:v>19</x:v>
      </x:c>
      <x:c r="G200" s="15" t="n">
        <x:f>E200/F200</x:f>
        <x:v>0</x:v>
      </x:c>
      <x:c r="H200" s="16" t="n">
        <x:f>SUMIF('Queries'!$I$6:$I$1005,A200,'Scoring'!$J$6:$J$1005)/F200</x:f>
        <x:v>21.68</x:v>
      </x:c>
      <x:c r="I200" s="16" t="n">
        <x:f>MAX('Queries'!G667)</x:f>
        <x:v>12.2</x:v>
      </x:c>
      <x:c r="J200" s="6" t="str">
        <x:v>DEPRIORITIZE</x:v>
      </x:c>
      <x:c r="K200" s="6" t="str">
        <x:v>aston martin engine repair abu dhabi</x:v>
      </x:c>
      <x:c r="L200" s="6" t="str">
        <x:v>Confirm scope or deprioritize</x:v>
      </x:c>
      <x:c r="M200" s="6" t="str"/>
    </x:row>
    <x:row r="201" ht="42" customHeight="1">
      <x:c r="A201" s="6" t="str">
        <x:v>All vehicles: Steering repair (outside Dubai)</x:v>
      </x:c>
      <x:c r="B201" s="6" t="str">
        <x:v>car power steering repair in abu dhabi</x:v>
      </x:c>
      <x:c r="C201" s="6" t="str">
        <x:v>https://digitecme.com/services/steering-repair-dubai</x:v>
      </x:c>
      <x:c r="D201" s="14" t="n">
        <x:f>COUNTIF('Queries'!$I$6:$I$1005,A201)</x:f>
        <x:v>1</x:v>
      </x:c>
      <x:c r="E201" s="14" t="n">
        <x:f>SUMIF('Queries'!$I$6:$I$1005,A201,'Queries'!$B$6:$B$1005)</x:f>
        <x:v>0</x:v>
      </x:c>
      <x:c r="F201" s="14" t="n">
        <x:f>SUMIF('Queries'!$I$6:$I$1005,A201,'Queries'!$C$6:$C$1005)</x:f>
        <x:v>19</x:v>
      </x:c>
      <x:c r="G201" s="15" t="n">
        <x:f>E201/F201</x:f>
        <x:v>0</x:v>
      </x:c>
      <x:c r="H201" s="16" t="n">
        <x:f>SUMIF('Queries'!$I$6:$I$1005,A201,'Scoring'!$J$6:$J$1005)/F201</x:f>
        <x:v>22.89</x:v>
      </x:c>
      <x:c r="I201" s="16" t="n">
        <x:f>MAX('Queries'!G668)</x:f>
        <x:v>12.2</x:v>
      </x:c>
      <x:c r="J201" s="6" t="str">
        <x:v>DEPRIORITIZE</x:v>
      </x:c>
      <x:c r="K201" s="6" t="str">
        <x:v>car power steering repair in abu dhabi</x:v>
      </x:c>
      <x:c r="L201" s="6" t="str">
        <x:v>Confirm scope or deprioritize</x:v>
      </x:c>
      <x:c r="M201" s="6" t="str"/>
    </x:row>
    <x:row r="202" ht="42" customHeight="1">
      <x:c r="A202" s="6" t="str">
        <x:v>bugatti: Service and repair (outside Dubai)</x:v>
      </x:c>
      <x:c r="B202" s="6" t="str">
        <x:v>bugatti repair abu dhabi</x:v>
      </x:c>
      <x:c r="C202" s="6" t="str">
        <x:v>https://digitecme.com/brands/bugatti-service-dubai</x:v>
      </x:c>
      <x:c r="D202" s="14" t="n">
        <x:f>COUNTIF('Queries'!$I$6:$I$1005,A202)</x:f>
        <x:v>1</x:v>
      </x:c>
      <x:c r="E202" s="14" t="n">
        <x:f>SUMIF('Queries'!$I$6:$I$1005,A202,'Queries'!$B$6:$B$1005)</x:f>
        <x:v>0</x:v>
      </x:c>
      <x:c r="F202" s="14" t="n">
        <x:f>SUMIF('Queries'!$I$6:$I$1005,A202,'Queries'!$C$6:$C$1005)</x:f>
        <x:v>13</x:v>
      </x:c>
      <x:c r="G202" s="15" t="n">
        <x:f>E202/F202</x:f>
        <x:v>0</x:v>
      </x:c>
      <x:c r="H202" s="16" t="n">
        <x:f>SUMIF('Queries'!$I$6:$I$1005,A202,'Scoring'!$J$6:$J$1005)/F202</x:f>
        <x:v>16</x:v>
      </x:c>
      <x:c r="I202" s="16" t="n">
        <x:f>MAX('Queries'!G892)</x:f>
        <x:v>12.1</x:v>
      </x:c>
      <x:c r="J202" s="6" t="str">
        <x:v>DEPRIORITIZE</x:v>
      </x:c>
      <x:c r="K202" s="6" t="str">
        <x:v>bugatti repair abu dhabi</x:v>
      </x:c>
      <x:c r="L202" s="6" t="str">
        <x:v>Confirm scope or deprioritize</x:v>
      </x:c>
      <x:c r="M202" s="6" t="str"/>
    </x:row>
    <x:row r="203" ht="32" customHeight="1">
      <x:c r="A203" s="6" t="str">
        <x:v>bmw: Service and repair (outside Dubai)</x:v>
      </x:c>
      <x:c r="B203" s="6" t="str">
        <x:v>best bmw workshop abu dhabi</x:v>
      </x:c>
      <x:c r="C203" s="6" t="str">
        <x:v>https://digitecme.com/brands/bmw-service-dubai</x:v>
      </x:c>
      <x:c r="D203" s="14" t="n">
        <x:f>COUNTIF('Queries'!$I$6:$I$1005,A203)</x:f>
        <x:v>3</x:v>
      </x:c>
      <x:c r="E203" s="14" t="n">
        <x:f>SUMIF('Queries'!$I$6:$I$1005,A203,'Queries'!$B$6:$B$1005)</x:f>
        <x:v>0</x:v>
      </x:c>
      <x:c r="F203" s="14" t="n">
        <x:f>SUMIF('Queries'!$I$6:$I$1005,A203,'Queries'!$C$6:$C$1005)</x:f>
        <x:v>104</x:v>
      </x:c>
      <x:c r="G203" s="15" t="n">
        <x:f>E203/F203</x:f>
        <x:v>0</x:v>
      </x:c>
      <x:c r="H203" s="16" t="n">
        <x:f>SUMIF('Queries'!$I$6:$I$1005,A203,'Scoring'!$J$6:$J$1005)/F203</x:f>
        <x:v>42.95365384615385</x:v>
      </x:c>
      <x:c r="I203" s="16" t="n">
        <x:f>MAX('Queries'!G322,'Queries'!G384,'Queries'!G648)</x:f>
        <x:v>9.7</x:v>
      </x:c>
      <x:c r="J203" s="6" t="str">
        <x:v>DEPRIORITIZE</x:v>
      </x:c>
      <x:c r="K203" s="6" t="str">
        <x:v>best bmw workshop abu dhabi</x:v>
      </x:c>
      <x:c r="L203" s="6" t="str">
        <x:v>Confirm scope or deprioritize</x:v>
      </x:c>
      <x:c r="M203" s="6" t="str">
        <x:v>best bmw shop abu dhabi; best bmw mechanic abu dhabi</x:v>
      </x:c>
    </x:row>
    <x:row r="204" ht="42" customHeight="1">
      <x:c r="A204" s="6" t="str">
        <x:v>bmw: Diagnostics and supported coding (outside Dubai)</x:v>
      </x:c>
      <x:c r="B204" s="6" t="str">
        <x:v>bmw programing abu dhabi</x:v>
      </x:c>
      <x:c r="C204" s="6" t="str">
        <x:v>https://digitecme.com/brands/bmw-service-dubai/engine-diagnostics</x:v>
      </x:c>
      <x:c r="D204" s="14" t="n">
        <x:f>COUNTIF('Queries'!$I$6:$I$1005,A204)</x:f>
        <x:v>1</x:v>
      </x:c>
      <x:c r="E204" s="14" t="n">
        <x:f>SUMIF('Queries'!$I$6:$I$1005,A204,'Queries'!$B$6:$B$1005)</x:f>
        <x:v>0</x:v>
      </x:c>
      <x:c r="F204" s="14" t="n">
        <x:f>SUMIF('Queries'!$I$6:$I$1005,A204,'Queries'!$C$6:$C$1005)</x:f>
        <x:v>46</x:v>
      </x:c>
      <x:c r="G204" s="15" t="n">
        <x:f>E204/F204</x:f>
        <x:v>0</x:v>
      </x:c>
      <x:c r="H204" s="16" t="n">
        <x:f>SUMIF('Queries'!$I$6:$I$1005,A204,'Scoring'!$J$6:$J$1005)/F204</x:f>
        <x:v>54.459999999999994</x:v>
      </x:c>
      <x:c r="I204" s="16" t="n">
        <x:f>MAX('Queries'!G325)</x:f>
        <x:v>9.7</x:v>
      </x:c>
      <x:c r="J204" s="6" t="str">
        <x:v>DEPRIORITIZE</x:v>
      </x:c>
      <x:c r="K204" s="6" t="str">
        <x:v>bmw programing abu dhabi</x:v>
      </x:c>
      <x:c r="L204" s="6" t="str">
        <x:v>Confirm scope or deprioritize</x:v>
      </x:c>
      <x:c r="M204" s="6" t="str"/>
    </x:row>
    <x:row r="205" ht="42" customHeight="1">
      <x:c r="A205" s="6" t="str">
        <x:v>porsche: Service and repair (outside Dubai)</x:v>
      </x:c>
      <x:c r="B205" s="6" t="str">
        <x:v>best porsche workshop abu dhabi</x:v>
      </x:c>
      <x:c r="C205" s="6" t="str">
        <x:v>https://digitecme.com/brands/porsche-service-dubai</x:v>
      </x:c>
      <x:c r="D205" s="14" t="n">
        <x:f>COUNTIF('Queries'!$I$6:$I$1005,A205)</x:f>
        <x:v>3</x:v>
      </x:c>
      <x:c r="E205" s="14" t="n">
        <x:f>SUMIF('Queries'!$I$6:$I$1005,A205,'Queries'!$B$6:$B$1005)</x:f>
        <x:v>0</x:v>
      </x:c>
      <x:c r="F205" s="14" t="n">
        <x:f>SUMIF('Queries'!$I$6:$I$1005,A205,'Queries'!$C$6:$C$1005)</x:f>
        <x:v>98</x:v>
      </x:c>
      <x:c r="G205" s="15" t="n">
        <x:f>E205/F205</x:f>
        <x:v>0</x:v>
      </x:c>
      <x:c r="H205" s="16" t="n">
        <x:f>SUMIF('Queries'!$I$6:$I$1005,A205,'Scoring'!$J$6:$J$1005)/F205</x:f>
        <x:v>56.07326530612245</x:v>
      </x:c>
      <x:c r="I205" s="16" t="n">
        <x:f>MAX('Queries'!G386,'Queries'!G467,'Queries'!G469)</x:f>
        <x:v>9.6</x:v>
      </x:c>
      <x:c r="J205" s="6" t="str">
        <x:v>DEPRIORITIZE</x:v>
      </x:c>
      <x:c r="K205" s="6" t="str">
        <x:v>best porsche workshop abu dhabi</x:v>
      </x:c>
      <x:c r="L205" s="6" t="str">
        <x:v>Confirm scope or deprioritize</x:v>
      </x:c>
      <x:c r="M205" s="6" t="str">
        <x:v>best porsche garage abu dhabi; best porsche mechanic abu dhabi</x:v>
      </x:c>
    </x:row>
    <x:row r="206" ht="42" customHeight="1">
      <x:c r="A206" s="6" t="str">
        <x:v>bentley: Service and repair (outside Dubai)</x:v>
      </x:c>
      <x:c r="B206" s="6" t="str">
        <x:v>تصليح بنتلى ابوظبي</x:v>
      </x:c>
      <x:c r="C206" s="6" t="str">
        <x:v>https://digitecme.com/ar/brands/bentley-service-dubai</x:v>
      </x:c>
      <x:c r="D206" s="14" t="n">
        <x:f>COUNTIF('Queries'!$I$6:$I$1005,A206)</x:f>
        <x:v>1</x:v>
      </x:c>
      <x:c r="E206" s="14" t="n">
        <x:f>SUMIF('Queries'!$I$6:$I$1005,A206,'Queries'!$B$6:$B$1005)</x:f>
        <x:v>0</x:v>
      </x:c>
      <x:c r="F206" s="14" t="n">
        <x:f>SUMIF('Queries'!$I$6:$I$1005,A206,'Queries'!$C$6:$C$1005)</x:f>
        <x:v>34</x:v>
      </x:c>
      <x:c r="G206" s="15" t="n">
        <x:f>E206/F206</x:f>
        <x:v>0</x:v>
      </x:c>
      <x:c r="H206" s="16" t="n">
        <x:f>SUMIF('Queries'!$I$6:$I$1005,A206,'Scoring'!$J$6:$J$1005)/F206</x:f>
        <x:v>57.44</x:v>
      </x:c>
      <x:c r="I206" s="16" t="n">
        <x:f>MAX('Queries'!G419)</x:f>
        <x:v>9.6</x:v>
      </x:c>
      <x:c r="J206" s="6" t="str">
        <x:v>DEPRIORITIZE</x:v>
      </x:c>
      <x:c r="K206" s="6" t="str">
        <x:v>تصليح بنتلى ابوظبي</x:v>
      </x:c>
      <x:c r="L206" s="6" t="str">
        <x:v>Confirm scope or deprioritize</x:v>
      </x:c>
      <x:c r="M206" s="6" t="str"/>
    </x:row>
    <x:row r="207" ht="42" customHeight="1">
      <x:c r="A207" s="6" t="str">
        <x:v>audi: Transmission and gearbox repair (outside Dubai)</x:v>
      </x:c>
      <x:c r="B207" s="6" t="str">
        <x:v>audi transmission repair abu dhabi</x:v>
      </x:c>
      <x:c r="C207" s="6" t="str">
        <x:v>https://digitecme.com/brands/audi-service-dubai/transmission-repair</x:v>
      </x:c>
      <x:c r="D207" s="14" t="n">
        <x:f>COUNTIF('Queries'!$I$6:$I$1005,A207)</x:f>
        <x:v>2</x:v>
      </x:c>
      <x:c r="E207" s="14" t="n">
        <x:f>SUMIF('Queries'!$I$6:$I$1005,A207,'Queries'!$B$6:$B$1005)</x:f>
        <x:v>0</x:v>
      </x:c>
      <x:c r="F207" s="14" t="n">
        <x:f>SUMIF('Queries'!$I$6:$I$1005,A207,'Queries'!$C$6:$C$1005)</x:f>
        <x:v>54</x:v>
      </x:c>
      <x:c r="G207" s="15" t="n">
        <x:f>E207/F207</x:f>
        <x:v>0</x:v>
      </x:c>
      <x:c r="H207" s="16" t="n">
        <x:f>SUMIF('Queries'!$I$6:$I$1005,A207,'Scoring'!$J$6:$J$1005)/F207</x:f>
        <x:v>66.20185185185186</x:v>
      </x:c>
      <x:c r="I207" s="16" t="n">
        <x:f>MAX('Queries'!G497,'Queries'!G534)</x:f>
        <x:v>9.5</x:v>
      </x:c>
      <x:c r="J207" s="6" t="str">
        <x:v>DEPRIORITIZE</x:v>
      </x:c>
      <x:c r="K207" s="6" t="str">
        <x:v>audi transmission repair abu dhabi</x:v>
      </x:c>
      <x:c r="L207" s="6" t="str">
        <x:v>Confirm scope or deprioritize</x:v>
      </x:c>
      <x:c r="M207" s="6" t="str">
        <x:v>audi gear repair abu dhabi</x:v>
      </x:c>
    </x:row>
    <x:row r="208" ht="32" customHeight="1">
      <x:c r="A208" s="6" t="str">
        <x:v>All vehicles: Roadside or delivery</x:v>
      </x:c>
      <x:c r="B208" s="6" t="str">
        <x:v>roadside assistance dubai</x:v>
      </x:c>
      <x:c r="C208" s="6" t="str">
        <x:v>https://digitecme.com/services/roadside-assistance-dubai</x:v>
      </x:c>
      <x:c r="D208" s="14" t="n">
        <x:f>COUNTIF('Queries'!$I$6:$I$1005,A208)</x:f>
        <x:v>2</x:v>
      </x:c>
      <x:c r="E208" s="14" t="n">
        <x:f>SUMIF('Queries'!$I$6:$I$1005,A208,'Queries'!$B$6:$B$1005)</x:f>
        <x:v>0</x:v>
      </x:c>
      <x:c r="F208" s="14" t="n">
        <x:f>SUMIF('Queries'!$I$6:$I$1005,A208,'Queries'!$C$6:$C$1005)</x:f>
        <x:v>40</x:v>
      </x:c>
      <x:c r="G208" s="15" t="n">
        <x:f>E208/F208</x:f>
        <x:v>0</x:v>
      </x:c>
      <x:c r="H208" s="16" t="n">
        <x:f>SUMIF('Queries'!$I$6:$I$1005,A208,'Scoring'!$J$6:$J$1005)/F208</x:f>
        <x:v>29.148000000000003</x:v>
      </x:c>
      <x:c r="I208" s="16" t="n">
        <x:f>MAX('Queries'!G489,'Queries'!G967)</x:f>
        <x:v>6.1</x:v>
      </x:c>
      <x:c r="J208" s="6" t="str">
        <x:v>DEPRIORITIZE</x:v>
      </x:c>
      <x:c r="K208" s="6" t="str">
        <x:v>roadside assistance dubai</x:v>
      </x:c>
      <x:c r="L208" s="6" t="str">
        <x:v>Confirm scope or deprioritize</x:v>
      </x:c>
      <x:c r="M208" s="6" t="str">
        <x:v>road assistance dubai</x:v>
      </x:c>
    </x:row>
    <x:row r="209" ht="42" customHeight="1">
      <x:c r="A209" s="6" t="str">
        <x:v>tesla: Battery service</x:v>
      </x:c>
      <x:c r="B209" s="6" t="str">
        <x:v>tesla battery</x:v>
      </x:c>
      <x:c r="C209" s="6" t="str">
        <x:v>https://digitecme.com/brands/tesla-service-dubai/battery-replacement</x:v>
      </x:c>
      <x:c r="D209" s="14" t="n">
        <x:f>COUNTIF('Queries'!$I$6:$I$1005,A209)</x:f>
        <x:v>2</x:v>
      </x:c>
      <x:c r="E209" s="14" t="n">
        <x:f>SUMIF('Queries'!$I$6:$I$1005,A209,'Queries'!$B$6:$B$1005)</x:f>
        <x:v>1</x:v>
      </x:c>
      <x:c r="F209" s="14" t="n">
        <x:f>SUMIF('Queries'!$I$6:$I$1005,A209,'Queries'!$C$6:$C$1005)</x:f>
        <x:v>17</x:v>
      </x:c>
      <x:c r="G209" s="15" t="n">
        <x:f>E209/F209</x:f>
        <x:v>0.058823529411764705</x:v>
      </x:c>
      <x:c r="H209" s="16" t="n">
        <x:f>SUMIF('Queries'!$I$6:$I$1005,A209,'Scoring'!$J$6:$J$1005)/F209</x:f>
        <x:v>40.11764705882353</x:v>
      </x:c>
      <x:c r="I209" s="16" t="n">
        <x:f>MAX('Queries'!G49,'Queries'!G819)</x:f>
        <x:v>5.8</x:v>
      </x:c>
      <x:c r="J209" s="6" t="str">
        <x:v>DEPRIORITIZE</x:v>
      </x:c>
      <x:c r="K209" s="6" t="str">
        <x:v>tesla battery repair</x:v>
      </x:c>
      <x:c r="L209" s="6" t="str">
        <x:v>Confirm scope or deprioritize</x:v>
      </x:c>
      <x:c r="M209" s="6" t="str">
        <x:v>tesla battery repair</x:v>
      </x:c>
    </x:row>
    <x:row r="210" ht="32" customHeight="1">
      <x:c r="A210" s="6" t="str">
        <x:v>lamborghini: Camera retrofit</x:v>
      </x:c>
      <x:c r="B210" s="6" t="str">
        <x:v>lamborghini reverse camera in dubai</x:v>
      </x:c>
      <x:c r="C210" s="6" t="str"/>
      <x:c r="D210" s="14" t="n">
        <x:f>COUNTIF('Queries'!$I$6:$I$1005,A210)</x:f>
        <x:v>1</x:v>
      </x:c>
      <x:c r="E210" s="14" t="n">
        <x:f>SUMIF('Queries'!$I$6:$I$1005,A210,'Queries'!$B$6:$B$1005)</x:f>
        <x:v>0</x:v>
      </x:c>
      <x:c r="F210" s="14" t="n">
        <x:f>SUMIF('Queries'!$I$6:$I$1005,A210,'Queries'!$C$6:$C$1005)</x:f>
        <x:v>163</x:v>
      </x:c>
      <x:c r="G210" s="15" t="n">
        <x:f>E210/F210</x:f>
        <x:v>0</x:v>
      </x:c>
      <x:c r="H210" s="16" t="n">
        <x:f>SUMIF('Queries'!$I$6:$I$1005,A210,'Scoring'!$J$6:$J$1005)/F210</x:f>
        <x:v>21.93</x:v>
      </x:c>
      <x:c r="I210" s="16" t="n">
        <x:f>MAX('Queries'!G108)</x:f>
        <x:v>5.4</x:v>
      </x:c>
      <x:c r="J210" s="6" t="str">
        <x:v>DEPRIORITIZE</x:v>
      </x:c>
      <x:c r="K210" s="6" t="str">
        <x:v>lamborghini reverse camera in dubai</x:v>
      </x:c>
      <x:c r="L210" s="6" t="str">
        <x:v>Confirm scope or deprioritize</x:v>
      </x:c>
      <x:c r="M210" s="6" t="str"/>
    </x:row>
    <x:row r="211" ht="42" customHeight="1">
      <x:c r="A211" s="6" t="str">
        <x:v>Unspecified brand: Audio or interior retrofit</x:v>
      </x:c>
      <x:c r="B211" s="6" t="str">
        <x:v>steering wheel restoration dubai</x:v>
      </x:c>
      <x:c r="C211" s="6" t="str"/>
      <x:c r="D211" s="14" t="n">
        <x:f>COUNTIF('Queries'!$I$6:$I$1005,A211)</x:f>
        <x:v>1</x:v>
      </x:c>
      <x:c r="E211" s="14" t="n">
        <x:f>SUMIF('Queries'!$I$6:$I$1005,A211,'Queries'!$B$6:$B$1005)</x:f>
        <x:v>0</x:v>
      </x:c>
      <x:c r="F211" s="14" t="n">
        <x:f>SUMIF('Queries'!$I$6:$I$1005,A211,'Queries'!$C$6:$C$1005)</x:f>
        <x:v>34</x:v>
      </x:c>
      <x:c r="G211" s="15" t="n">
        <x:f>E211/F211</x:f>
        <x:v>0</x:v>
      </x:c>
      <x:c r="H211" s="16" t="n">
        <x:f>SUMIF('Queries'!$I$6:$I$1005,A211,'Scoring'!$J$6:$J$1005)/F211</x:f>
        <x:v>38.56</x:v>
      </x:c>
      <x:c r="I211" s="16" t="n">
        <x:f>MAX('Queries'!G415)</x:f>
        <x:v>4.4</x:v>
      </x:c>
      <x:c r="J211" s="6" t="str">
        <x:v>DEPRIORITIZE</x:v>
      </x:c>
      <x:c r="K211" s="6" t="str">
        <x:v>steering wheel restoration dubai</x:v>
      </x:c>
      <x:c r="L211" s="6" t="str">
        <x:v>Confirm scope or deprioritize</x:v>
      </x:c>
      <x:c r="M211" s="6" t="str"/>
    </x:row>
    <x:row r="212" ht="42" customHeight="1">
      <x:c r="A212" s="6" t="str">
        <x:v>Unspecified brand: Screen or head-unit repair</x:v>
      </x:c>
      <x:c r="B212" s="6" t="str">
        <x:v>cue screen replacement in dubai</x:v>
      </x:c>
      <x:c r="C212" s="6" t="str"/>
      <x:c r="D212" s="14" t="n">
        <x:f>COUNTIF('Queries'!$I$6:$I$1005,A212)</x:f>
        <x:v>4</x:v>
      </x:c>
      <x:c r="E212" s="14" t="n">
        <x:f>SUMIF('Queries'!$I$6:$I$1005,A212,'Queries'!$B$6:$B$1005)</x:f>
        <x:v>0</x:v>
      </x:c>
      <x:c r="F212" s="14" t="n">
        <x:f>SUMIF('Queries'!$I$6:$I$1005,A212,'Queries'!$C$6:$C$1005)</x:f>
        <x:v>746</x:v>
      </x:c>
      <x:c r="G212" s="15" t="n">
        <x:f>E212/F212</x:f>
        <x:v>0</x:v>
      </x:c>
      <x:c r="H212" s="16" t="n">
        <x:f>SUMIF('Queries'!$I$6:$I$1005,A212,'Scoring'!$J$6:$J$1005)/F212</x:f>
        <x:v>45.164343163538874</x:v>
      </x:c>
      <x:c r="I212" s="16" t="n">
        <x:f>MAX('Queries'!G65,'Queries'!G77,'Queries'!G126,'Queries'!G991)</x:f>
        <x:v>4.1</x:v>
      </x:c>
      <x:c r="J212" s="6" t="str">
        <x:v>DEPRIORITIZE</x:v>
      </x:c>
      <x:c r="K212" s="6" t="str">
        <x:v>cue screen replacement in dubai</x:v>
      </x:c>
      <x:c r="L212" s="6" t="str">
        <x:v>Confirm scope or deprioritize</x:v>
      </x:c>
      <x:c r="M212" s="6" t="str">
        <x:v>command unit repairing dubai; head unit repairing dubai; instrument cluster repair</x:v>
      </x:c>
    </x:row>
    <x:row r="213" ht="32" customHeight="1">
      <x:c r="A213" s="6" t="str">
        <x:v>bentley: Camera retrofit</x:v>
      </x:c>
      <x:c r="B213" s="6" t="str">
        <x:v>bentley reverse camera in dubai</x:v>
      </x:c>
      <x:c r="C213" s="6" t="str"/>
      <x:c r="D213" s="14" t="n">
        <x:f>COUNTIF('Queries'!$I$6:$I$1005,A213)</x:f>
        <x:v>1</x:v>
      </x:c>
      <x:c r="E213" s="14" t="n">
        <x:f>SUMIF('Queries'!$I$6:$I$1005,A213,'Queries'!$B$6:$B$1005)</x:f>
        <x:v>0</x:v>
      </x:c>
      <x:c r="F213" s="14" t="n">
        <x:f>SUMIF('Queries'!$I$6:$I$1005,A213,'Queries'!$C$6:$C$1005)</x:f>
        <x:v>328</x:v>
      </x:c>
      <x:c r="G213" s="15" t="n">
        <x:f>E213/F213</x:f>
        <x:v>0</x:v>
      </x:c>
      <x:c r="H213" s="16" t="n">
        <x:f>SUMIF('Queries'!$I$6:$I$1005,A213,'Scoring'!$J$6:$J$1005)/F213</x:f>
        <x:v>44.38</x:v>
      </x:c>
      <x:c r="I213" s="16" t="n">
        <x:f>MAX('Queries'!G68)</x:f>
        <x:v>4.1</x:v>
      </x:c>
      <x:c r="J213" s="6" t="str">
        <x:v>DEPRIORITIZE</x:v>
      </x:c>
      <x:c r="K213" s="6" t="str">
        <x:v>bentley reverse camera in dubai</x:v>
      </x:c>
      <x:c r="L213" s="6" t="str">
        <x:v>Confirm scope or deprioritize</x:v>
      </x:c>
      <x:c r="M213" s="6" t="str"/>
    </x:row>
    <x:row r="214" ht="42" customHeight="1">
      <x:c r="A214" s="6" t="str">
        <x:v>cadillac: Screen or head-unit repair</x:v>
      </x:c>
      <x:c r="B214" s="6" t="str">
        <x:v>cadillac touch screen repair in dubai</x:v>
      </x:c>
      <x:c r="C214" s="6" t="str"/>
      <x:c r="D214" s="14" t="n">
        <x:f>COUNTIF('Queries'!$I$6:$I$1005,A214)</x:f>
        <x:v>4</x:v>
      </x:c>
      <x:c r="E214" s="14" t="n">
        <x:f>SUMIF('Queries'!$I$6:$I$1005,A214,'Queries'!$B$6:$B$1005)</x:f>
        <x:v>0</x:v>
      </x:c>
      <x:c r="F214" s="14" t="n">
        <x:f>SUMIF('Queries'!$I$6:$I$1005,A214,'Queries'!$C$6:$C$1005)</x:f>
        <x:v>546</x:v>
      </x:c>
      <x:c r="G214" s="15" t="n">
        <x:f>E214/F214</x:f>
        <x:v>0</x:v>
      </x:c>
      <x:c r="H214" s="16" t="n">
        <x:f>SUMIF('Queries'!$I$6:$I$1005,A214,'Scoring'!$J$6:$J$1005)/F214</x:f>
        <x:v>52.08391941391941</x:v>
      </x:c>
      <x:c r="I214" s="16" t="n">
        <x:f>MAX('Queries'!G70,'Queries'!G149,'Queries'!G159,'Queries'!G331)</x:f>
        <x:v>4.1</x:v>
      </x:c>
      <x:c r="J214" s="6" t="str">
        <x:v>DEPRIORITIZE</x:v>
      </x:c>
      <x:c r="K214" s="6" t="str">
        <x:v>cadillac touch screen repair in dubai</x:v>
      </x:c>
      <x:c r="L214" s="6" t="str">
        <x:v>Confirm scope or deprioritize</x:v>
      </x:c>
      <x:c r="M214" s="6" t="str">
        <x:v>cadillac srx screen replacement in dubai; cadillac cue screen replacement in dubai; cadillac xts touch screen replacement in dubai</x:v>
      </x:c>
    </x:row>
    <x:row r="215" ht="32" customHeight="1">
      <x:c r="A215" s="6" t="str">
        <x:v>mercedes-benz: Audio or interior retrofit</x:v>
      </x:c>
      <x:c r="B215" s="6" t="str">
        <x:v>mercedes stereo upgrade in dubai</x:v>
      </x:c>
      <x:c r="C215" s="6" t="str"/>
      <x:c r="D215" s="14" t="n">
        <x:f>COUNTIF('Queries'!$I$6:$I$1005,A215)</x:f>
        <x:v>3</x:v>
      </x:c>
      <x:c r="E215" s="14" t="n">
        <x:f>SUMIF('Queries'!$I$6:$I$1005,A215,'Queries'!$B$6:$B$1005)</x:f>
        <x:v>0</x:v>
      </x:c>
      <x:c r="F215" s="14" t="n">
        <x:f>SUMIF('Queries'!$I$6:$I$1005,A215,'Queries'!$C$6:$C$1005)</x:f>
        <x:v>375</x:v>
      </x:c>
      <x:c r="G215" s="15" t="n">
        <x:f>E215/F215</x:f>
        <x:v>0</x:v>
      </x:c>
      <x:c r="H215" s="16" t="n">
        <x:f>SUMIF('Queries'!$I$6:$I$1005,A215,'Scoring'!$J$6:$J$1005)/F215</x:f>
        <x:v>57.83210666666667</x:v>
      </x:c>
      <x:c r="I215" s="16" t="n">
        <x:f>MAX('Queries'!G107,'Queries'!G123,'Queries'!G212)</x:f>
        <x:v>4</x:v>
      </x:c>
      <x:c r="J215" s="6" t="str">
        <x:v>DEPRIORITIZE</x:v>
      </x:c>
      <x:c r="K215" s="6" t="str">
        <x:v>mercedes stereo upgrade in dubai</x:v>
      </x:c>
      <x:c r="L215" s="6" t="str">
        <x:v>Confirm scope or deprioritize</x:v>
      </x:c>
      <x:c r="M215" s="6" t="str">
        <x:v>mercedes e class audio upgrade in dubai; mercedes sound system upgrade in dubai</x:v>
      </x:c>
    </x:row>
    <x:row r="216" ht="42" customHeight="1">
      <x:c r="A216" s="6" t="str">
        <x:v>range-rover: Audio or interior retrofit</x:v>
      </x:c>
      <x:c r="B216" s="6" t="str">
        <x:v>range rover sport subwoofer upgrade in dubai</x:v>
      </x:c>
      <x:c r="C216" s="6" t="str"/>
      <x:c r="D216" s="14" t="n">
        <x:f>COUNTIF('Queries'!$I$6:$I$1005,A216)</x:f>
        <x:v>1</x:v>
      </x:c>
      <x:c r="E216" s="14" t="n">
        <x:f>SUMIF('Queries'!$I$6:$I$1005,A216,'Queries'!$B$6:$B$1005)</x:f>
        <x:v>0</x:v>
      </x:c>
      <x:c r="F216" s="14" t="n">
        <x:f>SUMIF('Queries'!$I$6:$I$1005,A216,'Queries'!$C$6:$C$1005)</x:f>
        <x:v>52</x:v>
      </x:c>
      <x:c r="G216" s="15" t="n">
        <x:f>E216/F216</x:f>
        <x:v>0</x:v>
      </x:c>
      <x:c r="H216" s="16" t="n">
        <x:f>SUMIF('Queries'!$I$6:$I$1005,A216,'Scoring'!$J$6:$J$1005)/F216</x:f>
        <x:v>90.42</x:v>
      </x:c>
      <x:c r="I216" s="16" t="n">
        <x:f>MAX('Queries'!G296)</x:f>
        <x:v>3.8</x:v>
      </x:c>
      <x:c r="J216" s="6" t="str">
        <x:v>DEPRIORITIZE</x:v>
      </x:c>
      <x:c r="K216" s="6" t="str">
        <x:v>range rover sport subwoofer upgrade in dubai</x:v>
      </x:c>
      <x:c r="L216" s="6" t="str">
        <x:v>Confirm scope or deprioritize</x:v>
      </x:c>
      <x:c r="M216" s="6" t="str"/>
    </x:row>
    <x:row r="217" ht="42" customHeight="1">
      <x:c r="A217" s="6" t="str">
        <x:v>Excluded: Unrelated or wrong location</x:v>
      </x:c>
      <x:c r="B217" s="6" t="str">
        <x:v>ditec dubai</x:v>
      </x:c>
      <x:c r="C217" s="6" t="str"/>
      <x:c r="D217" s="14" t="n">
        <x:f>COUNTIF('Queries'!$I$6:$I$1005,A217)</x:f>
        <x:v>9</x:v>
      </x:c>
      <x:c r="E217" s="14" t="n">
        <x:f>SUMIF('Queries'!$I$6:$I$1005,A217,'Queries'!$B$6:$B$1005)</x:f>
        <x:v>3</x:v>
      </x:c>
      <x:c r="F217" s="14" t="n">
        <x:f>SUMIF('Queries'!$I$6:$I$1005,A217,'Queries'!$C$6:$C$1005)</x:f>
        <x:v>179</x:v>
      </x:c>
      <x:c r="G217" s="15" t="n">
        <x:f>E217/F217</x:f>
        <x:v>0.01675977653631285</x:v>
      </x:c>
      <x:c r="H217" s="16" t="n">
        <x:f>SUMIF('Queries'!$I$6:$I$1005,A217,'Scoring'!$J$6:$J$1005)/F217</x:f>
        <x:v>23.772458100558655</x:v>
      </x:c>
      <x:c r="I217" s="16" t="n">
        <x:f>MAX('Queries'!G41,'Queries'!G51,'Queries'!G54,'Queries'!G339,'Queries'!G367,'Queries'!G538,'Queries'!G583,'Queries'!G725,'Queries'!G993)</x:f>
        <x:v>0</x:v>
      </x:c>
      <x:c r="J217" s="6" t="str">
        <x:v>IGNORE</x:v>
      </x:c>
      <x:c r="K217" s="6" t="str">
        <x:v>yes</x:v>
      </x:c>
      <x:c r="L217" s="6" t="str">
        <x:v>Do not target</x:v>
      </x:c>
      <x:c r="M217" s="6" t="str">
        <x:v>yes; any ithers; dubai; digi; tec; chrysler satin al dubai; car paint protection film artarmon; "boasortechikjeitosoradio@gmail.com"</x:v>
      </x:c>
    </x:row>
    <x:row r="218" ht="57" customHeight="1">
      <x:c r="A218" s="6" t="str">
        <x:v>Excluded: Dealer or showroom</x:v>
      </x:c>
      <x:c r="B218" s="6" t="str">
        <x:v>lamborghini showroom dubai</x:v>
      </x:c>
      <x:c r="C218" s="6" t="str"/>
      <x:c r="D218" s="14" t="n">
        <x:f>COUNTIF('Queries'!$I$6:$I$1005,A218)</x:f>
        <x:v>6</x:v>
      </x:c>
      <x:c r="E218" s="14" t="n">
        <x:f>SUMIF('Queries'!$I$6:$I$1005,A218,'Queries'!$B$6:$B$1005)</x:f>
        <x:v>0</x:v>
      </x:c>
      <x:c r="F218" s="14" t="n">
        <x:f>SUMIF('Queries'!$I$6:$I$1005,A218,'Queries'!$C$6:$C$1005)</x:f>
        <x:v>117</x:v>
      </x:c>
      <x:c r="G218" s="15" t="n">
        <x:f>E218/F218</x:f>
        <x:v>0</x:v>
      </x:c>
      <x:c r="H218" s="16" t="n">
        <x:f>SUMIF('Queries'!$I$6:$I$1005,A218,'Scoring'!$J$6:$J$1005)/F218</x:f>
        <x:v>30.486666666666668</x:v>
      </x:c>
      <x:c r="I218" s="16" t="n">
        <x:f>MAX('Queries'!G446,'Queries'!G478,'Queries'!G770,'Queries'!G824,'Queries'!G849,'Queries'!G968)</x:f>
        <x:v>0</x:v>
      </x:c>
      <x:c r="J218" s="6" t="str">
        <x:v>IGNORE</x:v>
      </x:c>
      <x:c r="K218" s="6" t="str">
        <x:v>nissan authorised service centre</x:v>
      </x:c>
      <x:c r="L218" s="6" t="str">
        <x:v>Do not target</x:v>
      </x:c>
      <x:c r="M218" s="6" t="str">
        <x:v>nissan authorised service centre; nissan authorised service centre near me; mercedes benz authorized body shop; lamborghini showroom near me; mercedes authorized service near me</x:v>
      </x:c>
    </x:row>
    <x:row r="219" ht="42" customHeight="1">
      <x:c r="A219" s="6" t="str">
        <x:v>Excluded: Industrial or non-automotive</x:v>
      </x:c>
      <x:c r="B219" s="6" t="str">
        <x:v>brake motors dubai</x:v>
      </x:c>
      <x:c r="C219" s="6" t="str"/>
      <x:c r="D219" s="14" t="n">
        <x:f>COUNTIF('Queries'!$I$6:$I$1005,A219)</x:f>
        <x:v>4</x:v>
      </x:c>
      <x:c r="E219" s="14" t="n">
        <x:f>SUMIF('Queries'!$I$6:$I$1005,A219,'Queries'!$B$6:$B$1005)</x:f>
        <x:v>0</x:v>
      </x:c>
      <x:c r="F219" s="14" t="n">
        <x:f>SUMIF('Queries'!$I$6:$I$1005,A219,'Queries'!$C$6:$C$1005)</x:f>
        <x:v>67</x:v>
      </x:c>
      <x:c r="G219" s="15" t="n">
        <x:f>E219/F219</x:f>
        <x:v>0</x:v>
      </x:c>
      <x:c r="H219" s="16" t="n">
        <x:f>SUMIF('Queries'!$I$6:$I$1005,A219,'Scoring'!$J$6:$J$1005)/F219</x:f>
        <x:v>47.44701492537313</x:v>
      </x:c>
      <x:c r="I219" s="16" t="n">
        <x:f>MAX('Queries'!G588,'Queries'!G678,'Queries'!G899,'Queries'!G989)</x:f>
        <x:v>0</x:v>
      </x:c>
      <x:c r="J219" s="6" t="str">
        <x:v>IGNORE</x:v>
      </x:c>
      <x:c r="K219" s="6" t="str">
        <x:v>brake motors dubai</x:v>
      </x:c>
      <x:c r="L219" s="6" t="str">
        <x:v>Do not target</x:v>
      </x:c>
      <x:c r="M219" s="6" t="str">
        <x:v>brake motors uae; industrial gearbox repair near me; digital solutions for automotive industry in dubai</x:v>
      </x:c>
    </x:row>
  </x:sheetData>
  <x:pageMargins left="0.7" right="0.7" top="0.75" bottom="0.75" header="0.3" footer="0.3"/>
  <x:tableParts count="1">
    <x:tablePart xmlns:r="http://schemas.openxmlformats.org/officeDocument/2006/relationships" r:id="Rded6e900c7494cb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74" hidden="0" customWidth="1"/>
    <x:col min="2" max="2" width="43" hidden="0" customWidth="1"/>
    <x:col min="3" max="3" width="64" hidden="0" customWidth="1"/>
    <x:col min="4" max="4" width="25" hidden="0" customWidth="1"/>
    <x:col min="5" max="5" width="32" hidden="0" customWidth="1"/>
    <x:col min="6" max="6" width="43" hidden="0" customWidth="1"/>
    <x:col min="7" max="7" width="70" hidden="0" customWidth="1"/>
    <x:col min="8" max="8" width="70" hidden="0" customWidth="1"/>
    <x:col min="9" max="9" width="60" hidden="0" customWidth="1"/>
    <x:col min="10" max="10" width="60" hidden="0" customWidth="1"/>
    <x:col min="11" max="11" width="80" hidden="0" customWidth="1"/>
    <x:col min="12" max="12" width="105" hidden="0" customWidth="1"/>
    <x:col min="13" max="13" width="85" hidden="0" customWidth="1"/>
    <x:col min="14" max="14" width="50" hidden="0" customWidth="1"/>
    <x:col min="15" max="15" width="65" hidden="0" customWidth="1"/>
    <x:col min="16" max="16" width="105" hidden="0" customWidth="1"/>
    <x:col min="17" max="17" width="38" hidden="0" customWidth="1"/>
    <x:col min="18" max="18" width="13" hidden="0" customWidth="1"/>
    <x:col min="19" max="19" width="16" hidden="0" customWidth="1"/>
    <x:col min="20" max="20" width="14" hidden="0" customWidth="1"/>
    <x:col min="21" max="21" width="16" hidden="0" customWidth="1"/>
    <x:col min="22" max="22" width="74" hidden="0" customWidth="1"/>
    <x:col min="23" max="23" width="24" hidden="0" customWidth="1"/>
    <x:col min="24" max="24" width="19" hidden="0" customWidth="1"/>
    <x:col min="25" max="25" width="70" hidden="0" customWidth="1"/>
    <x:col min="26" max="26" width="70" hidden="0" customWidth="1"/>
    <x:col min="27" max="27" width="24" hidden="0" customWidth="1"/>
  </x:cols>
  <x:sheetData>
    <x:row r="1" ht="30" customHeight="1">
      <x:c r="A1" s="2" t="str">
        <x:v>Page master map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>
      <x:c r="A2" s="3" t="str">
        <x:v>All 841 exported URLs plus current source routes. Before/after means current versus proposed; no change applied.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</x:row>
    <x:row r="5" ht="42" customHeight="1">
      <x:c r="A5" s="10" t="str">
        <x:v>URL</x:v>
      </x:c>
      <x:c r="B5" s="11" t="str">
        <x:v>Primary query</x:v>
      </x:c>
      <x:c r="C5" s="11" t="str">
        <x:v>Assigned clusters</x:v>
      </x:c>
      <x:c r="D5" s="11" t="str">
        <x:v>Current role</x:v>
      </x:c>
      <x:c r="E5" s="11" t="str">
        <x:v>Recommended role</x:v>
      </x:c>
      <x:c r="F5" s="11" t="str">
        <x:v>Evidence basis</x:v>
      </x:c>
      <x:c r="G5" s="11" t="str">
        <x:v>Title before</x:v>
      </x:c>
      <x:c r="H5" s="11" t="str">
        <x:v>Title proposed</x:v>
      </x:c>
      <x:c r="I5" s="11" t="str">
        <x:v>H1 before</x:v>
      </x:c>
      <x:c r="J5" s="11" t="str">
        <x:v>H1 proposed</x:v>
      </x:c>
      <x:c r="K5" s="11" t="str">
        <x:v>Current description</x:v>
      </x:c>
      <x:c r="L5" s="11" t="str">
        <x:v>Content proposal</x:v>
      </x:c>
      <x:c r="M5" s="11" t="str">
        <x:v>Internal link proposal</x:v>
      </x:c>
      <x:c r="N5" s="11" t="str">
        <x:v>Cannibalization evidence</x:v>
      </x:c>
      <x:c r="O5" s="11" t="str">
        <x:v>CTA proposal</x:v>
      </x:c>
      <x:c r="P5" s="11" t="str">
        <x:v>Technical proposal</x:v>
      </x:c>
      <x:c r="Q5" s="11" t="str">
        <x:v>Status</x:v>
      </x:c>
      <x:c r="R5" s="11" t="str">
        <x:v>GSC clicks</x:v>
      </x:c>
      <x:c r="S5" s="11" t="str">
        <x:v>GSC impressions</x:v>
      </x:c>
      <x:c r="T5" s="11" t="str">
        <x:v>GSC CTR</x:v>
      </x:c>
      <x:c r="U5" s="11" t="str">
        <x:v>GSC position</x:v>
      </x:c>
      <x:c r="V5" s="11" t="str">
        <x:v>Current canonical</x:v>
      </x:c>
      <x:c r="W5" s="11" t="str">
        <x:v>Indexable evidence</x:v>
      </x:c>
      <x:c r="X5" s="11" t="str">
        <x:v>Local referring pages</x:v>
      </x:c>
      <x:c r="Y5" s="11" t="str">
        <x:v>Local title</x:v>
      </x:c>
      <x:c r="Z5" s="11" t="str">
        <x:v>Live title</x:v>
      </x:c>
      <x:c r="AA5" s="12" t="str">
        <x:v>Local/live title differs</x:v>
      </x:c>
    </x:row>
    <x:row r="6" ht="42" customHeight="1">
      <x:c r="A6" s="6" t="str">
        <x:v>http://digitecme.com/who-we-are</x:v>
      </x:c>
      <x:c r="B6" s="6" t="str"/>
      <x:c r="C6" s="6" t="str"/>
      <x:c r="D6" s="6" t="str">
        <x:v>Historical URL</x:v>
      </x:c>
      <x:c r="E6" s="6" t="str">
        <x:v>Verify historical URL</x:v>
      </x:c>
      <x:c r="F6" s="6" t="str">
        <x:v>Historical GSC URL; current page unverified</x:v>
      </x:c>
      <x:c r="G6" s="6" t="str">
        <x:v>Not verified</x:v>
      </x:c>
      <x:c r="H6" s="6" t="str">
        <x:v>Not verified</x:v>
      </x:c>
      <x:c r="I6" s="6" t="str">
        <x:v>Not verified</x:v>
      </x:c>
      <x:c r="J6" s="6" t="str">
        <x:v>Not verified</x:v>
      </x:c>
      <x:c r="K6" s="6" t="str">
        <x:v>Not verified</x:v>
      </x:c>
      <x:c r="L6" s="6" t="str">
        <x:v>Verify current HTTP response, canonical destination and URL history before changing or consolidating.</x:v>
      </x:c>
      <x:c r="M6" s="6" t="str">
        <x:v>Retain; inspect relevant context before adding links</x:v>
      </x:c>
      <x:c r="N6" s="6" t="str">
        <x:v>Unconfirmed — no query/page pairing</x:v>
      </x:c>
      <x:c r="O6" s="6" t="str">
        <x:v>Retain established booking / WhatsApp / call path; live behaviour untested</x:v>
      </x:c>
      <x:c r="P6" s="6" t="str">
        <x:v>Inspect live routing and canonical; do not infer a redirect from the URL shape.</x:v>
      </x:c>
      <x:c r="Q6" s="6" t="str">
        <x:v>Proposed; no website change made</x:v>
      </x:c>
      <x:c r="R6" s="14" t="n">
        <x:v>0</x:v>
      </x:c>
      <x:c r="S6" s="14" t="n">
        <x:v>43</x:v>
      </x:c>
      <x:c r="T6" s="15" t="n">
        <x:v>0</x:v>
      </x:c>
      <x:c r="U6" s="16" t="n">
        <x:v>5.67</x:v>
      </x:c>
      <x:c r="V6" s="6" t="str">
        <x:v>Not verified</x:v>
      </x:c>
      <x:c r="W6" s="6" t="str">
        <x:v>Not verified</x:v>
      </x:c>
      <x:c r="X6" s="6"/>
      <x:c r="Y6" s="6" t="str"/>
      <x:c r="Z6" s="6" t="str"/>
      <x:c r="AA6" s="6" t="str">
        <x:v>No / not compared</x:v>
      </x:c>
    </x:row>
    <x:row r="7" ht="57" customHeight="1">
      <x:c r="A7" s="6" t="str">
        <x:v>https://digitecme.com/</x:v>
      </x:c>
      <x:c r="B7" s="6" t="str">
        <x:v>digitec</x:v>
      </x:c>
      <x:c r="C7" s="6" t="str">
        <x:v>DIGI-TEC: Business navigation</x:v>
      </x:c>
      <x:c r="D7" s="6" t="str">
        <x:v>home</x:v>
      </x:c>
      <x:c r="E7" s="6" t="str">
        <x:v>Primary owner for assigned intent</x:v>
      </x:c>
      <x:c r="F7" s="6" t="str">
        <x:v>Live HTML checked 9 Sep 2026</x:v>
      </x:c>
      <x:c r="G7" s="6" t="str">
        <x:v>Digi-Tec Performance Center | Independent Car Workshop Dubai</x:v>
      </x:c>
      <x:c r="H7" s="6" t="str">
        <x:v>Digi-Tec Performance Center | Independent Car Workshop Dubai</x:v>
      </x:c>
      <x:c r="I7" s="6" t="str">
        <x:v>D IGI-TEC Performance Center</x:v>
      </x:c>
      <x:c r="J7" s="6" t="str">
        <x:v>D IGI-TEC Performance Center</x:v>
      </x:c>
      <x:c r="K7" s="6" t="str">
        <x:v>Independent car workshop in Al Quoz, Dubai since 2002 for inspection, maintenance, repair, programming, bodywork and performance-project consultation. Call +971 4 340 2223.</x:v>
      </x:c>
      <x:c r="L7" s="6" t="str">
        <x:v>Retain pending evidence; no specific content edit justified by this export.</x:v>
      </x:c>
      <x:c r="M7" s="6" t="str">
        <x:v>Retain; inspect relevant context before adding links</x:v>
      </x:c>
      <x:c r="N7" s="6" t="str">
        <x:v>Unconfirmed — no query/page pairing</x:v>
      </x:c>
      <x:c r="O7" s="6" t="str">
        <x:v>Retain established booking / WhatsApp / call path; live behaviour untested</x:v>
      </x:c>
      <x:c r="P7" s="6" t="str">
        <x:v>Retain canonical and indexation policy pending a live check.</x:v>
      </x:c>
      <x:c r="Q7" s="6" t="str">
        <x:v>Proposed; no website change made</x:v>
      </x:c>
      <x:c r="R7" s="14" t="n">
        <x:v>109</x:v>
      </x:c>
      <x:c r="S7" s="14" t="n">
        <x:v>3537</x:v>
      </x:c>
      <x:c r="T7" s="15" t="n">
        <x:v>0.0308</x:v>
      </x:c>
      <x:c r="U7" s="16" t="n">
        <x:v>19.73</x:v>
      </x:c>
      <x:c r="V7" s="6" t="str">
        <x:v>https://digitecme.com/</x:v>
      </x:c>
      <x:c r="W7" s="6" t="str">
        <x:v>Indexable directive</x:v>
      </x:c>
      <x:c r="X7" s="6" t="n">
        <x:v>771</x:v>
      </x:c>
      <x:c r="Y7" s="6" t="str">
        <x:v>Digi-Tec Performance Center | Independent Car Workshop Dubai</x:v>
      </x:c>
      <x:c r="Z7" s="6" t="str">
        <x:v>Digi-Tec Performance Center | Independent Car Workshop Dubai</x:v>
      </x:c>
      <x:c r="AA7" s="6" t="str">
        <x:v>No / not compared</x:v>
      </x:c>
    </x:row>
    <x:row r="8" ht="57" customHeight="1">
      <x:c r="A8" s="6" t="str">
        <x:v>https://digitecme.com/about</x:v>
      </x:c>
      <x:c r="B8" s="6" t="str"/>
      <x:c r="C8" s="6" t="str"/>
      <x:c r="D8" s="6" t="str">
        <x:v>about</x:v>
      </x:c>
      <x:c r="E8" s="6" t="str">
        <x:v>Retain differentiated role</x:v>
      </x:c>
      <x:c r="F8" s="6" t="str">
        <x:v>Local source render; live version unverified</x:v>
      </x:c>
      <x:c r="G8" s="6" t="str">
        <x:v>About Digitec Performance Center | Car Workshop in Dubai</x:v>
      </x:c>
      <x:c r="H8" s="6" t="str">
        <x:v>About Digitec Performance Center | Car Workshop in Dubai</x:v>
      </x:c>
      <x:c r="I8" s="6" t="str">
        <x:v>About D IGI-TEC</x:v>
      </x:c>
      <x:c r="J8" s="6" t="str">
        <x:v>About D IGI-TEC</x:v>
      </x:c>
      <x:c r="K8" s="6" t="str">
        <x:v>Learn about Digi-Tec, an independent car workshop in Al Quoz, Dubai since 2002 for inspection, maintenance, repair, bodywork and performance-project consultation.</x:v>
      </x:c>
      <x:c r="L8" s="6" t="str">
        <x:v>Retain pending evidence; no specific content edit justified by this export.</x:v>
      </x:c>
      <x:c r="M8" s="6" t="str">
        <x:v>Retain; inspect relevant context before adding links</x:v>
      </x:c>
      <x:c r="N8" s="6" t="str">
        <x:v>Unconfirmed — no query/page pairing</x:v>
      </x:c>
      <x:c r="O8" s="6" t="str">
        <x:v>Retain established booking / WhatsApp / call path; live behaviour untested</x:v>
      </x:c>
      <x:c r="P8" s="6" t="str">
        <x:v>Retain canonical and indexation policy pending a live check.</x:v>
      </x:c>
      <x:c r="Q8" s="6" t="str">
        <x:v>Proposed; no website change made</x:v>
      </x:c>
      <x:c r="R8" s="14" t="n">
        <x:v>6</x:v>
      </x:c>
      <x:c r="S8" s="14" t="n">
        <x:v>522</x:v>
      </x:c>
      <x:c r="T8" s="15" t="n">
        <x:v>0.0115</x:v>
      </x:c>
      <x:c r="U8" s="16" t="n">
        <x:v>6.78</x:v>
      </x:c>
      <x:c r="V8" s="6" t="str">
        <x:v>https://digitecme.com/about</x:v>
      </x:c>
      <x:c r="W8" s="6" t="str">
        <x:v>Indexable directive</x:v>
      </x:c>
      <x:c r="X8" s="6" t="n">
        <x:v>771</x:v>
      </x:c>
      <x:c r="Y8" s="6" t="str">
        <x:v>About Digitec Performance Center | Car Workshop in Dubai</x:v>
      </x:c>
      <x:c r="Z8" s="6" t="str"/>
      <x:c r="AA8" s="6" t="str">
        <x:v>No / not compared</x:v>
      </x:c>
    </x:row>
    <x:row r="9" ht="42" customHeight="1">
      <x:c r="A9" s="6" t="str">
        <x:v>https://digitecme.com/about-us/</x:v>
      </x:c>
      <x:c r="B9" s="6" t="str"/>
      <x:c r="C9" s="6" t="str"/>
      <x:c r="D9" s="6" t="str">
        <x:v>Historical URL</x:v>
      </x:c>
      <x:c r="E9" s="6" t="str">
        <x:v>Verify historical URL</x:v>
      </x:c>
      <x:c r="F9" s="6" t="str">
        <x:v>Historical GSC URL; current page unverified</x:v>
      </x:c>
      <x:c r="G9" s="6" t="str">
        <x:v>Not verified</x:v>
      </x:c>
      <x:c r="H9" s="6" t="str">
        <x:v>Not verified</x:v>
      </x:c>
      <x:c r="I9" s="6" t="str">
        <x:v>Not verified</x:v>
      </x:c>
      <x:c r="J9" s="6" t="str">
        <x:v>Not verified</x:v>
      </x:c>
      <x:c r="K9" s="6" t="str">
        <x:v>Not verified</x:v>
      </x:c>
      <x:c r="L9" s="6" t="str">
        <x:v>Verify current HTTP response, canonical destination and URL history before changing or consolidating.</x:v>
      </x:c>
      <x:c r="M9" s="6" t="str">
        <x:v>Retain; inspect relevant context before adding links</x:v>
      </x:c>
      <x:c r="N9" s="6" t="str">
        <x:v>Unconfirmed — no query/page pairing</x:v>
      </x:c>
      <x:c r="O9" s="6" t="str">
        <x:v>Retain established booking / WhatsApp / call path; live behaviour untested</x:v>
      </x:c>
      <x:c r="P9" s="6" t="str">
        <x:v>Inspect live routing and canonical; do not infer a redirect from the URL shape.</x:v>
      </x:c>
      <x:c r="Q9" s="6" t="str">
        <x:v>Proposed; no website change made</x:v>
      </x:c>
      <x:c r="R9" s="14" t="n">
        <x:v>0</x:v>
      </x:c>
      <x:c r="S9" s="14" t="n">
        <x:v>82</x:v>
      </x:c>
      <x:c r="T9" s="15" t="n">
        <x:v>0</x:v>
      </x:c>
      <x:c r="U9" s="16" t="n">
        <x:v>8.13</x:v>
      </x:c>
      <x:c r="V9" s="6" t="str">
        <x:v>Not verified</x:v>
      </x:c>
      <x:c r="W9" s="6" t="str">
        <x:v>Not verified</x:v>
      </x:c>
      <x:c r="X9" s="6"/>
      <x:c r="Y9" s="6" t="str"/>
      <x:c r="Z9" s="6" t="str"/>
      <x:c r="AA9" s="6" t="str">
        <x:v>No / not compared</x:v>
      </x:c>
    </x:row>
    <x:row r="10" ht="42" customHeight="1">
      <x:c r="A10" s="6" t="str">
        <x:v>https://digitecme.com/ar</x:v>
      </x:c>
      <x:c r="B10" s="6" t="str"/>
      <x:c r="C10" s="6" t="str"/>
      <x:c r="D10" s="6" t="str">
        <x:v>home</x:v>
      </x:c>
      <x:c r="E10" s="6" t="str">
        <x:v>Retain differentiated role</x:v>
      </x:c>
      <x:c r="F10" s="6" t="str">
        <x:v>Local source render; live version unverified</x:v>
      </x:c>
      <x:c r="G10" s="6" t="str">
        <x:v>ديجي-تك | ورشة سيارات مستقلة في دبي منذ 2002</x:v>
      </x:c>
      <x:c r="H10" s="6" t="str">
        <x:v>ديجي-تك | ورشة سيارات مستقلة في دبي منذ 2002</x:v>
      </x:c>
      <x:c r="I10" s="6" t="str">
        <x:v>D IGI-TEC مركز الأداء</x:v>
      </x:c>
      <x:c r="J10" s="6" t="str">
        <x:v>D IGI-TEC مركز الأداء</x:v>
      </x:c>
      <x:c r="K10" s="6" t="str">
        <x:v>ورشة سيارات مستقلة في القوز بدبي منذ 2002 لخدمات الفحص والصيانة والإصلاح والبرمجة وأعمال الهيكل واستشارات مشاريع الأداء.</x:v>
      </x:c>
      <x:c r="L10" s="6" t="str">
        <x:v>Retain pending evidence; no specific content edit justified by this export.</x:v>
      </x:c>
      <x:c r="M10" s="6" t="str">
        <x:v>Retain; inspect relevant context before adding links</x:v>
      </x:c>
      <x:c r="N10" s="6" t="str">
        <x:v>Unconfirmed — no query/page pairing</x:v>
      </x:c>
      <x:c r="O10" s="6" t="str">
        <x:v>Retain established booking / WhatsApp / call path; live behaviour untested</x:v>
      </x:c>
      <x:c r="P10" s="6" t="str">
        <x:v>Retain canonical and indexation policy pending a live check.</x:v>
      </x:c>
      <x:c r="Q10" s="6" t="str">
        <x:v>Proposed; no website change made</x:v>
      </x:c>
      <x:c r="R10" s="14" t="n">
        <x:v>0</x:v>
      </x:c>
      <x:c r="S10" s="14" t="n">
        <x:v>13</x:v>
      </x:c>
      <x:c r="T10" s="15" t="n">
        <x:v>0</x:v>
      </x:c>
      <x:c r="U10" s="16" t="n">
        <x:v>5.92</x:v>
      </x:c>
      <x:c r="V10" s="6" t="str">
        <x:v>https://digitecme.com/ar</x:v>
      </x:c>
      <x:c r="W10" s="6" t="str">
        <x:v>Indexable directive</x:v>
      </x:c>
      <x:c r="X10" s="6" t="n">
        <x:v>669</x:v>
      </x:c>
      <x:c r="Y10" s="6" t="str">
        <x:v>ديجي-تك | ورشة سيارات مستقلة في دبي منذ 2002</x:v>
      </x:c>
      <x:c r="Z10" s="6" t="str"/>
      <x:c r="AA10" s="6" t="str">
        <x:v>No / not compared</x:v>
      </x:c>
    </x:row>
    <x:row r="11" ht="42" customHeight="1">
      <x:c r="A11" s="6" t="str">
        <x:v>https://digitecme.com/ar/about</x:v>
      </x:c>
      <x:c r="B11" s="6" t="str"/>
      <x:c r="C11" s="6" t="str"/>
      <x:c r="D11" s="6" t="str">
        <x:v>about</x:v>
      </x:c>
      <x:c r="E11" s="6" t="str">
        <x:v>Retain differentiated role</x:v>
      </x:c>
      <x:c r="F11" s="6" t="str">
        <x:v>Local source render; live version unverified</x:v>
      </x:c>
      <x:c r="G11" s="6" t="str">
        <x:v>عن مركز ديجي-تك | ورشة سيارات في دبي</x:v>
      </x:c>
      <x:c r="H11" s="6" t="str">
        <x:v>عن مركز ديجي-تك | ورشة سيارات في دبي</x:v>
      </x:c>
      <x:c r="I11" s="6" t="str">
        <x:v>عن D IGI-TEC</x:v>
      </x:c>
      <x:c r="J11" s="6" t="str">
        <x:v>عن D IGI-TEC</x:v>
      </x:c>
      <x:c r="K11" s="6" t="str">
        <x:v>تعرف على ديجي-تك، ورشة سيارات مستقلة في القوز بدبي منذ 2002 لخدمات الفحص والصيانة والإصلاح وأعمال الهيكل واستشارات مشاريع الأداء.</x:v>
      </x:c>
      <x:c r="L11" s="6" t="str">
        <x:v>Retain pending evidence; no specific content edit justified by this export.</x:v>
      </x:c>
      <x:c r="M11" s="6" t="str">
        <x:v>Retain; inspect relevant context before adding links</x:v>
      </x:c>
      <x:c r="N11" s="6" t="str">
        <x:v>Unconfirmed — no query/page pairing</x:v>
      </x:c>
      <x:c r="O11" s="6" t="str">
        <x:v>Retain established booking / WhatsApp / call path; live behaviour untested</x:v>
      </x:c>
      <x:c r="P11" s="6" t="str">
        <x:v>Retain canonical and indexation policy pending a live check.</x:v>
      </x:c>
      <x:c r="Q11" s="6" t="str">
        <x:v>Proposed; no website change made</x:v>
      </x:c>
      <x:c r="R11" s="14" t="n">
        <x:v>0</x:v>
      </x:c>
      <x:c r="S11" s="14" t="n">
        <x:v>10</x:v>
      </x:c>
      <x:c r="T11" s="15" t="n">
        <x:v>0</x:v>
      </x:c>
      <x:c r="U11" s="16" t="n">
        <x:v>9.3</x:v>
      </x:c>
      <x:c r="V11" s="6" t="str">
        <x:v>https://digitecme.com/ar/about</x:v>
      </x:c>
      <x:c r="W11" s="6" t="str">
        <x:v>Indexable directive</x:v>
      </x:c>
      <x:c r="X11" s="6" t="n">
        <x:v>669</x:v>
      </x:c>
      <x:c r="Y11" s="6" t="str">
        <x:v>عن مركز ديجي-تك | ورشة سيارات في دبي</x:v>
      </x:c>
      <x:c r="Z11" s="6" t="str"/>
      <x:c r="AA11" s="6" t="str">
        <x:v>No / not compared</x:v>
      </x:c>
    </x:row>
    <x:row r="12" ht="42" customHeight="1">
      <x:c r="A12" s="6" t="str">
        <x:v>https://digitecme.com/ar/best-audi-workshop-dubai</x:v>
      </x:c>
      <x:c r="B12" s="6" t="str"/>
      <x:c r="C12" s="6" t="str"/>
      <x:c r="D12" s="6" t="str">
        <x:v>workshop-guide</x:v>
      </x:c>
      <x:c r="E12" s="6" t="str">
        <x:v>Retain differentiated role</x:v>
      </x:c>
      <x:c r="F12" s="6" t="str">
        <x:v>Local source render; live version unverified</x:v>
      </x:c>
      <x:c r="G12" s="6" t="str">
        <x:v>ورشة خدمة وإصلاح Audi في دبي | ديجي-تك</x:v>
      </x:c>
      <x:c r="H12" s="6" t="str">
        <x:v>ورشة خدمة وإصلاح Audi في دبي | ديجي-تك</x:v>
      </x:c>
      <x:c r="I12" s="6" t="str">
        <x:v>ورشة خدمة وإصلاح Audi في دبي</x:v>
      </x:c>
      <x:c r="J12" s="6" t="str">
        <x:v>ورشة خدمة وإصلاح Audi في دبي</x:v>
      </x:c>
      <x:c r="K12" s="6" t="str">
        <x:v>ورشة مستقلة لخدمة وفحص سيارات Audi في القوز، دبي. تأسست ديجي-تك عام 2002؛ تواصل لتأكيد نطاق الخدمة المناسب للسيارة.</x:v>
      </x:c>
      <x:c r="L12" s="6" t="str">
        <x:v>Retain pending evidence; no specific content edit justified by this export.</x:v>
      </x:c>
      <x:c r="M12" s="6" t="str">
        <x:v>Retain; inspect relevant context before adding links</x:v>
      </x:c>
      <x:c r="N12" s="6" t="str">
        <x:v>Unconfirmed — no query/page pairing</x:v>
      </x:c>
      <x:c r="O12" s="6" t="str">
        <x:v>Retain established booking / WhatsApp / call path; live behaviour untested</x:v>
      </x:c>
      <x:c r="P12" s="6" t="str">
        <x:v>Retain canonical and indexation policy pending a live check.</x:v>
      </x:c>
      <x:c r="Q12" s="6" t="str">
        <x:v>Proposed; no website change made</x:v>
      </x:c>
      <x:c r="R12" s="14" t="n">
        <x:v>1</x:v>
      </x:c>
      <x:c r="S12" s="14" t="n">
        <x:v>58</x:v>
      </x:c>
      <x:c r="T12" s="15" t="n">
        <x:v>0.0172</x:v>
      </x:c>
      <x:c r="U12" s="16" t="n">
        <x:v>9.83</x:v>
      </x:c>
      <x:c r="V12" s="6" t="str">
        <x:v>https://digitecme.com/ar/best-audi-workshop-dubai</x:v>
      </x:c>
      <x:c r="W12" s="6" t="str">
        <x:v>Indexable directive</x:v>
      </x:c>
      <x:c r="X12" s="6" t="n">
        <x:v>10</x:v>
      </x:c>
      <x:c r="Y12" s="6" t="str">
        <x:v>ورشة خدمة وإصلاح Audi في دبي | ديجي-تك</x:v>
      </x:c>
      <x:c r="Z12" s="6" t="str"/>
      <x:c r="AA12" s="6" t="str">
        <x:v>No / not compared</x:v>
      </x:c>
    </x:row>
    <x:row r="13" ht="42" customHeight="1">
      <x:c r="A13" s="6" t="str">
        <x:v>https://digitecme.com/ar/best-bmw-workshop-dubai</x:v>
      </x:c>
      <x:c r="B13" s="6" t="str"/>
      <x:c r="C13" s="6" t="str"/>
      <x:c r="D13" s="6" t="str">
        <x:v>workshop-guide</x:v>
      </x:c>
      <x:c r="E13" s="6" t="str">
        <x:v>Retain differentiated role</x:v>
      </x:c>
      <x:c r="F13" s="6" t="str">
        <x:v>Local source render; live version unverified</x:v>
      </x:c>
      <x:c r="G13" s="6" t="str">
        <x:v>ورشة خدمة وإصلاح BMW في دبي | ديجي-تك</x:v>
      </x:c>
      <x:c r="H13" s="6" t="str">
        <x:v>ورشة خدمة وإصلاح BMW في دبي | ديجي-تك</x:v>
      </x:c>
      <x:c r="I13" s="6" t="str">
        <x:v>ورشة خدمة وإصلاح BMW في دبي</x:v>
      </x:c>
      <x:c r="J13" s="6" t="str">
        <x:v>ورشة خدمة وإصلاح BMW في دبي</x:v>
      </x:c>
      <x:c r="K13" s="6" t="str">
        <x:v>ورشة مستقلة لخدمة وفحص سيارات BMW في القوز، دبي. تأسست ديجي-تك عام 2002؛ تواصل لتأكيد نطاق الخدمة المناسب للسيارة.</x:v>
      </x:c>
      <x:c r="L13" s="6" t="str">
        <x:v>Retain pending evidence; no specific content edit justified by this export.</x:v>
      </x:c>
      <x:c r="M13" s="6" t="str">
        <x:v>Retain; inspect relevant context before adding links</x:v>
      </x:c>
      <x:c r="N13" s="6" t="str">
        <x:v>Unconfirmed — no query/page pairing</x:v>
      </x:c>
      <x:c r="O13" s="6" t="str">
        <x:v>Retain established booking / WhatsApp / call path; live behaviour untested</x:v>
      </x:c>
      <x:c r="P13" s="6" t="str">
        <x:v>Retain canonical and indexation policy pending a live check.</x:v>
      </x:c>
      <x:c r="Q13" s="6" t="str">
        <x:v>Proposed; no website change made</x:v>
      </x:c>
      <x:c r="R13" s="14" t="n">
        <x:v>0</x:v>
      </x:c>
      <x:c r="S13" s="14" t="n">
        <x:v>7</x:v>
      </x:c>
      <x:c r="T13" s="15" t="n">
        <x:v>0</x:v>
      </x:c>
      <x:c r="U13" s="16" t="n">
        <x:v>5.86</x:v>
      </x:c>
      <x:c r="V13" s="6" t="str">
        <x:v>https://digitecme.com/ar/best-bmw-workshop-dubai</x:v>
      </x:c>
      <x:c r="W13" s="6" t="str">
        <x:v>Indexable directive</x:v>
      </x:c>
      <x:c r="X13" s="6" t="n">
        <x:v>10</x:v>
      </x:c>
      <x:c r="Y13" s="6" t="str">
        <x:v>ورشة خدمة وإصلاح BMW في دبي | ديجي-تك</x:v>
      </x:c>
      <x:c r="Z13" s="6" t="str"/>
      <x:c r="AA13" s="6" t="str">
        <x:v>No / not compared</x:v>
      </x:c>
    </x:row>
    <x:row r="14" ht="42" customHeight="1">
      <x:c r="A14" s="6" t="str">
        <x:v>https://digitecme.com/ar/best-car-workshop-dubai</x:v>
      </x:c>
      <x:c r="B14" s="6" t="str"/>
      <x:c r="C14" s="6" t="str"/>
      <x:c r="D14" s="6" t="str">
        <x:v>workshop-guide</x:v>
      </x:c>
      <x:c r="E14" s="6" t="str">
        <x:v>Retain differentiated role</x:v>
      </x:c>
      <x:c r="F14" s="6" t="str">
        <x:v>Local source render; live version unverified</x:v>
      </x:c>
      <x:c r="G14" s="6" t="str">
        <x:v>ورشة سيارات فاخرة وأوروبية في دبي | ديجي-تك</x:v>
      </x:c>
      <x:c r="H14" s="6" t="str">
        <x:v>ورشة سيارات فاخرة وأوروبية في دبي | ديجي-تك</x:v>
      </x:c>
      <x:c r="I14" s="6" t="str">
        <x:v>ورشة سيارات فاخرة وأوروبية في دبي</x:v>
      </x:c>
      <x:c r="J14" s="6" t="str">
        <x:v>ورشة سيارات فاخرة وأوروبية في دبي</x:v>
      </x:c>
      <x:c r="K14" s="6" t="str">
        <x:v>ورشة مستقلة لخدمة وفحص سيارات السيارات الفاخرة والأوروبية في القوز، دبي. تأسست ديجي-تك عام 2002؛ تواصل لتأكيد نطاق الخدمة المناسب للسيارة.</x:v>
      </x:c>
      <x:c r="L14" s="6" t="str">
        <x:v>Retain pending evidence; no specific content edit justified by this export.</x:v>
      </x:c>
      <x:c r="M14" s="6" t="str">
        <x:v>Retain; inspect relevant context before adding links</x:v>
      </x:c>
      <x:c r="N14" s="6" t="str">
        <x:v>Unconfirmed — no query/page pairing</x:v>
      </x:c>
      <x:c r="O14" s="6" t="str">
        <x:v>Retain established booking / WhatsApp / call path; live behaviour untested</x:v>
      </x:c>
      <x:c r="P14" s="6" t="str">
        <x:v>Retain canonical and indexation policy pending a live check.</x:v>
      </x:c>
      <x:c r="Q14" s="6" t="str">
        <x:v>Proposed; no website change made</x:v>
      </x:c>
      <x:c r="R14" s="14" t="n">
        <x:v>0</x:v>
      </x:c>
      <x:c r="S14" s="14" t="n">
        <x:v>8</x:v>
      </x:c>
      <x:c r="T14" s="15" t="n">
        <x:v>0</x:v>
      </x:c>
      <x:c r="U14" s="16" t="n">
        <x:v>18.5</x:v>
      </x:c>
      <x:c r="V14" s="6" t="str">
        <x:v>https://digitecme.com/ar/best-car-workshop-dubai</x:v>
      </x:c>
      <x:c r="W14" s="6" t="str">
        <x:v>Indexable directive</x:v>
      </x:c>
      <x:c r="X14" s="6" t="n">
        <x:v>10</x:v>
      </x:c>
      <x:c r="Y14" s="6" t="str">
        <x:v>ورشة سيارات فاخرة وأوروبية في دبي | ديجي-تك</x:v>
      </x:c>
      <x:c r="Z14" s="6" t="str"/>
      <x:c r="AA14" s="6" t="str">
        <x:v>No / not compared</x:v>
      </x:c>
    </x:row>
    <x:row r="15" ht="42" customHeight="1">
      <x:c r="A15" s="6" t="str">
        <x:v>https://digitecme.com/ar/best-ferrari-workshop-dubai</x:v>
      </x:c>
      <x:c r="B15" s="6" t="str"/>
      <x:c r="C15" s="6" t="str"/>
      <x:c r="D15" s="6" t="str">
        <x:v>workshop-guide</x:v>
      </x:c>
      <x:c r="E15" s="6" t="str">
        <x:v>Retain differentiated role</x:v>
      </x:c>
      <x:c r="F15" s="6" t="str">
        <x:v>Local source render; live version unverified</x:v>
      </x:c>
      <x:c r="G15" s="6" t="str">
        <x:v>ورشة خدمة وإصلاح Ferrari في دبي | ديجي-تك</x:v>
      </x:c>
      <x:c r="H15" s="6" t="str">
        <x:v>ورشة خدمة وإصلاح Ferrari في دبي | ديجي-تك</x:v>
      </x:c>
      <x:c r="I15" s="6" t="str">
        <x:v>ورشة خدمة وإصلاح Ferrari في دبي</x:v>
      </x:c>
      <x:c r="J15" s="6" t="str">
        <x:v>ورشة خدمة وإصلاح Ferrari في دبي</x:v>
      </x:c>
      <x:c r="K15" s="6" t="str">
        <x:v>ورشة مستقلة لخدمة وفحص سيارات Ferrari في القوز، دبي. تأسست ديجي-تك عام 2002؛ تواصل لتأكيد نطاق الخدمة المناسب للسيارة.</x:v>
      </x:c>
      <x:c r="L15" s="6" t="str">
        <x:v>Retain pending evidence; no specific content edit justified by this export.</x:v>
      </x:c>
      <x:c r="M15" s="6" t="str">
        <x:v>Retain; inspect relevant context before adding links</x:v>
      </x:c>
      <x:c r="N15" s="6" t="str">
        <x:v>Unconfirmed — no query/page pairing</x:v>
      </x:c>
      <x:c r="O15" s="6" t="str">
        <x:v>Retain established booking / WhatsApp / call path; live behaviour untested</x:v>
      </x:c>
      <x:c r="P15" s="6" t="str">
        <x:v>Retain canonical and indexation policy pending a live check.</x:v>
      </x:c>
      <x:c r="Q15" s="6" t="str">
        <x:v>Proposed; no website change made</x:v>
      </x:c>
      <x:c r="R15" s="14"/>
      <x:c r="S15" s="14"/>
      <x:c r="T15" s="15"/>
      <x:c r="U15" s="16"/>
      <x:c r="V15" s="6" t="str">
        <x:v>https://digitecme.com/ar/best-ferrari-workshop-dubai</x:v>
      </x:c>
      <x:c r="W15" s="6" t="str">
        <x:v>Indexable directive</x:v>
      </x:c>
      <x:c r="X15" s="6" t="n">
        <x:v>10</x:v>
      </x:c>
      <x:c r="Y15" s="6" t="str">
        <x:v>ورشة خدمة وإصلاح Ferrari في دبي | ديجي-تك</x:v>
      </x:c>
      <x:c r="Z15" s="6" t="str"/>
      <x:c r="AA15" s="6" t="str">
        <x:v>No / not compared</x:v>
      </x:c>
    </x:row>
    <x:row r="16" ht="42" customHeight="1">
      <x:c r="A16" s="6" t="str">
        <x:v>https://digitecme.com/ar/best-lamborghini-workshop-dubai</x:v>
      </x:c>
      <x:c r="B16" s="6" t="str"/>
      <x:c r="C16" s="6" t="str"/>
      <x:c r="D16" s="6" t="str">
        <x:v>workshop-guide</x:v>
      </x:c>
      <x:c r="E16" s="6" t="str">
        <x:v>Retain differentiated role</x:v>
      </x:c>
      <x:c r="F16" s="6" t="str">
        <x:v>Local source render; live version unverified</x:v>
      </x:c>
      <x:c r="G16" s="6" t="str">
        <x:v>ورشة خدمة وإصلاح Lamborghini في دبي | ديجي-تك</x:v>
      </x:c>
      <x:c r="H16" s="6" t="str">
        <x:v>ورشة خدمة وإصلاح Lamborghini في دبي | ديجي-تك</x:v>
      </x:c>
      <x:c r="I16" s="6" t="str">
        <x:v>ورشة خدمة وإصلاح Lamborghini في دبي</x:v>
      </x:c>
      <x:c r="J16" s="6" t="str">
        <x:v>ورشة خدمة وإصلاح Lamborghini في دبي</x:v>
      </x:c>
      <x:c r="K16" s="6" t="str">
        <x:v>ورشة مستقلة لخدمة وفحص سيارات Lamborghini في القوز، دبي. تأسست ديجي-تك عام 2002؛ تواصل لتأكيد نطاق الخدمة المناسب للسيارة.</x:v>
      </x:c>
      <x:c r="L16" s="6" t="str">
        <x:v>Retain pending evidence; no specific content edit justified by this export.</x:v>
      </x:c>
      <x:c r="M16" s="6" t="str">
        <x:v>Retain; inspect relevant context before adding links</x:v>
      </x:c>
      <x:c r="N16" s="6" t="str">
        <x:v>Unconfirmed — no query/page pairing</x:v>
      </x:c>
      <x:c r="O16" s="6" t="str">
        <x:v>Retain established booking / WhatsApp / call path; live behaviour untested</x:v>
      </x:c>
      <x:c r="P16" s="6" t="str">
        <x:v>Retain canonical and indexation policy pending a live check.</x:v>
      </x:c>
      <x:c r="Q16" s="6" t="str">
        <x:v>Proposed; no website change made</x:v>
      </x:c>
      <x:c r="R16" s="14" t="n">
        <x:v>0</x:v>
      </x:c>
      <x:c r="S16" s="14" t="n">
        <x:v>6</x:v>
      </x:c>
      <x:c r="T16" s="15" t="n">
        <x:v>0</x:v>
      </x:c>
      <x:c r="U16" s="16" t="n">
        <x:v>7.33</x:v>
      </x:c>
      <x:c r="V16" s="6" t="str">
        <x:v>https://digitecme.com/ar/best-lamborghini-workshop-dubai</x:v>
      </x:c>
      <x:c r="W16" s="6" t="str">
        <x:v>Indexable directive</x:v>
      </x:c>
      <x:c r="X16" s="6" t="n">
        <x:v>10</x:v>
      </x:c>
      <x:c r="Y16" s="6" t="str">
        <x:v>ورشة خدمة وإصلاح Lamborghini في دبي | ديجي-تك</x:v>
      </x:c>
      <x:c r="Z16" s="6" t="str"/>
      <x:c r="AA16" s="6" t="str">
        <x:v>No / not compared</x:v>
      </x:c>
    </x:row>
    <x:row r="17" ht="42" customHeight="1">
      <x:c r="A17" s="6" t="str">
        <x:v>https://digitecme.com/ar/best-mercedes-workshop-dubai</x:v>
      </x:c>
      <x:c r="B17" s="6" t="str"/>
      <x:c r="C17" s="6" t="str"/>
      <x:c r="D17" s="6" t="str">
        <x:v>Historical URL</x:v>
      </x:c>
      <x:c r="E17" s="6" t="str">
        <x:v>Verify historical URL</x:v>
      </x:c>
      <x:c r="F17" s="6" t="str">
        <x:v>Historical GSC URL; current page unverified</x:v>
      </x:c>
      <x:c r="G17" s="6" t="str">
        <x:v>Not verified</x:v>
      </x:c>
      <x:c r="H17" s="6" t="str">
        <x:v>Not verified</x:v>
      </x:c>
      <x:c r="I17" s="6" t="str">
        <x:v>Not verified</x:v>
      </x:c>
      <x:c r="J17" s="6" t="str">
        <x:v>Not verified</x:v>
      </x:c>
      <x:c r="K17" s="6" t="str">
        <x:v>Not verified</x:v>
      </x:c>
      <x:c r="L17" s="6" t="str">
        <x:v>Verify current HTTP response, canonical destination and URL history before changing or consolidating.</x:v>
      </x:c>
      <x:c r="M17" s="6" t="str">
        <x:v>Retain; inspect relevant context before adding links</x:v>
      </x:c>
      <x:c r="N17" s="6" t="str">
        <x:v>Unconfirmed — no query/page pairing</x:v>
      </x:c>
      <x:c r="O17" s="6" t="str">
        <x:v>Retain established booking / WhatsApp / call path; live behaviour untested</x:v>
      </x:c>
      <x:c r="P17" s="6" t="str">
        <x:v>Inspect live routing and canonical; do not infer a redirect from the URL shape.</x:v>
      </x:c>
      <x:c r="Q17" s="6" t="str">
        <x:v>Proposed; no website change made</x:v>
      </x:c>
      <x:c r="R17" s="14" t="n">
        <x:v>0</x:v>
      </x:c>
      <x:c r="S17" s="14" t="n">
        <x:v>47</x:v>
      </x:c>
      <x:c r="T17" s="15" t="n">
        <x:v>0</x:v>
      </x:c>
      <x:c r="U17" s="16" t="n">
        <x:v>4.3</x:v>
      </x:c>
      <x:c r="V17" s="6" t="str">
        <x:v>Not verified</x:v>
      </x:c>
      <x:c r="W17" s="6" t="str">
        <x:v>Not verified</x:v>
      </x:c>
      <x:c r="X17" s="6"/>
      <x:c r="Y17" s="6" t="str"/>
      <x:c r="Z17" s="6" t="str"/>
      <x:c r="AA17" s="6" t="str">
        <x:v>No / not compared</x:v>
      </x:c>
    </x:row>
    <x:row r="18" ht="42" customHeight="1">
      <x:c r="A18" s="6" t="str">
        <x:v>https://digitecme.com/ar/best-porsche-workshop-dubai</x:v>
      </x:c>
      <x:c r="B18" s="6" t="str"/>
      <x:c r="C18" s="6" t="str"/>
      <x:c r="D18" s="6" t="str">
        <x:v>workshop-guide</x:v>
      </x:c>
      <x:c r="E18" s="6" t="str">
        <x:v>Retain differentiated role</x:v>
      </x:c>
      <x:c r="F18" s="6" t="str">
        <x:v>Local source render; live version unverified</x:v>
      </x:c>
      <x:c r="G18" s="6" t="str">
        <x:v>ورشة خدمة وإصلاح Porsche في دبي | ديجي-تك</x:v>
      </x:c>
      <x:c r="H18" s="6" t="str">
        <x:v>ورشة خدمة وإصلاح Porsche في دبي | ديجي-تك</x:v>
      </x:c>
      <x:c r="I18" s="6" t="str">
        <x:v>ورشة خدمة وإصلاح Porsche في دبي</x:v>
      </x:c>
      <x:c r="J18" s="6" t="str">
        <x:v>ورشة خدمة وإصلاح Porsche في دبي</x:v>
      </x:c>
      <x:c r="K18" s="6" t="str">
        <x:v>ورشة مستقلة لخدمة وفحص سيارات Porsche في القوز، دبي. تأسست ديجي-تك عام 2002؛ تواصل لتأكيد نطاق الخدمة المناسب للسيارة.</x:v>
      </x:c>
      <x:c r="L18" s="6" t="str">
        <x:v>Retain pending evidence; no specific content edit justified by this export.</x:v>
      </x:c>
      <x:c r="M18" s="6" t="str">
        <x:v>Retain; inspect relevant context before adding links</x:v>
      </x:c>
      <x:c r="N18" s="6" t="str">
        <x:v>Unconfirmed — no query/page pairing</x:v>
      </x:c>
      <x:c r="O18" s="6" t="str">
        <x:v>Retain established booking / WhatsApp / call path; live behaviour untested</x:v>
      </x:c>
      <x:c r="P18" s="6" t="str">
        <x:v>Retain canonical and indexation policy pending a live check.</x:v>
      </x:c>
      <x:c r="Q18" s="6" t="str">
        <x:v>Proposed; no website change made</x:v>
      </x:c>
      <x:c r="R18" s="14" t="n">
        <x:v>0</x:v>
      </x:c>
      <x:c r="S18" s="14" t="n">
        <x:v>35</x:v>
      </x:c>
      <x:c r="T18" s="15" t="n">
        <x:v>0</x:v>
      </x:c>
      <x:c r="U18" s="16" t="n">
        <x:v>9.43</x:v>
      </x:c>
      <x:c r="V18" s="6" t="str">
        <x:v>https://digitecme.com/ar/best-porsche-workshop-dubai</x:v>
      </x:c>
      <x:c r="W18" s="6" t="str">
        <x:v>Indexable directive</x:v>
      </x:c>
      <x:c r="X18" s="6" t="n">
        <x:v>10</x:v>
      </x:c>
      <x:c r="Y18" s="6" t="str">
        <x:v>ورشة خدمة وإصلاح Porsche في دبي | ديجي-تك</x:v>
      </x:c>
      <x:c r="Z18" s="6" t="str"/>
      <x:c r="AA18" s="6" t="str">
        <x:v>No / not compared</x:v>
      </x:c>
    </x:row>
    <x:row r="19" ht="42" customHeight="1">
      <x:c r="A19" s="6" t="str">
        <x:v>https://digitecme.com/ar/best-range-rover-workshop-dubai</x:v>
      </x:c>
      <x:c r="B19" s="6" t="str"/>
      <x:c r="C19" s="6" t="str"/>
      <x:c r="D19" s="6" t="str">
        <x:v>workshop-guide</x:v>
      </x:c>
      <x:c r="E19" s="6" t="str">
        <x:v>Retain differentiated role</x:v>
      </x:c>
      <x:c r="F19" s="6" t="str">
        <x:v>Local source render; live version unverified</x:v>
      </x:c>
      <x:c r="G19" s="6" t="str">
        <x:v>ورشة خدمة وإصلاح Range Rover في دبي | ديجي-تك</x:v>
      </x:c>
      <x:c r="H19" s="6" t="str">
        <x:v>ورشة خدمة وإصلاح Range Rover في دبي | ديجي-تك</x:v>
      </x:c>
      <x:c r="I19" s="6" t="str">
        <x:v>ورشة خدمة وإصلاح Range Rover في دبي</x:v>
      </x:c>
      <x:c r="J19" s="6" t="str">
        <x:v>ورشة خدمة وإصلاح Range Rover في دبي</x:v>
      </x:c>
      <x:c r="K19" s="6" t="str">
        <x:v>ورشة مستقلة لخدمة وفحص سيارات Range Rover في القوز، دبي. تأسست ديجي-تك عام 2002؛ تواصل لتأكيد نطاق الخدمة المناسب للسيارة.</x:v>
      </x:c>
      <x:c r="L19" s="6" t="str">
        <x:v>Retain pending evidence; no specific content edit justified by this export.</x:v>
      </x:c>
      <x:c r="M19" s="6" t="str">
        <x:v>Retain; inspect relevant context before adding links</x:v>
      </x:c>
      <x:c r="N19" s="6" t="str">
        <x:v>Unconfirmed — no query/page pairing</x:v>
      </x:c>
      <x:c r="O19" s="6" t="str">
        <x:v>Retain established booking / WhatsApp / call path; live behaviour untested</x:v>
      </x:c>
      <x:c r="P19" s="6" t="str">
        <x:v>Retain canonical and indexation policy pending a live check.</x:v>
      </x:c>
      <x:c r="Q19" s="6" t="str">
        <x:v>Proposed; no website change made</x:v>
      </x:c>
      <x:c r="R19" s="14" t="n">
        <x:v>0</x:v>
      </x:c>
      <x:c r="S19" s="14" t="n">
        <x:v>18</x:v>
      </x:c>
      <x:c r="T19" s="15" t="n">
        <x:v>0</x:v>
      </x:c>
      <x:c r="U19" s="16" t="n">
        <x:v>15.5</x:v>
      </x:c>
      <x:c r="V19" s="6" t="str">
        <x:v>https://digitecme.com/ar/best-range-rover-workshop-dubai</x:v>
      </x:c>
      <x:c r="W19" s="6" t="str">
        <x:v>Indexable directive</x:v>
      </x:c>
      <x:c r="X19" s="6" t="n">
        <x:v>10</x:v>
      </x:c>
      <x:c r="Y19" s="6" t="str">
        <x:v>ورشة خدمة وإصلاح Range Rover في دبي | ديجي-تك</x:v>
      </x:c>
      <x:c r="Z19" s="6" t="str"/>
      <x:c r="AA19" s="6" t="str">
        <x:v>No / not compared</x:v>
      </x:c>
    </x:row>
    <x:row r="20" ht="42" customHeight="1">
      <x:c r="A20" s="6" t="str">
        <x:v>https://digitecme.com/ar/blog</x:v>
      </x:c>
      <x:c r="B20" s="6" t="str"/>
      <x:c r="C20" s="6" t="str"/>
      <x:c r="D20" s="6" t="str">
        <x:v>blog-hub</x:v>
      </x:c>
      <x:c r="E20" s="6" t="str">
        <x:v>Retain differentiated role</x:v>
      </x:c>
      <x:c r="F20" s="6" t="str">
        <x:v>Local source render; live version unverified</x:v>
      </x:c>
      <x:c r="G20" s="6" t="str">
        <x:v>مدونة السيارات في دبي | مركز ديجي-تك</x:v>
      </x:c>
      <x:c r="H20" s="6" t="str">
        <x:v>مدونة السيارات في دبي | مركز ديجي-تك</x:v>
      </x:c>
      <x:c r="I20" s="6" t="str">
        <x:v>مجلة ديجي-تك</x:v>
      </x:c>
      <x:c r="J20" s="6" t="str">
        <x:v>مجلة ديجي-تك</x:v>
      </x:c>
      <x:c r="K20" s="6" t="str">
        <x:v>مقالات وإرشادات عن صيانة السيارات الفاخرة وإصلاح مرسيدس وتطوير الأداء وحماية الطلاء والعناية بالسيارات في دبي.</x:v>
      </x:c>
      <x:c r="L20" s="6" t="str">
        <x:v>Retain pending evidence; no specific content edit justified by this export.</x:v>
      </x:c>
      <x:c r="M20" s="6" t="str">
        <x:v>Retain; inspect relevant context before adding links</x:v>
      </x:c>
      <x:c r="N20" s="6" t="str">
        <x:v>Unconfirmed — no query/page pairing</x:v>
      </x:c>
      <x:c r="O20" s="6" t="str">
        <x:v>Retain established booking / WhatsApp / call path; live behaviour untested</x:v>
      </x:c>
      <x:c r="P20" s="6" t="str">
        <x:v>Retain canonical and indexation policy pending a live check.</x:v>
      </x:c>
      <x:c r="Q20" s="6" t="str">
        <x:v>Proposed; no website change made</x:v>
      </x:c>
      <x:c r="R20" s="14" t="n">
        <x:v>0</x:v>
      </x:c>
      <x:c r="S20" s="14" t="n">
        <x:v>3</x:v>
      </x:c>
      <x:c r="T20" s="15" t="n">
        <x:v>0</x:v>
      </x:c>
      <x:c r="U20" s="16" t="n">
        <x:v>4</x:v>
      </x:c>
      <x:c r="V20" s="6" t="str">
        <x:v>https://digitecme.com/ar/blog</x:v>
      </x:c>
      <x:c r="W20" s="6" t="str">
        <x:v>Indexable directive</x:v>
      </x:c>
      <x:c r="X20" s="6" t="n">
        <x:v>669</x:v>
      </x:c>
      <x:c r="Y20" s="6" t="str">
        <x:v>مدونة السيارات في دبي | مركز ديجي-تك</x:v>
      </x:c>
      <x:c r="Z20" s="6" t="str"/>
      <x:c r="AA20" s="6" t="str">
        <x:v>No / not compared</x:v>
      </x:c>
    </x:row>
    <x:row r="21" ht="57" customHeight="1">
      <x:c r="A21" s="6" t="str">
        <x:v>https://digitecme.com/ar/blog/air-suspension-repair-dubai-guide</x:v>
      </x:c>
      <x:c r="B21" s="6" t="str"/>
      <x:c r="C21" s="6" t="str"/>
      <x:c r="D21" s="6" t="str">
        <x:v>article</x:v>
      </x:c>
      <x:c r="E21" s="6" t="str">
        <x:v>Retain differentiated role</x:v>
      </x:c>
      <x:c r="F21" s="6" t="str">
        <x:v>Local source render; live version unverified</x:v>
      </x:c>
      <x:c r="G21" s="6" t="str">
        <x:v>Air Suspension Repair Dubai | Diagnosis, Leaks and Compressors</x:v>
      </x:c>
      <x:c r="H21" s="6" t="str">
        <x:v>Air Suspension Repair Dubai | Diagnosis, Leaks and Compressors</x:v>
      </x:c>
      <x:c r="I21" s="6" t="str">
        <x:v>Air Suspension Repair in Dubai: Diagnosis Before Replacement</x:v>
      </x:c>
      <x:c r="J21" s="6" t="str">
        <x:v>Air Suspension Repair in Dubai: Diagnosis Before Replacement</x:v>
      </x:c>
      <x:c r="K21" s="6" t="str">
        <x:v>Air suspension repair in Dubai explained: why springs leak in UAE heat, how faults are diagnosed with live data, and when a compressor or valve block is the real cause.</x:v>
      </x:c>
      <x:c r="L21" s="6" t="str">
        <x:v>Retain pending evidence; no specific content edit justified by this export.</x:v>
      </x:c>
      <x:c r="M21" s="6" t="str">
        <x:v>Retain; inspect relevant context before adding links</x:v>
      </x:c>
      <x:c r="N21" s="6" t="str">
        <x:v>Unconfirmed — no query/page pairing</x:v>
      </x:c>
      <x:c r="O21" s="6" t="str">
        <x:v>Retain established booking / WhatsApp / call path; live behaviour untested</x:v>
      </x:c>
      <x:c r="P21" s="6" t="str">
        <x:v>Retain canonical and indexation policy pending a live check.</x:v>
      </x:c>
      <x:c r="Q21" s="6" t="str">
        <x:v>Proposed; no website change made</x:v>
      </x:c>
      <x:c r="R21" s="14" t="n">
        <x:v>0</x:v>
      </x:c>
      <x:c r="S21" s="14" t="n">
        <x:v>1</x:v>
      </x:c>
      <x:c r="T21" s="15" t="n">
        <x:v>0</x:v>
      </x:c>
      <x:c r="U21" s="16" t="n">
        <x:v>7</x:v>
      </x:c>
      <x:c r="V21" s="6" t="str">
        <x:v>https://digitecme.com/ar/blog/air-suspension-repair-dubai-guide</x:v>
      </x:c>
      <x:c r="W21" s="6" t="str">
        <x:v>Indexable directive</x:v>
      </x:c>
      <x:c r="X21" s="6" t="n">
        <x:v>4</x:v>
      </x:c>
      <x:c r="Y21" s="6" t="str">
        <x:v>Air Suspension Repair Dubai | Diagnosis, Leaks and Compressors</x:v>
      </x:c>
      <x:c r="Z21" s="6" t="str"/>
      <x:c r="AA21" s="6" t="str">
        <x:v>No / not compared</x:v>
      </x:c>
    </x:row>
    <x:row r="22" ht="42" customHeight="1">
      <x:c r="A22" s="6" t="str">
        <x:v>https://digitecme.com/ar/blog/alfa-romeo-best-workshop-dubai</x:v>
      </x:c>
      <x:c r="B22" s="6" t="str"/>
      <x:c r="C22" s="6" t="str"/>
      <x:c r="D22" s="6" t="str">
        <x:v>article</x:v>
      </x:c>
      <x:c r="E22" s="6" t="str">
        <x:v>Retain differentiated role</x:v>
      </x:c>
      <x:c r="F22" s="6" t="str">
        <x:v>Local source render; live version unverified</x:v>
      </x:c>
      <x:c r="G22" s="6" t="str">
        <x:v>ورشة Alfa Romeo في دبي | ديجي-تك</x:v>
      </x:c>
      <x:c r="H22" s="6" t="str">
        <x:v>ورشة Alfa Romeo في دبي | ديجي-تك</x:v>
      </x:c>
      <x:c r="I22" s="6" t="str">
        <x:v>دليل ورشة Alfa Romeo المتخصصة في دبي</x:v>
      </x:c>
      <x:c r="J22" s="6" t="str">
        <x:v>دليل ورشة Alfa Romeo المتخصصة في دبي</x:v>
      </x:c>
      <x:c r="K22" s="6" t="str">
        <x:v>ورشة متخصصة في Alfa Romeo بدبي للفحص والصيانة والإصلاح. احجز لدى ديجي-تك في القوز للحصول على تشخيص واضح وخدمة احترافية.</x:v>
      </x:c>
      <x:c r="L22" s="6" t="str">
        <x:v>Retain pending evidence; no specific content edit justified by this export.</x:v>
      </x:c>
      <x:c r="M22" s="6" t="str">
        <x:v>Retain; inspect relevant context before adding links</x:v>
      </x:c>
      <x:c r="N22" s="6" t="str">
        <x:v>Unconfirmed — no query/page pairing</x:v>
      </x:c>
      <x:c r="O22" s="6" t="str">
        <x:v>Retain established booking / WhatsApp / call path; live behaviour untested</x:v>
      </x:c>
      <x:c r="P22" s="6" t="str">
        <x:v>Retain canonical and indexation policy pending a live check.</x:v>
      </x:c>
      <x:c r="Q22" s="6" t="str">
        <x:v>Proposed; no website change made</x:v>
      </x:c>
      <x:c r="R22" s="14"/>
      <x:c r="S22" s="14"/>
      <x:c r="T22" s="15"/>
      <x:c r="U22" s="16"/>
      <x:c r="V22" s="6" t="str">
        <x:v>https://digitecme.com/ar/blog/alfa-romeo-best-workshop-dubai</x:v>
      </x:c>
      <x:c r="W22" s="6" t="str">
        <x:v>Indexable directive</x:v>
      </x:c>
      <x:c r="X22" s="6" t="n">
        <x:v>4</x:v>
      </x:c>
      <x:c r="Y22" s="6" t="str">
        <x:v>ورشة Alfa Romeo في دبي | ديجي-تك</x:v>
      </x:c>
      <x:c r="Z22" s="6" t="str"/>
      <x:c r="AA22" s="6" t="str">
        <x:v>No / not compared</x:v>
      </x:c>
    </x:row>
    <x:row r="23" ht="42" customHeight="1">
      <x:c r="A23" s="6" t="str">
        <x:v>https://digitecme.com/ar/blog/aston-martin-best-workshop-dubai</x:v>
      </x:c>
      <x:c r="B23" s="6" t="str"/>
      <x:c r="C23" s="6" t="str"/>
      <x:c r="D23" s="6" t="str">
        <x:v>article</x:v>
      </x:c>
      <x:c r="E23" s="6" t="str">
        <x:v>Retain differentiated role</x:v>
      </x:c>
      <x:c r="F23" s="6" t="str">
        <x:v>Local source render; live version unverified</x:v>
      </x:c>
      <x:c r="G23" s="6" t="str">
        <x:v>ورشة Aston Martin في دبي | ديجي-تك</x:v>
      </x:c>
      <x:c r="H23" s="6" t="str">
        <x:v>ورشة Aston Martin في دبي | ديجي-تك</x:v>
      </x:c>
      <x:c r="I23" s="6" t="str">
        <x:v>دليل ورشة Aston Martin المتخصصة في دبي</x:v>
      </x:c>
      <x:c r="J23" s="6" t="str">
        <x:v>دليل ورشة Aston Martin المتخصصة في دبي</x:v>
      </x:c>
      <x:c r="K23" s="6" t="str">
        <x:v>ورشة متخصصة في Aston Martin بدبي للفحص والصيانة والإصلاح. احجز لدى ديجي-تك في القوز للحصول على تشخيص واضح وخدمة احترافية.</x:v>
      </x:c>
      <x:c r="L23" s="6" t="str">
        <x:v>Retain pending evidence; no specific content edit justified by this export.</x:v>
      </x:c>
      <x:c r="M23" s="6" t="str">
        <x:v>Retain; inspect relevant context before adding links</x:v>
      </x:c>
      <x:c r="N23" s="6" t="str">
        <x:v>Unconfirmed — no query/page pairing</x:v>
      </x:c>
      <x:c r="O23" s="6" t="str">
        <x:v>Retain established booking / WhatsApp / call path; live behaviour untested</x:v>
      </x:c>
      <x:c r="P23" s="6" t="str">
        <x:v>Retain canonical and indexation policy pending a live check.</x:v>
      </x:c>
      <x:c r="Q23" s="6" t="str">
        <x:v>Proposed; no website change made</x:v>
      </x:c>
      <x:c r="R23" s="14" t="n">
        <x:v>0</x:v>
      </x:c>
      <x:c r="S23" s="14" t="n">
        <x:v>3</x:v>
      </x:c>
      <x:c r="T23" s="15" t="n">
        <x:v>0</x:v>
      </x:c>
      <x:c r="U23" s="16" t="n">
        <x:v>4.67</x:v>
      </x:c>
      <x:c r="V23" s="6" t="str">
        <x:v>https://digitecme.com/ar/blog/aston-martin-best-workshop-dubai</x:v>
      </x:c>
      <x:c r="W23" s="6" t="str">
        <x:v>Indexable directive</x:v>
      </x:c>
      <x:c r="X23" s="6" t="n">
        <x:v>4</x:v>
      </x:c>
      <x:c r="Y23" s="6" t="str">
        <x:v>ورشة Aston Martin في دبي | ديجي-تك</x:v>
      </x:c>
      <x:c r="Z23" s="6" t="str"/>
      <x:c r="AA23" s="6" t="str">
        <x:v>No / not compared</x:v>
      </x:c>
    </x:row>
    <x:row r="24" ht="42" customHeight="1">
      <x:c r="A24" s="6" t="str">
        <x:v>https://digitecme.com/ar/blog/aston-martin-db11-service-dubai-guide</x:v>
      </x:c>
      <x:c r="B24" s="6" t="str"/>
      <x:c r="C24" s="6" t="str"/>
      <x:c r="D24" s="6" t="str">
        <x:v>article</x:v>
      </x:c>
      <x:c r="E24" s="6" t="str">
        <x:v>Retain differentiated role</x:v>
      </x:c>
      <x:c r="F24" s="6" t="str">
        <x:v>Local source render; live version unverified</x:v>
      </x:c>
      <x:c r="G24" s="6" t="str">
        <x:v>Aston Martin DB11 Service Dubai | Maintenance Guide</x:v>
      </x:c>
      <x:c r="H24" s="6" t="str">
        <x:v>Aston Martin DB11 Service Dubai | Maintenance Guide</x:v>
      </x:c>
      <x:c r="I24" s="6" t="str">
        <x:v>Aston Martin DB11 Service in Dubai: Owner Guide</x:v>
      </x:c>
      <x:c r="J24" s="6" t="str">
        <x:v>Aston Martin DB11 Service in Dubai: Owner Guide</x:v>
      </x:c>
      <x:c r="K24" s="6" t="str">
        <x:v>Aston Martin DB11 service in Dubai: oil specification, cooling, brakes, gearbox fluid, electronics and diagnostics explained for owners.</x:v>
      </x:c>
      <x:c r="L24" s="6" t="str">
        <x:v>Retain pending evidence; no specific content edit justified by this export.</x:v>
      </x:c>
      <x:c r="M24" s="6" t="str">
        <x:v>Retain; inspect relevant context before adding links</x:v>
      </x:c>
      <x:c r="N24" s="6" t="str">
        <x:v>Unconfirmed — no query/page pairing</x:v>
      </x:c>
      <x:c r="O24" s="6" t="str">
        <x:v>Retain established booking / WhatsApp / call path; live behaviour untested</x:v>
      </x:c>
      <x:c r="P24" s="6" t="str">
        <x:v>Retain canonical and indexation policy pending a live check.</x:v>
      </x:c>
      <x:c r="Q24" s="6" t="str">
        <x:v>Proposed; no website change made</x:v>
      </x:c>
      <x:c r="R24" s="14"/>
      <x:c r="S24" s="14"/>
      <x:c r="T24" s="15"/>
      <x:c r="U24" s="16"/>
      <x:c r="V24" s="6" t="str">
        <x:v>https://digitecme.com/ar/blog/aston-martin-db11-service-dubai-guide</x:v>
      </x:c>
      <x:c r="W24" s="6" t="str">
        <x:v>Indexable directive</x:v>
      </x:c>
      <x:c r="X24" s="6" t="n">
        <x:v>4</x:v>
      </x:c>
      <x:c r="Y24" s="6" t="str">
        <x:v>Aston Martin DB11 Service Dubai | Maintenance Guide</x:v>
      </x:c>
      <x:c r="Z24" s="6" t="str"/>
      <x:c r="AA24" s="6" t="str">
        <x:v>No / not compared</x:v>
      </x:c>
    </x:row>
    <x:row r="25" ht="42" customHeight="1">
      <x:c r="A25" s="6" t="str">
        <x:v>https://digitecme.com/ar/blog/audi-maintenance-guide-dubai</x:v>
      </x:c>
      <x:c r="B25" s="6" t="str"/>
      <x:c r="C25" s="6" t="str"/>
      <x:c r="D25" s="6" t="str">
        <x:v>article</x:v>
      </x:c>
      <x:c r="E25" s="6" t="str">
        <x:v>Retain differentiated role</x:v>
      </x:c>
      <x:c r="F25" s="6" t="str">
        <x:v>Local source render; live version unverified</x:v>
      </x:c>
      <x:c r="G25" s="6" t="str">
        <x:v>ورشة Audi في دبي | ديجي-تك</x:v>
      </x:c>
      <x:c r="H25" s="6" t="str">
        <x:v>ورشة Audi في دبي | ديجي-تك</x:v>
      </x:c>
      <x:c r="I25" s="6" t="str">
        <x:v>دليل ورشة Audi المتخصصة في دبي</x:v>
      </x:c>
      <x:c r="J25" s="6" t="str">
        <x:v>دليل ورشة Audi المتخصصة في دبي</x:v>
      </x:c>
      <x:c r="K25" s="6" t="str">
        <x:v>ورشة متخصصة في Audi بدبي للفحص والصيانة والإصلاح. احجز لدى ديجي-تك في القوز للحصول على تشخيص واضح وخدمة احترافية.</x:v>
      </x:c>
      <x:c r="L25" s="6" t="str">
        <x:v>Retain pending evidence; no specific content edit justified by this export.</x:v>
      </x:c>
      <x:c r="M25" s="6" t="str">
        <x:v>Retain; inspect relevant context before adding links</x:v>
      </x:c>
      <x:c r="N25" s="6" t="str">
        <x:v>Unconfirmed — no query/page pairing</x:v>
      </x:c>
      <x:c r="O25" s="6" t="str">
        <x:v>Retain established booking / WhatsApp / call path; live behaviour untested</x:v>
      </x:c>
      <x:c r="P25" s="6" t="str">
        <x:v>Retain canonical and indexation policy pending a live check.</x:v>
      </x:c>
      <x:c r="Q25" s="6" t="str">
        <x:v>Proposed; no website change made</x:v>
      </x:c>
      <x:c r="R25" s="14" t="n">
        <x:v>0</x:v>
      </x:c>
      <x:c r="S25" s="14" t="n">
        <x:v>25</x:v>
      </x:c>
      <x:c r="T25" s="15" t="n">
        <x:v>0</x:v>
      </x:c>
      <x:c r="U25" s="16" t="n">
        <x:v>14.88</x:v>
      </x:c>
      <x:c r="V25" s="6" t="str">
        <x:v>https://digitecme.com/ar/blog/audi-maintenance-guide-dubai</x:v>
      </x:c>
      <x:c r="W25" s="6" t="str">
        <x:v>Indexable directive</x:v>
      </x:c>
      <x:c r="X25" s="6" t="n">
        <x:v>4</x:v>
      </x:c>
      <x:c r="Y25" s="6" t="str">
        <x:v>ورشة Audi في دبي | ديجي-تك</x:v>
      </x:c>
      <x:c r="Z25" s="6" t="str"/>
      <x:c r="AA25" s="6" t="str">
        <x:v>No / not compared</x:v>
      </x:c>
    </x:row>
    <x:row r="26" ht="57" customHeight="1">
      <x:c r="A26" s="6" t="str">
        <x:v>https://digitecme.com/ar/blog/audi-q7-service-dubai-guide</x:v>
      </x:c>
      <x:c r="B26" s="6" t="str"/>
      <x:c r="C26" s="6" t="str"/>
      <x:c r="D26" s="6" t="str">
        <x:v>article</x:v>
      </x:c>
      <x:c r="E26" s="6" t="str">
        <x:v>Retain differentiated role</x:v>
      </x:c>
      <x:c r="F26" s="6" t="str">
        <x:v>Local source render; live version unverified</x:v>
      </x:c>
      <x:c r="G26" s="6" t="str">
        <x:v>Audi Q7 Service Dubai | Maintenance and Repair Guide</x:v>
      </x:c>
      <x:c r="H26" s="6" t="str">
        <x:v>Audi Q7 Service Dubai | Maintenance and Repair Guide</x:v>
      </x:c>
      <x:c r="I26" s="6" t="str">
        <x:v>Audi Q7 Service in Dubai: Owner Maintenance Guide</x:v>
      </x:c>
      <x:c r="J26" s="6" t="str">
        <x:v>Audi Q7 Service in Dubai: Owner Maintenance Guide</x:v>
      </x:c>
      <x:c r="K26" s="6" t="str">
        <x:v>Audi Q7 service in Dubai: oil specification, air suspension, gearbox and transfer case fluid, cooling, brakes and ODIS diagnostics explained.</x:v>
      </x:c>
      <x:c r="L26" s="6" t="str">
        <x:v>Retain pending evidence; no specific content edit justified by this export.</x:v>
      </x:c>
      <x:c r="M26" s="6" t="str">
        <x:v>Retain; inspect relevant context before adding links</x:v>
      </x:c>
      <x:c r="N26" s="6" t="str">
        <x:v>Unconfirmed — no query/page pairing</x:v>
      </x:c>
      <x:c r="O26" s="6" t="str">
        <x:v>Retain established booking / WhatsApp / call path; live behaviour untested</x:v>
      </x:c>
      <x:c r="P26" s="6" t="str">
        <x:v>Retain canonical and indexation policy pending a live check.</x:v>
      </x:c>
      <x:c r="Q26" s="6" t="str">
        <x:v>Proposed; no website change made</x:v>
      </x:c>
      <x:c r="R26" s="14" t="n">
        <x:v>0</x:v>
      </x:c>
      <x:c r="S26" s="14" t="n">
        <x:v>2</x:v>
      </x:c>
      <x:c r="T26" s="15" t="n">
        <x:v>0</x:v>
      </x:c>
      <x:c r="U26" s="16" t="n">
        <x:v>4</x:v>
      </x:c>
      <x:c r="V26" s="6" t="str">
        <x:v>https://digitecme.com/ar/blog/audi-q7-service-dubai-guide</x:v>
      </x:c>
      <x:c r="W26" s="6" t="str">
        <x:v>Indexable directive</x:v>
      </x:c>
      <x:c r="X26" s="6" t="n">
        <x:v>4</x:v>
      </x:c>
      <x:c r="Y26" s="6" t="str">
        <x:v>Audi Q7 Service Dubai | Maintenance and Repair Guide</x:v>
      </x:c>
      <x:c r="Z26" s="6" t="str"/>
      <x:c r="AA26" s="6" t="str">
        <x:v>No / not compared</x:v>
      </x:c>
    </x:row>
    <x:row r="27" ht="57" customHeight="1">
      <x:c r="A27" s="6" t="str">
        <x:v>https://digitecme.com/ar/blog/audi-rs-service-dubai-guide</x:v>
      </x:c>
      <x:c r="B27" s="6" t="str"/>
      <x:c r="C27" s="6" t="str"/>
      <x:c r="D27" s="6" t="str">
        <x:v>article</x:v>
      </x:c>
      <x:c r="E27" s="6" t="str">
        <x:v>Retain differentiated role</x:v>
      </x:c>
      <x:c r="F27" s="6" t="str">
        <x:v>Local source render; live version unverified</x:v>
      </x:c>
      <x:c r="G27" s="6" t="str">
        <x:v>Audi RS Service Dubai | RS6, RS7, RSQ8 Maintenance Guide</x:v>
      </x:c>
      <x:c r="H27" s="6" t="str">
        <x:v>Audi RS Service Dubai | RS6, RS7, RSQ8 Maintenance Guide</x:v>
      </x:c>
      <x:c r="I27" s="6" t="str">
        <x:v>Audi RS Service in Dubai: Maintenance for RS and S Models</x:v>
      </x:c>
      <x:c r="J27" s="6" t="str">
        <x:v>Audi RS Service in Dubai: Maintenance for RS and S Models</x:v>
      </x:c>
      <x:c r="K27" s="6" t="str">
        <x:v>Audi RS service in Dubai explained: oil specification, quattro driveline fluids, DSG and tiptronic service, cooling, brakes and ODIS diagnostics for RS6, RS7 and RSQ8.</x:v>
      </x:c>
      <x:c r="L27" s="6" t="str">
        <x:v>Retain pending evidence; no specific content edit justified by this export.</x:v>
      </x:c>
      <x:c r="M27" s="6" t="str">
        <x:v>Retain; inspect relevant context before adding links</x:v>
      </x:c>
      <x:c r="N27" s="6" t="str">
        <x:v>Unconfirmed — no query/page pairing</x:v>
      </x:c>
      <x:c r="O27" s="6" t="str">
        <x:v>Retain established booking / WhatsApp / call path; live behaviour untested</x:v>
      </x:c>
      <x:c r="P27" s="6" t="str">
        <x:v>Retain canonical and indexation policy pending a live check.</x:v>
      </x:c>
      <x:c r="Q27" s="6" t="str">
        <x:v>Proposed; no website change made</x:v>
      </x:c>
      <x:c r="R27" s="14"/>
      <x:c r="S27" s="14"/>
      <x:c r="T27" s="15"/>
      <x:c r="U27" s="16"/>
      <x:c r="V27" s="6" t="str">
        <x:v>https://digitecme.com/ar/blog/audi-rs-service-dubai-guide</x:v>
      </x:c>
      <x:c r="W27" s="6" t="str">
        <x:v>Indexable directive</x:v>
      </x:c>
      <x:c r="X27" s="6" t="n">
        <x:v>4</x:v>
      </x:c>
      <x:c r="Y27" s="6" t="str">
        <x:v>Audi RS Service Dubai | RS6, RS7, RSQ8 Maintenance Guide</x:v>
      </x:c>
      <x:c r="Z27" s="6" t="str"/>
      <x:c r="AA27" s="6" t="str">
        <x:v>No / not compared</x:v>
      </x:c>
    </x:row>
    <x:row r="28" ht="42" customHeight="1">
      <x:c r="A28" s="6" t="str">
        <x:v>https://digitecme.com/ar/blog/bentley-best-workshop-dubai</x:v>
      </x:c>
      <x:c r="B28" s="6" t="str"/>
      <x:c r="C28" s="6" t="str"/>
      <x:c r="D28" s="6" t="str">
        <x:v>article</x:v>
      </x:c>
      <x:c r="E28" s="6" t="str">
        <x:v>Retain differentiated role</x:v>
      </x:c>
      <x:c r="F28" s="6" t="str">
        <x:v>Local source render; live version unverified</x:v>
      </x:c>
      <x:c r="G28" s="6" t="str">
        <x:v>ورشة Bentley في دبي | ديجي-تك</x:v>
      </x:c>
      <x:c r="H28" s="6" t="str">
        <x:v>ورشة Bentley في دبي | ديجي-تك</x:v>
      </x:c>
      <x:c r="I28" s="6" t="str">
        <x:v>دليل ورشة Bentley المتخصصة في دبي</x:v>
      </x:c>
      <x:c r="J28" s="6" t="str">
        <x:v>دليل ورشة Bentley المتخصصة في دبي</x:v>
      </x:c>
      <x:c r="K28" s="6" t="str">
        <x:v>ورشة متخصصة في Bentley بدبي للفحص والصيانة والإصلاح. احجز لدى ديجي-تك في القوز للحصول على تشخيص واضح وخدمة احترافية.</x:v>
      </x:c>
      <x:c r="L28" s="6" t="str">
        <x:v>Retain pending evidence; no specific content edit justified by this export.</x:v>
      </x:c>
      <x:c r="M28" s="6" t="str">
        <x:v>Retain; inspect relevant context before adding links</x:v>
      </x:c>
      <x:c r="N28" s="6" t="str">
        <x:v>Unconfirmed — no query/page pairing</x:v>
      </x:c>
      <x:c r="O28" s="6" t="str">
        <x:v>Retain established booking / WhatsApp / call path; live behaviour untested</x:v>
      </x:c>
      <x:c r="P28" s="6" t="str">
        <x:v>Retain canonical and indexation policy pending a live check.</x:v>
      </x:c>
      <x:c r="Q28" s="6" t="str">
        <x:v>Proposed; no website change made</x:v>
      </x:c>
      <x:c r="R28" s="14" t="n">
        <x:v>0</x:v>
      </x:c>
      <x:c r="S28" s="14" t="n">
        <x:v>25</x:v>
      </x:c>
      <x:c r="T28" s="15" t="n">
        <x:v>0</x:v>
      </x:c>
      <x:c r="U28" s="16" t="n">
        <x:v>21.28</x:v>
      </x:c>
      <x:c r="V28" s="6" t="str">
        <x:v>https://digitecme.com/ar/blog/bentley-best-workshop-dubai</x:v>
      </x:c>
      <x:c r="W28" s="6" t="str">
        <x:v>Indexable directive</x:v>
      </x:c>
      <x:c r="X28" s="6" t="n">
        <x:v>4</x:v>
      </x:c>
      <x:c r="Y28" s="6" t="str">
        <x:v>ورشة Bentley في دبي | ديجي-تك</x:v>
      </x:c>
      <x:c r="Z28" s="6" t="str"/>
      <x:c r="AA28" s="6" t="str">
        <x:v>No / not compared</x:v>
      </x:c>
    </x:row>
    <x:row r="29" ht="57" customHeight="1">
      <x:c r="A29" s="6" t="str">
        <x:v>https://digitecme.com/ar/blog/bentley-continental-gt-service-dubai-guide</x:v>
      </x:c>
      <x:c r="B29" s="6" t="str"/>
      <x:c r="C29" s="6" t="str"/>
      <x:c r="D29" s="6" t="str">
        <x:v>article</x:v>
      </x:c>
      <x:c r="E29" s="6" t="str">
        <x:v>Retain differentiated role</x:v>
      </x:c>
      <x:c r="F29" s="6" t="str">
        <x:v>Local source render; live version unverified</x:v>
      </x:c>
      <x:c r="G29" s="6" t="str">
        <x:v>Bentley Continental GT Service Dubai | Maintenance Guide</x:v>
      </x:c>
      <x:c r="H29" s="6" t="str">
        <x:v>Bentley Continental GT Service Dubai | Maintenance Guide</x:v>
      </x:c>
      <x:c r="I29" s="6" t="str">
        <x:v>Bentley Continental GT Service in Dubai: Owner Guide</x:v>
      </x:c>
      <x:c r="J29" s="6" t="str">
        <x:v>Bentley Continental GT Service in Dubai: Owner Guide</x:v>
      </x:c>
      <x:c r="K29" s="6" t="str">
        <x:v>Bentley Continental GT maintenance in Dubai: vehicle-specific service planning, suspension, cooling, brakes, gearbox and diagnostic concerns explained for owners.</x:v>
      </x:c>
      <x:c r="L29" s="6" t="str">
        <x:v>Retain pending evidence; no specific content edit justified by this export.</x:v>
      </x:c>
      <x:c r="M29" s="6" t="str">
        <x:v>Retain; inspect relevant context before adding links</x:v>
      </x:c>
      <x:c r="N29" s="6" t="str">
        <x:v>Unconfirmed — no query/page pairing</x:v>
      </x:c>
      <x:c r="O29" s="6" t="str">
        <x:v>Retain established booking / WhatsApp / call path; live behaviour untested</x:v>
      </x:c>
      <x:c r="P29" s="6" t="str">
        <x:v>Retain canonical and indexation policy pending a live check.</x:v>
      </x:c>
      <x:c r="Q29" s="6" t="str">
        <x:v>Proposed; no website change made</x:v>
      </x:c>
      <x:c r="R29" s="14" t="n">
        <x:v>0</x:v>
      </x:c>
      <x:c r="S29" s="14" t="n">
        <x:v>11</x:v>
      </x:c>
      <x:c r="T29" s="15" t="n">
        <x:v>0</x:v>
      </x:c>
      <x:c r="U29" s="16" t="n">
        <x:v>8.36</x:v>
      </x:c>
      <x:c r="V29" s="6" t="str">
        <x:v>https://digitecme.com/ar/blog/bentley-continental-gt-service-dubai-guide</x:v>
      </x:c>
      <x:c r="W29" s="6" t="str">
        <x:v>Indexable directive</x:v>
      </x:c>
      <x:c r="X29" s="6" t="n">
        <x:v>4</x:v>
      </x:c>
      <x:c r="Y29" s="6" t="str">
        <x:v>Bentley Continental GT Service Dubai | Maintenance Guide</x:v>
      </x:c>
      <x:c r="Z29" s="6" t="str"/>
      <x:c r="AA29" s="6" t="str">
        <x:v>No / not compared</x:v>
      </x:c>
    </x:row>
    <x:row r="30" ht="42" customHeight="1">
      <x:c r="A30" s="6" t="str">
        <x:v>https://digitecme.com/ar/blog/best-car-workshop-dubai</x:v>
      </x:c>
      <x:c r="B30" s="6" t="str"/>
      <x:c r="C30" s="6" t="str"/>
      <x:c r="D30" s="6" t="str">
        <x:v>article</x:v>
      </x:c>
      <x:c r="E30" s="6" t="str">
        <x:v>Retain differentiated role</x:v>
      </x:c>
      <x:c r="F30" s="6" t="str">
        <x:v>Local source render; live version unverified</x:v>
      </x:c>
      <x:c r="G30" s="6" t="str">
        <x:v>كيف تختار أفضل ورشة سيارات في دبي؟ | دليل 2026</x:v>
      </x:c>
      <x:c r="H30" s="6" t="str">
        <x:v>كيف تختار أفضل ورشة سيارات في دبي؟ | دليل 2026</x:v>
      </x:c>
      <x:c r="I30" s="6" t="str">
        <x:v>أفضل ورشة سيارات في دبي: دليل الاختيار لعام 2026</x:v>
      </x:c>
      <x:c r="J30" s="6" t="str">
        <x:v>أفضل ورشة سيارات في دبي: دليل الاختيار لعام 2026</x:v>
      </x:c>
      <x:c r="K30" s="6" t="str">
        <x:v>دليل عملي لاختيار ورشة سيارات في دبي وفق جودة التشخيص وخبرة الفنيين ووضوح عرض السعر والقطع والضمان وخدمة ما بعد الإصلاح.</x:v>
      </x:c>
      <x:c r="L30" s="6" t="str">
        <x:v>Retain pending evidence; no specific content edit justified by this export.</x:v>
      </x:c>
      <x:c r="M30" s="6" t="str">
        <x:v>Retain; inspect relevant context before adding links</x:v>
      </x:c>
      <x:c r="N30" s="6" t="str">
        <x:v>Unconfirmed — no query/page pairing</x:v>
      </x:c>
      <x:c r="O30" s="6" t="str">
        <x:v>Retain established booking / WhatsApp / call path; live behaviour untested</x:v>
      </x:c>
      <x:c r="P30" s="6" t="str">
        <x:v>Retain canonical and indexation policy pending a live check.</x:v>
      </x:c>
      <x:c r="Q30" s="6" t="str">
        <x:v>Proposed; no website change made</x:v>
      </x:c>
      <x:c r="R30" s="14" t="n">
        <x:v>0</x:v>
      </x:c>
      <x:c r="S30" s="14" t="n">
        <x:v>19</x:v>
      </x:c>
      <x:c r="T30" s="15" t="n">
        <x:v>0</x:v>
      </x:c>
      <x:c r="U30" s="16" t="n">
        <x:v>15.21</x:v>
      </x:c>
      <x:c r="V30" s="6" t="str">
        <x:v>https://digitecme.com/ar/blog/best-car-workshop-dubai</x:v>
      </x:c>
      <x:c r="W30" s="6" t="str">
        <x:v>Indexable directive</x:v>
      </x:c>
      <x:c r="X30" s="6" t="n">
        <x:v>4</x:v>
      </x:c>
      <x:c r="Y30" s="6" t="str">
        <x:v>كيف تختار أفضل ورشة سيارات في دبي؟ | دليل 2026</x:v>
      </x:c>
      <x:c r="Z30" s="6" t="str"/>
      <x:c r="AA30" s="6" t="str">
        <x:v>No / not compared</x:v>
      </x:c>
    </x:row>
    <x:row r="31" ht="42" customHeight="1">
      <x:c r="A31" s="6" t="str">
        <x:v>https://digitecme.com/ar/blog/best-defender-workshop-dubai</x:v>
      </x:c>
      <x:c r="B31" s="6" t="str"/>
      <x:c r="C31" s="6" t="str"/>
      <x:c r="D31" s="6" t="str">
        <x:v>article</x:v>
      </x:c>
      <x:c r="E31" s="6" t="str">
        <x:v>Retain differentiated role</x:v>
      </x:c>
      <x:c r="F31" s="6" t="str">
        <x:v>Local source render; live version unverified</x:v>
      </x:c>
      <x:c r="G31" s="6" t="str">
        <x:v>أفضل ورشة ديفندر في دبي | إصلاح حادث حقيقي</x:v>
      </x:c>
      <x:c r="H31" s="6" t="str">
        <x:v>أفضل ورشة ديفندر في دبي | إصلاح حادث حقيقي</x:v>
      </x:c>
      <x:c r="I31" s="6" t="str">
        <x:v>أفضل ورشة ديفندر في دبي: دراسة حالة إصلاح حادث حقيقي</x:v>
      </x:c>
      <x:c r="J31" s="6" t="str">
        <x:v>أفضل ورشة ديفندر في دبي: دراسة حالة إصلاح حادث حقيقي</x:v>
      </x:c>
      <x:c r="K31" s="6" t="str">
        <x:v>شاهد مراحل إصلاح لاند روفر ديفندر بعد حادث في دبي: الفحص، التفكيك، إصلاح الهيكل والدهان وإعادة التجميع داخل ورشة ديجي-تك.</x:v>
      </x:c>
      <x:c r="L31" s="6" t="str">
        <x:v>Retain pending evidence; no specific content edit justified by this export.</x:v>
      </x:c>
      <x:c r="M31" s="6" t="str">
        <x:v>Retain; inspect relevant context before adding links</x:v>
      </x:c>
      <x:c r="N31" s="6" t="str">
        <x:v>Unconfirmed — no query/page pairing</x:v>
      </x:c>
      <x:c r="O31" s="6" t="str">
        <x:v>Retain established booking / WhatsApp / call path; live behaviour untested</x:v>
      </x:c>
      <x:c r="P31" s="6" t="str">
        <x:v>Retain canonical and indexation policy pending a live check.</x:v>
      </x:c>
      <x:c r="Q31" s="6" t="str">
        <x:v>Proposed; no website change made</x:v>
      </x:c>
      <x:c r="R31" s="14"/>
      <x:c r="S31" s="14"/>
      <x:c r="T31" s="15"/>
      <x:c r="U31" s="16"/>
      <x:c r="V31" s="6" t="str">
        <x:v>https://digitecme.com/ar/blog/best-defender-workshop-dubai</x:v>
      </x:c>
      <x:c r="W31" s="6" t="str">
        <x:v>Indexable directive</x:v>
      </x:c>
      <x:c r="X31" s="6" t="n">
        <x:v>4</x:v>
      </x:c>
      <x:c r="Y31" s="6" t="str">
        <x:v>أفضل ورشة ديفندر في دبي | إصلاح حادث حقيقي</x:v>
      </x:c>
      <x:c r="Z31" s="6" t="str"/>
      <x:c r="AA31" s="6" t="str">
        <x:v>No / not compared</x:v>
      </x:c>
    </x:row>
    <x:row r="32" ht="42" customHeight="1">
      <x:c r="A32" s="6" t="str">
        <x:v>https://digitecme.com/ar/blog/best-oil-change-dubai-mercedes</x:v>
      </x:c>
      <x:c r="B32" s="6" t="str"/>
      <x:c r="C32" s="6" t="str"/>
      <x:c r="D32" s="6" t="str">
        <x:v>article</x:v>
      </x:c>
      <x:c r="E32" s="6" t="str">
        <x:v>Retain differentiated role</x:v>
      </x:c>
      <x:c r="F32" s="6" t="str">
        <x:v>Local source render; live version unverified</x:v>
      </x:c>
      <x:c r="G32" s="6" t="str">
        <x:v>أفضل تغيير زيت مرسيدس في دبي | دليل الصيانة</x:v>
      </x:c>
      <x:c r="H32" s="6" t="str">
        <x:v>أفضل تغيير زيت مرسيدس في دبي | دليل الصيانة</x:v>
      </x:c>
      <x:c r="I32" s="6" t="str">
        <x:v>أفضل تغيير زيت مرسيدس في دبي: ما الذي تحتاجه سيارتك فعلاً؟</x:v>
      </x:c>
      <x:c r="J32" s="6" t="str">
        <x:v>أفضل تغيير زيت مرسيدس في دبي: ما الذي تحتاجه سيارتك فعلاً؟</x:v>
      </x:c>
      <x:c r="K32" s="6" t="str">
        <x:v>دليل تغيير زيت مرسيدس في دبي: اختيار مواصفة الزيت المناسبة والفلتر والفحوص المهمة وكيف تختار ورشة متخصصة في القوز.</x:v>
      </x:c>
      <x:c r="L32" s="6" t="str">
        <x:v>Retain pending evidence; no specific content edit justified by this export.</x:v>
      </x:c>
      <x:c r="M32" s="6" t="str">
        <x:v>Retain; inspect relevant context before adding links</x:v>
      </x:c>
      <x:c r="N32" s="6" t="str">
        <x:v>Unconfirmed — no query/page pairing</x:v>
      </x:c>
      <x:c r="O32" s="6" t="str">
        <x:v>Retain established booking / WhatsApp / call path; live behaviour untested</x:v>
      </x:c>
      <x:c r="P32" s="6" t="str">
        <x:v>Retain canonical and indexation policy pending a live check.</x:v>
      </x:c>
      <x:c r="Q32" s="6" t="str">
        <x:v>Proposed; no website change made</x:v>
      </x:c>
      <x:c r="R32" s="14" t="n">
        <x:v>0</x:v>
      </x:c>
      <x:c r="S32" s="14" t="n">
        <x:v>7</x:v>
      </x:c>
      <x:c r="T32" s="15" t="n">
        <x:v>0</x:v>
      </x:c>
      <x:c r="U32" s="16" t="n">
        <x:v>9.71</x:v>
      </x:c>
      <x:c r="V32" s="6" t="str">
        <x:v>https://digitecme.com/ar/blog/best-oil-change-dubai-mercedes</x:v>
      </x:c>
      <x:c r="W32" s="6" t="str">
        <x:v>Indexable directive</x:v>
      </x:c>
      <x:c r="X32" s="6" t="n">
        <x:v>54</x:v>
      </x:c>
      <x:c r="Y32" s="6" t="str">
        <x:v>أفضل تغيير زيت مرسيدس في دبي | دليل الصيانة</x:v>
      </x:c>
      <x:c r="Z32" s="6" t="str"/>
      <x:c r="AA32" s="6" t="str">
        <x:v>No / not compared</x:v>
      </x:c>
    </x:row>
    <x:row r="33" ht="57" customHeight="1">
      <x:c r="A33" s="6" t="str">
        <x:v>https://digitecme.com/ar/blog/bmw-m-service-dubai-guide</x:v>
      </x:c>
      <x:c r="B33" s="6" t="str"/>
      <x:c r="C33" s="6" t="str"/>
      <x:c r="D33" s="6" t="str">
        <x:v>article</x:v>
      </x:c>
      <x:c r="E33" s="6" t="str">
        <x:v>Retain differentiated role</x:v>
      </x:c>
      <x:c r="F33" s="6" t="str">
        <x:v>Local source render; live version unverified</x:v>
      </x:c>
      <x:c r="G33" s="6" t="str">
        <x:v>BMW M Service Dubai | M2, M3, M4, M5 Maintenance Guide</x:v>
      </x:c>
      <x:c r="H33" s="6" t="str">
        <x:v>BMW M Service Dubai | M2, M3, M4, M5 Maintenance Guide</x:v>
      </x:c>
      <x:c r="I33" s="6" t="str">
        <x:v>BMW M Service in Dubai: What an M Car Actually Needs</x:v>
      </x:c>
      <x:c r="J33" s="6" t="str">
        <x:v>BMW M Service in Dubai: What an M Car Actually Needs</x:v>
      </x:c>
      <x:c r="K33" s="6" t="str">
        <x:v>What BMW M service in Dubai should include: oil specification, cooling, brakes, DCT and gearbox fluid, differential care and ISTA+ diagnostics for M2, M3, M4, M5 and X5 M.</x:v>
      </x:c>
      <x:c r="L33" s="6" t="str">
        <x:v>Retain pending evidence; no specific content edit justified by this export.</x:v>
      </x:c>
      <x:c r="M33" s="6" t="str">
        <x:v>Retain; inspect relevant context before adding links</x:v>
      </x:c>
      <x:c r="N33" s="6" t="str">
        <x:v>Unconfirmed — no query/page pairing</x:v>
      </x:c>
      <x:c r="O33" s="6" t="str">
        <x:v>Retain established booking / WhatsApp / call path; live behaviour untested</x:v>
      </x:c>
      <x:c r="P33" s="6" t="str">
        <x:v>Retain canonical and indexation policy pending a live check.</x:v>
      </x:c>
      <x:c r="Q33" s="6" t="str">
        <x:v>Proposed; no website change made</x:v>
      </x:c>
      <x:c r="R33" s="14"/>
      <x:c r="S33" s="14"/>
      <x:c r="T33" s="15"/>
      <x:c r="U33" s="16"/>
      <x:c r="V33" s="6" t="str">
        <x:v>https://digitecme.com/ar/blog/bmw-m-service-dubai-guide</x:v>
      </x:c>
      <x:c r="W33" s="6" t="str">
        <x:v>Indexable directive</x:v>
      </x:c>
      <x:c r="X33" s="6" t="n">
        <x:v>4</x:v>
      </x:c>
      <x:c r="Y33" s="6" t="str">
        <x:v>BMW M Service Dubai | M2, M3, M4, M5 Maintenance Guide</x:v>
      </x:c>
      <x:c r="Z33" s="6" t="str"/>
      <x:c r="AA33" s="6" t="str">
        <x:v>No / not compared</x:v>
      </x:c>
    </x:row>
    <x:row r="34" ht="42" customHeight="1">
      <x:c r="A34" s="6" t="str">
        <x:v>https://digitecme.com/ar/blog/bmw-maintenance-guide-dubai</x:v>
      </x:c>
      <x:c r="B34" s="6" t="str"/>
      <x:c r="C34" s="6" t="str"/>
      <x:c r="D34" s="6" t="str">
        <x:v>article</x:v>
      </x:c>
      <x:c r="E34" s="6" t="str">
        <x:v>Retain differentiated role</x:v>
      </x:c>
      <x:c r="F34" s="6" t="str">
        <x:v>Local source render; live version unverified</x:v>
      </x:c>
      <x:c r="G34" s="6" t="str">
        <x:v>ورشة BMW في دبي | ديجي-تك</x:v>
      </x:c>
      <x:c r="H34" s="6" t="str">
        <x:v>ورشة BMW في دبي | ديجي-تك</x:v>
      </x:c>
      <x:c r="I34" s="6" t="str">
        <x:v>دليل ورشة BMW المتخصصة في دبي</x:v>
      </x:c>
      <x:c r="J34" s="6" t="str">
        <x:v>دليل ورشة BMW المتخصصة في دبي</x:v>
      </x:c>
      <x:c r="K34" s="6" t="str">
        <x:v>ورشة متخصصة في BMW بدبي للفحص والصيانة والإصلاح. احجز لدى ديجي-تك في القوز للحصول على تشخيص واضح وخدمة احترافية.</x:v>
      </x:c>
      <x:c r="L34" s="6" t="str">
        <x:v>Retain pending evidence; no specific content edit justified by this export.</x:v>
      </x:c>
      <x:c r="M34" s="6" t="str">
        <x:v>Retain; inspect relevant context before adding links</x:v>
      </x:c>
      <x:c r="N34" s="6" t="str">
        <x:v>Unconfirmed — no query/page pairing</x:v>
      </x:c>
      <x:c r="O34" s="6" t="str">
        <x:v>Retain established booking / WhatsApp / call path; live behaviour untested</x:v>
      </x:c>
      <x:c r="P34" s="6" t="str">
        <x:v>Retain canonical and indexation policy pending a live check.</x:v>
      </x:c>
      <x:c r="Q34" s="6" t="str">
        <x:v>Proposed; no website change made</x:v>
      </x:c>
      <x:c r="R34" s="14" t="n">
        <x:v>0</x:v>
      </x:c>
      <x:c r="S34" s="14" t="n">
        <x:v>11</x:v>
      </x:c>
      <x:c r="T34" s="15" t="n">
        <x:v>0</x:v>
      </x:c>
      <x:c r="U34" s="16" t="n">
        <x:v>9.45</x:v>
      </x:c>
      <x:c r="V34" s="6" t="str">
        <x:v>https://digitecme.com/ar/blog/bmw-maintenance-guide-dubai</x:v>
      </x:c>
      <x:c r="W34" s="6" t="str">
        <x:v>Indexable directive</x:v>
      </x:c>
      <x:c r="X34" s="6" t="n">
        <x:v>7</x:v>
      </x:c>
      <x:c r="Y34" s="6" t="str">
        <x:v>ورشة BMW في دبي | ديجي-تك</x:v>
      </x:c>
      <x:c r="Z34" s="6" t="str"/>
      <x:c r="AA34" s="6" t="str">
        <x:v>No / not compared</x:v>
      </x:c>
    </x:row>
    <x:row r="35" ht="57" customHeight="1">
      <x:c r="A35" s="6" t="str">
        <x:v>https://digitecme.com/ar/blog/bmw-x5-service-dubai-guide</x:v>
      </x:c>
      <x:c r="B35" s="6" t="str"/>
      <x:c r="C35" s="6" t="str"/>
      <x:c r="D35" s="6" t="str">
        <x:v>article</x:v>
      </x:c>
      <x:c r="E35" s="6" t="str">
        <x:v>Retain differentiated role</x:v>
      </x:c>
      <x:c r="F35" s="6" t="str">
        <x:v>Local source render; live version unverified</x:v>
      </x:c>
      <x:c r="G35" s="6" t="str">
        <x:v>BMW X5 Service Dubai | Maintenance and Repair Guide</x:v>
      </x:c>
      <x:c r="H35" s="6" t="str">
        <x:v>BMW X5 Service Dubai | Maintenance and Repair Guide</x:v>
      </x:c>
      <x:c r="I35" s="6" t="str">
        <x:v>BMW X5 Service in Dubai: Maintenance Guide for Owners</x:v>
      </x:c>
      <x:c r="J35" s="6" t="str">
        <x:v>BMW X5 Service in Dubai: Maintenance Guide for Owners</x:v>
      </x:c>
      <x:c r="K35" s="6" t="str">
        <x:v>BMW X5 service in Dubai: oil intervals, cooling, air suspension, transfer case, brakes and ISTA+ diagnostics explained for G05 and F15 owners.</x:v>
      </x:c>
      <x:c r="L35" s="6" t="str">
        <x:v>Retain pending evidence; no specific content edit justified by this export.</x:v>
      </x:c>
      <x:c r="M35" s="6" t="str">
        <x:v>Retain; inspect relevant context before adding links</x:v>
      </x:c>
      <x:c r="N35" s="6" t="str">
        <x:v>Unconfirmed — no query/page pairing</x:v>
      </x:c>
      <x:c r="O35" s="6" t="str">
        <x:v>Retain established booking / WhatsApp / call path; live behaviour untested</x:v>
      </x:c>
      <x:c r="P35" s="6" t="str">
        <x:v>Retain canonical and indexation policy pending a live check.</x:v>
      </x:c>
      <x:c r="Q35" s="6" t="str">
        <x:v>Proposed; no website change made</x:v>
      </x:c>
      <x:c r="R35" s="14"/>
      <x:c r="S35" s="14"/>
      <x:c r="T35" s="15"/>
      <x:c r="U35" s="16"/>
      <x:c r="V35" s="6" t="str">
        <x:v>https://digitecme.com/ar/blog/bmw-x5-service-dubai-guide</x:v>
      </x:c>
      <x:c r="W35" s="6" t="str">
        <x:v>Indexable directive</x:v>
      </x:c>
      <x:c r="X35" s="6" t="n">
        <x:v>4</x:v>
      </x:c>
      <x:c r="Y35" s="6" t="str">
        <x:v>BMW X5 Service Dubai | Maintenance and Repair Guide</x:v>
      </x:c>
      <x:c r="Z35" s="6" t="str"/>
      <x:c r="AA35" s="6" t="str">
        <x:v>No / not compared</x:v>
      </x:c>
    </x:row>
    <x:row r="36" ht="42" customHeight="1">
      <x:c r="A36" s="6" t="str">
        <x:v>https://digitecme.com/ar/blog/brake-repair-dubai</x:v>
      </x:c>
      <x:c r="B36" s="6" t="str"/>
      <x:c r="C36" s="6" t="str"/>
      <x:c r="D36" s="6" t="str">
        <x:v>article</x:v>
      </x:c>
      <x:c r="E36" s="6" t="str">
        <x:v>Retain differentiated role</x:v>
      </x:c>
      <x:c r="F36" s="6" t="str">
        <x:v>Local source render; live version unverified</x:v>
      </x:c>
      <x:c r="G36" s="6" t="str">
        <x:v>إصلاح فرامل السيارات في دبي | دليل المالك</x:v>
      </x:c>
      <x:c r="H36" s="6" t="str">
        <x:v>إصلاح فرامل السيارات في دبي | دليل المالك</x:v>
      </x:c>
      <x:c r="I36" s="6" t="str">
        <x:v>إصلاح الفرامل في دبي: لماذا تتآكل أسرع في أجواء الإمارات؟</x:v>
      </x:c>
      <x:c r="J36" s="6" t="str">
        <x:v>إصلاح الفرامل في دبي: لماذا تتآكل أسرع في أجواء الإمارات؟</x:v>
      </x:c>
      <x:c r="K36" s="6" t="str">
        <x:v>دليل علامات تلف الفرامل في دبي وأسباب التآكل السريع وخطوات الفحص والإصلاح الآمن للسيارات الفاخرة والألمانية.</x:v>
      </x:c>
      <x:c r="L36" s="6" t="str">
        <x:v>Retain pending evidence; no specific content edit justified by this export.</x:v>
      </x:c>
      <x:c r="M36" s="6" t="str">
        <x:v>Retain; inspect relevant context before adding links</x:v>
      </x:c>
      <x:c r="N36" s="6" t="str">
        <x:v>Unconfirmed — no query/page pairing</x:v>
      </x:c>
      <x:c r="O36" s="6" t="str">
        <x:v>Retain established booking / WhatsApp / call path; live behaviour untested</x:v>
      </x:c>
      <x:c r="P36" s="6" t="str">
        <x:v>Retain canonical and indexation policy pending a live check.</x:v>
      </x:c>
      <x:c r="Q36" s="6" t="str">
        <x:v>Proposed; no website change made</x:v>
      </x:c>
      <x:c r="R36" s="14" t="n">
        <x:v>0</x:v>
      </x:c>
      <x:c r="S36" s="14" t="n">
        <x:v>2</x:v>
      </x:c>
      <x:c r="T36" s="15" t="n">
        <x:v>0</x:v>
      </x:c>
      <x:c r="U36" s="16" t="n">
        <x:v>9</x:v>
      </x:c>
      <x:c r="V36" s="6" t="str">
        <x:v>https://digitecme.com/ar/blog/brake-repair-dubai</x:v>
      </x:c>
      <x:c r="W36" s="6" t="str">
        <x:v>Indexable directive</x:v>
      </x:c>
      <x:c r="X36" s="6" t="n">
        <x:v>5</x:v>
      </x:c>
      <x:c r="Y36" s="6" t="str">
        <x:v>إصلاح فرامل السيارات في دبي | دليل المالك</x:v>
      </x:c>
      <x:c r="Z36" s="6" t="str"/>
      <x:c r="AA36" s="6" t="str">
        <x:v>No / not compared</x:v>
      </x:c>
    </x:row>
    <x:row r="37" ht="42" customHeight="1">
      <x:c r="A37" s="6" t="str">
        <x:v>https://digitecme.com/ar/blog/cadillac-best-workshop-dubai</x:v>
      </x:c>
      <x:c r="B37" s="6" t="str"/>
      <x:c r="C37" s="6" t="str"/>
      <x:c r="D37" s="6" t="str">
        <x:v>article</x:v>
      </x:c>
      <x:c r="E37" s="6" t="str">
        <x:v>Retain differentiated role</x:v>
      </x:c>
      <x:c r="F37" s="6" t="str">
        <x:v>Local source render; live version unverified</x:v>
      </x:c>
      <x:c r="G37" s="6" t="str">
        <x:v>ورشة Cadillac في دبي | ديجي-تك</x:v>
      </x:c>
      <x:c r="H37" s="6" t="str">
        <x:v>ورشة Cadillac في دبي | ديجي-تك</x:v>
      </x:c>
      <x:c r="I37" s="6" t="str">
        <x:v>دليل ورشة Cadillac المتخصصة في دبي</x:v>
      </x:c>
      <x:c r="J37" s="6" t="str">
        <x:v>دليل ورشة Cadillac المتخصصة في دبي</x:v>
      </x:c>
      <x:c r="K37" s="6" t="str">
        <x:v>ورشة متخصصة في Cadillac بدبي للفحص والصيانة والإصلاح. احجز لدى ديجي-تك في القوز للحصول على تشخيص واضح وخدمة احترافية.</x:v>
      </x:c>
      <x:c r="L37" s="6" t="str">
        <x:v>Retain pending evidence; no specific content edit justified by this export.</x:v>
      </x:c>
      <x:c r="M37" s="6" t="str">
        <x:v>Retain; inspect relevant context before adding links</x:v>
      </x:c>
      <x:c r="N37" s="6" t="str">
        <x:v>Unconfirmed — no query/page pairing</x:v>
      </x:c>
      <x:c r="O37" s="6" t="str">
        <x:v>Retain established booking / WhatsApp / call path; live behaviour untested</x:v>
      </x:c>
      <x:c r="P37" s="6" t="str">
        <x:v>Retain canonical and indexation policy pending a live check.</x:v>
      </x:c>
      <x:c r="Q37" s="6" t="str">
        <x:v>Proposed; no website change made</x:v>
      </x:c>
      <x:c r="R37" s="14" t="n">
        <x:v>0</x:v>
      </x:c>
      <x:c r="S37" s="14" t="n">
        <x:v>5</x:v>
      </x:c>
      <x:c r="T37" s="15" t="n">
        <x:v>0</x:v>
      </x:c>
      <x:c r="U37" s="16" t="n">
        <x:v>6.2</x:v>
      </x:c>
      <x:c r="V37" s="6" t="str">
        <x:v>https://digitecme.com/ar/blog/cadillac-best-workshop-dubai</x:v>
      </x:c>
      <x:c r="W37" s="6" t="str">
        <x:v>Indexable directive</x:v>
      </x:c>
      <x:c r="X37" s="6" t="n">
        <x:v>4</x:v>
      </x:c>
      <x:c r="Y37" s="6" t="str">
        <x:v>ورشة Cadillac في دبي | ديجي-تك</x:v>
      </x:c>
      <x:c r="Z37" s="6" t="str"/>
      <x:c r="AA37" s="6" t="str">
        <x:v>No / not compared</x:v>
      </x:c>
    </x:row>
    <x:row r="38" ht="57" customHeight="1">
      <x:c r="A38" s="6" t="str">
        <x:v>https://digitecme.com/ar/blog/car-ac-not-cold-dubai-causes</x:v>
      </x:c>
      <x:c r="B38" s="6" t="str"/>
      <x:c r="C38" s="6" t="str"/>
      <x:c r="D38" s="6" t="str">
        <x:v>article</x:v>
      </x:c>
      <x:c r="E38" s="6" t="str">
        <x:v>Retain differentiated role</x:v>
      </x:c>
      <x:c r="F38" s="6" t="str">
        <x:v>Local source render; live version unverified</x:v>
      </x:c>
      <x:c r="G38" s="6" t="str">
        <x:v>Car AC Not Cold in Dubai | Causes, Checks and Repair Guide</x:v>
      </x:c>
      <x:c r="H38" s="6" t="str">
        <x:v>Car AC Not Cold in Dubai | Causes, Checks and Repair Guide</x:v>
      </x:c>
      <x:c r="I38" s="6" t="str">
        <x:v>Car AC Not Cold in Dubai: Causes and What to Check First</x:v>
      </x:c>
      <x:c r="J38" s="6" t="str">
        <x:v>Car AC Not Cold in Dubai: Causes and What to Check First</x:v>
      </x:c>
      <x:c r="K38" s="6" t="str">
        <x:v>Why your car AC is not cold in Dubai: refrigerant loss, condenser fouling, compressor faults, blend door issues and how a workshop diagnoses each one.</x:v>
      </x:c>
      <x:c r="L38" s="6" t="str">
        <x:v>Retain pending evidence; no specific content edit justified by this export.</x:v>
      </x:c>
      <x:c r="M38" s="6" t="str">
        <x:v>Retain; inspect relevant context before adding links</x:v>
      </x:c>
      <x:c r="N38" s="6" t="str">
        <x:v>Unconfirmed — no query/page pairing</x:v>
      </x:c>
      <x:c r="O38" s="6" t="str">
        <x:v>Retain established booking / WhatsApp / call path; live behaviour untested</x:v>
      </x:c>
      <x:c r="P38" s="6" t="str">
        <x:v>Retain canonical and indexation policy pending a live check.</x:v>
      </x:c>
      <x:c r="Q38" s="6" t="str">
        <x:v>Proposed; no website change made</x:v>
      </x:c>
      <x:c r="R38" s="14"/>
      <x:c r="S38" s="14"/>
      <x:c r="T38" s="15"/>
      <x:c r="U38" s="16"/>
      <x:c r="V38" s="6" t="str">
        <x:v>https://digitecme.com/ar/blog/car-ac-not-cold-dubai-causes</x:v>
      </x:c>
      <x:c r="W38" s="6" t="str">
        <x:v>Indexable directive</x:v>
      </x:c>
      <x:c r="X38" s="6" t="n">
        <x:v>4</x:v>
      </x:c>
      <x:c r="Y38" s="6" t="str">
        <x:v>Car AC Not Cold in Dubai | Causes, Checks and Repair Guide</x:v>
      </x:c>
      <x:c r="Z38" s="6" t="str"/>
      <x:c r="AA38" s="6" t="str">
        <x:v>No / not compared</x:v>
      </x:c>
    </x:row>
    <x:row r="39" ht="42" customHeight="1">
      <x:c r="A39" s="6" t="str">
        <x:v>https://digitecme.com/ar/blog/car-ac-repair-dubai</x:v>
      </x:c>
      <x:c r="B39" s="6" t="str"/>
      <x:c r="C39" s="6" t="str"/>
      <x:c r="D39" s="6" t="str">
        <x:v>article</x:v>
      </x:c>
      <x:c r="E39" s="6" t="str">
        <x:v>Retain differentiated role</x:v>
      </x:c>
      <x:c r="F39" s="6" t="str">
        <x:v>Local source render; live version unverified</x:v>
      </x:c>
      <x:c r="G39" s="6" t="str">
        <x:v>إصلاح تكييف السيارة في دبي | دليل التشخيص</x:v>
      </x:c>
      <x:c r="H39" s="6" t="str">
        <x:v>إصلاح تكييف السيارة في دبي | دليل التشخيص</x:v>
      </x:c>
      <x:c r="I39" s="6" t="str">
        <x:v>إصلاح تكييف السيارة في دبي: أسباب ضعف التبريد والحل الصحيح</x:v>
      </x:c>
      <x:c r="J39" s="6" t="str">
        <x:v>إصلاح تكييف السيارة في دبي: أسباب ضعف التبريد والحل الصحيح</x:v>
      </x:c>
      <x:c r="K39" s="6" t="str">
        <x:v>تعرّف إلى أسباب ضعف تكييف السيارة في دبي، وعلامات الأعطال، وخطوات التشخيص والإصلاح الصحيح لدى ورشة متخصصة في القوز.</x:v>
      </x:c>
      <x:c r="L39" s="6" t="str">
        <x:v>Retain pending evidence; no specific content edit justified by this export.</x:v>
      </x:c>
      <x:c r="M39" s="6" t="str">
        <x:v>Retain; inspect relevant context before adding links</x:v>
      </x:c>
      <x:c r="N39" s="6" t="str">
        <x:v>Unconfirmed — no query/page pairing</x:v>
      </x:c>
      <x:c r="O39" s="6" t="str">
        <x:v>Retain established booking / WhatsApp / call path; live behaviour untested</x:v>
      </x:c>
      <x:c r="P39" s="6" t="str">
        <x:v>Retain canonical and indexation policy pending a live check.</x:v>
      </x:c>
      <x:c r="Q39" s="6" t="str">
        <x:v>Proposed; no website change made</x:v>
      </x:c>
      <x:c r="R39" s="14" t="n">
        <x:v>0</x:v>
      </x:c>
      <x:c r="S39" s="14" t="n">
        <x:v>2</x:v>
      </x:c>
      <x:c r="T39" s="15" t="n">
        <x:v>0</x:v>
      </x:c>
      <x:c r="U39" s="16" t="n">
        <x:v>7</x:v>
      </x:c>
      <x:c r="V39" s="6" t="str">
        <x:v>https://digitecme.com/ar/blog/car-ac-repair-dubai</x:v>
      </x:c>
      <x:c r="W39" s="6" t="str">
        <x:v>Indexable directive</x:v>
      </x:c>
      <x:c r="X39" s="6" t="n">
        <x:v>7</x:v>
      </x:c>
      <x:c r="Y39" s="6" t="str">
        <x:v>إصلاح تكييف السيارة في دبي | دليل التشخيص</x:v>
      </x:c>
      <x:c r="Z39" s="6" t="str"/>
      <x:c r="AA39" s="6" t="str">
        <x:v>No / not compared</x:v>
      </x:c>
    </x:row>
    <x:row r="40" ht="57" customHeight="1">
      <x:c r="A40" s="6" t="str">
        <x:v>https://digitecme.com/ar/blog/car-battery-life-dubai-heat</x:v>
      </x:c>
      <x:c r="B40" s="6" t="str"/>
      <x:c r="C40" s="6" t="str"/>
      <x:c r="D40" s="6" t="str">
        <x:v>article</x:v>
      </x:c>
      <x:c r="E40" s="6" t="str">
        <x:v>Retain differentiated role</x:v>
      </x:c>
      <x:c r="F40" s="6" t="str">
        <x:v>Local source render; live version unverified</x:v>
      </x:c>
      <x:c r="G40" s="6" t="str">
        <x:v>Car Battery Life Dubai | Why Batteries Fail in UAE Heat</x:v>
      </x:c>
      <x:c r="H40" s="6" t="str">
        <x:v>Car Battery Life Dubai | Why Batteries Fail in UAE Heat</x:v>
      </x:c>
      <x:c r="I40" s="6" t="str">
        <x:v>Car Battery Life in Dubai: Why Heat Kills Batteries</x:v>
      </x:c>
      <x:c r="J40" s="6" t="str">
        <x:v>Car Battery Life in Dubai: Why Heat Kills Batteries</x:v>
      </x:c>
      <x:c r="K40" s="6" t="str">
        <x:v>Why car batteries fail early in Dubai, how long they really last, the warning signs, and why modern cars need battery registration after replacement.</x:v>
      </x:c>
      <x:c r="L40" s="6" t="str">
        <x:v>Retain pending evidence; no specific content edit justified by this export.</x:v>
      </x:c>
      <x:c r="M40" s="6" t="str">
        <x:v>Retain; inspect relevant context before adding links</x:v>
      </x:c>
      <x:c r="N40" s="6" t="str">
        <x:v>Unconfirmed — no query/page pairing</x:v>
      </x:c>
      <x:c r="O40" s="6" t="str">
        <x:v>Retain established booking / WhatsApp / call path; live behaviour untested</x:v>
      </x:c>
      <x:c r="P40" s="6" t="str">
        <x:v>Retain canonical and indexation policy pending a live check.</x:v>
      </x:c>
      <x:c r="Q40" s="6" t="str">
        <x:v>Proposed; no website change made</x:v>
      </x:c>
      <x:c r="R40" s="14"/>
      <x:c r="S40" s="14"/>
      <x:c r="T40" s="15"/>
      <x:c r="U40" s="16"/>
      <x:c r="V40" s="6" t="str">
        <x:v>https://digitecme.com/ar/blog/car-battery-life-dubai-heat</x:v>
      </x:c>
      <x:c r="W40" s="6" t="str">
        <x:v>Indexable directive</x:v>
      </x:c>
      <x:c r="X40" s="6" t="n">
        <x:v>4</x:v>
      </x:c>
      <x:c r="Y40" s="6" t="str">
        <x:v>Car Battery Life Dubai | Why Batteries Fail in UAE Heat</x:v>
      </x:c>
      <x:c r="Z40" s="6" t="str"/>
      <x:c r="AA40" s="6" t="str">
        <x:v>No / not compared</x:v>
      </x:c>
    </x:row>
    <x:row r="41" ht="42" customHeight="1">
      <x:c r="A41" s="6" t="str">
        <x:v>https://digitecme.com/ar/blog/car-battery-replacement-dubai</x:v>
      </x:c>
      <x:c r="B41" s="6" t="str"/>
      <x:c r="C41" s="6" t="str"/>
      <x:c r="D41" s="6" t="str">
        <x:v>article</x:v>
      </x:c>
      <x:c r="E41" s="6" t="str">
        <x:v>Retain differentiated role</x:v>
      </x:c>
      <x:c r="F41" s="6" t="str">
        <x:v>Local source render; live version unverified</x:v>
      </x:c>
      <x:c r="G41" s="6" t="str">
        <x:v>تبديل بطارية السيارة في دبي | دليل حرارة الإمارات</x:v>
      </x:c>
      <x:c r="H41" s="6" t="str">
        <x:v>تبديل بطارية السيارة في دبي | دليل حرارة الإمارات</x:v>
      </x:c>
      <x:c r="I41" s="6" t="str">
        <x:v>تبديل بطارية السيارة في دبي: لماذا تقصر الحرارة عمر البطارية؟</x:v>
      </x:c>
      <x:c r="J41" s="6" t="str">
        <x:v>تبديل بطارية السيارة في دبي: لماذا تقصر الحرارة عمر البطارية؟</x:v>
      </x:c>
      <x:c r="K41" s="6" t="str">
        <x:v>لماذا تتلف بطارية السيارة سريعاً في دبي؟ تعرّف إلى علامات الضعف والفحص الصحيح واختيار بطارية مناسبة لمواصفات سيارتك.</x:v>
      </x:c>
      <x:c r="L41" s="6" t="str">
        <x:v>Retain pending evidence; no specific content edit justified by this export.</x:v>
      </x:c>
      <x:c r="M41" s="6" t="str">
        <x:v>Retain; inspect relevant context before adding links</x:v>
      </x:c>
      <x:c r="N41" s="6" t="str">
        <x:v>Unconfirmed — no query/page pairing</x:v>
      </x:c>
      <x:c r="O41" s="6" t="str">
        <x:v>Retain established booking / WhatsApp / call path; live behaviour untested</x:v>
      </x:c>
      <x:c r="P41" s="6" t="str">
        <x:v>Retain canonical and indexation policy pending a live check.</x:v>
      </x:c>
      <x:c r="Q41" s="6" t="str">
        <x:v>Proposed; no website change made</x:v>
      </x:c>
      <x:c r="R41" s="14" t="n">
        <x:v>0</x:v>
      </x:c>
      <x:c r="S41" s="14" t="n">
        <x:v>13</x:v>
      </x:c>
      <x:c r="T41" s="15" t="n">
        <x:v>0</x:v>
      </x:c>
      <x:c r="U41" s="16" t="n">
        <x:v>9.69</x:v>
      </x:c>
      <x:c r="V41" s="6" t="str">
        <x:v>https://digitecme.com/ar/blog/car-battery-replacement-dubai</x:v>
      </x:c>
      <x:c r="W41" s="6" t="str">
        <x:v>Indexable directive</x:v>
      </x:c>
      <x:c r="X41" s="6" t="n">
        <x:v>5</x:v>
      </x:c>
      <x:c r="Y41" s="6" t="str">
        <x:v>تبديل بطارية السيارة في دبي | دليل حرارة الإمارات</x:v>
      </x:c>
      <x:c r="Z41" s="6" t="str"/>
      <x:c r="AA41" s="6" t="str">
        <x:v>No / not compared</x:v>
      </x:c>
    </x:row>
    <x:row r="42" ht="57" customHeight="1">
      <x:c r="A42" s="6" t="str">
        <x:v>https://digitecme.com/ar/blog/car-service-cost-dubai-luxury-brands</x:v>
      </x:c>
      <x:c r="B42" s="6" t="str"/>
      <x:c r="C42" s="6" t="str"/>
      <x:c r="D42" s="6" t="str">
        <x:v>article</x:v>
      </x:c>
      <x:c r="E42" s="6" t="str">
        <x:v>Retain differentiated role</x:v>
      </x:c>
      <x:c r="F42" s="6" t="str">
        <x:v>Local source render; live version unverified</x:v>
      </x:c>
      <x:c r="G42" s="6" t="str">
        <x:v>Car Service Cost in Dubai | What Drives Luxury Car Quotes</x:v>
      </x:c>
      <x:c r="H42" s="6" t="str">
        <x:v>Car Service Cost in Dubai | What Drives Luxury Car Quotes</x:v>
      </x:c>
      <x:c r="I42" s="6" t="str">
        <x:v>What Drives Car Service Cost in Dubai for Luxury Brands</x:v>
      </x:c>
      <x:c r="J42" s="6" t="str">
        <x:v>What Drives Car Service Cost in Dubai for Luxury Brands</x:v>
      </x:c>
      <x:c r="K42" s="6" t="str">
        <x:v>Understand what drives car service cost in Dubai for luxury and German brands, how to read an estimate, and the questions to ask before approving any repair.</x:v>
      </x:c>
      <x:c r="L42" s="6" t="str">
        <x:v>Retain pending evidence; no specific content edit justified by this export.</x:v>
      </x:c>
      <x:c r="M42" s="6" t="str">
        <x:v>Retain; inspect relevant context before adding links</x:v>
      </x:c>
      <x:c r="N42" s="6" t="str">
        <x:v>Unconfirmed — no query/page pairing</x:v>
      </x:c>
      <x:c r="O42" s="6" t="str">
        <x:v>Retain established booking / WhatsApp / call path; live behaviour untested</x:v>
      </x:c>
      <x:c r="P42" s="6" t="str">
        <x:v>Retain canonical and indexation policy pending a live check.</x:v>
      </x:c>
      <x:c r="Q42" s="6" t="str">
        <x:v>Proposed; no website change made</x:v>
      </x:c>
      <x:c r="R42" s="14" t="n">
        <x:v>0</x:v>
      </x:c>
      <x:c r="S42" s="14" t="n">
        <x:v>2</x:v>
      </x:c>
      <x:c r="T42" s="15" t="n">
        <x:v>0</x:v>
      </x:c>
      <x:c r="U42" s="16" t="n">
        <x:v>8.5</x:v>
      </x:c>
      <x:c r="V42" s="6" t="str">
        <x:v>https://digitecme.com/ar/blog/car-service-cost-dubai-luxury-brands</x:v>
      </x:c>
      <x:c r="W42" s="6" t="str">
        <x:v>Indexable directive</x:v>
      </x:c>
      <x:c r="X42" s="6" t="n">
        <x:v>4</x:v>
      </x:c>
      <x:c r="Y42" s="6" t="str">
        <x:v>Car Service Cost in Dubai | What Drives Luxury Car Quotes</x:v>
      </x:c>
      <x:c r="Z42" s="6" t="str"/>
      <x:c r="AA42" s="6" t="str">
        <x:v>No / not compared</x:v>
      </x:c>
    </x:row>
    <x:row r="43" ht="57" customHeight="1">
      <x:c r="A43" s="6" t="str">
        <x:v>https://digitecme.com/ar/blog/car-service-interval-dubai-heat</x:v>
      </x:c>
      <x:c r="B43" s="6" t="str"/>
      <x:c r="C43" s="6" t="str"/>
      <x:c r="D43" s="6" t="str">
        <x:v>article</x:v>
      </x:c>
      <x:c r="E43" s="6" t="str">
        <x:v>Retain differentiated role</x:v>
      </x:c>
      <x:c r="F43" s="6" t="str">
        <x:v>Local source render; live version unverified</x:v>
      </x:c>
      <x:c r="G43" s="6" t="str">
        <x:v>Car Service Interval Dubai | How Often to Service in UAE Heat</x:v>
      </x:c>
      <x:c r="H43" s="6" t="str">
        <x:v>Car Service Interval Dubai | How Often to Service in UAE Heat</x:v>
      </x:c>
      <x:c r="I43" s="6" t="str">
        <x:v>Car Service Intervals in Dubai: Why Heat Changes the Rules</x:v>
      </x:c>
      <x:c r="J43" s="6" t="str">
        <x:v>Car Service Intervals in Dubai: Why Heat Changes the Rules</x:v>
      </x:c>
      <x:c r="K43" s="6" t="str">
        <x:v>How often you should service your car in Dubai, why UAE heat shortens fluid life, and when time based servicing beats distance based schedules.</x:v>
      </x:c>
      <x:c r="L43" s="6" t="str">
        <x:v>Retain pending evidence; no specific content edit justified by this export.</x:v>
      </x:c>
      <x:c r="M43" s="6" t="str">
        <x:v>Retain; inspect relevant context before adding links</x:v>
      </x:c>
      <x:c r="N43" s="6" t="str">
        <x:v>Unconfirmed — no query/page pairing</x:v>
      </x:c>
      <x:c r="O43" s="6" t="str">
        <x:v>Retain established booking / WhatsApp / call path; live behaviour untested</x:v>
      </x:c>
      <x:c r="P43" s="6" t="str">
        <x:v>Retain canonical and indexation policy pending a live check.</x:v>
      </x:c>
      <x:c r="Q43" s="6" t="str">
        <x:v>Proposed; no website change made</x:v>
      </x:c>
      <x:c r="R43" s="14"/>
      <x:c r="S43" s="14"/>
      <x:c r="T43" s="15"/>
      <x:c r="U43" s="16"/>
      <x:c r="V43" s="6" t="str">
        <x:v>https://digitecme.com/ar/blog/car-service-interval-dubai-heat</x:v>
      </x:c>
      <x:c r="W43" s="6" t="str">
        <x:v>Indexable directive</x:v>
      </x:c>
      <x:c r="X43" s="6" t="n">
        <x:v>4</x:v>
      </x:c>
      <x:c r="Y43" s="6" t="str">
        <x:v>Car Service Interval Dubai | How Often to Service in UAE Heat</x:v>
      </x:c>
      <x:c r="Z43" s="6" t="str"/>
      <x:c r="AA43" s="6" t="str">
        <x:v>No / not compared</x:v>
      </x:c>
    </x:row>
    <x:row r="44" ht="57" customHeight="1">
      <x:c r="A44" s="6" t="str">
        <x:v>https://digitecme.com/ar/blog/ceramic-coating-vs-ppf-dubai</x:v>
      </x:c>
      <x:c r="B44" s="6" t="str"/>
      <x:c r="C44" s="6" t="str"/>
      <x:c r="D44" s="6" t="str">
        <x:v>article</x:v>
      </x:c>
      <x:c r="E44" s="6" t="str">
        <x:v>Retain differentiated role</x:v>
      </x:c>
      <x:c r="F44" s="6" t="str">
        <x:v>Local source render; live version unverified</x:v>
      </x:c>
      <x:c r="G44" s="6" t="str">
        <x:v>Ceramic Coating vs PPF Dubai | Which Protection Is Right?</x:v>
      </x:c>
      <x:c r="H44" s="6" t="str">
        <x:v>Ceramic Coating vs PPF Dubai | Which Protection Is Right?</x:v>
      </x:c>
      <x:c r="I44" s="6" t="str">
        <x:v>Ceramic Coating or PPF in Dubai: Which Should You Choose?</x:v>
      </x:c>
      <x:c r="J44" s="6" t="str">
        <x:v>Ceramic Coating or PPF in Dubai: Which Should You Choose?</x:v>
      </x:c>
      <x:c r="K44" s="6" t="str">
        <x:v>Ceramic coating or paint protection film in Dubai: what each product actually does, how UAE sun and sand affect paint, and how to decide between them.</x:v>
      </x:c>
      <x:c r="L44" s="6" t="str">
        <x:v>Retain pending evidence; no specific content edit justified by this export.</x:v>
      </x:c>
      <x:c r="M44" s="6" t="str">
        <x:v>Retain; inspect relevant context before adding links</x:v>
      </x:c>
      <x:c r="N44" s="6" t="str">
        <x:v>Unconfirmed — no query/page pairing</x:v>
      </x:c>
      <x:c r="O44" s="6" t="str">
        <x:v>Retain established booking / WhatsApp / call path; live behaviour untested</x:v>
      </x:c>
      <x:c r="P44" s="6" t="str">
        <x:v>Retain canonical and indexation policy pending a live check.</x:v>
      </x:c>
      <x:c r="Q44" s="6" t="str">
        <x:v>Proposed; no website change made</x:v>
      </x:c>
      <x:c r="R44" s="14" t="n">
        <x:v>0</x:v>
      </x:c>
      <x:c r="S44" s="14" t="n">
        <x:v>4</x:v>
      </x:c>
      <x:c r="T44" s="15" t="n">
        <x:v>0</x:v>
      </x:c>
      <x:c r="U44" s="16" t="n">
        <x:v>20.25</x:v>
      </x:c>
      <x:c r="V44" s="6" t="str">
        <x:v>https://digitecme.com/ar/blog/ceramic-coating-vs-ppf-dubai</x:v>
      </x:c>
      <x:c r="W44" s="6" t="str">
        <x:v>Indexable directive</x:v>
      </x:c>
      <x:c r="X44" s="6" t="n">
        <x:v>4</x:v>
      </x:c>
      <x:c r="Y44" s="6" t="str">
        <x:v>Ceramic Coating vs PPF Dubai | Which Protection Is Right?</x:v>
      </x:c>
      <x:c r="Z44" s="6" t="str"/>
      <x:c r="AA44" s="6" t="str">
        <x:v>No / not compared</x:v>
      </x:c>
    </x:row>
    <x:row r="45" ht="57" customHeight="1">
      <x:c r="A45" s="6" t="str">
        <x:v>https://digitecme.com/ar/blog/check-engine-light-dubai-guide</x:v>
      </x:c>
      <x:c r="B45" s="6" t="str"/>
      <x:c r="C45" s="6" t="str"/>
      <x:c r="D45" s="6" t="str">
        <x:v>article</x:v>
      </x:c>
      <x:c r="E45" s="6" t="str">
        <x:v>Retain differentiated role</x:v>
      </x:c>
      <x:c r="F45" s="6" t="str">
        <x:v>Local source render; live version unverified</x:v>
      </x:c>
      <x:c r="G45" s="6" t="str">
        <x:v>Check Engine Light Dubai | Causes and Diagnostic Guide</x:v>
      </x:c>
      <x:c r="H45" s="6" t="str">
        <x:v>Check Engine Light Dubai | Causes and Diagnostic Guide</x:v>
      </x:c>
      <x:c r="I45" s="6" t="str">
        <x:v>Check Engine Light in Dubai: What It Means and What to Do</x:v>
      </x:c>
      <x:c r="J45" s="6" t="str">
        <x:v>Check Engine Light in Dubai: What It Means and What to Do</x:v>
      </x:c>
      <x:c r="K45" s="6" t="str">
        <x:v>What a check engine light means, when it is safe to drive, why code readers are not a diagnosis, and how proper fault finding works in a Dubai workshop.</x:v>
      </x:c>
      <x:c r="L45" s="6" t="str">
        <x:v>Retain pending evidence; no specific content edit justified by this export.</x:v>
      </x:c>
      <x:c r="M45" s="6" t="str">
        <x:v>Retain; inspect relevant context before adding links</x:v>
      </x:c>
      <x:c r="N45" s="6" t="str">
        <x:v>Unconfirmed — no query/page pairing</x:v>
      </x:c>
      <x:c r="O45" s="6" t="str">
        <x:v>Retain established booking / WhatsApp / call path; live behaviour untested</x:v>
      </x:c>
      <x:c r="P45" s="6" t="str">
        <x:v>Retain canonical and indexation policy pending a live check.</x:v>
      </x:c>
      <x:c r="Q45" s="6" t="str">
        <x:v>Proposed; no website change made</x:v>
      </x:c>
      <x:c r="R45" s="14"/>
      <x:c r="S45" s="14"/>
      <x:c r="T45" s="15"/>
      <x:c r="U45" s="16"/>
      <x:c r="V45" s="6" t="str">
        <x:v>https://digitecme.com/ar/blog/check-engine-light-dubai-guide</x:v>
      </x:c>
      <x:c r="W45" s="6" t="str">
        <x:v>Indexable directive</x:v>
      </x:c>
      <x:c r="X45" s="6" t="n">
        <x:v>4</x:v>
      </x:c>
      <x:c r="Y45" s="6" t="str">
        <x:v>Check Engine Light Dubai | Causes and Diagnostic Guide</x:v>
      </x:c>
      <x:c r="Z45" s="6" t="str"/>
      <x:c r="AA45" s="6" t="str">
        <x:v>No / not compared</x:v>
      </x:c>
    </x:row>
    <x:row r="46" ht="42" customHeight="1">
      <x:c r="A46" s="6" t="str">
        <x:v>https://digitecme.com/ar/blog/chevrolet-best-workshop-dubai</x:v>
      </x:c>
      <x:c r="B46" s="6" t="str"/>
      <x:c r="C46" s="6" t="str"/>
      <x:c r="D46" s="6" t="str">
        <x:v>article</x:v>
      </x:c>
      <x:c r="E46" s="6" t="str">
        <x:v>Retain differentiated role</x:v>
      </x:c>
      <x:c r="F46" s="6" t="str">
        <x:v>Local source render; live version unverified</x:v>
      </x:c>
      <x:c r="G46" s="6" t="str">
        <x:v>ورشة Chevrolet في دبي | ديجي-تك</x:v>
      </x:c>
      <x:c r="H46" s="6" t="str">
        <x:v>ورشة Chevrolet في دبي | ديجي-تك</x:v>
      </x:c>
      <x:c r="I46" s="6" t="str">
        <x:v>دليل ورشة Chevrolet المتخصصة في دبي</x:v>
      </x:c>
      <x:c r="J46" s="6" t="str">
        <x:v>دليل ورشة Chevrolet المتخصصة في دبي</x:v>
      </x:c>
      <x:c r="K46" s="6" t="str">
        <x:v>ورشة متخصصة في Chevrolet بدبي للفحص والصيانة والإصلاح. احجز لدى ديجي-تك في القوز للحصول على تشخيص واضح وخدمة احترافية.</x:v>
      </x:c>
      <x:c r="L46" s="6" t="str">
        <x:v>Retain pending evidence; no specific content edit justified by this export.</x:v>
      </x:c>
      <x:c r="M46" s="6" t="str">
        <x:v>Retain; inspect relevant context before adding links</x:v>
      </x:c>
      <x:c r="N46" s="6" t="str">
        <x:v>Unconfirmed — no query/page pairing</x:v>
      </x:c>
      <x:c r="O46" s="6" t="str">
        <x:v>Retain established booking / WhatsApp / call path; live behaviour untested</x:v>
      </x:c>
      <x:c r="P46" s="6" t="str">
        <x:v>Retain canonical and indexation policy pending a live check.</x:v>
      </x:c>
      <x:c r="Q46" s="6" t="str">
        <x:v>Proposed; no website change made</x:v>
      </x:c>
      <x:c r="R46" s="14"/>
      <x:c r="S46" s="14"/>
      <x:c r="T46" s="15"/>
      <x:c r="U46" s="16"/>
      <x:c r="V46" s="6" t="str">
        <x:v>https://digitecme.com/ar/blog/chevrolet-best-workshop-dubai</x:v>
      </x:c>
      <x:c r="W46" s="6" t="str">
        <x:v>Indexable directive</x:v>
      </x:c>
      <x:c r="X46" s="6" t="n">
        <x:v>4</x:v>
      </x:c>
      <x:c r="Y46" s="6" t="str">
        <x:v>ورشة Chevrolet في دبي | ديجي-تك</x:v>
      </x:c>
      <x:c r="Z46" s="6" t="str"/>
      <x:c r="AA46" s="6" t="str">
        <x:v>No / not compared</x:v>
      </x:c>
    </x:row>
    <x:row r="47" ht="57" customHeight="1">
      <x:c r="A47" s="6" t="str">
        <x:v>https://digitecme.com/ar/blog/dealer-vs-independent-workshop-dubai</x:v>
      </x:c>
      <x:c r="B47" s="6" t="str"/>
      <x:c r="C47" s="6" t="str"/>
      <x:c r="D47" s="6" t="str">
        <x:v>article</x:v>
      </x:c>
      <x:c r="E47" s="6" t="str">
        <x:v>Retain differentiated role</x:v>
      </x:c>
      <x:c r="F47" s="6" t="str">
        <x:v>Local source render; live version unverified</x:v>
      </x:c>
      <x:c r="G47" s="6" t="str">
        <x:v>Dealer vs Independent Workshop Dubai | Owner Comparison</x:v>
      </x:c>
      <x:c r="H47" s="6" t="str">
        <x:v>Dealer vs Independent Workshop Dubai | Owner Comparison</x:v>
      </x:c>
      <x:c r="I47" s="6" t="str">
        <x:v>Dealer or Independent Workshop in Dubai: How to Choose</x:v>
      </x:c>
      <x:c r="J47" s="6" t="str">
        <x:v>Dealer or Independent Workshop in Dubai: How to Choose</x:v>
      </x:c>
      <x:c r="K47" s="6" t="str">
        <x:v>Compare main dealer service with a specialist independent workshop in Dubai: diagnostics, genuine parts, warranty, service records, turnaround and communication.</x:v>
      </x:c>
      <x:c r="L47" s="6" t="str">
        <x:v>Retain pending evidence; no specific content edit justified by this export.</x:v>
      </x:c>
      <x:c r="M47" s="6" t="str">
        <x:v>Retain; inspect relevant context before adding links</x:v>
      </x:c>
      <x:c r="N47" s="6" t="str">
        <x:v>Unconfirmed — no query/page pairing</x:v>
      </x:c>
      <x:c r="O47" s="6" t="str">
        <x:v>Retain established booking / WhatsApp / call path; live behaviour untested</x:v>
      </x:c>
      <x:c r="P47" s="6" t="str">
        <x:v>Retain canonical and indexation policy pending a live check.</x:v>
      </x:c>
      <x:c r="Q47" s="6" t="str">
        <x:v>Proposed; no website change made</x:v>
      </x:c>
      <x:c r="R47" s="14"/>
      <x:c r="S47" s="14"/>
      <x:c r="T47" s="15"/>
      <x:c r="U47" s="16"/>
      <x:c r="V47" s="6" t="str">
        <x:v>https://digitecme.com/ar/blog/dealer-vs-independent-workshop-dubai</x:v>
      </x:c>
      <x:c r="W47" s="6" t="str">
        <x:v>Indexable directive</x:v>
      </x:c>
      <x:c r="X47" s="6" t="n">
        <x:v>4</x:v>
      </x:c>
      <x:c r="Y47" s="6" t="str">
        <x:v>Dealer vs Independent Workshop Dubai | Owner Comparison</x:v>
      </x:c>
      <x:c r="Z47" s="6" t="str"/>
      <x:c r="AA47" s="6" t="str">
        <x:v>No / not compared</x:v>
      </x:c>
    </x:row>
    <x:row r="48" ht="57" customHeight="1">
      <x:c r="A48" s="6" t="str">
        <x:v>https://digitecme.com/ar/blog/defender-service-dubai-guide</x:v>
      </x:c>
      <x:c r="B48" s="6" t="str"/>
      <x:c r="C48" s="6" t="str"/>
      <x:c r="D48" s="6" t="str">
        <x:v>article</x:v>
      </x:c>
      <x:c r="E48" s="6" t="str">
        <x:v>Retain differentiated role</x:v>
      </x:c>
      <x:c r="F48" s="6" t="str">
        <x:v>Local source render; live version unverified</x:v>
      </x:c>
      <x:c r="G48" s="6" t="str">
        <x:v>Defender Service Dubai | Land Rover Defender Maintenance Guide</x:v>
      </x:c>
      <x:c r="H48" s="6" t="str">
        <x:v>Defender Service Dubai | Land Rover Defender Maintenance Guide</x:v>
      </x:c>
      <x:c r="I48" s="6" t="str">
        <x:v>Land Rover Defender Service in Dubai: Owner Guide</x:v>
      </x:c>
      <x:c r="J48" s="6" t="str">
        <x:v>Land Rover Defender Service in Dubai: Owner Guide</x:v>
      </x:c>
      <x:c r="K48" s="6" t="str">
        <x:v>Land Rover Defender service in Dubai: oil intervals, air suspension, cooling, desert use checks, brakes and diagnostics for the new Defender range.</x:v>
      </x:c>
      <x:c r="L48" s="6" t="str">
        <x:v>Retain pending evidence; no specific content edit justified by this export.</x:v>
      </x:c>
      <x:c r="M48" s="6" t="str">
        <x:v>Retain; inspect relevant context before adding links</x:v>
      </x:c>
      <x:c r="N48" s="6" t="str">
        <x:v>Unconfirmed — no query/page pairing</x:v>
      </x:c>
      <x:c r="O48" s="6" t="str">
        <x:v>Retain established booking / WhatsApp / call path; live behaviour untested</x:v>
      </x:c>
      <x:c r="P48" s="6" t="str">
        <x:v>Retain canonical and indexation policy pending a live check.</x:v>
      </x:c>
      <x:c r="Q48" s="6" t="str">
        <x:v>Proposed; no website change made</x:v>
      </x:c>
      <x:c r="R48" s="14" t="n">
        <x:v>0</x:v>
      </x:c>
      <x:c r="S48" s="14" t="n">
        <x:v>2</x:v>
      </x:c>
      <x:c r="T48" s="15" t="n">
        <x:v>0</x:v>
      </x:c>
      <x:c r="U48" s="16" t="n">
        <x:v>9.5</x:v>
      </x:c>
      <x:c r="V48" s="6" t="str">
        <x:v>https://digitecme.com/ar/blog/defender-service-dubai-guide</x:v>
      </x:c>
      <x:c r="W48" s="6" t="str">
        <x:v>Indexable directive</x:v>
      </x:c>
      <x:c r="X48" s="6" t="n">
        <x:v>4</x:v>
      </x:c>
      <x:c r="Y48" s="6" t="str">
        <x:v>Defender Service Dubai | Land Rover Defender Maintenance Guide</x:v>
      </x:c>
      <x:c r="Z48" s="6" t="str"/>
      <x:c r="AA48" s="6" t="str">
        <x:v>No / not compared</x:v>
      </x:c>
    </x:row>
    <x:row r="49" ht="57" customHeight="1">
      <x:c r="A49" s="6" t="str">
        <x:v>https://digitecme.com/ar/blog/ecu-remap-safe-dubai-guide</x:v>
      </x:c>
      <x:c r="B49" s="6" t="str"/>
      <x:c r="C49" s="6" t="str"/>
      <x:c r="D49" s="6" t="str">
        <x:v>article</x:v>
      </x:c>
      <x:c r="E49" s="6" t="str">
        <x:v>Retain differentiated role</x:v>
      </x:c>
      <x:c r="F49" s="6" t="str">
        <x:v>Local source render; live version unverified</x:v>
      </x:c>
      <x:c r="G49" s="6" t="str">
        <x:v>ECU Remap Dubai | Is Tuning Safe for Your Car?</x:v>
      </x:c>
      <x:c r="H49" s="6" t="str">
        <x:v>ECU Remap Dubai | Is Tuning Safe for Your Car?</x:v>
      </x:c>
      <x:c r="I49" s="6" t="str">
        <x:v>Is ECU Remapping Safe in Dubai? An Honest Guide</x:v>
      </x:c>
      <x:c r="J49" s="6" t="str">
        <x:v>Is ECU Remapping Safe in Dubai? An Honest Guide</x:v>
      </x:c>
      <x:c r="K49" s="6" t="str">
        <x:v>Is ECU remapping safe in Dubai? How professional tuning is developed, what hardware supporting mods matter, cooling in UAE heat and what to ask before booking.</x:v>
      </x:c>
      <x:c r="L49" s="6" t="str">
        <x:v>Retain pending evidence; no specific content edit justified by this export.</x:v>
      </x:c>
      <x:c r="M49" s="6" t="str">
        <x:v>Retain; inspect relevant context before adding links</x:v>
      </x:c>
      <x:c r="N49" s="6" t="str">
        <x:v>Unconfirmed — no query/page pairing</x:v>
      </x:c>
      <x:c r="O49" s="6" t="str">
        <x:v>Retain established booking / WhatsApp / call path; live behaviour untested</x:v>
      </x:c>
      <x:c r="P49" s="6" t="str">
        <x:v>Retain canonical and indexation policy pending a live check.</x:v>
      </x:c>
      <x:c r="Q49" s="6" t="str">
        <x:v>Proposed; no website change made</x:v>
      </x:c>
      <x:c r="R49" s="14" t="n">
        <x:v>0</x:v>
      </x:c>
      <x:c r="S49" s="14" t="n">
        <x:v>1</x:v>
      </x:c>
      <x:c r="T49" s="15" t="n">
        <x:v>0</x:v>
      </x:c>
      <x:c r="U49" s="16" t="n">
        <x:v>83</x:v>
      </x:c>
      <x:c r="V49" s="6" t="str">
        <x:v>https://digitecme.com/ar/blog/ecu-remap-safe-dubai-guide</x:v>
      </x:c>
      <x:c r="W49" s="6" t="str">
        <x:v>Indexable directive</x:v>
      </x:c>
      <x:c r="X49" s="6" t="n">
        <x:v>4</x:v>
      </x:c>
      <x:c r="Y49" s="6" t="str">
        <x:v>ECU Remap Dubai | Is Tuning Safe for Your Car?</x:v>
      </x:c>
      <x:c r="Z49" s="6" t="str"/>
      <x:c r="AA49" s="6" t="str">
        <x:v>No / not compared</x:v>
      </x:c>
    </x:row>
    <x:row r="50" ht="57" customHeight="1">
      <x:c r="A50" s="6" t="str">
        <x:v>https://digitecme.com/ar/blog/engine-overheating-dubai-what-to-do</x:v>
      </x:c>
      <x:c r="B50" s="6" t="str"/>
      <x:c r="C50" s="6" t="str"/>
      <x:c r="D50" s="6" t="str">
        <x:v>article</x:v>
      </x:c>
      <x:c r="E50" s="6" t="str">
        <x:v>Retain differentiated role</x:v>
      </x:c>
      <x:c r="F50" s="6" t="str">
        <x:v>Local source render; live version unverified</x:v>
      </x:c>
      <x:c r="G50" s="6" t="str">
        <x:v>Engine Overheating Dubai | Causes and What to Do Immediately</x:v>
      </x:c>
      <x:c r="H50" s="6" t="str">
        <x:v>Engine Overheating Dubai | Causes and What to Do Immediately</x:v>
      </x:c>
      <x:c r="I50" s="6" t="str">
        <x:v>Engine Overheating in Dubai: What to Do and Why It Happens</x:v>
      </x:c>
      <x:c r="J50" s="6" t="str">
        <x:v>Engine Overheating in Dubai: What to Do and Why It Happens</x:v>
      </x:c>
      <x:c r="K50" s="6" t="str">
        <x:v>What to do if your engine overheats in Dubai, the most common causes in UAE heat, and how a workshop diagnoses cooling system faults properly.</x:v>
      </x:c>
      <x:c r="L50" s="6" t="str">
        <x:v>Retain pending evidence; no specific content edit justified by this export.</x:v>
      </x:c>
      <x:c r="M50" s="6" t="str">
        <x:v>Retain; inspect relevant context before adding links</x:v>
      </x:c>
      <x:c r="N50" s="6" t="str">
        <x:v>Unconfirmed — no query/page pairing</x:v>
      </x:c>
      <x:c r="O50" s="6" t="str">
        <x:v>Retain established booking / WhatsApp / call path; live behaviour untested</x:v>
      </x:c>
      <x:c r="P50" s="6" t="str">
        <x:v>Retain canonical and indexation policy pending a live check.</x:v>
      </x:c>
      <x:c r="Q50" s="6" t="str">
        <x:v>Proposed; no website change made</x:v>
      </x:c>
      <x:c r="R50" s="14"/>
      <x:c r="S50" s="14"/>
      <x:c r="T50" s="15"/>
      <x:c r="U50" s="16"/>
      <x:c r="V50" s="6" t="str">
        <x:v>https://digitecme.com/ar/blog/engine-overheating-dubai-what-to-do</x:v>
      </x:c>
      <x:c r="W50" s="6" t="str">
        <x:v>Indexable directive</x:v>
      </x:c>
      <x:c r="X50" s="6" t="n">
        <x:v>4</x:v>
      </x:c>
      <x:c r="Y50" s="6" t="str">
        <x:v>Engine Overheating Dubai | Causes and What to Do Immediately</x:v>
      </x:c>
      <x:c r="Z50" s="6" t="str"/>
      <x:c r="AA50" s="6" t="str">
        <x:v>No / not compared</x:v>
      </x:c>
    </x:row>
    <x:row r="51" ht="42" customHeight="1">
      <x:c r="A51" s="6" t="str">
        <x:v>https://digitecme.com/ar/blog/ferrari-488-service-dubai-guide</x:v>
      </x:c>
      <x:c r="B51" s="6" t="str"/>
      <x:c r="C51" s="6" t="str"/>
      <x:c r="D51" s="6" t="str">
        <x:v>article</x:v>
      </x:c>
      <x:c r="E51" s="6" t="str">
        <x:v>Retain differentiated role</x:v>
      </x:c>
      <x:c r="F51" s="6" t="str">
        <x:v>Local source render; live version unverified</x:v>
      </x:c>
      <x:c r="G51" s="6" t="str">
        <x:v>Ferrari 488 Service Dubai | Maintenance and Inspection Guide</x:v>
      </x:c>
      <x:c r="H51" s="6" t="str">
        <x:v>Ferrari 488 Service Dubai | Maintenance and Inspection Guide</x:v>
      </x:c>
      <x:c r="I51" s="6" t="str">
        <x:v>Ferrari 488 Service in Dubai: Owner Maintenance Guide</x:v>
      </x:c>
      <x:c r="J51" s="6" t="str">
        <x:v>Ferrari 488 Service in Dubai: Owner Maintenance Guide</x:v>
      </x:c>
      <x:c r="K51" s="6" t="str">
        <x:v>Ferrari 488 owner guide for Dubai: service planning, vehicle-specific fluids, cooling, brakes, supported DCT data and storage care.</x:v>
      </x:c>
      <x:c r="L51" s="6" t="str">
        <x:v>Retain pending evidence; no specific content edit justified by this export.</x:v>
      </x:c>
      <x:c r="M51" s="6" t="str">
        <x:v>Retain; inspect relevant context before adding links</x:v>
      </x:c>
      <x:c r="N51" s="6" t="str">
        <x:v>Unconfirmed — no query/page pairing</x:v>
      </x:c>
      <x:c r="O51" s="6" t="str">
        <x:v>Retain established booking / WhatsApp / call path; live behaviour untested</x:v>
      </x:c>
      <x:c r="P51" s="6" t="str">
        <x:v>Retain canonical and indexation policy pending a live check.</x:v>
      </x:c>
      <x:c r="Q51" s="6" t="str">
        <x:v>Proposed; no website change made</x:v>
      </x:c>
      <x:c r="R51" s="14"/>
      <x:c r="S51" s="14"/>
      <x:c r="T51" s="15"/>
      <x:c r="U51" s="16"/>
      <x:c r="V51" s="6" t="str">
        <x:v>https://digitecme.com/ar/blog/ferrari-488-service-dubai-guide</x:v>
      </x:c>
      <x:c r="W51" s="6" t="str">
        <x:v>Indexable directive</x:v>
      </x:c>
      <x:c r="X51" s="6" t="n">
        <x:v>4</x:v>
      </x:c>
      <x:c r="Y51" s="6" t="str">
        <x:v>Ferrari 488 Service Dubai | Maintenance and Inspection Guide</x:v>
      </x:c>
      <x:c r="Z51" s="6" t="str"/>
      <x:c r="AA51" s="6" t="str">
        <x:v>No / not compared</x:v>
      </x:c>
    </x:row>
    <x:row r="52" ht="42" customHeight="1">
      <x:c r="A52" s="6" t="str">
        <x:v>https://digitecme.com/ar/blog/ferrari-maintenance-guide-dubai</x:v>
      </x:c>
      <x:c r="B52" s="6" t="str"/>
      <x:c r="C52" s="6" t="str"/>
      <x:c r="D52" s="6" t="str">
        <x:v>article</x:v>
      </x:c>
      <x:c r="E52" s="6" t="str">
        <x:v>Retain differentiated role</x:v>
      </x:c>
      <x:c r="F52" s="6" t="str">
        <x:v>Local source render; live version unverified</x:v>
      </x:c>
      <x:c r="G52" s="6" t="str">
        <x:v>صيانة فيراري في دبي | جدول الخدمة والتكلفة</x:v>
      </x:c>
      <x:c r="H52" s="6" t="str">
        <x:v>صيانة فيراري في دبي | جدول الخدمة والتكلفة</x:v>
      </x:c>
      <x:c r="I52" s="6" t="str">
        <x:v>صيانة فيراري في دبي: جدول الخدمة والتكلفة وما يجب توقعه</x:v>
      </x:c>
      <x:c r="J52" s="6" t="str">
        <x:v>صيانة فيراري في دبي: جدول الخدمة والتكلفة وما يجب توقعه</x:v>
      </x:c>
      <x:c r="K52" s="6" t="str">
        <x:v>دليل صيانة فيراري في دبي: مواعيد الخدمة وعوامل التكلفة وعلامات التحذير والفحوص المهمة في حرارة الإمارات وفترات التخزين.</x:v>
      </x:c>
      <x:c r="L52" s="6" t="str">
        <x:v>Retain pending evidence; no specific content edit justified by this export.</x:v>
      </x:c>
      <x:c r="M52" s="6" t="str">
        <x:v>Retain; inspect relevant context before adding links</x:v>
      </x:c>
      <x:c r="N52" s="6" t="str">
        <x:v>Unconfirmed — no query/page pairing</x:v>
      </x:c>
      <x:c r="O52" s="6" t="str">
        <x:v>Retain established booking / WhatsApp / call path; live behaviour untested</x:v>
      </x:c>
      <x:c r="P52" s="6" t="str">
        <x:v>Retain canonical and indexation policy pending a live check.</x:v>
      </x:c>
      <x:c r="Q52" s="6" t="str">
        <x:v>Proposed; no website change made</x:v>
      </x:c>
      <x:c r="R52" s="14" t="n">
        <x:v>0</x:v>
      </x:c>
      <x:c r="S52" s="14" t="n">
        <x:v>6</x:v>
      </x:c>
      <x:c r="T52" s="15" t="n">
        <x:v>0</x:v>
      </x:c>
      <x:c r="U52" s="16" t="n">
        <x:v>4.67</x:v>
      </x:c>
      <x:c r="V52" s="6" t="str">
        <x:v>https://digitecme.com/ar/blog/ferrari-maintenance-guide-dubai</x:v>
      </x:c>
      <x:c r="W52" s="6" t="str">
        <x:v>Indexable directive</x:v>
      </x:c>
      <x:c r="X52" s="6" t="n">
        <x:v>4</x:v>
      </x:c>
      <x:c r="Y52" s="6" t="str">
        <x:v>صيانة فيراري في دبي | جدول الخدمة والتكلفة</x:v>
      </x:c>
      <x:c r="Z52" s="6" t="str"/>
      <x:c r="AA52" s="6" t="str">
        <x:v>No / not compared</x:v>
      </x:c>
    </x:row>
    <x:row r="53" ht="42" customHeight="1">
      <x:c r="A53" s="6" t="str">
        <x:v>https://digitecme.com/ar/blog/ford-best-workshop-dubai</x:v>
      </x:c>
      <x:c r="B53" s="6" t="str"/>
      <x:c r="C53" s="6" t="str"/>
      <x:c r="D53" s="6" t="str">
        <x:v>article</x:v>
      </x:c>
      <x:c r="E53" s="6" t="str">
        <x:v>Retain differentiated role</x:v>
      </x:c>
      <x:c r="F53" s="6" t="str">
        <x:v>Local source render; live version unverified</x:v>
      </x:c>
      <x:c r="G53" s="6" t="str">
        <x:v>ورشة Ford في دبي | ديجي-تك</x:v>
      </x:c>
      <x:c r="H53" s="6" t="str">
        <x:v>ورشة Ford في دبي | ديجي-تك</x:v>
      </x:c>
      <x:c r="I53" s="6" t="str">
        <x:v>دليل ورشة Ford المتخصصة في دبي</x:v>
      </x:c>
      <x:c r="J53" s="6" t="str">
        <x:v>دليل ورشة Ford المتخصصة في دبي</x:v>
      </x:c>
      <x:c r="K53" s="6" t="str">
        <x:v>ورشة متخصصة في Ford بدبي للفحص والصيانة والإصلاح. احجز لدى ديجي-تك في القوز للحصول على تشخيص واضح وخدمة احترافية.</x:v>
      </x:c>
      <x:c r="L53" s="6" t="str">
        <x:v>Retain pending evidence; no specific content edit justified by this export.</x:v>
      </x:c>
      <x:c r="M53" s="6" t="str">
        <x:v>Retain; inspect relevant context before adding links</x:v>
      </x:c>
      <x:c r="N53" s="6" t="str">
        <x:v>Unconfirmed — no query/page pairing</x:v>
      </x:c>
      <x:c r="O53" s="6" t="str">
        <x:v>Retain established booking / WhatsApp / call path; live behaviour untested</x:v>
      </x:c>
      <x:c r="P53" s="6" t="str">
        <x:v>Retain canonical and indexation policy pending a live check.</x:v>
      </x:c>
      <x:c r="Q53" s="6" t="str">
        <x:v>Proposed; no website change made</x:v>
      </x:c>
      <x:c r="R53" s="14"/>
      <x:c r="S53" s="14"/>
      <x:c r="T53" s="15"/>
      <x:c r="U53" s="16"/>
      <x:c r="V53" s="6" t="str">
        <x:v>https://digitecme.com/ar/blog/ford-best-workshop-dubai</x:v>
      </x:c>
      <x:c r="W53" s="6" t="str">
        <x:v>Indexable directive</x:v>
      </x:c>
      <x:c r="X53" s="6" t="n">
        <x:v>4</x:v>
      </x:c>
      <x:c r="Y53" s="6" t="str">
        <x:v>ورشة Ford في دبي | ديجي-تك</x:v>
      </x:c>
      <x:c r="Z53" s="6" t="str"/>
      <x:c r="AA53" s="6" t="str">
        <x:v>No / not compared</x:v>
      </x:c>
    </x:row>
    <x:row r="54" ht="57" customHeight="1">
      <x:c r="A54" s="6" t="str">
        <x:v>https://digitecme.com/ar/blog/g63-to-brabus-g800-conversion-dubai</x:v>
      </x:c>
      <x:c r="B54" s="6" t="str"/>
      <x:c r="C54" s="6" t="str"/>
      <x:c r="D54" s="6" t="str">
        <x:v>article</x:v>
      </x:c>
      <x:c r="E54" s="6" t="str">
        <x:v>Retain differentiated role</x:v>
      </x:c>
      <x:c r="F54" s="6" t="str">
        <x:v>Local source render; live version unverified</x:v>
      </x:c>
      <x:c r="G54" s="6" t="str">
        <x:v>G63 to BRABUS G 800 Conversion Dubai | Before &amp; After</x:v>
      </x:c>
      <x:c r="H54" s="6" t="str">
        <x:v>G63 to BRABUS G 800 Conversion Dubai | Before &amp; After</x:v>
      </x:c>
      <x:c r="I54" s="6" t="str">
        <x:v>G63 to BRABUS G 800-Style Conversion in Dubai: Before &amp; After</x:v>
      </x:c>
      <x:c r="J54" s="6" t="str">
        <x:v>G63 to BRABUS G 800-Style Conversion in Dubai: Before &amp; After</x:v>
      </x:c>
      <x:c r="K54" s="6" t="str">
        <x:v>See a real Mercedes-AMG G63 to BRABUS G 800-style conversion in Dubai. Before-and-after photos, bodywork, fitment, wiring and final quality checks at Digi-Tec.</x:v>
      </x:c>
      <x:c r="L54" s="6" t="str">
        <x:v>Retain pending evidence; no specific content edit justified by this export.</x:v>
      </x:c>
      <x:c r="M54" s="6" t="str">
        <x:v>Retain; inspect relevant context before adding links</x:v>
      </x:c>
      <x:c r="N54" s="6" t="str">
        <x:v>Unconfirmed — no query/page pairing</x:v>
      </x:c>
      <x:c r="O54" s="6" t="str">
        <x:v>Retain established booking / WhatsApp / call path; live behaviour untested</x:v>
      </x:c>
      <x:c r="P54" s="6" t="str">
        <x:v>Retain canonical and indexation policy pending a live check.</x:v>
      </x:c>
      <x:c r="Q54" s="6" t="str">
        <x:v>Proposed; no website change made</x:v>
      </x:c>
      <x:c r="R54" s="14"/>
      <x:c r="S54" s="14"/>
      <x:c r="T54" s="15"/>
      <x:c r="U54" s="16"/>
      <x:c r="V54" s="6" t="str">
        <x:v>https://digitecme.com/ar/blog/g63-to-brabus-g800-conversion-dubai</x:v>
      </x:c>
      <x:c r="W54" s="6" t="str">
        <x:v>Indexable directive</x:v>
      </x:c>
      <x:c r="X54" s="6" t="n">
        <x:v>4</x:v>
      </x:c>
      <x:c r="Y54" s="6" t="str">
        <x:v>G63 to BRABUS G 800 Conversion Dubai | Before &amp; After</x:v>
      </x:c>
      <x:c r="Z54" s="6" t="str"/>
      <x:c r="AA54" s="6" t="str">
        <x:v>No / not compared</x:v>
      </x:c>
    </x:row>
    <x:row r="55" ht="42" customHeight="1">
      <x:c r="A55" s="6" t="str">
        <x:v>https://digitecme.com/ar/blog/gad-tuning-explained</x:v>
      </x:c>
      <x:c r="B55" s="6" t="str"/>
      <x:c r="C55" s="6" t="str"/>
      <x:c r="D55" s="6" t="str">
        <x:v>article</x:v>
      </x:c>
      <x:c r="E55" s="6" t="str">
        <x:v>Retain differentiated role</x:v>
      </x:c>
      <x:c r="F55" s="6" t="str">
        <x:v>Local source render; live version unverified</x:v>
      </x:c>
      <x:c r="G55" s="6" t="str">
        <x:v>شرح برمجة GAD في دبي | ديجي-تك</x:v>
      </x:c>
      <x:c r="H55" s="6" t="str">
        <x:v>شرح برمجة GAD في دبي | ديجي-تك</x:v>
      </x:c>
      <x:c r="I55" s="6" t="str">
        <x:v>شرح برمجة GAD: ما الذي يجعلها مختلفة؟</x:v>
      </x:c>
      <x:c r="J55" s="6" t="str">
        <x:v>شرح برمجة GAD: ما الذي يجعلها مختلفة؟</x:v>
      </x:c>
      <x:c r="K55" s="6" t="str">
        <x:v>تعرّف إلى منهج GAD Motors في برمجة المحرك وتطوير الأداء، ودور الفحص والقطع الداعمة في تقديم قوة موثوقة تناسب أجواء دبي.</x:v>
      </x:c>
      <x:c r="L55" s="6" t="str">
        <x:v>Retain pending evidence; no specific content edit justified by this export.</x:v>
      </x:c>
      <x:c r="M55" s="6" t="str">
        <x:v>Retain; inspect relevant context before adding links</x:v>
      </x:c>
      <x:c r="N55" s="6" t="str">
        <x:v>Unconfirmed — no query/page pairing</x:v>
      </x:c>
      <x:c r="O55" s="6" t="str">
        <x:v>Retain established booking / WhatsApp / call path; live behaviour untested</x:v>
      </x:c>
      <x:c r="P55" s="6" t="str">
        <x:v>Retain canonical and indexation policy pending a live check.</x:v>
      </x:c>
      <x:c r="Q55" s="6" t="str">
        <x:v>Proposed; no website change made</x:v>
      </x:c>
      <x:c r="R55" s="14" t="n">
        <x:v>0</x:v>
      </x:c>
      <x:c r="S55" s="14" t="n">
        <x:v>2</x:v>
      </x:c>
      <x:c r="T55" s="15" t="n">
        <x:v>0</x:v>
      </x:c>
      <x:c r="U55" s="16" t="n">
        <x:v>8</x:v>
      </x:c>
      <x:c r="V55" s="6" t="str">
        <x:v>https://digitecme.com/ar/blog/gad-tuning-explained</x:v>
      </x:c>
      <x:c r="W55" s="6" t="str">
        <x:v>Indexable directive</x:v>
      </x:c>
      <x:c r="X55" s="6" t="n">
        <x:v>4</x:v>
      </x:c>
      <x:c r="Y55" s="6" t="str">
        <x:v>شرح برمجة GAD في دبي | ديجي-تك</x:v>
      </x:c>
      <x:c r="Z55" s="6" t="str"/>
      <x:c r="AA55" s="6" t="str">
        <x:v>No / not compared</x:v>
      </x:c>
    </x:row>
    <x:row r="56" ht="42" customHeight="1">
      <x:c r="A56" s="6" t="str">
        <x:v>https://digitecme.com/ar/blog/how-much-is-my-mercedes-worth-dubai</x:v>
      </x:c>
      <x:c r="B56" s="6" t="str"/>
      <x:c r="C56" s="6" t="str"/>
      <x:c r="D56" s="6" t="str">
        <x:v>article</x:v>
      </x:c>
      <x:c r="E56" s="6" t="str">
        <x:v>Retain differentiated role</x:v>
      </x:c>
      <x:c r="F56" s="6" t="str">
        <x:v>Local source render; live version unverified</x:v>
      </x:c>
      <x:c r="G56" s="6" t="str">
        <x:v>كم تبلغ قيمة مرسيدس في دبي؟ | تقييم ومساعدة في البيع</x:v>
      </x:c>
      <x:c r="H56" s="6" t="str">
        <x:v>كم تبلغ قيمة مرسيدس في دبي؟ | تقييم ومساعدة في البيع</x:v>
      </x:c>
      <x:c r="I56" s="6" t="str">
        <x:v>كم تبلغ قيمة سيارتي مرسيدس في دبي؟</x:v>
      </x:c>
      <x:c r="J56" s="6" t="str">
        <x:v>كم تبلغ قيمة سيارتي مرسيدس في دبي؟</x:v>
      </x:c>
      <x:c r="K56" s="6" t="str">
        <x:v>احصل على تقييم واقعي لسيارتك مرسيدس في دبي، مع فحص وتجهيز وتسويق ومساعدة في إتمام البيع من فريق ديجي-تك.</x:v>
      </x:c>
      <x:c r="L56" s="6" t="str">
        <x:v>Retain pending evidence; no specific content edit justified by this export.</x:v>
      </x:c>
      <x:c r="M56" s="6" t="str">
        <x:v>Retain; inspect relevant context before adding links</x:v>
      </x:c>
      <x:c r="N56" s="6" t="str">
        <x:v>Unconfirmed — no query/page pairing</x:v>
      </x:c>
      <x:c r="O56" s="6" t="str">
        <x:v>Retain established booking / WhatsApp / call path; live behaviour untested</x:v>
      </x:c>
      <x:c r="P56" s="6" t="str">
        <x:v>Retain canonical and indexation policy pending a live check.</x:v>
      </x:c>
      <x:c r="Q56" s="6" t="str">
        <x:v>Proposed; no website change made</x:v>
      </x:c>
      <x:c r="R56" s="14"/>
      <x:c r="S56" s="14"/>
      <x:c r="T56" s="15"/>
      <x:c r="U56" s="16"/>
      <x:c r="V56" s="6" t="str">
        <x:v>https://digitecme.com/ar/blog/how-much-is-my-mercedes-worth-dubai</x:v>
      </x:c>
      <x:c r="W56" s="6" t="str">
        <x:v>Indexable directive</x:v>
      </x:c>
      <x:c r="X56" s="6" t="n">
        <x:v>54</x:v>
      </x:c>
      <x:c r="Y56" s="6" t="str">
        <x:v>كم تبلغ قيمة مرسيدس في دبي؟ | تقييم ومساعدة في البيع</x:v>
      </x:c>
      <x:c r="Z56" s="6" t="str"/>
      <x:c r="AA56" s="6" t="str">
        <x:v>No / not compared</x:v>
      </x:c>
    </x:row>
    <x:row r="57" ht="42" customHeight="1">
      <x:c r="A57" s="6" t="str">
        <x:v>https://digitecme.com/ar/blog/jaguar-best-workshop-dubai</x:v>
      </x:c>
      <x:c r="B57" s="6" t="str"/>
      <x:c r="C57" s="6" t="str"/>
      <x:c r="D57" s="6" t="str">
        <x:v>article</x:v>
      </x:c>
      <x:c r="E57" s="6" t="str">
        <x:v>Retain differentiated role</x:v>
      </x:c>
      <x:c r="F57" s="6" t="str">
        <x:v>Local source render; live version unverified</x:v>
      </x:c>
      <x:c r="G57" s="6" t="str">
        <x:v>ورشة Jaguar في دبي | ديجي-تك</x:v>
      </x:c>
      <x:c r="H57" s="6" t="str">
        <x:v>ورشة Jaguar في دبي | ديجي-تك</x:v>
      </x:c>
      <x:c r="I57" s="6" t="str">
        <x:v>دليل ورشة Jaguar المتخصصة في دبي</x:v>
      </x:c>
      <x:c r="J57" s="6" t="str">
        <x:v>دليل ورشة Jaguar المتخصصة في دبي</x:v>
      </x:c>
      <x:c r="K57" s="6" t="str">
        <x:v>ورشة متخصصة في Jaguar بدبي للفحص والصيانة والإصلاح. احجز لدى ديجي-تك في القوز للحصول على تشخيص واضح وخدمة احترافية.</x:v>
      </x:c>
      <x:c r="L57" s="6" t="str">
        <x:v>Retain pending evidence; no specific content edit justified by this export.</x:v>
      </x:c>
      <x:c r="M57" s="6" t="str">
        <x:v>Retain; inspect relevant context before adding links</x:v>
      </x:c>
      <x:c r="N57" s="6" t="str">
        <x:v>Unconfirmed — no query/page pairing</x:v>
      </x:c>
      <x:c r="O57" s="6" t="str">
        <x:v>Retain established booking / WhatsApp / call path; live behaviour untested</x:v>
      </x:c>
      <x:c r="P57" s="6" t="str">
        <x:v>Retain canonical and indexation policy pending a live check.</x:v>
      </x:c>
      <x:c r="Q57" s="6" t="str">
        <x:v>Proposed; no website change made</x:v>
      </x:c>
      <x:c r="R57" s="14" t="n">
        <x:v>0</x:v>
      </x:c>
      <x:c r="S57" s="14" t="n">
        <x:v>2</x:v>
      </x:c>
      <x:c r="T57" s="15" t="n">
        <x:v>0</x:v>
      </x:c>
      <x:c r="U57" s="16" t="n">
        <x:v>5</x:v>
      </x:c>
      <x:c r="V57" s="6" t="str">
        <x:v>https://digitecme.com/ar/blog/jaguar-best-workshop-dubai</x:v>
      </x:c>
      <x:c r="W57" s="6" t="str">
        <x:v>Indexable directive</x:v>
      </x:c>
      <x:c r="X57" s="6" t="n">
        <x:v>4</x:v>
      </x:c>
      <x:c r="Y57" s="6" t="str">
        <x:v>ورشة Jaguar في دبي | ديجي-تك</x:v>
      </x:c>
      <x:c r="Z57" s="6" t="str"/>
      <x:c r="AA57" s="6" t="str">
        <x:v>No / not compared</x:v>
      </x:c>
    </x:row>
    <x:row r="58" ht="42" customHeight="1">
      <x:c r="A58" s="6" t="str">
        <x:v>https://digitecme.com/ar/blog/lamborghini-maintenance-guide-dubai</x:v>
      </x:c>
      <x:c r="B58" s="6" t="str"/>
      <x:c r="C58" s="6" t="str"/>
      <x:c r="D58" s="6" t="str">
        <x:v>article</x:v>
      </x:c>
      <x:c r="E58" s="6" t="str">
        <x:v>Retain differentiated role</x:v>
      </x:c>
      <x:c r="F58" s="6" t="str">
        <x:v>Local source render; live version unverified</x:v>
      </x:c>
      <x:c r="G58" s="6" t="str">
        <x:v>ورشة Lamborghini في دبي | ديجي-تك</x:v>
      </x:c>
      <x:c r="H58" s="6" t="str">
        <x:v>ورشة Lamborghini في دبي | ديجي-تك</x:v>
      </x:c>
      <x:c r="I58" s="6" t="str">
        <x:v>دليل ورشة Lamborghini المتخصصة في دبي</x:v>
      </x:c>
      <x:c r="J58" s="6" t="str">
        <x:v>دليل ورشة Lamborghini المتخصصة في دبي</x:v>
      </x:c>
      <x:c r="K58" s="6" t="str">
        <x:v>ورشة متخصصة في Lamborghini بدبي للفحص والصيانة والإصلاح. احجز لدى ديجي-تك في القوز للحصول على تشخيص واضح وخدمة احترافية.</x:v>
      </x:c>
      <x:c r="L58" s="6" t="str">
        <x:v>Retain pending evidence; no specific content edit justified by this export.</x:v>
      </x:c>
      <x:c r="M58" s="6" t="str">
        <x:v>Retain; inspect relevant context before adding links</x:v>
      </x:c>
      <x:c r="N58" s="6" t="str">
        <x:v>Unconfirmed — no query/page pairing</x:v>
      </x:c>
      <x:c r="O58" s="6" t="str">
        <x:v>Retain established booking / WhatsApp / call path; live behaviour untested</x:v>
      </x:c>
      <x:c r="P58" s="6" t="str">
        <x:v>Retain canonical and indexation policy pending a live check.</x:v>
      </x:c>
      <x:c r="Q58" s="6" t="str">
        <x:v>Proposed; no website change made</x:v>
      </x:c>
      <x:c r="R58" s="14" t="n">
        <x:v>0</x:v>
      </x:c>
      <x:c r="S58" s="14" t="n">
        <x:v>4</x:v>
      </x:c>
      <x:c r="T58" s="15" t="n">
        <x:v>0</x:v>
      </x:c>
      <x:c r="U58" s="16" t="n">
        <x:v>5</x:v>
      </x:c>
      <x:c r="V58" s="6" t="str">
        <x:v>https://digitecme.com/ar/blog/lamborghini-maintenance-guide-dubai</x:v>
      </x:c>
      <x:c r="W58" s="6" t="str">
        <x:v>Indexable directive</x:v>
      </x:c>
      <x:c r="X58" s="6" t="n">
        <x:v>4</x:v>
      </x:c>
      <x:c r="Y58" s="6" t="str">
        <x:v>ورشة Lamborghini في دبي | ديجي-تك</x:v>
      </x:c>
      <x:c r="Z58" s="6" t="str"/>
      <x:c r="AA58" s="6" t="str">
        <x:v>No / not compared</x:v>
      </x:c>
    </x:row>
    <x:row r="59" ht="42" customHeight="1">
      <x:c r="A59" s="6" t="str">
        <x:v>https://digitecme.com/ar/blog/lamborghini-urus-service-dubai-guide</x:v>
      </x:c>
      <x:c r="B59" s="6" t="str"/>
      <x:c r="C59" s="6" t="str"/>
      <x:c r="D59" s="6" t="str">
        <x:v>article</x:v>
      </x:c>
      <x:c r="E59" s="6" t="str">
        <x:v>Retain differentiated role</x:v>
      </x:c>
      <x:c r="F59" s="6" t="str">
        <x:v>Local source render; live version unverified</x:v>
      </x:c>
      <x:c r="G59" s="6" t="str">
        <x:v>Lamborghini Urus Service Dubai | Maintenance and Repair Guide</x:v>
      </x:c>
      <x:c r="H59" s="6" t="str">
        <x:v>Lamborghini Urus Service Dubai | Maintenance and Repair Guide</x:v>
      </x:c>
      <x:c r="I59" s="6" t="str">
        <x:v>Lamborghini Urus Service in Dubai: Owner Guide</x:v>
      </x:c>
      <x:c r="J59" s="6" t="str">
        <x:v>Lamborghini Urus Service in Dubai: Owner Guide</x:v>
      </x:c>
      <x:c r="K59" s="6" t="str">
        <x:v>Lamborghini Urus service guide for Dubai: model-specific maintenance, eight-speed automatic, brakes, cooling and suspension considerations.</x:v>
      </x:c>
      <x:c r="L59" s="6" t="str">
        <x:v>Retain pending evidence; no specific content edit justified by this export.</x:v>
      </x:c>
      <x:c r="M59" s="6" t="str">
        <x:v>Retain; inspect relevant context before adding links</x:v>
      </x:c>
      <x:c r="N59" s="6" t="str">
        <x:v>Unconfirmed — no query/page pairing</x:v>
      </x:c>
      <x:c r="O59" s="6" t="str">
        <x:v>Retain established booking / WhatsApp / call path; live behaviour untested</x:v>
      </x:c>
      <x:c r="P59" s="6" t="str">
        <x:v>Retain canonical and indexation policy pending a live check.</x:v>
      </x:c>
      <x:c r="Q59" s="6" t="str">
        <x:v>Proposed; no website change made</x:v>
      </x:c>
      <x:c r="R59" s="14"/>
      <x:c r="S59" s="14"/>
      <x:c r="T59" s="15"/>
      <x:c r="U59" s="16"/>
      <x:c r="V59" s="6" t="str">
        <x:v>https://digitecme.com/ar/blog/lamborghini-urus-service-dubai-guide</x:v>
      </x:c>
      <x:c r="W59" s="6" t="str">
        <x:v>Indexable directive</x:v>
      </x:c>
      <x:c r="X59" s="6" t="n">
        <x:v>4</x:v>
      </x:c>
      <x:c r="Y59" s="6" t="str">
        <x:v>Lamborghini Urus Service Dubai | Maintenance and Repair Guide</x:v>
      </x:c>
      <x:c r="Z59" s="6" t="str"/>
      <x:c r="AA59" s="6" t="str">
        <x:v>No / not compared</x:v>
      </x:c>
    </x:row>
    <x:row r="60" ht="42" customHeight="1">
      <x:c r="A60" s="6" t="str">
        <x:v>https://digitecme.com/ar/blog/land-rover-best-workshop-dubai</x:v>
      </x:c>
      <x:c r="B60" s="6" t="str"/>
      <x:c r="C60" s="6" t="str"/>
      <x:c r="D60" s="6" t="str">
        <x:v>article</x:v>
      </x:c>
      <x:c r="E60" s="6" t="str">
        <x:v>Retain differentiated role</x:v>
      </x:c>
      <x:c r="F60" s="6" t="str">
        <x:v>Local source render; live version unverified</x:v>
      </x:c>
      <x:c r="G60" s="6" t="str">
        <x:v>ورشة Land Rover في دبي | ديجي-تك</x:v>
      </x:c>
      <x:c r="H60" s="6" t="str">
        <x:v>ورشة Land Rover في دبي | ديجي-تك</x:v>
      </x:c>
      <x:c r="I60" s="6" t="str">
        <x:v>دليل ورشة Land Rover المتخصصة في دبي</x:v>
      </x:c>
      <x:c r="J60" s="6" t="str">
        <x:v>دليل ورشة Land Rover المتخصصة في دبي</x:v>
      </x:c>
      <x:c r="K60" s="6" t="str">
        <x:v>ورشة متخصصة في Land Rover بدبي للفحص والصيانة والإصلاح. احجز لدى ديجي-تك في القوز للحصول على تشخيص واضح وخدمة احترافية.</x:v>
      </x:c>
      <x:c r="L60" s="6" t="str">
        <x:v>Retain pending evidence; no specific content edit justified by this export.</x:v>
      </x:c>
      <x:c r="M60" s="6" t="str">
        <x:v>Retain; inspect relevant context before adding links</x:v>
      </x:c>
      <x:c r="N60" s="6" t="str">
        <x:v>Unconfirmed — no query/page pairing</x:v>
      </x:c>
      <x:c r="O60" s="6" t="str">
        <x:v>Retain established booking / WhatsApp / call path; live behaviour untested</x:v>
      </x:c>
      <x:c r="P60" s="6" t="str">
        <x:v>Retain canonical and indexation policy pending a live check.</x:v>
      </x:c>
      <x:c r="Q60" s="6" t="str">
        <x:v>Proposed; no website change made</x:v>
      </x:c>
      <x:c r="R60" s="14" t="n">
        <x:v>0</x:v>
      </x:c>
      <x:c r="S60" s="14" t="n">
        <x:v>3</x:v>
      </x:c>
      <x:c r="T60" s="15" t="n">
        <x:v>0</x:v>
      </x:c>
      <x:c r="U60" s="16" t="n">
        <x:v>7</x:v>
      </x:c>
      <x:c r="V60" s="6" t="str">
        <x:v>https://digitecme.com/ar/blog/land-rover-best-workshop-dubai</x:v>
      </x:c>
      <x:c r="W60" s="6" t="str">
        <x:v>Indexable directive</x:v>
      </x:c>
      <x:c r="X60" s="6" t="n">
        <x:v>4</x:v>
      </x:c>
      <x:c r="Y60" s="6" t="str">
        <x:v>ورشة Land Rover في دبي | ديجي-تك</x:v>
      </x:c>
      <x:c r="Z60" s="6" t="str"/>
      <x:c r="AA60" s="6" t="str">
        <x:v>No / not compared</x:v>
      </x:c>
    </x:row>
    <x:row r="61" ht="42" customHeight="1">
      <x:c r="A61" s="6" t="str">
        <x:v>https://digitecme.com/ar/blog/lexus-best-workshop-dubai</x:v>
      </x:c>
      <x:c r="B61" s="6" t="str"/>
      <x:c r="C61" s="6" t="str"/>
      <x:c r="D61" s="6" t="str">
        <x:v>article</x:v>
      </x:c>
      <x:c r="E61" s="6" t="str">
        <x:v>Retain differentiated role</x:v>
      </x:c>
      <x:c r="F61" s="6" t="str">
        <x:v>Local source render; live version unverified</x:v>
      </x:c>
      <x:c r="G61" s="6" t="str">
        <x:v>ورشة Lexus في دبي | ديجي-تك</x:v>
      </x:c>
      <x:c r="H61" s="6" t="str">
        <x:v>ورشة Lexus في دبي | ديجي-تك</x:v>
      </x:c>
      <x:c r="I61" s="6" t="str">
        <x:v>دليل ورشة Lexus المتخصصة في دبي</x:v>
      </x:c>
      <x:c r="J61" s="6" t="str">
        <x:v>دليل ورشة Lexus المتخصصة في دبي</x:v>
      </x:c>
      <x:c r="K61" s="6" t="str">
        <x:v>ورشة متخصصة في Lexus بدبي للفحص والصيانة والإصلاح. احجز لدى ديجي-تك في القوز للحصول على تشخيص واضح وخدمة احترافية.</x:v>
      </x:c>
      <x:c r="L61" s="6" t="str">
        <x:v>Retain pending evidence; no specific content edit justified by this export.</x:v>
      </x:c>
      <x:c r="M61" s="6" t="str">
        <x:v>Retain; inspect relevant context before adding links</x:v>
      </x:c>
      <x:c r="N61" s="6" t="str">
        <x:v>Unconfirmed — no query/page pairing</x:v>
      </x:c>
      <x:c r="O61" s="6" t="str">
        <x:v>Retain established booking / WhatsApp / call path; live behaviour untested</x:v>
      </x:c>
      <x:c r="P61" s="6" t="str">
        <x:v>Retain canonical and indexation policy pending a live check.</x:v>
      </x:c>
      <x:c r="Q61" s="6" t="str">
        <x:v>Proposed; no website change made</x:v>
      </x:c>
      <x:c r="R61" s="14" t="n">
        <x:v>0</x:v>
      </x:c>
      <x:c r="S61" s="14" t="n">
        <x:v>7</x:v>
      </x:c>
      <x:c r="T61" s="15" t="n">
        <x:v>0</x:v>
      </x:c>
      <x:c r="U61" s="16" t="n">
        <x:v>9.29</x:v>
      </x:c>
      <x:c r="V61" s="6" t="str">
        <x:v>https://digitecme.com/ar/blog/lexus-best-workshop-dubai</x:v>
      </x:c>
      <x:c r="W61" s="6" t="str">
        <x:v>Indexable directive</x:v>
      </x:c>
      <x:c r="X61" s="6" t="n">
        <x:v>4</x:v>
      </x:c>
      <x:c r="Y61" s="6" t="str">
        <x:v>ورشة Lexus في دبي | ديجي-تك</x:v>
      </x:c>
      <x:c r="Z61" s="6" t="str"/>
      <x:c r="AA61" s="6" t="str">
        <x:v>No / not compared</x:v>
      </x:c>
    </x:row>
    <x:row r="62" ht="42" customHeight="1">
      <x:c r="A62" s="6" t="str">
        <x:v>https://digitecme.com/ar/blog/maserati-best-workshop-dubai</x:v>
      </x:c>
      <x:c r="B62" s="6" t="str"/>
      <x:c r="C62" s="6" t="str"/>
      <x:c r="D62" s="6" t="str">
        <x:v>article</x:v>
      </x:c>
      <x:c r="E62" s="6" t="str">
        <x:v>Retain differentiated role</x:v>
      </x:c>
      <x:c r="F62" s="6" t="str">
        <x:v>Local source render; live version unverified</x:v>
      </x:c>
      <x:c r="G62" s="6" t="str">
        <x:v>ورشة Maserati في دبي | ديجي-تك</x:v>
      </x:c>
      <x:c r="H62" s="6" t="str">
        <x:v>ورشة Maserati في دبي | ديجي-تك</x:v>
      </x:c>
      <x:c r="I62" s="6" t="str">
        <x:v>دليل ورشة Maserati المتخصصة في دبي</x:v>
      </x:c>
      <x:c r="J62" s="6" t="str">
        <x:v>دليل ورشة Maserati المتخصصة في دبي</x:v>
      </x:c>
      <x:c r="K62" s="6" t="str">
        <x:v>ورشة متخصصة في Maserati بدبي للفحص والصيانة والإصلاح. احجز لدى ديجي-تك في القوز للحصول على تشخيص واضح وخدمة احترافية.</x:v>
      </x:c>
      <x:c r="L62" s="6" t="str">
        <x:v>Retain pending evidence; no specific content edit justified by this export.</x:v>
      </x:c>
      <x:c r="M62" s="6" t="str">
        <x:v>Retain; inspect relevant context before adding links</x:v>
      </x:c>
      <x:c r="N62" s="6" t="str">
        <x:v>Unconfirmed — no query/page pairing</x:v>
      </x:c>
      <x:c r="O62" s="6" t="str">
        <x:v>Retain established booking / WhatsApp / call path; live behaviour untested</x:v>
      </x:c>
      <x:c r="P62" s="6" t="str">
        <x:v>Retain canonical and indexation policy pending a live check.</x:v>
      </x:c>
      <x:c r="Q62" s="6" t="str">
        <x:v>Proposed; no website change made</x:v>
      </x:c>
      <x:c r="R62" s="14" t="n">
        <x:v>0</x:v>
      </x:c>
      <x:c r="S62" s="14" t="n">
        <x:v>26</x:v>
      </x:c>
      <x:c r="T62" s="15" t="n">
        <x:v>0</x:v>
      </x:c>
      <x:c r="U62" s="16" t="n">
        <x:v>38.73</x:v>
      </x:c>
      <x:c r="V62" s="6" t="str">
        <x:v>https://digitecme.com/ar/blog/maserati-best-workshop-dubai</x:v>
      </x:c>
      <x:c r="W62" s="6" t="str">
        <x:v>Indexable directive</x:v>
      </x:c>
      <x:c r="X62" s="6" t="n">
        <x:v>4</x:v>
      </x:c>
      <x:c r="Y62" s="6" t="str">
        <x:v>ورشة Maserati في دبي | ديجي-تك</x:v>
      </x:c>
      <x:c r="Z62" s="6" t="str"/>
      <x:c r="AA62" s="6" t="str">
        <x:v>No / not compared</x:v>
      </x:c>
    </x:row>
    <x:row r="63" ht="42" customHeight="1">
      <x:c r="A63" s="6" t="str">
        <x:v>https://digitecme.com/ar/blog/maybach-best-workshop-dubai</x:v>
      </x:c>
      <x:c r="B63" s="6" t="str"/>
      <x:c r="C63" s="6" t="str"/>
      <x:c r="D63" s="6" t="str">
        <x:v>article</x:v>
      </x:c>
      <x:c r="E63" s="6" t="str">
        <x:v>Retain differentiated role</x:v>
      </x:c>
      <x:c r="F63" s="6" t="str">
        <x:v>Local source render; live version unverified</x:v>
      </x:c>
      <x:c r="G63" s="6" t="str">
        <x:v>ورشة Maybach في دبي | ديجي-تك</x:v>
      </x:c>
      <x:c r="H63" s="6" t="str">
        <x:v>ورشة Maybach في دبي | ديجي-تك</x:v>
      </x:c>
      <x:c r="I63" s="6" t="str">
        <x:v>دليل ورشة Maybach المتخصصة في دبي</x:v>
      </x:c>
      <x:c r="J63" s="6" t="str">
        <x:v>دليل ورشة Maybach المتخصصة في دبي</x:v>
      </x:c>
      <x:c r="K63" s="6" t="str">
        <x:v>ورشة متخصصة في Maybach بدبي للفحص والصيانة والإصلاح. احجز لدى ديجي-تك في القوز للحصول على تشخيص واضح وخدمة احترافية.</x:v>
      </x:c>
      <x:c r="L63" s="6" t="str">
        <x:v>Retain pending evidence; no specific content edit justified by this export.</x:v>
      </x:c>
      <x:c r="M63" s="6" t="str">
        <x:v>Retain; inspect relevant context before adding links</x:v>
      </x:c>
      <x:c r="N63" s="6" t="str">
        <x:v>Unconfirmed — no query/page pairing</x:v>
      </x:c>
      <x:c r="O63" s="6" t="str">
        <x:v>Retain established booking / WhatsApp / call path; live behaviour untested</x:v>
      </x:c>
      <x:c r="P63" s="6" t="str">
        <x:v>Retain canonical and indexation policy pending a live check.</x:v>
      </x:c>
      <x:c r="Q63" s="6" t="str">
        <x:v>Proposed; no website change made</x:v>
      </x:c>
      <x:c r="R63" s="14" t="n">
        <x:v>1</x:v>
      </x:c>
      <x:c r="S63" s="14" t="n">
        <x:v>3</x:v>
      </x:c>
      <x:c r="T63" s="15" t="n">
        <x:v>0.3333</x:v>
      </x:c>
      <x:c r="U63" s="16" t="n">
        <x:v>9.33</x:v>
      </x:c>
      <x:c r="V63" s="6" t="str">
        <x:v>https://digitecme.com/ar/blog/maybach-best-workshop-dubai</x:v>
      </x:c>
      <x:c r="W63" s="6" t="str">
        <x:v>Indexable directive</x:v>
      </x:c>
      <x:c r="X63" s="6" t="n">
        <x:v>27</x:v>
      </x:c>
      <x:c r="Y63" s="6" t="str">
        <x:v>ورشة Maybach في دبي | ديجي-تك</x:v>
      </x:c>
      <x:c r="Z63" s="6" t="str"/>
      <x:c r="AA63" s="6" t="str">
        <x:v>No / not compared</x:v>
      </x:c>
    </x:row>
    <x:row r="64" ht="57" customHeight="1">
      <x:c r="A64" s="6" t="str">
        <x:v>https://digitecme.com/ar/blog/maybach-s580-service-dubai-guide</x:v>
      </x:c>
      <x:c r="B64" s="6" t="str"/>
      <x:c r="C64" s="6" t="str"/>
      <x:c r="D64" s="6" t="str">
        <x:v>article</x:v>
      </x:c>
      <x:c r="E64" s="6" t="str">
        <x:v>Retain differentiated role</x:v>
      </x:c>
      <x:c r="F64" s="6" t="str">
        <x:v>Local source render; live version unverified</x:v>
      </x:c>
      <x:c r="G64" s="6" t="str">
        <x:v>Maybach Service Dubai | Mercedes-Maybach Maintenance Guide</x:v>
      </x:c>
      <x:c r="H64" s="6" t="str">
        <x:v>Maybach Service Dubai | Mercedes-Maybach Maintenance Guide</x:v>
      </x:c>
      <x:c r="I64" s="6" t="str">
        <x:v>Mercedes-Maybach Service in Dubai: Owner Guide</x:v>
      </x:c>
      <x:c r="J64" s="6" t="str">
        <x:v>Mercedes-Maybach Service in Dubai: Owner Guide</x:v>
      </x:c>
      <x:c r="K64" s="6" t="str">
        <x:v>Mercedes-Maybach service in Dubai: AIRMATIC and E-ACTIVE suspension, cooling, rear cabin electronics, brakes and XENTRY diagnostics explained.</x:v>
      </x:c>
      <x:c r="L64" s="6" t="str">
        <x:v>Retain pending evidence; no specific content edit justified by this export.</x:v>
      </x:c>
      <x:c r="M64" s="6" t="str">
        <x:v>Retain; inspect relevant context before adding links</x:v>
      </x:c>
      <x:c r="N64" s="6" t="str">
        <x:v>Unconfirmed — no query/page pairing</x:v>
      </x:c>
      <x:c r="O64" s="6" t="str">
        <x:v>Retain established booking / WhatsApp / call path; live behaviour untested</x:v>
      </x:c>
      <x:c r="P64" s="6" t="str">
        <x:v>Retain canonical and indexation policy pending a live check.</x:v>
      </x:c>
      <x:c r="Q64" s="6" t="str">
        <x:v>Proposed; no website change made</x:v>
      </x:c>
      <x:c r="R64" s="14"/>
      <x:c r="S64" s="14"/>
      <x:c r="T64" s="15"/>
      <x:c r="U64" s="16"/>
      <x:c r="V64" s="6" t="str">
        <x:v>https://digitecme.com/ar/blog/maybach-s580-service-dubai-guide</x:v>
      </x:c>
      <x:c r="W64" s="6" t="str">
        <x:v>Indexable directive</x:v>
      </x:c>
      <x:c r="X64" s="6" t="n">
        <x:v>4</x:v>
      </x:c>
      <x:c r="Y64" s="6" t="str">
        <x:v>Maybach Service Dubai | Mercedes-Maybach Maintenance Guide</x:v>
      </x:c>
      <x:c r="Z64" s="6" t="str"/>
      <x:c r="AA64" s="6" t="str">
        <x:v>No / not compared</x:v>
      </x:c>
    </x:row>
    <x:row r="65" ht="42" customHeight="1">
      <x:c r="A65" s="6" t="str">
        <x:v>https://digitecme.com/ar/blog/mclaren-720s-service-dubai-guide</x:v>
      </x:c>
      <x:c r="B65" s="6" t="str"/>
      <x:c r="C65" s="6" t="str"/>
      <x:c r="D65" s="6" t="str">
        <x:v>article</x:v>
      </x:c>
      <x:c r="E65" s="6" t="str">
        <x:v>Retain differentiated role</x:v>
      </x:c>
      <x:c r="F65" s="6" t="str">
        <x:v>Local source render; live version unverified</x:v>
      </x:c>
      <x:c r="G65" s="6" t="str">
        <x:v>McLaren 720S Service Dubai | Maintenance and Inspection Guide</x:v>
      </x:c>
      <x:c r="H65" s="6" t="str">
        <x:v>McLaren 720S Service Dubai | Maintenance and Inspection Guide</x:v>
      </x:c>
      <x:c r="I65" s="6" t="str">
        <x:v>McLaren 720S Service in Dubai: Owner Maintenance Guide</x:v>
      </x:c>
      <x:c r="J65" s="6" t="str">
        <x:v>McLaren 720S Service in Dubai: Owner Maintenance Guide</x:v>
      </x:c>
      <x:c r="K65" s="6" t="str">
        <x:v>McLaren 720S service in Dubai: annual service scope, hydraulic suspension, cooling, brakes, tyres and diagnostics explained for owners.</x:v>
      </x:c>
      <x:c r="L65" s="6" t="str">
        <x:v>Retain pending evidence; no specific content edit justified by this export.</x:v>
      </x:c>
      <x:c r="M65" s="6" t="str">
        <x:v>Retain; inspect relevant context before adding links</x:v>
      </x:c>
      <x:c r="N65" s="6" t="str">
        <x:v>Unconfirmed — no query/page pairing</x:v>
      </x:c>
      <x:c r="O65" s="6" t="str">
        <x:v>Retain established booking / WhatsApp / call path; live behaviour untested</x:v>
      </x:c>
      <x:c r="P65" s="6" t="str">
        <x:v>Retain canonical and indexation policy pending a live check.</x:v>
      </x:c>
      <x:c r="Q65" s="6" t="str">
        <x:v>Proposed; no website change made</x:v>
      </x:c>
      <x:c r="R65" s="14"/>
      <x:c r="S65" s="14"/>
      <x:c r="T65" s="15"/>
      <x:c r="U65" s="16"/>
      <x:c r="V65" s="6" t="str">
        <x:v>https://digitecme.com/ar/blog/mclaren-720s-service-dubai-guide</x:v>
      </x:c>
      <x:c r="W65" s="6" t="str">
        <x:v>Indexable directive</x:v>
      </x:c>
      <x:c r="X65" s="6" t="n">
        <x:v>4</x:v>
      </x:c>
      <x:c r="Y65" s="6" t="str">
        <x:v>McLaren 720S Service Dubai | Maintenance and Inspection Guide</x:v>
      </x:c>
      <x:c r="Z65" s="6" t="str"/>
      <x:c r="AA65" s="6" t="str">
        <x:v>No / not compared</x:v>
      </x:c>
    </x:row>
    <x:row r="66" ht="42" customHeight="1">
      <x:c r="A66" s="6" t="str">
        <x:v>https://digitecme.com/ar/blog/mclaren-best-workshop-dubai</x:v>
      </x:c>
      <x:c r="B66" s="6" t="str"/>
      <x:c r="C66" s="6" t="str"/>
      <x:c r="D66" s="6" t="str">
        <x:v>article</x:v>
      </x:c>
      <x:c r="E66" s="6" t="str">
        <x:v>Retain differentiated role</x:v>
      </x:c>
      <x:c r="F66" s="6" t="str">
        <x:v>Local source render; live version unverified</x:v>
      </x:c>
      <x:c r="G66" s="6" t="str">
        <x:v>ورشة McLaren في دبي | ديجي-تك</x:v>
      </x:c>
      <x:c r="H66" s="6" t="str">
        <x:v>ورشة McLaren في دبي | ديجي-تك</x:v>
      </x:c>
      <x:c r="I66" s="6" t="str">
        <x:v>دليل ورشة McLaren المتخصصة في دبي</x:v>
      </x:c>
      <x:c r="J66" s="6" t="str">
        <x:v>دليل ورشة McLaren المتخصصة في دبي</x:v>
      </x:c>
      <x:c r="K66" s="6" t="str">
        <x:v>ورشة متخصصة في McLaren بدبي للفحص والصيانة والإصلاح. احجز لدى ديجي-تك في القوز للحصول على تشخيص واضح وخدمة احترافية.</x:v>
      </x:c>
      <x:c r="L66" s="6" t="str">
        <x:v>Retain pending evidence; no specific content edit justified by this export.</x:v>
      </x:c>
      <x:c r="M66" s="6" t="str">
        <x:v>Retain; inspect relevant context before adding links</x:v>
      </x:c>
      <x:c r="N66" s="6" t="str">
        <x:v>Unconfirmed — no query/page pairing</x:v>
      </x:c>
      <x:c r="O66" s="6" t="str">
        <x:v>Retain established booking / WhatsApp / call path; live behaviour untested</x:v>
      </x:c>
      <x:c r="P66" s="6" t="str">
        <x:v>Retain canonical and indexation policy pending a live check.</x:v>
      </x:c>
      <x:c r="Q66" s="6" t="str">
        <x:v>Proposed; no website change made</x:v>
      </x:c>
      <x:c r="R66" s="14" t="n">
        <x:v>0</x:v>
      </x:c>
      <x:c r="S66" s="14" t="n">
        <x:v>3</x:v>
      </x:c>
      <x:c r="T66" s="15" t="n">
        <x:v>0</x:v>
      </x:c>
      <x:c r="U66" s="16" t="n">
        <x:v>6.33</x:v>
      </x:c>
      <x:c r="V66" s="6" t="str">
        <x:v>https://digitecme.com/ar/blog/mclaren-best-workshop-dubai</x:v>
      </x:c>
      <x:c r="W66" s="6" t="str">
        <x:v>Indexable directive</x:v>
      </x:c>
      <x:c r="X66" s="6" t="n">
        <x:v>4</x:v>
      </x:c>
      <x:c r="Y66" s="6" t="str">
        <x:v>ورشة McLaren في دبي | ديجي-تك</x:v>
      </x:c>
      <x:c r="Z66" s="6" t="str"/>
      <x:c r="AA66" s="6" t="str">
        <x:v>No / not compared</x:v>
      </x:c>
    </x:row>
    <x:row r="67" ht="42" customHeight="1">
      <x:c r="A67" s="6" t="str">
        <x:v>https://digitecme.com/ar/blog/mercedes-amg-gt-black-series-1300hp-build-dubai</x:v>
      </x:c>
      <x:c r="B67" s="6" t="str"/>
      <x:c r="C67" s="6" t="str"/>
      <x:c r="D67" s="6" t="str">
        <x:v>article</x:v>
      </x:c>
      <x:c r="E67" s="6" t="str">
        <x:v>Retain differentiated role</x:v>
      </x:c>
      <x:c r="F67" s="6" t="str">
        <x:v>Local source render; live version unverified</x:v>
      </x:c>
      <x:c r="G67" s="6" t="str">
        <x:v>مشروع GT Black Series بقوة 1300 حصان في دبي | ديجي-تك</x:v>
      </x:c>
      <x:c r="H67" s="6" t="str">
        <x:v>مشروع GT Black Series بقوة 1300 حصان في دبي | ديجي-تك</x:v>
      </x:c>
      <x:c r="I67" s="6" t="str">
        <x:v>مرسيدس AMG GT Black Series: مشروع مخصص من 730 إلى 1300 حصان</x:v>
      </x:c>
      <x:c r="J67" s="6" t="str">
        <x:v>مرسيدس AMG GT Black Series: مشروع مخصص من 730 إلى 1300 حصان</x:v>
      </x:c>
      <x:c r="K67" s="6" t="str">
        <x:v>شاهد مشروع مرسيدس AMG GT Black Series المخصص في دبي لدى ديجي-تك، من قوة المصنع 730 حصان إلى مواصفات مشروع 1300 حصان مع برمجة ECU مخصصة.</x:v>
      </x:c>
      <x:c r="L67" s="6" t="str">
        <x:v>Retain pending evidence; no specific content edit justified by this export.</x:v>
      </x:c>
      <x:c r="M67" s="6" t="str">
        <x:v>Retain; inspect relevant context before adding links</x:v>
      </x:c>
      <x:c r="N67" s="6" t="str">
        <x:v>Unconfirmed — no query/page pairing</x:v>
      </x:c>
      <x:c r="O67" s="6" t="str">
        <x:v>Retain established booking / WhatsApp / call path; live behaviour untested</x:v>
      </x:c>
      <x:c r="P67" s="6" t="str">
        <x:v>Retain canonical and indexation policy pending a live check.</x:v>
      </x:c>
      <x:c r="Q67" s="6" t="str">
        <x:v>Proposed; no website change made</x:v>
      </x:c>
      <x:c r="R67" s="14" t="n">
        <x:v>0</x:v>
      </x:c>
      <x:c r="S67" s="14" t="n">
        <x:v>3</x:v>
      </x:c>
      <x:c r="T67" s="15" t="n">
        <x:v>0</x:v>
      </x:c>
      <x:c r="U67" s="16" t="n">
        <x:v>8.33</x:v>
      </x:c>
      <x:c r="V67" s="6" t="str">
        <x:v>https://digitecme.com/ar/blog/mercedes-amg-gt-black-series-1300hp-build-dubai</x:v>
      </x:c>
      <x:c r="W67" s="6" t="str">
        <x:v>Indexable directive</x:v>
      </x:c>
      <x:c r="X67" s="6" t="n">
        <x:v>4</x:v>
      </x:c>
      <x:c r="Y67" s="6" t="str">
        <x:v>مشروع GT Black Series بقوة 1300 حصان في دبي | ديجي-تك</x:v>
      </x:c>
      <x:c r="Z67" s="6" t="str"/>
      <x:c r="AA67" s="6" t="str">
        <x:v>No / not compared</x:v>
      </x:c>
    </x:row>
    <x:row r="68" ht="57" customHeight="1">
      <x:c r="A68" s="6" t="str">
        <x:v>https://digitecme.com/ar/blog/mercedes-amg-gt-tuning-dubai</x:v>
      </x:c>
      <x:c r="B68" s="6" t="str"/>
      <x:c r="C68" s="6" t="str"/>
      <x:c r="D68" s="6" t="str">
        <x:v>article</x:v>
      </x:c>
      <x:c r="E68" s="6" t="str">
        <x:v>Retain differentiated role</x:v>
      </x:c>
      <x:c r="F68" s="6" t="str">
        <x:v>Local source render; live version unverified</x:v>
      </x:c>
      <x:c r="G68" s="6" t="str">
        <x:v>Mercedes AMG GT Tuning Dubai | Vehicle-Specific Guide</x:v>
      </x:c>
      <x:c r="H68" s="6" t="str">
        <x:v>Mercedes AMG GT Tuning Dubai | Vehicle-Specific Guide</x:v>
      </x:c>
      <x:c r="I68" s="6" t="str">
        <x:v>Mercedes-AMG GT Tuning in Dubai: A Complete Upgrade Guide</x:v>
      </x:c>
      <x:c r="J68" s="6" t="str">
        <x:v>Mercedes-AMG GT Tuning in Dubai: A Complete Upgrade Guide</x:v>
      </x:c>
      <x:c r="K68" s="6" t="str">
        <x:v>A complete Mercedes-AMG GT tuning guide for Dubai: ECU calibration, downpipes, intercooling, turbo upgrades and the supporting work the M178 V8 needs in UAE heat.</x:v>
      </x:c>
      <x:c r="L68" s="6" t="str">
        <x:v>Retain pending evidence; no specific content edit justified by this export.</x:v>
      </x:c>
      <x:c r="M68" s="6" t="str">
        <x:v>Retain; inspect relevant context before adding links</x:v>
      </x:c>
      <x:c r="N68" s="6" t="str">
        <x:v>Unconfirmed — no query/page pairing</x:v>
      </x:c>
      <x:c r="O68" s="6" t="str">
        <x:v>Retain established booking / WhatsApp / call path; live behaviour untested</x:v>
      </x:c>
      <x:c r="P68" s="6" t="str">
        <x:v>Retain canonical and indexation policy pending a live check.</x:v>
      </x:c>
      <x:c r="Q68" s="6" t="str">
        <x:v>Proposed; no website change made</x:v>
      </x:c>
      <x:c r="R68" s="14"/>
      <x:c r="S68" s="14"/>
      <x:c r="T68" s="15"/>
      <x:c r="U68" s="16"/>
      <x:c r="V68" s="6" t="str">
        <x:v>https://digitecme.com/ar/blog/mercedes-amg-gt-tuning-dubai</x:v>
      </x:c>
      <x:c r="W68" s="6" t="str">
        <x:v>Indexable directive</x:v>
      </x:c>
      <x:c r="X68" s="6" t="n">
        <x:v>4</x:v>
      </x:c>
      <x:c r="Y68" s="6" t="str">
        <x:v>Mercedes AMG GT Tuning Dubai | Vehicle-Specific Guide</x:v>
      </x:c>
      <x:c r="Z68" s="6" t="str"/>
      <x:c r="AA68" s="6" t="str">
        <x:v>No / not compared</x:v>
      </x:c>
    </x:row>
    <x:row r="69" ht="42" customHeight="1">
      <x:c r="A69" s="6" t="str">
        <x:v>https://digitecme.com/ar/blog/mercedes-benz-maintenance-guide-dubai</x:v>
      </x:c>
      <x:c r="B69" s="6" t="str"/>
      <x:c r="C69" s="6" t="str"/>
      <x:c r="D69" s="6" t="str">
        <x:v>article</x:v>
      </x:c>
      <x:c r="E69" s="6" t="str">
        <x:v>Retain differentiated role</x:v>
      </x:c>
      <x:c r="F69" s="6" t="str">
        <x:v>Local source render; live version unverified</x:v>
      </x:c>
      <x:c r="G69" s="6" t="str">
        <x:v>ورشة Mercedes-Benz في دبي | ديجي-تك</x:v>
      </x:c>
      <x:c r="H69" s="6" t="str">
        <x:v>ورشة Mercedes-Benz في دبي | ديجي-تك</x:v>
      </x:c>
      <x:c r="I69" s="6" t="str">
        <x:v>دليل ورشة Mercedes-Benz المتخصصة في دبي</x:v>
      </x:c>
      <x:c r="J69" s="6" t="str">
        <x:v>دليل ورشة Mercedes-Benz المتخصصة في دبي</x:v>
      </x:c>
      <x:c r="K69" s="6" t="str">
        <x:v>ورشة متخصصة في Mercedes-Benz بدبي للفحص والصيانة والإصلاح. احجز لدى ديجي-تك في القوز للحصول على تشخيص واضح وخدمة احترافية.</x:v>
      </x:c>
      <x:c r="L69" s="6" t="str">
        <x:v>Retain pending evidence; no specific content edit justified by this export.</x:v>
      </x:c>
      <x:c r="M69" s="6" t="str">
        <x:v>Retain; inspect relevant context before adding links</x:v>
      </x:c>
      <x:c r="N69" s="6" t="str">
        <x:v>Unconfirmed — no query/page pairing</x:v>
      </x:c>
      <x:c r="O69" s="6" t="str">
        <x:v>Retain established booking / WhatsApp / call path; live behaviour untested</x:v>
      </x:c>
      <x:c r="P69" s="6" t="str">
        <x:v>Retain canonical and indexation policy pending a live check.</x:v>
      </x:c>
      <x:c r="Q69" s="6" t="str">
        <x:v>Proposed; no website change made</x:v>
      </x:c>
      <x:c r="R69" s="14" t="n">
        <x:v>1</x:v>
      </x:c>
      <x:c r="S69" s="14" t="n">
        <x:v>59</x:v>
      </x:c>
      <x:c r="T69" s="15" t="n">
        <x:v>0.0169</x:v>
      </x:c>
      <x:c r="U69" s="16" t="n">
        <x:v>8.63</x:v>
      </x:c>
      <x:c r="V69" s="6" t="str">
        <x:v>https://digitecme.com/ar/blog/mercedes-benz-maintenance-guide-dubai</x:v>
      </x:c>
      <x:c r="W69" s="6" t="str">
        <x:v>Indexable directive</x:v>
      </x:c>
      <x:c r="X69" s="6" t="n">
        <x:v>27</x:v>
      </x:c>
      <x:c r="Y69" s="6" t="str">
        <x:v>ورشة Mercedes-Benz في دبي | ديجي-تك</x:v>
      </x:c>
      <x:c r="Z69" s="6" t="str"/>
      <x:c r="AA69" s="6" t="str">
        <x:v>No / not compared</x:v>
      </x:c>
    </x:row>
    <x:row r="70" ht="57" customHeight="1">
      <x:c r="A70" s="6" t="str">
        <x:v>https://digitecme.com/ar/blog/mercedes-c-class-service-dubai-guide</x:v>
      </x:c>
      <x:c r="B70" s="6" t="str"/>
      <x:c r="C70" s="6" t="str"/>
      <x:c r="D70" s="6" t="str">
        <x:v>article</x:v>
      </x:c>
      <x:c r="E70" s="6" t="str">
        <x:v>Retain differentiated role</x:v>
      </x:c>
      <x:c r="F70" s="6" t="str">
        <x:v>Local source render; live version unverified</x:v>
      </x:c>
      <x:c r="G70" s="6" t="str">
        <x:v>Mercedes C-Class Service Dubai | Owner Maintenance Guide</x:v>
      </x:c>
      <x:c r="H70" s="6" t="str">
        <x:v>Mercedes C-Class Service Dubai | Owner Maintenance Guide</x:v>
      </x:c>
      <x:c r="I70" s="6" t="str">
        <x:v>Mercedes C-Class Service in Dubai: What to Expect</x:v>
      </x:c>
      <x:c r="J70" s="6" t="str">
        <x:v>Mercedes C-Class Service in Dubai: What to Expect</x:v>
      </x:c>
      <x:c r="K70" s="6" t="str">
        <x:v>Mercedes C-Class service in Dubai: oil specification, Service A and B scope, brakes, transmission fluid, AC performance and XENTRY diagnostics explained.</x:v>
      </x:c>
      <x:c r="L70" s="6" t="str">
        <x:v>Retain pending evidence; no specific content edit justified by this export.</x:v>
      </x:c>
      <x:c r="M70" s="6" t="str">
        <x:v>Retain; inspect relevant context before adding links</x:v>
      </x:c>
      <x:c r="N70" s="6" t="str">
        <x:v>Unconfirmed — no query/page pairing</x:v>
      </x:c>
      <x:c r="O70" s="6" t="str">
        <x:v>Retain established booking / WhatsApp / call path; live behaviour untested</x:v>
      </x:c>
      <x:c r="P70" s="6" t="str">
        <x:v>Retain canonical and indexation policy pending a live check.</x:v>
      </x:c>
      <x:c r="Q70" s="6" t="str">
        <x:v>Proposed; no website change made</x:v>
      </x:c>
      <x:c r="R70" s="14"/>
      <x:c r="S70" s="14"/>
      <x:c r="T70" s="15"/>
      <x:c r="U70" s="16"/>
      <x:c r="V70" s="6" t="str">
        <x:v>https://digitecme.com/ar/blog/mercedes-c-class-service-dubai-guide</x:v>
      </x:c>
      <x:c r="W70" s="6" t="str">
        <x:v>Indexable directive</x:v>
      </x:c>
      <x:c r="X70" s="6" t="n">
        <x:v>4</x:v>
      </x:c>
      <x:c r="Y70" s="6" t="str">
        <x:v>Mercedes C-Class Service Dubai | Owner Maintenance Guide</x:v>
      </x:c>
      <x:c r="Z70" s="6" t="str"/>
      <x:c r="AA70" s="6" t="str">
        <x:v>No / not compared</x:v>
      </x:c>
    </x:row>
    <x:row r="71" ht="57" customHeight="1">
      <x:c r="A71" s="6" t="str">
        <x:v>https://digitecme.com/ar/blog/mercedes-e-class-service-dubai-guide</x:v>
      </x:c>
      <x:c r="B71" s="6" t="str"/>
      <x:c r="C71" s="6" t="str"/>
      <x:c r="D71" s="6" t="str">
        <x:v>article</x:v>
      </x:c>
      <x:c r="E71" s="6" t="str">
        <x:v>Retain differentiated role</x:v>
      </x:c>
      <x:c r="F71" s="6" t="str">
        <x:v>Local source render; live version unverified</x:v>
      </x:c>
      <x:c r="G71" s="6" t="str">
        <x:v>Mercedes E-Class Service Dubai | Maintenance and Repair Guide</x:v>
      </x:c>
      <x:c r="H71" s="6" t="str">
        <x:v>Mercedes E-Class Service Dubai | Maintenance and Repair Guide</x:v>
      </x:c>
      <x:c r="I71" s="6" t="str">
        <x:v>Mercedes E-Class Service in Dubai: Owner Guide</x:v>
      </x:c>
      <x:c r="J71" s="6" t="str">
        <x:v>Mercedes E-Class Service in Dubai: Owner Guide</x:v>
      </x:c>
      <x:c r="K71" s="6" t="str">
        <x:v>Mercedes E-Class service in Dubai: oil approvals, transmission service, suspension checks, AC performance, electrics and XENTRY diagnostics for W213 and W212 owners.</x:v>
      </x:c>
      <x:c r="L71" s="6" t="str">
        <x:v>Retain pending evidence; no specific content edit justified by this export.</x:v>
      </x:c>
      <x:c r="M71" s="6" t="str">
        <x:v>Retain; inspect relevant context before adding links</x:v>
      </x:c>
      <x:c r="N71" s="6" t="str">
        <x:v>Unconfirmed — no query/page pairing</x:v>
      </x:c>
      <x:c r="O71" s="6" t="str">
        <x:v>Retain established booking / WhatsApp / call path; live behaviour untested</x:v>
      </x:c>
      <x:c r="P71" s="6" t="str">
        <x:v>Retain canonical and indexation policy pending a live check.</x:v>
      </x:c>
      <x:c r="Q71" s="6" t="str">
        <x:v>Proposed; no website change made</x:v>
      </x:c>
      <x:c r="R71" s="14" t="n">
        <x:v>0</x:v>
      </x:c>
      <x:c r="S71" s="14" t="n">
        <x:v>1</x:v>
      </x:c>
      <x:c r="T71" s="15" t="n">
        <x:v>0</x:v>
      </x:c>
      <x:c r="U71" s="16" t="n">
        <x:v>8</x:v>
      </x:c>
      <x:c r="V71" s="6" t="str">
        <x:v>https://digitecme.com/ar/blog/mercedes-e-class-service-dubai-guide</x:v>
      </x:c>
      <x:c r="W71" s="6" t="str">
        <x:v>Indexable directive</x:v>
      </x:c>
      <x:c r="X71" s="6" t="n">
        <x:v>4</x:v>
      </x:c>
      <x:c r="Y71" s="6" t="str">
        <x:v>Mercedes E-Class Service Dubai | Maintenance and Repair Guide</x:v>
      </x:c>
      <x:c r="Z71" s="6" t="str"/>
      <x:c r="AA71" s="6" t="str">
        <x:v>No / not compared</x:v>
      </x:c>
    </x:row>
    <x:row r="72" ht="57" customHeight="1">
      <x:c r="A72" s="6" t="str">
        <x:v>https://digitecme.com/ar/blog/mercedes-g63-service-dubai-guide</x:v>
      </x:c>
      <x:c r="B72" s="6" t="str"/>
      <x:c r="C72" s="6" t="str"/>
      <x:c r="D72" s="6" t="str">
        <x:v>article</x:v>
      </x:c>
      <x:c r="E72" s="6" t="str">
        <x:v>Retain differentiated role</x:v>
      </x:c>
      <x:c r="F72" s="6" t="str">
        <x:v>Local source render; live version unverified</x:v>
      </x:c>
      <x:c r="G72" s="6" t="str">
        <x:v>Mercedes G63 Service Dubai | AMG G-Class Owner Guide</x:v>
      </x:c>
      <x:c r="H72" s="6" t="str">
        <x:v>Mercedes G63 Service Dubai | AMG G-Class Owner Guide</x:v>
      </x:c>
      <x:c r="I72" s="6" t="str">
        <x:v>Mercedes-AMG G63 Service in Dubai: Owner Guide</x:v>
      </x:c>
      <x:c r="J72" s="6" t="str">
        <x:v>Mercedes-AMG G63 Service in Dubai: Owner Guide</x:v>
      </x:c>
      <x:c r="K72" s="6" t="str">
        <x:v>A Mercedes-AMG G63 service guide for Dubai owners: cooling, brakes, suspension, differential locks, oil specification and the checks that matter in UAE heat.</x:v>
      </x:c>
      <x:c r="L72" s="6" t="str">
        <x:v>Retain pending evidence; no specific content edit justified by this export.</x:v>
      </x:c>
      <x:c r="M72" s="6" t="str">
        <x:v>Retain; inspect relevant context before adding links</x:v>
      </x:c>
      <x:c r="N72" s="6" t="str">
        <x:v>Unconfirmed — no query/page pairing</x:v>
      </x:c>
      <x:c r="O72" s="6" t="str">
        <x:v>Retain established booking / WhatsApp / call path; live behaviour untested</x:v>
      </x:c>
      <x:c r="P72" s="6" t="str">
        <x:v>Retain canonical and indexation policy pending a live check.</x:v>
      </x:c>
      <x:c r="Q72" s="6" t="str">
        <x:v>Proposed; no website change made</x:v>
      </x:c>
      <x:c r="R72" s="14" t="n">
        <x:v>0</x:v>
      </x:c>
      <x:c r="S72" s="14" t="n">
        <x:v>3</x:v>
      </x:c>
      <x:c r="T72" s="15" t="n">
        <x:v>0</x:v>
      </x:c>
      <x:c r="U72" s="16" t="n">
        <x:v>8.67</x:v>
      </x:c>
      <x:c r="V72" s="6" t="str">
        <x:v>https://digitecme.com/ar/blog/mercedes-g63-service-dubai-guide</x:v>
      </x:c>
      <x:c r="W72" s="6" t="str">
        <x:v>Indexable directive</x:v>
      </x:c>
      <x:c r="X72" s="6" t="n">
        <x:v>5</x:v>
      </x:c>
      <x:c r="Y72" s="6" t="str">
        <x:v>Mercedes G63 Service Dubai | AMG G-Class Owner Guide</x:v>
      </x:c>
      <x:c r="Z72" s="6" t="str"/>
      <x:c r="AA72" s="6" t="str">
        <x:v>No / not compared</x:v>
      </x:c>
    </x:row>
    <x:row r="73" ht="42" customHeight="1">
      <x:c r="A73" s="6" t="str">
        <x:v>https://digitecme.com/ar/blog/mercedes-repair-dubai-complete-guide</x:v>
      </x:c>
      <x:c r="B73" s="6" t="str"/>
      <x:c r="C73" s="6" t="str"/>
      <x:c r="D73" s="6" t="str">
        <x:v>article</x:v>
      </x:c>
      <x:c r="E73" s="6" t="str">
        <x:v>Retain differentiated role</x:v>
      </x:c>
      <x:c r="F73" s="6" t="str">
        <x:v>Local source render; live version unverified</x:v>
      </x:c>
      <x:c r="G73" s="6" t="str">
        <x:v>أعطال مرسيدس الشائعة في دبي | دليل المالك 2026</x:v>
      </x:c>
      <x:c r="H73" s="6" t="str">
        <x:v>أعطال مرسيدس الشائعة في دبي | دليل المالك 2026</x:v>
      </x:c>
      <x:c r="I73" s="6" t="str">
        <x:v>أعطال مرسيدس الشائعة في دبي: دليل المالك 2026</x:v>
      </x:c>
      <x:c r="J73" s="6" t="str">
        <x:v>أعطال مرسيدس الشائعة في دبي: دليل المالك 2026</x:v>
      </x:c>
      <x:c r="K73" s="6" t="str">
        <x:v>تعرّف إلى أعطال مرسيدس الشائعة في دبي: تعليق AIRMATIC والتبريد والتكييف والبطارية وإشارات التحذير، وما يجب فحصه قبل اعتماد الإصلاح.</x:v>
      </x:c>
      <x:c r="L73" s="6" t="str">
        <x:v>Retain pending evidence; no specific content edit justified by this export.</x:v>
      </x:c>
      <x:c r="M73" s="6" t="str">
        <x:v>Retain; inspect relevant context before adding links</x:v>
      </x:c>
      <x:c r="N73" s="6" t="str">
        <x:v>Unconfirmed — no query/page pairing</x:v>
      </x:c>
      <x:c r="O73" s="6" t="str">
        <x:v>Retain established booking / WhatsApp / call path; live behaviour untested</x:v>
      </x:c>
      <x:c r="P73" s="6" t="str">
        <x:v>Retain canonical and indexation policy pending a live check.</x:v>
      </x:c>
      <x:c r="Q73" s="6" t="str">
        <x:v>Proposed; no website change made</x:v>
      </x:c>
      <x:c r="R73" s="14" t="n">
        <x:v>0</x:v>
      </x:c>
      <x:c r="S73" s="14" t="n">
        <x:v>3</x:v>
      </x:c>
      <x:c r="T73" s="15" t="n">
        <x:v>0</x:v>
      </x:c>
      <x:c r="U73" s="16" t="n">
        <x:v>14</x:v>
      </x:c>
      <x:c r="V73" s="6" t="str">
        <x:v>https://digitecme.com/ar/blog/mercedes-repair-dubai-complete-guide</x:v>
      </x:c>
      <x:c r="W73" s="6" t="str">
        <x:v>Indexable directive</x:v>
      </x:c>
      <x:c r="X73" s="6" t="n">
        <x:v>4</x:v>
      </x:c>
      <x:c r="Y73" s="6" t="str">
        <x:v>أعطال مرسيدس الشائعة في دبي | دليل المالك 2026</x:v>
      </x:c>
      <x:c r="Z73" s="6" t="str"/>
      <x:c r="AA73" s="6" t="str">
        <x:v>No / not compared</x:v>
      </x:c>
    </x:row>
    <x:row r="74" ht="57" customHeight="1">
      <x:c r="A74" s="6" t="str">
        <x:v>https://digitecme.com/ar/blog/mercedes-s-class-service-dubai-guide</x:v>
      </x:c>
      <x:c r="B74" s="6" t="str"/>
      <x:c r="C74" s="6" t="str"/>
      <x:c r="D74" s="6" t="str">
        <x:v>article</x:v>
      </x:c>
      <x:c r="E74" s="6" t="str">
        <x:v>Retain differentiated role</x:v>
      </x:c>
      <x:c r="F74" s="6" t="str">
        <x:v>Local source render; live version unverified</x:v>
      </x:c>
      <x:c r="G74" s="6" t="str">
        <x:v>Mercedes S-Class Service Dubai | Maintenance and Repair Guide</x:v>
      </x:c>
      <x:c r="H74" s="6" t="str">
        <x:v>Mercedes S-Class Service Dubai | Maintenance and Repair Guide</x:v>
      </x:c>
      <x:c r="I74" s="6" t="str">
        <x:v>Mercedes S-Class Service in Dubai: Complete Owner Guide</x:v>
      </x:c>
      <x:c r="J74" s="6" t="str">
        <x:v>Mercedes S-Class Service in Dubai: Complete Owner Guide</x:v>
      </x:c>
      <x:c r="K74" s="6" t="str">
        <x:v>Mercedes S-Class service in Dubai explained: Service A and B scope, AIRMATIC suspension, cooling, electronics and XENTRY diagnostics for W222 and W223 owners.</x:v>
      </x:c>
      <x:c r="L74" s="6" t="str">
        <x:v>Retain pending evidence; no specific content edit justified by this export.</x:v>
      </x:c>
      <x:c r="M74" s="6" t="str">
        <x:v>Retain; inspect relevant context before adding links</x:v>
      </x:c>
      <x:c r="N74" s="6" t="str">
        <x:v>Unconfirmed — no query/page pairing</x:v>
      </x:c>
      <x:c r="O74" s="6" t="str">
        <x:v>Retain established booking / WhatsApp / call path; live behaviour untested</x:v>
      </x:c>
      <x:c r="P74" s="6" t="str">
        <x:v>Retain canonical and indexation policy pending a live check.</x:v>
      </x:c>
      <x:c r="Q74" s="6" t="str">
        <x:v>Proposed; no website change made</x:v>
      </x:c>
      <x:c r="R74" s="14"/>
      <x:c r="S74" s="14"/>
      <x:c r="T74" s="15"/>
      <x:c r="U74" s="16"/>
      <x:c r="V74" s="6" t="str">
        <x:v>https://digitecme.com/ar/blog/mercedes-s-class-service-dubai-guide</x:v>
      </x:c>
      <x:c r="W74" s="6" t="str">
        <x:v>Indexable directive</x:v>
      </x:c>
      <x:c r="X74" s="6" t="n">
        <x:v>4</x:v>
      </x:c>
      <x:c r="Y74" s="6" t="str">
        <x:v>Mercedes S-Class Service Dubai | Maintenance and Repair Guide</x:v>
      </x:c>
      <x:c r="Z74" s="6" t="str"/>
      <x:c r="AA74" s="6" t="str">
        <x:v>No / not compared</x:v>
      </x:c>
    </x:row>
    <x:row r="75" ht="57" customHeight="1">
      <x:c r="A75" s="6" t="str">
        <x:v>https://digitecme.com/ar/blog/mercedes-service-cost-dubai-guide</x:v>
      </x:c>
      <x:c r="B75" s="6" t="str"/>
      <x:c r="C75" s="6" t="str"/>
      <x:c r="D75" s="6" t="str">
        <x:v>article</x:v>
      </x:c>
      <x:c r="E75" s="6" t="str">
        <x:v>Retain differentiated role</x:v>
      </x:c>
      <x:c r="F75" s="6" t="str">
        <x:v>Local source render; live version unverified</x:v>
      </x:c>
      <x:c r="G75" s="6" t="str">
        <x:v>Mercedes Service Dubai | Intervals, Scope and Cost Factors</x:v>
      </x:c>
      <x:c r="H75" s="6" t="str">
        <x:v>Mercedes Service Dubai | Intervals, Scope and Cost Factors</x:v>
      </x:c>
      <x:c r="I75" s="6" t="str">
        <x:v>Mercedes Service in Dubai: Scope, Intervals and What Affects Cost</x:v>
      </x:c>
      <x:c r="J75" s="6" t="str">
        <x:v>Mercedes Service in Dubai: Scope, Intervals and What Affects Cost</x:v>
      </x:c>
      <x:c r="K75" s="6" t="str">
        <x:v>A Mercedes service guide for Dubai owners: what Service A and Service B include, the extra checks Dubai heat demands, and what drives the final cost.</x:v>
      </x:c>
      <x:c r="L75" s="6" t="str">
        <x:v>Retain pending evidence; no specific content edit justified by this export.</x:v>
      </x:c>
      <x:c r="M75" s="6" t="str">
        <x:v>Retain; inspect relevant context before adding links</x:v>
      </x:c>
      <x:c r="N75" s="6" t="str">
        <x:v>Unconfirmed — no query/page pairing</x:v>
      </x:c>
      <x:c r="O75" s="6" t="str">
        <x:v>Retain established booking / WhatsApp / call path; live behaviour untested</x:v>
      </x:c>
      <x:c r="P75" s="6" t="str">
        <x:v>Retain canonical and indexation policy pending a live check.</x:v>
      </x:c>
      <x:c r="Q75" s="6" t="str">
        <x:v>Proposed; no website change made</x:v>
      </x:c>
      <x:c r="R75" s="14" t="n">
        <x:v>0</x:v>
      </x:c>
      <x:c r="S75" s="14" t="n">
        <x:v>1</x:v>
      </x:c>
      <x:c r="T75" s="15" t="n">
        <x:v>0</x:v>
      </x:c>
      <x:c r="U75" s="16" t="n">
        <x:v>1</x:v>
      </x:c>
      <x:c r="V75" s="6" t="str">
        <x:v>https://digitecme.com/ar/blog/mercedes-service-cost-dubai-guide</x:v>
      </x:c>
      <x:c r="W75" s="6" t="str">
        <x:v>Indexable directive</x:v>
      </x:c>
      <x:c r="X75" s="6" t="n">
        <x:v>4</x:v>
      </x:c>
      <x:c r="Y75" s="6" t="str">
        <x:v>Mercedes Service Dubai | Intervals, Scope and Cost Factors</x:v>
      </x:c>
      <x:c r="Z75" s="6" t="str"/>
      <x:c r="AA75" s="6" t="str">
        <x:v>No / not compared</x:v>
      </x:c>
    </x:row>
    <x:row r="76" ht="42" customHeight="1">
      <x:c r="A76" s="6" t="str">
        <x:v>https://digitecme.com/ar/blog/mercedes-service-intervals-dubai-heat</x:v>
      </x:c>
      <x:c r="B76" s="6" t="str"/>
      <x:c r="C76" s="6" t="str"/>
      <x:c r="D76" s="6" t="str">
        <x:v>article</x:v>
      </x:c>
      <x:c r="E76" s="6" t="str">
        <x:v>Retain differentiated role</x:v>
      </x:c>
      <x:c r="F76" s="6" t="str">
        <x:v>Local source render; live version unverified</x:v>
      </x:c>
      <x:c r="G76" s="6" t="str">
        <x:v>جدول صيانة مرسيدس في دبي | دليل حرارة الإمارات</x:v>
      </x:c>
      <x:c r="H76" s="6" t="str">
        <x:v>جدول صيانة مرسيدس في دبي | دليل حرارة الإمارات</x:v>
      </x:c>
      <x:c r="I76" s="6" t="str">
        <x:v>مواعيد صيانة مرسيدس في حرارة دبي: ما الذي يجب معرفته؟</x:v>
      </x:c>
      <x:c r="J76" s="6" t="str">
        <x:v>مواعيد صيانة مرسيدس في حرارة دبي: ما الذي يجب معرفته؟</x:v>
      </x:c>
      <x:c r="K76" s="6" t="str">
        <x:v>دليل مواعيد صيانة مرسيدس في دبي وفحص الزيت والتبريد والفرامل والبطارية بما يناسب الحرارة والغبار والازدحام في الإمارات.</x:v>
      </x:c>
      <x:c r="L76" s="6" t="str">
        <x:v>Retain pending evidence; no specific content edit justified by this export.</x:v>
      </x:c>
      <x:c r="M76" s="6" t="str">
        <x:v>Retain; inspect relevant context before adding links</x:v>
      </x:c>
      <x:c r="N76" s="6" t="str">
        <x:v>Unconfirmed — no query/page pairing</x:v>
      </x:c>
      <x:c r="O76" s="6" t="str">
        <x:v>Retain established booking / WhatsApp / call path; live behaviour untested</x:v>
      </x:c>
      <x:c r="P76" s="6" t="str">
        <x:v>Retain canonical and indexation policy pending a live check.</x:v>
      </x:c>
      <x:c r="Q76" s="6" t="str">
        <x:v>Proposed; no website change made</x:v>
      </x:c>
      <x:c r="R76" s="14" t="n">
        <x:v>0</x:v>
      </x:c>
      <x:c r="S76" s="14" t="n">
        <x:v>3</x:v>
      </x:c>
      <x:c r="T76" s="15" t="n">
        <x:v>0</x:v>
      </x:c>
      <x:c r="U76" s="16" t="n">
        <x:v>5.67</x:v>
      </x:c>
      <x:c r="V76" s="6" t="str">
        <x:v>https://digitecme.com/ar/blog/mercedes-service-intervals-dubai-heat</x:v>
      </x:c>
      <x:c r="W76" s="6" t="str">
        <x:v>Indexable directive</x:v>
      </x:c>
      <x:c r="X76" s="6" t="n">
        <x:v>4</x:v>
      </x:c>
      <x:c r="Y76" s="6" t="str">
        <x:v>جدول صيانة مرسيدس في دبي | دليل حرارة الإمارات</x:v>
      </x:c>
      <x:c r="Z76" s="6" t="str"/>
      <x:c r="AA76" s="6" t="str">
        <x:v>No / not compared</x:v>
      </x:c>
    </x:row>
    <x:row r="77" ht="42" customHeight="1">
      <x:c r="A77" s="6" t="str">
        <x:v>https://digitecme.com/ar/blog/mini-best-workshop-dubai</x:v>
      </x:c>
      <x:c r="B77" s="6" t="str"/>
      <x:c r="C77" s="6" t="str"/>
      <x:c r="D77" s="6" t="str">
        <x:v>article</x:v>
      </x:c>
      <x:c r="E77" s="6" t="str">
        <x:v>Retain differentiated role</x:v>
      </x:c>
      <x:c r="F77" s="6" t="str">
        <x:v>Local source render; live version unverified</x:v>
      </x:c>
      <x:c r="G77" s="6" t="str">
        <x:v>ورشة MINI في دبي | ديجي-تك</x:v>
      </x:c>
      <x:c r="H77" s="6" t="str">
        <x:v>ورشة MINI في دبي | ديجي-تك</x:v>
      </x:c>
      <x:c r="I77" s="6" t="str">
        <x:v>دليل ورشة MINI المتخصصة في دبي</x:v>
      </x:c>
      <x:c r="J77" s="6" t="str">
        <x:v>دليل ورشة MINI المتخصصة في دبي</x:v>
      </x:c>
      <x:c r="K77" s="6" t="str">
        <x:v>ورشة متخصصة في MINI بدبي للفحص والصيانة والإصلاح. احجز لدى ديجي-تك في القوز للحصول على تشخيص واضح وخدمة احترافية.</x:v>
      </x:c>
      <x:c r="L77" s="6" t="str">
        <x:v>Retain pending evidence; no specific content edit justified by this export.</x:v>
      </x:c>
      <x:c r="M77" s="6" t="str">
        <x:v>Retain; inspect relevant context before adding links</x:v>
      </x:c>
      <x:c r="N77" s="6" t="str">
        <x:v>Unconfirmed — no query/page pairing</x:v>
      </x:c>
      <x:c r="O77" s="6" t="str">
        <x:v>Retain established booking / WhatsApp / call path; live behaviour untested</x:v>
      </x:c>
      <x:c r="P77" s="6" t="str">
        <x:v>Retain canonical and indexation policy pending a live check.</x:v>
      </x:c>
      <x:c r="Q77" s="6" t="str">
        <x:v>Proposed; no website change made</x:v>
      </x:c>
      <x:c r="R77" s="14" t="n">
        <x:v>0</x:v>
      </x:c>
      <x:c r="S77" s="14" t="n">
        <x:v>10</x:v>
      </x:c>
      <x:c r="T77" s="15" t="n">
        <x:v>0</x:v>
      </x:c>
      <x:c r="U77" s="16" t="n">
        <x:v>18.3</x:v>
      </x:c>
      <x:c r="V77" s="6" t="str">
        <x:v>https://digitecme.com/ar/blog/mini-best-workshop-dubai</x:v>
      </x:c>
      <x:c r="W77" s="6" t="str">
        <x:v>Indexable directive</x:v>
      </x:c>
      <x:c r="X77" s="6" t="n">
        <x:v>4</x:v>
      </x:c>
      <x:c r="Y77" s="6" t="str">
        <x:v>ورشة MINI في دبي | ديجي-تك</x:v>
      </x:c>
      <x:c r="Z77" s="6" t="str"/>
      <x:c r="AA77" s="6" t="str">
        <x:v>No / not compared</x:v>
      </x:c>
    </x:row>
    <x:row r="78" ht="42" customHeight="1">
      <x:c r="A78" s="6" t="str">
        <x:v>https://digitecme.com/ar/blog/nissan-best-workshop-dubai</x:v>
      </x:c>
      <x:c r="B78" s="6" t="str"/>
      <x:c r="C78" s="6" t="str"/>
      <x:c r="D78" s="6" t="str">
        <x:v>article</x:v>
      </x:c>
      <x:c r="E78" s="6" t="str">
        <x:v>Retain differentiated role</x:v>
      </x:c>
      <x:c r="F78" s="6" t="str">
        <x:v>Local source render; live version unverified</x:v>
      </x:c>
      <x:c r="G78" s="6" t="str">
        <x:v>ورشة Nissan في دبي | ديجي-تك</x:v>
      </x:c>
      <x:c r="H78" s="6" t="str">
        <x:v>ورشة Nissan في دبي | ديجي-تك</x:v>
      </x:c>
      <x:c r="I78" s="6" t="str">
        <x:v>دليل ورشة Nissan المتخصصة في دبي</x:v>
      </x:c>
      <x:c r="J78" s="6" t="str">
        <x:v>دليل ورشة Nissan المتخصصة في دبي</x:v>
      </x:c>
      <x:c r="K78" s="6" t="str">
        <x:v>ورشة متخصصة في Nissan بدبي للفحص والصيانة والإصلاح. احجز لدى ديجي-تك في القوز للحصول على تشخيص واضح وخدمة احترافية.</x:v>
      </x:c>
      <x:c r="L78" s="6" t="str">
        <x:v>Retain pending evidence; no specific content edit justified by this export.</x:v>
      </x:c>
      <x:c r="M78" s="6" t="str">
        <x:v>Retain; inspect relevant context before adding links</x:v>
      </x:c>
      <x:c r="N78" s="6" t="str">
        <x:v>Unconfirmed — no query/page pairing</x:v>
      </x:c>
      <x:c r="O78" s="6" t="str">
        <x:v>Retain established booking / WhatsApp / call path; live behaviour untested</x:v>
      </x:c>
      <x:c r="P78" s="6" t="str">
        <x:v>Retain canonical and indexation policy pending a live check.</x:v>
      </x:c>
      <x:c r="Q78" s="6" t="str">
        <x:v>Proposed; no website change made</x:v>
      </x:c>
      <x:c r="R78" s="14" t="n">
        <x:v>0</x:v>
      </x:c>
      <x:c r="S78" s="14" t="n">
        <x:v>2</x:v>
      </x:c>
      <x:c r="T78" s="15" t="n">
        <x:v>0</x:v>
      </x:c>
      <x:c r="U78" s="16" t="n">
        <x:v>27</x:v>
      </x:c>
      <x:c r="V78" s="6" t="str">
        <x:v>https://digitecme.com/ar/blog/nissan-best-workshop-dubai</x:v>
      </x:c>
      <x:c r="W78" s="6" t="str">
        <x:v>Indexable directive</x:v>
      </x:c>
      <x:c r="X78" s="6" t="n">
        <x:v>4</x:v>
      </x:c>
      <x:c r="Y78" s="6" t="str">
        <x:v>ورشة Nissan في دبي | ديجي-تك</x:v>
      </x:c>
      <x:c r="Z78" s="6" t="str"/>
      <x:c r="AA78" s="6" t="str">
        <x:v>No / not compared</x:v>
      </x:c>
    </x:row>
    <x:row r="79" ht="57" customHeight="1">
      <x:c r="A79" s="6" t="str">
        <x:v>https://digitecme.com/ar/blog/oil-specification-guide-dubai-luxury</x:v>
      </x:c>
      <x:c r="B79" s="6" t="str"/>
      <x:c r="C79" s="6" t="str"/>
      <x:c r="D79" s="6" t="str">
        <x:v>article</x:v>
      </x:c>
      <x:c r="E79" s="6" t="str">
        <x:v>Retain differentiated role</x:v>
      </x:c>
      <x:c r="F79" s="6" t="str">
        <x:v>Local source render; live version unverified</x:v>
      </x:c>
      <x:c r="G79" s="6" t="str">
        <x:v>Engine Oil Specification Dubai | Choosing the Right Oil</x:v>
      </x:c>
      <x:c r="H79" s="6" t="str">
        <x:v>Engine Oil Specification Dubai | Choosing the Right Oil</x:v>
      </x:c>
      <x:c r="I79" s="6" t="str">
        <x:v>Engine Oil Specifications in Dubai: Choosing Correctly</x:v>
      </x:c>
      <x:c r="J79" s="6" t="str">
        <x:v>Engine Oil Specifications in Dubai: Choosing Correctly</x:v>
      </x:c>
      <x:c r="K79" s="6" t="str">
        <x:v>How to choose the correct engine oil in Dubai: why manufacturer approvals matter more than viscosity, what heat changes, and what a workshop should record.</x:v>
      </x:c>
      <x:c r="L79" s="6" t="str">
        <x:v>Retain pending evidence; no specific content edit justified by this export.</x:v>
      </x:c>
      <x:c r="M79" s="6" t="str">
        <x:v>Retain; inspect relevant context before adding links</x:v>
      </x:c>
      <x:c r="N79" s="6" t="str">
        <x:v>Unconfirmed — no query/page pairing</x:v>
      </x:c>
      <x:c r="O79" s="6" t="str">
        <x:v>Retain established booking / WhatsApp / call path; live behaviour untested</x:v>
      </x:c>
      <x:c r="P79" s="6" t="str">
        <x:v>Retain canonical and indexation policy pending a live check.</x:v>
      </x:c>
      <x:c r="Q79" s="6" t="str">
        <x:v>Proposed; no website change made</x:v>
      </x:c>
      <x:c r="R79" s="14"/>
      <x:c r="S79" s="14"/>
      <x:c r="T79" s="15"/>
      <x:c r="U79" s="16"/>
      <x:c r="V79" s="6" t="str">
        <x:v>https://digitecme.com/ar/blog/oil-specification-guide-dubai-luxury</x:v>
      </x:c>
      <x:c r="W79" s="6" t="str">
        <x:v>Indexable directive</x:v>
      </x:c>
      <x:c r="X79" s="6" t="n">
        <x:v>4</x:v>
      </x:c>
      <x:c r="Y79" s="6" t="str">
        <x:v>Engine Oil Specification Dubai | Choosing the Right Oil</x:v>
      </x:c>
      <x:c r="Z79" s="6" t="str"/>
      <x:c r="AA79" s="6" t="str">
        <x:v>No / not compared</x:v>
      </x:c>
    </x:row>
    <x:row r="80" ht="57" customHeight="1">
      <x:c r="A80" s="6" t="str">
        <x:v>https://digitecme.com/ar/blog/porsche-911-service-dubai-guide</x:v>
      </x:c>
      <x:c r="B80" s="6" t="str"/>
      <x:c r="C80" s="6" t="str"/>
      <x:c r="D80" s="6" t="str">
        <x:v>article</x:v>
      </x:c>
      <x:c r="E80" s="6" t="str">
        <x:v>Retain differentiated role</x:v>
      </x:c>
      <x:c r="F80" s="6" t="str">
        <x:v>Local source render; live version unverified</x:v>
      </x:c>
      <x:c r="G80" s="6" t="str">
        <x:v>Porsche 911 Service &amp; Repair Dubai | Digi-Tec</x:v>
      </x:c>
      <x:c r="H80" s="6" t="str">
        <x:v>Porsche 911 Service &amp; Repair Dubai | Digi-Tec</x:v>
      </x:c>
      <x:c r="I80" s="6" t="str">
        <x:v>Porsche 911 Service in Dubai: Owner Guide</x:v>
      </x:c>
      <x:c r="J80" s="6" t="str">
        <x:v>Porsche 911 Service in Dubai: Owner Guide</x:v>
      </x:c>
      <x:c r="K80" s="6" t="str">
        <x:v>A Porsche 911 service guide for Dubai owners covering oil specifications, cooling, PDK service, brakes, suspension and model-appropriate diagnostics.</x:v>
      </x:c>
      <x:c r="L80" s="6" t="str">
        <x:v>Retain pending evidence; no specific content edit justified by this export.</x:v>
      </x:c>
      <x:c r="M80" s="6" t="str">
        <x:v>Retain; inspect relevant context before adding links</x:v>
      </x:c>
      <x:c r="N80" s="6" t="str">
        <x:v>Unconfirmed — no query/page pairing</x:v>
      </x:c>
      <x:c r="O80" s="6" t="str">
        <x:v>Retain established booking / WhatsApp / call path; live behaviour untested</x:v>
      </x:c>
      <x:c r="P80" s="6" t="str">
        <x:v>Retain canonical and indexation policy pending a live check.</x:v>
      </x:c>
      <x:c r="Q80" s="6" t="str">
        <x:v>Proposed; no website change made</x:v>
      </x:c>
      <x:c r="R80" s="14"/>
      <x:c r="S80" s="14"/>
      <x:c r="T80" s="15"/>
      <x:c r="U80" s="16"/>
      <x:c r="V80" s="6" t="str">
        <x:v>https://digitecme.com/ar/blog/porsche-911-service-dubai-guide</x:v>
      </x:c>
      <x:c r="W80" s="6" t="str">
        <x:v>Indexable directive</x:v>
      </x:c>
      <x:c r="X80" s="6" t="n">
        <x:v>4</x:v>
      </x:c>
      <x:c r="Y80" s="6" t="str">
        <x:v>Porsche 911 Service &amp; Repair Dubai | Digi-Tec</x:v>
      </x:c>
      <x:c r="Z80" s="6" t="str"/>
      <x:c r="AA80" s="6" t="str">
        <x:v>No / not compared</x:v>
      </x:c>
    </x:row>
    <x:row r="81" ht="57" customHeight="1">
      <x:c r="A81" s="6" t="str">
        <x:v>https://digitecme.com/ar/blog/porsche-cayenne-service-dubai-guide</x:v>
      </x:c>
      <x:c r="B81" s="6" t="str"/>
      <x:c r="C81" s="6" t="str"/>
      <x:c r="D81" s="6" t="str">
        <x:v>article</x:v>
      </x:c>
      <x:c r="E81" s="6" t="str">
        <x:v>Retain differentiated role</x:v>
      </x:c>
      <x:c r="F81" s="6" t="str">
        <x:v>Local source render; live version unverified</x:v>
      </x:c>
      <x:c r="G81" s="6" t="str">
        <x:v>Porsche Cayenne Service Dubai | Maintenance and Repair Guide</x:v>
      </x:c>
      <x:c r="H81" s="6" t="str">
        <x:v>Porsche Cayenne Service Dubai | Maintenance and Repair Guide</x:v>
      </x:c>
      <x:c r="I81" s="6" t="str">
        <x:v>Porsche Cayenne Service in Dubai: Owner Maintenance Guide</x:v>
      </x:c>
      <x:c r="J81" s="6" t="str">
        <x:v>Porsche Cayenne Service in Dubai: Owner Maintenance Guide</x:v>
      </x:c>
      <x:c r="K81" s="6" t="str">
        <x:v>Porsche Cayenne service in Dubai: oil specification, suspension, cooling, brakes, transmission service and model-appropriate diagnostics explained for owners.</x:v>
      </x:c>
      <x:c r="L81" s="6" t="str">
        <x:v>Retain pending evidence; no specific content edit justified by this export.</x:v>
      </x:c>
      <x:c r="M81" s="6" t="str">
        <x:v>Retain; inspect relevant context before adding links</x:v>
      </x:c>
      <x:c r="N81" s="6" t="str">
        <x:v>Unconfirmed — no query/page pairing</x:v>
      </x:c>
      <x:c r="O81" s="6" t="str">
        <x:v>Retain established booking / WhatsApp / call path; live behaviour untested</x:v>
      </x:c>
      <x:c r="P81" s="6" t="str">
        <x:v>Retain canonical and indexation policy pending a live check.</x:v>
      </x:c>
      <x:c r="Q81" s="6" t="str">
        <x:v>Proposed; no website change made</x:v>
      </x:c>
      <x:c r="R81" s="14"/>
      <x:c r="S81" s="14"/>
      <x:c r="T81" s="15"/>
      <x:c r="U81" s="16"/>
      <x:c r="V81" s="6" t="str">
        <x:v>https://digitecme.com/ar/blog/porsche-cayenne-service-dubai-guide</x:v>
      </x:c>
      <x:c r="W81" s="6" t="str">
        <x:v>Indexable directive</x:v>
      </x:c>
      <x:c r="X81" s="6" t="n">
        <x:v>4</x:v>
      </x:c>
      <x:c r="Y81" s="6" t="str">
        <x:v>Porsche Cayenne Service Dubai | Maintenance and Repair Guide</x:v>
      </x:c>
      <x:c r="Z81" s="6" t="str"/>
      <x:c r="AA81" s="6" t="str">
        <x:v>No / not compared</x:v>
      </x:c>
    </x:row>
    <x:row r="82" ht="42" customHeight="1">
      <x:c r="A82" s="6" t="str">
        <x:v>https://digitecme.com/ar/blog/porsche-maintenance-guide-dubai</x:v>
      </x:c>
      <x:c r="B82" s="6" t="str"/>
      <x:c r="C82" s="6" t="str"/>
      <x:c r="D82" s="6" t="str">
        <x:v>article</x:v>
      </x:c>
      <x:c r="E82" s="6" t="str">
        <x:v>Retain differentiated role</x:v>
      </x:c>
      <x:c r="F82" s="6" t="str">
        <x:v>Local source render; live version unverified</x:v>
      </x:c>
      <x:c r="G82" s="6" t="str">
        <x:v>ورشة Porsche في دبي | ديجي-تك</x:v>
      </x:c>
      <x:c r="H82" s="6" t="str">
        <x:v>ورشة Porsche في دبي | ديجي-تك</x:v>
      </x:c>
      <x:c r="I82" s="6" t="str">
        <x:v>دليل ورشة Porsche المتخصصة في دبي</x:v>
      </x:c>
      <x:c r="J82" s="6" t="str">
        <x:v>دليل ورشة Porsche المتخصصة في دبي</x:v>
      </x:c>
      <x:c r="K82" s="6" t="str">
        <x:v>ورشة متخصصة في Porsche بدبي للفحص والصيانة والإصلاح. احجز لدى ديجي-تك في القوز للحصول على تشخيص واضح وخدمة احترافية.</x:v>
      </x:c>
      <x:c r="L82" s="6" t="str">
        <x:v>Retain pending evidence; no specific content edit justified by this export.</x:v>
      </x:c>
      <x:c r="M82" s="6" t="str">
        <x:v>Retain; inspect relevant context before adding links</x:v>
      </x:c>
      <x:c r="N82" s="6" t="str">
        <x:v>Unconfirmed — no query/page pairing</x:v>
      </x:c>
      <x:c r="O82" s="6" t="str">
        <x:v>Retain established booking / WhatsApp / call path; live behaviour untested</x:v>
      </x:c>
      <x:c r="P82" s="6" t="str">
        <x:v>Retain canonical and indexation policy pending a live check.</x:v>
      </x:c>
      <x:c r="Q82" s="6" t="str">
        <x:v>Proposed; no website change made</x:v>
      </x:c>
      <x:c r="R82" s="14" t="n">
        <x:v>0</x:v>
      </x:c>
      <x:c r="S82" s="14" t="n">
        <x:v>5</x:v>
      </x:c>
      <x:c r="T82" s="15" t="n">
        <x:v>0</x:v>
      </x:c>
      <x:c r="U82" s="16" t="n">
        <x:v>15.6</x:v>
      </x:c>
      <x:c r="V82" s="6" t="str">
        <x:v>https://digitecme.com/ar/blog/porsche-maintenance-guide-dubai</x:v>
      </x:c>
      <x:c r="W82" s="6" t="str">
        <x:v>Indexable directive</x:v>
      </x:c>
      <x:c r="X82" s="6" t="n">
        <x:v>27</x:v>
      </x:c>
      <x:c r="Y82" s="6" t="str">
        <x:v>ورشة Porsche في دبي | ديجي-تك</x:v>
      </x:c>
      <x:c r="Z82" s="6" t="str"/>
      <x:c r="AA82" s="6" t="str">
        <x:v>No / not compared</x:v>
      </x:c>
    </x:row>
    <x:row r="83" ht="57" customHeight="1">
      <x:c r="A83" s="6" t="str">
        <x:v>https://digitecme.com/ar/blog/porsche-panamera-service-dubai-guide</x:v>
      </x:c>
      <x:c r="B83" s="6" t="str"/>
      <x:c r="C83" s="6" t="str"/>
      <x:c r="D83" s="6" t="str">
        <x:v>article</x:v>
      </x:c>
      <x:c r="E83" s="6" t="str">
        <x:v>Retain differentiated role</x:v>
      </x:c>
      <x:c r="F83" s="6" t="str">
        <x:v>Local source render; live version unverified</x:v>
      </x:c>
      <x:c r="G83" s="6" t="str">
        <x:v>Porsche Panamera Service Dubai | Maintenance and Repair Guide</x:v>
      </x:c>
      <x:c r="H83" s="6" t="str">
        <x:v>Porsche Panamera Service Dubai | Maintenance and Repair Guide</x:v>
      </x:c>
      <x:c r="I83" s="6" t="str">
        <x:v>Porsche Panamera Service in Dubai: Owner Guide</x:v>
      </x:c>
      <x:c r="J83" s="6" t="str">
        <x:v>Porsche Panamera Service in Dubai: Owner Guide</x:v>
      </x:c>
      <x:c r="K83" s="6" t="str">
        <x:v>Porsche Panamera service in Dubai: oil specification, transmission service, suspension, cooling, brakes and model-appropriate diagnostics explained for owners.</x:v>
      </x:c>
      <x:c r="L83" s="6" t="str">
        <x:v>Retain pending evidence; no specific content edit justified by this export.</x:v>
      </x:c>
      <x:c r="M83" s="6" t="str">
        <x:v>Retain; inspect relevant context before adding links</x:v>
      </x:c>
      <x:c r="N83" s="6" t="str">
        <x:v>Unconfirmed — no query/page pairing</x:v>
      </x:c>
      <x:c r="O83" s="6" t="str">
        <x:v>Retain established booking / WhatsApp / call path; live behaviour untested</x:v>
      </x:c>
      <x:c r="P83" s="6" t="str">
        <x:v>Retain canonical and indexation policy pending a live check.</x:v>
      </x:c>
      <x:c r="Q83" s="6" t="str">
        <x:v>Proposed; no website change made</x:v>
      </x:c>
      <x:c r="R83" s="14"/>
      <x:c r="S83" s="14"/>
      <x:c r="T83" s="15"/>
      <x:c r="U83" s="16"/>
      <x:c r="V83" s="6" t="str">
        <x:v>https://digitecme.com/ar/blog/porsche-panamera-service-dubai-guide</x:v>
      </x:c>
      <x:c r="W83" s="6" t="str">
        <x:v>Indexable directive</x:v>
      </x:c>
      <x:c r="X83" s="6" t="n">
        <x:v>4</x:v>
      </x:c>
      <x:c r="Y83" s="6" t="str">
        <x:v>Porsche Panamera Service Dubai | Maintenance and Repair Guide</x:v>
      </x:c>
      <x:c r="Z83" s="6" t="str"/>
      <x:c r="AA83" s="6" t="str">
        <x:v>No / not compared</x:v>
      </x:c>
    </x:row>
    <x:row r="84" ht="57" customHeight="1">
      <x:c r="A84" s="6" t="str">
        <x:v>https://digitecme.com/ar/blog/pre-purchase-inspection-dubai-guide</x:v>
      </x:c>
      <x:c r="B84" s="6" t="str"/>
      <x:c r="C84" s="6" t="str"/>
      <x:c r="D84" s="6" t="str">
        <x:v>article</x:v>
      </x:c>
      <x:c r="E84" s="6" t="str">
        <x:v>Retain differentiated role</x:v>
      </x:c>
      <x:c r="F84" s="6" t="str">
        <x:v>Local source render; live version unverified</x:v>
      </x:c>
      <x:c r="G84" s="6" t="str">
        <x:v>Pre-Purchase Inspection Dubai | Used Luxury Car Check Guide</x:v>
      </x:c>
      <x:c r="H84" s="6" t="str">
        <x:v>Pre-Purchase Inspection Dubai | Used Luxury Car Check Guide</x:v>
      </x:c>
      <x:c r="I84" s="6" t="str">
        <x:v>Pre-Purchase Inspection in Dubai: What It Should Cover</x:v>
      </x:c>
      <x:c r="J84" s="6" t="str">
        <x:v>Pre-Purchase Inspection in Dubai: What It Should Cover</x:v>
      </x:c>
      <x:c r="K84" s="6" t="str">
        <x:v>What a pre-purchase inspection in Dubai should cover before you buy a used luxury car: diagnostics, accident evidence, fluids, suspension, brakes and service history.</x:v>
      </x:c>
      <x:c r="L84" s="6" t="str">
        <x:v>Retain pending evidence; no specific content edit justified by this export.</x:v>
      </x:c>
      <x:c r="M84" s="6" t="str">
        <x:v>Retain; inspect relevant context before adding links</x:v>
      </x:c>
      <x:c r="N84" s="6" t="str">
        <x:v>Unconfirmed — no query/page pairing</x:v>
      </x:c>
      <x:c r="O84" s="6" t="str">
        <x:v>Retain established booking / WhatsApp / call path; live behaviour untested</x:v>
      </x:c>
      <x:c r="P84" s="6" t="str">
        <x:v>Retain canonical and indexation policy pending a live check.</x:v>
      </x:c>
      <x:c r="Q84" s="6" t="str">
        <x:v>Proposed; no website change made</x:v>
      </x:c>
      <x:c r="R84" s="14"/>
      <x:c r="S84" s="14"/>
      <x:c r="T84" s="15"/>
      <x:c r="U84" s="16"/>
      <x:c r="V84" s="6" t="str">
        <x:v>https://digitecme.com/ar/blog/pre-purchase-inspection-dubai-guide</x:v>
      </x:c>
      <x:c r="W84" s="6" t="str">
        <x:v>Indexable directive</x:v>
      </x:c>
      <x:c r="X84" s="6" t="n">
        <x:v>4</x:v>
      </x:c>
      <x:c r="Y84" s="6" t="str">
        <x:v>Pre-Purchase Inspection Dubai | Used Luxury Car Check Guide</x:v>
      </x:c>
      <x:c r="Z84" s="6" t="str"/>
      <x:c r="AA84" s="6" t="str">
        <x:v>No / not compared</x:v>
      </x:c>
    </x:row>
    <x:row r="85" ht="42" customHeight="1">
      <x:c r="A85" s="6" t="str">
        <x:v>https://digitecme.com/ar/blog/range-rover-land-rover-air-suspension-problems-dubai</x:v>
      </x:c>
      <x:c r="B85" s="6" t="str"/>
      <x:c r="C85" s="6" t="str"/>
      <x:c r="D85" s="6" t="str">
        <x:v>article</x:v>
      </x:c>
      <x:c r="E85" s="6" t="str">
        <x:v>Retain differentiated role</x:v>
      </x:c>
      <x:c r="F85" s="6" t="str">
        <x:v>Local source render; live version unverified</x:v>
      </x:c>
      <x:c r="G85" s="6" t="str">
        <x:v>إصلاح تعليق رينج روفر الهوائي في دبي | ديجي-تك</x:v>
      </x:c>
      <x:c r="H85" s="6" t="str">
        <x:v>إصلاح تعليق رينج روفر الهوائي في دبي | ديجي-تك</x:v>
      </x:c>
      <x:c r="I85" s="6" t="str">
        <x:v>مشاكل التعليق الهوائي في رينج روفر ولاند روفر في دبي</x:v>
      </x:c>
      <x:c r="J85" s="6" t="str">
        <x:v>مشاكل التعليق الهوائي في رينج روفر ولاند روفر في دبي</x:v>
      </x:c>
      <x:c r="K85" s="6" t="str">
        <x:v>دليل أعطال التعليق الهوائي في رينج روفر ولاند روفر: ميلان السيارة، تحذير التعليق، تسريب الوسائد، الكمبروسر وخطوات التشخيص في دبي.</x:v>
      </x:c>
      <x:c r="L85" s="6" t="str">
        <x:v>Retain pending evidence; no specific content edit justified by this export.</x:v>
      </x:c>
      <x:c r="M85" s="6" t="str">
        <x:v>Retain; inspect relevant context before adding links</x:v>
      </x:c>
      <x:c r="N85" s="6" t="str">
        <x:v>Unconfirmed — no query/page pairing</x:v>
      </x:c>
      <x:c r="O85" s="6" t="str">
        <x:v>Retain established booking / WhatsApp / call path; live behaviour untested</x:v>
      </x:c>
      <x:c r="P85" s="6" t="str">
        <x:v>Retain canonical and indexation policy pending a live check.</x:v>
      </x:c>
      <x:c r="Q85" s="6" t="str">
        <x:v>Proposed; no website change made</x:v>
      </x:c>
      <x:c r="R85" s="14"/>
      <x:c r="S85" s="14"/>
      <x:c r="T85" s="15"/>
      <x:c r="U85" s="16"/>
      <x:c r="V85" s="6" t="str">
        <x:v>https://digitecme.com/ar/blog/range-rover-land-rover-air-suspension-problems-dubai</x:v>
      </x:c>
      <x:c r="W85" s="6" t="str">
        <x:v>Indexable directive</x:v>
      </x:c>
      <x:c r="X85" s="6" t="n">
        <x:v>4</x:v>
      </x:c>
      <x:c r="Y85" s="6" t="str">
        <x:v>إصلاح تعليق رينج روفر الهوائي في دبي | ديجي-تك</x:v>
      </x:c>
      <x:c r="Z85" s="6" t="str"/>
      <x:c r="AA85" s="6" t="str">
        <x:v>No / not compared</x:v>
      </x:c>
    </x:row>
    <x:row r="86" ht="42" customHeight="1">
      <x:c r="A86" s="6" t="str">
        <x:v>https://digitecme.com/ar/blog/range-rover-maintenance-guide-dubai</x:v>
      </x:c>
      <x:c r="B86" s="6" t="str"/>
      <x:c r="C86" s="6" t="str"/>
      <x:c r="D86" s="6" t="str">
        <x:v>article</x:v>
      </x:c>
      <x:c r="E86" s="6" t="str">
        <x:v>Retain differentiated role</x:v>
      </x:c>
      <x:c r="F86" s="6" t="str">
        <x:v>Local source render; live version unverified</x:v>
      </x:c>
      <x:c r="G86" s="6" t="str">
        <x:v>ورشة Range Rover في دبي | ديجي-تك</x:v>
      </x:c>
      <x:c r="H86" s="6" t="str">
        <x:v>ورشة Range Rover في دبي | ديجي-تك</x:v>
      </x:c>
      <x:c r="I86" s="6" t="str">
        <x:v>دليل ورشة Range Rover المتخصصة في دبي</x:v>
      </x:c>
      <x:c r="J86" s="6" t="str">
        <x:v>دليل ورشة Range Rover المتخصصة في دبي</x:v>
      </x:c>
      <x:c r="K86" s="6" t="str">
        <x:v>ورشة متخصصة في Range Rover بدبي للفحص والصيانة والإصلاح. احجز لدى ديجي-تك في القوز للحصول على تشخيص واضح وخدمة احترافية.</x:v>
      </x:c>
      <x:c r="L86" s="6" t="str">
        <x:v>Retain pending evidence; no specific content edit justified by this export.</x:v>
      </x:c>
      <x:c r="M86" s="6" t="str">
        <x:v>Retain; inspect relevant context before adding links</x:v>
      </x:c>
      <x:c r="N86" s="6" t="str">
        <x:v>Unconfirmed — no query/page pairing</x:v>
      </x:c>
      <x:c r="O86" s="6" t="str">
        <x:v>Retain established booking / WhatsApp / call path; live behaviour untested</x:v>
      </x:c>
      <x:c r="P86" s="6" t="str">
        <x:v>Retain canonical and indexation policy pending a live check.</x:v>
      </x:c>
      <x:c r="Q86" s="6" t="str">
        <x:v>Proposed; no website change made</x:v>
      </x:c>
      <x:c r="R86" s="14"/>
      <x:c r="S86" s="14"/>
      <x:c r="T86" s="15"/>
      <x:c r="U86" s="16"/>
      <x:c r="V86" s="6" t="str">
        <x:v>https://digitecme.com/ar/blog/range-rover-maintenance-guide-dubai</x:v>
      </x:c>
      <x:c r="W86" s="6" t="str">
        <x:v>Indexable directive</x:v>
      </x:c>
      <x:c r="X86" s="6" t="n">
        <x:v>4</x:v>
      </x:c>
      <x:c r="Y86" s="6" t="str">
        <x:v>ورشة Range Rover في دبي | ديجي-تك</x:v>
      </x:c>
      <x:c r="Z86" s="6" t="str"/>
      <x:c r="AA86" s="6" t="str">
        <x:v>No / not compared</x:v>
      </x:c>
    </x:row>
    <x:row r="87" ht="57" customHeight="1">
      <x:c r="A87" s="6" t="str">
        <x:v>https://digitecme.com/ar/blog/range-rover-sport-service-dubai-guide</x:v>
      </x:c>
      <x:c r="B87" s="6" t="str"/>
      <x:c r="C87" s="6" t="str"/>
      <x:c r="D87" s="6" t="str">
        <x:v>article</x:v>
      </x:c>
      <x:c r="E87" s="6" t="str">
        <x:v>Retain differentiated role</x:v>
      </x:c>
      <x:c r="F87" s="6" t="str">
        <x:v>Local source render; live version unverified</x:v>
      </x:c>
      <x:c r="G87" s="6" t="str">
        <x:v>Range Rover Sport Service Dubai | JLR Specialist Guide</x:v>
      </x:c>
      <x:c r="H87" s="6" t="str">
        <x:v>Range Rover Sport Service Dubai | JLR Specialist Guide</x:v>
      </x:c>
      <x:c r="I87" s="6" t="str">
        <x:v>Range Rover Sport Service in Dubai: What to Watch</x:v>
      </x:c>
      <x:c r="J87" s="6" t="str">
        <x:v>Range Rover Sport Service in Dubai: What to Watch</x:v>
      </x:c>
      <x:c r="K87" s="6" t="str">
        <x:v>A Range Rover Sport service guide for Dubai: air suspension, cooling, electrical modules, drivetrain fluids and the checks that prevent roadside failures.</x:v>
      </x:c>
      <x:c r="L87" s="6" t="str">
        <x:v>Retain pending evidence; no specific content edit justified by this export.</x:v>
      </x:c>
      <x:c r="M87" s="6" t="str">
        <x:v>Retain; inspect relevant context before adding links</x:v>
      </x:c>
      <x:c r="N87" s="6" t="str">
        <x:v>Unconfirmed — no query/page pairing</x:v>
      </x:c>
      <x:c r="O87" s="6" t="str">
        <x:v>Retain established booking / WhatsApp / call path; live behaviour untested</x:v>
      </x:c>
      <x:c r="P87" s="6" t="str">
        <x:v>Retain canonical and indexation policy pending a live check.</x:v>
      </x:c>
      <x:c r="Q87" s="6" t="str">
        <x:v>Proposed; no website change made</x:v>
      </x:c>
      <x:c r="R87" s="14"/>
      <x:c r="S87" s="14"/>
      <x:c r="T87" s="15"/>
      <x:c r="U87" s="16"/>
      <x:c r="V87" s="6" t="str">
        <x:v>https://digitecme.com/ar/blog/range-rover-sport-service-dubai-guide</x:v>
      </x:c>
      <x:c r="W87" s="6" t="str">
        <x:v>Indexable directive</x:v>
      </x:c>
      <x:c r="X87" s="6" t="n">
        <x:v>4</x:v>
      </x:c>
      <x:c r="Y87" s="6" t="str">
        <x:v>Range Rover Sport Service Dubai | JLR Specialist Guide</x:v>
      </x:c>
      <x:c r="Z87" s="6" t="str"/>
      <x:c r="AA87" s="6" t="str">
        <x:v>No / not compared</x:v>
      </x:c>
    </x:row>
    <x:row r="88" ht="57" customHeight="1">
      <x:c r="A88" s="6" t="str">
        <x:v>https://digitecme.com/ar/blog/range-rover-vogue-service-dubai-guide</x:v>
      </x:c>
      <x:c r="B88" s="6" t="str"/>
      <x:c r="C88" s="6" t="str"/>
      <x:c r="D88" s="6" t="str">
        <x:v>article</x:v>
      </x:c>
      <x:c r="E88" s="6" t="str">
        <x:v>Retain differentiated role</x:v>
      </x:c>
      <x:c r="F88" s="6" t="str">
        <x:v>Local source render; live version unverified</x:v>
      </x:c>
      <x:c r="G88" s="6" t="str">
        <x:v>Range Rover Vogue Service Dubai | Maintenance and Repair Guide</x:v>
      </x:c>
      <x:c r="H88" s="6" t="str">
        <x:v>Range Rover Vogue Service Dubai | Maintenance and Repair Guide</x:v>
      </x:c>
      <x:c r="I88" s="6" t="str">
        <x:v>Range Rover Vogue Service in Dubai: Owner Guide</x:v>
      </x:c>
      <x:c r="J88" s="6" t="str">
        <x:v>Range Rover Vogue Service in Dubai: Owner Guide</x:v>
      </x:c>
      <x:c r="K88" s="6" t="str">
        <x:v>Range Rover Vogue service in Dubai: air suspension, cooling, electrical modules, brakes, fluid intervals and manufacturer level diagnostics explained.</x:v>
      </x:c>
      <x:c r="L88" s="6" t="str">
        <x:v>Retain pending evidence; no specific content edit justified by this export.</x:v>
      </x:c>
      <x:c r="M88" s="6" t="str">
        <x:v>Retain; inspect relevant context before adding links</x:v>
      </x:c>
      <x:c r="N88" s="6" t="str">
        <x:v>Unconfirmed — no query/page pairing</x:v>
      </x:c>
      <x:c r="O88" s="6" t="str">
        <x:v>Retain established booking / WhatsApp / call path; live behaviour untested</x:v>
      </x:c>
      <x:c r="P88" s="6" t="str">
        <x:v>Retain canonical and indexation policy pending a live check.</x:v>
      </x:c>
      <x:c r="Q88" s="6" t="str">
        <x:v>Proposed; no website change made</x:v>
      </x:c>
      <x:c r="R88" s="14"/>
      <x:c r="S88" s="14"/>
      <x:c r="T88" s="15"/>
      <x:c r="U88" s="16"/>
      <x:c r="V88" s="6" t="str">
        <x:v>https://digitecme.com/ar/blog/range-rover-vogue-service-dubai-guide</x:v>
      </x:c>
      <x:c r="W88" s="6" t="str">
        <x:v>Indexable directive</x:v>
      </x:c>
      <x:c r="X88" s="6" t="n">
        <x:v>4</x:v>
      </x:c>
      <x:c r="Y88" s="6" t="str">
        <x:v>Range Rover Vogue Service Dubai | Maintenance and Repair Guide</x:v>
      </x:c>
      <x:c r="Z88" s="6" t="str"/>
      <x:c r="AA88" s="6" t="str">
        <x:v>No / not compared</x:v>
      </x:c>
    </x:row>
    <x:row r="89" ht="42" customHeight="1">
      <x:c r="A89" s="6" t="str">
        <x:v>https://digitecme.com/ar/blog/rolls-royce-best-workshop-dubai</x:v>
      </x:c>
      <x:c r="B89" s="6" t="str"/>
      <x:c r="C89" s="6" t="str"/>
      <x:c r="D89" s="6" t="str">
        <x:v>article</x:v>
      </x:c>
      <x:c r="E89" s="6" t="str">
        <x:v>Retain differentiated role</x:v>
      </x:c>
      <x:c r="F89" s="6" t="str">
        <x:v>Local source render; live version unverified</x:v>
      </x:c>
      <x:c r="G89" s="6" t="str">
        <x:v>ورشة Rolls-Royce في دبي | ديجي-تك</x:v>
      </x:c>
      <x:c r="H89" s="6" t="str">
        <x:v>ورشة Rolls-Royce في دبي | ديجي-تك</x:v>
      </x:c>
      <x:c r="I89" s="6" t="str">
        <x:v>دليل ورشة Rolls-Royce المتخصصة في دبي</x:v>
      </x:c>
      <x:c r="J89" s="6" t="str">
        <x:v>دليل ورشة Rolls-Royce المتخصصة في دبي</x:v>
      </x:c>
      <x:c r="K89" s="6" t="str">
        <x:v>ورشة متخصصة في Rolls-Royce بدبي للفحص والصيانة والإصلاح. احجز لدى ديجي-تك في القوز للحصول على تشخيص واضح وخدمة احترافية.</x:v>
      </x:c>
      <x:c r="L89" s="6" t="str">
        <x:v>Retain pending evidence; no specific content edit justified by this export.</x:v>
      </x:c>
      <x:c r="M89" s="6" t="str">
        <x:v>Retain; inspect relevant context before adding links</x:v>
      </x:c>
      <x:c r="N89" s="6" t="str">
        <x:v>Unconfirmed — no query/page pairing</x:v>
      </x:c>
      <x:c r="O89" s="6" t="str">
        <x:v>Retain established booking / WhatsApp / call path; live behaviour untested</x:v>
      </x:c>
      <x:c r="P89" s="6" t="str">
        <x:v>Retain canonical and indexation policy pending a live check.</x:v>
      </x:c>
      <x:c r="Q89" s="6" t="str">
        <x:v>Proposed; no website change made</x:v>
      </x:c>
      <x:c r="R89" s="14" t="n">
        <x:v>0</x:v>
      </x:c>
      <x:c r="S89" s="14" t="n">
        <x:v>6</x:v>
      </x:c>
      <x:c r="T89" s="15" t="n">
        <x:v>0</x:v>
      </x:c>
      <x:c r="U89" s="16" t="n">
        <x:v>18.67</x:v>
      </x:c>
      <x:c r="V89" s="6" t="str">
        <x:v>https://digitecme.com/ar/blog/rolls-royce-best-workshop-dubai</x:v>
      </x:c>
      <x:c r="W89" s="6" t="str">
        <x:v>Indexable directive</x:v>
      </x:c>
      <x:c r="X89" s="6" t="n">
        <x:v>4</x:v>
      </x:c>
      <x:c r="Y89" s="6" t="str">
        <x:v>ورشة Rolls-Royce في دبي | ديجي-تك</x:v>
      </x:c>
      <x:c r="Z89" s="6" t="str"/>
      <x:c r="AA89" s="6" t="str">
        <x:v>No / not compared</x:v>
      </x:c>
    </x:row>
    <x:row r="90" ht="42" customHeight="1">
      <x:c r="A90" s="6" t="str">
        <x:v>https://digitecme.com/ar/blog/rolls-royce-ghost-service-dubai-guide</x:v>
      </x:c>
      <x:c r="B90" s="6" t="str"/>
      <x:c r="C90" s="6" t="str"/>
      <x:c r="D90" s="6" t="str">
        <x:v>article</x:v>
      </x:c>
      <x:c r="E90" s="6" t="str">
        <x:v>Retain differentiated role</x:v>
      </x:c>
      <x:c r="F90" s="6" t="str">
        <x:v>Local source render; live version unverified</x:v>
      </x:c>
      <x:c r="G90" s="6" t="str">
        <x:v>Rolls-Royce Ghost Service Dubai | Maintenance and Repair Guide</x:v>
      </x:c>
      <x:c r="H90" s="6" t="str">
        <x:v>Rolls-Royce Ghost Service Dubai | Maintenance and Repair Guide</x:v>
      </x:c>
      <x:c r="I90" s="6" t="str">
        <x:v>Rolls-Royce Ghost Service in Dubai: Owner Guide</x:v>
      </x:c>
      <x:c r="J90" s="6" t="str">
        <x:v>Rolls-Royce Ghost Service in Dubai: Owner Guide</x:v>
      </x:c>
      <x:c r="K90" s="6" t="str">
        <x:v>Rolls-Royce Ghost service in Dubai: maintenance planning, suspension, cooling, battery, brakes and diagnostic concerns explained for owners.</x:v>
      </x:c>
      <x:c r="L90" s="6" t="str">
        <x:v>Retain pending evidence; no specific content edit justified by this export.</x:v>
      </x:c>
      <x:c r="M90" s="6" t="str">
        <x:v>Retain; inspect relevant context before adding links</x:v>
      </x:c>
      <x:c r="N90" s="6" t="str">
        <x:v>Unconfirmed — no query/page pairing</x:v>
      </x:c>
      <x:c r="O90" s="6" t="str">
        <x:v>Retain established booking / WhatsApp / call path; live behaviour untested</x:v>
      </x:c>
      <x:c r="P90" s="6" t="str">
        <x:v>Retain canonical and indexation policy pending a live check.</x:v>
      </x:c>
      <x:c r="Q90" s="6" t="str">
        <x:v>Proposed; no website change made</x:v>
      </x:c>
      <x:c r="R90" s="14"/>
      <x:c r="S90" s="14"/>
      <x:c r="T90" s="15"/>
      <x:c r="U90" s="16"/>
      <x:c r="V90" s="6" t="str">
        <x:v>https://digitecme.com/ar/blog/rolls-royce-ghost-service-dubai-guide</x:v>
      </x:c>
      <x:c r="W90" s="6" t="str">
        <x:v>Indexable directive</x:v>
      </x:c>
      <x:c r="X90" s="6" t="n">
        <x:v>4</x:v>
      </x:c>
      <x:c r="Y90" s="6" t="str">
        <x:v>Rolls-Royce Ghost Service Dubai | Maintenance and Repair Guide</x:v>
      </x:c>
      <x:c r="Z90" s="6" t="str"/>
      <x:c r="AA90" s="6" t="str">
        <x:v>No / not compared</x:v>
      </x:c>
    </x:row>
    <x:row r="91" ht="57" customHeight="1">
      <x:c r="A91" s="6" t="str">
        <x:v>https://digitecme.com/ar/blog/summer-car-preparation-dubai-checklist</x:v>
      </x:c>
      <x:c r="B91" s="6" t="str"/>
      <x:c r="C91" s="6" t="str"/>
      <x:c r="D91" s="6" t="str">
        <x:v>article</x:v>
      </x:c>
      <x:c r="E91" s="6" t="str">
        <x:v>Retain differentiated role</x:v>
      </x:c>
      <x:c r="F91" s="6" t="str">
        <x:v>Local source render; live version unverified</x:v>
      </x:c>
      <x:c r="G91" s="6" t="str">
        <x:v>Summer Car Check Dubai | Preparation Checklist Before Heat</x:v>
      </x:c>
      <x:c r="H91" s="6" t="str">
        <x:v>Summer Car Check Dubai | Preparation Checklist Before Heat</x:v>
      </x:c>
      <x:c r="I91" s="6" t="str">
        <x:v>Summer Car Preparation in Dubai: A Practical Checklist</x:v>
      </x:c>
      <x:c r="J91" s="6" t="str">
        <x:v>Summer Car Preparation in Dubai: A Practical Checklist</x:v>
      </x:c>
      <x:c r="K91" s="6" t="str">
        <x:v>A practical summer car preparation checklist for Dubai: cooling, AC, battery, tyres, fluids and the checks that prevent breakdowns in peak heat.</x:v>
      </x:c>
      <x:c r="L91" s="6" t="str">
        <x:v>Retain pending evidence; no specific content edit justified by this export.</x:v>
      </x:c>
      <x:c r="M91" s="6" t="str">
        <x:v>Retain; inspect relevant context before adding links</x:v>
      </x:c>
      <x:c r="N91" s="6" t="str">
        <x:v>Unconfirmed — no query/page pairing</x:v>
      </x:c>
      <x:c r="O91" s="6" t="str">
        <x:v>Retain established booking / WhatsApp / call path; live behaviour untested</x:v>
      </x:c>
      <x:c r="P91" s="6" t="str">
        <x:v>Retain canonical and indexation policy pending a live check.</x:v>
      </x:c>
      <x:c r="Q91" s="6" t="str">
        <x:v>Proposed; no website change made</x:v>
      </x:c>
      <x:c r="R91" s="14"/>
      <x:c r="S91" s="14"/>
      <x:c r="T91" s="15"/>
      <x:c r="U91" s="16"/>
      <x:c r="V91" s="6" t="str">
        <x:v>https://digitecme.com/ar/blog/summer-car-preparation-dubai-checklist</x:v>
      </x:c>
      <x:c r="W91" s="6" t="str">
        <x:v>Indexable directive</x:v>
      </x:c>
      <x:c r="X91" s="6" t="n">
        <x:v>4</x:v>
      </x:c>
      <x:c r="Y91" s="6" t="str">
        <x:v>Summer Car Check Dubai | Preparation Checklist Before Heat</x:v>
      </x:c>
      <x:c r="Z91" s="6" t="str"/>
      <x:c r="AA91" s="6" t="str">
        <x:v>No / not compared</x:v>
      </x:c>
    </x:row>
    <x:row r="92" ht="42" customHeight="1">
      <x:c r="A92" s="6" t="str">
        <x:v>https://digitecme.com/ar/blog/toyota-best-workshop-dubai</x:v>
      </x:c>
      <x:c r="B92" s="6" t="str"/>
      <x:c r="C92" s="6" t="str"/>
      <x:c r="D92" s="6" t="str">
        <x:v>article</x:v>
      </x:c>
      <x:c r="E92" s="6" t="str">
        <x:v>Retain differentiated role</x:v>
      </x:c>
      <x:c r="F92" s="6" t="str">
        <x:v>Local source render; live version unverified</x:v>
      </x:c>
      <x:c r="G92" s="6" t="str">
        <x:v>ورشة Toyota في دبي | ديجي-تك</x:v>
      </x:c>
      <x:c r="H92" s="6" t="str">
        <x:v>ورشة Toyota في دبي | ديجي-تك</x:v>
      </x:c>
      <x:c r="I92" s="6" t="str">
        <x:v>دليل ورشة Toyota المتخصصة في دبي</x:v>
      </x:c>
      <x:c r="J92" s="6" t="str">
        <x:v>دليل ورشة Toyota المتخصصة في دبي</x:v>
      </x:c>
      <x:c r="K92" s="6" t="str">
        <x:v>ورشة متخصصة في Toyota بدبي للفحص والصيانة والإصلاح. احجز لدى ديجي-تك في القوز للحصول على تشخيص واضح وخدمة احترافية.</x:v>
      </x:c>
      <x:c r="L92" s="6" t="str">
        <x:v>Retain pending evidence; no specific content edit justified by this export.</x:v>
      </x:c>
      <x:c r="M92" s="6" t="str">
        <x:v>Retain; inspect relevant context before adding links</x:v>
      </x:c>
      <x:c r="N92" s="6" t="str">
        <x:v>Unconfirmed — no query/page pairing</x:v>
      </x:c>
      <x:c r="O92" s="6" t="str">
        <x:v>Retain established booking / WhatsApp / call path; live behaviour untested</x:v>
      </x:c>
      <x:c r="P92" s="6" t="str">
        <x:v>Retain canonical and indexation policy pending a live check.</x:v>
      </x:c>
      <x:c r="Q92" s="6" t="str">
        <x:v>Proposed; no website change made</x:v>
      </x:c>
      <x:c r="R92" s="14" t="n">
        <x:v>0</x:v>
      </x:c>
      <x:c r="S92" s="14" t="n">
        <x:v>5</x:v>
      </x:c>
      <x:c r="T92" s="15" t="n">
        <x:v>0</x:v>
      </x:c>
      <x:c r="U92" s="16" t="n">
        <x:v>9.4</x:v>
      </x:c>
      <x:c r="V92" s="6" t="str">
        <x:v>https://digitecme.com/ar/blog/toyota-best-workshop-dubai</x:v>
      </x:c>
      <x:c r="W92" s="6" t="str">
        <x:v>Indexable directive</x:v>
      </x:c>
      <x:c r="X92" s="6" t="n">
        <x:v>4</x:v>
      </x:c>
      <x:c r="Y92" s="6" t="str">
        <x:v>ورشة Toyota في دبي | ديجي-تك</x:v>
      </x:c>
      <x:c r="Z92" s="6" t="str"/>
      <x:c r="AA92" s="6" t="str">
        <x:v>No / not compared</x:v>
      </x:c>
    </x:row>
    <x:row r="93" ht="57" customHeight="1">
      <x:c r="A93" s="6" t="str">
        <x:v>https://digitecme.com/ar/blog/transmission-service-7g-9g-dubai</x:v>
      </x:c>
      <x:c r="B93" s="6" t="str"/>
      <x:c r="C93" s="6" t="str"/>
      <x:c r="D93" s="6" t="str">
        <x:v>article</x:v>
      </x:c>
      <x:c r="E93" s="6" t="str">
        <x:v>Retain differentiated role</x:v>
      </x:c>
      <x:c r="F93" s="6" t="str">
        <x:v>Local source render; live version unverified</x:v>
      </x:c>
      <x:c r="G93" s="6" t="str">
        <x:v>Automatic Transmission Service Dubai | Fluid, Filter and Repair</x:v>
      </x:c>
      <x:c r="H93" s="6" t="str">
        <x:v>Automatic Transmission Service Dubai | Fluid, Filter and Repair</x:v>
      </x:c>
      <x:c r="I93" s="6" t="str">
        <x:v>Automatic Transmission Service in Dubai: 7G, 9G and ZF</x:v>
      </x:c>
      <x:c r="J93" s="6" t="str">
        <x:v>Automatic Transmission Service in Dubai: 7G, 9G and ZF</x:v>
      </x:c>
      <x:c r="K93" s="6" t="str">
        <x:v>Automatic transmission service in Dubai explained: when fluid should be changed, what a proper service includes, and the symptoms that need diagnosis first.</x:v>
      </x:c>
      <x:c r="L93" s="6" t="str">
        <x:v>Retain pending evidence; no specific content edit justified by this export.</x:v>
      </x:c>
      <x:c r="M93" s="6" t="str">
        <x:v>Retain; inspect relevant context before adding links</x:v>
      </x:c>
      <x:c r="N93" s="6" t="str">
        <x:v>Unconfirmed — no query/page pairing</x:v>
      </x:c>
      <x:c r="O93" s="6" t="str">
        <x:v>Retain established booking / WhatsApp / call path; live behaviour untested</x:v>
      </x:c>
      <x:c r="P93" s="6" t="str">
        <x:v>Retain canonical and indexation policy pending a live check.</x:v>
      </x:c>
      <x:c r="Q93" s="6" t="str">
        <x:v>Proposed; no website change made</x:v>
      </x:c>
      <x:c r="R93" s="14" t="n">
        <x:v>0</x:v>
      </x:c>
      <x:c r="S93" s="14" t="n">
        <x:v>1</x:v>
      </x:c>
      <x:c r="T93" s="15" t="n">
        <x:v>0</x:v>
      </x:c>
      <x:c r="U93" s="16" t="n">
        <x:v>8</x:v>
      </x:c>
      <x:c r="V93" s="6" t="str">
        <x:v>https://digitecme.com/ar/blog/transmission-service-7g-9g-dubai</x:v>
      </x:c>
      <x:c r="W93" s="6" t="str">
        <x:v>Indexable directive</x:v>
      </x:c>
      <x:c r="X93" s="6" t="n">
        <x:v>4</x:v>
      </x:c>
      <x:c r="Y93" s="6" t="str">
        <x:v>Automatic Transmission Service Dubai | Fluid, Filter and Repair</x:v>
      </x:c>
      <x:c r="Z93" s="6" t="str"/>
      <x:c r="AA93" s="6" t="str">
        <x:v>No / not compared</x:v>
      </x:c>
    </x:row>
    <x:row r="94" ht="42" customHeight="1">
      <x:c r="A94" s="6" t="str">
        <x:v>https://digitecme.com/ar/blog/volkswagen-best-workshop-dubai</x:v>
      </x:c>
      <x:c r="B94" s="6" t="str"/>
      <x:c r="C94" s="6" t="str"/>
      <x:c r="D94" s="6" t="str">
        <x:v>article</x:v>
      </x:c>
      <x:c r="E94" s="6" t="str">
        <x:v>Retain differentiated role</x:v>
      </x:c>
      <x:c r="F94" s="6" t="str">
        <x:v>Local source render; live version unverified</x:v>
      </x:c>
      <x:c r="G94" s="6" t="str">
        <x:v>ورشة Volkswagen في دبي | ديجي-تك</x:v>
      </x:c>
      <x:c r="H94" s="6" t="str">
        <x:v>ورشة Volkswagen في دبي | ديجي-تك</x:v>
      </x:c>
      <x:c r="I94" s="6" t="str">
        <x:v>دليل ورشة Volkswagen المتخصصة في دبي</x:v>
      </x:c>
      <x:c r="J94" s="6" t="str">
        <x:v>دليل ورشة Volkswagen المتخصصة في دبي</x:v>
      </x:c>
      <x:c r="K94" s="6" t="str">
        <x:v>ورشة متخصصة في Volkswagen بدبي للفحص والصيانة والإصلاح. احجز لدى ديجي-تك في القوز للحصول على تشخيص واضح وخدمة احترافية.</x:v>
      </x:c>
      <x:c r="L94" s="6" t="str">
        <x:v>Retain pending evidence; no specific content edit justified by this export.</x:v>
      </x:c>
      <x:c r="M94" s="6" t="str">
        <x:v>Retain; inspect relevant context before adding links</x:v>
      </x:c>
      <x:c r="N94" s="6" t="str">
        <x:v>Unconfirmed — no query/page pairing</x:v>
      </x:c>
      <x:c r="O94" s="6" t="str">
        <x:v>Retain established booking / WhatsApp / call path; live behaviour untested</x:v>
      </x:c>
      <x:c r="P94" s="6" t="str">
        <x:v>Retain canonical and indexation policy pending a live check.</x:v>
      </x:c>
      <x:c r="Q94" s="6" t="str">
        <x:v>Proposed; no website change made</x:v>
      </x:c>
      <x:c r="R94" s="14" t="n">
        <x:v>0</x:v>
      </x:c>
      <x:c r="S94" s="14" t="n">
        <x:v>1</x:v>
      </x:c>
      <x:c r="T94" s="15" t="n">
        <x:v>0</x:v>
      </x:c>
      <x:c r="U94" s="16" t="n">
        <x:v>11</x:v>
      </x:c>
      <x:c r="V94" s="6" t="str">
        <x:v>https://digitecme.com/ar/blog/volkswagen-best-workshop-dubai</x:v>
      </x:c>
      <x:c r="W94" s="6" t="str">
        <x:v>Indexable directive</x:v>
      </x:c>
      <x:c r="X94" s="6" t="n">
        <x:v>4</x:v>
      </x:c>
      <x:c r="Y94" s="6" t="str">
        <x:v>ورشة Volkswagen في دبي | ديجي-تك</x:v>
      </x:c>
      <x:c r="Z94" s="6" t="str"/>
      <x:c r="AA94" s="6" t="str">
        <x:v>No / not compared</x:v>
      </x:c>
    </x:row>
    <x:row r="95" ht="42" customHeight="1">
      <x:c r="A95" s="6" t="str">
        <x:v>https://digitecme.com/ar/blog/why-ceramic-coating-matters-uae</x:v>
      </x:c>
      <x:c r="B95" s="6" t="str"/>
      <x:c r="C95" s="6" t="str"/>
      <x:c r="D95" s="6" t="str">
        <x:v>article</x:v>
      </x:c>
      <x:c r="E95" s="6" t="str">
        <x:v>Retain differentiated role</x:v>
      </x:c>
      <x:c r="F95" s="6" t="str">
        <x:v>Local source render; live version unverified</x:v>
      </x:c>
      <x:c r="G95" s="6" t="str">
        <x:v>الطلاء السيراميكي للسيارات في الإمارات | دليل الحماية</x:v>
      </x:c>
      <x:c r="H95" s="6" t="str">
        <x:v>الطلاء السيراميكي للسيارات في الإمارات | دليل الحماية</x:v>
      </x:c>
      <x:c r="I95" s="6" t="str">
        <x:v>لماذا يهم الطلاء السيراميكي في الإمارات؟</x:v>
      </x:c>
      <x:c r="J95" s="6" t="str">
        <x:v>لماذا يهم الطلاء السيراميكي في الإمارات؟</x:v>
      </x:c>
      <x:c r="K95" s="6" t="str">
        <x:v>دليل فوائد الطلاء السيراميكي في الإمارات وحماية دهان السيارة من الشمس والغبار والرطوبة مع توضيح الفرق بينه وبين الشمع وPPF.</x:v>
      </x:c>
      <x:c r="L95" s="6" t="str">
        <x:v>Retain pending evidence; no specific content edit justified by this export.</x:v>
      </x:c>
      <x:c r="M95" s="6" t="str">
        <x:v>Retain; inspect relevant context before adding links</x:v>
      </x:c>
      <x:c r="N95" s="6" t="str">
        <x:v>Unconfirmed — no query/page pairing</x:v>
      </x:c>
      <x:c r="O95" s="6" t="str">
        <x:v>Retain established booking / WhatsApp / call path; live behaviour untested</x:v>
      </x:c>
      <x:c r="P95" s="6" t="str">
        <x:v>Retain canonical and indexation policy pending a live check.</x:v>
      </x:c>
      <x:c r="Q95" s="6" t="str">
        <x:v>Proposed; no website change made</x:v>
      </x:c>
      <x:c r="R95" s="14"/>
      <x:c r="S95" s="14"/>
      <x:c r="T95" s="15"/>
      <x:c r="U95" s="16"/>
      <x:c r="V95" s="6" t="str">
        <x:v>https://digitecme.com/ar/blog/why-ceramic-coating-matters-uae</x:v>
      </x:c>
      <x:c r="W95" s="6" t="str">
        <x:v>Indexable directive</x:v>
      </x:c>
      <x:c r="X95" s="6" t="n">
        <x:v>4</x:v>
      </x:c>
      <x:c r="Y95" s="6" t="str">
        <x:v>الطلاء السيراميكي للسيارات في الإمارات | دليل الحماية</x:v>
      </x:c>
      <x:c r="Z95" s="6" t="str"/>
      <x:c r="AA95" s="6" t="str">
        <x:v>No / not compared</x:v>
      </x:c>
    </x:row>
    <x:row r="96" ht="42" customHeight="1">
      <x:c r="A96" s="6" t="str">
        <x:v>https://digitecme.com/ar/brands</x:v>
      </x:c>
      <x:c r="B96" s="6" t="str"/>
      <x:c r="C96" s="6" t="str"/>
      <x:c r="D96" s="6" t="str">
        <x:v>brands-hub</x:v>
      </x:c>
      <x:c r="E96" s="6" t="str">
        <x:v>Retain differentiated role</x:v>
      </x:c>
      <x:c r="F96" s="6" t="str">
        <x:v>Local source render; live version unverified</x:v>
      </x:c>
      <x:c r="G96" s="6" t="str">
        <x:v>علامات السيارات التي نخدمها | ديجي-تك دبي</x:v>
      </x:c>
      <x:c r="H96" s="6" t="str">
        <x:v>علامات السيارات التي نخدمها | ديجي-تك دبي</x:v>
      </x:c>
      <x:c r="I96" s="6" t="str">
        <x:v>علامات السيارات الفاخرة وعالية الأداء</x:v>
      </x:c>
      <x:c r="J96" s="6" t="str">
        <x:v>علامات السيارات الفاخرة وعالية الأداء</x:v>
      </x:c>
      <x:c r="K96" s="6" t="str">
        <x:v>استكشف علامات السيارات الفاخرة وعالية الأداء التي نخدمها لدى مركز ديجي-تك في القوز، دبي.</x:v>
      </x:c>
      <x:c r="L96" s="6" t="str">
        <x:v>Retain pending evidence; no specific content edit justified by this export.</x:v>
      </x:c>
      <x:c r="M96" s="6" t="str">
        <x:v>Retain; inspect relevant context before adding links</x:v>
      </x:c>
      <x:c r="N96" s="6" t="str">
        <x:v>Unconfirmed — no query/page pairing</x:v>
      </x:c>
      <x:c r="O96" s="6" t="str">
        <x:v>Retain established booking / WhatsApp / call path; live behaviour untested</x:v>
      </x:c>
      <x:c r="P96" s="6" t="str">
        <x:v>Retain canonical and indexation policy pending a live check.</x:v>
      </x:c>
      <x:c r="Q96" s="6" t="str">
        <x:v>Proposed; no website change made</x:v>
      </x:c>
      <x:c r="R96" s="14"/>
      <x:c r="S96" s="14"/>
      <x:c r="T96" s="15"/>
      <x:c r="U96" s="16"/>
      <x:c r="V96" s="6" t="str">
        <x:v>https://digitecme.com/ar/brands</x:v>
      </x:c>
      <x:c r="W96" s="6" t="str">
        <x:v>Indexable directive</x:v>
      </x:c>
      <x:c r="X96" s="6" t="n">
        <x:v>669</x:v>
      </x:c>
      <x:c r="Y96" s="6" t="str">
        <x:v>علامات السيارات التي نخدمها | ديجي-تك دبي</x:v>
      </x:c>
      <x:c r="Z96" s="6" t="str"/>
      <x:c r="AA96" s="6" t="str">
        <x:v>No / not compared</x:v>
      </x:c>
    </x:row>
    <x:row r="97" ht="42" customHeight="1">
      <x:c r="A97" s="6" t="str">
        <x:v>https://digitecme.com/ar/brands/abarth-service-dubai</x:v>
      </x:c>
      <x:c r="B97" s="6" t="str"/>
      <x:c r="C97" s="6" t="str"/>
      <x:c r="D97" s="6" t="str">
        <x:v>brand</x:v>
      </x:c>
      <x:c r="E97" s="6" t="str">
        <x:v>Retain differentiated role</x:v>
      </x:c>
      <x:c r="F97" s="6" t="str">
        <x:v>Local source render; live version unverified</x:v>
      </x:c>
      <x:c r="G97" s="6" t="str">
        <x:v>إصلاح وصيانة Abarth في دبي | مركز ديجي-تك</x:v>
      </x:c>
      <x:c r="H97" s="6" t="str">
        <x:v>إصلاح وصيانة Abarth في دبي | مركز ديجي-تك</x:v>
      </x:c>
      <x:c r="I97" s="6" t="str">
        <x:v>Abarth للإصلاح والصيانة في دبي</x:v>
      </x:c>
      <x:c r="J97" s="6" t="str">
        <x:v>Abarth للإصلاح والصيانة في دبي</x:v>
      </x:c>
      <x:c r="K97" s="6" t="str">
        <x:v>إصلاح وصيانة Abarth في دبي: تشخيص وصيانة وفرامل وناقل حركة وتعليق وتكييف مع قطع بالمواصفات المناسبة لدى مركز ديجي-تك.</x:v>
      </x:c>
      <x:c r="L97" s="6" t="str">
        <x:v>Retain pending evidence; no specific content edit justified by this export.</x:v>
      </x:c>
      <x:c r="M97" s="6" t="str">
        <x:v>Retain; inspect relevant context before adding links</x:v>
      </x:c>
      <x:c r="N97" s="6" t="str">
        <x:v>Unconfirmed — no query/page pairing</x:v>
      </x:c>
      <x:c r="O97" s="6" t="str">
        <x:v>Retain established booking / WhatsApp / call path; live behaviour untested</x:v>
      </x:c>
      <x:c r="P97" s="6" t="str">
        <x:v>Retain canonical and indexation policy pending a live check.</x:v>
      </x:c>
      <x:c r="Q97" s="6" t="str">
        <x:v>Proposed; no website change made</x:v>
      </x:c>
      <x:c r="R97" s="14" t="n">
        <x:v>0</x:v>
      </x:c>
      <x:c r="S97" s="14" t="n">
        <x:v>1</x:v>
      </x:c>
      <x:c r="T97" s="15" t="n">
        <x:v>0</x:v>
      </x:c>
      <x:c r="U97" s="16" t="n">
        <x:v>5</x:v>
      </x:c>
      <x:c r="V97" s="6" t="str">
        <x:v>https://digitecme.com/ar/brands/abarth-service-dubai</x:v>
      </x:c>
      <x:c r="W97" s="6" t="str">
        <x:v>Indexable directive</x:v>
      </x:c>
      <x:c r="X97" s="6" t="n">
        <x:v>30</x:v>
      </x:c>
      <x:c r="Y97" s="6" t="str">
        <x:v>إصلاح وصيانة Abarth في دبي | مركز ديجي-تك</x:v>
      </x:c>
      <x:c r="Z97" s="6" t="str"/>
      <x:c r="AA97" s="6" t="str">
        <x:v>No / not compared</x:v>
      </x:c>
    </x:row>
    <x:row r="98" ht="42" customHeight="1">
      <x:c r="A98" s="6" t="str">
        <x:v>https://digitecme.com/ar/brands/abarth-service-dubai/ac-repair</x:v>
      </x:c>
      <x:c r="B98" s="6" t="str"/>
      <x:c r="C98" s="6" t="str"/>
      <x:c r="D98" s="6" t="str">
        <x:v>brand-service</x:v>
      </x:c>
      <x:c r="E98" s="6" t="str">
        <x:v>Retain differentiated role</x:v>
      </x:c>
      <x:c r="F98" s="6" t="str">
        <x:v>Local source render; live version unverified</x:v>
      </x:c>
      <x:c r="G98" s="6" t="str">
        <x:v>إصلاح التكييف Abarth في دبي | ديجي-تك</x:v>
      </x:c>
      <x:c r="H98" s="6" t="str">
        <x:v>إصلاح التكييف Abarth في دبي | ديجي-تك</x:v>
      </x:c>
      <x:c r="I98" s="6" t="str">
        <x:v>إصلاح التكييف Abarth في دبي</x:v>
      </x:c>
      <x:c r="J98" s="6" t="str">
        <x:v>إصلاح التكييف Abarth في دبي</x:v>
      </x:c>
      <x:c r="K98" s="6" t="str">
        <x:v>إصلاح التكييف متخصص لسيارات Abarth في دبي مع تشخيص متقدم وقطع مناسبة وتسعير واضح لدى مركز ديجي-تك.</x:v>
      </x:c>
      <x:c r="L98" s="6" t="str">
        <x:v>Retain pending evidence; no specific content edit justified by this export.</x:v>
      </x:c>
      <x:c r="M98" s="6" t="str">
        <x:v>Retain; inspect relevant context before adding links</x:v>
      </x:c>
      <x:c r="N98" s="6" t="str">
        <x:v>Unconfirmed — no query/page pairing</x:v>
      </x:c>
      <x:c r="O98" s="6" t="str">
        <x:v>Retain established booking / WhatsApp / call path; live behaviour untested</x:v>
      </x:c>
      <x:c r="P98" s="6" t="str">
        <x:v>Retain canonical and indexation policy pending a live check.</x:v>
      </x:c>
      <x:c r="Q98" s="6" t="str">
        <x:v>Proposed; no website change made</x:v>
      </x:c>
      <x:c r="R98" s="14"/>
      <x:c r="S98" s="14"/>
      <x:c r="T98" s="15"/>
      <x:c r="U98" s="16"/>
      <x:c r="V98" s="6" t="str">
        <x:v>https://digitecme.com/ar/brands/abarth-service-dubai/ac-repair</x:v>
      </x:c>
      <x:c r="W98" s="6" t="str">
        <x:v>Indexable directive</x:v>
      </x:c>
      <x:c r="X98" s="6" t="n">
        <x:v>8</x:v>
      </x:c>
      <x:c r="Y98" s="6" t="str">
        <x:v>إصلاح التكييف Abarth في دبي | ديجي-تك</x:v>
      </x:c>
      <x:c r="Z98" s="6" t="str"/>
      <x:c r="AA98" s="6" t="str">
        <x:v>No / not compared</x:v>
      </x:c>
    </x:row>
    <x:row r="99" ht="42" customHeight="1">
      <x:c r="A99" s="6" t="str">
        <x:v>https://digitecme.com/ar/brands/abarth-service-dubai/brake-repair</x:v>
      </x:c>
      <x:c r="B99" s="6" t="str"/>
      <x:c r="C99" s="6" t="str"/>
      <x:c r="D99" s="6" t="str">
        <x:v>brand-service</x:v>
      </x:c>
      <x:c r="E99" s="6" t="str">
        <x:v>Retain differentiated role</x:v>
      </x:c>
      <x:c r="F99" s="6" t="str">
        <x:v>Local source render; live version unverified</x:v>
      </x:c>
      <x:c r="G99" s="6" t="str">
        <x:v>إصلاح الفرامل Abarth في دبي | ديجي-تك</x:v>
      </x:c>
      <x:c r="H99" s="6" t="str">
        <x:v>إصلاح الفرامل Abarth في دبي | ديجي-تك</x:v>
      </x:c>
      <x:c r="I99" s="6" t="str">
        <x:v>إصلاح الفرامل Abarth في دبي</x:v>
      </x:c>
      <x:c r="J99" s="6" t="str">
        <x:v>إصلاح الفرامل Abarth في دبي</x:v>
      </x:c>
      <x:c r="K99" s="6" t="str">
        <x:v>إصلاح الفرامل متخصص لسيارات Abarth في دبي مع تشخيص متقدم وقطع مناسبة وتسعير واضح لدى مركز ديجي-تك.</x:v>
      </x:c>
      <x:c r="L99" s="6" t="str">
        <x:v>Retain pending evidence; no specific content edit justified by this export.</x:v>
      </x:c>
      <x:c r="M99" s="6" t="str">
        <x:v>Retain; inspect relevant context before adding links</x:v>
      </x:c>
      <x:c r="N99" s="6" t="str">
        <x:v>Unconfirmed — no query/page pairing</x:v>
      </x:c>
      <x:c r="O99" s="6" t="str">
        <x:v>Retain established booking / WhatsApp / call path; live behaviour untested</x:v>
      </x:c>
      <x:c r="P99" s="6" t="str">
        <x:v>Retain canonical and indexation policy pending a live check.</x:v>
      </x:c>
      <x:c r="Q99" s="6" t="str">
        <x:v>Proposed; no website change made</x:v>
      </x:c>
      <x:c r="R99" s="14"/>
      <x:c r="S99" s="14"/>
      <x:c r="T99" s="15"/>
      <x:c r="U99" s="16"/>
      <x:c r="V99" s="6" t="str">
        <x:v>https://digitecme.com/ar/brands/abarth-service-dubai/brake-repair</x:v>
      </x:c>
      <x:c r="W99" s="6" t="str">
        <x:v>Indexable directive</x:v>
      </x:c>
      <x:c r="X99" s="6" t="n">
        <x:v>8</x:v>
      </x:c>
      <x:c r="Y99" s="6" t="str">
        <x:v>إصلاح الفرامل Abarth في دبي | ديجي-تك</x:v>
      </x:c>
      <x:c r="Z99" s="6" t="str"/>
      <x:c r="AA99" s="6" t="str">
        <x:v>No / not compared</x:v>
      </x:c>
    </x:row>
    <x:row r="100" ht="42" customHeight="1">
      <x:c r="A100" s="6" t="str">
        <x:v>https://digitecme.com/ar/brands/abarth-service-dubai/engine-diagnostics</x:v>
      </x:c>
      <x:c r="B100" s="6" t="str"/>
      <x:c r="C100" s="6" t="str"/>
      <x:c r="D100" s="6" t="str">
        <x:v>brand-service</x:v>
      </x:c>
      <x:c r="E100" s="6" t="str">
        <x:v>Retain differentiated role</x:v>
      </x:c>
      <x:c r="F100" s="6" t="str">
        <x:v>Local source render; live version unverified</x:v>
      </x:c>
      <x:c r="G100" s="6" t="str">
        <x:v>تشخيص المحرك Abarth في دبي | ديجي-تك</x:v>
      </x:c>
      <x:c r="H100" s="6" t="str">
        <x:v>تشخيص المحرك Abarth في دبي | ديجي-تك</x:v>
      </x:c>
      <x:c r="I100" s="6" t="str">
        <x:v>تشخيص المحرك Abarth في دبي</x:v>
      </x:c>
      <x:c r="J100" s="6" t="str">
        <x:v>تشخيص المحرك Abarth في دبي</x:v>
      </x:c>
      <x:c r="K100" s="6" t="str">
        <x:v>تشخيص المحرك متخصص لسيارات Abarth في دبي مع تشخيص متقدم وقطع مناسبة وتسعير واضح لدى مركز ديجي-تك.</x:v>
      </x:c>
      <x:c r="L100" s="6" t="str">
        <x:v>Retain pending evidence; no specific content edit justified by this export.</x:v>
      </x:c>
      <x:c r="M100" s="6" t="str">
        <x:v>Retain; inspect relevant context before adding links</x:v>
      </x:c>
      <x:c r="N100" s="6" t="str">
        <x:v>Unconfirmed — no query/page pairing</x:v>
      </x:c>
      <x:c r="O100" s="6" t="str">
        <x:v>Retain established booking / WhatsApp / call path; live behaviour untested</x:v>
      </x:c>
      <x:c r="P100" s="6" t="str">
        <x:v>Retain canonical and indexation policy pending a live check.</x:v>
      </x:c>
      <x:c r="Q100" s="6" t="str">
        <x:v>Proposed; no website change made</x:v>
      </x:c>
      <x:c r="R100" s="14" t="n">
        <x:v>0</x:v>
      </x:c>
      <x:c r="S100" s="14" t="n">
        <x:v>1</x:v>
      </x:c>
      <x:c r="T100" s="15" t="n">
        <x:v>0</x:v>
      </x:c>
      <x:c r="U100" s="16" t="n">
        <x:v>9</x:v>
      </x:c>
      <x:c r="V100" s="6" t="str">
        <x:v>https://digitecme.com/ar/brands/abarth-service-dubai/engine-diagnostics</x:v>
      </x:c>
      <x:c r="W100" s="6" t="str">
        <x:v>Indexable directive</x:v>
      </x:c>
      <x:c r="X100" s="6" t="n">
        <x:v>8</x:v>
      </x:c>
      <x:c r="Y100" s="6" t="str">
        <x:v>تشخيص المحرك Abarth في دبي | ديجي-تك</x:v>
      </x:c>
      <x:c r="Z100" s="6" t="str"/>
      <x:c r="AA100" s="6" t="str">
        <x:v>No / not compared</x:v>
      </x:c>
    </x:row>
    <x:row r="101" ht="42" customHeight="1">
      <x:c r="A101" s="6" t="str">
        <x:v>https://digitecme.com/ar/brands/abarth-service-dubai/oil-change</x:v>
      </x:c>
      <x:c r="B101" s="6" t="str"/>
      <x:c r="C101" s="6" t="str"/>
      <x:c r="D101" s="6" t="str">
        <x:v>brand-service</x:v>
      </x:c>
      <x:c r="E101" s="6" t="str">
        <x:v>Retain differentiated role</x:v>
      </x:c>
      <x:c r="F101" s="6" t="str">
        <x:v>Local source render; live version unverified</x:v>
      </x:c>
      <x:c r="G101" s="6" t="str">
        <x:v>تغيير الزيت Abarth في دبي | ديجي-تك</x:v>
      </x:c>
      <x:c r="H101" s="6" t="str">
        <x:v>تغيير الزيت Abarth في دبي | ديجي-تك</x:v>
      </x:c>
      <x:c r="I101" s="6" t="str">
        <x:v>تغيير الزيت Abarth في دبي</x:v>
      </x:c>
      <x:c r="J101" s="6" t="str">
        <x:v>تغيير الزيت Abarth في دبي</x:v>
      </x:c>
      <x:c r="K101" s="6" t="str">
        <x:v>تغيير الزيت متخصص لسيارات Abarth في دبي مع تشخيص متقدم وقطع مناسبة وتسعير واضح لدى مركز ديجي-تك.</x:v>
      </x:c>
      <x:c r="L101" s="6" t="str">
        <x:v>Retain pending evidence; no specific content edit justified by this export.</x:v>
      </x:c>
      <x:c r="M101" s="6" t="str">
        <x:v>Retain; inspect relevant context before adding links</x:v>
      </x:c>
      <x:c r="N101" s="6" t="str">
        <x:v>Unconfirmed — no query/page pairing</x:v>
      </x:c>
      <x:c r="O101" s="6" t="str">
        <x:v>Retain established booking / WhatsApp / call path; live behaviour untested</x:v>
      </x:c>
      <x:c r="P101" s="6" t="str">
        <x:v>Retain canonical and indexation policy pending a live check.</x:v>
      </x:c>
      <x:c r="Q101" s="6" t="str">
        <x:v>Proposed; no website change made</x:v>
      </x:c>
      <x:c r="R101" s="14"/>
      <x:c r="S101" s="14"/>
      <x:c r="T101" s="15"/>
      <x:c r="U101" s="16"/>
      <x:c r="V101" s="6" t="str">
        <x:v>https://digitecme.com/ar/brands/abarth-service-dubai/oil-change</x:v>
      </x:c>
      <x:c r="W101" s="6" t="str">
        <x:v>Indexable directive</x:v>
      </x:c>
      <x:c r="X101" s="6" t="n">
        <x:v>8</x:v>
      </x:c>
      <x:c r="Y101" s="6" t="str">
        <x:v>تغيير الزيت Abarth في دبي | ديجي-تك</x:v>
      </x:c>
      <x:c r="Z101" s="6" t="str"/>
      <x:c r="AA101" s="6" t="str">
        <x:v>No / not compared</x:v>
      </x:c>
    </x:row>
    <x:row r="102" ht="42" customHeight="1">
      <x:c r="A102" s="6" t="str">
        <x:v>https://digitecme.com/ar/brands/abarth-service-dubai/suspension-repair</x:v>
      </x:c>
      <x:c r="B102" s="6" t="str"/>
      <x:c r="C102" s="6" t="str"/>
      <x:c r="D102" s="6" t="str">
        <x:v>brand-service</x:v>
      </x:c>
      <x:c r="E102" s="6" t="str">
        <x:v>Retain differentiated role</x:v>
      </x:c>
      <x:c r="F102" s="6" t="str">
        <x:v>Local source render; live version unverified</x:v>
      </x:c>
      <x:c r="G102" s="6" t="str">
        <x:v>إصلاح التعليق Abarth في دبي | ديجي-تك</x:v>
      </x:c>
      <x:c r="H102" s="6" t="str">
        <x:v>إصلاح التعليق Abarth في دبي | ديجي-تك</x:v>
      </x:c>
      <x:c r="I102" s="6" t="str">
        <x:v>إصلاح التعليق Abarth في دبي</x:v>
      </x:c>
      <x:c r="J102" s="6" t="str">
        <x:v>إصلاح التعليق Abarth في دبي</x:v>
      </x:c>
      <x:c r="K102" s="6" t="str">
        <x:v>إصلاح التعليق متخصص لسيارات Abarth في دبي مع تشخيص متقدم وقطع مناسبة وتسعير واضح لدى مركز ديجي-تك.</x:v>
      </x:c>
      <x:c r="L102" s="6" t="str">
        <x:v>Retain pending evidence; no specific content edit justified by this export.</x:v>
      </x:c>
      <x:c r="M102" s="6" t="str">
        <x:v>Retain; inspect relevant context before adding links</x:v>
      </x:c>
      <x:c r="N102" s="6" t="str">
        <x:v>Unconfirmed — no query/page pairing</x:v>
      </x:c>
      <x:c r="O102" s="6" t="str">
        <x:v>Retain established booking / WhatsApp / call path; live behaviour untested</x:v>
      </x:c>
      <x:c r="P102" s="6" t="str">
        <x:v>Retain canonical and indexation policy pending a live check.</x:v>
      </x:c>
      <x:c r="Q102" s="6" t="str">
        <x:v>Proposed; no website change made</x:v>
      </x:c>
      <x:c r="R102" s="14"/>
      <x:c r="S102" s="14"/>
      <x:c r="T102" s="15"/>
      <x:c r="U102" s="16"/>
      <x:c r="V102" s="6" t="str">
        <x:v>https://digitecme.com/ar/brands/abarth-service-dubai/suspension-repair</x:v>
      </x:c>
      <x:c r="W102" s="6" t="str">
        <x:v>Noindex directive</x:v>
      </x:c>
      <x:c r="X102" s="6" t="n">
        <x:v>8</x:v>
      </x:c>
      <x:c r="Y102" s="6" t="str">
        <x:v>إصلاح التعليق Abarth في دبي | ديجي-تك</x:v>
      </x:c>
      <x:c r="Z102" s="6" t="str"/>
      <x:c r="AA102" s="6" t="str">
        <x:v>No / not compared</x:v>
      </x:c>
    </x:row>
    <x:row r="103" ht="42" customHeight="1">
      <x:c r="A103" s="6" t="str">
        <x:v>https://digitecme.com/ar/brands/abarth-service-dubai/transmission-repair</x:v>
      </x:c>
      <x:c r="B103" s="6" t="str"/>
      <x:c r="C103" s="6" t="str"/>
      <x:c r="D103" s="6" t="str">
        <x:v>brand-service</x:v>
      </x:c>
      <x:c r="E103" s="6" t="str">
        <x:v>Retain differentiated role</x:v>
      </x:c>
      <x:c r="F103" s="6" t="str">
        <x:v>Local source render; live version unverified</x:v>
      </x:c>
      <x:c r="G103" s="6" t="str">
        <x:v>إصلاح ناقل الحركة Abarth في دبي | ديجي-تك</x:v>
      </x:c>
      <x:c r="H103" s="6" t="str">
        <x:v>إصلاح ناقل الحركة Abarth في دبي | ديجي-تك</x:v>
      </x:c>
      <x:c r="I103" s="6" t="str">
        <x:v>إصلاح ناقل الحركة Abarth في دبي</x:v>
      </x:c>
      <x:c r="J103" s="6" t="str">
        <x:v>إصلاح ناقل الحركة Abarth في دبي</x:v>
      </x:c>
      <x:c r="K103" s="6" t="str">
        <x:v>إصلاح ناقل الحركة متخصص لسيارات Abarth في دبي مع تشخيص متقدم وقطع مناسبة وتسعير واضح لدى مركز ديجي-تك.</x:v>
      </x:c>
      <x:c r="L103" s="6" t="str">
        <x:v>Retain pending evidence; no specific content edit justified by this export.</x:v>
      </x:c>
      <x:c r="M103" s="6" t="str">
        <x:v>Retain; inspect relevant context before adding links</x:v>
      </x:c>
      <x:c r="N103" s="6" t="str">
        <x:v>Unconfirmed — no query/page pairing</x:v>
      </x:c>
      <x:c r="O103" s="6" t="str">
        <x:v>Retain established booking / WhatsApp / call path; live behaviour untested</x:v>
      </x:c>
      <x:c r="P103" s="6" t="str">
        <x:v>Retain canonical and indexation policy pending a live check.</x:v>
      </x:c>
      <x:c r="Q103" s="6" t="str">
        <x:v>Proposed; no website change made</x:v>
      </x:c>
      <x:c r="R103" s="14"/>
      <x:c r="S103" s="14"/>
      <x:c r="T103" s="15"/>
      <x:c r="U103" s="16"/>
      <x:c r="V103" s="6" t="str">
        <x:v>https://digitecme.com/ar/brands/abarth-service-dubai/transmission-repair</x:v>
      </x:c>
      <x:c r="W103" s="6" t="str">
        <x:v>Noindex directive</x:v>
      </x:c>
      <x:c r="X103" s="6" t="n">
        <x:v>8</x:v>
      </x:c>
      <x:c r="Y103" s="6" t="str">
        <x:v>إصلاح ناقل الحركة Abarth في دبي | ديجي-تك</x:v>
      </x:c>
      <x:c r="Z103" s="6" t="str"/>
      <x:c r="AA103" s="6" t="str">
        <x:v>No / not compared</x:v>
      </x:c>
    </x:row>
    <x:row r="104" ht="42" customHeight="1">
      <x:c r="A104" s="6" t="str">
        <x:v>https://digitecme.com/ar/brands/alfa-romeo-service-dubai</x:v>
      </x:c>
      <x:c r="B104" s="6" t="str"/>
      <x:c r="C104" s="6" t="str"/>
      <x:c r="D104" s="6" t="str">
        <x:v>brand</x:v>
      </x:c>
      <x:c r="E104" s="6" t="str">
        <x:v>Retain differentiated role</x:v>
      </x:c>
      <x:c r="F104" s="6" t="str">
        <x:v>Local source render; live version unverified</x:v>
      </x:c>
      <x:c r="G104" s="6" t="str">
        <x:v>إصلاح وصيانة Alfa Romeo في دبي | مركز ديجي-تك</x:v>
      </x:c>
      <x:c r="H104" s="6" t="str">
        <x:v>إصلاح وصيانة Alfa Romeo في دبي | مركز ديجي-تك</x:v>
      </x:c>
      <x:c r="I104" s="6" t="str">
        <x:v>Alfa Romeo للإصلاح والصيانة في دبي</x:v>
      </x:c>
      <x:c r="J104" s="6" t="str">
        <x:v>Alfa Romeo للإصلاح والصيانة في دبي</x:v>
      </x:c>
      <x:c r="K104" s="6" t="str">
        <x:v>إصلاح وصيانة Alfa Romeo في دبي: تشخيص وصيانة وفرامل وناقل حركة وتعليق وتكييف مع قطع بالمواصفات المناسبة لدى مركز ديجي-تك.</x:v>
      </x:c>
      <x:c r="L104" s="6" t="str">
        <x:v>Retain pending evidence; no specific content edit justified by this export.</x:v>
      </x:c>
      <x:c r="M104" s="6" t="str">
        <x:v>Retain; inspect relevant context before adding links</x:v>
      </x:c>
      <x:c r="N104" s="6" t="str">
        <x:v>Unconfirmed — no query/page pairing</x:v>
      </x:c>
      <x:c r="O104" s="6" t="str">
        <x:v>Retain established booking / WhatsApp / call path; live behaviour untested</x:v>
      </x:c>
      <x:c r="P104" s="6" t="str">
        <x:v>Retain canonical and indexation policy pending a live check.</x:v>
      </x:c>
      <x:c r="Q104" s="6" t="str">
        <x:v>Proposed; no website change made</x:v>
      </x:c>
      <x:c r="R104" s="14" t="n">
        <x:v>0</x:v>
      </x:c>
      <x:c r="S104" s="14" t="n">
        <x:v>4</x:v>
      </x:c>
      <x:c r="T104" s="15" t="n">
        <x:v>0</x:v>
      </x:c>
      <x:c r="U104" s="16" t="n">
        <x:v>7.5</x:v>
      </x:c>
      <x:c r="V104" s="6" t="str">
        <x:v>https://digitecme.com/ar/brands/alfa-romeo-service-dubai</x:v>
      </x:c>
      <x:c r="W104" s="6" t="str">
        <x:v>Indexable directive</x:v>
      </x:c>
      <x:c r="X104" s="6" t="n">
        <x:v>30</x:v>
      </x:c>
      <x:c r="Y104" s="6" t="str">
        <x:v>إصلاح وصيانة Alfa Romeo في دبي | مركز ديجي-تك</x:v>
      </x:c>
      <x:c r="Z104" s="6" t="str"/>
      <x:c r="AA104" s="6" t="str">
        <x:v>No / not compared</x:v>
      </x:c>
    </x:row>
    <x:row r="105" ht="42" customHeight="1">
      <x:c r="A105" s="6" t="str">
        <x:v>https://digitecme.com/ar/brands/alfa-romeo-service-dubai/ac-repair</x:v>
      </x:c>
      <x:c r="B105" s="6" t="str"/>
      <x:c r="C105" s="6" t="str"/>
      <x:c r="D105" s="6" t="str">
        <x:v>brand-service</x:v>
      </x:c>
      <x:c r="E105" s="6" t="str">
        <x:v>Retain differentiated role</x:v>
      </x:c>
      <x:c r="F105" s="6" t="str">
        <x:v>Local source render; live version unverified</x:v>
      </x:c>
      <x:c r="G105" s="6" t="str">
        <x:v>إصلاح التكييف Alfa Romeo في دبي | ديجي-تك</x:v>
      </x:c>
      <x:c r="H105" s="6" t="str">
        <x:v>إصلاح التكييف Alfa Romeo في دبي | ديجي-تك</x:v>
      </x:c>
      <x:c r="I105" s="6" t="str">
        <x:v>إصلاح التكييف Alfa Romeo في دبي</x:v>
      </x:c>
      <x:c r="J105" s="6" t="str">
        <x:v>إصلاح التكييف Alfa Romeo في دبي</x:v>
      </x:c>
      <x:c r="K105" s="6" t="str">
        <x:v>إصلاح التكييف متخصص لسيارات Alfa Romeo في دبي مع تشخيص متقدم وقطع مناسبة وتسعير واضح لدى مركز ديجي-تك.</x:v>
      </x:c>
      <x:c r="L105" s="6" t="str">
        <x:v>Retain pending evidence; no specific content edit justified by this export.</x:v>
      </x:c>
      <x:c r="M105" s="6" t="str">
        <x:v>Retain; inspect relevant context before adding links</x:v>
      </x:c>
      <x:c r="N105" s="6" t="str">
        <x:v>Unconfirmed — no query/page pairing</x:v>
      </x:c>
      <x:c r="O105" s="6" t="str">
        <x:v>Retain established booking / WhatsApp / call path; live behaviour untested</x:v>
      </x:c>
      <x:c r="P105" s="6" t="str">
        <x:v>Retain canonical and indexation policy pending a live check.</x:v>
      </x:c>
      <x:c r="Q105" s="6" t="str">
        <x:v>Proposed; no website change made</x:v>
      </x:c>
      <x:c r="R105" s="14"/>
      <x:c r="S105" s="14"/>
      <x:c r="T105" s="15"/>
      <x:c r="U105" s="16"/>
      <x:c r="V105" s="6" t="str">
        <x:v>https://digitecme.com/ar/brands/alfa-romeo-service-dubai/ac-repair</x:v>
      </x:c>
      <x:c r="W105" s="6" t="str">
        <x:v>Indexable directive</x:v>
      </x:c>
      <x:c r="X105" s="6" t="n">
        <x:v>8</x:v>
      </x:c>
      <x:c r="Y105" s="6" t="str">
        <x:v>إصلاح التكييف Alfa Romeo في دبي | ديجي-تك</x:v>
      </x:c>
      <x:c r="Z105" s="6" t="str"/>
      <x:c r="AA105" s="6" t="str">
        <x:v>No / not compared</x:v>
      </x:c>
    </x:row>
    <x:row r="106" ht="42" customHeight="1">
      <x:c r="A106" s="6" t="str">
        <x:v>https://digitecme.com/ar/brands/alfa-romeo-service-dubai/brake-repair</x:v>
      </x:c>
      <x:c r="B106" s="6" t="str"/>
      <x:c r="C106" s="6" t="str"/>
      <x:c r="D106" s="6" t="str">
        <x:v>brand-service</x:v>
      </x:c>
      <x:c r="E106" s="6" t="str">
        <x:v>Retain differentiated role</x:v>
      </x:c>
      <x:c r="F106" s="6" t="str">
        <x:v>Local source render; live version unverified</x:v>
      </x:c>
      <x:c r="G106" s="6" t="str">
        <x:v>إصلاح الفرامل Alfa Romeo في دبي | ديجي-تك</x:v>
      </x:c>
      <x:c r="H106" s="6" t="str">
        <x:v>إصلاح الفرامل Alfa Romeo في دبي | ديجي-تك</x:v>
      </x:c>
      <x:c r="I106" s="6" t="str">
        <x:v>إصلاح الفرامل Alfa Romeo في دبي</x:v>
      </x:c>
      <x:c r="J106" s="6" t="str">
        <x:v>إصلاح الفرامل Alfa Romeo في دبي</x:v>
      </x:c>
      <x:c r="K106" s="6" t="str">
        <x:v>إصلاح الفرامل متخصص لسيارات Alfa Romeo في دبي مع تشخيص متقدم وقطع مناسبة وتسعير واضح لدى مركز ديجي-تك.</x:v>
      </x:c>
      <x:c r="L106" s="6" t="str">
        <x:v>Retain pending evidence; no specific content edit justified by this export.</x:v>
      </x:c>
      <x:c r="M106" s="6" t="str">
        <x:v>Retain; inspect relevant context before adding links</x:v>
      </x:c>
      <x:c r="N106" s="6" t="str">
        <x:v>Unconfirmed — no query/page pairing</x:v>
      </x:c>
      <x:c r="O106" s="6" t="str">
        <x:v>Retain established booking / WhatsApp / call path; live behaviour untested</x:v>
      </x:c>
      <x:c r="P106" s="6" t="str">
        <x:v>Retain canonical and indexation policy pending a live check.</x:v>
      </x:c>
      <x:c r="Q106" s="6" t="str">
        <x:v>Proposed; no website change made</x:v>
      </x:c>
      <x:c r="R106" s="14"/>
      <x:c r="S106" s="14"/>
      <x:c r="T106" s="15"/>
      <x:c r="U106" s="16"/>
      <x:c r="V106" s="6" t="str">
        <x:v>https://digitecme.com/ar/brands/alfa-romeo-service-dubai/brake-repair</x:v>
      </x:c>
      <x:c r="W106" s="6" t="str">
        <x:v>Indexable directive</x:v>
      </x:c>
      <x:c r="X106" s="6" t="n">
        <x:v>8</x:v>
      </x:c>
      <x:c r="Y106" s="6" t="str">
        <x:v>إصلاح الفرامل Alfa Romeo في دبي | ديجي-تك</x:v>
      </x:c>
      <x:c r="Z106" s="6" t="str"/>
      <x:c r="AA106" s="6" t="str">
        <x:v>No / not compared</x:v>
      </x:c>
    </x:row>
    <x:row r="107" ht="42" customHeight="1">
      <x:c r="A107" s="6" t="str">
        <x:v>https://digitecme.com/ar/brands/alfa-romeo-service-dubai/engine-diagnostics</x:v>
      </x:c>
      <x:c r="B107" s="6" t="str"/>
      <x:c r="C107" s="6" t="str"/>
      <x:c r="D107" s="6" t="str">
        <x:v>brand-service</x:v>
      </x:c>
      <x:c r="E107" s="6" t="str">
        <x:v>Retain differentiated role</x:v>
      </x:c>
      <x:c r="F107" s="6" t="str">
        <x:v>Local source render; live version unverified</x:v>
      </x:c>
      <x:c r="G107" s="6" t="str">
        <x:v>تشخيص المحرك Alfa Romeo في دبي | ديجي-تك</x:v>
      </x:c>
      <x:c r="H107" s="6" t="str">
        <x:v>تشخيص المحرك Alfa Romeo في دبي | ديجي-تك</x:v>
      </x:c>
      <x:c r="I107" s="6" t="str">
        <x:v>تشخيص المحرك Alfa Romeo في دبي</x:v>
      </x:c>
      <x:c r="J107" s="6" t="str">
        <x:v>تشخيص المحرك Alfa Romeo في دبي</x:v>
      </x:c>
      <x:c r="K107" s="6" t="str">
        <x:v>تشخيص المحرك متخصص لسيارات Alfa Romeo في دبي مع تشخيص متقدم وقطع مناسبة وتسعير واضح لدى مركز ديجي-تك.</x:v>
      </x:c>
      <x:c r="L107" s="6" t="str">
        <x:v>Retain pending evidence; no specific content edit justified by this export.</x:v>
      </x:c>
      <x:c r="M107" s="6" t="str">
        <x:v>Retain; inspect relevant context before adding links</x:v>
      </x:c>
      <x:c r="N107" s="6" t="str">
        <x:v>Unconfirmed — no query/page pairing</x:v>
      </x:c>
      <x:c r="O107" s="6" t="str">
        <x:v>Retain established booking / WhatsApp / call path; live behaviour untested</x:v>
      </x:c>
      <x:c r="P107" s="6" t="str">
        <x:v>Retain canonical and indexation policy pending a live check.</x:v>
      </x:c>
      <x:c r="Q107" s="6" t="str">
        <x:v>Proposed; no website change made</x:v>
      </x:c>
      <x:c r="R107" s="14"/>
      <x:c r="S107" s="14"/>
      <x:c r="T107" s="15"/>
      <x:c r="U107" s="16"/>
      <x:c r="V107" s="6" t="str">
        <x:v>https://digitecme.com/ar/brands/alfa-romeo-service-dubai/engine-diagnostics</x:v>
      </x:c>
      <x:c r="W107" s="6" t="str">
        <x:v>Indexable directive</x:v>
      </x:c>
      <x:c r="X107" s="6" t="n">
        <x:v>8</x:v>
      </x:c>
      <x:c r="Y107" s="6" t="str">
        <x:v>تشخيص المحرك Alfa Romeo في دبي | ديجي-تك</x:v>
      </x:c>
      <x:c r="Z107" s="6" t="str"/>
      <x:c r="AA107" s="6" t="str">
        <x:v>No / not compared</x:v>
      </x:c>
    </x:row>
    <x:row r="108" ht="42" customHeight="1">
      <x:c r="A108" s="6" t="str">
        <x:v>https://digitecme.com/ar/brands/alfa-romeo-service-dubai/oil-change</x:v>
      </x:c>
      <x:c r="B108" s="6" t="str"/>
      <x:c r="C108" s="6" t="str"/>
      <x:c r="D108" s="6" t="str">
        <x:v>brand-service</x:v>
      </x:c>
      <x:c r="E108" s="6" t="str">
        <x:v>Retain differentiated role</x:v>
      </x:c>
      <x:c r="F108" s="6" t="str">
        <x:v>Local source render; live version unverified</x:v>
      </x:c>
      <x:c r="G108" s="6" t="str">
        <x:v>تغيير الزيت Alfa Romeo في دبي | ديجي-تك</x:v>
      </x:c>
      <x:c r="H108" s="6" t="str">
        <x:v>تغيير الزيت Alfa Romeo في دبي | ديجي-تك</x:v>
      </x:c>
      <x:c r="I108" s="6" t="str">
        <x:v>تغيير الزيت Alfa Romeo في دبي</x:v>
      </x:c>
      <x:c r="J108" s="6" t="str">
        <x:v>تغيير الزيت Alfa Romeo في دبي</x:v>
      </x:c>
      <x:c r="K108" s="6" t="str">
        <x:v>تغيير الزيت متخصص لسيارات Alfa Romeo في دبي مع تشخيص متقدم وقطع مناسبة وتسعير واضح لدى مركز ديجي-تك.</x:v>
      </x:c>
      <x:c r="L108" s="6" t="str">
        <x:v>Retain pending evidence; no specific content edit justified by this export.</x:v>
      </x:c>
      <x:c r="M108" s="6" t="str">
        <x:v>Retain; inspect relevant context before adding links</x:v>
      </x:c>
      <x:c r="N108" s="6" t="str">
        <x:v>Unconfirmed — no query/page pairing</x:v>
      </x:c>
      <x:c r="O108" s="6" t="str">
        <x:v>Retain established booking / WhatsApp / call path; live behaviour untested</x:v>
      </x:c>
      <x:c r="P108" s="6" t="str">
        <x:v>Retain canonical and indexation policy pending a live check.</x:v>
      </x:c>
      <x:c r="Q108" s="6" t="str">
        <x:v>Proposed; no website change made</x:v>
      </x:c>
      <x:c r="R108" s="14"/>
      <x:c r="S108" s="14"/>
      <x:c r="T108" s="15"/>
      <x:c r="U108" s="16"/>
      <x:c r="V108" s="6" t="str">
        <x:v>https://digitecme.com/ar/brands/alfa-romeo-service-dubai/oil-change</x:v>
      </x:c>
      <x:c r="W108" s="6" t="str">
        <x:v>Indexable directive</x:v>
      </x:c>
      <x:c r="X108" s="6" t="n">
        <x:v>8</x:v>
      </x:c>
      <x:c r="Y108" s="6" t="str">
        <x:v>تغيير الزيت Alfa Romeo في دبي | ديجي-تك</x:v>
      </x:c>
      <x:c r="Z108" s="6" t="str"/>
      <x:c r="AA108" s="6" t="str">
        <x:v>No / not compared</x:v>
      </x:c>
    </x:row>
    <x:row r="109" ht="42" customHeight="1">
      <x:c r="A109" s="6" t="str">
        <x:v>https://digitecme.com/ar/brands/alfa-romeo-service-dubai/suspension-repair</x:v>
      </x:c>
      <x:c r="B109" s="6" t="str"/>
      <x:c r="C109" s="6" t="str"/>
      <x:c r="D109" s="6" t="str">
        <x:v>brand-service</x:v>
      </x:c>
      <x:c r="E109" s="6" t="str">
        <x:v>Retain differentiated role</x:v>
      </x:c>
      <x:c r="F109" s="6" t="str">
        <x:v>Local source render; live version unverified</x:v>
      </x:c>
      <x:c r="G109" s="6" t="str">
        <x:v>إصلاح التعليق Alfa Romeo في دبي | ديجي-تك</x:v>
      </x:c>
      <x:c r="H109" s="6" t="str">
        <x:v>إصلاح التعليق Alfa Romeo في دبي | ديجي-تك</x:v>
      </x:c>
      <x:c r="I109" s="6" t="str">
        <x:v>إصلاح التعليق Alfa Romeo في دبي</x:v>
      </x:c>
      <x:c r="J109" s="6" t="str">
        <x:v>إصلاح التعليق Alfa Romeo في دبي</x:v>
      </x:c>
      <x:c r="K109" s="6" t="str">
        <x:v>إصلاح التعليق متخصص لسيارات Alfa Romeo في دبي مع تشخيص متقدم وقطع مناسبة وتسعير واضح لدى مركز ديجي-تك.</x:v>
      </x:c>
      <x:c r="L109" s="6" t="str">
        <x:v>Retain pending evidence; no specific content edit justified by this export.</x:v>
      </x:c>
      <x:c r="M109" s="6" t="str">
        <x:v>Retain; inspect relevant context before adding links</x:v>
      </x:c>
      <x:c r="N109" s="6" t="str">
        <x:v>Unconfirmed — no query/page pairing</x:v>
      </x:c>
      <x:c r="O109" s="6" t="str">
        <x:v>Retain established booking / WhatsApp / call path; live behaviour untested</x:v>
      </x:c>
      <x:c r="P109" s="6" t="str">
        <x:v>Retain canonical and indexation policy pending a live check.</x:v>
      </x:c>
      <x:c r="Q109" s="6" t="str">
        <x:v>Proposed; no website change made</x:v>
      </x:c>
      <x:c r="R109" s="14"/>
      <x:c r="S109" s="14"/>
      <x:c r="T109" s="15"/>
      <x:c r="U109" s="16"/>
      <x:c r="V109" s="6" t="str">
        <x:v>https://digitecme.com/ar/brands/alfa-romeo-service-dubai/suspension-repair</x:v>
      </x:c>
      <x:c r="W109" s="6" t="str">
        <x:v>Noindex directive</x:v>
      </x:c>
      <x:c r="X109" s="6" t="n">
        <x:v>8</x:v>
      </x:c>
      <x:c r="Y109" s="6" t="str">
        <x:v>إصلاح التعليق Alfa Romeo في دبي | ديجي-تك</x:v>
      </x:c>
      <x:c r="Z109" s="6" t="str"/>
      <x:c r="AA109" s="6" t="str">
        <x:v>No / not compared</x:v>
      </x:c>
    </x:row>
    <x:row r="110" ht="42" customHeight="1">
      <x:c r="A110" s="6" t="str">
        <x:v>https://digitecme.com/ar/brands/alfa-romeo-service-dubai/transmission-repair</x:v>
      </x:c>
      <x:c r="B110" s="6" t="str"/>
      <x:c r="C110" s="6" t="str"/>
      <x:c r="D110" s="6" t="str">
        <x:v>brand-service</x:v>
      </x:c>
      <x:c r="E110" s="6" t="str">
        <x:v>Retain differentiated role</x:v>
      </x:c>
      <x:c r="F110" s="6" t="str">
        <x:v>Local source render; live version unverified</x:v>
      </x:c>
      <x:c r="G110" s="6" t="str">
        <x:v>إصلاح ناقل الحركة Alfa Romeo في دبي | ديجي-تك</x:v>
      </x:c>
      <x:c r="H110" s="6" t="str">
        <x:v>إصلاح ناقل الحركة Alfa Romeo في دبي | ديجي-تك</x:v>
      </x:c>
      <x:c r="I110" s="6" t="str">
        <x:v>إصلاح ناقل الحركة Alfa Romeo في دبي</x:v>
      </x:c>
      <x:c r="J110" s="6" t="str">
        <x:v>إصلاح ناقل الحركة Alfa Romeo في دبي</x:v>
      </x:c>
      <x:c r="K110" s="6" t="str">
        <x:v>إصلاح ناقل الحركة متخصص لسيارات Alfa Romeo في دبي مع تشخيص متقدم وقطع مناسبة وتسعير واضح لدى مركز ديجي-تك.</x:v>
      </x:c>
      <x:c r="L110" s="6" t="str">
        <x:v>Retain pending evidence; no specific content edit justified by this export.</x:v>
      </x:c>
      <x:c r="M110" s="6" t="str">
        <x:v>Retain; inspect relevant context before adding links</x:v>
      </x:c>
      <x:c r="N110" s="6" t="str">
        <x:v>Unconfirmed — no query/page pairing</x:v>
      </x:c>
      <x:c r="O110" s="6" t="str">
        <x:v>Retain established booking / WhatsApp / call path; live behaviour untested</x:v>
      </x:c>
      <x:c r="P110" s="6" t="str">
        <x:v>Retain canonical and indexation policy pending a live check.</x:v>
      </x:c>
      <x:c r="Q110" s="6" t="str">
        <x:v>Proposed; no website change made</x:v>
      </x:c>
      <x:c r="R110" s="14"/>
      <x:c r="S110" s="14"/>
      <x:c r="T110" s="15"/>
      <x:c r="U110" s="16"/>
      <x:c r="V110" s="6" t="str">
        <x:v>https://digitecme.com/ar/brands/alfa-romeo-service-dubai/transmission-repair</x:v>
      </x:c>
      <x:c r="W110" s="6" t="str">
        <x:v>Noindex directive</x:v>
      </x:c>
      <x:c r="X110" s="6" t="n">
        <x:v>8</x:v>
      </x:c>
      <x:c r="Y110" s="6" t="str">
        <x:v>إصلاح ناقل الحركة Alfa Romeo في دبي | ديجي-تك</x:v>
      </x:c>
      <x:c r="Z110" s="6" t="str"/>
      <x:c r="AA110" s="6" t="str">
        <x:v>No / not compared</x:v>
      </x:c>
    </x:row>
    <x:row r="111" ht="42" customHeight="1">
      <x:c r="A111" s="6" t="str">
        <x:v>https://digitecme.com/ar/brands/aston-martin-service-dubai</x:v>
      </x:c>
      <x:c r="B111" s="6" t="str"/>
      <x:c r="C111" s="6" t="str"/>
      <x:c r="D111" s="6" t="str">
        <x:v>brand</x:v>
      </x:c>
      <x:c r="E111" s="6" t="str">
        <x:v>Retain differentiated role</x:v>
      </x:c>
      <x:c r="F111" s="6" t="str">
        <x:v>Local source render; live version unverified</x:v>
      </x:c>
      <x:c r="G111" s="6" t="str">
        <x:v>إصلاح وصيانة Aston Martin في دبي | مركز ديجي-تك</x:v>
      </x:c>
      <x:c r="H111" s="6" t="str">
        <x:v>إصلاح وصيانة Aston Martin في دبي | مركز ديجي-تك</x:v>
      </x:c>
      <x:c r="I111" s="6" t="str">
        <x:v>Aston Martin للإصلاح والصيانة في دبي</x:v>
      </x:c>
      <x:c r="J111" s="6" t="str">
        <x:v>Aston Martin للإصلاح والصيانة في دبي</x:v>
      </x:c>
      <x:c r="K111" s="6" t="str">
        <x:v>إصلاح وصيانة Aston Martin في دبي: تشخيص وصيانة وفرامل وناقل حركة وتعليق وتكييف مع قطع بالمواصفات المناسبة لدى مركز ديجي-تك.</x:v>
      </x:c>
      <x:c r="L111" s="6" t="str">
        <x:v>Retain pending evidence; no specific content edit justified by this export.</x:v>
      </x:c>
      <x:c r="M111" s="6" t="str">
        <x:v>Retain; inspect relevant context before adding links</x:v>
      </x:c>
      <x:c r="N111" s="6" t="str">
        <x:v>Unconfirmed — no query/page pairing</x:v>
      </x:c>
      <x:c r="O111" s="6" t="str">
        <x:v>Retain established booking / WhatsApp / call path; live behaviour untested</x:v>
      </x:c>
      <x:c r="P111" s="6" t="str">
        <x:v>Retain canonical and indexation policy pending a live check.</x:v>
      </x:c>
      <x:c r="Q111" s="6" t="str">
        <x:v>Proposed; no website change made</x:v>
      </x:c>
      <x:c r="R111" s="14" t="n">
        <x:v>0</x:v>
      </x:c>
      <x:c r="S111" s="14" t="n">
        <x:v>3</x:v>
      </x:c>
      <x:c r="T111" s="15" t="n">
        <x:v>0</x:v>
      </x:c>
      <x:c r="U111" s="16" t="n">
        <x:v>8</x:v>
      </x:c>
      <x:c r="V111" s="6" t="str">
        <x:v>https://digitecme.com/ar/brands/aston-martin-service-dubai</x:v>
      </x:c>
      <x:c r="W111" s="6" t="str">
        <x:v>Indexable directive</x:v>
      </x:c>
      <x:c r="X111" s="6" t="n">
        <x:v>56</x:v>
      </x:c>
      <x:c r="Y111" s="6" t="str">
        <x:v>إصلاح وصيانة Aston Martin في دبي | مركز ديجي-تك</x:v>
      </x:c>
      <x:c r="Z111" s="6" t="str"/>
      <x:c r="AA111" s="6" t="str">
        <x:v>No / not compared</x:v>
      </x:c>
    </x:row>
    <x:row r="112" ht="42" customHeight="1">
      <x:c r="A112" s="6" t="str">
        <x:v>https://digitecme.com/ar/brands/aston-martin-service-dubai/ac-repair</x:v>
      </x:c>
      <x:c r="B112" s="6" t="str"/>
      <x:c r="C112" s="6" t="str"/>
      <x:c r="D112" s="6" t="str">
        <x:v>brand-service</x:v>
      </x:c>
      <x:c r="E112" s="6" t="str">
        <x:v>Retain differentiated role</x:v>
      </x:c>
      <x:c r="F112" s="6" t="str">
        <x:v>Local source render; live version unverified</x:v>
      </x:c>
      <x:c r="G112" s="6" t="str">
        <x:v>إصلاح التكييف Aston Martin في دبي | ديجي-تك</x:v>
      </x:c>
      <x:c r="H112" s="6" t="str">
        <x:v>إصلاح التكييف Aston Martin في دبي | ديجي-تك</x:v>
      </x:c>
      <x:c r="I112" s="6" t="str">
        <x:v>إصلاح التكييف Aston Martin في دبي</x:v>
      </x:c>
      <x:c r="J112" s="6" t="str">
        <x:v>إصلاح التكييف Aston Martin في دبي</x:v>
      </x:c>
      <x:c r="K112" s="6" t="str">
        <x:v>إصلاح التكييف متخصص لسيارات Aston Martin في دبي مع تشخيص متقدم وقطع مناسبة وتسعير واضح لدى مركز ديجي-تك.</x:v>
      </x:c>
      <x:c r="L112" s="6" t="str">
        <x:v>Retain pending evidence; no specific content edit justified by this export.</x:v>
      </x:c>
      <x:c r="M112" s="6" t="str">
        <x:v>Retain; inspect relevant context before adding links</x:v>
      </x:c>
      <x:c r="N112" s="6" t="str">
        <x:v>Unconfirmed — no query/page pairing</x:v>
      </x:c>
      <x:c r="O112" s="6" t="str">
        <x:v>Retain established booking / WhatsApp / call path; live behaviour untested</x:v>
      </x:c>
      <x:c r="P112" s="6" t="str">
        <x:v>Retain canonical and indexation policy pending a live check.</x:v>
      </x:c>
      <x:c r="Q112" s="6" t="str">
        <x:v>Proposed; no website change made</x:v>
      </x:c>
      <x:c r="R112" s="14" t="n">
        <x:v>0</x:v>
      </x:c>
      <x:c r="S112" s="14" t="n">
        <x:v>2</x:v>
      </x:c>
      <x:c r="T112" s="15" t="n">
        <x:v>0</x:v>
      </x:c>
      <x:c r="U112" s="16" t="n">
        <x:v>79</x:v>
      </x:c>
      <x:c r="V112" s="6" t="str">
        <x:v>https://digitecme.com/ar/brands/aston-martin-service-dubai/ac-repair</x:v>
      </x:c>
      <x:c r="W112" s="6" t="str">
        <x:v>Indexable directive</x:v>
      </x:c>
      <x:c r="X112" s="6" t="n">
        <x:v>16</x:v>
      </x:c>
      <x:c r="Y112" s="6" t="str">
        <x:v>إصلاح التكييف Aston Martin في دبي | ديجي-تك</x:v>
      </x:c>
      <x:c r="Z112" s="6" t="str"/>
      <x:c r="AA112" s="6" t="str">
        <x:v>No / not compared</x:v>
      </x:c>
    </x:row>
    <x:row r="113" ht="42" customHeight="1">
      <x:c r="A113" s="6" t="str">
        <x:v>https://digitecme.com/ar/brands/aston-martin-service-dubai/battery-replacement</x:v>
      </x:c>
      <x:c r="B113" s="6" t="str"/>
      <x:c r="C113" s="6" t="str"/>
      <x:c r="D113" s="6" t="str">
        <x:v>brand-service</x:v>
      </x:c>
      <x:c r="E113" s="6" t="str">
        <x:v>Retain differentiated role</x:v>
      </x:c>
      <x:c r="F113" s="6" t="str">
        <x:v>Local source render; live version unverified</x:v>
      </x:c>
      <x:c r="G113" s="6" t="str">
        <x:v>تبديل البطارية Aston Martin في دبي | ديجي-تك</x:v>
      </x:c>
      <x:c r="H113" s="6" t="str">
        <x:v>تبديل البطارية Aston Martin في دبي | ديجي-تك</x:v>
      </x:c>
      <x:c r="I113" s="6" t="str">
        <x:v>تبديل البطارية Aston Martin في دبي</x:v>
      </x:c>
      <x:c r="J113" s="6" t="str">
        <x:v>تبديل البطارية Aston Martin في دبي</x:v>
      </x:c>
      <x:c r="K113" s="6" t="str">
        <x:v>تبديل البطارية متخصص لسيارات Aston Martin في دبي مع تشخيص متقدم وقطع مناسبة وتسعير واضح لدى مركز ديجي-تك.</x:v>
      </x:c>
      <x:c r="L113" s="6" t="str">
        <x:v>Retain pending evidence; no specific content edit justified by this export.</x:v>
      </x:c>
      <x:c r="M113" s="6" t="str">
        <x:v>Retain; inspect relevant context before adding links</x:v>
      </x:c>
      <x:c r="N113" s="6" t="str">
        <x:v>Unconfirmed — no query/page pairing</x:v>
      </x:c>
      <x:c r="O113" s="6" t="str">
        <x:v>Retain established booking / WhatsApp / call path; live behaviour untested</x:v>
      </x:c>
      <x:c r="P113" s="6" t="str">
        <x:v>Retain canonical and indexation policy pending a live check.</x:v>
      </x:c>
      <x:c r="Q113" s="6" t="str">
        <x:v>Proposed; no website change made</x:v>
      </x:c>
      <x:c r="R113" s="14"/>
      <x:c r="S113" s="14"/>
      <x:c r="T113" s="15"/>
      <x:c r="U113" s="16"/>
      <x:c r="V113" s="6" t="str">
        <x:v>https://digitecme.com/ar/brands/aston-martin-service-dubai/battery-replacement</x:v>
      </x:c>
      <x:c r="W113" s="6" t="str">
        <x:v>Indexable directive</x:v>
      </x:c>
      <x:c r="X113" s="6" t="n">
        <x:v>16</x:v>
      </x:c>
      <x:c r="Y113" s="6" t="str">
        <x:v>تبديل البطارية Aston Martin في دبي | ديجي-تك</x:v>
      </x:c>
      <x:c r="Z113" s="6" t="str"/>
      <x:c r="AA113" s="6" t="str">
        <x:v>No / not compared</x:v>
      </x:c>
    </x:row>
    <x:row r="114" ht="42" customHeight="1">
      <x:c r="A114" s="6" t="str">
        <x:v>https://digitecme.com/ar/brands/aston-martin-service-dubai/body-repair</x:v>
      </x:c>
      <x:c r="B114" s="6" t="str"/>
      <x:c r="C114" s="6" t="str"/>
      <x:c r="D114" s="6" t="str">
        <x:v>brand-service</x:v>
      </x:c>
      <x:c r="E114" s="6" t="str">
        <x:v>Retain differentiated role</x:v>
      </x:c>
      <x:c r="F114" s="6" t="str">
        <x:v>Local source render; live version unverified</x:v>
      </x:c>
      <x:c r="G114" s="6" t="str">
        <x:v>إصلاح الهيكل Aston Martin في دبي | ديجي-تك</x:v>
      </x:c>
      <x:c r="H114" s="6" t="str">
        <x:v>إصلاح الهيكل Aston Martin في دبي | ديجي-تك</x:v>
      </x:c>
      <x:c r="I114" s="6" t="str">
        <x:v>إصلاح الهيكل Aston Martin في دبي</x:v>
      </x:c>
      <x:c r="J114" s="6" t="str">
        <x:v>إصلاح الهيكل Aston Martin في دبي</x:v>
      </x:c>
      <x:c r="K114" s="6" t="str">
        <x:v>إصلاح الهيكل متخصص لسيارات Aston Martin في دبي مع تشخيص متقدم وقطع مناسبة وتسعير واضح لدى مركز ديجي-تك.</x:v>
      </x:c>
      <x:c r="L114" s="6" t="str">
        <x:v>Retain pending evidence; no specific content edit justified by this export.</x:v>
      </x:c>
      <x:c r="M114" s="6" t="str">
        <x:v>Retain; inspect relevant context before adding links</x:v>
      </x:c>
      <x:c r="N114" s="6" t="str">
        <x:v>Unconfirmed — no query/page pairing</x:v>
      </x:c>
      <x:c r="O114" s="6" t="str">
        <x:v>Retain established booking / WhatsApp / call path; live behaviour untested</x:v>
      </x:c>
      <x:c r="P114" s="6" t="str">
        <x:v>Retain canonical and indexation policy pending a live check.</x:v>
      </x:c>
      <x:c r="Q114" s="6" t="str">
        <x:v>Proposed; no website change made</x:v>
      </x:c>
      <x:c r="R114" s="14" t="n">
        <x:v>1</x:v>
      </x:c>
      <x:c r="S114" s="14" t="n">
        <x:v>2</x:v>
      </x:c>
      <x:c r="T114" s="15" t="n">
        <x:v>0.5</x:v>
      </x:c>
      <x:c r="U114" s="16" t="n">
        <x:v>9.5</x:v>
      </x:c>
      <x:c r="V114" s="6" t="str">
        <x:v>https://digitecme.com/ar/brands/aston-martin-service-dubai/body-repair</x:v>
      </x:c>
      <x:c r="W114" s="6" t="str">
        <x:v>Indexable directive</x:v>
      </x:c>
      <x:c r="X114" s="6" t="n">
        <x:v>16</x:v>
      </x:c>
      <x:c r="Y114" s="6" t="str">
        <x:v>إصلاح الهيكل Aston Martin في دبي | ديجي-تك</x:v>
      </x:c>
      <x:c r="Z114" s="6" t="str"/>
      <x:c r="AA114" s="6" t="str">
        <x:v>No / not compared</x:v>
      </x:c>
    </x:row>
    <x:row r="115" ht="42" customHeight="1">
      <x:c r="A115" s="6" t="str">
        <x:v>https://digitecme.com/ar/brands/aston-martin-service-dubai/brake-repair</x:v>
      </x:c>
      <x:c r="B115" s="6" t="str"/>
      <x:c r="C115" s="6" t="str"/>
      <x:c r="D115" s="6" t="str">
        <x:v>brand-service</x:v>
      </x:c>
      <x:c r="E115" s="6" t="str">
        <x:v>Retain differentiated role</x:v>
      </x:c>
      <x:c r="F115" s="6" t="str">
        <x:v>Local source render; live version unverified</x:v>
      </x:c>
      <x:c r="G115" s="6" t="str">
        <x:v>إصلاح الفرامل Aston Martin في دبي | ديجي-تك</x:v>
      </x:c>
      <x:c r="H115" s="6" t="str">
        <x:v>إصلاح الفرامل Aston Martin في دبي | ديجي-تك</x:v>
      </x:c>
      <x:c r="I115" s="6" t="str">
        <x:v>إصلاح الفرامل Aston Martin في دبي</x:v>
      </x:c>
      <x:c r="J115" s="6" t="str">
        <x:v>إصلاح الفرامل Aston Martin في دبي</x:v>
      </x:c>
      <x:c r="K115" s="6" t="str">
        <x:v>إصلاح الفرامل متخصص لسيارات Aston Martin في دبي مع تشخيص متقدم وقطع مناسبة وتسعير واضح لدى مركز ديجي-تك.</x:v>
      </x:c>
      <x:c r="L115" s="6" t="str">
        <x:v>Retain pending evidence; no specific content edit justified by this export.</x:v>
      </x:c>
      <x:c r="M115" s="6" t="str">
        <x:v>Retain; inspect relevant context before adding links</x:v>
      </x:c>
      <x:c r="N115" s="6" t="str">
        <x:v>Unconfirmed — no query/page pairing</x:v>
      </x:c>
      <x:c r="O115" s="6" t="str">
        <x:v>Retain established booking / WhatsApp / call path; live behaviour untested</x:v>
      </x:c>
      <x:c r="P115" s="6" t="str">
        <x:v>Retain canonical and indexation policy pending a live check.</x:v>
      </x:c>
      <x:c r="Q115" s="6" t="str">
        <x:v>Proposed; no website change made</x:v>
      </x:c>
      <x:c r="R115" s="14" t="n">
        <x:v>0</x:v>
      </x:c>
      <x:c r="S115" s="14" t="n">
        <x:v>3</x:v>
      </x:c>
      <x:c r="T115" s="15" t="n">
        <x:v>0</x:v>
      </x:c>
      <x:c r="U115" s="16" t="n">
        <x:v>91.67</x:v>
      </x:c>
      <x:c r="V115" s="6" t="str">
        <x:v>https://digitecme.com/ar/brands/aston-martin-service-dubai/brake-repair</x:v>
      </x:c>
      <x:c r="W115" s="6" t="str">
        <x:v>Indexable directive</x:v>
      </x:c>
      <x:c r="X115" s="6" t="n">
        <x:v>16</x:v>
      </x:c>
      <x:c r="Y115" s="6" t="str">
        <x:v>إصلاح الفرامل Aston Martin في دبي | ديجي-تك</x:v>
      </x:c>
      <x:c r="Z115" s="6" t="str"/>
      <x:c r="AA115" s="6" t="str">
        <x:v>No / not compared</x:v>
      </x:c>
    </x:row>
    <x:row r="116" ht="42" customHeight="1">
      <x:c r="A116" s="6" t="str">
        <x:v>https://digitecme.com/ar/brands/aston-martin-service-dubai/electrical-repair</x:v>
      </x:c>
      <x:c r="B116" s="6" t="str"/>
      <x:c r="C116" s="6" t="str"/>
      <x:c r="D116" s="6" t="str">
        <x:v>brand-service</x:v>
      </x:c>
      <x:c r="E116" s="6" t="str">
        <x:v>Retain differentiated role</x:v>
      </x:c>
      <x:c r="F116" s="6" t="str">
        <x:v>Local source render; live version unverified</x:v>
      </x:c>
      <x:c r="G116" s="6" t="str">
        <x:v>إصلاح الكهرباء Aston Martin في دبي | ديجي-تك</x:v>
      </x:c>
      <x:c r="H116" s="6" t="str">
        <x:v>إصلاح الكهرباء Aston Martin في دبي | ديجي-تك</x:v>
      </x:c>
      <x:c r="I116" s="6" t="str">
        <x:v>إصلاح الكهرباء Aston Martin في دبي</x:v>
      </x:c>
      <x:c r="J116" s="6" t="str">
        <x:v>إصلاح الكهرباء Aston Martin في دبي</x:v>
      </x:c>
      <x:c r="K116" s="6" t="str">
        <x:v>إصلاح الكهرباء متخصص لسيارات Aston Martin في دبي مع تشخيص متقدم وقطع مناسبة وتسعير واضح لدى مركز ديجي-تك.</x:v>
      </x:c>
      <x:c r="L116" s="6" t="str">
        <x:v>Retain pending evidence; no specific content edit justified by this export.</x:v>
      </x:c>
      <x:c r="M116" s="6" t="str">
        <x:v>Retain; inspect relevant context before adding links</x:v>
      </x:c>
      <x:c r="N116" s="6" t="str">
        <x:v>Unconfirmed — no query/page pairing</x:v>
      </x:c>
      <x:c r="O116" s="6" t="str">
        <x:v>Retain established booking / WhatsApp / call path; live behaviour untested</x:v>
      </x:c>
      <x:c r="P116" s="6" t="str">
        <x:v>Retain canonical and indexation policy pending a live check.</x:v>
      </x:c>
      <x:c r="Q116" s="6" t="str">
        <x:v>Proposed; no website change made</x:v>
      </x:c>
      <x:c r="R116" s="14"/>
      <x:c r="S116" s="14"/>
      <x:c r="T116" s="15"/>
      <x:c r="U116" s="16"/>
      <x:c r="V116" s="6" t="str">
        <x:v>https://digitecme.com/ar/brands/aston-martin-service-dubai/electrical-repair</x:v>
      </x:c>
      <x:c r="W116" s="6" t="str">
        <x:v>Indexable directive</x:v>
      </x:c>
      <x:c r="X116" s="6" t="n">
        <x:v>16</x:v>
      </x:c>
      <x:c r="Y116" s="6" t="str">
        <x:v>إصلاح الكهرباء Aston Martin في دبي | ديجي-تك</x:v>
      </x:c>
      <x:c r="Z116" s="6" t="str"/>
      <x:c r="AA116" s="6" t="str">
        <x:v>No / not compared</x:v>
      </x:c>
    </x:row>
    <x:row r="117" ht="42" customHeight="1">
      <x:c r="A117" s="6" t="str">
        <x:v>https://digitecme.com/ar/brands/aston-martin-service-dubai/engine-diagnostics</x:v>
      </x:c>
      <x:c r="B117" s="6" t="str"/>
      <x:c r="C117" s="6" t="str"/>
      <x:c r="D117" s="6" t="str">
        <x:v>brand-service</x:v>
      </x:c>
      <x:c r="E117" s="6" t="str">
        <x:v>Retain differentiated role</x:v>
      </x:c>
      <x:c r="F117" s="6" t="str">
        <x:v>Local source render; live version unverified</x:v>
      </x:c>
      <x:c r="G117" s="6" t="str">
        <x:v>تشخيص المحرك Aston Martin في دبي | ديجي-تك</x:v>
      </x:c>
      <x:c r="H117" s="6" t="str">
        <x:v>تشخيص المحرك Aston Martin في دبي | ديجي-تك</x:v>
      </x:c>
      <x:c r="I117" s="6" t="str">
        <x:v>تشخيص المحرك Aston Martin في دبي</x:v>
      </x:c>
      <x:c r="J117" s="6" t="str">
        <x:v>تشخيص المحرك Aston Martin في دبي</x:v>
      </x:c>
      <x:c r="K117" s="6" t="str">
        <x:v>تشخيص المحرك متخصص لسيارات Aston Martin في دبي مع تشخيص متقدم وقطع مناسبة وتسعير واضح لدى مركز ديجي-تك.</x:v>
      </x:c>
      <x:c r="L117" s="6" t="str">
        <x:v>Retain pending evidence; no specific content edit justified by this export.</x:v>
      </x:c>
      <x:c r="M117" s="6" t="str">
        <x:v>Retain; inspect relevant context before adding links</x:v>
      </x:c>
      <x:c r="N117" s="6" t="str">
        <x:v>Unconfirmed — no query/page pairing</x:v>
      </x:c>
      <x:c r="O117" s="6" t="str">
        <x:v>Retain established booking / WhatsApp / call path; live behaviour untested</x:v>
      </x:c>
      <x:c r="P117" s="6" t="str">
        <x:v>Retain canonical and indexation policy pending a live check.</x:v>
      </x:c>
      <x:c r="Q117" s="6" t="str">
        <x:v>Proposed; no website change made</x:v>
      </x:c>
      <x:c r="R117" s="14"/>
      <x:c r="S117" s="14"/>
      <x:c r="T117" s="15"/>
      <x:c r="U117" s="16"/>
      <x:c r="V117" s="6" t="str">
        <x:v>https://digitecme.com/ar/brands/aston-martin-service-dubai/engine-diagnostics</x:v>
      </x:c>
      <x:c r="W117" s="6" t="str">
        <x:v>Indexable directive</x:v>
      </x:c>
      <x:c r="X117" s="6" t="n">
        <x:v>16</x:v>
      </x:c>
      <x:c r="Y117" s="6" t="str">
        <x:v>تشخيص المحرك Aston Martin في دبي | ديجي-تك</x:v>
      </x:c>
      <x:c r="Z117" s="6" t="str"/>
      <x:c r="AA117" s="6" t="str">
        <x:v>No / not compared</x:v>
      </x:c>
    </x:row>
    <x:row r="118" ht="42" customHeight="1">
      <x:c r="A118" s="6" t="str">
        <x:v>https://digitecme.com/ar/brands/aston-martin-service-dubai/exhaust-repair</x:v>
      </x:c>
      <x:c r="B118" s="6" t="str"/>
      <x:c r="C118" s="6" t="str"/>
      <x:c r="D118" s="6" t="str">
        <x:v>brand-service</x:v>
      </x:c>
      <x:c r="E118" s="6" t="str">
        <x:v>Retain differentiated role</x:v>
      </x:c>
      <x:c r="F118" s="6" t="str">
        <x:v>Local source render; live version unverified</x:v>
      </x:c>
      <x:c r="G118" s="6" t="str">
        <x:v>إصلاح العادم Aston Martin في دبي | ديجي-تك</x:v>
      </x:c>
      <x:c r="H118" s="6" t="str">
        <x:v>إصلاح العادم Aston Martin في دبي | ديجي-تك</x:v>
      </x:c>
      <x:c r="I118" s="6" t="str">
        <x:v>إصلاح العادم Aston Martin في دبي</x:v>
      </x:c>
      <x:c r="J118" s="6" t="str">
        <x:v>إصلاح العادم Aston Martin في دبي</x:v>
      </x:c>
      <x:c r="K118" s="6" t="str">
        <x:v>إصلاح العادم متخصص لسيارات Aston Martin في دبي مع تشخيص متقدم وقطع مناسبة وتسعير واضح لدى مركز ديجي-تك.</x:v>
      </x:c>
      <x:c r="L118" s="6" t="str">
        <x:v>Retain pending evidence; no specific content edit justified by this export.</x:v>
      </x:c>
      <x:c r="M118" s="6" t="str">
        <x:v>Retain; inspect relevant context before adding links</x:v>
      </x:c>
      <x:c r="N118" s="6" t="str">
        <x:v>Unconfirmed — no query/page pairing</x:v>
      </x:c>
      <x:c r="O118" s="6" t="str">
        <x:v>Retain established booking / WhatsApp / call path; live behaviour untested</x:v>
      </x:c>
      <x:c r="P118" s="6" t="str">
        <x:v>Retain canonical and indexation policy pending a live check.</x:v>
      </x:c>
      <x:c r="Q118" s="6" t="str">
        <x:v>Proposed; no website change made</x:v>
      </x:c>
      <x:c r="R118" s="14" t="n">
        <x:v>0</x:v>
      </x:c>
      <x:c r="S118" s="14" t="n">
        <x:v>1</x:v>
      </x:c>
      <x:c r="T118" s="15" t="n">
        <x:v>0</x:v>
      </x:c>
      <x:c r="U118" s="16" t="n">
        <x:v>16</x:v>
      </x:c>
      <x:c r="V118" s="6" t="str">
        <x:v>https://digitecme.com/ar/brands/aston-martin-service-dubai/exhaust-repair</x:v>
      </x:c>
      <x:c r="W118" s="6" t="str">
        <x:v>Indexable directive</x:v>
      </x:c>
      <x:c r="X118" s="6" t="n">
        <x:v>16</x:v>
      </x:c>
      <x:c r="Y118" s="6" t="str">
        <x:v>إصلاح العادم Aston Martin في دبي | ديجي-تك</x:v>
      </x:c>
      <x:c r="Z118" s="6" t="str"/>
      <x:c r="AA118" s="6" t="str">
        <x:v>No / not compared</x:v>
      </x:c>
    </x:row>
    <x:row r="119" ht="42" customHeight="1">
      <x:c r="A119" s="6" t="str">
        <x:v>https://digitecme.com/ar/brands/aston-martin-service-dubai/fuel-system-repair</x:v>
      </x:c>
      <x:c r="B119" s="6" t="str"/>
      <x:c r="C119" s="6" t="str"/>
      <x:c r="D119" s="6" t="str">
        <x:v>brand-service</x:v>
      </x:c>
      <x:c r="E119" s="6" t="str">
        <x:v>Retain differentiated role</x:v>
      </x:c>
      <x:c r="F119" s="6" t="str">
        <x:v>Local source render; live version unverified</x:v>
      </x:c>
      <x:c r="G119" s="6" t="str">
        <x:v>إصلاح نظام الوقود Aston Martin في دبي | ديجي-تك</x:v>
      </x:c>
      <x:c r="H119" s="6" t="str">
        <x:v>إصلاح نظام الوقود Aston Martin في دبي | ديجي-تك</x:v>
      </x:c>
      <x:c r="I119" s="6" t="str">
        <x:v>إصلاح نظام الوقود Aston Martin في دبي</x:v>
      </x:c>
      <x:c r="J119" s="6" t="str">
        <x:v>إصلاح نظام الوقود Aston Martin في دبي</x:v>
      </x:c>
      <x:c r="K119" s="6" t="str">
        <x:v>إصلاح نظام الوقود متخصص لسيارات Aston Martin في دبي مع تشخيص متقدم وقطع مناسبة وتسعير واضح لدى مركز ديجي-تك.</x:v>
      </x:c>
      <x:c r="L119" s="6" t="str">
        <x:v>Retain pending evidence; no specific content edit justified by this export.</x:v>
      </x:c>
      <x:c r="M119" s="6" t="str">
        <x:v>Retain; inspect relevant context before adding links</x:v>
      </x:c>
      <x:c r="N119" s="6" t="str">
        <x:v>Unconfirmed — no query/page pairing</x:v>
      </x:c>
      <x:c r="O119" s="6" t="str">
        <x:v>Retain established booking / WhatsApp / call path; live behaviour untested</x:v>
      </x:c>
      <x:c r="P119" s="6" t="str">
        <x:v>Retain canonical and indexation policy pending a live check.</x:v>
      </x:c>
      <x:c r="Q119" s="6" t="str">
        <x:v>Proposed; no website change made</x:v>
      </x:c>
      <x:c r="R119" s="14"/>
      <x:c r="S119" s="14"/>
      <x:c r="T119" s="15"/>
      <x:c r="U119" s="16"/>
      <x:c r="V119" s="6" t="str">
        <x:v>https://digitecme.com/ar/brands/aston-martin-service-dubai/fuel-system-repair</x:v>
      </x:c>
      <x:c r="W119" s="6" t="str">
        <x:v>Indexable directive</x:v>
      </x:c>
      <x:c r="X119" s="6" t="n">
        <x:v>16</x:v>
      </x:c>
      <x:c r="Y119" s="6" t="str">
        <x:v>إصلاح نظام الوقود Aston Martin في دبي | ديجي-تك</x:v>
      </x:c>
      <x:c r="Z119" s="6" t="str"/>
      <x:c r="AA119" s="6" t="str">
        <x:v>No / not compared</x:v>
      </x:c>
    </x:row>
    <x:row r="120" ht="42" customHeight="1">
      <x:c r="A120" s="6" t="str">
        <x:v>https://digitecme.com/ar/brands/aston-martin-service-dubai/mechanical-repair</x:v>
      </x:c>
      <x:c r="B120" s="6" t="str"/>
      <x:c r="C120" s="6" t="str"/>
      <x:c r="D120" s="6" t="str">
        <x:v>brand-service</x:v>
      </x:c>
      <x:c r="E120" s="6" t="str">
        <x:v>Retain differentiated role</x:v>
      </x:c>
      <x:c r="F120" s="6" t="str">
        <x:v>Local source render; live version unverified</x:v>
      </x:c>
      <x:c r="G120" s="6" t="str">
        <x:v>الإصلاح الميكانيكي Aston Martin في دبي | ديجي-تك</x:v>
      </x:c>
      <x:c r="H120" s="6" t="str">
        <x:v>الإصلاح الميكانيكي Aston Martin في دبي | ديجي-تك</x:v>
      </x:c>
      <x:c r="I120" s="6" t="str">
        <x:v>الإصلاح الميكانيكي Aston Martin في دبي</x:v>
      </x:c>
      <x:c r="J120" s="6" t="str">
        <x:v>الإصلاح الميكانيكي Aston Martin في دبي</x:v>
      </x:c>
      <x:c r="K120" s="6" t="str">
        <x:v>الإصلاح الميكانيكي متخصص لسيارات Aston Martin في دبي مع تشخيص متقدم وقطع مناسبة وتسعير واضح لدى مركز ديجي-تك.</x:v>
      </x:c>
      <x:c r="L120" s="6" t="str">
        <x:v>Retain pending evidence; no specific content edit justified by this export.</x:v>
      </x:c>
      <x:c r="M120" s="6" t="str">
        <x:v>Retain; inspect relevant context before adding links</x:v>
      </x:c>
      <x:c r="N120" s="6" t="str">
        <x:v>Unconfirmed — no query/page pairing</x:v>
      </x:c>
      <x:c r="O120" s="6" t="str">
        <x:v>Retain established booking / WhatsApp / call path; live behaviour untested</x:v>
      </x:c>
      <x:c r="P120" s="6" t="str">
        <x:v>Retain canonical and indexation policy pending a live check.</x:v>
      </x:c>
      <x:c r="Q120" s="6" t="str">
        <x:v>Proposed; no website change made</x:v>
      </x:c>
      <x:c r="R120" s="14"/>
      <x:c r="S120" s="14"/>
      <x:c r="T120" s="15"/>
      <x:c r="U120" s="16"/>
      <x:c r="V120" s="6" t="str">
        <x:v>https://digitecme.com/ar/brands/aston-martin-service-dubai/mechanical-repair</x:v>
      </x:c>
      <x:c r="W120" s="6" t="str">
        <x:v>Indexable directive</x:v>
      </x:c>
      <x:c r="X120" s="6" t="n">
        <x:v>16</x:v>
      </x:c>
      <x:c r="Y120" s="6" t="str">
        <x:v>الإصلاح الميكانيكي Aston Martin في دبي | ديجي-تك</x:v>
      </x:c>
      <x:c r="Z120" s="6" t="str"/>
      <x:c r="AA120" s="6" t="str">
        <x:v>No / not compared</x:v>
      </x:c>
    </x:row>
    <x:row r="121" ht="42" customHeight="1">
      <x:c r="A121" s="6" t="str">
        <x:v>https://digitecme.com/ar/brands/aston-martin-service-dubai/oil-change</x:v>
      </x:c>
      <x:c r="B121" s="6" t="str"/>
      <x:c r="C121" s="6" t="str"/>
      <x:c r="D121" s="6" t="str">
        <x:v>brand-service</x:v>
      </x:c>
      <x:c r="E121" s="6" t="str">
        <x:v>Retain differentiated role</x:v>
      </x:c>
      <x:c r="F121" s="6" t="str">
        <x:v>Local source render; live version unverified</x:v>
      </x:c>
      <x:c r="G121" s="6" t="str">
        <x:v>تغيير الزيت Aston Martin في دبي | ديجي-تك</x:v>
      </x:c>
      <x:c r="H121" s="6" t="str">
        <x:v>تغيير الزيت Aston Martin في دبي | ديجي-تك</x:v>
      </x:c>
      <x:c r="I121" s="6" t="str">
        <x:v>تغيير الزيت Aston Martin في دبي</x:v>
      </x:c>
      <x:c r="J121" s="6" t="str">
        <x:v>تغيير الزيت Aston Martin في دبي</x:v>
      </x:c>
      <x:c r="K121" s="6" t="str">
        <x:v>تغيير الزيت متخصص لسيارات Aston Martin في دبي مع تشخيص متقدم وقطع مناسبة وتسعير واضح لدى مركز ديجي-تك.</x:v>
      </x:c>
      <x:c r="L121" s="6" t="str">
        <x:v>Retain pending evidence; no specific content edit justified by this export.</x:v>
      </x:c>
      <x:c r="M121" s="6" t="str">
        <x:v>Retain; inspect relevant context before adding links</x:v>
      </x:c>
      <x:c r="N121" s="6" t="str">
        <x:v>Unconfirmed — no query/page pairing</x:v>
      </x:c>
      <x:c r="O121" s="6" t="str">
        <x:v>Retain established booking / WhatsApp / call path; live behaviour untested</x:v>
      </x:c>
      <x:c r="P121" s="6" t="str">
        <x:v>Retain canonical and indexation policy pending a live check.</x:v>
      </x:c>
      <x:c r="Q121" s="6" t="str">
        <x:v>Proposed; no website change made</x:v>
      </x:c>
      <x:c r="R121" s="14"/>
      <x:c r="S121" s="14"/>
      <x:c r="T121" s="15"/>
      <x:c r="U121" s="16"/>
      <x:c r="V121" s="6" t="str">
        <x:v>https://digitecme.com/ar/brands/aston-martin-service-dubai/oil-change</x:v>
      </x:c>
      <x:c r="W121" s="6" t="str">
        <x:v>Indexable directive</x:v>
      </x:c>
      <x:c r="X121" s="6" t="n">
        <x:v>16</x:v>
      </x:c>
      <x:c r="Y121" s="6" t="str">
        <x:v>تغيير الزيت Aston Martin في دبي | ديجي-تك</x:v>
      </x:c>
      <x:c r="Z121" s="6" t="str"/>
      <x:c r="AA121" s="6" t="str">
        <x:v>No / not compared</x:v>
      </x:c>
    </x:row>
    <x:row r="122" ht="42" customHeight="1">
      <x:c r="A122" s="6" t="str">
        <x:v>https://digitecme.com/ar/brands/aston-martin-service-dubai/steering-repair</x:v>
      </x:c>
      <x:c r="B122" s="6" t="str"/>
      <x:c r="C122" s="6" t="str"/>
      <x:c r="D122" s="6" t="str">
        <x:v>brand-service</x:v>
      </x:c>
      <x:c r="E122" s="6" t="str">
        <x:v>Retain differentiated role</x:v>
      </x:c>
      <x:c r="F122" s="6" t="str">
        <x:v>Local source render; live version unverified</x:v>
      </x:c>
      <x:c r="G122" s="6" t="str">
        <x:v>إصلاح نظام التوجيه Aston Martin في دبي | ديجي-تك</x:v>
      </x:c>
      <x:c r="H122" s="6" t="str">
        <x:v>إصلاح نظام التوجيه Aston Martin في دبي | ديجي-تك</x:v>
      </x:c>
      <x:c r="I122" s="6" t="str">
        <x:v>إصلاح نظام التوجيه Aston Martin في دبي</x:v>
      </x:c>
      <x:c r="J122" s="6" t="str">
        <x:v>إصلاح نظام التوجيه Aston Martin في دبي</x:v>
      </x:c>
      <x:c r="K122" s="6" t="str">
        <x:v>إصلاح نظام التوجيه متخصص لسيارات Aston Martin في دبي مع تشخيص متقدم وقطع مناسبة وتسعير واضح لدى مركز ديجي-تك.</x:v>
      </x:c>
      <x:c r="L122" s="6" t="str">
        <x:v>Retain pending evidence; no specific content edit justified by this export.</x:v>
      </x:c>
      <x:c r="M122" s="6" t="str">
        <x:v>Retain; inspect relevant context before adding links</x:v>
      </x:c>
      <x:c r="N122" s="6" t="str">
        <x:v>Unconfirmed — no query/page pairing</x:v>
      </x:c>
      <x:c r="O122" s="6" t="str">
        <x:v>Retain established booking / WhatsApp / call path; live behaviour untested</x:v>
      </x:c>
      <x:c r="P122" s="6" t="str">
        <x:v>Retain canonical and indexation policy pending a live check.</x:v>
      </x:c>
      <x:c r="Q122" s="6" t="str">
        <x:v>Proposed; no website change made</x:v>
      </x:c>
      <x:c r="R122" s="14"/>
      <x:c r="S122" s="14"/>
      <x:c r="T122" s="15"/>
      <x:c r="U122" s="16"/>
      <x:c r="V122" s="6" t="str">
        <x:v>https://digitecme.com/ar/brands/aston-martin-service-dubai/steering-repair</x:v>
      </x:c>
      <x:c r="W122" s="6" t="str">
        <x:v>Indexable directive</x:v>
      </x:c>
      <x:c r="X122" s="6" t="n">
        <x:v>16</x:v>
      </x:c>
      <x:c r="Y122" s="6" t="str">
        <x:v>إصلاح نظام التوجيه Aston Martin في دبي | ديجي-تك</x:v>
      </x:c>
      <x:c r="Z122" s="6" t="str"/>
      <x:c r="AA122" s="6" t="str">
        <x:v>No / not compared</x:v>
      </x:c>
    </x:row>
    <x:row r="123" ht="42" customHeight="1">
      <x:c r="A123" s="6" t="str">
        <x:v>https://digitecme.com/ar/brands/aston-martin-service-dubai/suspension-repair</x:v>
      </x:c>
      <x:c r="B123" s="6" t="str"/>
      <x:c r="C123" s="6" t="str"/>
      <x:c r="D123" s="6" t="str">
        <x:v>brand-service</x:v>
      </x:c>
      <x:c r="E123" s="6" t="str">
        <x:v>Retain differentiated role</x:v>
      </x:c>
      <x:c r="F123" s="6" t="str">
        <x:v>Local source render; live version unverified</x:v>
      </x:c>
      <x:c r="G123" s="6" t="str">
        <x:v>إصلاح التعليق Aston Martin في دبي | ديجي-تك</x:v>
      </x:c>
      <x:c r="H123" s="6" t="str">
        <x:v>إصلاح التعليق Aston Martin في دبي | ديجي-تك</x:v>
      </x:c>
      <x:c r="I123" s="6" t="str">
        <x:v>إصلاح التعليق Aston Martin في دبي</x:v>
      </x:c>
      <x:c r="J123" s="6" t="str">
        <x:v>إصلاح التعليق Aston Martin في دبي</x:v>
      </x:c>
      <x:c r="K123" s="6" t="str">
        <x:v>إصلاح التعليق متخصص لسيارات Aston Martin في دبي مع تشخيص متقدم وقطع مناسبة وتسعير واضح لدى مركز ديجي-تك.</x:v>
      </x:c>
      <x:c r="L123" s="6" t="str">
        <x:v>Retain pending evidence; no specific content edit justified by this export.</x:v>
      </x:c>
      <x:c r="M123" s="6" t="str">
        <x:v>Retain; inspect relevant context before adding links</x:v>
      </x:c>
      <x:c r="N123" s="6" t="str">
        <x:v>Unconfirmed — no query/page pairing</x:v>
      </x:c>
      <x:c r="O123" s="6" t="str">
        <x:v>Retain established booking / WhatsApp / call path; live behaviour untested</x:v>
      </x:c>
      <x:c r="P123" s="6" t="str">
        <x:v>Retain canonical and indexation policy pending a live check.</x:v>
      </x:c>
      <x:c r="Q123" s="6" t="str">
        <x:v>Proposed; no website change made</x:v>
      </x:c>
      <x:c r="R123" s="14"/>
      <x:c r="S123" s="14"/>
      <x:c r="T123" s="15"/>
      <x:c r="U123" s="16"/>
      <x:c r="V123" s="6" t="str">
        <x:v>https://digitecme.com/ar/brands/aston-martin-service-dubai/suspension-repair</x:v>
      </x:c>
      <x:c r="W123" s="6" t="str">
        <x:v>Indexable directive</x:v>
      </x:c>
      <x:c r="X123" s="6" t="n">
        <x:v>16</x:v>
      </x:c>
      <x:c r="Y123" s="6" t="str">
        <x:v>إصلاح التعليق Aston Martin في دبي | ديجي-تك</x:v>
      </x:c>
      <x:c r="Z123" s="6" t="str"/>
      <x:c r="AA123" s="6" t="str">
        <x:v>No / not compared</x:v>
      </x:c>
    </x:row>
    <x:row r="124" ht="42" customHeight="1">
      <x:c r="A124" s="6" t="str">
        <x:v>https://digitecme.com/ar/brands/aston-martin-service-dubai/tire-repair</x:v>
      </x:c>
      <x:c r="B124" s="6" t="str"/>
      <x:c r="C124" s="6" t="str"/>
      <x:c r="D124" s="6" t="str">
        <x:v>brand-service</x:v>
      </x:c>
      <x:c r="E124" s="6" t="str">
        <x:v>Retain differentiated role</x:v>
      </x:c>
      <x:c r="F124" s="6" t="str">
        <x:v>Local source render; live version unverified</x:v>
      </x:c>
      <x:c r="G124" s="6" t="str">
        <x:v>إصلاح الإطارات Aston Martin في دبي | ديجي-تك</x:v>
      </x:c>
      <x:c r="H124" s="6" t="str">
        <x:v>إصلاح الإطارات Aston Martin في دبي | ديجي-تك</x:v>
      </x:c>
      <x:c r="I124" s="6" t="str">
        <x:v>إصلاح الإطارات Aston Martin في دبي</x:v>
      </x:c>
      <x:c r="J124" s="6" t="str">
        <x:v>إصلاح الإطارات Aston Martin في دبي</x:v>
      </x:c>
      <x:c r="K124" s="6" t="str">
        <x:v>إصلاح الإطارات متخصص لسيارات Aston Martin في دبي مع تشخيص متقدم وقطع مناسبة وتسعير واضح لدى مركز ديجي-تك.</x:v>
      </x:c>
      <x:c r="L124" s="6" t="str">
        <x:v>Retain pending evidence; no specific content edit justified by this export.</x:v>
      </x:c>
      <x:c r="M124" s="6" t="str">
        <x:v>Retain; inspect relevant context before adding links</x:v>
      </x:c>
      <x:c r="N124" s="6" t="str">
        <x:v>Unconfirmed — no query/page pairing</x:v>
      </x:c>
      <x:c r="O124" s="6" t="str">
        <x:v>Retain established booking / WhatsApp / call path; live behaviour untested</x:v>
      </x:c>
      <x:c r="P124" s="6" t="str">
        <x:v>Retain canonical and indexation policy pending a live check.</x:v>
      </x:c>
      <x:c r="Q124" s="6" t="str">
        <x:v>Proposed; no website change made</x:v>
      </x:c>
      <x:c r="R124" s="14"/>
      <x:c r="S124" s="14"/>
      <x:c r="T124" s="15"/>
      <x:c r="U124" s="16"/>
      <x:c r="V124" s="6" t="str">
        <x:v>https://digitecme.com/ar/brands/aston-martin-service-dubai/tire-repair</x:v>
      </x:c>
      <x:c r="W124" s="6" t="str">
        <x:v>Indexable directive</x:v>
      </x:c>
      <x:c r="X124" s="6" t="n">
        <x:v>16</x:v>
      </x:c>
      <x:c r="Y124" s="6" t="str">
        <x:v>إصلاح الإطارات Aston Martin في دبي | ديجي-تك</x:v>
      </x:c>
      <x:c r="Z124" s="6" t="str"/>
      <x:c r="AA124" s="6" t="str">
        <x:v>No / not compared</x:v>
      </x:c>
    </x:row>
    <x:row r="125" ht="42" customHeight="1">
      <x:c r="A125" s="6" t="str">
        <x:v>https://digitecme.com/ar/brands/aston-martin-service-dubai/transmission-repair</x:v>
      </x:c>
      <x:c r="B125" s="6" t="str"/>
      <x:c r="C125" s="6" t="str"/>
      <x:c r="D125" s="6" t="str">
        <x:v>brand-service</x:v>
      </x:c>
      <x:c r="E125" s="6" t="str">
        <x:v>Retain differentiated role</x:v>
      </x:c>
      <x:c r="F125" s="6" t="str">
        <x:v>Local source render; live version unverified</x:v>
      </x:c>
      <x:c r="G125" s="6" t="str">
        <x:v>إصلاح ناقل الحركة Aston Martin في دبي | ديجي-تك</x:v>
      </x:c>
      <x:c r="H125" s="6" t="str">
        <x:v>إصلاح ناقل الحركة Aston Martin في دبي | ديجي-تك</x:v>
      </x:c>
      <x:c r="I125" s="6" t="str">
        <x:v>إصلاح ناقل الحركة Aston Martin في دبي</x:v>
      </x:c>
      <x:c r="J125" s="6" t="str">
        <x:v>إصلاح ناقل الحركة Aston Martin في دبي</x:v>
      </x:c>
      <x:c r="K125" s="6" t="str">
        <x:v>إصلاح ناقل الحركة متخصص لسيارات Aston Martin في دبي مع تشخيص متقدم وقطع مناسبة وتسعير واضح لدى مركز ديجي-تك.</x:v>
      </x:c>
      <x:c r="L125" s="6" t="str">
        <x:v>Retain pending evidence; no specific content edit justified by this export.</x:v>
      </x:c>
      <x:c r="M125" s="6" t="str">
        <x:v>Retain; inspect relevant context before adding links</x:v>
      </x:c>
      <x:c r="N125" s="6" t="str">
        <x:v>Unconfirmed — no query/page pairing</x:v>
      </x:c>
      <x:c r="O125" s="6" t="str">
        <x:v>Retain established booking / WhatsApp / call path; live behaviour untested</x:v>
      </x:c>
      <x:c r="P125" s="6" t="str">
        <x:v>Retain canonical and indexation policy pending a live check.</x:v>
      </x:c>
      <x:c r="Q125" s="6" t="str">
        <x:v>Proposed; no website change made</x:v>
      </x:c>
      <x:c r="R125" s="14"/>
      <x:c r="S125" s="14"/>
      <x:c r="T125" s="15"/>
      <x:c r="U125" s="16"/>
      <x:c r="V125" s="6" t="str">
        <x:v>https://digitecme.com/ar/brands/aston-martin-service-dubai/transmission-repair</x:v>
      </x:c>
      <x:c r="W125" s="6" t="str">
        <x:v>Indexable directive</x:v>
      </x:c>
      <x:c r="X125" s="6" t="n">
        <x:v>16</x:v>
      </x:c>
      <x:c r="Y125" s="6" t="str">
        <x:v>إصلاح ناقل الحركة Aston Martin في دبي | ديجي-تك</x:v>
      </x:c>
      <x:c r="Z125" s="6" t="str"/>
      <x:c r="AA125" s="6" t="str">
        <x:v>No / not compared</x:v>
      </x:c>
    </x:row>
    <x:row r="126" ht="42" customHeight="1">
      <x:c r="A126" s="6" t="str">
        <x:v>https://digitecme.com/ar/brands/audi-service-dubai</x:v>
      </x:c>
      <x:c r="B126" s="6" t="str">
        <x:v>صيانة اودي</x:v>
      </x:c>
      <x:c r="C126" s="6" t="str">
        <x:v>audi: Service and repair (Arabic); audi: Service and repair (outside Dubai)</x:v>
      </x:c>
      <x:c r="D126" s="6" t="str">
        <x:v>brand</x:v>
      </x:c>
      <x:c r="E126" s="6" t="str">
        <x:v>Primary owner for assigned intent</x:v>
      </x:c>
      <x:c r="F126" s="6" t="str">
        <x:v>Local source render; live version unverified</x:v>
      </x:c>
      <x:c r="G126" s="6" t="str">
        <x:v>إصلاح وصيانة Audi في دبي | مركز ديجي-تك</x:v>
      </x:c>
      <x:c r="H126" s="6" t="str">
        <x:v>إصلاح وصيانة Audi في دبي | مركز ديجي-تك</x:v>
      </x:c>
      <x:c r="I126" s="6" t="str">
        <x:v>Audi للإصلاح والصيانة في دبي</x:v>
      </x:c>
      <x:c r="J126" s="6" t="str">
        <x:v>Audi للإصلاح والصيانة في دبي</x:v>
      </x:c>
      <x:c r="K126" s="6" t="str">
        <x:v>إصلاح وصيانة Audi في دبي: تشخيص وصيانة وفرامل وناقل حركة وتعليق وتكييف مع قطع بالمواصفات المناسبة لدى مركز ديجي-تك.</x:v>
      </x:c>
      <x:c r="L126" s="6" t="str">
        <x:v>Retain pending evidence; no specific content edit justified by this export.</x:v>
      </x:c>
      <x:c r="M126" s="6" t="str">
        <x:v>Retain; inspect relevant context before adding links</x:v>
      </x:c>
      <x:c r="N126" s="6" t="str">
        <x:v>Unconfirmed — no query/page pairing</x:v>
      </x:c>
      <x:c r="O126" s="6" t="str">
        <x:v>Retain established booking / WhatsApp / call path; live behaviour untested</x:v>
      </x:c>
      <x:c r="P126" s="6" t="str">
        <x:v>Retain canonical and indexation policy pending a live check.</x:v>
      </x:c>
      <x:c r="Q126" s="6" t="str">
        <x:v>Proposed; no website change made</x:v>
      </x:c>
      <x:c r="R126" s="14" t="n">
        <x:v>0</x:v>
      </x:c>
      <x:c r="S126" s="14" t="n">
        <x:v>109</x:v>
      </x:c>
      <x:c r="T126" s="15" t="n">
        <x:v>0</x:v>
      </x:c>
      <x:c r="U126" s="16" t="n">
        <x:v>32.66</x:v>
      </x:c>
      <x:c r="V126" s="6" t="str">
        <x:v>https://digitecme.com/ar/brands/audi-service-dubai</x:v>
      </x:c>
      <x:c r="W126" s="6" t="str">
        <x:v>Indexable directive</x:v>
      </x:c>
      <x:c r="X126" s="6" t="n">
        <x:v>86</x:v>
      </x:c>
      <x:c r="Y126" s="6" t="str">
        <x:v>إصلاح وصيانة Audi في دبي | مركز ديجي-تك</x:v>
      </x:c>
      <x:c r="Z126" s="6" t="str"/>
      <x:c r="AA126" s="6" t="str">
        <x:v>No / not compared</x:v>
      </x:c>
    </x:row>
    <x:row r="127" ht="42" customHeight="1">
      <x:c r="A127" s="6" t="str">
        <x:v>https://digitecme.com/ar/brands/audi-service-dubai/ac-repair</x:v>
      </x:c>
      <x:c r="B127" s="6" t="str"/>
      <x:c r="C127" s="6" t="str"/>
      <x:c r="D127" s="6" t="str">
        <x:v>brand-service</x:v>
      </x:c>
      <x:c r="E127" s="6" t="str">
        <x:v>Retain differentiated role</x:v>
      </x:c>
      <x:c r="F127" s="6" t="str">
        <x:v>Local source render; live version unverified</x:v>
      </x:c>
      <x:c r="G127" s="6" t="str">
        <x:v>إصلاح التكييف Audi في دبي | ديجي-تك</x:v>
      </x:c>
      <x:c r="H127" s="6" t="str">
        <x:v>إصلاح التكييف Audi في دبي | ديجي-تك</x:v>
      </x:c>
      <x:c r="I127" s="6" t="str">
        <x:v>إصلاح التكييف Audi في دبي</x:v>
      </x:c>
      <x:c r="J127" s="6" t="str">
        <x:v>إصلاح التكييف Audi في دبي</x:v>
      </x:c>
      <x:c r="K127" s="6" t="str">
        <x:v>إصلاح التكييف متخصص لسيارات Audi في دبي مع تشخيص متقدم وقطع مناسبة وتسعير واضح لدى مركز ديجي-تك.</x:v>
      </x:c>
      <x:c r="L127" s="6" t="str">
        <x:v>Retain pending evidence; no specific content edit justified by this export.</x:v>
      </x:c>
      <x:c r="M127" s="6" t="str">
        <x:v>Retain; inspect relevant context before adding links</x:v>
      </x:c>
      <x:c r="N127" s="6" t="str">
        <x:v>Unconfirmed — no query/page pairing</x:v>
      </x:c>
      <x:c r="O127" s="6" t="str">
        <x:v>Retain established booking / WhatsApp / call path; live behaviour untested</x:v>
      </x:c>
      <x:c r="P127" s="6" t="str">
        <x:v>Retain canonical and indexation policy pending a live check.</x:v>
      </x:c>
      <x:c r="Q127" s="6" t="str">
        <x:v>Proposed; no website change made</x:v>
      </x:c>
      <x:c r="R127" s="14" t="n">
        <x:v>0</x:v>
      </x:c>
      <x:c r="S127" s="14" t="n">
        <x:v>1</x:v>
      </x:c>
      <x:c r="T127" s="15" t="n">
        <x:v>0</x:v>
      </x:c>
      <x:c r="U127" s="16" t="n">
        <x:v>8</x:v>
      </x:c>
      <x:c r="V127" s="6" t="str">
        <x:v>https://digitecme.com/ar/brands/audi-service-dubai/ac-repair</x:v>
      </x:c>
      <x:c r="W127" s="6" t="str">
        <x:v>Indexable directive</x:v>
      </x:c>
      <x:c r="X127" s="6" t="n">
        <x:v>16</x:v>
      </x:c>
      <x:c r="Y127" s="6" t="str">
        <x:v>إصلاح التكييف Audi في دبي | ديجي-تك</x:v>
      </x:c>
      <x:c r="Z127" s="6" t="str"/>
      <x:c r="AA127" s="6" t="str">
        <x:v>No / not compared</x:v>
      </x:c>
    </x:row>
    <x:row r="128" ht="42" customHeight="1">
      <x:c r="A128" s="6" t="str">
        <x:v>https://digitecme.com/ar/brands/audi-service-dubai/battery-replacement</x:v>
      </x:c>
      <x:c r="B128" s="6" t="str"/>
      <x:c r="C128" s="6" t="str"/>
      <x:c r="D128" s="6" t="str">
        <x:v>brand-service</x:v>
      </x:c>
      <x:c r="E128" s="6" t="str">
        <x:v>Retain differentiated role</x:v>
      </x:c>
      <x:c r="F128" s="6" t="str">
        <x:v>Local source render; live version unverified</x:v>
      </x:c>
      <x:c r="G128" s="6" t="str">
        <x:v>تبديل البطارية Audi في دبي | ديجي-تك</x:v>
      </x:c>
      <x:c r="H128" s="6" t="str">
        <x:v>تبديل البطارية Audi في دبي | ديجي-تك</x:v>
      </x:c>
      <x:c r="I128" s="6" t="str">
        <x:v>تبديل البطارية Audi في دبي</x:v>
      </x:c>
      <x:c r="J128" s="6" t="str">
        <x:v>تبديل البطارية Audi في دبي</x:v>
      </x:c>
      <x:c r="K128" s="6" t="str">
        <x:v>تبديل البطارية متخصص لسيارات Audi في دبي مع تشخيص متقدم وقطع مناسبة وتسعير واضح لدى مركز ديجي-تك.</x:v>
      </x:c>
      <x:c r="L128" s="6" t="str">
        <x:v>Retain pending evidence; no specific content edit justified by this export.</x:v>
      </x:c>
      <x:c r="M128" s="6" t="str">
        <x:v>Retain; inspect relevant context before adding links</x:v>
      </x:c>
      <x:c r="N128" s="6" t="str">
        <x:v>Unconfirmed — no query/page pairing</x:v>
      </x:c>
      <x:c r="O128" s="6" t="str">
        <x:v>Retain established booking / WhatsApp / call path; live behaviour untested</x:v>
      </x:c>
      <x:c r="P128" s="6" t="str">
        <x:v>Retain canonical and indexation policy pending a live check.</x:v>
      </x:c>
      <x:c r="Q128" s="6" t="str">
        <x:v>Proposed; no website change made</x:v>
      </x:c>
      <x:c r="R128" s="14" t="n">
        <x:v>0</x:v>
      </x:c>
      <x:c r="S128" s="14" t="n">
        <x:v>6</x:v>
      </x:c>
      <x:c r="T128" s="15" t="n">
        <x:v>0</x:v>
      </x:c>
      <x:c r="U128" s="16" t="n">
        <x:v>46.67</x:v>
      </x:c>
      <x:c r="V128" s="6" t="str">
        <x:v>https://digitecme.com/ar/brands/audi-service-dubai/battery-replacement</x:v>
      </x:c>
      <x:c r="W128" s="6" t="str">
        <x:v>Indexable directive</x:v>
      </x:c>
      <x:c r="X128" s="6" t="n">
        <x:v>16</x:v>
      </x:c>
      <x:c r="Y128" s="6" t="str">
        <x:v>تبديل البطارية Audi في دبي | ديجي-تك</x:v>
      </x:c>
      <x:c r="Z128" s="6" t="str"/>
      <x:c r="AA128" s="6" t="str">
        <x:v>No / not compared</x:v>
      </x:c>
    </x:row>
    <x:row r="129" ht="42" customHeight="1">
      <x:c r="A129" s="6" t="str">
        <x:v>https://digitecme.com/ar/brands/audi-service-dubai/body-repair</x:v>
      </x:c>
      <x:c r="B129" s="6" t="str"/>
      <x:c r="C129" s="6" t="str"/>
      <x:c r="D129" s="6" t="str">
        <x:v>brand-service</x:v>
      </x:c>
      <x:c r="E129" s="6" t="str">
        <x:v>Retain differentiated role</x:v>
      </x:c>
      <x:c r="F129" s="6" t="str">
        <x:v>Local source render; live version unverified</x:v>
      </x:c>
      <x:c r="G129" s="6" t="str">
        <x:v>إصلاح الهيكل Audi في دبي | ديجي-تك</x:v>
      </x:c>
      <x:c r="H129" s="6" t="str">
        <x:v>إصلاح الهيكل Audi في دبي | ديجي-تك</x:v>
      </x:c>
      <x:c r="I129" s="6" t="str">
        <x:v>إصلاح الهيكل Audi في دبي</x:v>
      </x:c>
      <x:c r="J129" s="6" t="str">
        <x:v>إصلاح الهيكل Audi في دبي</x:v>
      </x:c>
      <x:c r="K129" s="6" t="str">
        <x:v>إصلاح الهيكل متخصص لسيارات Audi في دبي مع تشخيص متقدم وقطع مناسبة وتسعير واضح لدى مركز ديجي-تك.</x:v>
      </x:c>
      <x:c r="L129" s="6" t="str">
        <x:v>Retain pending evidence; no specific content edit justified by this export.</x:v>
      </x:c>
      <x:c r="M129" s="6" t="str">
        <x:v>Retain; inspect relevant context before adding links</x:v>
      </x:c>
      <x:c r="N129" s="6" t="str">
        <x:v>Unconfirmed — no query/page pairing</x:v>
      </x:c>
      <x:c r="O129" s="6" t="str">
        <x:v>Retain established booking / WhatsApp / call path; live behaviour untested</x:v>
      </x:c>
      <x:c r="P129" s="6" t="str">
        <x:v>Retain canonical and indexation policy pending a live check.</x:v>
      </x:c>
      <x:c r="Q129" s="6" t="str">
        <x:v>Proposed; no website change made</x:v>
      </x:c>
      <x:c r="R129" s="14" t="n">
        <x:v>0</x:v>
      </x:c>
      <x:c r="S129" s="14" t="n">
        <x:v>2</x:v>
      </x:c>
      <x:c r="T129" s="15" t="n">
        <x:v>0</x:v>
      </x:c>
      <x:c r="U129" s="16" t="n">
        <x:v>10</x:v>
      </x:c>
      <x:c r="V129" s="6" t="str">
        <x:v>https://digitecme.com/ar/brands/audi-service-dubai/body-repair</x:v>
      </x:c>
      <x:c r="W129" s="6" t="str">
        <x:v>Indexable directive</x:v>
      </x:c>
      <x:c r="X129" s="6" t="n">
        <x:v>16</x:v>
      </x:c>
      <x:c r="Y129" s="6" t="str">
        <x:v>إصلاح الهيكل Audi في دبي | ديجي-تك</x:v>
      </x:c>
      <x:c r="Z129" s="6" t="str"/>
      <x:c r="AA129" s="6" t="str">
        <x:v>No / not compared</x:v>
      </x:c>
    </x:row>
    <x:row r="130" ht="42" customHeight="1">
      <x:c r="A130" s="6" t="str">
        <x:v>https://digitecme.com/ar/brands/audi-service-dubai/brake-repair</x:v>
      </x:c>
      <x:c r="B130" s="6" t="str"/>
      <x:c r="C130" s="6" t="str"/>
      <x:c r="D130" s="6" t="str">
        <x:v>brand-service</x:v>
      </x:c>
      <x:c r="E130" s="6" t="str">
        <x:v>Retain differentiated role</x:v>
      </x:c>
      <x:c r="F130" s="6" t="str">
        <x:v>Local source render; live version unverified</x:v>
      </x:c>
      <x:c r="G130" s="6" t="str">
        <x:v>إصلاح الفرامل Audi في دبي | ديجي-تك</x:v>
      </x:c>
      <x:c r="H130" s="6" t="str">
        <x:v>إصلاح الفرامل Audi في دبي | ديجي-تك</x:v>
      </x:c>
      <x:c r="I130" s="6" t="str">
        <x:v>إصلاح الفرامل Audi في دبي</x:v>
      </x:c>
      <x:c r="J130" s="6" t="str">
        <x:v>إصلاح الفرامل Audi في دبي</x:v>
      </x:c>
      <x:c r="K130" s="6" t="str">
        <x:v>إصلاح الفرامل متخصص لسيارات Audi في دبي مع تشخيص متقدم وقطع مناسبة وتسعير واضح لدى مركز ديجي-تك.</x:v>
      </x:c>
      <x:c r="L130" s="6" t="str">
        <x:v>Retain pending evidence; no specific content edit justified by this export.</x:v>
      </x:c>
      <x:c r="M130" s="6" t="str">
        <x:v>Retain; inspect relevant context before adding links</x:v>
      </x:c>
      <x:c r="N130" s="6" t="str">
        <x:v>Unconfirmed — no query/page pairing</x:v>
      </x:c>
      <x:c r="O130" s="6" t="str">
        <x:v>Retain established booking / WhatsApp / call path; live behaviour untested</x:v>
      </x:c>
      <x:c r="P130" s="6" t="str">
        <x:v>Retain canonical and indexation policy pending a live check.</x:v>
      </x:c>
      <x:c r="Q130" s="6" t="str">
        <x:v>Proposed; no website change made</x:v>
      </x:c>
      <x:c r="R130" s="14"/>
      <x:c r="S130" s="14"/>
      <x:c r="T130" s="15"/>
      <x:c r="U130" s="16"/>
      <x:c r="V130" s="6" t="str">
        <x:v>https://digitecme.com/ar/brands/audi-service-dubai/brake-repair</x:v>
      </x:c>
      <x:c r="W130" s="6" t="str">
        <x:v>Indexable directive</x:v>
      </x:c>
      <x:c r="X130" s="6" t="n">
        <x:v>16</x:v>
      </x:c>
      <x:c r="Y130" s="6" t="str">
        <x:v>إصلاح الفرامل Audi في دبي | ديجي-تك</x:v>
      </x:c>
      <x:c r="Z130" s="6" t="str"/>
      <x:c r="AA130" s="6" t="str">
        <x:v>No / not compared</x:v>
      </x:c>
    </x:row>
    <x:row r="131" ht="42" customHeight="1">
      <x:c r="A131" s="6" t="str">
        <x:v>https://digitecme.com/ar/brands/audi-service-dubai/electrical-repair</x:v>
      </x:c>
      <x:c r="B131" s="6" t="str"/>
      <x:c r="C131" s="6" t="str"/>
      <x:c r="D131" s="6" t="str">
        <x:v>brand-service</x:v>
      </x:c>
      <x:c r="E131" s="6" t="str">
        <x:v>Retain differentiated role</x:v>
      </x:c>
      <x:c r="F131" s="6" t="str">
        <x:v>Local source render; live version unverified</x:v>
      </x:c>
      <x:c r="G131" s="6" t="str">
        <x:v>إصلاح الكهرباء Audi في دبي | ديجي-تك</x:v>
      </x:c>
      <x:c r="H131" s="6" t="str">
        <x:v>إصلاح الكهرباء Audi في دبي | ديجي-تك</x:v>
      </x:c>
      <x:c r="I131" s="6" t="str">
        <x:v>إصلاح الكهرباء Audi في دبي</x:v>
      </x:c>
      <x:c r="J131" s="6" t="str">
        <x:v>إصلاح الكهرباء Audi في دبي</x:v>
      </x:c>
      <x:c r="K131" s="6" t="str">
        <x:v>إصلاح الكهرباء متخصص لسيارات Audi في دبي مع تشخيص متقدم وقطع مناسبة وتسعير واضح لدى مركز ديجي-تك.</x:v>
      </x:c>
      <x:c r="L131" s="6" t="str">
        <x:v>Retain pending evidence; no specific content edit justified by this export.</x:v>
      </x:c>
      <x:c r="M131" s="6" t="str">
        <x:v>Retain; inspect relevant context before adding links</x:v>
      </x:c>
      <x:c r="N131" s="6" t="str">
        <x:v>Unconfirmed — no query/page pairing</x:v>
      </x:c>
      <x:c r="O131" s="6" t="str">
        <x:v>Retain established booking / WhatsApp / call path; live behaviour untested</x:v>
      </x:c>
      <x:c r="P131" s="6" t="str">
        <x:v>Retain canonical and indexation policy pending a live check.</x:v>
      </x:c>
      <x:c r="Q131" s="6" t="str">
        <x:v>Proposed; no website change made</x:v>
      </x:c>
      <x:c r="R131" s="14" t="n">
        <x:v>0</x:v>
      </x:c>
      <x:c r="S131" s="14" t="n">
        <x:v>3</x:v>
      </x:c>
      <x:c r="T131" s="15" t="n">
        <x:v>0</x:v>
      </x:c>
      <x:c r="U131" s="16" t="n">
        <x:v>53.67</x:v>
      </x:c>
      <x:c r="V131" s="6" t="str">
        <x:v>https://digitecme.com/ar/brands/audi-service-dubai/electrical-repair</x:v>
      </x:c>
      <x:c r="W131" s="6" t="str">
        <x:v>Indexable directive</x:v>
      </x:c>
      <x:c r="X131" s="6" t="n">
        <x:v>16</x:v>
      </x:c>
      <x:c r="Y131" s="6" t="str">
        <x:v>إصلاح الكهرباء Audi في دبي | ديجي-تك</x:v>
      </x:c>
      <x:c r="Z131" s="6" t="str"/>
      <x:c r="AA131" s="6" t="str">
        <x:v>No / not compared</x:v>
      </x:c>
    </x:row>
    <x:row r="132" ht="42" customHeight="1">
      <x:c r="A132" s="6" t="str">
        <x:v>https://digitecme.com/ar/brands/audi-service-dubai/engine-diagnostics</x:v>
      </x:c>
      <x:c r="B132" s="6" t="str"/>
      <x:c r="C132" s="6" t="str"/>
      <x:c r="D132" s="6" t="str">
        <x:v>brand-service</x:v>
      </x:c>
      <x:c r="E132" s="6" t="str">
        <x:v>Retain differentiated role</x:v>
      </x:c>
      <x:c r="F132" s="6" t="str">
        <x:v>Local source render; live version unverified</x:v>
      </x:c>
      <x:c r="G132" s="6" t="str">
        <x:v>تشخيص المحرك Audi في دبي | ديجي-تك</x:v>
      </x:c>
      <x:c r="H132" s="6" t="str">
        <x:v>تشخيص المحرك Audi في دبي | ديجي-تك</x:v>
      </x:c>
      <x:c r="I132" s="6" t="str">
        <x:v>تشخيص المحرك Audi في دبي</x:v>
      </x:c>
      <x:c r="J132" s="6" t="str">
        <x:v>تشخيص المحرك Audi في دبي</x:v>
      </x:c>
      <x:c r="K132" s="6" t="str">
        <x:v>تشخيص المحرك متخصص لسيارات Audi في دبي مع تشخيص متقدم وقطع مناسبة وتسعير واضح لدى مركز ديجي-تك.</x:v>
      </x:c>
      <x:c r="L132" s="6" t="str">
        <x:v>Retain pending evidence; no specific content edit justified by this export.</x:v>
      </x:c>
      <x:c r="M132" s="6" t="str">
        <x:v>Retain; inspect relevant context before adding links</x:v>
      </x:c>
      <x:c r="N132" s="6" t="str">
        <x:v>Unconfirmed — no query/page pairing</x:v>
      </x:c>
      <x:c r="O132" s="6" t="str">
        <x:v>Retain established booking / WhatsApp / call path; live behaviour untested</x:v>
      </x:c>
      <x:c r="P132" s="6" t="str">
        <x:v>Retain canonical and indexation policy pending a live check.</x:v>
      </x:c>
      <x:c r="Q132" s="6" t="str">
        <x:v>Proposed; no website change made</x:v>
      </x:c>
      <x:c r="R132" s="14"/>
      <x:c r="S132" s="14"/>
      <x:c r="T132" s="15"/>
      <x:c r="U132" s="16"/>
      <x:c r="V132" s="6" t="str">
        <x:v>https://digitecme.com/ar/brands/audi-service-dubai/engine-diagnostics</x:v>
      </x:c>
      <x:c r="W132" s="6" t="str">
        <x:v>Indexable directive</x:v>
      </x:c>
      <x:c r="X132" s="6" t="n">
        <x:v>16</x:v>
      </x:c>
      <x:c r="Y132" s="6" t="str">
        <x:v>تشخيص المحرك Audi في دبي | ديجي-تك</x:v>
      </x:c>
      <x:c r="Z132" s="6" t="str"/>
      <x:c r="AA132" s="6" t="str">
        <x:v>No / not compared</x:v>
      </x:c>
    </x:row>
    <x:row r="133" ht="42" customHeight="1">
      <x:c r="A133" s="6" t="str">
        <x:v>https://digitecme.com/ar/brands/audi-service-dubai/exhaust-repair</x:v>
      </x:c>
      <x:c r="B133" s="6" t="str"/>
      <x:c r="C133" s="6" t="str"/>
      <x:c r="D133" s="6" t="str">
        <x:v>brand-service</x:v>
      </x:c>
      <x:c r="E133" s="6" t="str">
        <x:v>Retain differentiated role</x:v>
      </x:c>
      <x:c r="F133" s="6" t="str">
        <x:v>Local source render; live version unverified</x:v>
      </x:c>
      <x:c r="G133" s="6" t="str">
        <x:v>إصلاح العادم Audi في دبي | ديجي-تك</x:v>
      </x:c>
      <x:c r="H133" s="6" t="str">
        <x:v>إصلاح العادم Audi في دبي | ديجي-تك</x:v>
      </x:c>
      <x:c r="I133" s="6" t="str">
        <x:v>إصلاح العادم Audi في دبي</x:v>
      </x:c>
      <x:c r="J133" s="6" t="str">
        <x:v>إصلاح العادم Audi في دبي</x:v>
      </x:c>
      <x:c r="K133" s="6" t="str">
        <x:v>إصلاح العادم متخصص لسيارات Audi في دبي مع تشخيص متقدم وقطع مناسبة وتسعير واضح لدى مركز ديجي-تك.</x:v>
      </x:c>
      <x:c r="L133" s="6" t="str">
        <x:v>Retain pending evidence; no specific content edit justified by this export.</x:v>
      </x:c>
      <x:c r="M133" s="6" t="str">
        <x:v>Retain; inspect relevant context before adding links</x:v>
      </x:c>
      <x:c r="N133" s="6" t="str">
        <x:v>Unconfirmed — no query/page pairing</x:v>
      </x:c>
      <x:c r="O133" s="6" t="str">
        <x:v>Retain established booking / WhatsApp / call path; live behaviour untested</x:v>
      </x:c>
      <x:c r="P133" s="6" t="str">
        <x:v>Retain canonical and indexation policy pending a live check.</x:v>
      </x:c>
      <x:c r="Q133" s="6" t="str">
        <x:v>Proposed; no website change made</x:v>
      </x:c>
      <x:c r="R133" s="14"/>
      <x:c r="S133" s="14"/>
      <x:c r="T133" s="15"/>
      <x:c r="U133" s="16"/>
      <x:c r="V133" s="6" t="str">
        <x:v>https://digitecme.com/ar/brands/audi-service-dubai/exhaust-repair</x:v>
      </x:c>
      <x:c r="W133" s="6" t="str">
        <x:v>Indexable directive</x:v>
      </x:c>
      <x:c r="X133" s="6" t="n">
        <x:v>16</x:v>
      </x:c>
      <x:c r="Y133" s="6" t="str">
        <x:v>إصلاح العادم Audi في دبي | ديجي-تك</x:v>
      </x:c>
      <x:c r="Z133" s="6" t="str"/>
      <x:c r="AA133" s="6" t="str">
        <x:v>No / not compared</x:v>
      </x:c>
    </x:row>
    <x:row r="134" ht="42" customHeight="1">
      <x:c r="A134" s="6" t="str">
        <x:v>https://digitecme.com/ar/brands/audi-service-dubai/fuel-system-repair</x:v>
      </x:c>
      <x:c r="B134" s="6" t="str"/>
      <x:c r="C134" s="6" t="str"/>
      <x:c r="D134" s="6" t="str">
        <x:v>brand-service</x:v>
      </x:c>
      <x:c r="E134" s="6" t="str">
        <x:v>Retain differentiated role</x:v>
      </x:c>
      <x:c r="F134" s="6" t="str">
        <x:v>Local source render; live version unverified</x:v>
      </x:c>
      <x:c r="G134" s="6" t="str">
        <x:v>إصلاح نظام الوقود Audi في دبي | ديجي-تك</x:v>
      </x:c>
      <x:c r="H134" s="6" t="str">
        <x:v>إصلاح نظام الوقود Audi في دبي | ديجي-تك</x:v>
      </x:c>
      <x:c r="I134" s="6" t="str">
        <x:v>إصلاح نظام الوقود Audi في دبي</x:v>
      </x:c>
      <x:c r="J134" s="6" t="str">
        <x:v>إصلاح نظام الوقود Audi في دبي</x:v>
      </x:c>
      <x:c r="K134" s="6" t="str">
        <x:v>إصلاح نظام الوقود متخصص لسيارات Audi في دبي مع تشخيص متقدم وقطع مناسبة وتسعير واضح لدى مركز ديجي-تك.</x:v>
      </x:c>
      <x:c r="L134" s="6" t="str">
        <x:v>Retain pending evidence; no specific content edit justified by this export.</x:v>
      </x:c>
      <x:c r="M134" s="6" t="str">
        <x:v>Retain; inspect relevant context before adding links</x:v>
      </x:c>
      <x:c r="N134" s="6" t="str">
        <x:v>Unconfirmed — no query/page pairing</x:v>
      </x:c>
      <x:c r="O134" s="6" t="str">
        <x:v>Retain established booking / WhatsApp / call path; live behaviour untested</x:v>
      </x:c>
      <x:c r="P134" s="6" t="str">
        <x:v>Retain canonical and indexation policy pending a live check.</x:v>
      </x:c>
      <x:c r="Q134" s="6" t="str">
        <x:v>Proposed; no website change made</x:v>
      </x:c>
      <x:c r="R134" s="14"/>
      <x:c r="S134" s="14"/>
      <x:c r="T134" s="15"/>
      <x:c r="U134" s="16"/>
      <x:c r="V134" s="6" t="str">
        <x:v>https://digitecme.com/ar/brands/audi-service-dubai/fuel-system-repair</x:v>
      </x:c>
      <x:c r="W134" s="6" t="str">
        <x:v>Indexable directive</x:v>
      </x:c>
      <x:c r="X134" s="6" t="n">
        <x:v>16</x:v>
      </x:c>
      <x:c r="Y134" s="6" t="str">
        <x:v>إصلاح نظام الوقود Audi في دبي | ديجي-تك</x:v>
      </x:c>
      <x:c r="Z134" s="6" t="str"/>
      <x:c r="AA134" s="6" t="str">
        <x:v>No / not compared</x:v>
      </x:c>
    </x:row>
    <x:row r="135" ht="42" customHeight="1">
      <x:c r="A135" s="6" t="str">
        <x:v>https://digitecme.com/ar/brands/audi-service-dubai/mechanical-repair</x:v>
      </x:c>
      <x:c r="B135" s="6" t="str"/>
      <x:c r="C135" s="6" t="str"/>
      <x:c r="D135" s="6" t="str">
        <x:v>brand-service</x:v>
      </x:c>
      <x:c r="E135" s="6" t="str">
        <x:v>Retain differentiated role</x:v>
      </x:c>
      <x:c r="F135" s="6" t="str">
        <x:v>Local source render; live version unverified</x:v>
      </x:c>
      <x:c r="G135" s="6" t="str">
        <x:v>الإصلاح الميكانيكي Audi في دبي | ديجي-تك</x:v>
      </x:c>
      <x:c r="H135" s="6" t="str">
        <x:v>الإصلاح الميكانيكي Audi في دبي | ديجي-تك</x:v>
      </x:c>
      <x:c r="I135" s="6" t="str">
        <x:v>الإصلاح الميكانيكي Audi في دبي</x:v>
      </x:c>
      <x:c r="J135" s="6" t="str">
        <x:v>الإصلاح الميكانيكي Audi في دبي</x:v>
      </x:c>
      <x:c r="K135" s="6" t="str">
        <x:v>الإصلاح الميكانيكي متخصص لسيارات Audi في دبي مع تشخيص متقدم وقطع مناسبة وتسعير واضح لدى مركز ديجي-تك.</x:v>
      </x:c>
      <x:c r="L135" s="6" t="str">
        <x:v>Retain pending evidence; no specific content edit justified by this export.</x:v>
      </x:c>
      <x:c r="M135" s="6" t="str">
        <x:v>Retain; inspect relevant context before adding links</x:v>
      </x:c>
      <x:c r="N135" s="6" t="str">
        <x:v>Unconfirmed — no query/page pairing</x:v>
      </x:c>
      <x:c r="O135" s="6" t="str">
        <x:v>Retain established booking / WhatsApp / call path; live behaviour untested</x:v>
      </x:c>
      <x:c r="P135" s="6" t="str">
        <x:v>Retain canonical and indexation policy pending a live check.</x:v>
      </x:c>
      <x:c r="Q135" s="6" t="str">
        <x:v>Proposed; no website change made</x:v>
      </x:c>
      <x:c r="R135" s="14"/>
      <x:c r="S135" s="14"/>
      <x:c r="T135" s="15"/>
      <x:c r="U135" s="16"/>
      <x:c r="V135" s="6" t="str">
        <x:v>https://digitecme.com/ar/brands/audi-service-dubai/mechanical-repair</x:v>
      </x:c>
      <x:c r="W135" s="6" t="str">
        <x:v>Indexable directive</x:v>
      </x:c>
      <x:c r="X135" s="6" t="n">
        <x:v>16</x:v>
      </x:c>
      <x:c r="Y135" s="6" t="str">
        <x:v>الإصلاح الميكانيكي Audi في دبي | ديجي-تك</x:v>
      </x:c>
      <x:c r="Z135" s="6" t="str"/>
      <x:c r="AA135" s="6" t="str">
        <x:v>No / not compared</x:v>
      </x:c>
    </x:row>
    <x:row r="136" ht="42" customHeight="1">
      <x:c r="A136" s="6" t="str">
        <x:v>https://digitecme.com/ar/brands/audi-service-dubai/oil-change</x:v>
      </x:c>
      <x:c r="B136" s="6" t="str"/>
      <x:c r="C136" s="6" t="str"/>
      <x:c r="D136" s="6" t="str">
        <x:v>brand-service</x:v>
      </x:c>
      <x:c r="E136" s="6" t="str">
        <x:v>Retain differentiated role</x:v>
      </x:c>
      <x:c r="F136" s="6" t="str">
        <x:v>Local source render; live version unverified</x:v>
      </x:c>
      <x:c r="G136" s="6" t="str">
        <x:v>تغيير الزيت Audi في دبي | ديجي-تك</x:v>
      </x:c>
      <x:c r="H136" s="6" t="str">
        <x:v>تغيير الزيت Audi في دبي | ديجي-تك</x:v>
      </x:c>
      <x:c r="I136" s="6" t="str">
        <x:v>تغيير الزيت Audi في دبي</x:v>
      </x:c>
      <x:c r="J136" s="6" t="str">
        <x:v>تغيير الزيت Audi في دبي</x:v>
      </x:c>
      <x:c r="K136" s="6" t="str">
        <x:v>تغيير الزيت متخصص لسيارات Audi في دبي مع تشخيص متقدم وقطع مناسبة وتسعير واضح لدى مركز ديجي-تك.</x:v>
      </x:c>
      <x:c r="L136" s="6" t="str">
        <x:v>Retain pending evidence; no specific content edit justified by this export.</x:v>
      </x:c>
      <x:c r="M136" s="6" t="str">
        <x:v>Retain; inspect relevant context before adding links</x:v>
      </x:c>
      <x:c r="N136" s="6" t="str">
        <x:v>Unconfirmed — no query/page pairing</x:v>
      </x:c>
      <x:c r="O136" s="6" t="str">
        <x:v>Retain established booking / WhatsApp / call path; live behaviour untested</x:v>
      </x:c>
      <x:c r="P136" s="6" t="str">
        <x:v>Retain canonical and indexation policy pending a live check.</x:v>
      </x:c>
      <x:c r="Q136" s="6" t="str">
        <x:v>Proposed; no website change made</x:v>
      </x:c>
      <x:c r="R136" s="14"/>
      <x:c r="S136" s="14"/>
      <x:c r="T136" s="15"/>
      <x:c r="U136" s="16"/>
      <x:c r="V136" s="6" t="str">
        <x:v>https://digitecme.com/ar/brands/audi-service-dubai/oil-change</x:v>
      </x:c>
      <x:c r="W136" s="6" t="str">
        <x:v>Indexable directive</x:v>
      </x:c>
      <x:c r="X136" s="6" t="n">
        <x:v>16</x:v>
      </x:c>
      <x:c r="Y136" s="6" t="str">
        <x:v>تغيير الزيت Audi في دبي | ديجي-تك</x:v>
      </x:c>
      <x:c r="Z136" s="6" t="str"/>
      <x:c r="AA136" s="6" t="str">
        <x:v>No / not compared</x:v>
      </x:c>
    </x:row>
    <x:row r="137" ht="42" customHeight="1">
      <x:c r="A137" s="6" t="str">
        <x:v>https://digitecme.com/ar/brands/audi-service-dubai/steering-repair</x:v>
      </x:c>
      <x:c r="B137" s="6" t="str"/>
      <x:c r="C137" s="6" t="str"/>
      <x:c r="D137" s="6" t="str">
        <x:v>brand-service</x:v>
      </x:c>
      <x:c r="E137" s="6" t="str">
        <x:v>Retain differentiated role</x:v>
      </x:c>
      <x:c r="F137" s="6" t="str">
        <x:v>Local source render; live version unverified</x:v>
      </x:c>
      <x:c r="G137" s="6" t="str">
        <x:v>إصلاح نظام التوجيه Audi في دبي | ديجي-تك</x:v>
      </x:c>
      <x:c r="H137" s="6" t="str">
        <x:v>إصلاح نظام التوجيه Audi في دبي | ديجي-تك</x:v>
      </x:c>
      <x:c r="I137" s="6" t="str">
        <x:v>إصلاح نظام التوجيه Audi في دبي</x:v>
      </x:c>
      <x:c r="J137" s="6" t="str">
        <x:v>إصلاح نظام التوجيه Audi في دبي</x:v>
      </x:c>
      <x:c r="K137" s="6" t="str">
        <x:v>إصلاح نظام التوجيه متخصص لسيارات Audi في دبي مع تشخيص متقدم وقطع مناسبة وتسعير واضح لدى مركز ديجي-تك.</x:v>
      </x:c>
      <x:c r="L137" s="6" t="str">
        <x:v>Retain pending evidence; no specific content edit justified by this export.</x:v>
      </x:c>
      <x:c r="M137" s="6" t="str">
        <x:v>Retain; inspect relevant context before adding links</x:v>
      </x:c>
      <x:c r="N137" s="6" t="str">
        <x:v>Unconfirmed — no query/page pairing</x:v>
      </x:c>
      <x:c r="O137" s="6" t="str">
        <x:v>Retain established booking / WhatsApp / call path; live behaviour untested</x:v>
      </x:c>
      <x:c r="P137" s="6" t="str">
        <x:v>Retain canonical and indexation policy pending a live check.</x:v>
      </x:c>
      <x:c r="Q137" s="6" t="str">
        <x:v>Proposed; no website change made</x:v>
      </x:c>
      <x:c r="R137" s="14"/>
      <x:c r="S137" s="14"/>
      <x:c r="T137" s="15"/>
      <x:c r="U137" s="16"/>
      <x:c r="V137" s="6" t="str">
        <x:v>https://digitecme.com/ar/brands/audi-service-dubai/steering-repair</x:v>
      </x:c>
      <x:c r="W137" s="6" t="str">
        <x:v>Indexable directive</x:v>
      </x:c>
      <x:c r="X137" s="6" t="n">
        <x:v>16</x:v>
      </x:c>
      <x:c r="Y137" s="6" t="str">
        <x:v>إصلاح نظام التوجيه Audi في دبي | ديجي-تك</x:v>
      </x:c>
      <x:c r="Z137" s="6" t="str"/>
      <x:c r="AA137" s="6" t="str">
        <x:v>No / not compared</x:v>
      </x:c>
    </x:row>
    <x:row r="138" ht="42" customHeight="1">
      <x:c r="A138" s="6" t="str">
        <x:v>https://digitecme.com/ar/brands/audi-service-dubai/suspension-repair</x:v>
      </x:c>
      <x:c r="B138" s="6" t="str"/>
      <x:c r="C138" s="6" t="str"/>
      <x:c r="D138" s="6" t="str">
        <x:v>brand-service</x:v>
      </x:c>
      <x:c r="E138" s="6" t="str">
        <x:v>Retain differentiated role</x:v>
      </x:c>
      <x:c r="F138" s="6" t="str">
        <x:v>Local source render; live version unverified</x:v>
      </x:c>
      <x:c r="G138" s="6" t="str">
        <x:v>إصلاح التعليق Audi في دبي | ديجي-تك</x:v>
      </x:c>
      <x:c r="H138" s="6" t="str">
        <x:v>إصلاح التعليق Audi في دبي | ديجي-تك</x:v>
      </x:c>
      <x:c r="I138" s="6" t="str">
        <x:v>إصلاح التعليق Audi في دبي</x:v>
      </x:c>
      <x:c r="J138" s="6" t="str">
        <x:v>إصلاح التعليق Audi في دبي</x:v>
      </x:c>
      <x:c r="K138" s="6" t="str">
        <x:v>إصلاح التعليق متخصص لسيارات Audi في دبي مع تشخيص متقدم وقطع مناسبة وتسعير واضح لدى مركز ديجي-تك.</x:v>
      </x:c>
      <x:c r="L138" s="6" t="str">
        <x:v>Retain pending evidence; no specific content edit justified by this export.</x:v>
      </x:c>
      <x:c r="M138" s="6" t="str">
        <x:v>Retain; inspect relevant context before adding links</x:v>
      </x:c>
      <x:c r="N138" s="6" t="str">
        <x:v>Unconfirmed — no query/page pairing</x:v>
      </x:c>
      <x:c r="O138" s="6" t="str">
        <x:v>Retain established booking / WhatsApp / call path; live behaviour untested</x:v>
      </x:c>
      <x:c r="P138" s="6" t="str">
        <x:v>Retain canonical and indexation policy pending a live check.</x:v>
      </x:c>
      <x:c r="Q138" s="6" t="str">
        <x:v>Proposed; no website change made</x:v>
      </x:c>
      <x:c r="R138" s="14"/>
      <x:c r="S138" s="14"/>
      <x:c r="T138" s="15"/>
      <x:c r="U138" s="16"/>
      <x:c r="V138" s="6" t="str">
        <x:v>https://digitecme.com/ar/brands/audi-service-dubai/suspension-repair</x:v>
      </x:c>
      <x:c r="W138" s="6" t="str">
        <x:v>Indexable directive</x:v>
      </x:c>
      <x:c r="X138" s="6" t="n">
        <x:v>16</x:v>
      </x:c>
      <x:c r="Y138" s="6" t="str">
        <x:v>إصلاح التعليق Audi في دبي | ديجي-تك</x:v>
      </x:c>
      <x:c r="Z138" s="6" t="str"/>
      <x:c r="AA138" s="6" t="str">
        <x:v>No / not compared</x:v>
      </x:c>
    </x:row>
    <x:row r="139" ht="42" customHeight="1">
      <x:c r="A139" s="6" t="str">
        <x:v>https://digitecme.com/ar/brands/audi-service-dubai/tire-repair</x:v>
      </x:c>
      <x:c r="B139" s="6" t="str"/>
      <x:c r="C139" s="6" t="str"/>
      <x:c r="D139" s="6" t="str">
        <x:v>brand-service</x:v>
      </x:c>
      <x:c r="E139" s="6" t="str">
        <x:v>Retain differentiated role</x:v>
      </x:c>
      <x:c r="F139" s="6" t="str">
        <x:v>Local source render; live version unverified</x:v>
      </x:c>
      <x:c r="G139" s="6" t="str">
        <x:v>إصلاح الإطارات Audi في دبي | ديجي-تك</x:v>
      </x:c>
      <x:c r="H139" s="6" t="str">
        <x:v>إصلاح الإطارات Audi في دبي | ديجي-تك</x:v>
      </x:c>
      <x:c r="I139" s="6" t="str">
        <x:v>إصلاح الإطارات Audi في دبي</x:v>
      </x:c>
      <x:c r="J139" s="6" t="str">
        <x:v>إصلاح الإطارات Audi في دبي</x:v>
      </x:c>
      <x:c r="K139" s="6" t="str">
        <x:v>إصلاح الإطارات متخصص لسيارات Audi في دبي مع تشخيص متقدم وقطع مناسبة وتسعير واضح لدى مركز ديجي-تك.</x:v>
      </x:c>
      <x:c r="L139" s="6" t="str">
        <x:v>Retain pending evidence; no specific content edit justified by this export.</x:v>
      </x:c>
      <x:c r="M139" s="6" t="str">
        <x:v>Retain; inspect relevant context before adding links</x:v>
      </x:c>
      <x:c r="N139" s="6" t="str">
        <x:v>Unconfirmed — no query/page pairing</x:v>
      </x:c>
      <x:c r="O139" s="6" t="str">
        <x:v>Retain established booking / WhatsApp / call path; live behaviour untested</x:v>
      </x:c>
      <x:c r="P139" s="6" t="str">
        <x:v>Retain canonical and indexation policy pending a live check.</x:v>
      </x:c>
      <x:c r="Q139" s="6" t="str">
        <x:v>Proposed; no website change made</x:v>
      </x:c>
      <x:c r="R139" s="14"/>
      <x:c r="S139" s="14"/>
      <x:c r="T139" s="15"/>
      <x:c r="U139" s="16"/>
      <x:c r="V139" s="6" t="str">
        <x:v>https://digitecme.com/ar/brands/audi-service-dubai/tire-repair</x:v>
      </x:c>
      <x:c r="W139" s="6" t="str">
        <x:v>Indexable directive</x:v>
      </x:c>
      <x:c r="X139" s="6" t="n">
        <x:v>16</x:v>
      </x:c>
      <x:c r="Y139" s="6" t="str">
        <x:v>إصلاح الإطارات Audi في دبي | ديجي-تك</x:v>
      </x:c>
      <x:c r="Z139" s="6" t="str"/>
      <x:c r="AA139" s="6" t="str">
        <x:v>No / not compared</x:v>
      </x:c>
    </x:row>
    <x:row r="140" ht="42" customHeight="1">
      <x:c r="A140" s="6" t="str">
        <x:v>https://digitecme.com/ar/brands/audi-service-dubai/transmission-repair</x:v>
      </x:c>
      <x:c r="B140" s="6" t="str"/>
      <x:c r="C140" s="6" t="str"/>
      <x:c r="D140" s="6" t="str">
        <x:v>brand-service</x:v>
      </x:c>
      <x:c r="E140" s="6" t="str">
        <x:v>Retain differentiated role</x:v>
      </x:c>
      <x:c r="F140" s="6" t="str">
        <x:v>Local source render; live version unverified</x:v>
      </x:c>
      <x:c r="G140" s="6" t="str">
        <x:v>إصلاح ناقل الحركة Audi في دبي | ديجي-تك</x:v>
      </x:c>
      <x:c r="H140" s="6" t="str">
        <x:v>إصلاح ناقل الحركة Audi في دبي | ديجي-تك</x:v>
      </x:c>
      <x:c r="I140" s="6" t="str">
        <x:v>إصلاح ناقل الحركة Audi في دبي</x:v>
      </x:c>
      <x:c r="J140" s="6" t="str">
        <x:v>إصلاح ناقل الحركة Audi في دبي</x:v>
      </x:c>
      <x:c r="K140" s="6" t="str">
        <x:v>إصلاح ناقل الحركة متخصص لسيارات Audi في دبي مع تشخيص متقدم وقطع مناسبة وتسعير واضح لدى مركز ديجي-تك.</x:v>
      </x:c>
      <x:c r="L140" s="6" t="str">
        <x:v>Retain pending evidence; no specific content edit justified by this export.</x:v>
      </x:c>
      <x:c r="M140" s="6" t="str">
        <x:v>Retain; inspect relevant context before adding links</x:v>
      </x:c>
      <x:c r="N140" s="6" t="str">
        <x:v>Unconfirmed — no query/page pairing</x:v>
      </x:c>
      <x:c r="O140" s="6" t="str">
        <x:v>Retain established booking / WhatsApp / call path; live behaviour untested</x:v>
      </x:c>
      <x:c r="P140" s="6" t="str">
        <x:v>Retain canonical and indexation policy pending a live check.</x:v>
      </x:c>
      <x:c r="Q140" s="6" t="str">
        <x:v>Proposed; no website change made</x:v>
      </x:c>
      <x:c r="R140" s="14"/>
      <x:c r="S140" s="14"/>
      <x:c r="T140" s="15"/>
      <x:c r="U140" s="16"/>
      <x:c r="V140" s="6" t="str">
        <x:v>https://digitecme.com/ar/brands/audi-service-dubai/transmission-repair</x:v>
      </x:c>
      <x:c r="W140" s="6" t="str">
        <x:v>Indexable directive</x:v>
      </x:c>
      <x:c r="X140" s="6" t="n">
        <x:v>16</x:v>
      </x:c>
      <x:c r="Y140" s="6" t="str">
        <x:v>إصلاح ناقل الحركة Audi في دبي | ديجي-تك</x:v>
      </x:c>
      <x:c r="Z140" s="6" t="str"/>
      <x:c r="AA140" s="6" t="str">
        <x:v>No / not compared</x:v>
      </x:c>
    </x:row>
    <x:row r="141" ht="42" customHeight="1">
      <x:c r="A141" s="6" t="str">
        <x:v>https://digitecme.com/ar/brands/bentley-service-dubai</x:v>
      </x:c>
      <x:c r="B141" s="6" t="str">
        <x:v>ورشة صيانة بنتلي</x:v>
      </x:c>
      <x:c r="C141" s="6" t="str">
        <x:v>bentley: Service and repair (Arabic); bentley: Service and repair (outside Dubai)</x:v>
      </x:c>
      <x:c r="D141" s="6" t="str">
        <x:v>brand</x:v>
      </x:c>
      <x:c r="E141" s="6" t="str">
        <x:v>Primary owner for assigned intent</x:v>
      </x:c>
      <x:c r="F141" s="6" t="str">
        <x:v>Local source render; live version unverified</x:v>
      </x:c>
      <x:c r="G141" s="6" t="str">
        <x:v>إصلاح وصيانة Bentley في دبي | مركز ديجي-تك</x:v>
      </x:c>
      <x:c r="H141" s="6" t="str">
        <x:v>إصلاح وصيانة Bentley في دبي | مركز ديجي-تك</x:v>
      </x:c>
      <x:c r="I141" s="6" t="str">
        <x:v>Bentley للإصلاح والصيانة في دبي</x:v>
      </x:c>
      <x:c r="J141" s="6" t="str">
        <x:v>Bentley للإصلاح والصيانة في دبي</x:v>
      </x:c>
      <x:c r="K141" s="6" t="str">
        <x:v>إصلاح وصيانة Bentley في دبي: تشخيص وصيانة وفرامل وناقل حركة وتعليق وتكييف مع قطع بالمواصفات المناسبة لدى مركز ديجي-تك.</x:v>
      </x:c>
      <x:c r="L141" s="6" t="str">
        <x:v>Retain pending evidence; no specific content edit justified by this export.</x:v>
      </x:c>
      <x:c r="M141" s="6" t="str">
        <x:v>Retain; inspect relevant context before adding links</x:v>
      </x:c>
      <x:c r="N141" s="6" t="str">
        <x:v>Unconfirmed — no query/page pairing</x:v>
      </x:c>
      <x:c r="O141" s="6" t="str">
        <x:v>Retain established booking / WhatsApp / call path; live behaviour untested</x:v>
      </x:c>
      <x:c r="P141" s="6" t="str">
        <x:v>Retain canonical and indexation policy pending a live check.</x:v>
      </x:c>
      <x:c r="Q141" s="6" t="str">
        <x:v>Proposed; no website change made</x:v>
      </x:c>
      <x:c r="R141" s="14"/>
      <x:c r="S141" s="14"/>
      <x:c r="T141" s="15"/>
      <x:c r="U141" s="16"/>
      <x:c r="V141" s="6" t="str">
        <x:v>https://digitecme.com/ar/brands/bentley-service-dubai</x:v>
      </x:c>
      <x:c r="W141" s="6" t="str">
        <x:v>Indexable directive</x:v>
      </x:c>
      <x:c r="X141" s="6" t="n">
        <x:v>86</x:v>
      </x:c>
      <x:c r="Y141" s="6" t="str">
        <x:v>إصلاح وصيانة Bentley في دبي | مركز ديجي-تك</x:v>
      </x:c>
      <x:c r="Z141" s="6" t="str"/>
      <x:c r="AA141" s="6" t="str">
        <x:v>No / not compared</x:v>
      </x:c>
    </x:row>
    <x:row r="142" ht="42" customHeight="1">
      <x:c r="A142" s="6" t="str">
        <x:v>https://digitecme.com/ar/brands/bentley-service-dubai/ac-repair</x:v>
      </x:c>
      <x:c r="B142" s="6" t="str"/>
      <x:c r="C142" s="6" t="str"/>
      <x:c r="D142" s="6" t="str">
        <x:v>brand-service</x:v>
      </x:c>
      <x:c r="E142" s="6" t="str">
        <x:v>Retain differentiated role</x:v>
      </x:c>
      <x:c r="F142" s="6" t="str">
        <x:v>Local source render; live version unverified</x:v>
      </x:c>
      <x:c r="G142" s="6" t="str">
        <x:v>إصلاح التكييف Bentley في دبي | ديجي-تك</x:v>
      </x:c>
      <x:c r="H142" s="6" t="str">
        <x:v>إصلاح التكييف Bentley في دبي | ديجي-تك</x:v>
      </x:c>
      <x:c r="I142" s="6" t="str">
        <x:v>إصلاح التكييف Bentley في دبي</x:v>
      </x:c>
      <x:c r="J142" s="6" t="str">
        <x:v>إصلاح التكييف Bentley في دبي</x:v>
      </x:c>
      <x:c r="K142" s="6" t="str">
        <x:v>إصلاح التكييف متخصص لسيارات Bentley في دبي مع تشخيص متقدم وقطع مناسبة وتسعير واضح لدى مركز ديجي-تك.</x:v>
      </x:c>
      <x:c r="L142" s="6" t="str">
        <x:v>Retain pending evidence; no specific content edit justified by this export.</x:v>
      </x:c>
      <x:c r="M142" s="6" t="str">
        <x:v>Retain; inspect relevant context before adding links</x:v>
      </x:c>
      <x:c r="N142" s="6" t="str">
        <x:v>Unconfirmed — no query/page pairing</x:v>
      </x:c>
      <x:c r="O142" s="6" t="str">
        <x:v>Retain established booking / WhatsApp / call path; live behaviour untested</x:v>
      </x:c>
      <x:c r="P142" s="6" t="str">
        <x:v>Retain canonical and indexation policy pending a live check.</x:v>
      </x:c>
      <x:c r="Q142" s="6" t="str">
        <x:v>Proposed; no website change made</x:v>
      </x:c>
      <x:c r="R142" s="14" t="n">
        <x:v>0</x:v>
      </x:c>
      <x:c r="S142" s="14" t="n">
        <x:v>3</x:v>
      </x:c>
      <x:c r="T142" s="15" t="n">
        <x:v>0</x:v>
      </x:c>
      <x:c r="U142" s="16" t="n">
        <x:v>84</x:v>
      </x:c>
      <x:c r="V142" s="6" t="str">
        <x:v>https://digitecme.com/ar/brands/bentley-service-dubai/ac-repair</x:v>
      </x:c>
      <x:c r="W142" s="6" t="str">
        <x:v>Indexable directive</x:v>
      </x:c>
      <x:c r="X142" s="6" t="n">
        <x:v>16</x:v>
      </x:c>
      <x:c r="Y142" s="6" t="str">
        <x:v>إصلاح التكييف Bentley في دبي | ديجي-تك</x:v>
      </x:c>
      <x:c r="Z142" s="6" t="str"/>
      <x:c r="AA142" s="6" t="str">
        <x:v>No / not compared</x:v>
      </x:c>
    </x:row>
    <x:row r="143" ht="42" customHeight="1">
      <x:c r="A143" s="6" t="str">
        <x:v>https://digitecme.com/ar/brands/bentley-service-dubai/battery-replacement</x:v>
      </x:c>
      <x:c r="B143" s="6" t="str"/>
      <x:c r="C143" s="6" t="str"/>
      <x:c r="D143" s="6" t="str">
        <x:v>brand-service</x:v>
      </x:c>
      <x:c r="E143" s="6" t="str">
        <x:v>Retain differentiated role</x:v>
      </x:c>
      <x:c r="F143" s="6" t="str">
        <x:v>Local source render; live version unverified</x:v>
      </x:c>
      <x:c r="G143" s="6" t="str">
        <x:v>تبديل البطارية Bentley في دبي | ديجي-تك</x:v>
      </x:c>
      <x:c r="H143" s="6" t="str">
        <x:v>تبديل البطارية Bentley في دبي | ديجي-تك</x:v>
      </x:c>
      <x:c r="I143" s="6" t="str">
        <x:v>تبديل البطارية Bentley في دبي</x:v>
      </x:c>
      <x:c r="J143" s="6" t="str">
        <x:v>تبديل البطارية Bentley في دبي</x:v>
      </x:c>
      <x:c r="K143" s="6" t="str">
        <x:v>تبديل البطارية متخصص لسيارات Bentley في دبي مع تشخيص متقدم وقطع مناسبة وتسعير واضح لدى مركز ديجي-تك.</x:v>
      </x:c>
      <x:c r="L143" s="6" t="str">
        <x:v>Retain pending evidence; no specific content edit justified by this export.</x:v>
      </x:c>
      <x:c r="M143" s="6" t="str">
        <x:v>Retain; inspect relevant context before adding links</x:v>
      </x:c>
      <x:c r="N143" s="6" t="str">
        <x:v>Unconfirmed — no query/page pairing</x:v>
      </x:c>
      <x:c r="O143" s="6" t="str">
        <x:v>Retain established booking / WhatsApp / call path; live behaviour untested</x:v>
      </x:c>
      <x:c r="P143" s="6" t="str">
        <x:v>Retain canonical and indexation policy pending a live check.</x:v>
      </x:c>
      <x:c r="Q143" s="6" t="str">
        <x:v>Proposed; no website change made</x:v>
      </x:c>
      <x:c r="R143" s="14"/>
      <x:c r="S143" s="14"/>
      <x:c r="T143" s="15"/>
      <x:c r="U143" s="16"/>
      <x:c r="V143" s="6" t="str">
        <x:v>https://digitecme.com/ar/brands/bentley-service-dubai/battery-replacement</x:v>
      </x:c>
      <x:c r="W143" s="6" t="str">
        <x:v>Indexable directive</x:v>
      </x:c>
      <x:c r="X143" s="6" t="n">
        <x:v>16</x:v>
      </x:c>
      <x:c r="Y143" s="6" t="str">
        <x:v>تبديل البطارية Bentley في دبي | ديجي-تك</x:v>
      </x:c>
      <x:c r="Z143" s="6" t="str"/>
      <x:c r="AA143" s="6" t="str">
        <x:v>No / not compared</x:v>
      </x:c>
    </x:row>
    <x:row r="144" ht="42" customHeight="1">
      <x:c r="A144" s="6" t="str">
        <x:v>https://digitecme.com/ar/brands/bentley-service-dubai/body-repair</x:v>
      </x:c>
      <x:c r="B144" s="6" t="str"/>
      <x:c r="C144" s="6" t="str"/>
      <x:c r="D144" s="6" t="str">
        <x:v>brand-service</x:v>
      </x:c>
      <x:c r="E144" s="6" t="str">
        <x:v>Retain differentiated role</x:v>
      </x:c>
      <x:c r="F144" s="6" t="str">
        <x:v>Local source render; live version unverified</x:v>
      </x:c>
      <x:c r="G144" s="6" t="str">
        <x:v>إصلاح الهيكل Bentley في دبي | ديجي-تك</x:v>
      </x:c>
      <x:c r="H144" s="6" t="str">
        <x:v>إصلاح الهيكل Bentley في دبي | ديجي-تك</x:v>
      </x:c>
      <x:c r="I144" s="6" t="str">
        <x:v>إصلاح الهيكل Bentley في دبي</x:v>
      </x:c>
      <x:c r="J144" s="6" t="str">
        <x:v>إصلاح الهيكل Bentley في دبي</x:v>
      </x:c>
      <x:c r="K144" s="6" t="str">
        <x:v>إصلاح الهيكل متخصص لسيارات Bentley في دبي مع تشخيص متقدم وقطع مناسبة وتسعير واضح لدى مركز ديجي-تك.</x:v>
      </x:c>
      <x:c r="L144" s="6" t="str">
        <x:v>Retain pending evidence; no specific content edit justified by this export.</x:v>
      </x:c>
      <x:c r="M144" s="6" t="str">
        <x:v>Retain; inspect relevant context before adding links</x:v>
      </x:c>
      <x:c r="N144" s="6" t="str">
        <x:v>Unconfirmed — no query/page pairing</x:v>
      </x:c>
      <x:c r="O144" s="6" t="str">
        <x:v>Retain established booking / WhatsApp / call path; live behaviour untested</x:v>
      </x:c>
      <x:c r="P144" s="6" t="str">
        <x:v>Retain canonical and indexation policy pending a live check.</x:v>
      </x:c>
      <x:c r="Q144" s="6" t="str">
        <x:v>Proposed; no website change made</x:v>
      </x:c>
      <x:c r="R144" s="14"/>
      <x:c r="S144" s="14"/>
      <x:c r="T144" s="15"/>
      <x:c r="U144" s="16"/>
      <x:c r="V144" s="6" t="str">
        <x:v>https://digitecme.com/ar/brands/bentley-service-dubai/body-repair</x:v>
      </x:c>
      <x:c r="W144" s="6" t="str">
        <x:v>Indexable directive</x:v>
      </x:c>
      <x:c r="X144" s="6" t="n">
        <x:v>16</x:v>
      </x:c>
      <x:c r="Y144" s="6" t="str">
        <x:v>إصلاح الهيكل Bentley في دبي | ديجي-تك</x:v>
      </x:c>
      <x:c r="Z144" s="6" t="str"/>
      <x:c r="AA144" s="6" t="str">
        <x:v>No / not compared</x:v>
      </x:c>
    </x:row>
    <x:row r="145" ht="42" customHeight="1">
      <x:c r="A145" s="6" t="str">
        <x:v>https://digitecme.com/ar/brands/bentley-service-dubai/brake-repair</x:v>
      </x:c>
      <x:c r="B145" s="6" t="str"/>
      <x:c r="C145" s="6" t="str"/>
      <x:c r="D145" s="6" t="str">
        <x:v>brand-service</x:v>
      </x:c>
      <x:c r="E145" s="6" t="str">
        <x:v>Retain differentiated role</x:v>
      </x:c>
      <x:c r="F145" s="6" t="str">
        <x:v>Local source render; live version unverified</x:v>
      </x:c>
      <x:c r="G145" s="6" t="str">
        <x:v>إصلاح الفرامل Bentley في دبي | ديجي-تك</x:v>
      </x:c>
      <x:c r="H145" s="6" t="str">
        <x:v>إصلاح الفرامل Bentley في دبي | ديجي-تك</x:v>
      </x:c>
      <x:c r="I145" s="6" t="str">
        <x:v>إصلاح الفرامل Bentley في دبي</x:v>
      </x:c>
      <x:c r="J145" s="6" t="str">
        <x:v>إصلاح الفرامل Bentley في دبي</x:v>
      </x:c>
      <x:c r="K145" s="6" t="str">
        <x:v>إصلاح الفرامل متخصص لسيارات Bentley في دبي مع تشخيص متقدم وقطع مناسبة وتسعير واضح لدى مركز ديجي-تك.</x:v>
      </x:c>
      <x:c r="L145" s="6" t="str">
        <x:v>Retain pending evidence; no specific content edit justified by this export.</x:v>
      </x:c>
      <x:c r="M145" s="6" t="str">
        <x:v>Retain; inspect relevant context before adding links</x:v>
      </x:c>
      <x:c r="N145" s="6" t="str">
        <x:v>Unconfirmed — no query/page pairing</x:v>
      </x:c>
      <x:c r="O145" s="6" t="str">
        <x:v>Retain established booking / WhatsApp / call path; live behaviour untested</x:v>
      </x:c>
      <x:c r="P145" s="6" t="str">
        <x:v>Retain canonical and indexation policy pending a live check.</x:v>
      </x:c>
      <x:c r="Q145" s="6" t="str">
        <x:v>Proposed; no website change made</x:v>
      </x:c>
      <x:c r="R145" s="14" t="n">
        <x:v>0</x:v>
      </x:c>
      <x:c r="S145" s="14" t="n">
        <x:v>2</x:v>
      </x:c>
      <x:c r="T145" s="15" t="n">
        <x:v>0</x:v>
      </x:c>
      <x:c r="U145" s="16" t="n">
        <x:v>8</x:v>
      </x:c>
      <x:c r="V145" s="6" t="str">
        <x:v>https://digitecme.com/ar/brands/bentley-service-dubai/brake-repair</x:v>
      </x:c>
      <x:c r="W145" s="6" t="str">
        <x:v>Indexable directive</x:v>
      </x:c>
      <x:c r="X145" s="6" t="n">
        <x:v>16</x:v>
      </x:c>
      <x:c r="Y145" s="6" t="str">
        <x:v>إصلاح الفرامل Bentley في دبي | ديجي-تك</x:v>
      </x:c>
      <x:c r="Z145" s="6" t="str"/>
      <x:c r="AA145" s="6" t="str">
        <x:v>No / not compared</x:v>
      </x:c>
    </x:row>
    <x:row r="146" ht="42" customHeight="1">
      <x:c r="A146" s="6" t="str">
        <x:v>https://digitecme.com/ar/brands/bentley-service-dubai/electrical-repair</x:v>
      </x:c>
      <x:c r="B146" s="6" t="str"/>
      <x:c r="C146" s="6" t="str"/>
      <x:c r="D146" s="6" t="str">
        <x:v>brand-service</x:v>
      </x:c>
      <x:c r="E146" s="6" t="str">
        <x:v>Retain differentiated role</x:v>
      </x:c>
      <x:c r="F146" s="6" t="str">
        <x:v>Local source render; live version unverified</x:v>
      </x:c>
      <x:c r="G146" s="6" t="str">
        <x:v>إصلاح الكهرباء Bentley في دبي | ديجي-تك</x:v>
      </x:c>
      <x:c r="H146" s="6" t="str">
        <x:v>إصلاح الكهرباء Bentley في دبي | ديجي-تك</x:v>
      </x:c>
      <x:c r="I146" s="6" t="str">
        <x:v>إصلاح الكهرباء Bentley في دبي</x:v>
      </x:c>
      <x:c r="J146" s="6" t="str">
        <x:v>إصلاح الكهرباء Bentley في دبي</x:v>
      </x:c>
      <x:c r="K146" s="6" t="str">
        <x:v>إصلاح الكهرباء متخصص لسيارات Bentley في دبي مع تشخيص متقدم وقطع مناسبة وتسعير واضح لدى مركز ديجي-تك.</x:v>
      </x:c>
      <x:c r="L146" s="6" t="str">
        <x:v>Retain pending evidence; no specific content edit justified by this export.</x:v>
      </x:c>
      <x:c r="M146" s="6" t="str">
        <x:v>Retain; inspect relevant context before adding links</x:v>
      </x:c>
      <x:c r="N146" s="6" t="str">
        <x:v>Unconfirmed — no query/page pairing</x:v>
      </x:c>
      <x:c r="O146" s="6" t="str">
        <x:v>Retain established booking / WhatsApp / call path; live behaviour untested</x:v>
      </x:c>
      <x:c r="P146" s="6" t="str">
        <x:v>Retain canonical and indexation policy pending a live check.</x:v>
      </x:c>
      <x:c r="Q146" s="6" t="str">
        <x:v>Proposed; no website change made</x:v>
      </x:c>
      <x:c r="R146" s="14"/>
      <x:c r="S146" s="14"/>
      <x:c r="T146" s="15"/>
      <x:c r="U146" s="16"/>
      <x:c r="V146" s="6" t="str">
        <x:v>https://digitecme.com/ar/brands/bentley-service-dubai/electrical-repair</x:v>
      </x:c>
      <x:c r="W146" s="6" t="str">
        <x:v>Indexable directive</x:v>
      </x:c>
      <x:c r="X146" s="6" t="n">
        <x:v>16</x:v>
      </x:c>
      <x:c r="Y146" s="6" t="str">
        <x:v>إصلاح الكهرباء Bentley في دبي | ديجي-تك</x:v>
      </x:c>
      <x:c r="Z146" s="6" t="str"/>
      <x:c r="AA146" s="6" t="str">
        <x:v>No / not compared</x:v>
      </x:c>
    </x:row>
    <x:row r="147" ht="42" customHeight="1">
      <x:c r="A147" s="6" t="str">
        <x:v>https://digitecme.com/ar/brands/bentley-service-dubai/engine-diagnostics</x:v>
      </x:c>
      <x:c r="B147" s="6" t="str"/>
      <x:c r="C147" s="6" t="str"/>
      <x:c r="D147" s="6" t="str">
        <x:v>brand-service</x:v>
      </x:c>
      <x:c r="E147" s="6" t="str">
        <x:v>Retain differentiated role</x:v>
      </x:c>
      <x:c r="F147" s="6" t="str">
        <x:v>Local source render; live version unverified</x:v>
      </x:c>
      <x:c r="G147" s="6" t="str">
        <x:v>تشخيص المحرك Bentley في دبي | ديجي-تك</x:v>
      </x:c>
      <x:c r="H147" s="6" t="str">
        <x:v>تشخيص المحرك Bentley في دبي | ديجي-تك</x:v>
      </x:c>
      <x:c r="I147" s="6" t="str">
        <x:v>تشخيص المحرك Bentley في دبي</x:v>
      </x:c>
      <x:c r="J147" s="6" t="str">
        <x:v>تشخيص المحرك Bentley في دبي</x:v>
      </x:c>
      <x:c r="K147" s="6" t="str">
        <x:v>تشخيص المحرك متخصص لسيارات Bentley في دبي مع تشخيص متقدم وقطع مناسبة وتسعير واضح لدى مركز ديجي-تك.</x:v>
      </x:c>
      <x:c r="L147" s="6" t="str">
        <x:v>Retain pending evidence; no specific content edit justified by this export.</x:v>
      </x:c>
      <x:c r="M147" s="6" t="str">
        <x:v>Retain; inspect relevant context before adding links</x:v>
      </x:c>
      <x:c r="N147" s="6" t="str">
        <x:v>Unconfirmed — no query/page pairing</x:v>
      </x:c>
      <x:c r="O147" s="6" t="str">
        <x:v>Retain established booking / WhatsApp / call path; live behaviour untested</x:v>
      </x:c>
      <x:c r="P147" s="6" t="str">
        <x:v>Retain canonical and indexation policy pending a live check.</x:v>
      </x:c>
      <x:c r="Q147" s="6" t="str">
        <x:v>Proposed; no website change made</x:v>
      </x:c>
      <x:c r="R147" s="14"/>
      <x:c r="S147" s="14"/>
      <x:c r="T147" s="15"/>
      <x:c r="U147" s="16"/>
      <x:c r="V147" s="6" t="str">
        <x:v>https://digitecme.com/ar/brands/bentley-service-dubai/engine-diagnostics</x:v>
      </x:c>
      <x:c r="W147" s="6" t="str">
        <x:v>Indexable directive</x:v>
      </x:c>
      <x:c r="X147" s="6" t="n">
        <x:v>16</x:v>
      </x:c>
      <x:c r="Y147" s="6" t="str">
        <x:v>تشخيص المحرك Bentley في دبي | ديجي-تك</x:v>
      </x:c>
      <x:c r="Z147" s="6" t="str"/>
      <x:c r="AA147" s="6" t="str">
        <x:v>No / not compared</x:v>
      </x:c>
    </x:row>
    <x:row r="148" ht="42" customHeight="1">
      <x:c r="A148" s="6" t="str">
        <x:v>https://digitecme.com/ar/brands/bentley-service-dubai/exhaust-repair</x:v>
      </x:c>
      <x:c r="B148" s="6" t="str"/>
      <x:c r="C148" s="6" t="str"/>
      <x:c r="D148" s="6" t="str">
        <x:v>brand-service</x:v>
      </x:c>
      <x:c r="E148" s="6" t="str">
        <x:v>Retain differentiated role</x:v>
      </x:c>
      <x:c r="F148" s="6" t="str">
        <x:v>Local source render; live version unverified</x:v>
      </x:c>
      <x:c r="G148" s="6" t="str">
        <x:v>إصلاح العادم Bentley في دبي | ديجي-تك</x:v>
      </x:c>
      <x:c r="H148" s="6" t="str">
        <x:v>إصلاح العادم Bentley في دبي | ديجي-تك</x:v>
      </x:c>
      <x:c r="I148" s="6" t="str">
        <x:v>إصلاح العادم Bentley في دبي</x:v>
      </x:c>
      <x:c r="J148" s="6" t="str">
        <x:v>إصلاح العادم Bentley في دبي</x:v>
      </x:c>
      <x:c r="K148" s="6" t="str">
        <x:v>إصلاح العادم متخصص لسيارات Bentley في دبي مع تشخيص متقدم وقطع مناسبة وتسعير واضح لدى مركز ديجي-تك.</x:v>
      </x:c>
      <x:c r="L148" s="6" t="str">
        <x:v>Retain pending evidence; no specific content edit justified by this export.</x:v>
      </x:c>
      <x:c r="M148" s="6" t="str">
        <x:v>Retain; inspect relevant context before adding links</x:v>
      </x:c>
      <x:c r="N148" s="6" t="str">
        <x:v>Unconfirmed — no query/page pairing</x:v>
      </x:c>
      <x:c r="O148" s="6" t="str">
        <x:v>Retain established booking / WhatsApp / call path; live behaviour untested</x:v>
      </x:c>
      <x:c r="P148" s="6" t="str">
        <x:v>Retain canonical and indexation policy pending a live check.</x:v>
      </x:c>
      <x:c r="Q148" s="6" t="str">
        <x:v>Proposed; no website change made</x:v>
      </x:c>
      <x:c r="R148" s="14" t="n">
        <x:v>0</x:v>
      </x:c>
      <x:c r="S148" s="14" t="n">
        <x:v>1</x:v>
      </x:c>
      <x:c r="T148" s="15" t="n">
        <x:v>0</x:v>
      </x:c>
      <x:c r="U148" s="16" t="n">
        <x:v>10</x:v>
      </x:c>
      <x:c r="V148" s="6" t="str">
        <x:v>https://digitecme.com/ar/brands/bentley-service-dubai/exhaust-repair</x:v>
      </x:c>
      <x:c r="W148" s="6" t="str">
        <x:v>Indexable directive</x:v>
      </x:c>
      <x:c r="X148" s="6" t="n">
        <x:v>16</x:v>
      </x:c>
      <x:c r="Y148" s="6" t="str">
        <x:v>إصلاح العادم Bentley في دبي | ديجي-تك</x:v>
      </x:c>
      <x:c r="Z148" s="6" t="str"/>
      <x:c r="AA148" s="6" t="str">
        <x:v>No / not compared</x:v>
      </x:c>
    </x:row>
    <x:row r="149" ht="42" customHeight="1">
      <x:c r="A149" s="6" t="str">
        <x:v>https://digitecme.com/ar/brands/bentley-service-dubai/fuel-system-repair</x:v>
      </x:c>
      <x:c r="B149" s="6" t="str"/>
      <x:c r="C149" s="6" t="str"/>
      <x:c r="D149" s="6" t="str">
        <x:v>brand-service</x:v>
      </x:c>
      <x:c r="E149" s="6" t="str">
        <x:v>Retain differentiated role</x:v>
      </x:c>
      <x:c r="F149" s="6" t="str">
        <x:v>Local source render; live version unverified</x:v>
      </x:c>
      <x:c r="G149" s="6" t="str">
        <x:v>إصلاح نظام الوقود Bentley في دبي | ديجي-تك</x:v>
      </x:c>
      <x:c r="H149" s="6" t="str">
        <x:v>إصلاح نظام الوقود Bentley في دبي | ديجي-تك</x:v>
      </x:c>
      <x:c r="I149" s="6" t="str">
        <x:v>إصلاح نظام الوقود Bentley في دبي</x:v>
      </x:c>
      <x:c r="J149" s="6" t="str">
        <x:v>إصلاح نظام الوقود Bentley في دبي</x:v>
      </x:c>
      <x:c r="K149" s="6" t="str">
        <x:v>إصلاح نظام الوقود متخصص لسيارات Bentley في دبي مع تشخيص متقدم وقطع مناسبة وتسعير واضح لدى مركز ديجي-تك.</x:v>
      </x:c>
      <x:c r="L149" s="6" t="str">
        <x:v>Retain pending evidence; no specific content edit justified by this export.</x:v>
      </x:c>
      <x:c r="M149" s="6" t="str">
        <x:v>Retain; inspect relevant context before adding links</x:v>
      </x:c>
      <x:c r="N149" s="6" t="str">
        <x:v>Unconfirmed — no query/page pairing</x:v>
      </x:c>
      <x:c r="O149" s="6" t="str">
        <x:v>Retain established booking / WhatsApp / call path; live behaviour untested</x:v>
      </x:c>
      <x:c r="P149" s="6" t="str">
        <x:v>Retain canonical and indexation policy pending a live check.</x:v>
      </x:c>
      <x:c r="Q149" s="6" t="str">
        <x:v>Proposed; no website change made</x:v>
      </x:c>
      <x:c r="R149" s="14"/>
      <x:c r="S149" s="14"/>
      <x:c r="T149" s="15"/>
      <x:c r="U149" s="16"/>
      <x:c r="V149" s="6" t="str">
        <x:v>https://digitecme.com/ar/brands/bentley-service-dubai/fuel-system-repair</x:v>
      </x:c>
      <x:c r="W149" s="6" t="str">
        <x:v>Indexable directive</x:v>
      </x:c>
      <x:c r="X149" s="6" t="n">
        <x:v>16</x:v>
      </x:c>
      <x:c r="Y149" s="6" t="str">
        <x:v>إصلاح نظام الوقود Bentley في دبي | ديجي-تك</x:v>
      </x:c>
      <x:c r="Z149" s="6" t="str"/>
      <x:c r="AA149" s="6" t="str">
        <x:v>No / not compared</x:v>
      </x:c>
    </x:row>
    <x:row r="150" ht="42" customHeight="1">
      <x:c r="A150" s="6" t="str">
        <x:v>https://digitecme.com/ar/brands/bentley-service-dubai/mechanical-repair</x:v>
      </x:c>
      <x:c r="B150" s="6" t="str"/>
      <x:c r="C150" s="6" t="str"/>
      <x:c r="D150" s="6" t="str">
        <x:v>brand-service</x:v>
      </x:c>
      <x:c r="E150" s="6" t="str">
        <x:v>Retain differentiated role</x:v>
      </x:c>
      <x:c r="F150" s="6" t="str">
        <x:v>Local source render; live version unverified</x:v>
      </x:c>
      <x:c r="G150" s="6" t="str">
        <x:v>الإصلاح الميكانيكي Bentley في دبي | ديجي-تك</x:v>
      </x:c>
      <x:c r="H150" s="6" t="str">
        <x:v>الإصلاح الميكانيكي Bentley في دبي | ديجي-تك</x:v>
      </x:c>
      <x:c r="I150" s="6" t="str">
        <x:v>الإصلاح الميكانيكي Bentley في دبي</x:v>
      </x:c>
      <x:c r="J150" s="6" t="str">
        <x:v>الإصلاح الميكانيكي Bentley في دبي</x:v>
      </x:c>
      <x:c r="K150" s="6" t="str">
        <x:v>الإصلاح الميكانيكي متخصص لسيارات Bentley في دبي مع تشخيص متقدم وقطع مناسبة وتسعير واضح لدى مركز ديجي-تك.</x:v>
      </x:c>
      <x:c r="L150" s="6" t="str">
        <x:v>Retain pending evidence; no specific content edit justified by this export.</x:v>
      </x:c>
      <x:c r="M150" s="6" t="str">
        <x:v>Retain; inspect relevant context before adding links</x:v>
      </x:c>
      <x:c r="N150" s="6" t="str">
        <x:v>Unconfirmed — no query/page pairing</x:v>
      </x:c>
      <x:c r="O150" s="6" t="str">
        <x:v>Retain established booking / WhatsApp / call path; live behaviour untested</x:v>
      </x:c>
      <x:c r="P150" s="6" t="str">
        <x:v>Retain canonical and indexation policy pending a live check.</x:v>
      </x:c>
      <x:c r="Q150" s="6" t="str">
        <x:v>Proposed; no website change made</x:v>
      </x:c>
      <x:c r="R150" s="14" t="n">
        <x:v>0</x:v>
      </x:c>
      <x:c r="S150" s="14" t="n">
        <x:v>23</x:v>
      </x:c>
      <x:c r="T150" s="15" t="n">
        <x:v>0</x:v>
      </x:c>
      <x:c r="U150" s="16" t="n">
        <x:v>67.39</x:v>
      </x:c>
      <x:c r="V150" s="6" t="str">
        <x:v>https://digitecme.com/ar/brands/bentley-service-dubai/mechanical-repair</x:v>
      </x:c>
      <x:c r="W150" s="6" t="str">
        <x:v>Indexable directive</x:v>
      </x:c>
      <x:c r="X150" s="6" t="n">
        <x:v>16</x:v>
      </x:c>
      <x:c r="Y150" s="6" t="str">
        <x:v>الإصلاح الميكانيكي Bentley في دبي | ديجي-تك</x:v>
      </x:c>
      <x:c r="Z150" s="6" t="str"/>
      <x:c r="AA150" s="6" t="str">
        <x:v>No / not compared</x:v>
      </x:c>
    </x:row>
    <x:row r="151" ht="42" customHeight="1">
      <x:c r="A151" s="6" t="str">
        <x:v>https://digitecme.com/ar/brands/bentley-service-dubai/oil-change</x:v>
      </x:c>
      <x:c r="B151" s="6" t="str"/>
      <x:c r="C151" s="6" t="str"/>
      <x:c r="D151" s="6" t="str">
        <x:v>brand-service</x:v>
      </x:c>
      <x:c r="E151" s="6" t="str">
        <x:v>Retain differentiated role</x:v>
      </x:c>
      <x:c r="F151" s="6" t="str">
        <x:v>Local source render; live version unverified</x:v>
      </x:c>
      <x:c r="G151" s="6" t="str">
        <x:v>تغيير الزيت Bentley في دبي | ديجي-تك</x:v>
      </x:c>
      <x:c r="H151" s="6" t="str">
        <x:v>تغيير الزيت Bentley في دبي | ديجي-تك</x:v>
      </x:c>
      <x:c r="I151" s="6" t="str">
        <x:v>تغيير الزيت Bentley في دبي</x:v>
      </x:c>
      <x:c r="J151" s="6" t="str">
        <x:v>تغيير الزيت Bentley في دبي</x:v>
      </x:c>
      <x:c r="K151" s="6" t="str">
        <x:v>تغيير الزيت متخصص لسيارات Bentley في دبي مع تشخيص متقدم وقطع مناسبة وتسعير واضح لدى مركز ديجي-تك.</x:v>
      </x:c>
      <x:c r="L151" s="6" t="str">
        <x:v>Retain pending evidence; no specific content edit justified by this export.</x:v>
      </x:c>
      <x:c r="M151" s="6" t="str">
        <x:v>Retain; inspect relevant context before adding links</x:v>
      </x:c>
      <x:c r="N151" s="6" t="str">
        <x:v>Unconfirmed — no query/page pairing</x:v>
      </x:c>
      <x:c r="O151" s="6" t="str">
        <x:v>Retain established booking / WhatsApp / call path; live behaviour untested</x:v>
      </x:c>
      <x:c r="P151" s="6" t="str">
        <x:v>Retain canonical and indexation policy pending a live check.</x:v>
      </x:c>
      <x:c r="Q151" s="6" t="str">
        <x:v>Proposed; no website change made</x:v>
      </x:c>
      <x:c r="R151" s="14" t="n">
        <x:v>0</x:v>
      </x:c>
      <x:c r="S151" s="14" t="n">
        <x:v>12</x:v>
      </x:c>
      <x:c r="T151" s="15" t="n">
        <x:v>0</x:v>
      </x:c>
      <x:c r="U151" s="16" t="n">
        <x:v>15.17</x:v>
      </x:c>
      <x:c r="V151" s="6" t="str">
        <x:v>https://digitecme.com/ar/brands/bentley-service-dubai/oil-change</x:v>
      </x:c>
      <x:c r="W151" s="6" t="str">
        <x:v>Indexable directive</x:v>
      </x:c>
      <x:c r="X151" s="6" t="n">
        <x:v>16</x:v>
      </x:c>
      <x:c r="Y151" s="6" t="str">
        <x:v>تغيير الزيت Bentley في دبي | ديجي-تك</x:v>
      </x:c>
      <x:c r="Z151" s="6" t="str"/>
      <x:c r="AA151" s="6" t="str">
        <x:v>No / not compared</x:v>
      </x:c>
    </x:row>
    <x:row r="152" ht="42" customHeight="1">
      <x:c r="A152" s="6" t="str">
        <x:v>https://digitecme.com/ar/brands/bentley-service-dubai/steering-repair</x:v>
      </x:c>
      <x:c r="B152" s="6" t="str"/>
      <x:c r="C152" s="6" t="str"/>
      <x:c r="D152" s="6" t="str">
        <x:v>brand-service</x:v>
      </x:c>
      <x:c r="E152" s="6" t="str">
        <x:v>Retain differentiated role</x:v>
      </x:c>
      <x:c r="F152" s="6" t="str">
        <x:v>Local source render; live version unverified</x:v>
      </x:c>
      <x:c r="G152" s="6" t="str">
        <x:v>إصلاح نظام التوجيه Bentley في دبي | ديجي-تك</x:v>
      </x:c>
      <x:c r="H152" s="6" t="str">
        <x:v>إصلاح نظام التوجيه Bentley في دبي | ديجي-تك</x:v>
      </x:c>
      <x:c r="I152" s="6" t="str">
        <x:v>إصلاح نظام التوجيه Bentley في دبي</x:v>
      </x:c>
      <x:c r="J152" s="6" t="str">
        <x:v>إصلاح نظام التوجيه Bentley في دبي</x:v>
      </x:c>
      <x:c r="K152" s="6" t="str">
        <x:v>إصلاح نظام التوجيه متخصص لسيارات Bentley في دبي مع تشخيص متقدم وقطع مناسبة وتسعير واضح لدى مركز ديجي-تك.</x:v>
      </x:c>
      <x:c r="L152" s="6" t="str">
        <x:v>Retain pending evidence; no specific content edit justified by this export.</x:v>
      </x:c>
      <x:c r="M152" s="6" t="str">
        <x:v>Retain; inspect relevant context before adding links</x:v>
      </x:c>
      <x:c r="N152" s="6" t="str">
        <x:v>Unconfirmed — no query/page pairing</x:v>
      </x:c>
      <x:c r="O152" s="6" t="str">
        <x:v>Retain established booking / WhatsApp / call path; live behaviour untested</x:v>
      </x:c>
      <x:c r="P152" s="6" t="str">
        <x:v>Retain canonical and indexation policy pending a live check.</x:v>
      </x:c>
      <x:c r="Q152" s="6" t="str">
        <x:v>Proposed; no website change made</x:v>
      </x:c>
      <x:c r="R152" s="14" t="n">
        <x:v>0</x:v>
      </x:c>
      <x:c r="S152" s="14" t="n">
        <x:v>1</x:v>
      </x:c>
      <x:c r="T152" s="15" t="n">
        <x:v>0</x:v>
      </x:c>
      <x:c r="U152" s="16" t="n">
        <x:v>8</x:v>
      </x:c>
      <x:c r="V152" s="6" t="str">
        <x:v>https://digitecme.com/ar/brands/bentley-service-dubai/steering-repair</x:v>
      </x:c>
      <x:c r="W152" s="6" t="str">
        <x:v>Indexable directive</x:v>
      </x:c>
      <x:c r="X152" s="6" t="n">
        <x:v>16</x:v>
      </x:c>
      <x:c r="Y152" s="6" t="str">
        <x:v>إصلاح نظام التوجيه Bentley في دبي | ديجي-تك</x:v>
      </x:c>
      <x:c r="Z152" s="6" t="str"/>
      <x:c r="AA152" s="6" t="str">
        <x:v>No / not compared</x:v>
      </x:c>
    </x:row>
    <x:row r="153" ht="42" customHeight="1">
      <x:c r="A153" s="6" t="str">
        <x:v>https://digitecme.com/ar/brands/bentley-service-dubai/suspension-repair</x:v>
      </x:c>
      <x:c r="B153" s="6" t="str"/>
      <x:c r="C153" s="6" t="str"/>
      <x:c r="D153" s="6" t="str">
        <x:v>brand-service</x:v>
      </x:c>
      <x:c r="E153" s="6" t="str">
        <x:v>Retain differentiated role</x:v>
      </x:c>
      <x:c r="F153" s="6" t="str">
        <x:v>Local source render; live version unverified</x:v>
      </x:c>
      <x:c r="G153" s="6" t="str">
        <x:v>إصلاح التعليق Bentley في دبي | ديجي-تك</x:v>
      </x:c>
      <x:c r="H153" s="6" t="str">
        <x:v>إصلاح التعليق Bentley في دبي | ديجي-تك</x:v>
      </x:c>
      <x:c r="I153" s="6" t="str">
        <x:v>إصلاح التعليق Bentley في دبي</x:v>
      </x:c>
      <x:c r="J153" s="6" t="str">
        <x:v>إصلاح التعليق Bentley في دبي</x:v>
      </x:c>
      <x:c r="K153" s="6" t="str">
        <x:v>إصلاح التعليق متخصص لسيارات Bentley في دبي مع تشخيص متقدم وقطع مناسبة وتسعير واضح لدى مركز ديجي-تك.</x:v>
      </x:c>
      <x:c r="L153" s="6" t="str">
        <x:v>Retain pending evidence; no specific content edit justified by this export.</x:v>
      </x:c>
      <x:c r="M153" s="6" t="str">
        <x:v>Retain; inspect relevant context before adding links</x:v>
      </x:c>
      <x:c r="N153" s="6" t="str">
        <x:v>Unconfirmed — no query/page pairing</x:v>
      </x:c>
      <x:c r="O153" s="6" t="str">
        <x:v>Retain established booking / WhatsApp / call path; live behaviour untested</x:v>
      </x:c>
      <x:c r="P153" s="6" t="str">
        <x:v>Retain canonical and indexation policy pending a live check.</x:v>
      </x:c>
      <x:c r="Q153" s="6" t="str">
        <x:v>Proposed; no website change made</x:v>
      </x:c>
      <x:c r="R153" s="14" t="n">
        <x:v>0</x:v>
      </x:c>
      <x:c r="S153" s="14" t="n">
        <x:v>1</x:v>
      </x:c>
      <x:c r="T153" s="15" t="n">
        <x:v>0</x:v>
      </x:c>
      <x:c r="U153" s="16" t="n">
        <x:v>87</x:v>
      </x:c>
      <x:c r="V153" s="6" t="str">
        <x:v>https://digitecme.com/ar/brands/bentley-service-dubai/suspension-repair</x:v>
      </x:c>
      <x:c r="W153" s="6" t="str">
        <x:v>Indexable directive</x:v>
      </x:c>
      <x:c r="X153" s="6" t="n">
        <x:v>16</x:v>
      </x:c>
      <x:c r="Y153" s="6" t="str">
        <x:v>إصلاح التعليق Bentley في دبي | ديجي-تك</x:v>
      </x:c>
      <x:c r="Z153" s="6" t="str"/>
      <x:c r="AA153" s="6" t="str">
        <x:v>No / not compared</x:v>
      </x:c>
    </x:row>
    <x:row r="154" ht="42" customHeight="1">
      <x:c r="A154" s="6" t="str">
        <x:v>https://digitecme.com/ar/brands/bentley-service-dubai/tire-repair</x:v>
      </x:c>
      <x:c r="B154" s="6" t="str"/>
      <x:c r="C154" s="6" t="str"/>
      <x:c r="D154" s="6" t="str">
        <x:v>brand-service</x:v>
      </x:c>
      <x:c r="E154" s="6" t="str">
        <x:v>Retain differentiated role</x:v>
      </x:c>
      <x:c r="F154" s="6" t="str">
        <x:v>Local source render; live version unverified</x:v>
      </x:c>
      <x:c r="G154" s="6" t="str">
        <x:v>إصلاح الإطارات Bentley في دبي | ديجي-تك</x:v>
      </x:c>
      <x:c r="H154" s="6" t="str">
        <x:v>إصلاح الإطارات Bentley في دبي | ديجي-تك</x:v>
      </x:c>
      <x:c r="I154" s="6" t="str">
        <x:v>إصلاح الإطارات Bentley في دبي</x:v>
      </x:c>
      <x:c r="J154" s="6" t="str">
        <x:v>إصلاح الإطارات Bentley في دبي</x:v>
      </x:c>
      <x:c r="K154" s="6" t="str">
        <x:v>إصلاح الإطارات متخصص لسيارات Bentley في دبي مع تشخيص متقدم وقطع مناسبة وتسعير واضح لدى مركز ديجي-تك.</x:v>
      </x:c>
      <x:c r="L154" s="6" t="str">
        <x:v>Retain pending evidence; no specific content edit justified by this export.</x:v>
      </x:c>
      <x:c r="M154" s="6" t="str">
        <x:v>Retain; inspect relevant context before adding links</x:v>
      </x:c>
      <x:c r="N154" s="6" t="str">
        <x:v>Unconfirmed — no query/page pairing</x:v>
      </x:c>
      <x:c r="O154" s="6" t="str">
        <x:v>Retain established booking / WhatsApp / call path; live behaviour untested</x:v>
      </x:c>
      <x:c r="P154" s="6" t="str">
        <x:v>Retain canonical and indexation policy pending a live check.</x:v>
      </x:c>
      <x:c r="Q154" s="6" t="str">
        <x:v>Proposed; no website change made</x:v>
      </x:c>
      <x:c r="R154" s="14"/>
      <x:c r="S154" s="14"/>
      <x:c r="T154" s="15"/>
      <x:c r="U154" s="16"/>
      <x:c r="V154" s="6" t="str">
        <x:v>https://digitecme.com/ar/brands/bentley-service-dubai/tire-repair</x:v>
      </x:c>
      <x:c r="W154" s="6" t="str">
        <x:v>Indexable directive</x:v>
      </x:c>
      <x:c r="X154" s="6" t="n">
        <x:v>16</x:v>
      </x:c>
      <x:c r="Y154" s="6" t="str">
        <x:v>إصلاح الإطارات Bentley في دبي | ديجي-تك</x:v>
      </x:c>
      <x:c r="Z154" s="6" t="str"/>
      <x:c r="AA154" s="6" t="str">
        <x:v>No / not compared</x:v>
      </x:c>
    </x:row>
    <x:row r="155" ht="42" customHeight="1">
      <x:c r="A155" s="6" t="str">
        <x:v>https://digitecme.com/ar/brands/bentley-service-dubai/transmission-repair</x:v>
      </x:c>
      <x:c r="B155" s="6" t="str"/>
      <x:c r="C155" s="6" t="str"/>
      <x:c r="D155" s="6" t="str">
        <x:v>brand-service</x:v>
      </x:c>
      <x:c r="E155" s="6" t="str">
        <x:v>Retain differentiated role</x:v>
      </x:c>
      <x:c r="F155" s="6" t="str">
        <x:v>Local source render; live version unverified</x:v>
      </x:c>
      <x:c r="G155" s="6" t="str">
        <x:v>إصلاح ناقل الحركة Bentley في دبي | ديجي-تك</x:v>
      </x:c>
      <x:c r="H155" s="6" t="str">
        <x:v>إصلاح ناقل الحركة Bentley في دبي | ديجي-تك</x:v>
      </x:c>
      <x:c r="I155" s="6" t="str">
        <x:v>إصلاح ناقل الحركة Bentley في دبي</x:v>
      </x:c>
      <x:c r="J155" s="6" t="str">
        <x:v>إصلاح ناقل الحركة Bentley في دبي</x:v>
      </x:c>
      <x:c r="K155" s="6" t="str">
        <x:v>إصلاح ناقل الحركة متخصص لسيارات Bentley في دبي مع تشخيص متقدم وقطع مناسبة وتسعير واضح لدى مركز ديجي-تك.</x:v>
      </x:c>
      <x:c r="L155" s="6" t="str">
        <x:v>Retain pending evidence; no specific content edit justified by this export.</x:v>
      </x:c>
      <x:c r="M155" s="6" t="str">
        <x:v>Retain; inspect relevant context before adding links</x:v>
      </x:c>
      <x:c r="N155" s="6" t="str">
        <x:v>Unconfirmed — no query/page pairing</x:v>
      </x:c>
      <x:c r="O155" s="6" t="str">
        <x:v>Retain established booking / WhatsApp / call path; live behaviour untested</x:v>
      </x:c>
      <x:c r="P155" s="6" t="str">
        <x:v>Retain canonical and indexation policy pending a live check.</x:v>
      </x:c>
      <x:c r="Q155" s="6" t="str">
        <x:v>Proposed; no website change made</x:v>
      </x:c>
      <x:c r="R155" s="14"/>
      <x:c r="S155" s="14"/>
      <x:c r="T155" s="15"/>
      <x:c r="U155" s="16"/>
      <x:c r="V155" s="6" t="str">
        <x:v>https://digitecme.com/ar/brands/bentley-service-dubai/transmission-repair</x:v>
      </x:c>
      <x:c r="W155" s="6" t="str">
        <x:v>Indexable directive</x:v>
      </x:c>
      <x:c r="X155" s="6" t="n">
        <x:v>16</x:v>
      </x:c>
      <x:c r="Y155" s="6" t="str">
        <x:v>إصلاح ناقل الحركة Bentley في دبي | ديجي-تك</x:v>
      </x:c>
      <x:c r="Z155" s="6" t="str"/>
      <x:c r="AA155" s="6" t="str">
        <x:v>No / not compared</x:v>
      </x:c>
    </x:row>
    <x:row r="156" ht="42" customHeight="1">
      <x:c r="A156" s="6" t="str">
        <x:v>https://digitecme.com/ar/brands/bmw-service-dubai</x:v>
      </x:c>
      <x:c r="B156" s="6" t="str">
        <x:v>افضل مركز بي ام دبليو</x:v>
      </x:c>
      <x:c r="C156" s="6" t="str">
        <x:v>bmw: Service and repair (Arabic)</x:v>
      </x:c>
      <x:c r="D156" s="6" t="str">
        <x:v>brand</x:v>
      </x:c>
      <x:c r="E156" s="6" t="str">
        <x:v>Primary owner for assigned intent</x:v>
      </x:c>
      <x:c r="F156" s="6" t="str">
        <x:v>Local source render; live version unverified</x:v>
      </x:c>
      <x:c r="G156" s="6" t="str">
        <x:v>إصلاح وصيانة BMW في دبي | مركز ديجي-تك</x:v>
      </x:c>
      <x:c r="H156" s="6" t="str">
        <x:v>إصلاح وصيانة BMW في دبي | مركز ديجي-تك</x:v>
      </x:c>
      <x:c r="I156" s="6" t="str">
        <x:v>BMW للإصلاح والصيانة في دبي</x:v>
      </x:c>
      <x:c r="J156" s="6" t="str">
        <x:v>BMW للإصلاح والصيانة في دبي</x:v>
      </x:c>
      <x:c r="K156" s="6" t="str">
        <x:v>إصلاح وصيانة BMW في دبي: تشخيص وصيانة وفرامل وناقل حركة وتعليق وتكييف مع قطع بالمواصفات المناسبة لدى مركز ديجي-تك.</x:v>
      </x:c>
      <x:c r="L156" s="6" t="str">
        <x:v>Retain pending evidence; no specific content edit justified by this export.</x:v>
      </x:c>
      <x:c r="M156" s="6" t="str">
        <x:v>Retain; inspect relevant context before adding links</x:v>
      </x:c>
      <x:c r="N156" s="6" t="str">
        <x:v>Unconfirmed — no query/page pairing</x:v>
      </x:c>
      <x:c r="O156" s="6" t="str">
        <x:v>Retain established booking / WhatsApp / call path; live behaviour untested</x:v>
      </x:c>
      <x:c r="P156" s="6" t="str">
        <x:v>Retain canonical and indexation policy pending a live check.</x:v>
      </x:c>
      <x:c r="Q156" s="6" t="str">
        <x:v>Proposed; no website change made</x:v>
      </x:c>
      <x:c r="R156" s="14"/>
      <x:c r="S156" s="14"/>
      <x:c r="T156" s="15"/>
      <x:c r="U156" s="16"/>
      <x:c r="V156" s="6" t="str">
        <x:v>https://digitecme.com/ar/brands/bmw-service-dubai</x:v>
      </x:c>
      <x:c r="W156" s="6" t="str">
        <x:v>Indexable directive</x:v>
      </x:c>
      <x:c r="X156" s="6" t="n">
        <x:v>86</x:v>
      </x:c>
      <x:c r="Y156" s="6" t="str">
        <x:v>إصلاح وصيانة BMW في دبي | مركز ديجي-تك</x:v>
      </x:c>
      <x:c r="Z156" s="6" t="str"/>
      <x:c r="AA156" s="6" t="str">
        <x:v>No / not compared</x:v>
      </x:c>
    </x:row>
    <x:row r="157" ht="42" customHeight="1">
      <x:c r="A157" s="6" t="str">
        <x:v>https://digitecme.com/ar/brands/bmw-service-dubai/ac-repair</x:v>
      </x:c>
      <x:c r="B157" s="6" t="str"/>
      <x:c r="C157" s="6" t="str"/>
      <x:c r="D157" s="6" t="str">
        <x:v>brand-service</x:v>
      </x:c>
      <x:c r="E157" s="6" t="str">
        <x:v>Retain differentiated role</x:v>
      </x:c>
      <x:c r="F157" s="6" t="str">
        <x:v>Local source render; live version unverified</x:v>
      </x:c>
      <x:c r="G157" s="6" t="str">
        <x:v>إصلاح التكييف BMW في دبي | ديجي-تك</x:v>
      </x:c>
      <x:c r="H157" s="6" t="str">
        <x:v>إصلاح التكييف BMW في دبي | ديجي-تك</x:v>
      </x:c>
      <x:c r="I157" s="6" t="str">
        <x:v>إصلاح التكييف BMW في دبي</x:v>
      </x:c>
      <x:c r="J157" s="6" t="str">
        <x:v>إصلاح التكييف BMW في دبي</x:v>
      </x:c>
      <x:c r="K157" s="6" t="str">
        <x:v>إصلاح التكييف متخصص لسيارات BMW في دبي مع تشخيص متقدم وقطع مناسبة وتسعير واضح لدى مركز ديجي-تك.</x:v>
      </x:c>
      <x:c r="L157" s="6" t="str">
        <x:v>Retain pending evidence; no specific content edit justified by this export.</x:v>
      </x:c>
      <x:c r="M157" s="6" t="str">
        <x:v>Retain; inspect relevant context before adding links</x:v>
      </x:c>
      <x:c r="N157" s="6" t="str">
        <x:v>Unconfirmed — no query/page pairing</x:v>
      </x:c>
      <x:c r="O157" s="6" t="str">
        <x:v>Retain established booking / WhatsApp / call path; live behaviour untested</x:v>
      </x:c>
      <x:c r="P157" s="6" t="str">
        <x:v>Retain canonical and indexation policy pending a live check.</x:v>
      </x:c>
      <x:c r="Q157" s="6" t="str">
        <x:v>Proposed; no website change made</x:v>
      </x:c>
      <x:c r="R157" s="14" t="n">
        <x:v>0</x:v>
      </x:c>
      <x:c r="S157" s="14" t="n">
        <x:v>3</x:v>
      </x:c>
      <x:c r="T157" s="15" t="n">
        <x:v>0</x:v>
      </x:c>
      <x:c r="U157" s="16" t="n">
        <x:v>8.67</x:v>
      </x:c>
      <x:c r="V157" s="6" t="str">
        <x:v>https://digitecme.com/ar/brands/bmw-service-dubai/ac-repair</x:v>
      </x:c>
      <x:c r="W157" s="6" t="str">
        <x:v>Indexable directive</x:v>
      </x:c>
      <x:c r="X157" s="6" t="n">
        <x:v>16</x:v>
      </x:c>
      <x:c r="Y157" s="6" t="str">
        <x:v>إصلاح التكييف BMW في دبي | ديجي-تك</x:v>
      </x:c>
      <x:c r="Z157" s="6" t="str"/>
      <x:c r="AA157" s="6" t="str">
        <x:v>No / not compared</x:v>
      </x:c>
    </x:row>
    <x:row r="158" ht="42" customHeight="1">
      <x:c r="A158" s="6" t="str">
        <x:v>https://digitecme.com/ar/brands/bmw-service-dubai/battery-replacement</x:v>
      </x:c>
      <x:c r="B158" s="6" t="str"/>
      <x:c r="C158" s="6" t="str"/>
      <x:c r="D158" s="6" t="str">
        <x:v>brand-service</x:v>
      </x:c>
      <x:c r="E158" s="6" t="str">
        <x:v>Retain differentiated role</x:v>
      </x:c>
      <x:c r="F158" s="6" t="str">
        <x:v>Local source render; live version unverified</x:v>
      </x:c>
      <x:c r="G158" s="6" t="str">
        <x:v>تبديل البطارية BMW في دبي | ديجي-تك</x:v>
      </x:c>
      <x:c r="H158" s="6" t="str">
        <x:v>تبديل البطارية BMW في دبي | ديجي-تك</x:v>
      </x:c>
      <x:c r="I158" s="6" t="str">
        <x:v>تبديل البطارية BMW في دبي</x:v>
      </x:c>
      <x:c r="J158" s="6" t="str">
        <x:v>تبديل البطارية BMW في دبي</x:v>
      </x:c>
      <x:c r="K158" s="6" t="str">
        <x:v>تبديل البطارية متخصص لسيارات BMW في دبي مع تشخيص متقدم وقطع مناسبة وتسعير واضح لدى مركز ديجي-تك.</x:v>
      </x:c>
      <x:c r="L158" s="6" t="str">
        <x:v>Retain pending evidence; no specific content edit justified by this export.</x:v>
      </x:c>
      <x:c r="M158" s="6" t="str">
        <x:v>Retain; inspect relevant context before adding links</x:v>
      </x:c>
      <x:c r="N158" s="6" t="str">
        <x:v>Unconfirmed — no query/page pairing</x:v>
      </x:c>
      <x:c r="O158" s="6" t="str">
        <x:v>Retain established booking / WhatsApp / call path; live behaviour untested</x:v>
      </x:c>
      <x:c r="P158" s="6" t="str">
        <x:v>Retain canonical and indexation policy pending a live check.</x:v>
      </x:c>
      <x:c r="Q158" s="6" t="str">
        <x:v>Proposed; no website change made</x:v>
      </x:c>
      <x:c r="R158" s="14" t="n">
        <x:v>0</x:v>
      </x:c>
      <x:c r="S158" s="14" t="n">
        <x:v>1</x:v>
      </x:c>
      <x:c r="T158" s="15" t="n">
        <x:v>0</x:v>
      </x:c>
      <x:c r="U158" s="16" t="n">
        <x:v>9</x:v>
      </x:c>
      <x:c r="V158" s="6" t="str">
        <x:v>https://digitecme.com/ar/brands/bmw-service-dubai/battery-replacement</x:v>
      </x:c>
      <x:c r="W158" s="6" t="str">
        <x:v>Indexable directive</x:v>
      </x:c>
      <x:c r="X158" s="6" t="n">
        <x:v>16</x:v>
      </x:c>
      <x:c r="Y158" s="6" t="str">
        <x:v>تبديل البطارية BMW في دبي | ديجي-تك</x:v>
      </x:c>
      <x:c r="Z158" s="6" t="str"/>
      <x:c r="AA158" s="6" t="str">
        <x:v>No / not compared</x:v>
      </x:c>
    </x:row>
    <x:row r="159" ht="42" customHeight="1">
      <x:c r="A159" s="6" t="str">
        <x:v>https://digitecme.com/ar/brands/bmw-service-dubai/body-repair</x:v>
      </x:c>
      <x:c r="B159" s="6" t="str"/>
      <x:c r="C159" s="6" t="str"/>
      <x:c r="D159" s="6" t="str">
        <x:v>brand-service</x:v>
      </x:c>
      <x:c r="E159" s="6" t="str">
        <x:v>Retain differentiated role</x:v>
      </x:c>
      <x:c r="F159" s="6" t="str">
        <x:v>Local source render; live version unverified</x:v>
      </x:c>
      <x:c r="G159" s="6" t="str">
        <x:v>إصلاح الهيكل BMW في دبي | ديجي-تك</x:v>
      </x:c>
      <x:c r="H159" s="6" t="str">
        <x:v>إصلاح الهيكل BMW في دبي | ديجي-تك</x:v>
      </x:c>
      <x:c r="I159" s="6" t="str">
        <x:v>إصلاح الهيكل BMW في دبي</x:v>
      </x:c>
      <x:c r="J159" s="6" t="str">
        <x:v>إصلاح الهيكل BMW في دبي</x:v>
      </x:c>
      <x:c r="K159" s="6" t="str">
        <x:v>إصلاح الهيكل متخصص لسيارات BMW في دبي مع تشخيص متقدم وقطع مناسبة وتسعير واضح لدى مركز ديجي-تك.</x:v>
      </x:c>
      <x:c r="L159" s="6" t="str">
        <x:v>Retain pending evidence; no specific content edit justified by this export.</x:v>
      </x:c>
      <x:c r="M159" s="6" t="str">
        <x:v>Retain; inspect relevant context before adding links</x:v>
      </x:c>
      <x:c r="N159" s="6" t="str">
        <x:v>Unconfirmed — no query/page pairing</x:v>
      </x:c>
      <x:c r="O159" s="6" t="str">
        <x:v>Retain established booking / WhatsApp / call path; live behaviour untested</x:v>
      </x:c>
      <x:c r="P159" s="6" t="str">
        <x:v>Retain canonical and indexation policy pending a live check.</x:v>
      </x:c>
      <x:c r="Q159" s="6" t="str">
        <x:v>Proposed; no website change made</x:v>
      </x:c>
      <x:c r="R159" s="14"/>
      <x:c r="S159" s="14"/>
      <x:c r="T159" s="15"/>
      <x:c r="U159" s="16"/>
      <x:c r="V159" s="6" t="str">
        <x:v>https://digitecme.com/ar/brands/bmw-service-dubai/body-repair</x:v>
      </x:c>
      <x:c r="W159" s="6" t="str">
        <x:v>Indexable directive</x:v>
      </x:c>
      <x:c r="X159" s="6" t="n">
        <x:v>16</x:v>
      </x:c>
      <x:c r="Y159" s="6" t="str">
        <x:v>إصلاح الهيكل BMW في دبي | ديجي-تك</x:v>
      </x:c>
      <x:c r="Z159" s="6" t="str"/>
      <x:c r="AA159" s="6" t="str">
        <x:v>No / not compared</x:v>
      </x:c>
    </x:row>
    <x:row r="160" ht="42" customHeight="1">
      <x:c r="A160" s="6" t="str">
        <x:v>https://digitecme.com/ar/brands/bmw-service-dubai/brake-repair</x:v>
      </x:c>
      <x:c r="B160" s="6" t="str"/>
      <x:c r="C160" s="6" t="str"/>
      <x:c r="D160" s="6" t="str">
        <x:v>brand-service</x:v>
      </x:c>
      <x:c r="E160" s="6" t="str">
        <x:v>Retain differentiated role</x:v>
      </x:c>
      <x:c r="F160" s="6" t="str">
        <x:v>Local source render; live version unverified</x:v>
      </x:c>
      <x:c r="G160" s="6" t="str">
        <x:v>إصلاح الفرامل BMW في دبي | ديجي-تك</x:v>
      </x:c>
      <x:c r="H160" s="6" t="str">
        <x:v>إصلاح الفرامل BMW في دبي | ديجي-تك</x:v>
      </x:c>
      <x:c r="I160" s="6" t="str">
        <x:v>إصلاح الفرامل BMW في دبي</x:v>
      </x:c>
      <x:c r="J160" s="6" t="str">
        <x:v>إصلاح الفرامل BMW في دبي</x:v>
      </x:c>
      <x:c r="K160" s="6" t="str">
        <x:v>إصلاح الفرامل متخصص لسيارات BMW في دبي مع تشخيص متقدم وقطع مناسبة وتسعير واضح لدى مركز ديجي-تك.</x:v>
      </x:c>
      <x:c r="L160" s="6" t="str">
        <x:v>Retain pending evidence; no specific content edit justified by this export.</x:v>
      </x:c>
      <x:c r="M160" s="6" t="str">
        <x:v>Retain; inspect relevant context before adding links</x:v>
      </x:c>
      <x:c r="N160" s="6" t="str">
        <x:v>Unconfirmed — no query/page pairing</x:v>
      </x:c>
      <x:c r="O160" s="6" t="str">
        <x:v>Retain established booking / WhatsApp / call path; live behaviour untested</x:v>
      </x:c>
      <x:c r="P160" s="6" t="str">
        <x:v>Retain canonical and indexation policy pending a live check.</x:v>
      </x:c>
      <x:c r="Q160" s="6" t="str">
        <x:v>Proposed; no website change made</x:v>
      </x:c>
      <x:c r="R160" s="14"/>
      <x:c r="S160" s="14"/>
      <x:c r="T160" s="15"/>
      <x:c r="U160" s="16"/>
      <x:c r="V160" s="6" t="str">
        <x:v>https://digitecme.com/ar/brands/bmw-service-dubai/brake-repair</x:v>
      </x:c>
      <x:c r="W160" s="6" t="str">
        <x:v>Indexable directive</x:v>
      </x:c>
      <x:c r="X160" s="6" t="n">
        <x:v>16</x:v>
      </x:c>
      <x:c r="Y160" s="6" t="str">
        <x:v>إصلاح الفرامل BMW في دبي | ديجي-تك</x:v>
      </x:c>
      <x:c r="Z160" s="6" t="str"/>
      <x:c r="AA160" s="6" t="str">
        <x:v>No / not compared</x:v>
      </x:c>
    </x:row>
    <x:row r="161" ht="42" customHeight="1">
      <x:c r="A161" s="6" t="str">
        <x:v>https://digitecme.com/ar/brands/bmw-service-dubai/electrical-repair</x:v>
      </x:c>
      <x:c r="B161" s="6" t="str"/>
      <x:c r="C161" s="6" t="str"/>
      <x:c r="D161" s="6" t="str">
        <x:v>brand-service</x:v>
      </x:c>
      <x:c r="E161" s="6" t="str">
        <x:v>Retain differentiated role</x:v>
      </x:c>
      <x:c r="F161" s="6" t="str">
        <x:v>Local source render; live version unverified</x:v>
      </x:c>
      <x:c r="G161" s="6" t="str">
        <x:v>إصلاح الكهرباء BMW في دبي | ديجي-تك</x:v>
      </x:c>
      <x:c r="H161" s="6" t="str">
        <x:v>إصلاح الكهرباء BMW في دبي | ديجي-تك</x:v>
      </x:c>
      <x:c r="I161" s="6" t="str">
        <x:v>إصلاح الكهرباء BMW في دبي</x:v>
      </x:c>
      <x:c r="J161" s="6" t="str">
        <x:v>إصلاح الكهرباء BMW في دبي</x:v>
      </x:c>
      <x:c r="K161" s="6" t="str">
        <x:v>إصلاح الكهرباء متخصص لسيارات BMW في دبي مع تشخيص متقدم وقطع مناسبة وتسعير واضح لدى مركز ديجي-تك.</x:v>
      </x:c>
      <x:c r="L161" s="6" t="str">
        <x:v>Retain pending evidence; no specific content edit justified by this export.</x:v>
      </x:c>
      <x:c r="M161" s="6" t="str">
        <x:v>Retain; inspect relevant context before adding links</x:v>
      </x:c>
      <x:c r="N161" s="6" t="str">
        <x:v>Unconfirmed — no query/page pairing</x:v>
      </x:c>
      <x:c r="O161" s="6" t="str">
        <x:v>Retain established booking / WhatsApp / call path; live behaviour untested</x:v>
      </x:c>
      <x:c r="P161" s="6" t="str">
        <x:v>Retain canonical and indexation policy pending a live check.</x:v>
      </x:c>
      <x:c r="Q161" s="6" t="str">
        <x:v>Proposed; no website change made</x:v>
      </x:c>
      <x:c r="R161" s="14"/>
      <x:c r="S161" s="14"/>
      <x:c r="T161" s="15"/>
      <x:c r="U161" s="16"/>
      <x:c r="V161" s="6" t="str">
        <x:v>https://digitecme.com/ar/brands/bmw-service-dubai/electrical-repair</x:v>
      </x:c>
      <x:c r="W161" s="6" t="str">
        <x:v>Indexable directive</x:v>
      </x:c>
      <x:c r="X161" s="6" t="n">
        <x:v>16</x:v>
      </x:c>
      <x:c r="Y161" s="6" t="str">
        <x:v>إصلاح الكهرباء BMW في دبي | ديجي-تك</x:v>
      </x:c>
      <x:c r="Z161" s="6" t="str"/>
      <x:c r="AA161" s="6" t="str">
        <x:v>No / not compared</x:v>
      </x:c>
    </x:row>
    <x:row r="162" ht="42" customHeight="1">
      <x:c r="A162" s="6" t="str">
        <x:v>https://digitecme.com/ar/brands/bmw-service-dubai/engine-diagnostics</x:v>
      </x:c>
      <x:c r="B162" s="6" t="str"/>
      <x:c r="C162" s="6" t="str"/>
      <x:c r="D162" s="6" t="str">
        <x:v>brand-service</x:v>
      </x:c>
      <x:c r="E162" s="6" t="str">
        <x:v>Retain differentiated role</x:v>
      </x:c>
      <x:c r="F162" s="6" t="str">
        <x:v>Local source render; live version unverified</x:v>
      </x:c>
      <x:c r="G162" s="6" t="str">
        <x:v>تشخيص المحرك BMW في دبي | ديجي-تك</x:v>
      </x:c>
      <x:c r="H162" s="6" t="str">
        <x:v>تشخيص المحرك BMW في دبي | ديجي-تك</x:v>
      </x:c>
      <x:c r="I162" s="6" t="str">
        <x:v>تشخيص المحرك BMW في دبي</x:v>
      </x:c>
      <x:c r="J162" s="6" t="str">
        <x:v>تشخيص المحرك BMW في دبي</x:v>
      </x:c>
      <x:c r="K162" s="6" t="str">
        <x:v>تشخيص المحرك متخصص لسيارات BMW في دبي مع تشخيص متقدم وقطع مناسبة وتسعير واضح لدى مركز ديجي-تك.</x:v>
      </x:c>
      <x:c r="L162" s="6" t="str">
        <x:v>Retain pending evidence; no specific content edit justified by this export.</x:v>
      </x:c>
      <x:c r="M162" s="6" t="str">
        <x:v>Retain; inspect relevant context before adding links</x:v>
      </x:c>
      <x:c r="N162" s="6" t="str">
        <x:v>Unconfirmed — no query/page pairing</x:v>
      </x:c>
      <x:c r="O162" s="6" t="str">
        <x:v>Retain established booking / WhatsApp / call path; live behaviour untested</x:v>
      </x:c>
      <x:c r="P162" s="6" t="str">
        <x:v>Retain canonical and indexation policy pending a live check.</x:v>
      </x:c>
      <x:c r="Q162" s="6" t="str">
        <x:v>Proposed; no website change made</x:v>
      </x:c>
      <x:c r="R162" s="14"/>
      <x:c r="S162" s="14"/>
      <x:c r="T162" s="15"/>
      <x:c r="U162" s="16"/>
      <x:c r="V162" s="6" t="str">
        <x:v>https://digitecme.com/ar/brands/bmw-service-dubai/engine-diagnostics</x:v>
      </x:c>
      <x:c r="W162" s="6" t="str">
        <x:v>Indexable directive</x:v>
      </x:c>
      <x:c r="X162" s="6" t="n">
        <x:v>16</x:v>
      </x:c>
      <x:c r="Y162" s="6" t="str">
        <x:v>تشخيص المحرك BMW في دبي | ديجي-تك</x:v>
      </x:c>
      <x:c r="Z162" s="6" t="str"/>
      <x:c r="AA162" s="6" t="str">
        <x:v>No / not compared</x:v>
      </x:c>
    </x:row>
    <x:row r="163" ht="42" customHeight="1">
      <x:c r="A163" s="6" t="str">
        <x:v>https://digitecme.com/ar/brands/bmw-service-dubai/exhaust-repair</x:v>
      </x:c>
      <x:c r="B163" s="6" t="str"/>
      <x:c r="C163" s="6" t="str"/>
      <x:c r="D163" s="6" t="str">
        <x:v>brand-service</x:v>
      </x:c>
      <x:c r="E163" s="6" t="str">
        <x:v>Retain differentiated role</x:v>
      </x:c>
      <x:c r="F163" s="6" t="str">
        <x:v>Local source render; live version unverified</x:v>
      </x:c>
      <x:c r="G163" s="6" t="str">
        <x:v>إصلاح العادم BMW في دبي | ديجي-تك</x:v>
      </x:c>
      <x:c r="H163" s="6" t="str">
        <x:v>إصلاح العادم BMW في دبي | ديجي-تك</x:v>
      </x:c>
      <x:c r="I163" s="6" t="str">
        <x:v>إصلاح العادم BMW في دبي</x:v>
      </x:c>
      <x:c r="J163" s="6" t="str">
        <x:v>إصلاح العادم BMW في دبي</x:v>
      </x:c>
      <x:c r="K163" s="6" t="str">
        <x:v>إصلاح العادم متخصص لسيارات BMW في دبي مع تشخيص متقدم وقطع مناسبة وتسعير واضح لدى مركز ديجي-تك.</x:v>
      </x:c>
      <x:c r="L163" s="6" t="str">
        <x:v>Retain pending evidence; no specific content edit justified by this export.</x:v>
      </x:c>
      <x:c r="M163" s="6" t="str">
        <x:v>Retain; inspect relevant context before adding links</x:v>
      </x:c>
      <x:c r="N163" s="6" t="str">
        <x:v>Unconfirmed — no query/page pairing</x:v>
      </x:c>
      <x:c r="O163" s="6" t="str">
        <x:v>Retain established booking / WhatsApp / call path; live behaviour untested</x:v>
      </x:c>
      <x:c r="P163" s="6" t="str">
        <x:v>Retain canonical and indexation policy pending a live check.</x:v>
      </x:c>
      <x:c r="Q163" s="6" t="str">
        <x:v>Proposed; no website change made</x:v>
      </x:c>
      <x:c r="R163" s="14"/>
      <x:c r="S163" s="14"/>
      <x:c r="T163" s="15"/>
      <x:c r="U163" s="16"/>
      <x:c r="V163" s="6" t="str">
        <x:v>https://digitecme.com/ar/brands/bmw-service-dubai/exhaust-repair</x:v>
      </x:c>
      <x:c r="W163" s="6" t="str">
        <x:v>Indexable directive</x:v>
      </x:c>
      <x:c r="X163" s="6" t="n">
        <x:v>16</x:v>
      </x:c>
      <x:c r="Y163" s="6" t="str">
        <x:v>إصلاح العادم BMW في دبي | ديجي-تك</x:v>
      </x:c>
      <x:c r="Z163" s="6" t="str"/>
      <x:c r="AA163" s="6" t="str">
        <x:v>No / not compared</x:v>
      </x:c>
    </x:row>
    <x:row r="164" ht="42" customHeight="1">
      <x:c r="A164" s="6" t="str">
        <x:v>https://digitecme.com/ar/brands/bmw-service-dubai/fuel-system-repair</x:v>
      </x:c>
      <x:c r="B164" s="6" t="str"/>
      <x:c r="C164" s="6" t="str"/>
      <x:c r="D164" s="6" t="str">
        <x:v>brand-service</x:v>
      </x:c>
      <x:c r="E164" s="6" t="str">
        <x:v>Retain differentiated role</x:v>
      </x:c>
      <x:c r="F164" s="6" t="str">
        <x:v>Local source render; live version unverified</x:v>
      </x:c>
      <x:c r="G164" s="6" t="str">
        <x:v>إصلاح نظام الوقود BMW في دبي | ديجي-تك</x:v>
      </x:c>
      <x:c r="H164" s="6" t="str">
        <x:v>إصلاح نظام الوقود BMW في دبي | ديجي-تك</x:v>
      </x:c>
      <x:c r="I164" s="6" t="str">
        <x:v>إصلاح نظام الوقود BMW في دبي</x:v>
      </x:c>
      <x:c r="J164" s="6" t="str">
        <x:v>إصلاح نظام الوقود BMW في دبي</x:v>
      </x:c>
      <x:c r="K164" s="6" t="str">
        <x:v>إصلاح نظام الوقود متخصص لسيارات BMW في دبي مع تشخيص متقدم وقطع مناسبة وتسعير واضح لدى مركز ديجي-تك.</x:v>
      </x:c>
      <x:c r="L164" s="6" t="str">
        <x:v>Retain pending evidence; no specific content edit justified by this export.</x:v>
      </x:c>
      <x:c r="M164" s="6" t="str">
        <x:v>Retain; inspect relevant context before adding links</x:v>
      </x:c>
      <x:c r="N164" s="6" t="str">
        <x:v>Unconfirmed — no query/page pairing</x:v>
      </x:c>
      <x:c r="O164" s="6" t="str">
        <x:v>Retain established booking / WhatsApp / call path; live behaviour untested</x:v>
      </x:c>
      <x:c r="P164" s="6" t="str">
        <x:v>Retain canonical and indexation policy pending a live check.</x:v>
      </x:c>
      <x:c r="Q164" s="6" t="str">
        <x:v>Proposed; no website change made</x:v>
      </x:c>
      <x:c r="R164" s="14"/>
      <x:c r="S164" s="14"/>
      <x:c r="T164" s="15"/>
      <x:c r="U164" s="16"/>
      <x:c r="V164" s="6" t="str">
        <x:v>https://digitecme.com/ar/brands/bmw-service-dubai/fuel-system-repair</x:v>
      </x:c>
      <x:c r="W164" s="6" t="str">
        <x:v>Indexable directive</x:v>
      </x:c>
      <x:c r="X164" s="6" t="n">
        <x:v>16</x:v>
      </x:c>
      <x:c r="Y164" s="6" t="str">
        <x:v>إصلاح نظام الوقود BMW في دبي | ديجي-تك</x:v>
      </x:c>
      <x:c r="Z164" s="6" t="str"/>
      <x:c r="AA164" s="6" t="str">
        <x:v>No / not compared</x:v>
      </x:c>
    </x:row>
    <x:row r="165" ht="42" customHeight="1">
      <x:c r="A165" s="6" t="str">
        <x:v>https://digitecme.com/ar/brands/bmw-service-dubai/mechanical-repair</x:v>
      </x:c>
      <x:c r="B165" s="6" t="str"/>
      <x:c r="C165" s="6" t="str"/>
      <x:c r="D165" s="6" t="str">
        <x:v>brand-service</x:v>
      </x:c>
      <x:c r="E165" s="6" t="str">
        <x:v>Retain differentiated role</x:v>
      </x:c>
      <x:c r="F165" s="6" t="str">
        <x:v>Local source render; live version unverified</x:v>
      </x:c>
      <x:c r="G165" s="6" t="str">
        <x:v>الإصلاح الميكانيكي BMW في دبي | ديجي-تك</x:v>
      </x:c>
      <x:c r="H165" s="6" t="str">
        <x:v>الإصلاح الميكانيكي BMW في دبي | ديجي-تك</x:v>
      </x:c>
      <x:c r="I165" s="6" t="str">
        <x:v>الإصلاح الميكانيكي BMW في دبي</x:v>
      </x:c>
      <x:c r="J165" s="6" t="str">
        <x:v>الإصلاح الميكانيكي BMW في دبي</x:v>
      </x:c>
      <x:c r="K165" s="6" t="str">
        <x:v>الإصلاح الميكانيكي متخصص لسيارات BMW في دبي مع تشخيص متقدم وقطع مناسبة وتسعير واضح لدى مركز ديجي-تك.</x:v>
      </x:c>
      <x:c r="L165" s="6" t="str">
        <x:v>Retain pending evidence; no specific content edit justified by this export.</x:v>
      </x:c>
      <x:c r="M165" s="6" t="str">
        <x:v>Retain; inspect relevant context before adding links</x:v>
      </x:c>
      <x:c r="N165" s="6" t="str">
        <x:v>Unconfirmed — no query/page pairing</x:v>
      </x:c>
      <x:c r="O165" s="6" t="str">
        <x:v>Retain established booking / WhatsApp / call path; live behaviour untested</x:v>
      </x:c>
      <x:c r="P165" s="6" t="str">
        <x:v>Retain canonical and indexation policy pending a live check.</x:v>
      </x:c>
      <x:c r="Q165" s="6" t="str">
        <x:v>Proposed; no website change made</x:v>
      </x:c>
      <x:c r="R165" s="14" t="n">
        <x:v>0</x:v>
      </x:c>
      <x:c r="S165" s="14" t="n">
        <x:v>4</x:v>
      </x:c>
      <x:c r="T165" s="15" t="n">
        <x:v>0</x:v>
      </x:c>
      <x:c r="U165" s="16" t="n">
        <x:v>25.25</x:v>
      </x:c>
      <x:c r="V165" s="6" t="str">
        <x:v>https://digitecme.com/ar/brands/bmw-service-dubai/mechanical-repair</x:v>
      </x:c>
      <x:c r="W165" s="6" t="str">
        <x:v>Indexable directive</x:v>
      </x:c>
      <x:c r="X165" s="6" t="n">
        <x:v>16</x:v>
      </x:c>
      <x:c r="Y165" s="6" t="str">
        <x:v>الإصلاح الميكانيكي BMW في دبي | ديجي-تك</x:v>
      </x:c>
      <x:c r="Z165" s="6" t="str"/>
      <x:c r="AA165" s="6" t="str">
        <x:v>No / not compared</x:v>
      </x:c>
    </x:row>
    <x:row r="166" ht="42" customHeight="1">
      <x:c r="A166" s="6" t="str">
        <x:v>https://digitecme.com/ar/brands/bmw-service-dubai/oil-change</x:v>
      </x:c>
      <x:c r="B166" s="6" t="str"/>
      <x:c r="C166" s="6" t="str"/>
      <x:c r="D166" s="6" t="str">
        <x:v>brand-service</x:v>
      </x:c>
      <x:c r="E166" s="6" t="str">
        <x:v>Retain differentiated role</x:v>
      </x:c>
      <x:c r="F166" s="6" t="str">
        <x:v>Local source render; live version unverified</x:v>
      </x:c>
      <x:c r="G166" s="6" t="str">
        <x:v>تغيير الزيت BMW في دبي | ديجي-تك</x:v>
      </x:c>
      <x:c r="H166" s="6" t="str">
        <x:v>تغيير الزيت BMW في دبي | ديجي-تك</x:v>
      </x:c>
      <x:c r="I166" s="6" t="str">
        <x:v>تغيير الزيت BMW في دبي</x:v>
      </x:c>
      <x:c r="J166" s="6" t="str">
        <x:v>تغيير الزيت BMW في دبي</x:v>
      </x:c>
      <x:c r="K166" s="6" t="str">
        <x:v>تغيير الزيت متخصص لسيارات BMW في دبي مع تشخيص متقدم وقطع مناسبة وتسعير واضح لدى مركز ديجي-تك.</x:v>
      </x:c>
      <x:c r="L166" s="6" t="str">
        <x:v>Retain pending evidence; no specific content edit justified by this export.</x:v>
      </x:c>
      <x:c r="M166" s="6" t="str">
        <x:v>Retain; inspect relevant context before adding links</x:v>
      </x:c>
      <x:c r="N166" s="6" t="str">
        <x:v>Unconfirmed — no query/page pairing</x:v>
      </x:c>
      <x:c r="O166" s="6" t="str">
        <x:v>Retain established booking / WhatsApp / call path; live behaviour untested</x:v>
      </x:c>
      <x:c r="P166" s="6" t="str">
        <x:v>Retain canonical and indexation policy pending a live check.</x:v>
      </x:c>
      <x:c r="Q166" s="6" t="str">
        <x:v>Proposed; no website change made</x:v>
      </x:c>
      <x:c r="R166" s="14" t="n">
        <x:v>0</x:v>
      </x:c>
      <x:c r="S166" s="14" t="n">
        <x:v>3</x:v>
      </x:c>
      <x:c r="T166" s="15" t="n">
        <x:v>0</x:v>
      </x:c>
      <x:c r="U166" s="16" t="n">
        <x:v>10.67</x:v>
      </x:c>
      <x:c r="V166" s="6" t="str">
        <x:v>https://digitecme.com/ar/brands/bmw-service-dubai/oil-change</x:v>
      </x:c>
      <x:c r="W166" s="6" t="str">
        <x:v>Indexable directive</x:v>
      </x:c>
      <x:c r="X166" s="6" t="n">
        <x:v>16</x:v>
      </x:c>
      <x:c r="Y166" s="6" t="str">
        <x:v>تغيير الزيت BMW في دبي | ديجي-تك</x:v>
      </x:c>
      <x:c r="Z166" s="6" t="str"/>
      <x:c r="AA166" s="6" t="str">
        <x:v>No / not compared</x:v>
      </x:c>
    </x:row>
    <x:row r="167" ht="42" customHeight="1">
      <x:c r="A167" s="6" t="str">
        <x:v>https://digitecme.com/ar/brands/bmw-service-dubai/steering-repair</x:v>
      </x:c>
      <x:c r="B167" s="6" t="str"/>
      <x:c r="C167" s="6" t="str"/>
      <x:c r="D167" s="6" t="str">
        <x:v>brand-service</x:v>
      </x:c>
      <x:c r="E167" s="6" t="str">
        <x:v>Retain differentiated role</x:v>
      </x:c>
      <x:c r="F167" s="6" t="str">
        <x:v>Local source render; live version unverified</x:v>
      </x:c>
      <x:c r="G167" s="6" t="str">
        <x:v>إصلاح نظام التوجيه BMW في دبي | ديجي-تك</x:v>
      </x:c>
      <x:c r="H167" s="6" t="str">
        <x:v>إصلاح نظام التوجيه BMW في دبي | ديجي-تك</x:v>
      </x:c>
      <x:c r="I167" s="6" t="str">
        <x:v>إصلاح نظام التوجيه BMW في دبي</x:v>
      </x:c>
      <x:c r="J167" s="6" t="str">
        <x:v>إصلاح نظام التوجيه BMW في دبي</x:v>
      </x:c>
      <x:c r="K167" s="6" t="str">
        <x:v>إصلاح نظام التوجيه متخصص لسيارات BMW في دبي مع تشخيص متقدم وقطع مناسبة وتسعير واضح لدى مركز ديجي-تك.</x:v>
      </x:c>
      <x:c r="L167" s="6" t="str">
        <x:v>Retain pending evidence; no specific content edit justified by this export.</x:v>
      </x:c>
      <x:c r="M167" s="6" t="str">
        <x:v>Retain; inspect relevant context before adding links</x:v>
      </x:c>
      <x:c r="N167" s="6" t="str">
        <x:v>Unconfirmed — no query/page pairing</x:v>
      </x:c>
      <x:c r="O167" s="6" t="str">
        <x:v>Retain established booking / WhatsApp / call path; live behaviour untested</x:v>
      </x:c>
      <x:c r="P167" s="6" t="str">
        <x:v>Retain canonical and indexation policy pending a live check.</x:v>
      </x:c>
      <x:c r="Q167" s="6" t="str">
        <x:v>Proposed; no website change made</x:v>
      </x:c>
      <x:c r="R167" s="14"/>
      <x:c r="S167" s="14"/>
      <x:c r="T167" s="15"/>
      <x:c r="U167" s="16"/>
      <x:c r="V167" s="6" t="str">
        <x:v>https://digitecme.com/ar/brands/bmw-service-dubai/steering-repair</x:v>
      </x:c>
      <x:c r="W167" s="6" t="str">
        <x:v>Indexable directive</x:v>
      </x:c>
      <x:c r="X167" s="6" t="n">
        <x:v>16</x:v>
      </x:c>
      <x:c r="Y167" s="6" t="str">
        <x:v>إصلاح نظام التوجيه BMW في دبي | ديجي-تك</x:v>
      </x:c>
      <x:c r="Z167" s="6" t="str"/>
      <x:c r="AA167" s="6" t="str">
        <x:v>No / not compared</x:v>
      </x:c>
    </x:row>
    <x:row r="168" ht="42" customHeight="1">
      <x:c r="A168" s="6" t="str">
        <x:v>https://digitecme.com/ar/brands/bmw-service-dubai/suspension-repair</x:v>
      </x:c>
      <x:c r="B168" s="6" t="str"/>
      <x:c r="C168" s="6" t="str"/>
      <x:c r="D168" s="6" t="str">
        <x:v>brand-service</x:v>
      </x:c>
      <x:c r="E168" s="6" t="str">
        <x:v>Retain differentiated role</x:v>
      </x:c>
      <x:c r="F168" s="6" t="str">
        <x:v>Local source render; live version unverified</x:v>
      </x:c>
      <x:c r="G168" s="6" t="str">
        <x:v>إصلاح التعليق BMW في دبي | ديجي-تك</x:v>
      </x:c>
      <x:c r="H168" s="6" t="str">
        <x:v>إصلاح التعليق BMW في دبي | ديجي-تك</x:v>
      </x:c>
      <x:c r="I168" s="6" t="str">
        <x:v>إصلاح التعليق BMW في دبي</x:v>
      </x:c>
      <x:c r="J168" s="6" t="str">
        <x:v>إصلاح التعليق BMW في دبي</x:v>
      </x:c>
      <x:c r="K168" s="6" t="str">
        <x:v>إصلاح التعليق متخصص لسيارات BMW في دبي مع تشخيص متقدم وقطع مناسبة وتسعير واضح لدى مركز ديجي-تك.</x:v>
      </x:c>
      <x:c r="L168" s="6" t="str">
        <x:v>Retain pending evidence; no specific content edit justified by this export.</x:v>
      </x:c>
      <x:c r="M168" s="6" t="str">
        <x:v>Retain; inspect relevant context before adding links</x:v>
      </x:c>
      <x:c r="N168" s="6" t="str">
        <x:v>Unconfirmed — no query/page pairing</x:v>
      </x:c>
      <x:c r="O168" s="6" t="str">
        <x:v>Retain established booking / WhatsApp / call path; live behaviour untested</x:v>
      </x:c>
      <x:c r="P168" s="6" t="str">
        <x:v>Retain canonical and indexation policy pending a live check.</x:v>
      </x:c>
      <x:c r="Q168" s="6" t="str">
        <x:v>Proposed; no website change made</x:v>
      </x:c>
      <x:c r="R168" s="14"/>
      <x:c r="S168" s="14"/>
      <x:c r="T168" s="15"/>
      <x:c r="U168" s="16"/>
      <x:c r="V168" s="6" t="str">
        <x:v>https://digitecme.com/ar/brands/bmw-service-dubai/suspension-repair</x:v>
      </x:c>
      <x:c r="W168" s="6" t="str">
        <x:v>Indexable directive</x:v>
      </x:c>
      <x:c r="X168" s="6" t="n">
        <x:v>16</x:v>
      </x:c>
      <x:c r="Y168" s="6" t="str">
        <x:v>إصلاح التعليق BMW في دبي | ديجي-تك</x:v>
      </x:c>
      <x:c r="Z168" s="6" t="str"/>
      <x:c r="AA168" s="6" t="str">
        <x:v>No / not compared</x:v>
      </x:c>
    </x:row>
    <x:row r="169" ht="42" customHeight="1">
      <x:c r="A169" s="6" t="str">
        <x:v>https://digitecme.com/ar/brands/bmw-service-dubai/tire-repair</x:v>
      </x:c>
      <x:c r="B169" s="6" t="str"/>
      <x:c r="C169" s="6" t="str"/>
      <x:c r="D169" s="6" t="str">
        <x:v>brand-service</x:v>
      </x:c>
      <x:c r="E169" s="6" t="str">
        <x:v>Retain differentiated role</x:v>
      </x:c>
      <x:c r="F169" s="6" t="str">
        <x:v>Local source render; live version unverified</x:v>
      </x:c>
      <x:c r="G169" s="6" t="str">
        <x:v>إصلاح الإطارات BMW في دبي | ديجي-تك</x:v>
      </x:c>
      <x:c r="H169" s="6" t="str">
        <x:v>إصلاح الإطارات BMW في دبي | ديجي-تك</x:v>
      </x:c>
      <x:c r="I169" s="6" t="str">
        <x:v>إصلاح الإطارات BMW في دبي</x:v>
      </x:c>
      <x:c r="J169" s="6" t="str">
        <x:v>إصلاح الإطارات BMW في دبي</x:v>
      </x:c>
      <x:c r="K169" s="6" t="str">
        <x:v>إصلاح الإطارات متخصص لسيارات BMW في دبي مع تشخيص متقدم وقطع مناسبة وتسعير واضح لدى مركز ديجي-تك.</x:v>
      </x:c>
      <x:c r="L169" s="6" t="str">
        <x:v>Retain pending evidence; no specific content edit justified by this export.</x:v>
      </x:c>
      <x:c r="M169" s="6" t="str">
        <x:v>Retain; inspect relevant context before adding links</x:v>
      </x:c>
      <x:c r="N169" s="6" t="str">
        <x:v>Unconfirmed — no query/page pairing</x:v>
      </x:c>
      <x:c r="O169" s="6" t="str">
        <x:v>Retain established booking / WhatsApp / call path; live behaviour untested</x:v>
      </x:c>
      <x:c r="P169" s="6" t="str">
        <x:v>Retain canonical and indexation policy pending a live check.</x:v>
      </x:c>
      <x:c r="Q169" s="6" t="str">
        <x:v>Proposed; no website change made</x:v>
      </x:c>
      <x:c r="R169" s="14" t="n">
        <x:v>0</x:v>
      </x:c>
      <x:c r="S169" s="14" t="n">
        <x:v>1</x:v>
      </x:c>
      <x:c r="T169" s="15" t="n">
        <x:v>0</x:v>
      </x:c>
      <x:c r="U169" s="16" t="n">
        <x:v>1</x:v>
      </x:c>
      <x:c r="V169" s="6" t="str">
        <x:v>https://digitecme.com/ar/brands/bmw-service-dubai/tire-repair</x:v>
      </x:c>
      <x:c r="W169" s="6" t="str">
        <x:v>Indexable directive</x:v>
      </x:c>
      <x:c r="X169" s="6" t="n">
        <x:v>16</x:v>
      </x:c>
      <x:c r="Y169" s="6" t="str">
        <x:v>إصلاح الإطارات BMW في دبي | ديجي-تك</x:v>
      </x:c>
      <x:c r="Z169" s="6" t="str"/>
      <x:c r="AA169" s="6" t="str">
        <x:v>No / not compared</x:v>
      </x:c>
    </x:row>
    <x:row r="170" ht="42" customHeight="1">
      <x:c r="A170" s="6" t="str">
        <x:v>https://digitecme.com/ar/brands/bmw-service-dubai/transmission-repair</x:v>
      </x:c>
      <x:c r="B170" s="6" t="str"/>
      <x:c r="C170" s="6" t="str"/>
      <x:c r="D170" s="6" t="str">
        <x:v>brand-service</x:v>
      </x:c>
      <x:c r="E170" s="6" t="str">
        <x:v>Retain differentiated role</x:v>
      </x:c>
      <x:c r="F170" s="6" t="str">
        <x:v>Local source render; live version unverified</x:v>
      </x:c>
      <x:c r="G170" s="6" t="str">
        <x:v>إصلاح ناقل الحركة BMW في دبي | ديجي-تك</x:v>
      </x:c>
      <x:c r="H170" s="6" t="str">
        <x:v>إصلاح ناقل الحركة BMW في دبي | ديجي-تك</x:v>
      </x:c>
      <x:c r="I170" s="6" t="str">
        <x:v>إصلاح ناقل الحركة BMW في دبي</x:v>
      </x:c>
      <x:c r="J170" s="6" t="str">
        <x:v>إصلاح ناقل الحركة BMW في دبي</x:v>
      </x:c>
      <x:c r="K170" s="6" t="str">
        <x:v>إصلاح ناقل الحركة متخصص لسيارات BMW في دبي مع تشخيص متقدم وقطع مناسبة وتسعير واضح لدى مركز ديجي-تك.</x:v>
      </x:c>
      <x:c r="L170" s="6" t="str">
        <x:v>Retain pending evidence; no specific content edit justified by this export.</x:v>
      </x:c>
      <x:c r="M170" s="6" t="str">
        <x:v>Retain; inspect relevant context before adding links</x:v>
      </x:c>
      <x:c r="N170" s="6" t="str">
        <x:v>Unconfirmed — no query/page pairing</x:v>
      </x:c>
      <x:c r="O170" s="6" t="str">
        <x:v>Retain established booking / WhatsApp / call path; live behaviour untested</x:v>
      </x:c>
      <x:c r="P170" s="6" t="str">
        <x:v>Retain canonical and indexation policy pending a live check.</x:v>
      </x:c>
      <x:c r="Q170" s="6" t="str">
        <x:v>Proposed; no website change made</x:v>
      </x:c>
      <x:c r="R170" s="14"/>
      <x:c r="S170" s="14"/>
      <x:c r="T170" s="15"/>
      <x:c r="U170" s="16"/>
      <x:c r="V170" s="6" t="str">
        <x:v>https://digitecme.com/ar/brands/bmw-service-dubai/transmission-repair</x:v>
      </x:c>
      <x:c r="W170" s="6" t="str">
        <x:v>Indexable directive</x:v>
      </x:c>
      <x:c r="X170" s="6" t="n">
        <x:v>16</x:v>
      </x:c>
      <x:c r="Y170" s="6" t="str">
        <x:v>إصلاح ناقل الحركة BMW في دبي | ديجي-تك</x:v>
      </x:c>
      <x:c r="Z170" s="6" t="str"/>
      <x:c r="AA170" s="6" t="str">
        <x:v>No / not compared</x:v>
      </x:c>
    </x:row>
    <x:row r="171" ht="42" customHeight="1">
      <x:c r="A171" s="6" t="str">
        <x:v>https://digitecme.com/ar/brands/bugatti-service-dubai</x:v>
      </x:c>
      <x:c r="B171" s="6" t="str"/>
      <x:c r="C171" s="6" t="str"/>
      <x:c r="D171" s="6" t="str">
        <x:v>brand</x:v>
      </x:c>
      <x:c r="E171" s="6" t="str">
        <x:v>Retain differentiated role</x:v>
      </x:c>
      <x:c r="F171" s="6" t="str">
        <x:v>Local source render; live version unverified</x:v>
      </x:c>
      <x:c r="G171" s="6" t="str">
        <x:v>إصلاح وصيانة Bugatti في دبي | مركز ديجي-تك</x:v>
      </x:c>
      <x:c r="H171" s="6" t="str">
        <x:v>إصلاح وصيانة Bugatti في دبي | مركز ديجي-تك</x:v>
      </x:c>
      <x:c r="I171" s="6" t="str">
        <x:v>Bugatti للإصلاح والصيانة في دبي</x:v>
      </x:c>
      <x:c r="J171" s="6" t="str">
        <x:v>Bugatti للإصلاح والصيانة في دبي</x:v>
      </x:c>
      <x:c r="K171" s="6" t="str">
        <x:v>إصلاح وصيانة Bugatti في دبي: تشخيص وصيانة وفرامل وناقل حركة وتعليق وتكييف مع قطع بالمواصفات المناسبة لدى مركز ديجي-تك.</x:v>
      </x:c>
      <x:c r="L171" s="6" t="str">
        <x:v>Retain pending evidence; no specific content edit justified by this export.</x:v>
      </x:c>
      <x:c r="M171" s="6" t="str">
        <x:v>Retain; inspect relevant context before adding links</x:v>
      </x:c>
      <x:c r="N171" s="6" t="str">
        <x:v>Unconfirmed — no query/page pairing</x:v>
      </x:c>
      <x:c r="O171" s="6" t="str">
        <x:v>Retain established booking / WhatsApp / call path; live behaviour untested</x:v>
      </x:c>
      <x:c r="P171" s="6" t="str">
        <x:v>Retain canonical and indexation policy pending a live check.</x:v>
      </x:c>
      <x:c r="Q171" s="6" t="str">
        <x:v>Proposed; no website change made</x:v>
      </x:c>
      <x:c r="R171" s="14"/>
      <x:c r="S171" s="14"/>
      <x:c r="T171" s="15"/>
      <x:c r="U171" s="16"/>
      <x:c r="V171" s="6" t="str">
        <x:v>https://digitecme.com/ar/brands/bugatti-service-dubai</x:v>
      </x:c>
      <x:c r="W171" s="6" t="str">
        <x:v>Indexable directive</x:v>
      </x:c>
      <x:c r="X171" s="6" t="n">
        <x:v>71</x:v>
      </x:c>
      <x:c r="Y171" s="6" t="str">
        <x:v>إصلاح وصيانة Bugatti في دبي | مركز ديجي-تك</x:v>
      </x:c>
      <x:c r="Z171" s="6" t="str"/>
      <x:c r="AA171" s="6" t="str">
        <x:v>No / not compared</x:v>
      </x:c>
    </x:row>
    <x:row r="172" ht="42" customHeight="1">
      <x:c r="A172" s="6" t="str">
        <x:v>https://digitecme.com/ar/brands/bugatti-service-dubai/ac-repair</x:v>
      </x:c>
      <x:c r="B172" s="6" t="str"/>
      <x:c r="C172" s="6" t="str"/>
      <x:c r="D172" s="6" t="str">
        <x:v>brand-service</x:v>
      </x:c>
      <x:c r="E172" s="6" t="str">
        <x:v>Retain differentiated role</x:v>
      </x:c>
      <x:c r="F172" s="6" t="str">
        <x:v>Local source render; live version unverified</x:v>
      </x:c>
      <x:c r="G172" s="6" t="str">
        <x:v>إصلاح التكييف Bugatti في دبي | ديجي-تك</x:v>
      </x:c>
      <x:c r="H172" s="6" t="str">
        <x:v>إصلاح التكييف Bugatti في دبي | ديجي-تك</x:v>
      </x:c>
      <x:c r="I172" s="6" t="str">
        <x:v>إصلاح التكييف Bugatti في دبي</x:v>
      </x:c>
      <x:c r="J172" s="6" t="str">
        <x:v>إصلاح التكييف Bugatti في دبي</x:v>
      </x:c>
      <x:c r="K172" s="6" t="str">
        <x:v>إصلاح التكييف متخصص لسيارات Bugatti في دبي مع تشخيص متقدم وقطع مناسبة وتسعير واضح لدى مركز ديجي-تك.</x:v>
      </x:c>
      <x:c r="L172" s="6" t="str">
        <x:v>Retain pending evidence; no specific content edit justified by this export.</x:v>
      </x:c>
      <x:c r="M172" s="6" t="str">
        <x:v>Retain; inspect relevant context before adding links</x:v>
      </x:c>
      <x:c r="N172" s="6" t="str">
        <x:v>Unconfirmed — no query/page pairing</x:v>
      </x:c>
      <x:c r="O172" s="6" t="str">
        <x:v>Retain established booking / WhatsApp / call path; live behaviour untested</x:v>
      </x:c>
      <x:c r="P172" s="6" t="str">
        <x:v>Retain canonical and indexation policy pending a live check.</x:v>
      </x:c>
      <x:c r="Q172" s="6" t="str">
        <x:v>Proposed; no website change made</x:v>
      </x:c>
      <x:c r="R172" s="14"/>
      <x:c r="S172" s="14"/>
      <x:c r="T172" s="15"/>
      <x:c r="U172" s="16"/>
      <x:c r="V172" s="6" t="str">
        <x:v>https://digitecme.com/ar/brands/bugatti-service-dubai/ac-repair</x:v>
      </x:c>
      <x:c r="W172" s="6" t="str">
        <x:v>Indexable directive</x:v>
      </x:c>
      <x:c r="X172" s="6" t="n">
        <x:v>16</x:v>
      </x:c>
      <x:c r="Y172" s="6" t="str">
        <x:v>إصلاح التكييف Bugatti في دبي | ديجي-تك</x:v>
      </x:c>
      <x:c r="Z172" s="6" t="str"/>
      <x:c r="AA172" s="6" t="str">
        <x:v>No / not compared</x:v>
      </x:c>
    </x:row>
    <x:row r="173" ht="42" customHeight="1">
      <x:c r="A173" s="6" t="str">
        <x:v>https://digitecme.com/ar/brands/bugatti-service-dubai/battery-replacement</x:v>
      </x:c>
      <x:c r="B173" s="6" t="str"/>
      <x:c r="C173" s="6" t="str"/>
      <x:c r="D173" s="6" t="str">
        <x:v>brand-service</x:v>
      </x:c>
      <x:c r="E173" s="6" t="str">
        <x:v>Retain differentiated role</x:v>
      </x:c>
      <x:c r="F173" s="6" t="str">
        <x:v>Local source render; live version unverified</x:v>
      </x:c>
      <x:c r="G173" s="6" t="str">
        <x:v>تبديل البطارية Bugatti في دبي | ديجي-تك</x:v>
      </x:c>
      <x:c r="H173" s="6" t="str">
        <x:v>تبديل البطارية Bugatti في دبي | ديجي-تك</x:v>
      </x:c>
      <x:c r="I173" s="6" t="str">
        <x:v>تبديل البطارية Bugatti في دبي</x:v>
      </x:c>
      <x:c r="J173" s="6" t="str">
        <x:v>تبديل البطارية Bugatti في دبي</x:v>
      </x:c>
      <x:c r="K173" s="6" t="str">
        <x:v>تبديل البطارية متخصص لسيارات Bugatti في دبي مع تشخيص متقدم وقطع مناسبة وتسعير واضح لدى مركز ديجي-تك.</x:v>
      </x:c>
      <x:c r="L173" s="6" t="str">
        <x:v>Retain pending evidence; no specific content edit justified by this export.</x:v>
      </x:c>
      <x:c r="M173" s="6" t="str">
        <x:v>Retain; inspect relevant context before adding links</x:v>
      </x:c>
      <x:c r="N173" s="6" t="str">
        <x:v>Unconfirmed — no query/page pairing</x:v>
      </x:c>
      <x:c r="O173" s="6" t="str">
        <x:v>Retain established booking / WhatsApp / call path; live behaviour untested</x:v>
      </x:c>
      <x:c r="P173" s="6" t="str">
        <x:v>Retain canonical and indexation policy pending a live check.</x:v>
      </x:c>
      <x:c r="Q173" s="6" t="str">
        <x:v>Proposed; no website change made</x:v>
      </x:c>
      <x:c r="R173" s="14"/>
      <x:c r="S173" s="14"/>
      <x:c r="T173" s="15"/>
      <x:c r="U173" s="16"/>
      <x:c r="V173" s="6" t="str">
        <x:v>https://digitecme.com/ar/brands/bugatti-service-dubai/battery-replacement</x:v>
      </x:c>
      <x:c r="W173" s="6" t="str">
        <x:v>Noindex directive</x:v>
      </x:c>
      <x:c r="X173" s="6" t="n">
        <x:v>16</x:v>
      </x:c>
      <x:c r="Y173" s="6" t="str">
        <x:v>تبديل البطارية Bugatti في دبي | ديجي-تك</x:v>
      </x:c>
      <x:c r="Z173" s="6" t="str"/>
      <x:c r="AA173" s="6" t="str">
        <x:v>No / not compared</x:v>
      </x:c>
    </x:row>
    <x:row r="174" ht="42" customHeight="1">
      <x:c r="A174" s="6" t="str">
        <x:v>https://digitecme.com/ar/brands/bugatti-service-dubai/body-repair</x:v>
      </x:c>
      <x:c r="B174" s="6" t="str"/>
      <x:c r="C174" s="6" t="str"/>
      <x:c r="D174" s="6" t="str">
        <x:v>brand-service</x:v>
      </x:c>
      <x:c r="E174" s="6" t="str">
        <x:v>Retain differentiated role</x:v>
      </x:c>
      <x:c r="F174" s="6" t="str">
        <x:v>Local source render; live version unverified</x:v>
      </x:c>
      <x:c r="G174" s="6" t="str">
        <x:v>إصلاح الهيكل Bugatti في دبي | ديجي-تك</x:v>
      </x:c>
      <x:c r="H174" s="6" t="str">
        <x:v>إصلاح الهيكل Bugatti في دبي | ديجي-تك</x:v>
      </x:c>
      <x:c r="I174" s="6" t="str">
        <x:v>إصلاح الهيكل Bugatti في دبي</x:v>
      </x:c>
      <x:c r="J174" s="6" t="str">
        <x:v>إصلاح الهيكل Bugatti في دبي</x:v>
      </x:c>
      <x:c r="K174" s="6" t="str">
        <x:v>إصلاح الهيكل متخصص لسيارات Bugatti في دبي مع تشخيص متقدم وقطع مناسبة وتسعير واضح لدى مركز ديجي-تك.</x:v>
      </x:c>
      <x:c r="L174" s="6" t="str">
        <x:v>Retain pending evidence; no specific content edit justified by this export.</x:v>
      </x:c>
      <x:c r="M174" s="6" t="str">
        <x:v>Retain; inspect relevant context before adding links</x:v>
      </x:c>
      <x:c r="N174" s="6" t="str">
        <x:v>Unconfirmed — no query/page pairing</x:v>
      </x:c>
      <x:c r="O174" s="6" t="str">
        <x:v>Retain established booking / WhatsApp / call path; live behaviour untested</x:v>
      </x:c>
      <x:c r="P174" s="6" t="str">
        <x:v>Retain canonical and indexation policy pending a live check.</x:v>
      </x:c>
      <x:c r="Q174" s="6" t="str">
        <x:v>Proposed; no website change made</x:v>
      </x:c>
      <x:c r="R174" s="14"/>
      <x:c r="S174" s="14"/>
      <x:c r="T174" s="15"/>
      <x:c r="U174" s="16"/>
      <x:c r="V174" s="6" t="str">
        <x:v>https://digitecme.com/ar/brands/bugatti-service-dubai/body-repair</x:v>
      </x:c>
      <x:c r="W174" s="6" t="str">
        <x:v>Noindex directive</x:v>
      </x:c>
      <x:c r="X174" s="6" t="n">
        <x:v>16</x:v>
      </x:c>
      <x:c r="Y174" s="6" t="str">
        <x:v>إصلاح الهيكل Bugatti في دبي | ديجي-تك</x:v>
      </x:c>
      <x:c r="Z174" s="6" t="str"/>
      <x:c r="AA174" s="6" t="str">
        <x:v>No / not compared</x:v>
      </x:c>
    </x:row>
    <x:row r="175" ht="42" customHeight="1">
      <x:c r="A175" s="6" t="str">
        <x:v>https://digitecme.com/ar/brands/bugatti-service-dubai/brake-repair</x:v>
      </x:c>
      <x:c r="B175" s="6" t="str"/>
      <x:c r="C175" s="6" t="str"/>
      <x:c r="D175" s="6" t="str">
        <x:v>brand-service</x:v>
      </x:c>
      <x:c r="E175" s="6" t="str">
        <x:v>Retain differentiated role</x:v>
      </x:c>
      <x:c r="F175" s="6" t="str">
        <x:v>Local source render; live version unverified</x:v>
      </x:c>
      <x:c r="G175" s="6" t="str">
        <x:v>إصلاح الفرامل Bugatti في دبي | ديجي-تك</x:v>
      </x:c>
      <x:c r="H175" s="6" t="str">
        <x:v>إصلاح الفرامل Bugatti في دبي | ديجي-تك</x:v>
      </x:c>
      <x:c r="I175" s="6" t="str">
        <x:v>إصلاح الفرامل Bugatti في دبي</x:v>
      </x:c>
      <x:c r="J175" s="6" t="str">
        <x:v>إصلاح الفرامل Bugatti في دبي</x:v>
      </x:c>
      <x:c r="K175" s="6" t="str">
        <x:v>إصلاح الفرامل متخصص لسيارات Bugatti في دبي مع تشخيص متقدم وقطع مناسبة وتسعير واضح لدى مركز ديجي-تك.</x:v>
      </x:c>
      <x:c r="L175" s="6" t="str">
        <x:v>Retain pending evidence; no specific content edit justified by this export.</x:v>
      </x:c>
      <x:c r="M175" s="6" t="str">
        <x:v>Retain; inspect relevant context before adding links</x:v>
      </x:c>
      <x:c r="N175" s="6" t="str">
        <x:v>Unconfirmed — no query/page pairing</x:v>
      </x:c>
      <x:c r="O175" s="6" t="str">
        <x:v>Retain established booking / WhatsApp / call path; live behaviour untested</x:v>
      </x:c>
      <x:c r="P175" s="6" t="str">
        <x:v>Retain canonical and indexation policy pending a live check.</x:v>
      </x:c>
      <x:c r="Q175" s="6" t="str">
        <x:v>Proposed; no website change made</x:v>
      </x:c>
      <x:c r="R175" s="14"/>
      <x:c r="S175" s="14"/>
      <x:c r="T175" s="15"/>
      <x:c r="U175" s="16"/>
      <x:c r="V175" s="6" t="str">
        <x:v>https://digitecme.com/ar/brands/bugatti-service-dubai/brake-repair</x:v>
      </x:c>
      <x:c r="W175" s="6" t="str">
        <x:v>Indexable directive</x:v>
      </x:c>
      <x:c r="X175" s="6" t="n">
        <x:v>16</x:v>
      </x:c>
      <x:c r="Y175" s="6" t="str">
        <x:v>إصلاح الفرامل Bugatti في دبي | ديجي-تك</x:v>
      </x:c>
      <x:c r="Z175" s="6" t="str"/>
      <x:c r="AA175" s="6" t="str">
        <x:v>No / not compared</x:v>
      </x:c>
    </x:row>
    <x:row r="176" ht="42" customHeight="1">
      <x:c r="A176" s="6" t="str">
        <x:v>https://digitecme.com/ar/brands/bugatti-service-dubai/electrical-repair</x:v>
      </x:c>
      <x:c r="B176" s="6" t="str"/>
      <x:c r="C176" s="6" t="str"/>
      <x:c r="D176" s="6" t="str">
        <x:v>brand-service</x:v>
      </x:c>
      <x:c r="E176" s="6" t="str">
        <x:v>Retain differentiated role</x:v>
      </x:c>
      <x:c r="F176" s="6" t="str">
        <x:v>Local source render; live version unverified</x:v>
      </x:c>
      <x:c r="G176" s="6" t="str">
        <x:v>إصلاح الكهرباء Bugatti في دبي | ديجي-تك</x:v>
      </x:c>
      <x:c r="H176" s="6" t="str">
        <x:v>إصلاح الكهرباء Bugatti في دبي | ديجي-تك</x:v>
      </x:c>
      <x:c r="I176" s="6" t="str">
        <x:v>إصلاح الكهرباء Bugatti في دبي</x:v>
      </x:c>
      <x:c r="J176" s="6" t="str">
        <x:v>إصلاح الكهرباء Bugatti في دبي</x:v>
      </x:c>
      <x:c r="K176" s="6" t="str">
        <x:v>إصلاح الكهرباء متخصص لسيارات Bugatti في دبي مع تشخيص متقدم وقطع مناسبة وتسعير واضح لدى مركز ديجي-تك.</x:v>
      </x:c>
      <x:c r="L176" s="6" t="str">
        <x:v>Retain pending evidence; no specific content edit justified by this export.</x:v>
      </x:c>
      <x:c r="M176" s="6" t="str">
        <x:v>Retain; inspect relevant context before adding links</x:v>
      </x:c>
      <x:c r="N176" s="6" t="str">
        <x:v>Unconfirmed — no query/page pairing</x:v>
      </x:c>
      <x:c r="O176" s="6" t="str">
        <x:v>Retain established booking / WhatsApp / call path; live behaviour untested</x:v>
      </x:c>
      <x:c r="P176" s="6" t="str">
        <x:v>Retain canonical and indexation policy pending a live check.</x:v>
      </x:c>
      <x:c r="Q176" s="6" t="str">
        <x:v>Proposed; no website change made</x:v>
      </x:c>
      <x:c r="R176" s="14"/>
      <x:c r="S176" s="14"/>
      <x:c r="T176" s="15"/>
      <x:c r="U176" s="16"/>
      <x:c r="V176" s="6" t="str">
        <x:v>https://digitecme.com/ar/brands/bugatti-service-dubai/electrical-repair</x:v>
      </x:c>
      <x:c r="W176" s="6" t="str">
        <x:v>Noindex directive</x:v>
      </x:c>
      <x:c r="X176" s="6" t="n">
        <x:v>16</x:v>
      </x:c>
      <x:c r="Y176" s="6" t="str">
        <x:v>إصلاح الكهرباء Bugatti في دبي | ديجي-تك</x:v>
      </x:c>
      <x:c r="Z176" s="6" t="str"/>
      <x:c r="AA176" s="6" t="str">
        <x:v>No / not compared</x:v>
      </x:c>
    </x:row>
    <x:row r="177" ht="42" customHeight="1">
      <x:c r="A177" s="6" t="str">
        <x:v>https://digitecme.com/ar/brands/bugatti-service-dubai/engine-diagnostics</x:v>
      </x:c>
      <x:c r="B177" s="6" t="str"/>
      <x:c r="C177" s="6" t="str"/>
      <x:c r="D177" s="6" t="str">
        <x:v>brand-service</x:v>
      </x:c>
      <x:c r="E177" s="6" t="str">
        <x:v>Retain differentiated role</x:v>
      </x:c>
      <x:c r="F177" s="6" t="str">
        <x:v>Local source render; live version unverified</x:v>
      </x:c>
      <x:c r="G177" s="6" t="str">
        <x:v>تشخيص المحرك Bugatti في دبي | ديجي-تك</x:v>
      </x:c>
      <x:c r="H177" s="6" t="str">
        <x:v>تشخيص المحرك Bugatti في دبي | ديجي-تك</x:v>
      </x:c>
      <x:c r="I177" s="6" t="str">
        <x:v>تشخيص المحرك Bugatti في دبي</x:v>
      </x:c>
      <x:c r="J177" s="6" t="str">
        <x:v>تشخيص المحرك Bugatti في دبي</x:v>
      </x:c>
      <x:c r="K177" s="6" t="str">
        <x:v>تشخيص المحرك متخصص لسيارات Bugatti في دبي مع تشخيص متقدم وقطع مناسبة وتسعير واضح لدى مركز ديجي-تك.</x:v>
      </x:c>
      <x:c r="L177" s="6" t="str">
        <x:v>Retain pending evidence; no specific content edit justified by this export.</x:v>
      </x:c>
      <x:c r="M177" s="6" t="str">
        <x:v>Retain; inspect relevant context before adding links</x:v>
      </x:c>
      <x:c r="N177" s="6" t="str">
        <x:v>Unconfirmed — no query/page pairing</x:v>
      </x:c>
      <x:c r="O177" s="6" t="str">
        <x:v>Retain established booking / WhatsApp / call path; live behaviour untested</x:v>
      </x:c>
      <x:c r="P177" s="6" t="str">
        <x:v>Retain canonical and indexation policy pending a live check.</x:v>
      </x:c>
      <x:c r="Q177" s="6" t="str">
        <x:v>Proposed; no website change made</x:v>
      </x:c>
      <x:c r="R177" s="14"/>
      <x:c r="S177" s="14"/>
      <x:c r="T177" s="15"/>
      <x:c r="U177" s="16"/>
      <x:c r="V177" s="6" t="str">
        <x:v>https://digitecme.com/ar/brands/bugatti-service-dubai/engine-diagnostics</x:v>
      </x:c>
      <x:c r="W177" s="6" t="str">
        <x:v>Indexable directive</x:v>
      </x:c>
      <x:c r="X177" s="6" t="n">
        <x:v>16</x:v>
      </x:c>
      <x:c r="Y177" s="6" t="str">
        <x:v>تشخيص المحرك Bugatti في دبي | ديجي-تك</x:v>
      </x:c>
      <x:c r="Z177" s="6" t="str"/>
      <x:c r="AA177" s="6" t="str">
        <x:v>No / not compared</x:v>
      </x:c>
    </x:row>
    <x:row r="178" ht="42" customHeight="1">
      <x:c r="A178" s="6" t="str">
        <x:v>https://digitecme.com/ar/brands/bugatti-service-dubai/exhaust-repair</x:v>
      </x:c>
      <x:c r="B178" s="6" t="str"/>
      <x:c r="C178" s="6" t="str"/>
      <x:c r="D178" s="6" t="str">
        <x:v>brand-service</x:v>
      </x:c>
      <x:c r="E178" s="6" t="str">
        <x:v>Retain differentiated role</x:v>
      </x:c>
      <x:c r="F178" s="6" t="str">
        <x:v>Local source render; live version unverified</x:v>
      </x:c>
      <x:c r="G178" s="6" t="str">
        <x:v>إصلاح العادم Bugatti في دبي | ديجي-تك</x:v>
      </x:c>
      <x:c r="H178" s="6" t="str">
        <x:v>إصلاح العادم Bugatti في دبي | ديجي-تك</x:v>
      </x:c>
      <x:c r="I178" s="6" t="str">
        <x:v>إصلاح العادم Bugatti في دبي</x:v>
      </x:c>
      <x:c r="J178" s="6" t="str">
        <x:v>إصلاح العادم Bugatti في دبي</x:v>
      </x:c>
      <x:c r="K178" s="6" t="str">
        <x:v>إصلاح العادم متخصص لسيارات Bugatti في دبي مع تشخيص متقدم وقطع مناسبة وتسعير واضح لدى مركز ديجي-تك.</x:v>
      </x:c>
      <x:c r="L178" s="6" t="str">
        <x:v>Retain pending evidence; no specific content edit justified by this export.</x:v>
      </x:c>
      <x:c r="M178" s="6" t="str">
        <x:v>Retain; inspect relevant context before adding links</x:v>
      </x:c>
      <x:c r="N178" s="6" t="str">
        <x:v>Unconfirmed — no query/page pairing</x:v>
      </x:c>
      <x:c r="O178" s="6" t="str">
        <x:v>Retain established booking / WhatsApp / call path; live behaviour untested</x:v>
      </x:c>
      <x:c r="P178" s="6" t="str">
        <x:v>Retain canonical and indexation policy pending a live check.</x:v>
      </x:c>
      <x:c r="Q178" s="6" t="str">
        <x:v>Proposed; no website change made</x:v>
      </x:c>
      <x:c r="R178" s="14"/>
      <x:c r="S178" s="14"/>
      <x:c r="T178" s="15"/>
      <x:c r="U178" s="16"/>
      <x:c r="V178" s="6" t="str">
        <x:v>https://digitecme.com/ar/brands/bugatti-service-dubai/exhaust-repair</x:v>
      </x:c>
      <x:c r="W178" s="6" t="str">
        <x:v>Noindex directive</x:v>
      </x:c>
      <x:c r="X178" s="6" t="n">
        <x:v>16</x:v>
      </x:c>
      <x:c r="Y178" s="6" t="str">
        <x:v>إصلاح العادم Bugatti في دبي | ديجي-تك</x:v>
      </x:c>
      <x:c r="Z178" s="6" t="str"/>
      <x:c r="AA178" s="6" t="str">
        <x:v>No / not compared</x:v>
      </x:c>
    </x:row>
    <x:row r="179" ht="42" customHeight="1">
      <x:c r="A179" s="6" t="str">
        <x:v>https://digitecme.com/ar/brands/bugatti-service-dubai/fuel-system-repair</x:v>
      </x:c>
      <x:c r="B179" s="6" t="str"/>
      <x:c r="C179" s="6" t="str"/>
      <x:c r="D179" s="6" t="str">
        <x:v>brand-service</x:v>
      </x:c>
      <x:c r="E179" s="6" t="str">
        <x:v>Retain differentiated role</x:v>
      </x:c>
      <x:c r="F179" s="6" t="str">
        <x:v>Local source render; live version unverified</x:v>
      </x:c>
      <x:c r="G179" s="6" t="str">
        <x:v>إصلاح نظام الوقود Bugatti في دبي | ديجي-تك</x:v>
      </x:c>
      <x:c r="H179" s="6" t="str">
        <x:v>إصلاح نظام الوقود Bugatti في دبي | ديجي-تك</x:v>
      </x:c>
      <x:c r="I179" s="6" t="str">
        <x:v>إصلاح نظام الوقود Bugatti في دبي</x:v>
      </x:c>
      <x:c r="J179" s="6" t="str">
        <x:v>إصلاح نظام الوقود Bugatti في دبي</x:v>
      </x:c>
      <x:c r="K179" s="6" t="str">
        <x:v>إصلاح نظام الوقود متخصص لسيارات Bugatti في دبي مع تشخيص متقدم وقطع مناسبة وتسعير واضح لدى مركز ديجي-تك.</x:v>
      </x:c>
      <x:c r="L179" s="6" t="str">
        <x:v>Retain pending evidence; no specific content edit justified by this export.</x:v>
      </x:c>
      <x:c r="M179" s="6" t="str">
        <x:v>Retain; inspect relevant context before adding links</x:v>
      </x:c>
      <x:c r="N179" s="6" t="str">
        <x:v>Unconfirmed — no query/page pairing</x:v>
      </x:c>
      <x:c r="O179" s="6" t="str">
        <x:v>Retain established booking / WhatsApp / call path; live behaviour untested</x:v>
      </x:c>
      <x:c r="P179" s="6" t="str">
        <x:v>Retain canonical and indexation policy pending a live check.</x:v>
      </x:c>
      <x:c r="Q179" s="6" t="str">
        <x:v>Proposed; no website change made</x:v>
      </x:c>
      <x:c r="R179" s="14"/>
      <x:c r="S179" s="14"/>
      <x:c r="T179" s="15"/>
      <x:c r="U179" s="16"/>
      <x:c r="V179" s="6" t="str">
        <x:v>https://digitecme.com/ar/brands/bugatti-service-dubai/fuel-system-repair</x:v>
      </x:c>
      <x:c r="W179" s="6" t="str">
        <x:v>Noindex directive</x:v>
      </x:c>
      <x:c r="X179" s="6" t="n">
        <x:v>16</x:v>
      </x:c>
      <x:c r="Y179" s="6" t="str">
        <x:v>إصلاح نظام الوقود Bugatti في دبي | ديجي-تك</x:v>
      </x:c>
      <x:c r="Z179" s="6" t="str"/>
      <x:c r="AA179" s="6" t="str">
        <x:v>No / not compared</x:v>
      </x:c>
    </x:row>
    <x:row r="180" ht="42" customHeight="1">
      <x:c r="A180" s="6" t="str">
        <x:v>https://digitecme.com/ar/brands/bugatti-service-dubai/mechanical-repair</x:v>
      </x:c>
      <x:c r="B180" s="6" t="str"/>
      <x:c r="C180" s="6" t="str"/>
      <x:c r="D180" s="6" t="str">
        <x:v>brand-service</x:v>
      </x:c>
      <x:c r="E180" s="6" t="str">
        <x:v>Retain differentiated role</x:v>
      </x:c>
      <x:c r="F180" s="6" t="str">
        <x:v>Local source render; live version unverified</x:v>
      </x:c>
      <x:c r="G180" s="6" t="str">
        <x:v>الإصلاح الميكانيكي Bugatti في دبي | ديجي-تك</x:v>
      </x:c>
      <x:c r="H180" s="6" t="str">
        <x:v>الإصلاح الميكانيكي Bugatti في دبي | ديجي-تك</x:v>
      </x:c>
      <x:c r="I180" s="6" t="str">
        <x:v>الإصلاح الميكانيكي Bugatti في دبي</x:v>
      </x:c>
      <x:c r="J180" s="6" t="str">
        <x:v>الإصلاح الميكانيكي Bugatti في دبي</x:v>
      </x:c>
      <x:c r="K180" s="6" t="str">
        <x:v>الإصلاح الميكانيكي متخصص لسيارات Bugatti في دبي مع تشخيص متقدم وقطع مناسبة وتسعير واضح لدى مركز ديجي-تك.</x:v>
      </x:c>
      <x:c r="L180" s="6" t="str">
        <x:v>Retain pending evidence; no specific content edit justified by this export.</x:v>
      </x:c>
      <x:c r="M180" s="6" t="str">
        <x:v>Retain; inspect relevant context before adding links</x:v>
      </x:c>
      <x:c r="N180" s="6" t="str">
        <x:v>Unconfirmed — no query/page pairing</x:v>
      </x:c>
      <x:c r="O180" s="6" t="str">
        <x:v>Retain established booking / WhatsApp / call path; live behaviour untested</x:v>
      </x:c>
      <x:c r="P180" s="6" t="str">
        <x:v>Retain canonical and indexation policy pending a live check.</x:v>
      </x:c>
      <x:c r="Q180" s="6" t="str">
        <x:v>Proposed; no website change made</x:v>
      </x:c>
      <x:c r="R180" s="14"/>
      <x:c r="S180" s="14"/>
      <x:c r="T180" s="15"/>
      <x:c r="U180" s="16"/>
      <x:c r="V180" s="6" t="str">
        <x:v>https://digitecme.com/ar/brands/bugatti-service-dubai/mechanical-repair</x:v>
      </x:c>
      <x:c r="W180" s="6" t="str">
        <x:v>Noindex directive</x:v>
      </x:c>
      <x:c r="X180" s="6" t="n">
        <x:v>16</x:v>
      </x:c>
      <x:c r="Y180" s="6" t="str">
        <x:v>الإصلاح الميكانيكي Bugatti في دبي | ديجي-تك</x:v>
      </x:c>
      <x:c r="Z180" s="6" t="str"/>
      <x:c r="AA180" s="6" t="str">
        <x:v>No / not compared</x:v>
      </x:c>
    </x:row>
    <x:row r="181" ht="42" customHeight="1">
      <x:c r="A181" s="6" t="str">
        <x:v>https://digitecme.com/ar/brands/bugatti-service-dubai/oil-change</x:v>
      </x:c>
      <x:c r="B181" s="6" t="str"/>
      <x:c r="C181" s="6" t="str"/>
      <x:c r="D181" s="6" t="str">
        <x:v>brand-service</x:v>
      </x:c>
      <x:c r="E181" s="6" t="str">
        <x:v>Retain differentiated role</x:v>
      </x:c>
      <x:c r="F181" s="6" t="str">
        <x:v>Local source render; live version unverified</x:v>
      </x:c>
      <x:c r="G181" s="6" t="str">
        <x:v>تغيير الزيت Bugatti في دبي | ديجي-تك</x:v>
      </x:c>
      <x:c r="H181" s="6" t="str">
        <x:v>تغيير الزيت Bugatti في دبي | ديجي-تك</x:v>
      </x:c>
      <x:c r="I181" s="6" t="str">
        <x:v>تغيير الزيت Bugatti في دبي</x:v>
      </x:c>
      <x:c r="J181" s="6" t="str">
        <x:v>تغيير الزيت Bugatti في دبي</x:v>
      </x:c>
      <x:c r="K181" s="6" t="str">
        <x:v>تغيير الزيت متخصص لسيارات Bugatti في دبي مع تشخيص متقدم وقطع مناسبة وتسعير واضح لدى مركز ديجي-تك.</x:v>
      </x:c>
      <x:c r="L181" s="6" t="str">
        <x:v>Retain pending evidence; no specific content edit justified by this export.</x:v>
      </x:c>
      <x:c r="M181" s="6" t="str">
        <x:v>Retain; inspect relevant context before adding links</x:v>
      </x:c>
      <x:c r="N181" s="6" t="str">
        <x:v>Unconfirmed — no query/page pairing</x:v>
      </x:c>
      <x:c r="O181" s="6" t="str">
        <x:v>Retain established booking / WhatsApp / call path; live behaviour untested</x:v>
      </x:c>
      <x:c r="P181" s="6" t="str">
        <x:v>Retain canonical and indexation policy pending a live check.</x:v>
      </x:c>
      <x:c r="Q181" s="6" t="str">
        <x:v>Proposed; no website change made</x:v>
      </x:c>
      <x:c r="R181" s="14" t="n">
        <x:v>0</x:v>
      </x:c>
      <x:c r="S181" s="14" t="n">
        <x:v>4</x:v>
      </x:c>
      <x:c r="T181" s="15" t="n">
        <x:v>0</x:v>
      </x:c>
      <x:c r="U181" s="16" t="n">
        <x:v>5.25</x:v>
      </x:c>
      <x:c r="V181" s="6" t="str">
        <x:v>https://digitecme.com/ar/brands/bugatti-service-dubai/oil-change</x:v>
      </x:c>
      <x:c r="W181" s="6" t="str">
        <x:v>Indexable directive</x:v>
      </x:c>
      <x:c r="X181" s="6" t="n">
        <x:v>16</x:v>
      </x:c>
      <x:c r="Y181" s="6" t="str">
        <x:v>تغيير الزيت Bugatti في دبي | ديجي-تك</x:v>
      </x:c>
      <x:c r="Z181" s="6" t="str"/>
      <x:c r="AA181" s="6" t="str">
        <x:v>No / not compared</x:v>
      </x:c>
    </x:row>
    <x:row r="182" ht="42" customHeight="1">
      <x:c r="A182" s="6" t="str">
        <x:v>https://digitecme.com/ar/brands/bugatti-service-dubai/steering-repair</x:v>
      </x:c>
      <x:c r="B182" s="6" t="str"/>
      <x:c r="C182" s="6" t="str"/>
      <x:c r="D182" s="6" t="str">
        <x:v>brand-service</x:v>
      </x:c>
      <x:c r="E182" s="6" t="str">
        <x:v>Retain differentiated role</x:v>
      </x:c>
      <x:c r="F182" s="6" t="str">
        <x:v>Local source render; live version unverified</x:v>
      </x:c>
      <x:c r="G182" s="6" t="str">
        <x:v>إصلاح نظام التوجيه Bugatti في دبي | ديجي-تك</x:v>
      </x:c>
      <x:c r="H182" s="6" t="str">
        <x:v>إصلاح نظام التوجيه Bugatti في دبي | ديجي-تك</x:v>
      </x:c>
      <x:c r="I182" s="6" t="str">
        <x:v>إصلاح نظام التوجيه Bugatti في دبي</x:v>
      </x:c>
      <x:c r="J182" s="6" t="str">
        <x:v>إصلاح نظام التوجيه Bugatti في دبي</x:v>
      </x:c>
      <x:c r="K182" s="6" t="str">
        <x:v>إصلاح نظام التوجيه متخصص لسيارات Bugatti في دبي مع تشخيص متقدم وقطع مناسبة وتسعير واضح لدى مركز ديجي-تك.</x:v>
      </x:c>
      <x:c r="L182" s="6" t="str">
        <x:v>Retain pending evidence; no specific content edit justified by this export.</x:v>
      </x:c>
      <x:c r="M182" s="6" t="str">
        <x:v>Retain; inspect relevant context before adding links</x:v>
      </x:c>
      <x:c r="N182" s="6" t="str">
        <x:v>Unconfirmed — no query/page pairing</x:v>
      </x:c>
      <x:c r="O182" s="6" t="str">
        <x:v>Retain established booking / WhatsApp / call path; live behaviour untested</x:v>
      </x:c>
      <x:c r="P182" s="6" t="str">
        <x:v>Retain canonical and indexation policy pending a live check.</x:v>
      </x:c>
      <x:c r="Q182" s="6" t="str">
        <x:v>Proposed; no website change made</x:v>
      </x:c>
      <x:c r="R182" s="14"/>
      <x:c r="S182" s="14"/>
      <x:c r="T182" s="15"/>
      <x:c r="U182" s="16"/>
      <x:c r="V182" s="6" t="str">
        <x:v>https://digitecme.com/ar/brands/bugatti-service-dubai/steering-repair</x:v>
      </x:c>
      <x:c r="W182" s="6" t="str">
        <x:v>Noindex directive</x:v>
      </x:c>
      <x:c r="X182" s="6" t="n">
        <x:v>16</x:v>
      </x:c>
      <x:c r="Y182" s="6" t="str">
        <x:v>إصلاح نظام التوجيه Bugatti في دبي | ديجي-تك</x:v>
      </x:c>
      <x:c r="Z182" s="6" t="str"/>
      <x:c r="AA182" s="6" t="str">
        <x:v>No / not compared</x:v>
      </x:c>
    </x:row>
    <x:row r="183" ht="42" customHeight="1">
      <x:c r="A183" s="6" t="str">
        <x:v>https://digitecme.com/ar/brands/bugatti-service-dubai/suspension-repair</x:v>
      </x:c>
      <x:c r="B183" s="6" t="str"/>
      <x:c r="C183" s="6" t="str"/>
      <x:c r="D183" s="6" t="str">
        <x:v>brand-service</x:v>
      </x:c>
      <x:c r="E183" s="6" t="str">
        <x:v>Retain differentiated role</x:v>
      </x:c>
      <x:c r="F183" s="6" t="str">
        <x:v>Local source render; live version unverified</x:v>
      </x:c>
      <x:c r="G183" s="6" t="str">
        <x:v>إصلاح التعليق Bugatti في دبي | ديجي-تك</x:v>
      </x:c>
      <x:c r="H183" s="6" t="str">
        <x:v>إصلاح التعليق Bugatti في دبي | ديجي-تك</x:v>
      </x:c>
      <x:c r="I183" s="6" t="str">
        <x:v>إصلاح التعليق Bugatti في دبي</x:v>
      </x:c>
      <x:c r="J183" s="6" t="str">
        <x:v>إصلاح التعليق Bugatti في دبي</x:v>
      </x:c>
      <x:c r="K183" s="6" t="str">
        <x:v>إصلاح التعليق متخصص لسيارات Bugatti في دبي مع تشخيص متقدم وقطع مناسبة وتسعير واضح لدى مركز ديجي-تك.</x:v>
      </x:c>
      <x:c r="L183" s="6" t="str">
        <x:v>Retain pending evidence; no specific content edit justified by this export.</x:v>
      </x:c>
      <x:c r="M183" s="6" t="str">
        <x:v>Retain; inspect relevant context before adding links</x:v>
      </x:c>
      <x:c r="N183" s="6" t="str">
        <x:v>Unconfirmed — no query/page pairing</x:v>
      </x:c>
      <x:c r="O183" s="6" t="str">
        <x:v>Retain established booking / WhatsApp / call path; live behaviour untested</x:v>
      </x:c>
      <x:c r="P183" s="6" t="str">
        <x:v>Retain canonical and indexation policy pending a live check.</x:v>
      </x:c>
      <x:c r="Q183" s="6" t="str">
        <x:v>Proposed; no website change made</x:v>
      </x:c>
      <x:c r="R183" s="14"/>
      <x:c r="S183" s="14"/>
      <x:c r="T183" s="15"/>
      <x:c r="U183" s="16"/>
      <x:c r="V183" s="6" t="str">
        <x:v>https://digitecme.com/ar/brands/bugatti-service-dubai/suspension-repair</x:v>
      </x:c>
      <x:c r="W183" s="6" t="str">
        <x:v>Noindex directive</x:v>
      </x:c>
      <x:c r="X183" s="6" t="n">
        <x:v>16</x:v>
      </x:c>
      <x:c r="Y183" s="6" t="str">
        <x:v>إصلاح التعليق Bugatti في دبي | ديجي-تك</x:v>
      </x:c>
      <x:c r="Z183" s="6" t="str"/>
      <x:c r="AA183" s="6" t="str">
        <x:v>No / not compared</x:v>
      </x:c>
    </x:row>
    <x:row r="184" ht="42" customHeight="1">
      <x:c r="A184" s="6" t="str">
        <x:v>https://digitecme.com/ar/brands/bugatti-service-dubai/tire-repair</x:v>
      </x:c>
      <x:c r="B184" s="6" t="str"/>
      <x:c r="C184" s="6" t="str"/>
      <x:c r="D184" s="6" t="str">
        <x:v>brand-service</x:v>
      </x:c>
      <x:c r="E184" s="6" t="str">
        <x:v>Retain differentiated role</x:v>
      </x:c>
      <x:c r="F184" s="6" t="str">
        <x:v>Local source render; live version unverified</x:v>
      </x:c>
      <x:c r="G184" s="6" t="str">
        <x:v>إصلاح الإطارات Bugatti في دبي | ديجي-تك</x:v>
      </x:c>
      <x:c r="H184" s="6" t="str">
        <x:v>إصلاح الإطارات Bugatti في دبي | ديجي-تك</x:v>
      </x:c>
      <x:c r="I184" s="6" t="str">
        <x:v>إصلاح الإطارات Bugatti في دبي</x:v>
      </x:c>
      <x:c r="J184" s="6" t="str">
        <x:v>إصلاح الإطارات Bugatti في دبي</x:v>
      </x:c>
      <x:c r="K184" s="6" t="str">
        <x:v>إصلاح الإطارات متخصص لسيارات Bugatti في دبي مع تشخيص متقدم وقطع مناسبة وتسعير واضح لدى مركز ديجي-تك.</x:v>
      </x:c>
      <x:c r="L184" s="6" t="str">
        <x:v>Retain pending evidence; no specific content edit justified by this export.</x:v>
      </x:c>
      <x:c r="M184" s="6" t="str">
        <x:v>Retain; inspect relevant context before adding links</x:v>
      </x:c>
      <x:c r="N184" s="6" t="str">
        <x:v>Unconfirmed — no query/page pairing</x:v>
      </x:c>
      <x:c r="O184" s="6" t="str">
        <x:v>Retain established booking / WhatsApp / call path; live behaviour untested</x:v>
      </x:c>
      <x:c r="P184" s="6" t="str">
        <x:v>Retain canonical and indexation policy pending a live check.</x:v>
      </x:c>
      <x:c r="Q184" s="6" t="str">
        <x:v>Proposed; no website change made</x:v>
      </x:c>
      <x:c r="R184" s="14"/>
      <x:c r="S184" s="14"/>
      <x:c r="T184" s="15"/>
      <x:c r="U184" s="16"/>
      <x:c r="V184" s="6" t="str">
        <x:v>https://digitecme.com/ar/brands/bugatti-service-dubai/tire-repair</x:v>
      </x:c>
      <x:c r="W184" s="6" t="str">
        <x:v>Noindex directive</x:v>
      </x:c>
      <x:c r="X184" s="6" t="n">
        <x:v>16</x:v>
      </x:c>
      <x:c r="Y184" s="6" t="str">
        <x:v>إصلاح الإطارات Bugatti في دبي | ديجي-تك</x:v>
      </x:c>
      <x:c r="Z184" s="6" t="str"/>
      <x:c r="AA184" s="6" t="str">
        <x:v>No / not compared</x:v>
      </x:c>
    </x:row>
    <x:row r="185" ht="42" customHeight="1">
      <x:c r="A185" s="6" t="str">
        <x:v>https://digitecme.com/ar/brands/bugatti-service-dubai/transmission-repair</x:v>
      </x:c>
      <x:c r="B185" s="6" t="str"/>
      <x:c r="C185" s="6" t="str"/>
      <x:c r="D185" s="6" t="str">
        <x:v>brand-service</x:v>
      </x:c>
      <x:c r="E185" s="6" t="str">
        <x:v>Retain differentiated role</x:v>
      </x:c>
      <x:c r="F185" s="6" t="str">
        <x:v>Local source render; live version unverified</x:v>
      </x:c>
      <x:c r="G185" s="6" t="str">
        <x:v>إصلاح ناقل الحركة Bugatti في دبي | ديجي-تك</x:v>
      </x:c>
      <x:c r="H185" s="6" t="str">
        <x:v>إصلاح ناقل الحركة Bugatti في دبي | ديجي-تك</x:v>
      </x:c>
      <x:c r="I185" s="6" t="str">
        <x:v>إصلاح ناقل الحركة Bugatti في دبي</x:v>
      </x:c>
      <x:c r="J185" s="6" t="str">
        <x:v>إصلاح ناقل الحركة Bugatti في دبي</x:v>
      </x:c>
      <x:c r="K185" s="6" t="str">
        <x:v>إصلاح ناقل الحركة متخصص لسيارات Bugatti في دبي مع تشخيص متقدم وقطع مناسبة وتسعير واضح لدى مركز ديجي-تك.</x:v>
      </x:c>
      <x:c r="L185" s="6" t="str">
        <x:v>Retain pending evidence; no specific content edit justified by this export.</x:v>
      </x:c>
      <x:c r="M185" s="6" t="str">
        <x:v>Retain; inspect relevant context before adding links</x:v>
      </x:c>
      <x:c r="N185" s="6" t="str">
        <x:v>Unconfirmed — no query/page pairing</x:v>
      </x:c>
      <x:c r="O185" s="6" t="str">
        <x:v>Retain established booking / WhatsApp / call path; live behaviour untested</x:v>
      </x:c>
      <x:c r="P185" s="6" t="str">
        <x:v>Retain canonical and indexation policy pending a live check.</x:v>
      </x:c>
      <x:c r="Q185" s="6" t="str">
        <x:v>Proposed; no website change made</x:v>
      </x:c>
      <x:c r="R185" s="14"/>
      <x:c r="S185" s="14"/>
      <x:c r="T185" s="15"/>
      <x:c r="U185" s="16"/>
      <x:c r="V185" s="6" t="str">
        <x:v>https://digitecme.com/ar/brands/bugatti-service-dubai/transmission-repair</x:v>
      </x:c>
      <x:c r="W185" s="6" t="str">
        <x:v>Noindex directive</x:v>
      </x:c>
      <x:c r="X185" s="6" t="n">
        <x:v>16</x:v>
      </x:c>
      <x:c r="Y185" s="6" t="str">
        <x:v>إصلاح ناقل الحركة Bugatti في دبي | ديجي-تك</x:v>
      </x:c>
      <x:c r="Z185" s="6" t="str"/>
      <x:c r="AA185" s="6" t="str">
        <x:v>No / not compared</x:v>
      </x:c>
    </x:row>
    <x:row r="186" ht="42" customHeight="1">
      <x:c r="A186" s="6" t="str">
        <x:v>https://digitecme.com/ar/brands/byd-service-dubai</x:v>
      </x:c>
      <x:c r="B186" s="6" t="str">
        <x:v>مركز صيانة بي واي دي</x:v>
      </x:c>
      <x:c r="C186" s="6" t="str">
        <x:v>byd: Service and repair</x:v>
      </x:c>
      <x:c r="D186" s="6" t="str">
        <x:v>brand</x:v>
      </x:c>
      <x:c r="E186" s="6" t="str">
        <x:v>Primary owner for assigned intent</x:v>
      </x:c>
      <x:c r="F186" s="6" t="str">
        <x:v>Local source render; live version unverified</x:v>
      </x:c>
      <x:c r="G186" s="6" t="str">
        <x:v>إصلاح وصيانة BYD في دبي | مركز ديجي-تك</x:v>
      </x:c>
      <x:c r="H186" s="6" t="str">
        <x:v>إصلاح وصيانة BYD في دبي | مركز ديجي-تك</x:v>
      </x:c>
      <x:c r="I186" s="6" t="str">
        <x:v>BYD للإصلاح والصيانة في دبي</x:v>
      </x:c>
      <x:c r="J186" s="6" t="str">
        <x:v>BYD للإصلاح والصيانة في دبي</x:v>
      </x:c>
      <x:c r="K186" s="6" t="str">
        <x:v>إصلاح وصيانة BYD في دبي: تشخيص وصيانة وفرامل وناقل حركة وتعليق وتكييف مع قطع بالمواصفات المناسبة لدى مركز ديجي-تك.</x:v>
      </x:c>
      <x:c r="L186" s="6" t="str">
        <x:v>Retain pending evidence; no specific content edit justified by this export.</x:v>
      </x:c>
      <x:c r="M186" s="6" t="str">
        <x:v>Retain; inspect relevant context before adding links</x:v>
      </x:c>
      <x:c r="N186" s="6" t="str">
        <x:v>Unconfirmed — no query/page pairing</x:v>
      </x:c>
      <x:c r="O186" s="6" t="str">
        <x:v>Retain established booking / WhatsApp / call path; live behaviour untested</x:v>
      </x:c>
      <x:c r="P186" s="6" t="str">
        <x:v>Retain canonical and indexation policy pending a live check.</x:v>
      </x:c>
      <x:c r="Q186" s="6" t="str">
        <x:v>Proposed; no website change made</x:v>
      </x:c>
      <x:c r="R186" s="14" t="n">
        <x:v>1</x:v>
      </x:c>
      <x:c r="S186" s="14" t="n">
        <x:v>25</x:v>
      </x:c>
      <x:c r="T186" s="15" t="n">
        <x:v>0.04</x:v>
      </x:c>
      <x:c r="U186" s="16" t="n">
        <x:v>8.92</x:v>
      </x:c>
      <x:c r="V186" s="6" t="str">
        <x:v>https://digitecme.com/ar/brands/byd-service-dubai</x:v>
      </x:c>
      <x:c r="W186" s="6" t="str">
        <x:v>Indexable directive</x:v>
      </x:c>
      <x:c r="X186" s="6" t="n">
        <x:v>38</x:v>
      </x:c>
      <x:c r="Y186" s="6" t="str">
        <x:v>إصلاح وصيانة BYD في دبي | مركز ديجي-تك</x:v>
      </x:c>
      <x:c r="Z186" s="6" t="str"/>
      <x:c r="AA186" s="6" t="str">
        <x:v>No / not compared</x:v>
      </x:c>
    </x:row>
    <x:row r="187" ht="42" customHeight="1">
      <x:c r="A187" s="6" t="str">
        <x:v>https://digitecme.com/ar/brands/byd-service-dubai/ac-repair</x:v>
      </x:c>
      <x:c r="B187" s="6" t="str"/>
      <x:c r="C187" s="6" t="str"/>
      <x:c r="D187" s="6" t="str">
        <x:v>brand-service</x:v>
      </x:c>
      <x:c r="E187" s="6" t="str">
        <x:v>Retain differentiated role</x:v>
      </x:c>
      <x:c r="F187" s="6" t="str">
        <x:v>Local source render; live version unverified</x:v>
      </x:c>
      <x:c r="G187" s="6" t="str">
        <x:v>إصلاح التكييف BYD في دبي | ديجي-تك</x:v>
      </x:c>
      <x:c r="H187" s="6" t="str">
        <x:v>إصلاح التكييف BYD في دبي | ديجي-تك</x:v>
      </x:c>
      <x:c r="I187" s="6" t="str">
        <x:v>إصلاح التكييف BYD في دبي</x:v>
      </x:c>
      <x:c r="J187" s="6" t="str">
        <x:v>إصلاح التكييف BYD في دبي</x:v>
      </x:c>
      <x:c r="K187" s="6" t="str">
        <x:v>إصلاح التكييف متخصص لسيارات BYD في دبي مع تشخيص متقدم وقطع مناسبة وتسعير واضح لدى مركز ديجي-تك.</x:v>
      </x:c>
      <x:c r="L187" s="6" t="str">
        <x:v>Retain pending evidence; no specific content edit justified by this export.</x:v>
      </x:c>
      <x:c r="M187" s="6" t="str">
        <x:v>Retain; inspect relevant context before adding links</x:v>
      </x:c>
      <x:c r="N187" s="6" t="str">
        <x:v>Unconfirmed — no query/page pairing</x:v>
      </x:c>
      <x:c r="O187" s="6" t="str">
        <x:v>Retain established booking / WhatsApp / call path; live behaviour untested</x:v>
      </x:c>
      <x:c r="P187" s="6" t="str">
        <x:v>Retain canonical and indexation policy pending a live check.</x:v>
      </x:c>
      <x:c r="Q187" s="6" t="str">
        <x:v>Proposed; no website change made</x:v>
      </x:c>
      <x:c r="R187" s="14"/>
      <x:c r="S187" s="14"/>
      <x:c r="T187" s="15"/>
      <x:c r="U187" s="16"/>
      <x:c r="V187" s="6" t="str">
        <x:v>https://digitecme.com/ar/brands/byd-service-dubai/ac-repair</x:v>
      </x:c>
      <x:c r="W187" s="6" t="str">
        <x:v>Indexable directive</x:v>
      </x:c>
      <x:c r="X187" s="6" t="n">
        <x:v>16</x:v>
      </x:c>
      <x:c r="Y187" s="6" t="str">
        <x:v>إصلاح التكييف BYD في دبي | ديجي-تك</x:v>
      </x:c>
      <x:c r="Z187" s="6" t="str"/>
      <x:c r="AA187" s="6" t="str">
        <x:v>No / not compared</x:v>
      </x:c>
    </x:row>
    <x:row r="188" ht="42" customHeight="1">
      <x:c r="A188" s="6" t="str">
        <x:v>https://digitecme.com/ar/brands/byd-service-dubai/battery-replacement</x:v>
      </x:c>
      <x:c r="B188" s="6" t="str"/>
      <x:c r="C188" s="6" t="str"/>
      <x:c r="D188" s="6" t="str">
        <x:v>brand-service</x:v>
      </x:c>
      <x:c r="E188" s="6" t="str">
        <x:v>Retain differentiated role</x:v>
      </x:c>
      <x:c r="F188" s="6" t="str">
        <x:v>Local source render; live version unverified</x:v>
      </x:c>
      <x:c r="G188" s="6" t="str">
        <x:v>تبديل البطارية BYD في دبي | ديجي-تك</x:v>
      </x:c>
      <x:c r="H188" s="6" t="str">
        <x:v>تبديل البطارية BYD في دبي | ديجي-تك</x:v>
      </x:c>
      <x:c r="I188" s="6" t="str">
        <x:v>تبديل البطارية BYD في دبي</x:v>
      </x:c>
      <x:c r="J188" s="6" t="str">
        <x:v>تبديل البطارية BYD في دبي</x:v>
      </x:c>
      <x:c r="K188" s="6" t="str">
        <x:v>تبديل البطارية متخصص لسيارات BYD في دبي مع تشخيص متقدم وقطع مناسبة وتسعير واضح لدى مركز ديجي-تك.</x:v>
      </x:c>
      <x:c r="L188" s="6" t="str">
        <x:v>Retain pending evidence; no specific content edit justified by this export.</x:v>
      </x:c>
      <x:c r="M188" s="6" t="str">
        <x:v>Retain; inspect relevant context before adding links</x:v>
      </x:c>
      <x:c r="N188" s="6" t="str">
        <x:v>Unconfirmed — no query/page pairing</x:v>
      </x:c>
      <x:c r="O188" s="6" t="str">
        <x:v>Retain established booking / WhatsApp / call path; live behaviour untested</x:v>
      </x:c>
      <x:c r="P188" s="6" t="str">
        <x:v>Retain canonical and indexation policy pending a live check.</x:v>
      </x:c>
      <x:c r="Q188" s="6" t="str">
        <x:v>Proposed; no website change made</x:v>
      </x:c>
      <x:c r="R188" s="14"/>
      <x:c r="S188" s="14"/>
      <x:c r="T188" s="15"/>
      <x:c r="U188" s="16"/>
      <x:c r="V188" s="6" t="str">
        <x:v>https://digitecme.com/ar/brands/byd-service-dubai/battery-replacement</x:v>
      </x:c>
      <x:c r="W188" s="6" t="str">
        <x:v>Noindex directive</x:v>
      </x:c>
      <x:c r="X188" s="6" t="n">
        <x:v>16</x:v>
      </x:c>
      <x:c r="Y188" s="6" t="str">
        <x:v>تبديل البطارية BYD في دبي | ديجي-تك</x:v>
      </x:c>
      <x:c r="Z188" s="6" t="str"/>
      <x:c r="AA188" s="6" t="str">
        <x:v>No / not compared</x:v>
      </x:c>
    </x:row>
    <x:row r="189" ht="42" customHeight="1">
      <x:c r="A189" s="6" t="str">
        <x:v>https://digitecme.com/ar/brands/byd-service-dubai/body-repair</x:v>
      </x:c>
      <x:c r="B189" s="6" t="str"/>
      <x:c r="C189" s="6" t="str"/>
      <x:c r="D189" s="6" t="str">
        <x:v>brand-service</x:v>
      </x:c>
      <x:c r="E189" s="6" t="str">
        <x:v>Retain differentiated role</x:v>
      </x:c>
      <x:c r="F189" s="6" t="str">
        <x:v>Local source render; live version unverified</x:v>
      </x:c>
      <x:c r="G189" s="6" t="str">
        <x:v>إصلاح الهيكل BYD في دبي | ديجي-تك</x:v>
      </x:c>
      <x:c r="H189" s="6" t="str">
        <x:v>إصلاح الهيكل BYD في دبي | ديجي-تك</x:v>
      </x:c>
      <x:c r="I189" s="6" t="str">
        <x:v>إصلاح الهيكل BYD في دبي</x:v>
      </x:c>
      <x:c r="J189" s="6" t="str">
        <x:v>إصلاح الهيكل BYD في دبي</x:v>
      </x:c>
      <x:c r="K189" s="6" t="str">
        <x:v>إصلاح الهيكل متخصص لسيارات BYD في دبي مع تشخيص متقدم وقطع مناسبة وتسعير واضح لدى مركز ديجي-تك.</x:v>
      </x:c>
      <x:c r="L189" s="6" t="str">
        <x:v>Retain pending evidence; no specific content edit justified by this export.</x:v>
      </x:c>
      <x:c r="M189" s="6" t="str">
        <x:v>Retain; inspect relevant context before adding links</x:v>
      </x:c>
      <x:c r="N189" s="6" t="str">
        <x:v>Unconfirmed — no query/page pairing</x:v>
      </x:c>
      <x:c r="O189" s="6" t="str">
        <x:v>Retain established booking / WhatsApp / call path; live behaviour untested</x:v>
      </x:c>
      <x:c r="P189" s="6" t="str">
        <x:v>Retain canonical and indexation policy pending a live check.</x:v>
      </x:c>
      <x:c r="Q189" s="6" t="str">
        <x:v>Proposed; no website change made</x:v>
      </x:c>
      <x:c r="R189" s="14" t="n">
        <x:v>0</x:v>
      </x:c>
      <x:c r="S189" s="14" t="n">
        <x:v>2</x:v>
      </x:c>
      <x:c r="T189" s="15" t="n">
        <x:v>0</x:v>
      </x:c>
      <x:c r="U189" s="16" t="n">
        <x:v>7.5</x:v>
      </x:c>
      <x:c r="V189" s="6" t="str">
        <x:v>https://digitecme.com/ar/brands/byd-service-dubai/body-repair</x:v>
      </x:c>
      <x:c r="W189" s="6" t="str">
        <x:v>Noindex directive</x:v>
      </x:c>
      <x:c r="X189" s="6" t="n">
        <x:v>16</x:v>
      </x:c>
      <x:c r="Y189" s="6" t="str">
        <x:v>إصلاح الهيكل BYD في دبي | ديجي-تك</x:v>
      </x:c>
      <x:c r="Z189" s="6" t="str"/>
      <x:c r="AA189" s="6" t="str">
        <x:v>No / not compared</x:v>
      </x:c>
    </x:row>
    <x:row r="190" ht="42" customHeight="1">
      <x:c r="A190" s="6" t="str">
        <x:v>https://digitecme.com/ar/brands/byd-service-dubai/brake-repair</x:v>
      </x:c>
      <x:c r="B190" s="6" t="str"/>
      <x:c r="C190" s="6" t="str"/>
      <x:c r="D190" s="6" t="str">
        <x:v>brand-service</x:v>
      </x:c>
      <x:c r="E190" s="6" t="str">
        <x:v>Retain differentiated role</x:v>
      </x:c>
      <x:c r="F190" s="6" t="str">
        <x:v>Local source render; live version unverified</x:v>
      </x:c>
      <x:c r="G190" s="6" t="str">
        <x:v>إصلاح الفرامل BYD في دبي | ديجي-تك</x:v>
      </x:c>
      <x:c r="H190" s="6" t="str">
        <x:v>إصلاح الفرامل BYD في دبي | ديجي-تك</x:v>
      </x:c>
      <x:c r="I190" s="6" t="str">
        <x:v>إصلاح الفرامل BYD في دبي</x:v>
      </x:c>
      <x:c r="J190" s="6" t="str">
        <x:v>إصلاح الفرامل BYD في دبي</x:v>
      </x:c>
      <x:c r="K190" s="6" t="str">
        <x:v>إصلاح الفرامل متخصص لسيارات BYD في دبي مع تشخيص متقدم وقطع مناسبة وتسعير واضح لدى مركز ديجي-تك.</x:v>
      </x:c>
      <x:c r="L190" s="6" t="str">
        <x:v>Retain pending evidence; no specific content edit justified by this export.</x:v>
      </x:c>
      <x:c r="M190" s="6" t="str">
        <x:v>Retain; inspect relevant context before adding links</x:v>
      </x:c>
      <x:c r="N190" s="6" t="str">
        <x:v>Unconfirmed — no query/page pairing</x:v>
      </x:c>
      <x:c r="O190" s="6" t="str">
        <x:v>Retain established booking / WhatsApp / call path; live behaviour untested</x:v>
      </x:c>
      <x:c r="P190" s="6" t="str">
        <x:v>Retain canonical and indexation policy pending a live check.</x:v>
      </x:c>
      <x:c r="Q190" s="6" t="str">
        <x:v>Proposed; no website change made</x:v>
      </x:c>
      <x:c r="R190" s="14" t="n">
        <x:v>0</x:v>
      </x:c>
      <x:c r="S190" s="14" t="n">
        <x:v>1</x:v>
      </x:c>
      <x:c r="T190" s="15" t="n">
        <x:v>0</x:v>
      </x:c>
      <x:c r="U190" s="16" t="n">
        <x:v>11</x:v>
      </x:c>
      <x:c r="V190" s="6" t="str">
        <x:v>https://digitecme.com/ar/brands/byd-service-dubai/brake-repair</x:v>
      </x:c>
      <x:c r="W190" s="6" t="str">
        <x:v>Indexable directive</x:v>
      </x:c>
      <x:c r="X190" s="6" t="n">
        <x:v>16</x:v>
      </x:c>
      <x:c r="Y190" s="6" t="str">
        <x:v>إصلاح الفرامل BYD في دبي | ديجي-تك</x:v>
      </x:c>
      <x:c r="Z190" s="6" t="str"/>
      <x:c r="AA190" s="6" t="str">
        <x:v>No / not compared</x:v>
      </x:c>
    </x:row>
    <x:row r="191" ht="42" customHeight="1">
      <x:c r="A191" s="6" t="str">
        <x:v>https://digitecme.com/ar/brands/byd-service-dubai/electrical-repair</x:v>
      </x:c>
      <x:c r="B191" s="6" t="str"/>
      <x:c r="C191" s="6" t="str"/>
      <x:c r="D191" s="6" t="str">
        <x:v>brand-service</x:v>
      </x:c>
      <x:c r="E191" s="6" t="str">
        <x:v>Retain differentiated role</x:v>
      </x:c>
      <x:c r="F191" s="6" t="str">
        <x:v>Local source render; live version unverified</x:v>
      </x:c>
      <x:c r="G191" s="6" t="str">
        <x:v>إصلاح الكهرباء BYD في دبي | ديجي-تك</x:v>
      </x:c>
      <x:c r="H191" s="6" t="str">
        <x:v>إصلاح الكهرباء BYD في دبي | ديجي-تك</x:v>
      </x:c>
      <x:c r="I191" s="6" t="str">
        <x:v>إصلاح الكهرباء BYD في دبي</x:v>
      </x:c>
      <x:c r="J191" s="6" t="str">
        <x:v>إصلاح الكهرباء BYD في دبي</x:v>
      </x:c>
      <x:c r="K191" s="6" t="str">
        <x:v>إصلاح الكهرباء متخصص لسيارات BYD في دبي مع تشخيص متقدم وقطع مناسبة وتسعير واضح لدى مركز ديجي-تك.</x:v>
      </x:c>
      <x:c r="L191" s="6" t="str">
        <x:v>Retain pending evidence; no specific content edit justified by this export.</x:v>
      </x:c>
      <x:c r="M191" s="6" t="str">
        <x:v>Retain; inspect relevant context before adding links</x:v>
      </x:c>
      <x:c r="N191" s="6" t="str">
        <x:v>Unconfirmed — no query/page pairing</x:v>
      </x:c>
      <x:c r="O191" s="6" t="str">
        <x:v>Retain established booking / WhatsApp / call path; live behaviour untested</x:v>
      </x:c>
      <x:c r="P191" s="6" t="str">
        <x:v>Retain canonical and indexation policy pending a live check.</x:v>
      </x:c>
      <x:c r="Q191" s="6" t="str">
        <x:v>Proposed; no website change made</x:v>
      </x:c>
      <x:c r="R191" s="14" t="n">
        <x:v>0</x:v>
      </x:c>
      <x:c r="S191" s="14" t="n">
        <x:v>1</x:v>
      </x:c>
      <x:c r="T191" s="15" t="n">
        <x:v>0</x:v>
      </x:c>
      <x:c r="U191" s="16" t="n">
        <x:v>5</x:v>
      </x:c>
      <x:c r="V191" s="6" t="str">
        <x:v>https://digitecme.com/ar/brands/byd-service-dubai/electrical-repair</x:v>
      </x:c>
      <x:c r="W191" s="6" t="str">
        <x:v>Noindex directive</x:v>
      </x:c>
      <x:c r="X191" s="6" t="n">
        <x:v>16</x:v>
      </x:c>
      <x:c r="Y191" s="6" t="str">
        <x:v>إصلاح الكهرباء BYD في دبي | ديجي-تك</x:v>
      </x:c>
      <x:c r="Z191" s="6" t="str"/>
      <x:c r="AA191" s="6" t="str">
        <x:v>No / not compared</x:v>
      </x:c>
    </x:row>
    <x:row r="192" ht="42" customHeight="1">
      <x:c r="A192" s="6" t="str">
        <x:v>https://digitecme.com/ar/brands/byd-service-dubai/engine-diagnostics</x:v>
      </x:c>
      <x:c r="B192" s="6" t="str"/>
      <x:c r="C192" s="6" t="str"/>
      <x:c r="D192" s="6" t="str">
        <x:v>brand-service</x:v>
      </x:c>
      <x:c r="E192" s="6" t="str">
        <x:v>Retain differentiated role</x:v>
      </x:c>
      <x:c r="F192" s="6" t="str">
        <x:v>Local source render; live version unverified</x:v>
      </x:c>
      <x:c r="G192" s="6" t="str">
        <x:v>تشخيص المحرك BYD في دبي | ديجي-تك</x:v>
      </x:c>
      <x:c r="H192" s="6" t="str">
        <x:v>تشخيص المحرك BYD في دبي | ديجي-تك</x:v>
      </x:c>
      <x:c r="I192" s="6" t="str">
        <x:v>تشخيص المحرك BYD في دبي</x:v>
      </x:c>
      <x:c r="J192" s="6" t="str">
        <x:v>تشخيص المحرك BYD في دبي</x:v>
      </x:c>
      <x:c r="K192" s="6" t="str">
        <x:v>تشخيص المحرك متخصص لسيارات BYD في دبي مع تشخيص متقدم وقطع مناسبة وتسعير واضح لدى مركز ديجي-تك.</x:v>
      </x:c>
      <x:c r="L192" s="6" t="str">
        <x:v>Retain pending evidence; no specific content edit justified by this export.</x:v>
      </x:c>
      <x:c r="M192" s="6" t="str">
        <x:v>Retain; inspect relevant context before adding links</x:v>
      </x:c>
      <x:c r="N192" s="6" t="str">
        <x:v>Unconfirmed — no query/page pairing</x:v>
      </x:c>
      <x:c r="O192" s="6" t="str">
        <x:v>Retain established booking / WhatsApp / call path; live behaviour untested</x:v>
      </x:c>
      <x:c r="P192" s="6" t="str">
        <x:v>Retain canonical and indexation policy pending a live check.</x:v>
      </x:c>
      <x:c r="Q192" s="6" t="str">
        <x:v>Proposed; no website change made</x:v>
      </x:c>
      <x:c r="R192" s="14" t="n">
        <x:v>0</x:v>
      </x:c>
      <x:c r="S192" s="14" t="n">
        <x:v>2</x:v>
      </x:c>
      <x:c r="T192" s="15" t="n">
        <x:v>0</x:v>
      </x:c>
      <x:c r="U192" s="16" t="n">
        <x:v>5</x:v>
      </x:c>
      <x:c r="V192" s="6" t="str">
        <x:v>https://digitecme.com/ar/brands/byd-service-dubai/engine-diagnostics</x:v>
      </x:c>
      <x:c r="W192" s="6" t="str">
        <x:v>Indexable directive</x:v>
      </x:c>
      <x:c r="X192" s="6" t="n">
        <x:v>16</x:v>
      </x:c>
      <x:c r="Y192" s="6" t="str">
        <x:v>تشخيص المحرك BYD في دبي | ديجي-تك</x:v>
      </x:c>
      <x:c r="Z192" s="6" t="str"/>
      <x:c r="AA192" s="6" t="str">
        <x:v>No / not compared</x:v>
      </x:c>
    </x:row>
    <x:row r="193" ht="42" customHeight="1">
      <x:c r="A193" s="6" t="str">
        <x:v>https://digitecme.com/ar/brands/byd-service-dubai/exhaust-repair</x:v>
      </x:c>
      <x:c r="B193" s="6" t="str"/>
      <x:c r="C193" s="6" t="str"/>
      <x:c r="D193" s="6" t="str">
        <x:v>brand-service</x:v>
      </x:c>
      <x:c r="E193" s="6" t="str">
        <x:v>Retain differentiated role</x:v>
      </x:c>
      <x:c r="F193" s="6" t="str">
        <x:v>Local source render; live version unverified</x:v>
      </x:c>
      <x:c r="G193" s="6" t="str">
        <x:v>إصلاح العادم BYD في دبي | ديجي-تك</x:v>
      </x:c>
      <x:c r="H193" s="6" t="str">
        <x:v>إصلاح العادم BYD في دبي | ديجي-تك</x:v>
      </x:c>
      <x:c r="I193" s="6" t="str">
        <x:v>إصلاح العادم BYD في دبي</x:v>
      </x:c>
      <x:c r="J193" s="6" t="str">
        <x:v>إصلاح العادم BYD في دبي</x:v>
      </x:c>
      <x:c r="K193" s="6" t="str">
        <x:v>إصلاح العادم متخصص لسيارات BYD في دبي مع تشخيص متقدم وقطع مناسبة وتسعير واضح لدى مركز ديجي-تك.</x:v>
      </x:c>
      <x:c r="L193" s="6" t="str">
        <x:v>Retain pending evidence; no specific content edit justified by this export.</x:v>
      </x:c>
      <x:c r="M193" s="6" t="str">
        <x:v>Retain; inspect relevant context before adding links</x:v>
      </x:c>
      <x:c r="N193" s="6" t="str">
        <x:v>Unconfirmed — no query/page pairing</x:v>
      </x:c>
      <x:c r="O193" s="6" t="str">
        <x:v>Retain established booking / WhatsApp / call path; live behaviour untested</x:v>
      </x:c>
      <x:c r="P193" s="6" t="str">
        <x:v>Retain canonical and indexation policy pending a live check.</x:v>
      </x:c>
      <x:c r="Q193" s="6" t="str">
        <x:v>Proposed; no website change made</x:v>
      </x:c>
      <x:c r="R193" s="14"/>
      <x:c r="S193" s="14"/>
      <x:c r="T193" s="15"/>
      <x:c r="U193" s="16"/>
      <x:c r="V193" s="6" t="str">
        <x:v>https://digitecme.com/ar/brands/byd-service-dubai/exhaust-repair</x:v>
      </x:c>
      <x:c r="W193" s="6" t="str">
        <x:v>Noindex directive</x:v>
      </x:c>
      <x:c r="X193" s="6" t="n">
        <x:v>16</x:v>
      </x:c>
      <x:c r="Y193" s="6" t="str">
        <x:v>إصلاح العادم BYD في دبي | ديجي-تك</x:v>
      </x:c>
      <x:c r="Z193" s="6" t="str"/>
      <x:c r="AA193" s="6" t="str">
        <x:v>No / not compared</x:v>
      </x:c>
    </x:row>
    <x:row r="194" ht="42" customHeight="1">
      <x:c r="A194" s="6" t="str">
        <x:v>https://digitecme.com/ar/brands/byd-service-dubai/fuel-system-repair</x:v>
      </x:c>
      <x:c r="B194" s="6" t="str"/>
      <x:c r="C194" s="6" t="str"/>
      <x:c r="D194" s="6" t="str">
        <x:v>brand-service</x:v>
      </x:c>
      <x:c r="E194" s="6" t="str">
        <x:v>Retain differentiated role</x:v>
      </x:c>
      <x:c r="F194" s="6" t="str">
        <x:v>Local source render; live version unverified</x:v>
      </x:c>
      <x:c r="G194" s="6" t="str">
        <x:v>إصلاح نظام الوقود BYD في دبي | ديجي-تك</x:v>
      </x:c>
      <x:c r="H194" s="6" t="str">
        <x:v>إصلاح نظام الوقود BYD في دبي | ديجي-تك</x:v>
      </x:c>
      <x:c r="I194" s="6" t="str">
        <x:v>إصلاح نظام الوقود BYD في دبي</x:v>
      </x:c>
      <x:c r="J194" s="6" t="str">
        <x:v>إصلاح نظام الوقود BYD في دبي</x:v>
      </x:c>
      <x:c r="K194" s="6" t="str">
        <x:v>إصلاح نظام الوقود متخصص لسيارات BYD في دبي مع تشخيص متقدم وقطع مناسبة وتسعير واضح لدى مركز ديجي-تك.</x:v>
      </x:c>
      <x:c r="L194" s="6" t="str">
        <x:v>Retain pending evidence; no specific content edit justified by this export.</x:v>
      </x:c>
      <x:c r="M194" s="6" t="str">
        <x:v>Retain; inspect relevant context before adding links</x:v>
      </x:c>
      <x:c r="N194" s="6" t="str">
        <x:v>Unconfirmed — no query/page pairing</x:v>
      </x:c>
      <x:c r="O194" s="6" t="str">
        <x:v>Retain established booking / WhatsApp / call path; live behaviour untested</x:v>
      </x:c>
      <x:c r="P194" s="6" t="str">
        <x:v>Retain canonical and indexation policy pending a live check.</x:v>
      </x:c>
      <x:c r="Q194" s="6" t="str">
        <x:v>Proposed; no website change made</x:v>
      </x:c>
      <x:c r="R194" s="14"/>
      <x:c r="S194" s="14"/>
      <x:c r="T194" s="15"/>
      <x:c r="U194" s="16"/>
      <x:c r="V194" s="6" t="str">
        <x:v>https://digitecme.com/ar/brands/byd-service-dubai/fuel-system-repair</x:v>
      </x:c>
      <x:c r="W194" s="6" t="str">
        <x:v>Noindex directive</x:v>
      </x:c>
      <x:c r="X194" s="6" t="n">
        <x:v>16</x:v>
      </x:c>
      <x:c r="Y194" s="6" t="str">
        <x:v>إصلاح نظام الوقود BYD في دبي | ديجي-تك</x:v>
      </x:c>
      <x:c r="Z194" s="6" t="str"/>
      <x:c r="AA194" s="6" t="str">
        <x:v>No / not compared</x:v>
      </x:c>
    </x:row>
    <x:row r="195" ht="42" customHeight="1">
      <x:c r="A195" s="6" t="str">
        <x:v>https://digitecme.com/ar/brands/byd-service-dubai/mechanical-repair</x:v>
      </x:c>
      <x:c r="B195" s="6" t="str"/>
      <x:c r="C195" s="6" t="str"/>
      <x:c r="D195" s="6" t="str">
        <x:v>brand-service</x:v>
      </x:c>
      <x:c r="E195" s="6" t="str">
        <x:v>Retain differentiated role</x:v>
      </x:c>
      <x:c r="F195" s="6" t="str">
        <x:v>Local source render; live version unverified</x:v>
      </x:c>
      <x:c r="G195" s="6" t="str">
        <x:v>الإصلاح الميكانيكي BYD في دبي | ديجي-تك</x:v>
      </x:c>
      <x:c r="H195" s="6" t="str">
        <x:v>الإصلاح الميكانيكي BYD في دبي | ديجي-تك</x:v>
      </x:c>
      <x:c r="I195" s="6" t="str">
        <x:v>الإصلاح الميكانيكي BYD في دبي</x:v>
      </x:c>
      <x:c r="J195" s="6" t="str">
        <x:v>الإصلاح الميكانيكي BYD في دبي</x:v>
      </x:c>
      <x:c r="K195" s="6" t="str">
        <x:v>الإصلاح الميكانيكي متخصص لسيارات BYD في دبي مع تشخيص متقدم وقطع مناسبة وتسعير واضح لدى مركز ديجي-تك.</x:v>
      </x:c>
      <x:c r="L195" s="6" t="str">
        <x:v>Retain pending evidence; no specific content edit justified by this export.</x:v>
      </x:c>
      <x:c r="M195" s="6" t="str">
        <x:v>Retain; inspect relevant context before adding links</x:v>
      </x:c>
      <x:c r="N195" s="6" t="str">
        <x:v>Unconfirmed — no query/page pairing</x:v>
      </x:c>
      <x:c r="O195" s="6" t="str">
        <x:v>Retain established booking / WhatsApp / call path; live behaviour untested</x:v>
      </x:c>
      <x:c r="P195" s="6" t="str">
        <x:v>Retain canonical and indexation policy pending a live check.</x:v>
      </x:c>
      <x:c r="Q195" s="6" t="str">
        <x:v>Proposed; no website change made</x:v>
      </x:c>
      <x:c r="R195" s="14" t="n">
        <x:v>0</x:v>
      </x:c>
      <x:c r="S195" s="14" t="n">
        <x:v>2</x:v>
      </x:c>
      <x:c r="T195" s="15" t="n">
        <x:v>0</x:v>
      </x:c>
      <x:c r="U195" s="16" t="n">
        <x:v>8.5</x:v>
      </x:c>
      <x:c r="V195" s="6" t="str">
        <x:v>https://digitecme.com/ar/brands/byd-service-dubai/mechanical-repair</x:v>
      </x:c>
      <x:c r="W195" s="6" t="str">
        <x:v>Noindex directive</x:v>
      </x:c>
      <x:c r="X195" s="6" t="n">
        <x:v>16</x:v>
      </x:c>
      <x:c r="Y195" s="6" t="str">
        <x:v>الإصلاح الميكانيكي BYD في دبي | ديجي-تك</x:v>
      </x:c>
      <x:c r="Z195" s="6" t="str"/>
      <x:c r="AA195" s="6" t="str">
        <x:v>No / not compared</x:v>
      </x:c>
    </x:row>
    <x:row r="196" ht="42" customHeight="1">
      <x:c r="A196" s="6" t="str">
        <x:v>https://digitecme.com/ar/brands/byd-service-dubai/oil-change</x:v>
      </x:c>
      <x:c r="B196" s="6" t="str"/>
      <x:c r="C196" s="6" t="str"/>
      <x:c r="D196" s="6" t="str">
        <x:v>brand-service</x:v>
      </x:c>
      <x:c r="E196" s="6" t="str">
        <x:v>Retain differentiated role</x:v>
      </x:c>
      <x:c r="F196" s="6" t="str">
        <x:v>Local source render; live version unverified</x:v>
      </x:c>
      <x:c r="G196" s="6" t="str">
        <x:v>تغيير الزيت BYD في دبي | ديجي-تك</x:v>
      </x:c>
      <x:c r="H196" s="6" t="str">
        <x:v>تغيير الزيت BYD في دبي | ديجي-تك</x:v>
      </x:c>
      <x:c r="I196" s="6" t="str">
        <x:v>تغيير الزيت BYD في دبي</x:v>
      </x:c>
      <x:c r="J196" s="6" t="str">
        <x:v>تغيير الزيت BYD في دبي</x:v>
      </x:c>
      <x:c r="K196" s="6" t="str">
        <x:v>تغيير الزيت متخصص لسيارات BYD في دبي مع تشخيص متقدم وقطع مناسبة وتسعير واضح لدى مركز ديجي-تك.</x:v>
      </x:c>
      <x:c r="L196" s="6" t="str">
        <x:v>Retain pending evidence; no specific content edit justified by this export.</x:v>
      </x:c>
      <x:c r="M196" s="6" t="str">
        <x:v>Retain; inspect relevant context before adding links</x:v>
      </x:c>
      <x:c r="N196" s="6" t="str">
        <x:v>Unconfirmed — no query/page pairing</x:v>
      </x:c>
      <x:c r="O196" s="6" t="str">
        <x:v>Retain established booking / WhatsApp / call path; live behaviour untested</x:v>
      </x:c>
      <x:c r="P196" s="6" t="str">
        <x:v>Retain canonical and indexation policy pending a live check.</x:v>
      </x:c>
      <x:c r="Q196" s="6" t="str">
        <x:v>Proposed; no website change made</x:v>
      </x:c>
      <x:c r="R196" s="14" t="n">
        <x:v>0</x:v>
      </x:c>
      <x:c r="S196" s="14" t="n">
        <x:v>3</x:v>
      </x:c>
      <x:c r="T196" s="15" t="n">
        <x:v>0</x:v>
      </x:c>
      <x:c r="U196" s="16" t="n">
        <x:v>10</x:v>
      </x:c>
      <x:c r="V196" s="6" t="str">
        <x:v>https://digitecme.com/ar/brands/byd-service-dubai/oil-change</x:v>
      </x:c>
      <x:c r="W196" s="6" t="str">
        <x:v>Indexable directive</x:v>
      </x:c>
      <x:c r="X196" s="6" t="n">
        <x:v>16</x:v>
      </x:c>
      <x:c r="Y196" s="6" t="str">
        <x:v>تغيير الزيت BYD في دبي | ديجي-تك</x:v>
      </x:c>
      <x:c r="Z196" s="6" t="str"/>
      <x:c r="AA196" s="6" t="str">
        <x:v>No / not compared</x:v>
      </x:c>
    </x:row>
    <x:row r="197" ht="42" customHeight="1">
      <x:c r="A197" s="6" t="str">
        <x:v>https://digitecme.com/ar/brands/byd-service-dubai/steering-repair</x:v>
      </x:c>
      <x:c r="B197" s="6" t="str"/>
      <x:c r="C197" s="6" t="str"/>
      <x:c r="D197" s="6" t="str">
        <x:v>brand-service</x:v>
      </x:c>
      <x:c r="E197" s="6" t="str">
        <x:v>Retain differentiated role</x:v>
      </x:c>
      <x:c r="F197" s="6" t="str">
        <x:v>Local source render; live version unverified</x:v>
      </x:c>
      <x:c r="G197" s="6" t="str">
        <x:v>إصلاح نظام التوجيه BYD في دبي | ديجي-تك</x:v>
      </x:c>
      <x:c r="H197" s="6" t="str">
        <x:v>إصلاح نظام التوجيه BYD في دبي | ديجي-تك</x:v>
      </x:c>
      <x:c r="I197" s="6" t="str">
        <x:v>إصلاح نظام التوجيه BYD في دبي</x:v>
      </x:c>
      <x:c r="J197" s="6" t="str">
        <x:v>إصلاح نظام التوجيه BYD في دبي</x:v>
      </x:c>
      <x:c r="K197" s="6" t="str">
        <x:v>إصلاح نظام التوجيه متخصص لسيارات BYD في دبي مع تشخيص متقدم وقطع مناسبة وتسعير واضح لدى مركز ديجي-تك.</x:v>
      </x:c>
      <x:c r="L197" s="6" t="str">
        <x:v>Retain pending evidence; no specific content edit justified by this export.</x:v>
      </x:c>
      <x:c r="M197" s="6" t="str">
        <x:v>Retain; inspect relevant context before adding links</x:v>
      </x:c>
      <x:c r="N197" s="6" t="str">
        <x:v>Unconfirmed — no query/page pairing</x:v>
      </x:c>
      <x:c r="O197" s="6" t="str">
        <x:v>Retain established booking / WhatsApp / call path; live behaviour untested</x:v>
      </x:c>
      <x:c r="P197" s="6" t="str">
        <x:v>Retain canonical and indexation policy pending a live check.</x:v>
      </x:c>
      <x:c r="Q197" s="6" t="str">
        <x:v>Proposed; no website change made</x:v>
      </x:c>
      <x:c r="R197" s="14"/>
      <x:c r="S197" s="14"/>
      <x:c r="T197" s="15"/>
      <x:c r="U197" s="16"/>
      <x:c r="V197" s="6" t="str">
        <x:v>https://digitecme.com/ar/brands/byd-service-dubai/steering-repair</x:v>
      </x:c>
      <x:c r="W197" s="6" t="str">
        <x:v>Noindex directive</x:v>
      </x:c>
      <x:c r="X197" s="6" t="n">
        <x:v>16</x:v>
      </x:c>
      <x:c r="Y197" s="6" t="str">
        <x:v>إصلاح نظام التوجيه BYD في دبي | ديجي-تك</x:v>
      </x:c>
      <x:c r="Z197" s="6" t="str"/>
      <x:c r="AA197" s="6" t="str">
        <x:v>No / not compared</x:v>
      </x:c>
    </x:row>
    <x:row r="198" ht="42" customHeight="1">
      <x:c r="A198" s="6" t="str">
        <x:v>https://digitecme.com/ar/brands/byd-service-dubai/suspension-repair</x:v>
      </x:c>
      <x:c r="B198" s="6" t="str"/>
      <x:c r="C198" s="6" t="str"/>
      <x:c r="D198" s="6" t="str">
        <x:v>brand-service</x:v>
      </x:c>
      <x:c r="E198" s="6" t="str">
        <x:v>Retain differentiated role</x:v>
      </x:c>
      <x:c r="F198" s="6" t="str">
        <x:v>Local source render; live version unverified</x:v>
      </x:c>
      <x:c r="G198" s="6" t="str">
        <x:v>إصلاح التعليق BYD في دبي | ديجي-تك</x:v>
      </x:c>
      <x:c r="H198" s="6" t="str">
        <x:v>إصلاح التعليق BYD في دبي | ديجي-تك</x:v>
      </x:c>
      <x:c r="I198" s="6" t="str">
        <x:v>إصلاح التعليق BYD في دبي</x:v>
      </x:c>
      <x:c r="J198" s="6" t="str">
        <x:v>إصلاح التعليق BYD في دبي</x:v>
      </x:c>
      <x:c r="K198" s="6" t="str">
        <x:v>إصلاح التعليق متخصص لسيارات BYD في دبي مع تشخيص متقدم وقطع مناسبة وتسعير واضح لدى مركز ديجي-تك.</x:v>
      </x:c>
      <x:c r="L198" s="6" t="str">
        <x:v>Retain pending evidence; no specific content edit justified by this export.</x:v>
      </x:c>
      <x:c r="M198" s="6" t="str">
        <x:v>Retain; inspect relevant context before adding links</x:v>
      </x:c>
      <x:c r="N198" s="6" t="str">
        <x:v>Unconfirmed — no query/page pairing</x:v>
      </x:c>
      <x:c r="O198" s="6" t="str">
        <x:v>Retain established booking / WhatsApp / call path; live behaviour untested</x:v>
      </x:c>
      <x:c r="P198" s="6" t="str">
        <x:v>Retain canonical and indexation policy pending a live check.</x:v>
      </x:c>
      <x:c r="Q198" s="6" t="str">
        <x:v>Proposed; no website change made</x:v>
      </x:c>
      <x:c r="R198" s="14"/>
      <x:c r="S198" s="14"/>
      <x:c r="T198" s="15"/>
      <x:c r="U198" s="16"/>
      <x:c r="V198" s="6" t="str">
        <x:v>https://digitecme.com/ar/brands/byd-service-dubai/suspension-repair</x:v>
      </x:c>
      <x:c r="W198" s="6" t="str">
        <x:v>Noindex directive</x:v>
      </x:c>
      <x:c r="X198" s="6" t="n">
        <x:v>16</x:v>
      </x:c>
      <x:c r="Y198" s="6" t="str">
        <x:v>إصلاح التعليق BYD في دبي | ديجي-تك</x:v>
      </x:c>
      <x:c r="Z198" s="6" t="str"/>
      <x:c r="AA198" s="6" t="str">
        <x:v>No / not compared</x:v>
      </x:c>
    </x:row>
    <x:row r="199" ht="42" customHeight="1">
      <x:c r="A199" s="6" t="str">
        <x:v>https://digitecme.com/ar/brands/byd-service-dubai/tire-repair</x:v>
      </x:c>
      <x:c r="B199" s="6" t="str"/>
      <x:c r="C199" s="6" t="str"/>
      <x:c r="D199" s="6" t="str">
        <x:v>brand-service</x:v>
      </x:c>
      <x:c r="E199" s="6" t="str">
        <x:v>Retain differentiated role</x:v>
      </x:c>
      <x:c r="F199" s="6" t="str">
        <x:v>Local source render; live version unverified</x:v>
      </x:c>
      <x:c r="G199" s="6" t="str">
        <x:v>إصلاح الإطارات BYD في دبي | ديجي-تك</x:v>
      </x:c>
      <x:c r="H199" s="6" t="str">
        <x:v>إصلاح الإطارات BYD في دبي | ديجي-تك</x:v>
      </x:c>
      <x:c r="I199" s="6" t="str">
        <x:v>إصلاح الإطارات BYD في دبي</x:v>
      </x:c>
      <x:c r="J199" s="6" t="str">
        <x:v>إصلاح الإطارات BYD في دبي</x:v>
      </x:c>
      <x:c r="K199" s="6" t="str">
        <x:v>إصلاح الإطارات متخصص لسيارات BYD في دبي مع تشخيص متقدم وقطع مناسبة وتسعير واضح لدى مركز ديجي-تك.</x:v>
      </x:c>
      <x:c r="L199" s="6" t="str">
        <x:v>Retain pending evidence; no specific content edit justified by this export.</x:v>
      </x:c>
      <x:c r="M199" s="6" t="str">
        <x:v>Retain; inspect relevant context before adding links</x:v>
      </x:c>
      <x:c r="N199" s="6" t="str">
        <x:v>Unconfirmed — no query/page pairing</x:v>
      </x:c>
      <x:c r="O199" s="6" t="str">
        <x:v>Retain established booking / WhatsApp / call path; live behaviour untested</x:v>
      </x:c>
      <x:c r="P199" s="6" t="str">
        <x:v>Retain canonical and indexation policy pending a live check.</x:v>
      </x:c>
      <x:c r="Q199" s="6" t="str">
        <x:v>Proposed; no website change made</x:v>
      </x:c>
      <x:c r="R199" s="14"/>
      <x:c r="S199" s="14"/>
      <x:c r="T199" s="15"/>
      <x:c r="U199" s="16"/>
      <x:c r="V199" s="6" t="str">
        <x:v>https://digitecme.com/ar/brands/byd-service-dubai/tire-repair</x:v>
      </x:c>
      <x:c r="W199" s="6" t="str">
        <x:v>Noindex directive</x:v>
      </x:c>
      <x:c r="X199" s="6" t="n">
        <x:v>16</x:v>
      </x:c>
      <x:c r="Y199" s="6" t="str">
        <x:v>إصلاح الإطارات BYD في دبي | ديجي-تك</x:v>
      </x:c>
      <x:c r="Z199" s="6" t="str"/>
      <x:c r="AA199" s="6" t="str">
        <x:v>No / not compared</x:v>
      </x:c>
    </x:row>
    <x:row r="200" ht="42" customHeight="1">
      <x:c r="A200" s="6" t="str">
        <x:v>https://digitecme.com/ar/brands/byd-service-dubai/transmission-repair</x:v>
      </x:c>
      <x:c r="B200" s="6" t="str"/>
      <x:c r="C200" s="6" t="str"/>
      <x:c r="D200" s="6" t="str">
        <x:v>brand-service</x:v>
      </x:c>
      <x:c r="E200" s="6" t="str">
        <x:v>Retain differentiated role</x:v>
      </x:c>
      <x:c r="F200" s="6" t="str">
        <x:v>Local source render; live version unverified</x:v>
      </x:c>
      <x:c r="G200" s="6" t="str">
        <x:v>إصلاح ناقل الحركة BYD في دبي | ديجي-تك</x:v>
      </x:c>
      <x:c r="H200" s="6" t="str">
        <x:v>إصلاح ناقل الحركة BYD في دبي | ديجي-تك</x:v>
      </x:c>
      <x:c r="I200" s="6" t="str">
        <x:v>إصلاح ناقل الحركة BYD في دبي</x:v>
      </x:c>
      <x:c r="J200" s="6" t="str">
        <x:v>إصلاح ناقل الحركة BYD في دبي</x:v>
      </x:c>
      <x:c r="K200" s="6" t="str">
        <x:v>إصلاح ناقل الحركة متخصص لسيارات BYD في دبي مع تشخيص متقدم وقطع مناسبة وتسعير واضح لدى مركز ديجي-تك.</x:v>
      </x:c>
      <x:c r="L200" s="6" t="str">
        <x:v>Retain pending evidence; no specific content edit justified by this export.</x:v>
      </x:c>
      <x:c r="M200" s="6" t="str">
        <x:v>Retain; inspect relevant context before adding links</x:v>
      </x:c>
      <x:c r="N200" s="6" t="str">
        <x:v>Unconfirmed — no query/page pairing</x:v>
      </x:c>
      <x:c r="O200" s="6" t="str">
        <x:v>Retain established booking / WhatsApp / call path; live behaviour untested</x:v>
      </x:c>
      <x:c r="P200" s="6" t="str">
        <x:v>Retain canonical and indexation policy pending a live check.</x:v>
      </x:c>
      <x:c r="Q200" s="6" t="str">
        <x:v>Proposed; no website change made</x:v>
      </x:c>
      <x:c r="R200" s="14"/>
      <x:c r="S200" s="14"/>
      <x:c r="T200" s="15"/>
      <x:c r="U200" s="16"/>
      <x:c r="V200" s="6" t="str">
        <x:v>https://digitecme.com/ar/brands/byd-service-dubai/transmission-repair</x:v>
      </x:c>
      <x:c r="W200" s="6" t="str">
        <x:v>Noindex directive</x:v>
      </x:c>
      <x:c r="X200" s="6" t="n">
        <x:v>16</x:v>
      </x:c>
      <x:c r="Y200" s="6" t="str">
        <x:v>إصلاح ناقل الحركة BYD في دبي | ديجي-تك</x:v>
      </x:c>
      <x:c r="Z200" s="6" t="str"/>
      <x:c r="AA200" s="6" t="str">
        <x:v>No / not compared</x:v>
      </x:c>
    </x:row>
    <x:row r="201" ht="42" customHeight="1">
      <x:c r="A201" s="6" t="str">
        <x:v>https://digitecme.com/ar/brands/cadillac-service-dubai</x:v>
      </x:c>
      <x:c r="B201" s="6" t="str"/>
      <x:c r="C201" s="6" t="str"/>
      <x:c r="D201" s="6" t="str">
        <x:v>brand</x:v>
      </x:c>
      <x:c r="E201" s="6" t="str">
        <x:v>Retain differentiated role</x:v>
      </x:c>
      <x:c r="F201" s="6" t="str">
        <x:v>Local source render; live version unverified</x:v>
      </x:c>
      <x:c r="G201" s="6" t="str">
        <x:v>إصلاح وصيانة Cadillac في دبي | مركز ديجي-تك</x:v>
      </x:c>
      <x:c r="H201" s="6" t="str">
        <x:v>إصلاح وصيانة Cadillac في دبي | مركز ديجي-تك</x:v>
      </x:c>
      <x:c r="I201" s="6" t="str">
        <x:v>Cadillac للإصلاح والصيانة في دبي</x:v>
      </x:c>
      <x:c r="J201" s="6" t="str">
        <x:v>Cadillac للإصلاح والصيانة في دبي</x:v>
      </x:c>
      <x:c r="K201" s="6" t="str">
        <x:v>إصلاح وصيانة Cadillac في دبي: تشخيص وصيانة وفرامل وناقل حركة وتعليق وتكييف مع قطع بالمواصفات المناسبة لدى مركز ديجي-تك.</x:v>
      </x:c>
      <x:c r="L201" s="6" t="str">
        <x:v>Retain pending evidence; no specific content edit justified by this export.</x:v>
      </x:c>
      <x:c r="M201" s="6" t="str">
        <x:v>Retain; inspect relevant context before adding links</x:v>
      </x:c>
      <x:c r="N201" s="6" t="str">
        <x:v>Unconfirmed — no query/page pairing</x:v>
      </x:c>
      <x:c r="O201" s="6" t="str">
        <x:v>Retain established booking / WhatsApp / call path; live behaviour untested</x:v>
      </x:c>
      <x:c r="P201" s="6" t="str">
        <x:v>Retain canonical and indexation policy pending a live check.</x:v>
      </x:c>
      <x:c r="Q201" s="6" t="str">
        <x:v>Proposed; no website change made</x:v>
      </x:c>
      <x:c r="R201" s="14" t="n">
        <x:v>0</x:v>
      </x:c>
      <x:c r="S201" s="14" t="n">
        <x:v>7</x:v>
      </x:c>
      <x:c r="T201" s="15" t="n">
        <x:v>0</x:v>
      </x:c>
      <x:c r="U201" s="16" t="n">
        <x:v>19.86</x:v>
      </x:c>
      <x:c r="V201" s="6" t="str">
        <x:v>https://digitecme.com/ar/brands/cadillac-service-dubai</x:v>
      </x:c>
      <x:c r="W201" s="6" t="str">
        <x:v>Indexable directive</x:v>
      </x:c>
      <x:c r="X201" s="6" t="n">
        <x:v>38</x:v>
      </x:c>
      <x:c r="Y201" s="6" t="str">
        <x:v>إصلاح وصيانة Cadillac في دبي | مركز ديجي-تك</x:v>
      </x:c>
      <x:c r="Z201" s="6" t="str"/>
      <x:c r="AA201" s="6" t="str">
        <x:v>No / not compared</x:v>
      </x:c>
    </x:row>
    <x:row r="202" ht="42" customHeight="1">
      <x:c r="A202" s="6" t="str">
        <x:v>https://digitecme.com/ar/brands/cadillac-service-dubai/ac-repair</x:v>
      </x:c>
      <x:c r="B202" s="6" t="str"/>
      <x:c r="C202" s="6" t="str"/>
      <x:c r="D202" s="6" t="str">
        <x:v>brand-service</x:v>
      </x:c>
      <x:c r="E202" s="6" t="str">
        <x:v>Retain differentiated role</x:v>
      </x:c>
      <x:c r="F202" s="6" t="str">
        <x:v>Local source render; live version unverified</x:v>
      </x:c>
      <x:c r="G202" s="6" t="str">
        <x:v>إصلاح التكييف Cadillac في دبي | ديجي-تك</x:v>
      </x:c>
      <x:c r="H202" s="6" t="str">
        <x:v>إصلاح التكييف Cadillac في دبي | ديجي-تك</x:v>
      </x:c>
      <x:c r="I202" s="6" t="str">
        <x:v>إصلاح التكييف Cadillac في دبي</x:v>
      </x:c>
      <x:c r="J202" s="6" t="str">
        <x:v>إصلاح التكييف Cadillac في دبي</x:v>
      </x:c>
      <x:c r="K202" s="6" t="str">
        <x:v>إصلاح التكييف متخصص لسيارات Cadillac في دبي مع تشخيص متقدم وقطع مناسبة وتسعير واضح لدى مركز ديجي-تك.</x:v>
      </x:c>
      <x:c r="L202" s="6" t="str">
        <x:v>Retain pending evidence; no specific content edit justified by this export.</x:v>
      </x:c>
      <x:c r="M202" s="6" t="str">
        <x:v>Retain; inspect relevant context before adding links</x:v>
      </x:c>
      <x:c r="N202" s="6" t="str">
        <x:v>Unconfirmed — no query/page pairing</x:v>
      </x:c>
      <x:c r="O202" s="6" t="str">
        <x:v>Retain established booking / WhatsApp / call path; live behaviour untested</x:v>
      </x:c>
      <x:c r="P202" s="6" t="str">
        <x:v>Retain canonical and indexation policy pending a live check.</x:v>
      </x:c>
      <x:c r="Q202" s="6" t="str">
        <x:v>Proposed; no website change made</x:v>
      </x:c>
      <x:c r="R202" s="14" t="n">
        <x:v>0</x:v>
      </x:c>
      <x:c r="S202" s="14" t="n">
        <x:v>36</x:v>
      </x:c>
      <x:c r="T202" s="15" t="n">
        <x:v>0</x:v>
      </x:c>
      <x:c r="U202" s="16" t="n">
        <x:v>75.42</x:v>
      </x:c>
      <x:c r="V202" s="6" t="str">
        <x:v>https://digitecme.com/ar/brands/cadillac-service-dubai/ac-repair</x:v>
      </x:c>
      <x:c r="W202" s="6" t="str">
        <x:v>Indexable directive</x:v>
      </x:c>
      <x:c r="X202" s="6" t="n">
        <x:v>16</x:v>
      </x:c>
      <x:c r="Y202" s="6" t="str">
        <x:v>إصلاح التكييف Cadillac في دبي | ديجي-تك</x:v>
      </x:c>
      <x:c r="Z202" s="6" t="str"/>
      <x:c r="AA202" s="6" t="str">
        <x:v>No / not compared</x:v>
      </x:c>
    </x:row>
    <x:row r="203" ht="42" customHeight="1">
      <x:c r="A203" s="6" t="str">
        <x:v>https://digitecme.com/ar/brands/cadillac-service-dubai/battery-replacement</x:v>
      </x:c>
      <x:c r="B203" s="6" t="str"/>
      <x:c r="C203" s="6" t="str"/>
      <x:c r="D203" s="6" t="str">
        <x:v>brand-service</x:v>
      </x:c>
      <x:c r="E203" s="6" t="str">
        <x:v>Retain differentiated role</x:v>
      </x:c>
      <x:c r="F203" s="6" t="str">
        <x:v>Local source render; live version unverified</x:v>
      </x:c>
      <x:c r="G203" s="6" t="str">
        <x:v>تبديل البطارية Cadillac في دبي | ديجي-تك</x:v>
      </x:c>
      <x:c r="H203" s="6" t="str">
        <x:v>تبديل البطارية Cadillac في دبي | ديجي-تك</x:v>
      </x:c>
      <x:c r="I203" s="6" t="str">
        <x:v>تبديل البطارية Cadillac في دبي</x:v>
      </x:c>
      <x:c r="J203" s="6" t="str">
        <x:v>تبديل البطارية Cadillac في دبي</x:v>
      </x:c>
      <x:c r="K203" s="6" t="str">
        <x:v>تبديل البطارية متخصص لسيارات Cadillac في دبي مع تشخيص متقدم وقطع مناسبة وتسعير واضح لدى مركز ديجي-تك.</x:v>
      </x:c>
      <x:c r="L203" s="6" t="str">
        <x:v>Retain pending evidence; no specific content edit justified by this export.</x:v>
      </x:c>
      <x:c r="M203" s="6" t="str">
        <x:v>Retain; inspect relevant context before adding links</x:v>
      </x:c>
      <x:c r="N203" s="6" t="str">
        <x:v>Unconfirmed — no query/page pairing</x:v>
      </x:c>
      <x:c r="O203" s="6" t="str">
        <x:v>Retain established booking / WhatsApp / call path; live behaviour untested</x:v>
      </x:c>
      <x:c r="P203" s="6" t="str">
        <x:v>Retain canonical and indexation policy pending a live check.</x:v>
      </x:c>
      <x:c r="Q203" s="6" t="str">
        <x:v>Proposed; no website change made</x:v>
      </x:c>
      <x:c r="R203" s="14"/>
      <x:c r="S203" s="14"/>
      <x:c r="T203" s="15"/>
      <x:c r="U203" s="16"/>
      <x:c r="V203" s="6" t="str">
        <x:v>https://digitecme.com/ar/brands/cadillac-service-dubai/battery-replacement</x:v>
      </x:c>
      <x:c r="W203" s="6" t="str">
        <x:v>Noindex directive</x:v>
      </x:c>
      <x:c r="X203" s="6" t="n">
        <x:v>16</x:v>
      </x:c>
      <x:c r="Y203" s="6" t="str">
        <x:v>تبديل البطارية Cadillac في دبي | ديجي-تك</x:v>
      </x:c>
      <x:c r="Z203" s="6" t="str"/>
      <x:c r="AA203" s="6" t="str">
        <x:v>No / not compared</x:v>
      </x:c>
    </x:row>
    <x:row r="204" ht="42" customHeight="1">
      <x:c r="A204" s="6" t="str">
        <x:v>https://digitecme.com/ar/brands/cadillac-service-dubai/body-repair</x:v>
      </x:c>
      <x:c r="B204" s="6" t="str"/>
      <x:c r="C204" s="6" t="str"/>
      <x:c r="D204" s="6" t="str">
        <x:v>brand-service</x:v>
      </x:c>
      <x:c r="E204" s="6" t="str">
        <x:v>Retain differentiated role</x:v>
      </x:c>
      <x:c r="F204" s="6" t="str">
        <x:v>Local source render; live version unverified</x:v>
      </x:c>
      <x:c r="G204" s="6" t="str">
        <x:v>إصلاح الهيكل Cadillac في دبي | ديجي-تك</x:v>
      </x:c>
      <x:c r="H204" s="6" t="str">
        <x:v>إصلاح الهيكل Cadillac في دبي | ديجي-تك</x:v>
      </x:c>
      <x:c r="I204" s="6" t="str">
        <x:v>إصلاح الهيكل Cadillac في دبي</x:v>
      </x:c>
      <x:c r="J204" s="6" t="str">
        <x:v>إصلاح الهيكل Cadillac في دبي</x:v>
      </x:c>
      <x:c r="K204" s="6" t="str">
        <x:v>إصلاح الهيكل متخصص لسيارات Cadillac في دبي مع تشخيص متقدم وقطع مناسبة وتسعير واضح لدى مركز ديجي-تك.</x:v>
      </x:c>
      <x:c r="L204" s="6" t="str">
        <x:v>Retain pending evidence; no specific content edit justified by this export.</x:v>
      </x:c>
      <x:c r="M204" s="6" t="str">
        <x:v>Retain; inspect relevant context before adding links</x:v>
      </x:c>
      <x:c r="N204" s="6" t="str">
        <x:v>Unconfirmed — no query/page pairing</x:v>
      </x:c>
      <x:c r="O204" s="6" t="str">
        <x:v>Retain established booking / WhatsApp / call path; live behaviour untested</x:v>
      </x:c>
      <x:c r="P204" s="6" t="str">
        <x:v>Retain canonical and indexation policy pending a live check.</x:v>
      </x:c>
      <x:c r="Q204" s="6" t="str">
        <x:v>Proposed; no website change made</x:v>
      </x:c>
      <x:c r="R204" s="14" t="n">
        <x:v>0</x:v>
      </x:c>
      <x:c r="S204" s="14" t="n">
        <x:v>1</x:v>
      </x:c>
      <x:c r="T204" s="15" t="n">
        <x:v>0</x:v>
      </x:c>
      <x:c r="U204" s="16" t="n">
        <x:v>6</x:v>
      </x:c>
      <x:c r="V204" s="6" t="str">
        <x:v>https://digitecme.com/ar/brands/cadillac-service-dubai/body-repair</x:v>
      </x:c>
      <x:c r="W204" s="6" t="str">
        <x:v>Noindex directive</x:v>
      </x:c>
      <x:c r="X204" s="6" t="n">
        <x:v>16</x:v>
      </x:c>
      <x:c r="Y204" s="6" t="str">
        <x:v>إصلاح الهيكل Cadillac في دبي | ديجي-تك</x:v>
      </x:c>
      <x:c r="Z204" s="6" t="str"/>
      <x:c r="AA204" s="6" t="str">
        <x:v>No / not compared</x:v>
      </x:c>
    </x:row>
    <x:row r="205" ht="42" customHeight="1">
      <x:c r="A205" s="6" t="str">
        <x:v>https://digitecme.com/ar/brands/cadillac-service-dubai/brake-repair</x:v>
      </x:c>
      <x:c r="B205" s="6" t="str"/>
      <x:c r="C205" s="6" t="str"/>
      <x:c r="D205" s="6" t="str">
        <x:v>brand-service</x:v>
      </x:c>
      <x:c r="E205" s="6" t="str">
        <x:v>Retain differentiated role</x:v>
      </x:c>
      <x:c r="F205" s="6" t="str">
        <x:v>Local source render; live version unverified</x:v>
      </x:c>
      <x:c r="G205" s="6" t="str">
        <x:v>إصلاح الفرامل Cadillac في دبي | ديجي-تك</x:v>
      </x:c>
      <x:c r="H205" s="6" t="str">
        <x:v>إصلاح الفرامل Cadillac في دبي | ديجي-تك</x:v>
      </x:c>
      <x:c r="I205" s="6" t="str">
        <x:v>إصلاح الفرامل Cadillac في دبي</x:v>
      </x:c>
      <x:c r="J205" s="6" t="str">
        <x:v>إصلاح الفرامل Cadillac في دبي</x:v>
      </x:c>
      <x:c r="K205" s="6" t="str">
        <x:v>إصلاح الفرامل متخصص لسيارات Cadillac في دبي مع تشخيص متقدم وقطع مناسبة وتسعير واضح لدى مركز ديجي-تك.</x:v>
      </x:c>
      <x:c r="L205" s="6" t="str">
        <x:v>Retain pending evidence; no specific content edit justified by this export.</x:v>
      </x:c>
      <x:c r="M205" s="6" t="str">
        <x:v>Retain; inspect relevant context before adding links</x:v>
      </x:c>
      <x:c r="N205" s="6" t="str">
        <x:v>Unconfirmed — no query/page pairing</x:v>
      </x:c>
      <x:c r="O205" s="6" t="str">
        <x:v>Retain established booking / WhatsApp / call path; live behaviour untested</x:v>
      </x:c>
      <x:c r="P205" s="6" t="str">
        <x:v>Retain canonical and indexation policy pending a live check.</x:v>
      </x:c>
      <x:c r="Q205" s="6" t="str">
        <x:v>Proposed; no website change made</x:v>
      </x:c>
      <x:c r="R205" s="14"/>
      <x:c r="S205" s="14"/>
      <x:c r="T205" s="15"/>
      <x:c r="U205" s="16"/>
      <x:c r="V205" s="6" t="str">
        <x:v>https://digitecme.com/ar/brands/cadillac-service-dubai/brake-repair</x:v>
      </x:c>
      <x:c r="W205" s="6" t="str">
        <x:v>Indexable directive</x:v>
      </x:c>
      <x:c r="X205" s="6" t="n">
        <x:v>16</x:v>
      </x:c>
      <x:c r="Y205" s="6" t="str">
        <x:v>إصلاح الفرامل Cadillac في دبي | ديجي-تك</x:v>
      </x:c>
      <x:c r="Z205" s="6" t="str"/>
      <x:c r="AA205" s="6" t="str">
        <x:v>No / not compared</x:v>
      </x:c>
    </x:row>
    <x:row r="206" ht="42" customHeight="1">
      <x:c r="A206" s="6" t="str">
        <x:v>https://digitecme.com/ar/brands/cadillac-service-dubai/electrical-repair</x:v>
      </x:c>
      <x:c r="B206" s="6" t="str"/>
      <x:c r="C206" s="6" t="str"/>
      <x:c r="D206" s="6" t="str">
        <x:v>brand-service</x:v>
      </x:c>
      <x:c r="E206" s="6" t="str">
        <x:v>Retain differentiated role</x:v>
      </x:c>
      <x:c r="F206" s="6" t="str">
        <x:v>Local source render; live version unverified</x:v>
      </x:c>
      <x:c r="G206" s="6" t="str">
        <x:v>إصلاح الكهرباء Cadillac في دبي | ديجي-تك</x:v>
      </x:c>
      <x:c r="H206" s="6" t="str">
        <x:v>إصلاح الكهرباء Cadillac في دبي | ديجي-تك</x:v>
      </x:c>
      <x:c r="I206" s="6" t="str">
        <x:v>إصلاح الكهرباء Cadillac في دبي</x:v>
      </x:c>
      <x:c r="J206" s="6" t="str">
        <x:v>إصلاح الكهرباء Cadillac في دبي</x:v>
      </x:c>
      <x:c r="K206" s="6" t="str">
        <x:v>إصلاح الكهرباء متخصص لسيارات Cadillac في دبي مع تشخيص متقدم وقطع مناسبة وتسعير واضح لدى مركز ديجي-تك.</x:v>
      </x:c>
      <x:c r="L206" s="6" t="str">
        <x:v>Retain pending evidence; no specific content edit justified by this export.</x:v>
      </x:c>
      <x:c r="M206" s="6" t="str">
        <x:v>Retain; inspect relevant context before adding links</x:v>
      </x:c>
      <x:c r="N206" s="6" t="str">
        <x:v>Unconfirmed — no query/page pairing</x:v>
      </x:c>
      <x:c r="O206" s="6" t="str">
        <x:v>Retain established booking / WhatsApp / call path; live behaviour untested</x:v>
      </x:c>
      <x:c r="P206" s="6" t="str">
        <x:v>Retain canonical and indexation policy pending a live check.</x:v>
      </x:c>
      <x:c r="Q206" s="6" t="str">
        <x:v>Proposed; no website change made</x:v>
      </x:c>
      <x:c r="R206" s="14" t="n">
        <x:v>0</x:v>
      </x:c>
      <x:c r="S206" s="14" t="n">
        <x:v>1</x:v>
      </x:c>
      <x:c r="T206" s="15" t="n">
        <x:v>0</x:v>
      </x:c>
      <x:c r="U206" s="16" t="n">
        <x:v>7</x:v>
      </x:c>
      <x:c r="V206" s="6" t="str">
        <x:v>https://digitecme.com/ar/brands/cadillac-service-dubai/electrical-repair</x:v>
      </x:c>
      <x:c r="W206" s="6" t="str">
        <x:v>Noindex directive</x:v>
      </x:c>
      <x:c r="X206" s="6" t="n">
        <x:v>16</x:v>
      </x:c>
      <x:c r="Y206" s="6" t="str">
        <x:v>إصلاح الكهرباء Cadillac في دبي | ديجي-تك</x:v>
      </x:c>
      <x:c r="Z206" s="6" t="str"/>
      <x:c r="AA206" s="6" t="str">
        <x:v>No / not compared</x:v>
      </x:c>
    </x:row>
    <x:row r="207" ht="42" customHeight="1">
      <x:c r="A207" s="6" t="str">
        <x:v>https://digitecme.com/ar/brands/cadillac-service-dubai/engine-diagnostics</x:v>
      </x:c>
      <x:c r="B207" s="6" t="str"/>
      <x:c r="C207" s="6" t="str"/>
      <x:c r="D207" s="6" t="str">
        <x:v>brand-service</x:v>
      </x:c>
      <x:c r="E207" s="6" t="str">
        <x:v>Retain differentiated role</x:v>
      </x:c>
      <x:c r="F207" s="6" t="str">
        <x:v>Local source render; live version unverified</x:v>
      </x:c>
      <x:c r="G207" s="6" t="str">
        <x:v>تشخيص المحرك Cadillac في دبي | ديجي-تك</x:v>
      </x:c>
      <x:c r="H207" s="6" t="str">
        <x:v>تشخيص المحرك Cadillac في دبي | ديجي-تك</x:v>
      </x:c>
      <x:c r="I207" s="6" t="str">
        <x:v>تشخيص المحرك Cadillac في دبي</x:v>
      </x:c>
      <x:c r="J207" s="6" t="str">
        <x:v>تشخيص المحرك Cadillac في دبي</x:v>
      </x:c>
      <x:c r="K207" s="6" t="str">
        <x:v>تشخيص المحرك متخصص لسيارات Cadillac في دبي مع تشخيص متقدم وقطع مناسبة وتسعير واضح لدى مركز ديجي-تك.</x:v>
      </x:c>
      <x:c r="L207" s="6" t="str">
        <x:v>Retain pending evidence; no specific content edit justified by this export.</x:v>
      </x:c>
      <x:c r="M207" s="6" t="str">
        <x:v>Retain; inspect relevant context before adding links</x:v>
      </x:c>
      <x:c r="N207" s="6" t="str">
        <x:v>Unconfirmed — no query/page pairing</x:v>
      </x:c>
      <x:c r="O207" s="6" t="str">
        <x:v>Retain established booking / WhatsApp / call path; live behaviour untested</x:v>
      </x:c>
      <x:c r="P207" s="6" t="str">
        <x:v>Retain canonical and indexation policy pending a live check.</x:v>
      </x:c>
      <x:c r="Q207" s="6" t="str">
        <x:v>Proposed; no website change made</x:v>
      </x:c>
      <x:c r="R207" s="14"/>
      <x:c r="S207" s="14"/>
      <x:c r="T207" s="15"/>
      <x:c r="U207" s="16"/>
      <x:c r="V207" s="6" t="str">
        <x:v>https://digitecme.com/ar/brands/cadillac-service-dubai/engine-diagnostics</x:v>
      </x:c>
      <x:c r="W207" s="6" t="str">
        <x:v>Indexable directive</x:v>
      </x:c>
      <x:c r="X207" s="6" t="n">
        <x:v>16</x:v>
      </x:c>
      <x:c r="Y207" s="6" t="str">
        <x:v>تشخيص المحرك Cadillac في دبي | ديجي-تك</x:v>
      </x:c>
      <x:c r="Z207" s="6" t="str"/>
      <x:c r="AA207" s="6" t="str">
        <x:v>No / not compared</x:v>
      </x:c>
    </x:row>
    <x:row r="208" ht="42" customHeight="1">
      <x:c r="A208" s="6" t="str">
        <x:v>https://digitecme.com/ar/brands/cadillac-service-dubai/exhaust-repair</x:v>
      </x:c>
      <x:c r="B208" s="6" t="str"/>
      <x:c r="C208" s="6" t="str"/>
      <x:c r="D208" s="6" t="str">
        <x:v>brand-service</x:v>
      </x:c>
      <x:c r="E208" s="6" t="str">
        <x:v>Retain differentiated role</x:v>
      </x:c>
      <x:c r="F208" s="6" t="str">
        <x:v>Local source render; live version unverified</x:v>
      </x:c>
      <x:c r="G208" s="6" t="str">
        <x:v>إصلاح العادم Cadillac في دبي | ديجي-تك</x:v>
      </x:c>
      <x:c r="H208" s="6" t="str">
        <x:v>إصلاح العادم Cadillac في دبي | ديجي-تك</x:v>
      </x:c>
      <x:c r="I208" s="6" t="str">
        <x:v>إصلاح العادم Cadillac في دبي</x:v>
      </x:c>
      <x:c r="J208" s="6" t="str">
        <x:v>إصلاح العادم Cadillac في دبي</x:v>
      </x:c>
      <x:c r="K208" s="6" t="str">
        <x:v>إصلاح العادم متخصص لسيارات Cadillac في دبي مع تشخيص متقدم وقطع مناسبة وتسعير واضح لدى مركز ديجي-تك.</x:v>
      </x:c>
      <x:c r="L208" s="6" t="str">
        <x:v>Retain pending evidence; no specific content edit justified by this export.</x:v>
      </x:c>
      <x:c r="M208" s="6" t="str">
        <x:v>Retain; inspect relevant context before adding links</x:v>
      </x:c>
      <x:c r="N208" s="6" t="str">
        <x:v>Unconfirmed — no query/page pairing</x:v>
      </x:c>
      <x:c r="O208" s="6" t="str">
        <x:v>Retain established booking / WhatsApp / call path; live behaviour untested</x:v>
      </x:c>
      <x:c r="P208" s="6" t="str">
        <x:v>Retain canonical and indexation policy pending a live check.</x:v>
      </x:c>
      <x:c r="Q208" s="6" t="str">
        <x:v>Proposed; no website change made</x:v>
      </x:c>
      <x:c r="R208" s="14"/>
      <x:c r="S208" s="14"/>
      <x:c r="T208" s="15"/>
      <x:c r="U208" s="16"/>
      <x:c r="V208" s="6" t="str">
        <x:v>https://digitecme.com/ar/brands/cadillac-service-dubai/exhaust-repair</x:v>
      </x:c>
      <x:c r="W208" s="6" t="str">
        <x:v>Noindex directive</x:v>
      </x:c>
      <x:c r="X208" s="6" t="n">
        <x:v>16</x:v>
      </x:c>
      <x:c r="Y208" s="6" t="str">
        <x:v>إصلاح العادم Cadillac في دبي | ديجي-تك</x:v>
      </x:c>
      <x:c r="Z208" s="6" t="str"/>
      <x:c r="AA208" s="6" t="str">
        <x:v>No / not compared</x:v>
      </x:c>
    </x:row>
    <x:row r="209" ht="42" customHeight="1">
      <x:c r="A209" s="6" t="str">
        <x:v>https://digitecme.com/ar/brands/cadillac-service-dubai/fuel-system-repair</x:v>
      </x:c>
      <x:c r="B209" s="6" t="str"/>
      <x:c r="C209" s="6" t="str"/>
      <x:c r="D209" s="6" t="str">
        <x:v>brand-service</x:v>
      </x:c>
      <x:c r="E209" s="6" t="str">
        <x:v>Retain differentiated role</x:v>
      </x:c>
      <x:c r="F209" s="6" t="str">
        <x:v>Local source render; live version unverified</x:v>
      </x:c>
      <x:c r="G209" s="6" t="str">
        <x:v>إصلاح نظام الوقود Cadillac في دبي | ديجي-تك</x:v>
      </x:c>
      <x:c r="H209" s="6" t="str">
        <x:v>إصلاح نظام الوقود Cadillac في دبي | ديجي-تك</x:v>
      </x:c>
      <x:c r="I209" s="6" t="str">
        <x:v>إصلاح نظام الوقود Cadillac في دبي</x:v>
      </x:c>
      <x:c r="J209" s="6" t="str">
        <x:v>إصلاح نظام الوقود Cadillac في دبي</x:v>
      </x:c>
      <x:c r="K209" s="6" t="str">
        <x:v>إصلاح نظام الوقود متخصص لسيارات Cadillac في دبي مع تشخيص متقدم وقطع مناسبة وتسعير واضح لدى مركز ديجي-تك.</x:v>
      </x:c>
      <x:c r="L209" s="6" t="str">
        <x:v>Retain pending evidence; no specific content edit justified by this export.</x:v>
      </x:c>
      <x:c r="M209" s="6" t="str">
        <x:v>Retain; inspect relevant context before adding links</x:v>
      </x:c>
      <x:c r="N209" s="6" t="str">
        <x:v>Unconfirmed — no query/page pairing</x:v>
      </x:c>
      <x:c r="O209" s="6" t="str">
        <x:v>Retain established booking / WhatsApp / call path; live behaviour untested</x:v>
      </x:c>
      <x:c r="P209" s="6" t="str">
        <x:v>Retain canonical and indexation policy pending a live check.</x:v>
      </x:c>
      <x:c r="Q209" s="6" t="str">
        <x:v>Proposed; no website change made</x:v>
      </x:c>
      <x:c r="R209" s="14"/>
      <x:c r="S209" s="14"/>
      <x:c r="T209" s="15"/>
      <x:c r="U209" s="16"/>
      <x:c r="V209" s="6" t="str">
        <x:v>https://digitecme.com/ar/brands/cadillac-service-dubai/fuel-system-repair</x:v>
      </x:c>
      <x:c r="W209" s="6" t="str">
        <x:v>Noindex directive</x:v>
      </x:c>
      <x:c r="X209" s="6" t="n">
        <x:v>16</x:v>
      </x:c>
      <x:c r="Y209" s="6" t="str">
        <x:v>إصلاح نظام الوقود Cadillac في دبي | ديجي-تك</x:v>
      </x:c>
      <x:c r="Z209" s="6" t="str"/>
      <x:c r="AA209" s="6" t="str">
        <x:v>No / not compared</x:v>
      </x:c>
    </x:row>
    <x:row r="210" ht="42" customHeight="1">
      <x:c r="A210" s="6" t="str">
        <x:v>https://digitecme.com/ar/brands/cadillac-service-dubai/mechanical-repair</x:v>
      </x:c>
      <x:c r="B210" s="6" t="str"/>
      <x:c r="C210" s="6" t="str"/>
      <x:c r="D210" s="6" t="str">
        <x:v>brand-service</x:v>
      </x:c>
      <x:c r="E210" s="6" t="str">
        <x:v>Retain differentiated role</x:v>
      </x:c>
      <x:c r="F210" s="6" t="str">
        <x:v>Local source render; live version unverified</x:v>
      </x:c>
      <x:c r="G210" s="6" t="str">
        <x:v>الإصلاح الميكانيكي Cadillac في دبي | ديجي-تك</x:v>
      </x:c>
      <x:c r="H210" s="6" t="str">
        <x:v>الإصلاح الميكانيكي Cadillac في دبي | ديجي-تك</x:v>
      </x:c>
      <x:c r="I210" s="6" t="str">
        <x:v>الإصلاح الميكانيكي Cadillac في دبي</x:v>
      </x:c>
      <x:c r="J210" s="6" t="str">
        <x:v>الإصلاح الميكانيكي Cadillac في دبي</x:v>
      </x:c>
      <x:c r="K210" s="6" t="str">
        <x:v>الإصلاح الميكانيكي متخصص لسيارات Cadillac في دبي مع تشخيص متقدم وقطع مناسبة وتسعير واضح لدى مركز ديجي-تك.</x:v>
      </x:c>
      <x:c r="L210" s="6" t="str">
        <x:v>Retain pending evidence; no specific content edit justified by this export.</x:v>
      </x:c>
      <x:c r="M210" s="6" t="str">
        <x:v>Retain; inspect relevant context before adding links</x:v>
      </x:c>
      <x:c r="N210" s="6" t="str">
        <x:v>Unconfirmed — no query/page pairing</x:v>
      </x:c>
      <x:c r="O210" s="6" t="str">
        <x:v>Retain established booking / WhatsApp / call path; live behaviour untested</x:v>
      </x:c>
      <x:c r="P210" s="6" t="str">
        <x:v>Retain canonical and indexation policy pending a live check.</x:v>
      </x:c>
      <x:c r="Q210" s="6" t="str">
        <x:v>Proposed; no website change made</x:v>
      </x:c>
      <x:c r="R210" s="14"/>
      <x:c r="S210" s="14"/>
      <x:c r="T210" s="15"/>
      <x:c r="U210" s="16"/>
      <x:c r="V210" s="6" t="str">
        <x:v>https://digitecme.com/ar/brands/cadillac-service-dubai/mechanical-repair</x:v>
      </x:c>
      <x:c r="W210" s="6" t="str">
        <x:v>Noindex directive</x:v>
      </x:c>
      <x:c r="X210" s="6" t="n">
        <x:v>16</x:v>
      </x:c>
      <x:c r="Y210" s="6" t="str">
        <x:v>الإصلاح الميكانيكي Cadillac في دبي | ديجي-تك</x:v>
      </x:c>
      <x:c r="Z210" s="6" t="str"/>
      <x:c r="AA210" s="6" t="str">
        <x:v>No / not compared</x:v>
      </x:c>
    </x:row>
    <x:row r="211" ht="42" customHeight="1">
      <x:c r="A211" s="6" t="str">
        <x:v>https://digitecme.com/ar/brands/cadillac-service-dubai/oil-change</x:v>
      </x:c>
      <x:c r="B211" s="6" t="str"/>
      <x:c r="C211" s="6" t="str"/>
      <x:c r="D211" s="6" t="str">
        <x:v>brand-service</x:v>
      </x:c>
      <x:c r="E211" s="6" t="str">
        <x:v>Retain differentiated role</x:v>
      </x:c>
      <x:c r="F211" s="6" t="str">
        <x:v>Local source render; live version unverified</x:v>
      </x:c>
      <x:c r="G211" s="6" t="str">
        <x:v>تغيير الزيت Cadillac في دبي | ديجي-تك</x:v>
      </x:c>
      <x:c r="H211" s="6" t="str">
        <x:v>تغيير الزيت Cadillac في دبي | ديجي-تك</x:v>
      </x:c>
      <x:c r="I211" s="6" t="str">
        <x:v>تغيير الزيت Cadillac في دبي</x:v>
      </x:c>
      <x:c r="J211" s="6" t="str">
        <x:v>تغيير الزيت Cadillac في دبي</x:v>
      </x:c>
      <x:c r="K211" s="6" t="str">
        <x:v>تغيير الزيت متخصص لسيارات Cadillac في دبي مع تشخيص متقدم وقطع مناسبة وتسعير واضح لدى مركز ديجي-تك.</x:v>
      </x:c>
      <x:c r="L211" s="6" t="str">
        <x:v>Retain pending evidence; no specific content edit justified by this export.</x:v>
      </x:c>
      <x:c r="M211" s="6" t="str">
        <x:v>Retain; inspect relevant context before adding links</x:v>
      </x:c>
      <x:c r="N211" s="6" t="str">
        <x:v>Unconfirmed — no query/page pairing</x:v>
      </x:c>
      <x:c r="O211" s="6" t="str">
        <x:v>Retain established booking / WhatsApp / call path; live behaviour untested</x:v>
      </x:c>
      <x:c r="P211" s="6" t="str">
        <x:v>Retain canonical and indexation policy pending a live check.</x:v>
      </x:c>
      <x:c r="Q211" s="6" t="str">
        <x:v>Proposed; no website change made</x:v>
      </x:c>
      <x:c r="R211" s="14"/>
      <x:c r="S211" s="14"/>
      <x:c r="T211" s="15"/>
      <x:c r="U211" s="16"/>
      <x:c r="V211" s="6" t="str">
        <x:v>https://digitecme.com/ar/brands/cadillac-service-dubai/oil-change</x:v>
      </x:c>
      <x:c r="W211" s="6" t="str">
        <x:v>Indexable directive</x:v>
      </x:c>
      <x:c r="X211" s="6" t="n">
        <x:v>16</x:v>
      </x:c>
      <x:c r="Y211" s="6" t="str">
        <x:v>تغيير الزيت Cadillac في دبي | ديجي-تك</x:v>
      </x:c>
      <x:c r="Z211" s="6" t="str"/>
      <x:c r="AA211" s="6" t="str">
        <x:v>No / not compared</x:v>
      </x:c>
    </x:row>
    <x:row r="212" ht="42" customHeight="1">
      <x:c r="A212" s="6" t="str">
        <x:v>https://digitecme.com/ar/brands/cadillac-service-dubai/steering-repair</x:v>
      </x:c>
      <x:c r="B212" s="6" t="str"/>
      <x:c r="C212" s="6" t="str"/>
      <x:c r="D212" s="6" t="str">
        <x:v>brand-service</x:v>
      </x:c>
      <x:c r="E212" s="6" t="str">
        <x:v>Retain differentiated role</x:v>
      </x:c>
      <x:c r="F212" s="6" t="str">
        <x:v>Local source render; live version unverified</x:v>
      </x:c>
      <x:c r="G212" s="6" t="str">
        <x:v>إصلاح نظام التوجيه Cadillac في دبي | ديجي-تك</x:v>
      </x:c>
      <x:c r="H212" s="6" t="str">
        <x:v>إصلاح نظام التوجيه Cadillac في دبي | ديجي-تك</x:v>
      </x:c>
      <x:c r="I212" s="6" t="str">
        <x:v>إصلاح نظام التوجيه Cadillac في دبي</x:v>
      </x:c>
      <x:c r="J212" s="6" t="str">
        <x:v>إصلاح نظام التوجيه Cadillac في دبي</x:v>
      </x:c>
      <x:c r="K212" s="6" t="str">
        <x:v>إصلاح نظام التوجيه متخصص لسيارات Cadillac في دبي مع تشخيص متقدم وقطع مناسبة وتسعير واضح لدى مركز ديجي-تك.</x:v>
      </x:c>
      <x:c r="L212" s="6" t="str">
        <x:v>Retain pending evidence; no specific content edit justified by this export.</x:v>
      </x:c>
      <x:c r="M212" s="6" t="str">
        <x:v>Retain; inspect relevant context before adding links</x:v>
      </x:c>
      <x:c r="N212" s="6" t="str">
        <x:v>Unconfirmed — no query/page pairing</x:v>
      </x:c>
      <x:c r="O212" s="6" t="str">
        <x:v>Retain established booking / WhatsApp / call path; live behaviour untested</x:v>
      </x:c>
      <x:c r="P212" s="6" t="str">
        <x:v>Retain canonical and indexation policy pending a live check.</x:v>
      </x:c>
      <x:c r="Q212" s="6" t="str">
        <x:v>Proposed; no website change made</x:v>
      </x:c>
      <x:c r="R212" s="14"/>
      <x:c r="S212" s="14"/>
      <x:c r="T212" s="15"/>
      <x:c r="U212" s="16"/>
      <x:c r="V212" s="6" t="str">
        <x:v>https://digitecme.com/ar/brands/cadillac-service-dubai/steering-repair</x:v>
      </x:c>
      <x:c r="W212" s="6" t="str">
        <x:v>Noindex directive</x:v>
      </x:c>
      <x:c r="X212" s="6" t="n">
        <x:v>16</x:v>
      </x:c>
      <x:c r="Y212" s="6" t="str">
        <x:v>إصلاح نظام التوجيه Cadillac في دبي | ديجي-تك</x:v>
      </x:c>
      <x:c r="Z212" s="6" t="str"/>
      <x:c r="AA212" s="6" t="str">
        <x:v>No / not compared</x:v>
      </x:c>
    </x:row>
    <x:row r="213" ht="42" customHeight="1">
      <x:c r="A213" s="6" t="str">
        <x:v>https://digitecme.com/ar/brands/cadillac-service-dubai/suspension-repair</x:v>
      </x:c>
      <x:c r="B213" s="6" t="str"/>
      <x:c r="C213" s="6" t="str"/>
      <x:c r="D213" s="6" t="str">
        <x:v>brand-service</x:v>
      </x:c>
      <x:c r="E213" s="6" t="str">
        <x:v>Retain differentiated role</x:v>
      </x:c>
      <x:c r="F213" s="6" t="str">
        <x:v>Local source render; live version unverified</x:v>
      </x:c>
      <x:c r="G213" s="6" t="str">
        <x:v>إصلاح التعليق Cadillac في دبي | ديجي-تك</x:v>
      </x:c>
      <x:c r="H213" s="6" t="str">
        <x:v>إصلاح التعليق Cadillac في دبي | ديجي-تك</x:v>
      </x:c>
      <x:c r="I213" s="6" t="str">
        <x:v>إصلاح التعليق Cadillac في دبي</x:v>
      </x:c>
      <x:c r="J213" s="6" t="str">
        <x:v>إصلاح التعليق Cadillac في دبي</x:v>
      </x:c>
      <x:c r="K213" s="6" t="str">
        <x:v>إصلاح التعليق متخصص لسيارات Cadillac في دبي مع تشخيص متقدم وقطع مناسبة وتسعير واضح لدى مركز ديجي-تك.</x:v>
      </x:c>
      <x:c r="L213" s="6" t="str">
        <x:v>Retain pending evidence; no specific content edit justified by this export.</x:v>
      </x:c>
      <x:c r="M213" s="6" t="str">
        <x:v>Retain; inspect relevant context before adding links</x:v>
      </x:c>
      <x:c r="N213" s="6" t="str">
        <x:v>Unconfirmed — no query/page pairing</x:v>
      </x:c>
      <x:c r="O213" s="6" t="str">
        <x:v>Retain established booking / WhatsApp / call path; live behaviour untested</x:v>
      </x:c>
      <x:c r="P213" s="6" t="str">
        <x:v>Retain canonical and indexation policy pending a live check.</x:v>
      </x:c>
      <x:c r="Q213" s="6" t="str">
        <x:v>Proposed; no website change made</x:v>
      </x:c>
      <x:c r="R213" s="14"/>
      <x:c r="S213" s="14"/>
      <x:c r="T213" s="15"/>
      <x:c r="U213" s="16"/>
      <x:c r="V213" s="6" t="str">
        <x:v>https://digitecme.com/ar/brands/cadillac-service-dubai/suspension-repair</x:v>
      </x:c>
      <x:c r="W213" s="6" t="str">
        <x:v>Noindex directive</x:v>
      </x:c>
      <x:c r="X213" s="6" t="n">
        <x:v>16</x:v>
      </x:c>
      <x:c r="Y213" s="6" t="str">
        <x:v>إصلاح التعليق Cadillac في دبي | ديجي-تك</x:v>
      </x:c>
      <x:c r="Z213" s="6" t="str"/>
      <x:c r="AA213" s="6" t="str">
        <x:v>No / not compared</x:v>
      </x:c>
    </x:row>
    <x:row r="214" ht="42" customHeight="1">
      <x:c r="A214" s="6" t="str">
        <x:v>https://digitecme.com/ar/brands/cadillac-service-dubai/tire-repair</x:v>
      </x:c>
      <x:c r="B214" s="6" t="str"/>
      <x:c r="C214" s="6" t="str"/>
      <x:c r="D214" s="6" t="str">
        <x:v>brand-service</x:v>
      </x:c>
      <x:c r="E214" s="6" t="str">
        <x:v>Retain differentiated role</x:v>
      </x:c>
      <x:c r="F214" s="6" t="str">
        <x:v>Local source render; live version unverified</x:v>
      </x:c>
      <x:c r="G214" s="6" t="str">
        <x:v>إصلاح الإطارات Cadillac في دبي | ديجي-تك</x:v>
      </x:c>
      <x:c r="H214" s="6" t="str">
        <x:v>إصلاح الإطارات Cadillac في دبي | ديجي-تك</x:v>
      </x:c>
      <x:c r="I214" s="6" t="str">
        <x:v>إصلاح الإطارات Cadillac في دبي</x:v>
      </x:c>
      <x:c r="J214" s="6" t="str">
        <x:v>إصلاح الإطارات Cadillac في دبي</x:v>
      </x:c>
      <x:c r="K214" s="6" t="str">
        <x:v>إصلاح الإطارات متخصص لسيارات Cadillac في دبي مع تشخيص متقدم وقطع مناسبة وتسعير واضح لدى مركز ديجي-تك.</x:v>
      </x:c>
      <x:c r="L214" s="6" t="str">
        <x:v>Retain pending evidence; no specific content edit justified by this export.</x:v>
      </x:c>
      <x:c r="M214" s="6" t="str">
        <x:v>Retain; inspect relevant context before adding links</x:v>
      </x:c>
      <x:c r="N214" s="6" t="str">
        <x:v>Unconfirmed — no query/page pairing</x:v>
      </x:c>
      <x:c r="O214" s="6" t="str">
        <x:v>Retain established booking / WhatsApp / call path; live behaviour untested</x:v>
      </x:c>
      <x:c r="P214" s="6" t="str">
        <x:v>Retain canonical and indexation policy pending a live check.</x:v>
      </x:c>
      <x:c r="Q214" s="6" t="str">
        <x:v>Proposed; no website change made</x:v>
      </x:c>
      <x:c r="R214" s="14"/>
      <x:c r="S214" s="14"/>
      <x:c r="T214" s="15"/>
      <x:c r="U214" s="16"/>
      <x:c r="V214" s="6" t="str">
        <x:v>https://digitecme.com/ar/brands/cadillac-service-dubai/tire-repair</x:v>
      </x:c>
      <x:c r="W214" s="6" t="str">
        <x:v>Noindex directive</x:v>
      </x:c>
      <x:c r="X214" s="6" t="n">
        <x:v>16</x:v>
      </x:c>
      <x:c r="Y214" s="6" t="str">
        <x:v>إصلاح الإطارات Cadillac في دبي | ديجي-تك</x:v>
      </x:c>
      <x:c r="Z214" s="6" t="str"/>
      <x:c r="AA214" s="6" t="str">
        <x:v>No / not compared</x:v>
      </x:c>
    </x:row>
    <x:row r="215" ht="42" customHeight="1">
      <x:c r="A215" s="6" t="str">
        <x:v>https://digitecme.com/ar/brands/cadillac-service-dubai/transmission-repair</x:v>
      </x:c>
      <x:c r="B215" s="6" t="str"/>
      <x:c r="C215" s="6" t="str"/>
      <x:c r="D215" s="6" t="str">
        <x:v>brand-service</x:v>
      </x:c>
      <x:c r="E215" s="6" t="str">
        <x:v>Retain differentiated role</x:v>
      </x:c>
      <x:c r="F215" s="6" t="str">
        <x:v>Local source render; live version unverified</x:v>
      </x:c>
      <x:c r="G215" s="6" t="str">
        <x:v>إصلاح ناقل الحركة Cadillac في دبي | ديجي-تك</x:v>
      </x:c>
      <x:c r="H215" s="6" t="str">
        <x:v>إصلاح ناقل الحركة Cadillac في دبي | ديجي-تك</x:v>
      </x:c>
      <x:c r="I215" s="6" t="str">
        <x:v>إصلاح ناقل الحركة Cadillac في دبي</x:v>
      </x:c>
      <x:c r="J215" s="6" t="str">
        <x:v>إصلاح ناقل الحركة Cadillac في دبي</x:v>
      </x:c>
      <x:c r="K215" s="6" t="str">
        <x:v>إصلاح ناقل الحركة متخصص لسيارات Cadillac في دبي مع تشخيص متقدم وقطع مناسبة وتسعير واضح لدى مركز ديجي-تك.</x:v>
      </x:c>
      <x:c r="L215" s="6" t="str">
        <x:v>Retain pending evidence; no specific content edit justified by this export.</x:v>
      </x:c>
      <x:c r="M215" s="6" t="str">
        <x:v>Retain; inspect relevant context before adding links</x:v>
      </x:c>
      <x:c r="N215" s="6" t="str">
        <x:v>Unconfirmed — no query/page pairing</x:v>
      </x:c>
      <x:c r="O215" s="6" t="str">
        <x:v>Retain established booking / WhatsApp / call path; live behaviour untested</x:v>
      </x:c>
      <x:c r="P215" s="6" t="str">
        <x:v>Retain canonical and indexation policy pending a live check.</x:v>
      </x:c>
      <x:c r="Q215" s="6" t="str">
        <x:v>Proposed; no website change made</x:v>
      </x:c>
      <x:c r="R215" s="14"/>
      <x:c r="S215" s="14"/>
      <x:c r="T215" s="15"/>
      <x:c r="U215" s="16"/>
      <x:c r="V215" s="6" t="str">
        <x:v>https://digitecme.com/ar/brands/cadillac-service-dubai/transmission-repair</x:v>
      </x:c>
      <x:c r="W215" s="6" t="str">
        <x:v>Noindex directive</x:v>
      </x:c>
      <x:c r="X215" s="6" t="n">
        <x:v>16</x:v>
      </x:c>
      <x:c r="Y215" s="6" t="str">
        <x:v>إصلاح ناقل الحركة Cadillac في دبي | ديجي-تك</x:v>
      </x:c>
      <x:c r="Z215" s="6" t="str"/>
      <x:c r="AA215" s="6" t="str">
        <x:v>No / not compared</x:v>
      </x:c>
    </x:row>
    <x:row r="216" ht="42" customHeight="1">
      <x:c r="A216" s="6" t="str">
        <x:v>https://digitecme.com/ar/brands/chevrolet-service-dubai</x:v>
      </x:c>
      <x:c r="B216" s="6" t="str"/>
      <x:c r="C216" s="6" t="str"/>
      <x:c r="D216" s="6" t="str">
        <x:v>brand</x:v>
      </x:c>
      <x:c r="E216" s="6" t="str">
        <x:v>Retain differentiated role</x:v>
      </x:c>
      <x:c r="F216" s="6" t="str">
        <x:v>Local source render; live version unverified</x:v>
      </x:c>
      <x:c r="G216" s="6" t="str">
        <x:v>إصلاح وصيانة Chevrolet في دبي | مركز ديجي-تك</x:v>
      </x:c>
      <x:c r="H216" s="6" t="str">
        <x:v>إصلاح وصيانة Chevrolet في دبي | مركز ديجي-تك</x:v>
      </x:c>
      <x:c r="I216" s="6" t="str">
        <x:v>Chevrolet للإصلاح والصيانة في دبي</x:v>
      </x:c>
      <x:c r="J216" s="6" t="str">
        <x:v>Chevrolet للإصلاح والصيانة في دبي</x:v>
      </x:c>
      <x:c r="K216" s="6" t="str">
        <x:v>إصلاح وصيانة Chevrolet في دبي: تشخيص وصيانة وفرامل وناقل حركة وتعليق وتكييف مع قطع بالمواصفات المناسبة لدى مركز ديجي-تك.</x:v>
      </x:c>
      <x:c r="L216" s="6" t="str">
        <x:v>Retain pending evidence; no specific content edit justified by this export.</x:v>
      </x:c>
      <x:c r="M216" s="6" t="str">
        <x:v>Retain; inspect relevant context before adding links</x:v>
      </x:c>
      <x:c r="N216" s="6" t="str">
        <x:v>Unconfirmed — no query/page pairing</x:v>
      </x:c>
      <x:c r="O216" s="6" t="str">
        <x:v>Retain established booking / WhatsApp / call path; live behaviour untested</x:v>
      </x:c>
      <x:c r="P216" s="6" t="str">
        <x:v>Retain canonical and indexation policy pending a live check.</x:v>
      </x:c>
      <x:c r="Q216" s="6" t="str">
        <x:v>Proposed; no website change made</x:v>
      </x:c>
      <x:c r="R216" s="14" t="n">
        <x:v>1</x:v>
      </x:c>
      <x:c r="S216" s="14" t="n">
        <x:v>4</x:v>
      </x:c>
      <x:c r="T216" s="15" t="n">
        <x:v>0.25</x:v>
      </x:c>
      <x:c r="U216" s="16" t="n">
        <x:v>27.25</x:v>
      </x:c>
      <x:c r="V216" s="6" t="str">
        <x:v>https://digitecme.com/ar/brands/chevrolet-service-dubai</x:v>
      </x:c>
      <x:c r="W216" s="6" t="str">
        <x:v>Indexable directive</x:v>
      </x:c>
      <x:c r="X216" s="6" t="n">
        <x:v>30</x:v>
      </x:c>
      <x:c r="Y216" s="6" t="str">
        <x:v>إصلاح وصيانة Chevrolet في دبي | مركز ديجي-تك</x:v>
      </x:c>
      <x:c r="Z216" s="6" t="str"/>
      <x:c r="AA216" s="6" t="str">
        <x:v>No / not compared</x:v>
      </x:c>
    </x:row>
    <x:row r="217" ht="42" customHeight="1">
      <x:c r="A217" s="6" t="str">
        <x:v>https://digitecme.com/ar/brands/chevrolet-service-dubai/ac-repair</x:v>
      </x:c>
      <x:c r="B217" s="6" t="str"/>
      <x:c r="C217" s="6" t="str"/>
      <x:c r="D217" s="6" t="str">
        <x:v>brand-service</x:v>
      </x:c>
      <x:c r="E217" s="6" t="str">
        <x:v>Retain differentiated role</x:v>
      </x:c>
      <x:c r="F217" s="6" t="str">
        <x:v>Local source render; live version unverified</x:v>
      </x:c>
      <x:c r="G217" s="6" t="str">
        <x:v>إصلاح التكييف Chevrolet في دبي | ديجي-تك</x:v>
      </x:c>
      <x:c r="H217" s="6" t="str">
        <x:v>إصلاح التكييف Chevrolet في دبي | ديجي-تك</x:v>
      </x:c>
      <x:c r="I217" s="6" t="str">
        <x:v>إصلاح التكييف Chevrolet في دبي</x:v>
      </x:c>
      <x:c r="J217" s="6" t="str">
        <x:v>إصلاح التكييف Chevrolet في دبي</x:v>
      </x:c>
      <x:c r="K217" s="6" t="str">
        <x:v>إصلاح التكييف متخصص لسيارات Chevrolet في دبي مع تشخيص متقدم وقطع مناسبة وتسعير واضح لدى مركز ديجي-تك.</x:v>
      </x:c>
      <x:c r="L217" s="6" t="str">
        <x:v>Retain pending evidence; no specific content edit justified by this export.</x:v>
      </x:c>
      <x:c r="M217" s="6" t="str">
        <x:v>Retain; inspect relevant context before adding links</x:v>
      </x:c>
      <x:c r="N217" s="6" t="str">
        <x:v>Unconfirmed — no query/page pairing</x:v>
      </x:c>
      <x:c r="O217" s="6" t="str">
        <x:v>Retain established booking / WhatsApp / call path; live behaviour untested</x:v>
      </x:c>
      <x:c r="P217" s="6" t="str">
        <x:v>Retain canonical and indexation policy pending a live check.</x:v>
      </x:c>
      <x:c r="Q217" s="6" t="str">
        <x:v>Proposed; no website change made</x:v>
      </x:c>
      <x:c r="R217" s="14"/>
      <x:c r="S217" s="14"/>
      <x:c r="T217" s="15"/>
      <x:c r="U217" s="16"/>
      <x:c r="V217" s="6" t="str">
        <x:v>https://digitecme.com/ar/brands/chevrolet-service-dubai/ac-repair</x:v>
      </x:c>
      <x:c r="W217" s="6" t="str">
        <x:v>Indexable directive</x:v>
      </x:c>
      <x:c r="X217" s="6" t="n">
        <x:v>8</x:v>
      </x:c>
      <x:c r="Y217" s="6" t="str">
        <x:v>إصلاح التكييف Chevrolet في دبي | ديجي-تك</x:v>
      </x:c>
      <x:c r="Z217" s="6" t="str"/>
      <x:c r="AA217" s="6" t="str">
        <x:v>No / not compared</x:v>
      </x:c>
    </x:row>
    <x:row r="218" ht="42" customHeight="1">
      <x:c r="A218" s="6" t="str">
        <x:v>https://digitecme.com/ar/brands/chevrolet-service-dubai/brake-repair</x:v>
      </x:c>
      <x:c r="B218" s="6" t="str"/>
      <x:c r="C218" s="6" t="str"/>
      <x:c r="D218" s="6" t="str">
        <x:v>brand-service</x:v>
      </x:c>
      <x:c r="E218" s="6" t="str">
        <x:v>Retain differentiated role</x:v>
      </x:c>
      <x:c r="F218" s="6" t="str">
        <x:v>Local source render; live version unverified</x:v>
      </x:c>
      <x:c r="G218" s="6" t="str">
        <x:v>إصلاح الفرامل Chevrolet في دبي | ديجي-تك</x:v>
      </x:c>
      <x:c r="H218" s="6" t="str">
        <x:v>إصلاح الفرامل Chevrolet في دبي | ديجي-تك</x:v>
      </x:c>
      <x:c r="I218" s="6" t="str">
        <x:v>إصلاح الفرامل Chevrolet في دبي</x:v>
      </x:c>
      <x:c r="J218" s="6" t="str">
        <x:v>إصلاح الفرامل Chevrolet في دبي</x:v>
      </x:c>
      <x:c r="K218" s="6" t="str">
        <x:v>إصلاح الفرامل متخصص لسيارات Chevrolet في دبي مع تشخيص متقدم وقطع مناسبة وتسعير واضح لدى مركز ديجي-تك.</x:v>
      </x:c>
      <x:c r="L218" s="6" t="str">
        <x:v>Retain pending evidence; no specific content edit justified by this export.</x:v>
      </x:c>
      <x:c r="M218" s="6" t="str">
        <x:v>Retain; inspect relevant context before adding links</x:v>
      </x:c>
      <x:c r="N218" s="6" t="str">
        <x:v>Unconfirmed — no query/page pairing</x:v>
      </x:c>
      <x:c r="O218" s="6" t="str">
        <x:v>Retain established booking / WhatsApp / call path; live behaviour untested</x:v>
      </x:c>
      <x:c r="P218" s="6" t="str">
        <x:v>Retain canonical and indexation policy pending a live check.</x:v>
      </x:c>
      <x:c r="Q218" s="6" t="str">
        <x:v>Proposed; no website change made</x:v>
      </x:c>
      <x:c r="R218" s="14"/>
      <x:c r="S218" s="14"/>
      <x:c r="T218" s="15"/>
      <x:c r="U218" s="16"/>
      <x:c r="V218" s="6" t="str">
        <x:v>https://digitecme.com/ar/brands/chevrolet-service-dubai/brake-repair</x:v>
      </x:c>
      <x:c r="W218" s="6" t="str">
        <x:v>Indexable directive</x:v>
      </x:c>
      <x:c r="X218" s="6" t="n">
        <x:v>8</x:v>
      </x:c>
      <x:c r="Y218" s="6" t="str">
        <x:v>إصلاح الفرامل Chevrolet في دبي | ديجي-تك</x:v>
      </x:c>
      <x:c r="Z218" s="6" t="str"/>
      <x:c r="AA218" s="6" t="str">
        <x:v>No / not compared</x:v>
      </x:c>
    </x:row>
    <x:row r="219" ht="42" customHeight="1">
      <x:c r="A219" s="6" t="str">
        <x:v>https://digitecme.com/ar/brands/chevrolet-service-dubai/engine-diagnostics</x:v>
      </x:c>
      <x:c r="B219" s="6" t="str"/>
      <x:c r="C219" s="6" t="str"/>
      <x:c r="D219" s="6" t="str">
        <x:v>brand-service</x:v>
      </x:c>
      <x:c r="E219" s="6" t="str">
        <x:v>Retain differentiated role</x:v>
      </x:c>
      <x:c r="F219" s="6" t="str">
        <x:v>Local source render; live version unverified</x:v>
      </x:c>
      <x:c r="G219" s="6" t="str">
        <x:v>تشخيص المحرك Chevrolet في دبي | ديجي-تك</x:v>
      </x:c>
      <x:c r="H219" s="6" t="str">
        <x:v>تشخيص المحرك Chevrolet في دبي | ديجي-تك</x:v>
      </x:c>
      <x:c r="I219" s="6" t="str">
        <x:v>تشخيص المحرك Chevrolet في دبي</x:v>
      </x:c>
      <x:c r="J219" s="6" t="str">
        <x:v>تشخيص المحرك Chevrolet في دبي</x:v>
      </x:c>
      <x:c r="K219" s="6" t="str">
        <x:v>تشخيص المحرك متخصص لسيارات Chevrolet في دبي مع تشخيص متقدم وقطع مناسبة وتسعير واضح لدى مركز ديجي-تك.</x:v>
      </x:c>
      <x:c r="L219" s="6" t="str">
        <x:v>Retain pending evidence; no specific content edit justified by this export.</x:v>
      </x:c>
      <x:c r="M219" s="6" t="str">
        <x:v>Retain; inspect relevant context before adding links</x:v>
      </x:c>
      <x:c r="N219" s="6" t="str">
        <x:v>Unconfirmed — no query/page pairing</x:v>
      </x:c>
      <x:c r="O219" s="6" t="str">
        <x:v>Retain established booking / WhatsApp / call path; live behaviour untested</x:v>
      </x:c>
      <x:c r="P219" s="6" t="str">
        <x:v>Retain canonical and indexation policy pending a live check.</x:v>
      </x:c>
      <x:c r="Q219" s="6" t="str">
        <x:v>Proposed; no website change made</x:v>
      </x:c>
      <x:c r="R219" s="14"/>
      <x:c r="S219" s="14"/>
      <x:c r="T219" s="15"/>
      <x:c r="U219" s="16"/>
      <x:c r="V219" s="6" t="str">
        <x:v>https://digitecme.com/ar/brands/chevrolet-service-dubai/engine-diagnostics</x:v>
      </x:c>
      <x:c r="W219" s="6" t="str">
        <x:v>Indexable directive</x:v>
      </x:c>
      <x:c r="X219" s="6" t="n">
        <x:v>8</x:v>
      </x:c>
      <x:c r="Y219" s="6" t="str">
        <x:v>تشخيص المحرك Chevrolet في دبي | ديجي-تك</x:v>
      </x:c>
      <x:c r="Z219" s="6" t="str"/>
      <x:c r="AA219" s="6" t="str">
        <x:v>No / not compared</x:v>
      </x:c>
    </x:row>
    <x:row r="220" ht="42" customHeight="1">
      <x:c r="A220" s="6" t="str">
        <x:v>https://digitecme.com/ar/brands/chevrolet-service-dubai/oil-change</x:v>
      </x:c>
      <x:c r="B220" s="6" t="str"/>
      <x:c r="C220" s="6" t="str"/>
      <x:c r="D220" s="6" t="str">
        <x:v>brand-service</x:v>
      </x:c>
      <x:c r="E220" s="6" t="str">
        <x:v>Retain differentiated role</x:v>
      </x:c>
      <x:c r="F220" s="6" t="str">
        <x:v>Local source render; live version unverified</x:v>
      </x:c>
      <x:c r="G220" s="6" t="str">
        <x:v>تغيير الزيت Chevrolet في دبي | ديجي-تك</x:v>
      </x:c>
      <x:c r="H220" s="6" t="str">
        <x:v>تغيير الزيت Chevrolet في دبي | ديجي-تك</x:v>
      </x:c>
      <x:c r="I220" s="6" t="str">
        <x:v>تغيير الزيت Chevrolet في دبي</x:v>
      </x:c>
      <x:c r="J220" s="6" t="str">
        <x:v>تغيير الزيت Chevrolet في دبي</x:v>
      </x:c>
      <x:c r="K220" s="6" t="str">
        <x:v>تغيير الزيت متخصص لسيارات Chevrolet في دبي مع تشخيص متقدم وقطع مناسبة وتسعير واضح لدى مركز ديجي-تك.</x:v>
      </x:c>
      <x:c r="L220" s="6" t="str">
        <x:v>Retain pending evidence; no specific content edit justified by this export.</x:v>
      </x:c>
      <x:c r="M220" s="6" t="str">
        <x:v>Retain; inspect relevant context before adding links</x:v>
      </x:c>
      <x:c r="N220" s="6" t="str">
        <x:v>Unconfirmed — no query/page pairing</x:v>
      </x:c>
      <x:c r="O220" s="6" t="str">
        <x:v>Retain established booking / WhatsApp / call path; live behaviour untested</x:v>
      </x:c>
      <x:c r="P220" s="6" t="str">
        <x:v>Retain canonical and indexation policy pending a live check.</x:v>
      </x:c>
      <x:c r="Q220" s="6" t="str">
        <x:v>Proposed; no website change made</x:v>
      </x:c>
      <x:c r="R220" s="14"/>
      <x:c r="S220" s="14"/>
      <x:c r="T220" s="15"/>
      <x:c r="U220" s="16"/>
      <x:c r="V220" s="6" t="str">
        <x:v>https://digitecme.com/ar/brands/chevrolet-service-dubai/oil-change</x:v>
      </x:c>
      <x:c r="W220" s="6" t="str">
        <x:v>Indexable directive</x:v>
      </x:c>
      <x:c r="X220" s="6" t="n">
        <x:v>8</x:v>
      </x:c>
      <x:c r="Y220" s="6" t="str">
        <x:v>تغيير الزيت Chevrolet في دبي | ديجي-تك</x:v>
      </x:c>
      <x:c r="Z220" s="6" t="str"/>
      <x:c r="AA220" s="6" t="str">
        <x:v>No / not compared</x:v>
      </x:c>
    </x:row>
    <x:row r="221" ht="42" customHeight="1">
      <x:c r="A221" s="6" t="str">
        <x:v>https://digitecme.com/ar/brands/chevrolet-service-dubai/suspension-repair</x:v>
      </x:c>
      <x:c r="B221" s="6" t="str"/>
      <x:c r="C221" s="6" t="str"/>
      <x:c r="D221" s="6" t="str">
        <x:v>brand-service</x:v>
      </x:c>
      <x:c r="E221" s="6" t="str">
        <x:v>Retain differentiated role</x:v>
      </x:c>
      <x:c r="F221" s="6" t="str">
        <x:v>Local source render; live version unverified</x:v>
      </x:c>
      <x:c r="G221" s="6" t="str">
        <x:v>إصلاح التعليق Chevrolet في دبي | ديجي-تك</x:v>
      </x:c>
      <x:c r="H221" s="6" t="str">
        <x:v>إصلاح التعليق Chevrolet في دبي | ديجي-تك</x:v>
      </x:c>
      <x:c r="I221" s="6" t="str">
        <x:v>إصلاح التعليق Chevrolet في دبي</x:v>
      </x:c>
      <x:c r="J221" s="6" t="str">
        <x:v>إصلاح التعليق Chevrolet في دبي</x:v>
      </x:c>
      <x:c r="K221" s="6" t="str">
        <x:v>إصلاح التعليق متخصص لسيارات Chevrolet في دبي مع تشخيص متقدم وقطع مناسبة وتسعير واضح لدى مركز ديجي-تك.</x:v>
      </x:c>
      <x:c r="L221" s="6" t="str">
        <x:v>Retain pending evidence; no specific content edit justified by this export.</x:v>
      </x:c>
      <x:c r="M221" s="6" t="str">
        <x:v>Retain; inspect relevant context before adding links</x:v>
      </x:c>
      <x:c r="N221" s="6" t="str">
        <x:v>Unconfirmed — no query/page pairing</x:v>
      </x:c>
      <x:c r="O221" s="6" t="str">
        <x:v>Retain established booking / WhatsApp / call path; live behaviour untested</x:v>
      </x:c>
      <x:c r="P221" s="6" t="str">
        <x:v>Retain canonical and indexation policy pending a live check.</x:v>
      </x:c>
      <x:c r="Q221" s="6" t="str">
        <x:v>Proposed; no website change made</x:v>
      </x:c>
      <x:c r="R221" s="14"/>
      <x:c r="S221" s="14"/>
      <x:c r="T221" s="15"/>
      <x:c r="U221" s="16"/>
      <x:c r="V221" s="6" t="str">
        <x:v>https://digitecme.com/ar/brands/chevrolet-service-dubai/suspension-repair</x:v>
      </x:c>
      <x:c r="W221" s="6" t="str">
        <x:v>Noindex directive</x:v>
      </x:c>
      <x:c r="X221" s="6" t="n">
        <x:v>8</x:v>
      </x:c>
      <x:c r="Y221" s="6" t="str">
        <x:v>إصلاح التعليق Chevrolet في دبي | ديجي-تك</x:v>
      </x:c>
      <x:c r="Z221" s="6" t="str"/>
      <x:c r="AA221" s="6" t="str">
        <x:v>No / not compared</x:v>
      </x:c>
    </x:row>
    <x:row r="222" ht="42" customHeight="1">
      <x:c r="A222" s="6" t="str">
        <x:v>https://digitecme.com/ar/brands/chevrolet-service-dubai/transmission-repair</x:v>
      </x:c>
      <x:c r="B222" s="6" t="str"/>
      <x:c r="C222" s="6" t="str"/>
      <x:c r="D222" s="6" t="str">
        <x:v>brand-service</x:v>
      </x:c>
      <x:c r="E222" s="6" t="str">
        <x:v>Retain differentiated role</x:v>
      </x:c>
      <x:c r="F222" s="6" t="str">
        <x:v>Local source render; live version unverified</x:v>
      </x:c>
      <x:c r="G222" s="6" t="str">
        <x:v>إصلاح ناقل الحركة Chevrolet في دبي | ديجي-تك</x:v>
      </x:c>
      <x:c r="H222" s="6" t="str">
        <x:v>إصلاح ناقل الحركة Chevrolet في دبي | ديجي-تك</x:v>
      </x:c>
      <x:c r="I222" s="6" t="str">
        <x:v>إصلاح ناقل الحركة Chevrolet في دبي</x:v>
      </x:c>
      <x:c r="J222" s="6" t="str">
        <x:v>إصلاح ناقل الحركة Chevrolet في دبي</x:v>
      </x:c>
      <x:c r="K222" s="6" t="str">
        <x:v>إصلاح ناقل الحركة متخصص لسيارات Chevrolet في دبي مع تشخيص متقدم وقطع مناسبة وتسعير واضح لدى مركز ديجي-تك.</x:v>
      </x:c>
      <x:c r="L222" s="6" t="str">
        <x:v>Retain pending evidence; no specific content edit justified by this export.</x:v>
      </x:c>
      <x:c r="M222" s="6" t="str">
        <x:v>Retain; inspect relevant context before adding links</x:v>
      </x:c>
      <x:c r="N222" s="6" t="str">
        <x:v>Unconfirmed — no query/page pairing</x:v>
      </x:c>
      <x:c r="O222" s="6" t="str">
        <x:v>Retain established booking / WhatsApp / call path; live behaviour untested</x:v>
      </x:c>
      <x:c r="P222" s="6" t="str">
        <x:v>Retain canonical and indexation policy pending a live check.</x:v>
      </x:c>
      <x:c r="Q222" s="6" t="str">
        <x:v>Proposed; no website change made</x:v>
      </x:c>
      <x:c r="R222" s="14"/>
      <x:c r="S222" s="14"/>
      <x:c r="T222" s="15"/>
      <x:c r="U222" s="16"/>
      <x:c r="V222" s="6" t="str">
        <x:v>https://digitecme.com/ar/brands/chevrolet-service-dubai/transmission-repair</x:v>
      </x:c>
      <x:c r="W222" s="6" t="str">
        <x:v>Noindex directive</x:v>
      </x:c>
      <x:c r="X222" s="6" t="n">
        <x:v>8</x:v>
      </x:c>
      <x:c r="Y222" s="6" t="str">
        <x:v>إصلاح ناقل الحركة Chevrolet في دبي | ديجي-تك</x:v>
      </x:c>
      <x:c r="Z222" s="6" t="str"/>
      <x:c r="AA222" s="6" t="str">
        <x:v>No / not compared</x:v>
      </x:c>
    </x:row>
    <x:row r="223" ht="42" customHeight="1">
      <x:c r="A223" s="6" t="str">
        <x:v>https://digitecme.com/ar/brands/chrysler-service-dubai</x:v>
      </x:c>
      <x:c r="B223" s="6" t="str"/>
      <x:c r="C223" s="6" t="str"/>
      <x:c r="D223" s="6" t="str">
        <x:v>brand</x:v>
      </x:c>
      <x:c r="E223" s="6" t="str">
        <x:v>Retain differentiated role</x:v>
      </x:c>
      <x:c r="F223" s="6" t="str">
        <x:v>Local source render; live version unverified</x:v>
      </x:c>
      <x:c r="G223" s="6" t="str">
        <x:v>إصلاح وصيانة Chrysler في دبي | مركز ديجي-تك</x:v>
      </x:c>
      <x:c r="H223" s="6" t="str">
        <x:v>إصلاح وصيانة Chrysler في دبي | مركز ديجي-تك</x:v>
      </x:c>
      <x:c r="I223" s="6" t="str">
        <x:v>Chrysler للإصلاح والصيانة في دبي</x:v>
      </x:c>
      <x:c r="J223" s="6" t="str">
        <x:v>Chrysler للإصلاح والصيانة في دبي</x:v>
      </x:c>
      <x:c r="K223" s="6" t="str">
        <x:v>إصلاح وصيانة Chrysler في دبي: تشخيص وصيانة وفرامل وناقل حركة وتعليق وتكييف مع قطع بالمواصفات المناسبة لدى مركز ديجي-تك.</x:v>
      </x:c>
      <x:c r="L223" s="6" t="str">
        <x:v>Retain pending evidence; no specific content edit justified by this export.</x:v>
      </x:c>
      <x:c r="M223" s="6" t="str">
        <x:v>Retain; inspect relevant context before adding links</x:v>
      </x:c>
      <x:c r="N223" s="6" t="str">
        <x:v>Unconfirmed — no query/page pairing</x:v>
      </x:c>
      <x:c r="O223" s="6" t="str">
        <x:v>Retain established booking / WhatsApp / call path; live behaviour untested</x:v>
      </x:c>
      <x:c r="P223" s="6" t="str">
        <x:v>Retain canonical and indexation policy pending a live check.</x:v>
      </x:c>
      <x:c r="Q223" s="6" t="str">
        <x:v>Proposed; no website change made</x:v>
      </x:c>
      <x:c r="R223" s="14"/>
      <x:c r="S223" s="14"/>
      <x:c r="T223" s="15"/>
      <x:c r="U223" s="16"/>
      <x:c r="V223" s="6" t="str">
        <x:v>https://digitecme.com/ar/brands/chrysler-service-dubai</x:v>
      </x:c>
      <x:c r="W223" s="6" t="str">
        <x:v>Indexable directive</x:v>
      </x:c>
      <x:c r="X223" s="6" t="n">
        <x:v>30</x:v>
      </x:c>
      <x:c r="Y223" s="6" t="str">
        <x:v>إصلاح وصيانة Chrysler في دبي | مركز ديجي-تك</x:v>
      </x:c>
      <x:c r="Z223" s="6" t="str"/>
      <x:c r="AA223" s="6" t="str">
        <x:v>No / not compared</x:v>
      </x:c>
    </x:row>
    <x:row r="224" ht="42" customHeight="1">
      <x:c r="A224" s="6" t="str">
        <x:v>https://digitecme.com/ar/brands/chrysler-service-dubai/ac-repair</x:v>
      </x:c>
      <x:c r="B224" s="6" t="str"/>
      <x:c r="C224" s="6" t="str"/>
      <x:c r="D224" s="6" t="str">
        <x:v>brand-service</x:v>
      </x:c>
      <x:c r="E224" s="6" t="str">
        <x:v>Retain differentiated role</x:v>
      </x:c>
      <x:c r="F224" s="6" t="str">
        <x:v>Local source render; live version unverified</x:v>
      </x:c>
      <x:c r="G224" s="6" t="str">
        <x:v>إصلاح التكييف Chrysler في دبي | ديجي-تك</x:v>
      </x:c>
      <x:c r="H224" s="6" t="str">
        <x:v>إصلاح التكييف Chrysler في دبي | ديجي-تك</x:v>
      </x:c>
      <x:c r="I224" s="6" t="str">
        <x:v>إصلاح التكييف Chrysler في دبي</x:v>
      </x:c>
      <x:c r="J224" s="6" t="str">
        <x:v>إصلاح التكييف Chrysler في دبي</x:v>
      </x:c>
      <x:c r="K224" s="6" t="str">
        <x:v>إصلاح التكييف متخصص لسيارات Chrysler في دبي مع تشخيص متقدم وقطع مناسبة وتسعير واضح لدى مركز ديجي-تك.</x:v>
      </x:c>
      <x:c r="L224" s="6" t="str">
        <x:v>Retain pending evidence; no specific content edit justified by this export.</x:v>
      </x:c>
      <x:c r="M224" s="6" t="str">
        <x:v>Retain; inspect relevant context before adding links</x:v>
      </x:c>
      <x:c r="N224" s="6" t="str">
        <x:v>Unconfirmed — no query/page pairing</x:v>
      </x:c>
      <x:c r="O224" s="6" t="str">
        <x:v>Retain established booking / WhatsApp / call path; live behaviour untested</x:v>
      </x:c>
      <x:c r="P224" s="6" t="str">
        <x:v>Retain canonical and indexation policy pending a live check.</x:v>
      </x:c>
      <x:c r="Q224" s="6" t="str">
        <x:v>Proposed; no website change made</x:v>
      </x:c>
      <x:c r="R224" s="14"/>
      <x:c r="S224" s="14"/>
      <x:c r="T224" s="15"/>
      <x:c r="U224" s="16"/>
      <x:c r="V224" s="6" t="str">
        <x:v>https://digitecme.com/ar/brands/chrysler-service-dubai/ac-repair</x:v>
      </x:c>
      <x:c r="W224" s="6" t="str">
        <x:v>Indexable directive</x:v>
      </x:c>
      <x:c r="X224" s="6" t="n">
        <x:v>8</x:v>
      </x:c>
      <x:c r="Y224" s="6" t="str">
        <x:v>إصلاح التكييف Chrysler في دبي | ديجي-تك</x:v>
      </x:c>
      <x:c r="Z224" s="6" t="str"/>
      <x:c r="AA224" s="6" t="str">
        <x:v>No / not compared</x:v>
      </x:c>
    </x:row>
    <x:row r="225" ht="42" customHeight="1">
      <x:c r="A225" s="6" t="str">
        <x:v>https://digitecme.com/ar/brands/chrysler-service-dubai/brake-repair</x:v>
      </x:c>
      <x:c r="B225" s="6" t="str"/>
      <x:c r="C225" s="6" t="str"/>
      <x:c r="D225" s="6" t="str">
        <x:v>brand-service</x:v>
      </x:c>
      <x:c r="E225" s="6" t="str">
        <x:v>Retain differentiated role</x:v>
      </x:c>
      <x:c r="F225" s="6" t="str">
        <x:v>Local source render; live version unverified</x:v>
      </x:c>
      <x:c r="G225" s="6" t="str">
        <x:v>إصلاح الفرامل Chrysler في دبي | ديجي-تك</x:v>
      </x:c>
      <x:c r="H225" s="6" t="str">
        <x:v>إصلاح الفرامل Chrysler في دبي | ديجي-تك</x:v>
      </x:c>
      <x:c r="I225" s="6" t="str">
        <x:v>إصلاح الفرامل Chrysler في دبي</x:v>
      </x:c>
      <x:c r="J225" s="6" t="str">
        <x:v>إصلاح الفرامل Chrysler في دبي</x:v>
      </x:c>
      <x:c r="K225" s="6" t="str">
        <x:v>إصلاح الفرامل متخصص لسيارات Chrysler في دبي مع تشخيص متقدم وقطع مناسبة وتسعير واضح لدى مركز ديجي-تك.</x:v>
      </x:c>
      <x:c r="L225" s="6" t="str">
        <x:v>Retain pending evidence; no specific content edit justified by this export.</x:v>
      </x:c>
      <x:c r="M225" s="6" t="str">
        <x:v>Retain; inspect relevant context before adding links</x:v>
      </x:c>
      <x:c r="N225" s="6" t="str">
        <x:v>Unconfirmed — no query/page pairing</x:v>
      </x:c>
      <x:c r="O225" s="6" t="str">
        <x:v>Retain established booking / WhatsApp / call path; live behaviour untested</x:v>
      </x:c>
      <x:c r="P225" s="6" t="str">
        <x:v>Retain canonical and indexation policy pending a live check.</x:v>
      </x:c>
      <x:c r="Q225" s="6" t="str">
        <x:v>Proposed; no website change made</x:v>
      </x:c>
      <x:c r="R225" s="14" t="n">
        <x:v>0</x:v>
      </x:c>
      <x:c r="S225" s="14" t="n">
        <x:v>1</x:v>
      </x:c>
      <x:c r="T225" s="15" t="n">
        <x:v>0</x:v>
      </x:c>
      <x:c r="U225" s="16" t="n">
        <x:v>7</x:v>
      </x:c>
      <x:c r="V225" s="6" t="str">
        <x:v>https://digitecme.com/ar/brands/chrysler-service-dubai/brake-repair</x:v>
      </x:c>
      <x:c r="W225" s="6" t="str">
        <x:v>Indexable directive</x:v>
      </x:c>
      <x:c r="X225" s="6" t="n">
        <x:v>8</x:v>
      </x:c>
      <x:c r="Y225" s="6" t="str">
        <x:v>إصلاح الفرامل Chrysler في دبي | ديجي-تك</x:v>
      </x:c>
      <x:c r="Z225" s="6" t="str"/>
      <x:c r="AA225" s="6" t="str">
        <x:v>No / not compared</x:v>
      </x:c>
    </x:row>
    <x:row r="226" ht="42" customHeight="1">
      <x:c r="A226" s="6" t="str">
        <x:v>https://digitecme.com/ar/brands/chrysler-service-dubai/engine-diagnostics</x:v>
      </x:c>
      <x:c r="B226" s="6" t="str"/>
      <x:c r="C226" s="6" t="str"/>
      <x:c r="D226" s="6" t="str">
        <x:v>brand-service</x:v>
      </x:c>
      <x:c r="E226" s="6" t="str">
        <x:v>Retain differentiated role</x:v>
      </x:c>
      <x:c r="F226" s="6" t="str">
        <x:v>Local source render; live version unverified</x:v>
      </x:c>
      <x:c r="G226" s="6" t="str">
        <x:v>تشخيص المحرك Chrysler في دبي | ديجي-تك</x:v>
      </x:c>
      <x:c r="H226" s="6" t="str">
        <x:v>تشخيص المحرك Chrysler في دبي | ديجي-تك</x:v>
      </x:c>
      <x:c r="I226" s="6" t="str">
        <x:v>تشخيص المحرك Chrysler في دبي</x:v>
      </x:c>
      <x:c r="J226" s="6" t="str">
        <x:v>تشخيص المحرك Chrysler في دبي</x:v>
      </x:c>
      <x:c r="K226" s="6" t="str">
        <x:v>تشخيص المحرك متخصص لسيارات Chrysler في دبي مع تشخيص متقدم وقطع مناسبة وتسعير واضح لدى مركز ديجي-تك.</x:v>
      </x:c>
      <x:c r="L226" s="6" t="str">
        <x:v>Retain pending evidence; no specific content edit justified by this export.</x:v>
      </x:c>
      <x:c r="M226" s="6" t="str">
        <x:v>Retain; inspect relevant context before adding links</x:v>
      </x:c>
      <x:c r="N226" s="6" t="str">
        <x:v>Unconfirmed — no query/page pairing</x:v>
      </x:c>
      <x:c r="O226" s="6" t="str">
        <x:v>Retain established booking / WhatsApp / call path; live behaviour untested</x:v>
      </x:c>
      <x:c r="P226" s="6" t="str">
        <x:v>Retain canonical and indexation policy pending a live check.</x:v>
      </x:c>
      <x:c r="Q226" s="6" t="str">
        <x:v>Proposed; no website change made</x:v>
      </x:c>
      <x:c r="R226" s="14"/>
      <x:c r="S226" s="14"/>
      <x:c r="T226" s="15"/>
      <x:c r="U226" s="16"/>
      <x:c r="V226" s="6" t="str">
        <x:v>https://digitecme.com/ar/brands/chrysler-service-dubai/engine-diagnostics</x:v>
      </x:c>
      <x:c r="W226" s="6" t="str">
        <x:v>Indexable directive</x:v>
      </x:c>
      <x:c r="X226" s="6" t="n">
        <x:v>8</x:v>
      </x:c>
      <x:c r="Y226" s="6" t="str">
        <x:v>تشخيص المحرك Chrysler في دبي | ديجي-تك</x:v>
      </x:c>
      <x:c r="Z226" s="6" t="str"/>
      <x:c r="AA226" s="6" t="str">
        <x:v>No / not compared</x:v>
      </x:c>
    </x:row>
    <x:row r="227" ht="42" customHeight="1">
      <x:c r="A227" s="6" t="str">
        <x:v>https://digitecme.com/ar/brands/chrysler-service-dubai/oil-change</x:v>
      </x:c>
      <x:c r="B227" s="6" t="str"/>
      <x:c r="C227" s="6" t="str"/>
      <x:c r="D227" s="6" t="str">
        <x:v>brand-service</x:v>
      </x:c>
      <x:c r="E227" s="6" t="str">
        <x:v>Retain differentiated role</x:v>
      </x:c>
      <x:c r="F227" s="6" t="str">
        <x:v>Local source render; live version unverified</x:v>
      </x:c>
      <x:c r="G227" s="6" t="str">
        <x:v>تغيير الزيت Chrysler في دبي | ديجي-تك</x:v>
      </x:c>
      <x:c r="H227" s="6" t="str">
        <x:v>تغيير الزيت Chrysler في دبي | ديجي-تك</x:v>
      </x:c>
      <x:c r="I227" s="6" t="str">
        <x:v>تغيير الزيت Chrysler في دبي</x:v>
      </x:c>
      <x:c r="J227" s="6" t="str">
        <x:v>تغيير الزيت Chrysler في دبي</x:v>
      </x:c>
      <x:c r="K227" s="6" t="str">
        <x:v>تغيير الزيت متخصص لسيارات Chrysler في دبي مع تشخيص متقدم وقطع مناسبة وتسعير واضح لدى مركز ديجي-تك.</x:v>
      </x:c>
      <x:c r="L227" s="6" t="str">
        <x:v>Retain pending evidence; no specific content edit justified by this export.</x:v>
      </x:c>
      <x:c r="M227" s="6" t="str">
        <x:v>Retain; inspect relevant context before adding links</x:v>
      </x:c>
      <x:c r="N227" s="6" t="str">
        <x:v>Unconfirmed — no query/page pairing</x:v>
      </x:c>
      <x:c r="O227" s="6" t="str">
        <x:v>Retain established booking / WhatsApp / call path; live behaviour untested</x:v>
      </x:c>
      <x:c r="P227" s="6" t="str">
        <x:v>Retain canonical and indexation policy pending a live check.</x:v>
      </x:c>
      <x:c r="Q227" s="6" t="str">
        <x:v>Proposed; no website change made</x:v>
      </x:c>
      <x:c r="R227" s="14" t="n">
        <x:v>0</x:v>
      </x:c>
      <x:c r="S227" s="14" t="n">
        <x:v>2</x:v>
      </x:c>
      <x:c r="T227" s="15" t="n">
        <x:v>0</x:v>
      </x:c>
      <x:c r="U227" s="16" t="n">
        <x:v>84.5</x:v>
      </x:c>
      <x:c r="V227" s="6" t="str">
        <x:v>https://digitecme.com/ar/brands/chrysler-service-dubai/oil-change</x:v>
      </x:c>
      <x:c r="W227" s="6" t="str">
        <x:v>Indexable directive</x:v>
      </x:c>
      <x:c r="X227" s="6" t="n">
        <x:v>8</x:v>
      </x:c>
      <x:c r="Y227" s="6" t="str">
        <x:v>تغيير الزيت Chrysler في دبي | ديجي-تك</x:v>
      </x:c>
      <x:c r="Z227" s="6" t="str"/>
      <x:c r="AA227" s="6" t="str">
        <x:v>No / not compared</x:v>
      </x:c>
    </x:row>
    <x:row r="228" ht="42" customHeight="1">
      <x:c r="A228" s="6" t="str">
        <x:v>https://digitecme.com/ar/brands/chrysler-service-dubai/suspension-repair</x:v>
      </x:c>
      <x:c r="B228" s="6" t="str"/>
      <x:c r="C228" s="6" t="str"/>
      <x:c r="D228" s="6" t="str">
        <x:v>brand-service</x:v>
      </x:c>
      <x:c r="E228" s="6" t="str">
        <x:v>Retain differentiated role</x:v>
      </x:c>
      <x:c r="F228" s="6" t="str">
        <x:v>Local source render; live version unverified</x:v>
      </x:c>
      <x:c r="G228" s="6" t="str">
        <x:v>إصلاح التعليق Chrysler في دبي | ديجي-تك</x:v>
      </x:c>
      <x:c r="H228" s="6" t="str">
        <x:v>إصلاح التعليق Chrysler في دبي | ديجي-تك</x:v>
      </x:c>
      <x:c r="I228" s="6" t="str">
        <x:v>إصلاح التعليق Chrysler في دبي</x:v>
      </x:c>
      <x:c r="J228" s="6" t="str">
        <x:v>إصلاح التعليق Chrysler في دبي</x:v>
      </x:c>
      <x:c r="K228" s="6" t="str">
        <x:v>إصلاح التعليق متخصص لسيارات Chrysler في دبي مع تشخيص متقدم وقطع مناسبة وتسعير واضح لدى مركز ديجي-تك.</x:v>
      </x:c>
      <x:c r="L228" s="6" t="str">
        <x:v>Retain pending evidence; no specific content edit justified by this export.</x:v>
      </x:c>
      <x:c r="M228" s="6" t="str">
        <x:v>Retain; inspect relevant context before adding links</x:v>
      </x:c>
      <x:c r="N228" s="6" t="str">
        <x:v>Unconfirmed — no query/page pairing</x:v>
      </x:c>
      <x:c r="O228" s="6" t="str">
        <x:v>Retain established booking / WhatsApp / call path; live behaviour untested</x:v>
      </x:c>
      <x:c r="P228" s="6" t="str">
        <x:v>Retain canonical and indexation policy pending a live check.</x:v>
      </x:c>
      <x:c r="Q228" s="6" t="str">
        <x:v>Proposed; no website change made</x:v>
      </x:c>
      <x:c r="R228" s="14"/>
      <x:c r="S228" s="14"/>
      <x:c r="T228" s="15"/>
      <x:c r="U228" s="16"/>
      <x:c r="V228" s="6" t="str">
        <x:v>https://digitecme.com/ar/brands/chrysler-service-dubai/suspension-repair</x:v>
      </x:c>
      <x:c r="W228" s="6" t="str">
        <x:v>Noindex directive</x:v>
      </x:c>
      <x:c r="X228" s="6" t="n">
        <x:v>8</x:v>
      </x:c>
      <x:c r="Y228" s="6" t="str">
        <x:v>إصلاح التعليق Chrysler في دبي | ديجي-تك</x:v>
      </x:c>
      <x:c r="Z228" s="6" t="str"/>
      <x:c r="AA228" s="6" t="str">
        <x:v>No / not compared</x:v>
      </x:c>
    </x:row>
    <x:row r="229" ht="42" customHeight="1">
      <x:c r="A229" s="6" t="str">
        <x:v>https://digitecme.com/ar/brands/chrysler-service-dubai/transmission-repair</x:v>
      </x:c>
      <x:c r="B229" s="6" t="str"/>
      <x:c r="C229" s="6" t="str"/>
      <x:c r="D229" s="6" t="str">
        <x:v>brand-service</x:v>
      </x:c>
      <x:c r="E229" s="6" t="str">
        <x:v>Retain differentiated role</x:v>
      </x:c>
      <x:c r="F229" s="6" t="str">
        <x:v>Local source render; live version unverified</x:v>
      </x:c>
      <x:c r="G229" s="6" t="str">
        <x:v>إصلاح ناقل الحركة Chrysler في دبي | ديجي-تك</x:v>
      </x:c>
      <x:c r="H229" s="6" t="str">
        <x:v>إصلاح ناقل الحركة Chrysler في دبي | ديجي-تك</x:v>
      </x:c>
      <x:c r="I229" s="6" t="str">
        <x:v>إصلاح ناقل الحركة Chrysler في دبي</x:v>
      </x:c>
      <x:c r="J229" s="6" t="str">
        <x:v>إصلاح ناقل الحركة Chrysler في دبي</x:v>
      </x:c>
      <x:c r="K229" s="6" t="str">
        <x:v>إصلاح ناقل الحركة متخصص لسيارات Chrysler في دبي مع تشخيص متقدم وقطع مناسبة وتسعير واضح لدى مركز ديجي-تك.</x:v>
      </x:c>
      <x:c r="L229" s="6" t="str">
        <x:v>Retain pending evidence; no specific content edit justified by this export.</x:v>
      </x:c>
      <x:c r="M229" s="6" t="str">
        <x:v>Retain; inspect relevant context before adding links</x:v>
      </x:c>
      <x:c r="N229" s="6" t="str">
        <x:v>Unconfirmed — no query/page pairing</x:v>
      </x:c>
      <x:c r="O229" s="6" t="str">
        <x:v>Retain established booking / WhatsApp / call path; live behaviour untested</x:v>
      </x:c>
      <x:c r="P229" s="6" t="str">
        <x:v>Retain canonical and indexation policy pending a live check.</x:v>
      </x:c>
      <x:c r="Q229" s="6" t="str">
        <x:v>Proposed; no website change made</x:v>
      </x:c>
      <x:c r="R229" s="14"/>
      <x:c r="S229" s="14"/>
      <x:c r="T229" s="15"/>
      <x:c r="U229" s="16"/>
      <x:c r="V229" s="6" t="str">
        <x:v>https://digitecme.com/ar/brands/chrysler-service-dubai/transmission-repair</x:v>
      </x:c>
      <x:c r="W229" s="6" t="str">
        <x:v>Noindex directive</x:v>
      </x:c>
      <x:c r="X229" s="6" t="n">
        <x:v>8</x:v>
      </x:c>
      <x:c r="Y229" s="6" t="str">
        <x:v>إصلاح ناقل الحركة Chrysler في دبي | ديجي-تك</x:v>
      </x:c>
      <x:c r="Z229" s="6" t="str"/>
      <x:c r="AA229" s="6" t="str">
        <x:v>No / not compared</x:v>
      </x:c>
    </x:row>
    <x:row r="230" ht="42" customHeight="1">
      <x:c r="A230" s="6" t="str">
        <x:v>https://digitecme.com/ar/brands/corvette-service-dubai</x:v>
      </x:c>
      <x:c r="B230" s="6" t="str"/>
      <x:c r="C230" s="6" t="str"/>
      <x:c r="D230" s="6" t="str">
        <x:v>brand</x:v>
      </x:c>
      <x:c r="E230" s="6" t="str">
        <x:v>Retain differentiated role</x:v>
      </x:c>
      <x:c r="F230" s="6" t="str">
        <x:v>Local source render; live version unverified</x:v>
      </x:c>
      <x:c r="G230" s="6" t="str">
        <x:v>إصلاح وصيانة Corvette في دبي | مركز ديجي-تك</x:v>
      </x:c>
      <x:c r="H230" s="6" t="str">
        <x:v>إصلاح وصيانة Corvette في دبي | مركز ديجي-تك</x:v>
      </x:c>
      <x:c r="I230" s="6" t="str">
        <x:v>Corvette للإصلاح والصيانة في دبي</x:v>
      </x:c>
      <x:c r="J230" s="6" t="str">
        <x:v>Corvette للإصلاح والصيانة في دبي</x:v>
      </x:c>
      <x:c r="K230" s="6" t="str">
        <x:v>إصلاح وصيانة Corvette في دبي: تشخيص وصيانة وفرامل وناقل حركة وتعليق وتكييف مع قطع بالمواصفات المناسبة لدى مركز ديجي-تك.</x:v>
      </x:c>
      <x:c r="L230" s="6" t="str">
        <x:v>Retain pending evidence; no specific content edit justified by this export.</x:v>
      </x:c>
      <x:c r="M230" s="6" t="str">
        <x:v>Retain; inspect relevant context before adding links</x:v>
      </x:c>
      <x:c r="N230" s="6" t="str">
        <x:v>Unconfirmed — no query/page pairing</x:v>
      </x:c>
      <x:c r="O230" s="6" t="str">
        <x:v>Retain established booking / WhatsApp / call path; live behaviour untested</x:v>
      </x:c>
      <x:c r="P230" s="6" t="str">
        <x:v>Retain canonical and indexation policy pending a live check.</x:v>
      </x:c>
      <x:c r="Q230" s="6" t="str">
        <x:v>Proposed; no website change made</x:v>
      </x:c>
      <x:c r="R230" s="14" t="n">
        <x:v>0</x:v>
      </x:c>
      <x:c r="S230" s="14" t="n">
        <x:v>3</x:v>
      </x:c>
      <x:c r="T230" s="15" t="n">
        <x:v>0</x:v>
      </x:c>
      <x:c r="U230" s="16" t="n">
        <x:v>3.67</x:v>
      </x:c>
      <x:c r="V230" s="6" t="str">
        <x:v>https://digitecme.com/ar/brands/corvette-service-dubai</x:v>
      </x:c>
      <x:c r="W230" s="6" t="str">
        <x:v>Indexable directive</x:v>
      </x:c>
      <x:c r="X230" s="6" t="n">
        <x:v>30</x:v>
      </x:c>
      <x:c r="Y230" s="6" t="str">
        <x:v>إصلاح وصيانة Corvette في دبي | مركز ديجي-تك</x:v>
      </x:c>
      <x:c r="Z230" s="6" t="str"/>
      <x:c r="AA230" s="6" t="str">
        <x:v>No / not compared</x:v>
      </x:c>
    </x:row>
    <x:row r="231" ht="42" customHeight="1">
      <x:c r="A231" s="6" t="str">
        <x:v>https://digitecme.com/ar/brands/corvette-service-dubai/ac-repair</x:v>
      </x:c>
      <x:c r="B231" s="6" t="str"/>
      <x:c r="C231" s="6" t="str"/>
      <x:c r="D231" s="6" t="str">
        <x:v>brand-service</x:v>
      </x:c>
      <x:c r="E231" s="6" t="str">
        <x:v>Retain differentiated role</x:v>
      </x:c>
      <x:c r="F231" s="6" t="str">
        <x:v>Local source render; live version unverified</x:v>
      </x:c>
      <x:c r="G231" s="6" t="str">
        <x:v>إصلاح التكييف Corvette في دبي | ديجي-تك</x:v>
      </x:c>
      <x:c r="H231" s="6" t="str">
        <x:v>إصلاح التكييف Corvette في دبي | ديجي-تك</x:v>
      </x:c>
      <x:c r="I231" s="6" t="str">
        <x:v>إصلاح التكييف Corvette في دبي</x:v>
      </x:c>
      <x:c r="J231" s="6" t="str">
        <x:v>إصلاح التكييف Corvette في دبي</x:v>
      </x:c>
      <x:c r="K231" s="6" t="str">
        <x:v>إصلاح التكييف متخصص لسيارات Corvette في دبي مع تشخيص متقدم وقطع مناسبة وتسعير واضح لدى مركز ديجي-تك.</x:v>
      </x:c>
      <x:c r="L231" s="6" t="str">
        <x:v>Retain pending evidence; no specific content edit justified by this export.</x:v>
      </x:c>
      <x:c r="M231" s="6" t="str">
        <x:v>Retain; inspect relevant context before adding links</x:v>
      </x:c>
      <x:c r="N231" s="6" t="str">
        <x:v>Unconfirmed — no query/page pairing</x:v>
      </x:c>
      <x:c r="O231" s="6" t="str">
        <x:v>Retain established booking / WhatsApp / call path; live behaviour untested</x:v>
      </x:c>
      <x:c r="P231" s="6" t="str">
        <x:v>Retain canonical and indexation policy pending a live check.</x:v>
      </x:c>
      <x:c r="Q231" s="6" t="str">
        <x:v>Proposed; no website change made</x:v>
      </x:c>
      <x:c r="R231" s="14"/>
      <x:c r="S231" s="14"/>
      <x:c r="T231" s="15"/>
      <x:c r="U231" s="16"/>
      <x:c r="V231" s="6" t="str">
        <x:v>https://digitecme.com/ar/brands/corvette-service-dubai/ac-repair</x:v>
      </x:c>
      <x:c r="W231" s="6" t="str">
        <x:v>Indexable directive</x:v>
      </x:c>
      <x:c r="X231" s="6" t="n">
        <x:v>8</x:v>
      </x:c>
      <x:c r="Y231" s="6" t="str">
        <x:v>إصلاح التكييف Corvette في دبي | ديجي-تك</x:v>
      </x:c>
      <x:c r="Z231" s="6" t="str"/>
      <x:c r="AA231" s="6" t="str">
        <x:v>No / not compared</x:v>
      </x:c>
    </x:row>
    <x:row r="232" ht="42" customHeight="1">
      <x:c r="A232" s="6" t="str">
        <x:v>https://digitecme.com/ar/brands/corvette-service-dubai/brake-repair</x:v>
      </x:c>
      <x:c r="B232" s="6" t="str"/>
      <x:c r="C232" s="6" t="str"/>
      <x:c r="D232" s="6" t="str">
        <x:v>brand-service</x:v>
      </x:c>
      <x:c r="E232" s="6" t="str">
        <x:v>Retain differentiated role</x:v>
      </x:c>
      <x:c r="F232" s="6" t="str">
        <x:v>Local source render; live version unverified</x:v>
      </x:c>
      <x:c r="G232" s="6" t="str">
        <x:v>إصلاح الفرامل Corvette في دبي | ديجي-تك</x:v>
      </x:c>
      <x:c r="H232" s="6" t="str">
        <x:v>إصلاح الفرامل Corvette في دبي | ديجي-تك</x:v>
      </x:c>
      <x:c r="I232" s="6" t="str">
        <x:v>إصلاح الفرامل Corvette في دبي</x:v>
      </x:c>
      <x:c r="J232" s="6" t="str">
        <x:v>إصلاح الفرامل Corvette في دبي</x:v>
      </x:c>
      <x:c r="K232" s="6" t="str">
        <x:v>إصلاح الفرامل متخصص لسيارات Corvette في دبي مع تشخيص متقدم وقطع مناسبة وتسعير واضح لدى مركز ديجي-تك.</x:v>
      </x:c>
      <x:c r="L232" s="6" t="str">
        <x:v>Retain pending evidence; no specific content edit justified by this export.</x:v>
      </x:c>
      <x:c r="M232" s="6" t="str">
        <x:v>Retain; inspect relevant context before adding links</x:v>
      </x:c>
      <x:c r="N232" s="6" t="str">
        <x:v>Unconfirmed — no query/page pairing</x:v>
      </x:c>
      <x:c r="O232" s="6" t="str">
        <x:v>Retain established booking / WhatsApp / call path; live behaviour untested</x:v>
      </x:c>
      <x:c r="P232" s="6" t="str">
        <x:v>Retain canonical and indexation policy pending a live check.</x:v>
      </x:c>
      <x:c r="Q232" s="6" t="str">
        <x:v>Proposed; no website change made</x:v>
      </x:c>
      <x:c r="R232" s="14"/>
      <x:c r="S232" s="14"/>
      <x:c r="T232" s="15"/>
      <x:c r="U232" s="16"/>
      <x:c r="V232" s="6" t="str">
        <x:v>https://digitecme.com/ar/brands/corvette-service-dubai/brake-repair</x:v>
      </x:c>
      <x:c r="W232" s="6" t="str">
        <x:v>Indexable directive</x:v>
      </x:c>
      <x:c r="X232" s="6" t="n">
        <x:v>8</x:v>
      </x:c>
      <x:c r="Y232" s="6" t="str">
        <x:v>إصلاح الفرامل Corvette في دبي | ديجي-تك</x:v>
      </x:c>
      <x:c r="Z232" s="6" t="str"/>
      <x:c r="AA232" s="6" t="str">
        <x:v>No / not compared</x:v>
      </x:c>
    </x:row>
    <x:row r="233" ht="42" customHeight="1">
      <x:c r="A233" s="6" t="str">
        <x:v>https://digitecme.com/ar/brands/corvette-service-dubai/engine-diagnostics</x:v>
      </x:c>
      <x:c r="B233" s="6" t="str"/>
      <x:c r="C233" s="6" t="str"/>
      <x:c r="D233" s="6" t="str">
        <x:v>brand-service</x:v>
      </x:c>
      <x:c r="E233" s="6" t="str">
        <x:v>Retain differentiated role</x:v>
      </x:c>
      <x:c r="F233" s="6" t="str">
        <x:v>Local source render; live version unverified</x:v>
      </x:c>
      <x:c r="G233" s="6" t="str">
        <x:v>تشخيص المحرك Corvette في دبي | ديجي-تك</x:v>
      </x:c>
      <x:c r="H233" s="6" t="str">
        <x:v>تشخيص المحرك Corvette في دبي | ديجي-تك</x:v>
      </x:c>
      <x:c r="I233" s="6" t="str">
        <x:v>تشخيص المحرك Corvette في دبي</x:v>
      </x:c>
      <x:c r="J233" s="6" t="str">
        <x:v>تشخيص المحرك Corvette في دبي</x:v>
      </x:c>
      <x:c r="K233" s="6" t="str">
        <x:v>تشخيص المحرك متخصص لسيارات Corvette في دبي مع تشخيص متقدم وقطع مناسبة وتسعير واضح لدى مركز ديجي-تك.</x:v>
      </x:c>
      <x:c r="L233" s="6" t="str">
        <x:v>Retain pending evidence; no specific content edit justified by this export.</x:v>
      </x:c>
      <x:c r="M233" s="6" t="str">
        <x:v>Retain; inspect relevant context before adding links</x:v>
      </x:c>
      <x:c r="N233" s="6" t="str">
        <x:v>Unconfirmed — no query/page pairing</x:v>
      </x:c>
      <x:c r="O233" s="6" t="str">
        <x:v>Retain established booking / WhatsApp / call path; live behaviour untested</x:v>
      </x:c>
      <x:c r="P233" s="6" t="str">
        <x:v>Retain canonical and indexation policy pending a live check.</x:v>
      </x:c>
      <x:c r="Q233" s="6" t="str">
        <x:v>Proposed; no website change made</x:v>
      </x:c>
      <x:c r="R233" s="14"/>
      <x:c r="S233" s="14"/>
      <x:c r="T233" s="15"/>
      <x:c r="U233" s="16"/>
      <x:c r="V233" s="6" t="str">
        <x:v>https://digitecme.com/ar/brands/corvette-service-dubai/engine-diagnostics</x:v>
      </x:c>
      <x:c r="W233" s="6" t="str">
        <x:v>Indexable directive</x:v>
      </x:c>
      <x:c r="X233" s="6" t="n">
        <x:v>8</x:v>
      </x:c>
      <x:c r="Y233" s="6" t="str">
        <x:v>تشخيص المحرك Corvette في دبي | ديجي-تك</x:v>
      </x:c>
      <x:c r="Z233" s="6" t="str"/>
      <x:c r="AA233" s="6" t="str">
        <x:v>No / not compared</x:v>
      </x:c>
    </x:row>
    <x:row r="234" ht="42" customHeight="1">
      <x:c r="A234" s="6" t="str">
        <x:v>https://digitecme.com/ar/brands/corvette-service-dubai/oil-change</x:v>
      </x:c>
      <x:c r="B234" s="6" t="str"/>
      <x:c r="C234" s="6" t="str"/>
      <x:c r="D234" s="6" t="str">
        <x:v>brand-service</x:v>
      </x:c>
      <x:c r="E234" s="6" t="str">
        <x:v>Retain differentiated role</x:v>
      </x:c>
      <x:c r="F234" s="6" t="str">
        <x:v>Local source render; live version unverified</x:v>
      </x:c>
      <x:c r="G234" s="6" t="str">
        <x:v>تغيير الزيت Corvette في دبي | ديجي-تك</x:v>
      </x:c>
      <x:c r="H234" s="6" t="str">
        <x:v>تغيير الزيت Corvette في دبي | ديجي-تك</x:v>
      </x:c>
      <x:c r="I234" s="6" t="str">
        <x:v>تغيير الزيت Corvette في دبي</x:v>
      </x:c>
      <x:c r="J234" s="6" t="str">
        <x:v>تغيير الزيت Corvette في دبي</x:v>
      </x:c>
      <x:c r="K234" s="6" t="str">
        <x:v>تغيير الزيت متخصص لسيارات Corvette في دبي مع تشخيص متقدم وقطع مناسبة وتسعير واضح لدى مركز ديجي-تك.</x:v>
      </x:c>
      <x:c r="L234" s="6" t="str">
        <x:v>Retain pending evidence; no specific content edit justified by this export.</x:v>
      </x:c>
      <x:c r="M234" s="6" t="str">
        <x:v>Retain; inspect relevant context before adding links</x:v>
      </x:c>
      <x:c r="N234" s="6" t="str">
        <x:v>Unconfirmed — no query/page pairing</x:v>
      </x:c>
      <x:c r="O234" s="6" t="str">
        <x:v>Retain established booking / WhatsApp / call path; live behaviour untested</x:v>
      </x:c>
      <x:c r="P234" s="6" t="str">
        <x:v>Retain canonical and indexation policy pending a live check.</x:v>
      </x:c>
      <x:c r="Q234" s="6" t="str">
        <x:v>Proposed; no website change made</x:v>
      </x:c>
      <x:c r="R234" s="14"/>
      <x:c r="S234" s="14"/>
      <x:c r="T234" s="15"/>
      <x:c r="U234" s="16"/>
      <x:c r="V234" s="6" t="str">
        <x:v>https://digitecme.com/ar/brands/corvette-service-dubai/oil-change</x:v>
      </x:c>
      <x:c r="W234" s="6" t="str">
        <x:v>Indexable directive</x:v>
      </x:c>
      <x:c r="X234" s="6" t="n">
        <x:v>8</x:v>
      </x:c>
      <x:c r="Y234" s="6" t="str">
        <x:v>تغيير الزيت Corvette في دبي | ديجي-تك</x:v>
      </x:c>
      <x:c r="Z234" s="6" t="str"/>
      <x:c r="AA234" s="6" t="str">
        <x:v>No / not compared</x:v>
      </x:c>
    </x:row>
    <x:row r="235" ht="42" customHeight="1">
      <x:c r="A235" s="6" t="str">
        <x:v>https://digitecme.com/ar/brands/corvette-service-dubai/suspension-repair</x:v>
      </x:c>
      <x:c r="B235" s="6" t="str"/>
      <x:c r="C235" s="6" t="str"/>
      <x:c r="D235" s="6" t="str">
        <x:v>brand-service</x:v>
      </x:c>
      <x:c r="E235" s="6" t="str">
        <x:v>Retain differentiated role</x:v>
      </x:c>
      <x:c r="F235" s="6" t="str">
        <x:v>Local source render; live version unverified</x:v>
      </x:c>
      <x:c r="G235" s="6" t="str">
        <x:v>إصلاح التعليق Corvette في دبي | ديجي-تك</x:v>
      </x:c>
      <x:c r="H235" s="6" t="str">
        <x:v>إصلاح التعليق Corvette في دبي | ديجي-تك</x:v>
      </x:c>
      <x:c r="I235" s="6" t="str">
        <x:v>إصلاح التعليق Corvette في دبي</x:v>
      </x:c>
      <x:c r="J235" s="6" t="str">
        <x:v>إصلاح التعليق Corvette في دبي</x:v>
      </x:c>
      <x:c r="K235" s="6" t="str">
        <x:v>إصلاح التعليق متخصص لسيارات Corvette في دبي مع تشخيص متقدم وقطع مناسبة وتسعير واضح لدى مركز ديجي-تك.</x:v>
      </x:c>
      <x:c r="L235" s="6" t="str">
        <x:v>Retain pending evidence; no specific content edit justified by this export.</x:v>
      </x:c>
      <x:c r="M235" s="6" t="str">
        <x:v>Retain; inspect relevant context before adding links</x:v>
      </x:c>
      <x:c r="N235" s="6" t="str">
        <x:v>Unconfirmed — no query/page pairing</x:v>
      </x:c>
      <x:c r="O235" s="6" t="str">
        <x:v>Retain established booking / WhatsApp / call path; live behaviour untested</x:v>
      </x:c>
      <x:c r="P235" s="6" t="str">
        <x:v>Retain canonical and indexation policy pending a live check.</x:v>
      </x:c>
      <x:c r="Q235" s="6" t="str">
        <x:v>Proposed; no website change made</x:v>
      </x:c>
      <x:c r="R235" s="14" t="n">
        <x:v>0</x:v>
      </x:c>
      <x:c r="S235" s="14" t="n">
        <x:v>2</x:v>
      </x:c>
      <x:c r="T235" s="15" t="n">
        <x:v>0</x:v>
      </x:c>
      <x:c r="U235" s="16" t="n">
        <x:v>5.5</x:v>
      </x:c>
      <x:c r="V235" s="6" t="str">
        <x:v>https://digitecme.com/ar/brands/corvette-service-dubai/suspension-repair</x:v>
      </x:c>
      <x:c r="W235" s="6" t="str">
        <x:v>Noindex directive</x:v>
      </x:c>
      <x:c r="X235" s="6" t="n">
        <x:v>8</x:v>
      </x:c>
      <x:c r="Y235" s="6" t="str">
        <x:v>إصلاح التعليق Corvette في دبي | ديجي-تك</x:v>
      </x:c>
      <x:c r="Z235" s="6" t="str"/>
      <x:c r="AA235" s="6" t="str">
        <x:v>No / not compared</x:v>
      </x:c>
    </x:row>
    <x:row r="236" ht="42" customHeight="1">
      <x:c r="A236" s="6" t="str">
        <x:v>https://digitecme.com/ar/brands/corvette-service-dubai/transmission-repair</x:v>
      </x:c>
      <x:c r="B236" s="6" t="str"/>
      <x:c r="C236" s="6" t="str"/>
      <x:c r="D236" s="6" t="str">
        <x:v>brand-service</x:v>
      </x:c>
      <x:c r="E236" s="6" t="str">
        <x:v>Retain differentiated role</x:v>
      </x:c>
      <x:c r="F236" s="6" t="str">
        <x:v>Local source render; live version unverified</x:v>
      </x:c>
      <x:c r="G236" s="6" t="str">
        <x:v>إصلاح ناقل الحركة Corvette في دبي | ديجي-تك</x:v>
      </x:c>
      <x:c r="H236" s="6" t="str">
        <x:v>إصلاح ناقل الحركة Corvette في دبي | ديجي-تك</x:v>
      </x:c>
      <x:c r="I236" s="6" t="str">
        <x:v>إصلاح ناقل الحركة Corvette في دبي</x:v>
      </x:c>
      <x:c r="J236" s="6" t="str">
        <x:v>إصلاح ناقل الحركة Corvette في دبي</x:v>
      </x:c>
      <x:c r="K236" s="6" t="str">
        <x:v>إصلاح ناقل الحركة متخصص لسيارات Corvette في دبي مع تشخيص متقدم وقطع مناسبة وتسعير واضح لدى مركز ديجي-تك.</x:v>
      </x:c>
      <x:c r="L236" s="6" t="str">
        <x:v>Retain pending evidence; no specific content edit justified by this export.</x:v>
      </x:c>
      <x:c r="M236" s="6" t="str">
        <x:v>Retain; inspect relevant context before adding links</x:v>
      </x:c>
      <x:c r="N236" s="6" t="str">
        <x:v>Unconfirmed — no query/page pairing</x:v>
      </x:c>
      <x:c r="O236" s="6" t="str">
        <x:v>Retain established booking / WhatsApp / call path; live behaviour untested</x:v>
      </x:c>
      <x:c r="P236" s="6" t="str">
        <x:v>Retain canonical and indexation policy pending a live check.</x:v>
      </x:c>
      <x:c r="Q236" s="6" t="str">
        <x:v>Proposed; no website change made</x:v>
      </x:c>
      <x:c r="R236" s="14"/>
      <x:c r="S236" s="14"/>
      <x:c r="T236" s="15"/>
      <x:c r="U236" s="16"/>
      <x:c r="V236" s="6" t="str">
        <x:v>https://digitecme.com/ar/brands/corvette-service-dubai/transmission-repair</x:v>
      </x:c>
      <x:c r="W236" s="6" t="str">
        <x:v>Noindex directive</x:v>
      </x:c>
      <x:c r="X236" s="6" t="n">
        <x:v>8</x:v>
      </x:c>
      <x:c r="Y236" s="6" t="str">
        <x:v>إصلاح ناقل الحركة Corvette في دبي | ديجي-تك</x:v>
      </x:c>
      <x:c r="Z236" s="6" t="str"/>
      <x:c r="AA236" s="6" t="str">
        <x:v>No / not compared</x:v>
      </x:c>
    </x:row>
    <x:row r="237" ht="42" customHeight="1">
      <x:c r="A237" s="6" t="str">
        <x:v>https://digitecme.com/ar/brands/defender-service-dubai</x:v>
      </x:c>
      <x:c r="B237" s="6" t="str"/>
      <x:c r="C237" s="6" t="str"/>
      <x:c r="D237" s="6" t="str">
        <x:v>brand</x:v>
      </x:c>
      <x:c r="E237" s="6" t="str">
        <x:v>Retain differentiated role</x:v>
      </x:c>
      <x:c r="F237" s="6" t="str">
        <x:v>Local source render; live version unverified</x:v>
      </x:c>
      <x:c r="G237" s="6" t="str">
        <x:v>إصلاح وصيانة Defender في دبي | مركز ديجي-تك</x:v>
      </x:c>
      <x:c r="H237" s="6" t="str">
        <x:v>إصلاح وصيانة Defender في دبي | مركز ديجي-تك</x:v>
      </x:c>
      <x:c r="I237" s="6" t="str">
        <x:v>Defender للإصلاح والصيانة في دبي</x:v>
      </x:c>
      <x:c r="J237" s="6" t="str">
        <x:v>Defender للإصلاح والصيانة في دبي</x:v>
      </x:c>
      <x:c r="K237" s="6" t="str">
        <x:v>إصلاح وصيانة Defender في دبي: تشخيص وصيانة وفرامل وناقل حركة وتعليق وتكييف مع قطع بالمواصفات المناسبة لدى مركز ديجي-تك.</x:v>
      </x:c>
      <x:c r="L237" s="6" t="str">
        <x:v>Retain pending evidence; no specific content edit justified by this export.</x:v>
      </x:c>
      <x:c r="M237" s="6" t="str">
        <x:v>Retain; inspect relevant context before adding links</x:v>
      </x:c>
      <x:c r="N237" s="6" t="str">
        <x:v>Unconfirmed — no query/page pairing</x:v>
      </x:c>
      <x:c r="O237" s="6" t="str">
        <x:v>Retain established booking / WhatsApp / call path; live behaviour untested</x:v>
      </x:c>
      <x:c r="P237" s="6" t="str">
        <x:v>Retain canonical and indexation policy pending a live check.</x:v>
      </x:c>
      <x:c r="Q237" s="6" t="str">
        <x:v>Proposed; no website change made</x:v>
      </x:c>
      <x:c r="R237" s="14"/>
      <x:c r="S237" s="14"/>
      <x:c r="T237" s="15"/>
      <x:c r="U237" s="16"/>
      <x:c r="V237" s="6" t="str">
        <x:v>https://digitecme.com/ar/brands/defender-service-dubai</x:v>
      </x:c>
      <x:c r="W237" s="6" t="str">
        <x:v>Indexable directive</x:v>
      </x:c>
      <x:c r="X237" s="6" t="n">
        <x:v>53</x:v>
      </x:c>
      <x:c r="Y237" s="6" t="str">
        <x:v>إصلاح وصيانة Defender في دبي | مركز ديجي-تك</x:v>
      </x:c>
      <x:c r="Z237" s="6" t="str"/>
      <x:c r="AA237" s="6" t="str">
        <x:v>No / not compared</x:v>
      </x:c>
    </x:row>
    <x:row r="238" ht="42" customHeight="1">
      <x:c r="A238" s="6" t="str">
        <x:v>https://digitecme.com/ar/brands/defender-service-dubai/ac-repair</x:v>
      </x:c>
      <x:c r="B238" s="6" t="str"/>
      <x:c r="C238" s="6" t="str"/>
      <x:c r="D238" s="6" t="str">
        <x:v>brand-service</x:v>
      </x:c>
      <x:c r="E238" s="6" t="str">
        <x:v>Retain differentiated role</x:v>
      </x:c>
      <x:c r="F238" s="6" t="str">
        <x:v>Local source render; live version unverified</x:v>
      </x:c>
      <x:c r="G238" s="6" t="str">
        <x:v>إصلاح التكييف Defender في دبي | ديجي-تك</x:v>
      </x:c>
      <x:c r="H238" s="6" t="str">
        <x:v>إصلاح التكييف Defender في دبي | ديجي-تك</x:v>
      </x:c>
      <x:c r="I238" s="6" t="str">
        <x:v>إصلاح التكييف Defender في دبي</x:v>
      </x:c>
      <x:c r="J238" s="6" t="str">
        <x:v>إصلاح التكييف Defender في دبي</x:v>
      </x:c>
      <x:c r="K238" s="6" t="str">
        <x:v>إصلاح التكييف متخصص لسيارات Defender في دبي مع تشخيص متقدم وقطع مناسبة وتسعير واضح لدى مركز ديجي-تك.</x:v>
      </x:c>
      <x:c r="L238" s="6" t="str">
        <x:v>Retain pending evidence; no specific content edit justified by this export.</x:v>
      </x:c>
      <x:c r="M238" s="6" t="str">
        <x:v>Retain; inspect relevant context before adding links</x:v>
      </x:c>
      <x:c r="N238" s="6" t="str">
        <x:v>Unconfirmed — no query/page pairing</x:v>
      </x:c>
      <x:c r="O238" s="6" t="str">
        <x:v>Retain established booking / WhatsApp / call path; live behaviour untested</x:v>
      </x:c>
      <x:c r="P238" s="6" t="str">
        <x:v>Retain canonical and indexation policy pending a live check.</x:v>
      </x:c>
      <x:c r="Q238" s="6" t="str">
        <x:v>Proposed; no website change made</x:v>
      </x:c>
      <x:c r="R238" s="14"/>
      <x:c r="S238" s="14"/>
      <x:c r="T238" s="15"/>
      <x:c r="U238" s="16"/>
      <x:c r="V238" s="6" t="str">
        <x:v>https://digitecme.com/ar/brands/defender-service-dubai/ac-repair</x:v>
      </x:c>
      <x:c r="W238" s="6" t="str">
        <x:v>Indexable directive</x:v>
      </x:c>
      <x:c r="X238" s="6" t="n">
        <x:v>16</x:v>
      </x:c>
      <x:c r="Y238" s="6" t="str">
        <x:v>إصلاح التكييف Defender في دبي | ديجي-تك</x:v>
      </x:c>
      <x:c r="Z238" s="6" t="str"/>
      <x:c r="AA238" s="6" t="str">
        <x:v>No / not compared</x:v>
      </x:c>
    </x:row>
    <x:row r="239" ht="42" customHeight="1">
      <x:c r="A239" s="6" t="str">
        <x:v>https://digitecme.com/ar/brands/defender-service-dubai/battery-replacement</x:v>
      </x:c>
      <x:c r="B239" s="6" t="str"/>
      <x:c r="C239" s="6" t="str"/>
      <x:c r="D239" s="6" t="str">
        <x:v>brand-service</x:v>
      </x:c>
      <x:c r="E239" s="6" t="str">
        <x:v>Retain differentiated role</x:v>
      </x:c>
      <x:c r="F239" s="6" t="str">
        <x:v>Local source render; live version unverified</x:v>
      </x:c>
      <x:c r="G239" s="6" t="str">
        <x:v>تبديل البطارية Defender في دبي | ديجي-تك</x:v>
      </x:c>
      <x:c r="H239" s="6" t="str">
        <x:v>تبديل البطارية Defender في دبي | ديجي-تك</x:v>
      </x:c>
      <x:c r="I239" s="6" t="str">
        <x:v>تبديل البطارية Defender في دبي</x:v>
      </x:c>
      <x:c r="J239" s="6" t="str">
        <x:v>تبديل البطارية Defender في دبي</x:v>
      </x:c>
      <x:c r="K239" s="6" t="str">
        <x:v>تبديل البطارية متخصص لسيارات Defender في دبي مع تشخيص متقدم وقطع مناسبة وتسعير واضح لدى مركز ديجي-تك.</x:v>
      </x:c>
      <x:c r="L239" s="6" t="str">
        <x:v>Retain pending evidence; no specific content edit justified by this export.</x:v>
      </x:c>
      <x:c r="M239" s="6" t="str">
        <x:v>Retain; inspect relevant context before adding links</x:v>
      </x:c>
      <x:c r="N239" s="6" t="str">
        <x:v>Unconfirmed — no query/page pairing</x:v>
      </x:c>
      <x:c r="O239" s="6" t="str">
        <x:v>Retain established booking / WhatsApp / call path; live behaviour untested</x:v>
      </x:c>
      <x:c r="P239" s="6" t="str">
        <x:v>Retain canonical and indexation policy pending a live check.</x:v>
      </x:c>
      <x:c r="Q239" s="6" t="str">
        <x:v>Proposed; no website change made</x:v>
      </x:c>
      <x:c r="R239" s="14" t="n">
        <x:v>0</x:v>
      </x:c>
      <x:c r="S239" s="14" t="n">
        <x:v>2</x:v>
      </x:c>
      <x:c r="T239" s="15" t="n">
        <x:v>0</x:v>
      </x:c>
      <x:c r="U239" s="16" t="n">
        <x:v>3</x:v>
      </x:c>
      <x:c r="V239" s="6" t="str">
        <x:v>https://digitecme.com/ar/brands/defender-service-dubai/battery-replacement</x:v>
      </x:c>
      <x:c r="W239" s="6" t="str">
        <x:v>Indexable directive</x:v>
      </x:c>
      <x:c r="X239" s="6" t="n">
        <x:v>16</x:v>
      </x:c>
      <x:c r="Y239" s="6" t="str">
        <x:v>تبديل البطارية Defender في دبي | ديجي-تك</x:v>
      </x:c>
      <x:c r="Z239" s="6" t="str"/>
      <x:c r="AA239" s="6" t="str">
        <x:v>No / not compared</x:v>
      </x:c>
    </x:row>
    <x:row r="240" ht="42" customHeight="1">
      <x:c r="A240" s="6" t="str">
        <x:v>https://digitecme.com/ar/brands/defender-service-dubai/body-repair</x:v>
      </x:c>
      <x:c r="B240" s="6" t="str"/>
      <x:c r="C240" s="6" t="str"/>
      <x:c r="D240" s="6" t="str">
        <x:v>brand-service</x:v>
      </x:c>
      <x:c r="E240" s="6" t="str">
        <x:v>Retain differentiated role</x:v>
      </x:c>
      <x:c r="F240" s="6" t="str">
        <x:v>Local source render; live version unverified</x:v>
      </x:c>
      <x:c r="G240" s="6" t="str">
        <x:v>إصلاح الهيكل Defender في دبي | ديجي-تك</x:v>
      </x:c>
      <x:c r="H240" s="6" t="str">
        <x:v>إصلاح الهيكل Defender في دبي | ديجي-تك</x:v>
      </x:c>
      <x:c r="I240" s="6" t="str">
        <x:v>إصلاح الهيكل Defender في دبي</x:v>
      </x:c>
      <x:c r="J240" s="6" t="str">
        <x:v>إصلاح الهيكل Defender في دبي</x:v>
      </x:c>
      <x:c r="K240" s="6" t="str">
        <x:v>إصلاح الهيكل متخصص لسيارات Defender في دبي مع تشخيص متقدم وقطع مناسبة وتسعير واضح لدى مركز ديجي-تك.</x:v>
      </x:c>
      <x:c r="L240" s="6" t="str">
        <x:v>Retain pending evidence; no specific content edit justified by this export.</x:v>
      </x:c>
      <x:c r="M240" s="6" t="str">
        <x:v>Retain; inspect relevant context before adding links</x:v>
      </x:c>
      <x:c r="N240" s="6" t="str">
        <x:v>Unconfirmed — no query/page pairing</x:v>
      </x:c>
      <x:c r="O240" s="6" t="str">
        <x:v>Retain established booking / WhatsApp / call path; live behaviour untested</x:v>
      </x:c>
      <x:c r="P240" s="6" t="str">
        <x:v>Retain canonical and indexation policy pending a live check.</x:v>
      </x:c>
      <x:c r="Q240" s="6" t="str">
        <x:v>Proposed; no website change made</x:v>
      </x:c>
      <x:c r="R240" s="14"/>
      <x:c r="S240" s="14"/>
      <x:c r="T240" s="15"/>
      <x:c r="U240" s="16"/>
      <x:c r="V240" s="6" t="str">
        <x:v>https://digitecme.com/ar/brands/defender-service-dubai/body-repair</x:v>
      </x:c>
      <x:c r="W240" s="6" t="str">
        <x:v>Indexable directive</x:v>
      </x:c>
      <x:c r="X240" s="6" t="n">
        <x:v>16</x:v>
      </x:c>
      <x:c r="Y240" s="6" t="str">
        <x:v>إصلاح الهيكل Defender في دبي | ديجي-تك</x:v>
      </x:c>
      <x:c r="Z240" s="6" t="str"/>
      <x:c r="AA240" s="6" t="str">
        <x:v>No / not compared</x:v>
      </x:c>
    </x:row>
    <x:row r="241" ht="42" customHeight="1">
      <x:c r="A241" s="6" t="str">
        <x:v>https://digitecme.com/ar/brands/defender-service-dubai/brake-repair</x:v>
      </x:c>
      <x:c r="B241" s="6" t="str"/>
      <x:c r="C241" s="6" t="str"/>
      <x:c r="D241" s="6" t="str">
        <x:v>brand-service</x:v>
      </x:c>
      <x:c r="E241" s="6" t="str">
        <x:v>Retain differentiated role</x:v>
      </x:c>
      <x:c r="F241" s="6" t="str">
        <x:v>Local source render; live version unverified</x:v>
      </x:c>
      <x:c r="G241" s="6" t="str">
        <x:v>إصلاح الفرامل Defender في دبي | ديجي-تك</x:v>
      </x:c>
      <x:c r="H241" s="6" t="str">
        <x:v>إصلاح الفرامل Defender في دبي | ديجي-تك</x:v>
      </x:c>
      <x:c r="I241" s="6" t="str">
        <x:v>إصلاح الفرامل Defender في دبي</x:v>
      </x:c>
      <x:c r="J241" s="6" t="str">
        <x:v>إصلاح الفرامل Defender في دبي</x:v>
      </x:c>
      <x:c r="K241" s="6" t="str">
        <x:v>إصلاح الفرامل متخصص لسيارات Defender في دبي مع تشخيص متقدم وقطع مناسبة وتسعير واضح لدى مركز ديجي-تك.</x:v>
      </x:c>
      <x:c r="L241" s="6" t="str">
        <x:v>Retain pending evidence; no specific content edit justified by this export.</x:v>
      </x:c>
      <x:c r="M241" s="6" t="str">
        <x:v>Retain; inspect relevant context before adding links</x:v>
      </x:c>
      <x:c r="N241" s="6" t="str">
        <x:v>Unconfirmed — no query/page pairing</x:v>
      </x:c>
      <x:c r="O241" s="6" t="str">
        <x:v>Retain established booking / WhatsApp / call path; live behaviour untested</x:v>
      </x:c>
      <x:c r="P241" s="6" t="str">
        <x:v>Retain canonical and indexation policy pending a live check.</x:v>
      </x:c>
      <x:c r="Q241" s="6" t="str">
        <x:v>Proposed; no website change made</x:v>
      </x:c>
      <x:c r="R241" s="14"/>
      <x:c r="S241" s="14"/>
      <x:c r="T241" s="15"/>
      <x:c r="U241" s="16"/>
      <x:c r="V241" s="6" t="str">
        <x:v>https://digitecme.com/ar/brands/defender-service-dubai/brake-repair</x:v>
      </x:c>
      <x:c r="W241" s="6" t="str">
        <x:v>Indexable directive</x:v>
      </x:c>
      <x:c r="X241" s="6" t="n">
        <x:v>16</x:v>
      </x:c>
      <x:c r="Y241" s="6" t="str">
        <x:v>إصلاح الفرامل Defender في دبي | ديجي-تك</x:v>
      </x:c>
      <x:c r="Z241" s="6" t="str"/>
      <x:c r="AA241" s="6" t="str">
        <x:v>No / not compared</x:v>
      </x:c>
    </x:row>
    <x:row r="242" ht="42" customHeight="1">
      <x:c r="A242" s="6" t="str">
        <x:v>https://digitecme.com/ar/brands/defender-service-dubai/electrical-repair</x:v>
      </x:c>
      <x:c r="B242" s="6" t="str"/>
      <x:c r="C242" s="6" t="str"/>
      <x:c r="D242" s="6" t="str">
        <x:v>brand-service</x:v>
      </x:c>
      <x:c r="E242" s="6" t="str">
        <x:v>Retain differentiated role</x:v>
      </x:c>
      <x:c r="F242" s="6" t="str">
        <x:v>Local source render; live version unverified</x:v>
      </x:c>
      <x:c r="G242" s="6" t="str">
        <x:v>إصلاح الكهرباء Defender في دبي | ديجي-تك</x:v>
      </x:c>
      <x:c r="H242" s="6" t="str">
        <x:v>إصلاح الكهرباء Defender في دبي | ديجي-تك</x:v>
      </x:c>
      <x:c r="I242" s="6" t="str">
        <x:v>إصلاح الكهرباء Defender في دبي</x:v>
      </x:c>
      <x:c r="J242" s="6" t="str">
        <x:v>إصلاح الكهرباء Defender في دبي</x:v>
      </x:c>
      <x:c r="K242" s="6" t="str">
        <x:v>إصلاح الكهرباء متخصص لسيارات Defender في دبي مع تشخيص متقدم وقطع مناسبة وتسعير واضح لدى مركز ديجي-تك.</x:v>
      </x:c>
      <x:c r="L242" s="6" t="str">
        <x:v>Retain pending evidence; no specific content edit justified by this export.</x:v>
      </x:c>
      <x:c r="M242" s="6" t="str">
        <x:v>Retain; inspect relevant context before adding links</x:v>
      </x:c>
      <x:c r="N242" s="6" t="str">
        <x:v>Unconfirmed — no query/page pairing</x:v>
      </x:c>
      <x:c r="O242" s="6" t="str">
        <x:v>Retain established booking / WhatsApp / call path; live behaviour untested</x:v>
      </x:c>
      <x:c r="P242" s="6" t="str">
        <x:v>Retain canonical and indexation policy pending a live check.</x:v>
      </x:c>
      <x:c r="Q242" s="6" t="str">
        <x:v>Proposed; no website change made</x:v>
      </x:c>
      <x:c r="R242" s="14"/>
      <x:c r="S242" s="14"/>
      <x:c r="T242" s="15"/>
      <x:c r="U242" s="16"/>
      <x:c r="V242" s="6" t="str">
        <x:v>https://digitecme.com/ar/brands/defender-service-dubai/electrical-repair</x:v>
      </x:c>
      <x:c r="W242" s="6" t="str">
        <x:v>Indexable directive</x:v>
      </x:c>
      <x:c r="X242" s="6" t="n">
        <x:v>16</x:v>
      </x:c>
      <x:c r="Y242" s="6" t="str">
        <x:v>إصلاح الكهرباء Defender في دبي | ديجي-تك</x:v>
      </x:c>
      <x:c r="Z242" s="6" t="str"/>
      <x:c r="AA242" s="6" t="str">
        <x:v>No / not compared</x:v>
      </x:c>
    </x:row>
    <x:row r="243" ht="42" customHeight="1">
      <x:c r="A243" s="6" t="str">
        <x:v>https://digitecme.com/ar/brands/defender-service-dubai/engine-diagnostics</x:v>
      </x:c>
      <x:c r="B243" s="6" t="str"/>
      <x:c r="C243" s="6" t="str"/>
      <x:c r="D243" s="6" t="str">
        <x:v>brand-service</x:v>
      </x:c>
      <x:c r="E243" s="6" t="str">
        <x:v>Retain differentiated role</x:v>
      </x:c>
      <x:c r="F243" s="6" t="str">
        <x:v>Local source render; live version unverified</x:v>
      </x:c>
      <x:c r="G243" s="6" t="str">
        <x:v>تشخيص المحرك Defender في دبي | ديجي-تك</x:v>
      </x:c>
      <x:c r="H243" s="6" t="str">
        <x:v>تشخيص المحرك Defender في دبي | ديجي-تك</x:v>
      </x:c>
      <x:c r="I243" s="6" t="str">
        <x:v>تشخيص المحرك Defender في دبي</x:v>
      </x:c>
      <x:c r="J243" s="6" t="str">
        <x:v>تشخيص المحرك Defender في دبي</x:v>
      </x:c>
      <x:c r="K243" s="6" t="str">
        <x:v>تشخيص المحرك متخصص لسيارات Defender في دبي مع تشخيص متقدم وقطع مناسبة وتسعير واضح لدى مركز ديجي-تك.</x:v>
      </x:c>
      <x:c r="L243" s="6" t="str">
        <x:v>Retain pending evidence; no specific content edit justified by this export.</x:v>
      </x:c>
      <x:c r="M243" s="6" t="str">
        <x:v>Retain; inspect relevant context before adding links</x:v>
      </x:c>
      <x:c r="N243" s="6" t="str">
        <x:v>Unconfirmed — no query/page pairing</x:v>
      </x:c>
      <x:c r="O243" s="6" t="str">
        <x:v>Retain established booking / WhatsApp / call path; live behaviour untested</x:v>
      </x:c>
      <x:c r="P243" s="6" t="str">
        <x:v>Retain canonical and indexation policy pending a live check.</x:v>
      </x:c>
      <x:c r="Q243" s="6" t="str">
        <x:v>Proposed; no website change made</x:v>
      </x:c>
      <x:c r="R243" s="14"/>
      <x:c r="S243" s="14"/>
      <x:c r="T243" s="15"/>
      <x:c r="U243" s="16"/>
      <x:c r="V243" s="6" t="str">
        <x:v>https://digitecme.com/ar/brands/defender-service-dubai/engine-diagnostics</x:v>
      </x:c>
      <x:c r="W243" s="6" t="str">
        <x:v>Indexable directive</x:v>
      </x:c>
      <x:c r="X243" s="6" t="n">
        <x:v>16</x:v>
      </x:c>
      <x:c r="Y243" s="6" t="str">
        <x:v>تشخيص المحرك Defender في دبي | ديجي-تك</x:v>
      </x:c>
      <x:c r="Z243" s="6" t="str"/>
      <x:c r="AA243" s="6" t="str">
        <x:v>No / not compared</x:v>
      </x:c>
    </x:row>
    <x:row r="244" ht="42" customHeight="1">
      <x:c r="A244" s="6" t="str">
        <x:v>https://digitecme.com/ar/brands/defender-service-dubai/exhaust-repair</x:v>
      </x:c>
      <x:c r="B244" s="6" t="str"/>
      <x:c r="C244" s="6" t="str"/>
      <x:c r="D244" s="6" t="str">
        <x:v>brand-service</x:v>
      </x:c>
      <x:c r="E244" s="6" t="str">
        <x:v>Retain differentiated role</x:v>
      </x:c>
      <x:c r="F244" s="6" t="str">
        <x:v>Local source render; live version unverified</x:v>
      </x:c>
      <x:c r="G244" s="6" t="str">
        <x:v>إصلاح العادم Defender في دبي | ديجي-تك</x:v>
      </x:c>
      <x:c r="H244" s="6" t="str">
        <x:v>إصلاح العادم Defender في دبي | ديجي-تك</x:v>
      </x:c>
      <x:c r="I244" s="6" t="str">
        <x:v>إصلاح العادم Defender في دبي</x:v>
      </x:c>
      <x:c r="J244" s="6" t="str">
        <x:v>إصلاح العادم Defender في دبي</x:v>
      </x:c>
      <x:c r="K244" s="6" t="str">
        <x:v>إصلاح العادم متخصص لسيارات Defender في دبي مع تشخيص متقدم وقطع مناسبة وتسعير واضح لدى مركز ديجي-تك.</x:v>
      </x:c>
      <x:c r="L244" s="6" t="str">
        <x:v>Retain pending evidence; no specific content edit justified by this export.</x:v>
      </x:c>
      <x:c r="M244" s="6" t="str">
        <x:v>Retain; inspect relevant context before adding links</x:v>
      </x:c>
      <x:c r="N244" s="6" t="str">
        <x:v>Unconfirmed — no query/page pairing</x:v>
      </x:c>
      <x:c r="O244" s="6" t="str">
        <x:v>Retain established booking / WhatsApp / call path; live behaviour untested</x:v>
      </x:c>
      <x:c r="P244" s="6" t="str">
        <x:v>Retain canonical and indexation policy pending a live check.</x:v>
      </x:c>
      <x:c r="Q244" s="6" t="str">
        <x:v>Proposed; no website change made</x:v>
      </x:c>
      <x:c r="R244" s="14"/>
      <x:c r="S244" s="14"/>
      <x:c r="T244" s="15"/>
      <x:c r="U244" s="16"/>
      <x:c r="V244" s="6" t="str">
        <x:v>https://digitecme.com/ar/brands/defender-service-dubai/exhaust-repair</x:v>
      </x:c>
      <x:c r="W244" s="6" t="str">
        <x:v>Indexable directive</x:v>
      </x:c>
      <x:c r="X244" s="6" t="n">
        <x:v>16</x:v>
      </x:c>
      <x:c r="Y244" s="6" t="str">
        <x:v>إصلاح العادم Defender في دبي | ديجي-تك</x:v>
      </x:c>
      <x:c r="Z244" s="6" t="str"/>
      <x:c r="AA244" s="6" t="str">
        <x:v>No / not compared</x:v>
      </x:c>
    </x:row>
    <x:row r="245" ht="42" customHeight="1">
      <x:c r="A245" s="6" t="str">
        <x:v>https://digitecme.com/ar/brands/defender-service-dubai/fuel-system-repair</x:v>
      </x:c>
      <x:c r="B245" s="6" t="str"/>
      <x:c r="C245" s="6" t="str"/>
      <x:c r="D245" s="6" t="str">
        <x:v>brand-service</x:v>
      </x:c>
      <x:c r="E245" s="6" t="str">
        <x:v>Retain differentiated role</x:v>
      </x:c>
      <x:c r="F245" s="6" t="str">
        <x:v>Local source render; live version unverified</x:v>
      </x:c>
      <x:c r="G245" s="6" t="str">
        <x:v>إصلاح نظام الوقود Defender في دبي | ديجي-تك</x:v>
      </x:c>
      <x:c r="H245" s="6" t="str">
        <x:v>إصلاح نظام الوقود Defender في دبي | ديجي-تك</x:v>
      </x:c>
      <x:c r="I245" s="6" t="str">
        <x:v>إصلاح نظام الوقود Defender في دبي</x:v>
      </x:c>
      <x:c r="J245" s="6" t="str">
        <x:v>إصلاح نظام الوقود Defender في دبي</x:v>
      </x:c>
      <x:c r="K245" s="6" t="str">
        <x:v>إصلاح نظام الوقود متخصص لسيارات Defender في دبي مع تشخيص متقدم وقطع مناسبة وتسعير واضح لدى مركز ديجي-تك.</x:v>
      </x:c>
      <x:c r="L245" s="6" t="str">
        <x:v>Retain pending evidence; no specific content edit justified by this export.</x:v>
      </x:c>
      <x:c r="M245" s="6" t="str">
        <x:v>Retain; inspect relevant context before adding links</x:v>
      </x:c>
      <x:c r="N245" s="6" t="str">
        <x:v>Unconfirmed — no query/page pairing</x:v>
      </x:c>
      <x:c r="O245" s="6" t="str">
        <x:v>Retain established booking / WhatsApp / call path; live behaviour untested</x:v>
      </x:c>
      <x:c r="P245" s="6" t="str">
        <x:v>Retain canonical and indexation policy pending a live check.</x:v>
      </x:c>
      <x:c r="Q245" s="6" t="str">
        <x:v>Proposed; no website change made</x:v>
      </x:c>
      <x:c r="R245" s="14"/>
      <x:c r="S245" s="14"/>
      <x:c r="T245" s="15"/>
      <x:c r="U245" s="16"/>
      <x:c r="V245" s="6" t="str">
        <x:v>https://digitecme.com/ar/brands/defender-service-dubai/fuel-system-repair</x:v>
      </x:c>
      <x:c r="W245" s="6" t="str">
        <x:v>Indexable directive</x:v>
      </x:c>
      <x:c r="X245" s="6" t="n">
        <x:v>16</x:v>
      </x:c>
      <x:c r="Y245" s="6" t="str">
        <x:v>إصلاح نظام الوقود Defender في دبي | ديجي-تك</x:v>
      </x:c>
      <x:c r="Z245" s="6" t="str"/>
      <x:c r="AA245" s="6" t="str">
        <x:v>No / not compared</x:v>
      </x:c>
    </x:row>
    <x:row r="246" ht="42" customHeight="1">
      <x:c r="A246" s="6" t="str">
        <x:v>https://digitecme.com/ar/brands/defender-service-dubai/mechanical-repair</x:v>
      </x:c>
      <x:c r="B246" s="6" t="str"/>
      <x:c r="C246" s="6" t="str"/>
      <x:c r="D246" s="6" t="str">
        <x:v>brand-service</x:v>
      </x:c>
      <x:c r="E246" s="6" t="str">
        <x:v>Retain differentiated role</x:v>
      </x:c>
      <x:c r="F246" s="6" t="str">
        <x:v>Local source render; live version unverified</x:v>
      </x:c>
      <x:c r="G246" s="6" t="str">
        <x:v>الإصلاح الميكانيكي Defender في دبي | ديجي-تك</x:v>
      </x:c>
      <x:c r="H246" s="6" t="str">
        <x:v>الإصلاح الميكانيكي Defender في دبي | ديجي-تك</x:v>
      </x:c>
      <x:c r="I246" s="6" t="str">
        <x:v>الإصلاح الميكانيكي Defender في دبي</x:v>
      </x:c>
      <x:c r="J246" s="6" t="str">
        <x:v>الإصلاح الميكانيكي Defender في دبي</x:v>
      </x:c>
      <x:c r="K246" s="6" t="str">
        <x:v>الإصلاح الميكانيكي متخصص لسيارات Defender في دبي مع تشخيص متقدم وقطع مناسبة وتسعير واضح لدى مركز ديجي-تك.</x:v>
      </x:c>
      <x:c r="L246" s="6" t="str">
        <x:v>Retain pending evidence; no specific content edit justified by this export.</x:v>
      </x:c>
      <x:c r="M246" s="6" t="str">
        <x:v>Retain; inspect relevant context before adding links</x:v>
      </x:c>
      <x:c r="N246" s="6" t="str">
        <x:v>Unconfirmed — no query/page pairing</x:v>
      </x:c>
      <x:c r="O246" s="6" t="str">
        <x:v>Retain established booking / WhatsApp / call path; live behaviour untested</x:v>
      </x:c>
      <x:c r="P246" s="6" t="str">
        <x:v>Retain canonical and indexation policy pending a live check.</x:v>
      </x:c>
      <x:c r="Q246" s="6" t="str">
        <x:v>Proposed; no website change made</x:v>
      </x:c>
      <x:c r="R246" s="14"/>
      <x:c r="S246" s="14"/>
      <x:c r="T246" s="15"/>
      <x:c r="U246" s="16"/>
      <x:c r="V246" s="6" t="str">
        <x:v>https://digitecme.com/ar/brands/defender-service-dubai/mechanical-repair</x:v>
      </x:c>
      <x:c r="W246" s="6" t="str">
        <x:v>Indexable directive</x:v>
      </x:c>
      <x:c r="X246" s="6" t="n">
        <x:v>16</x:v>
      </x:c>
      <x:c r="Y246" s="6" t="str">
        <x:v>الإصلاح الميكانيكي Defender في دبي | ديجي-تك</x:v>
      </x:c>
      <x:c r="Z246" s="6" t="str"/>
      <x:c r="AA246" s="6" t="str">
        <x:v>No / not compared</x:v>
      </x:c>
    </x:row>
    <x:row r="247" ht="42" customHeight="1">
      <x:c r="A247" s="6" t="str">
        <x:v>https://digitecme.com/ar/brands/defender-service-dubai/oil-change</x:v>
      </x:c>
      <x:c r="B247" s="6" t="str"/>
      <x:c r="C247" s="6" t="str"/>
      <x:c r="D247" s="6" t="str">
        <x:v>brand-service</x:v>
      </x:c>
      <x:c r="E247" s="6" t="str">
        <x:v>Retain differentiated role</x:v>
      </x:c>
      <x:c r="F247" s="6" t="str">
        <x:v>Local source render; live version unverified</x:v>
      </x:c>
      <x:c r="G247" s="6" t="str">
        <x:v>تغيير الزيت Defender في دبي | ديجي-تك</x:v>
      </x:c>
      <x:c r="H247" s="6" t="str">
        <x:v>تغيير الزيت Defender في دبي | ديجي-تك</x:v>
      </x:c>
      <x:c r="I247" s="6" t="str">
        <x:v>تغيير الزيت Defender في دبي</x:v>
      </x:c>
      <x:c r="J247" s="6" t="str">
        <x:v>تغيير الزيت Defender في دبي</x:v>
      </x:c>
      <x:c r="K247" s="6" t="str">
        <x:v>تغيير الزيت متخصص لسيارات Defender في دبي مع تشخيص متقدم وقطع مناسبة وتسعير واضح لدى مركز ديجي-تك.</x:v>
      </x:c>
      <x:c r="L247" s="6" t="str">
        <x:v>Retain pending evidence; no specific content edit justified by this export.</x:v>
      </x:c>
      <x:c r="M247" s="6" t="str">
        <x:v>Retain; inspect relevant context before adding links</x:v>
      </x:c>
      <x:c r="N247" s="6" t="str">
        <x:v>Unconfirmed — no query/page pairing</x:v>
      </x:c>
      <x:c r="O247" s="6" t="str">
        <x:v>Retain established booking / WhatsApp / call path; live behaviour untested</x:v>
      </x:c>
      <x:c r="P247" s="6" t="str">
        <x:v>Retain canonical and indexation policy pending a live check.</x:v>
      </x:c>
      <x:c r="Q247" s="6" t="str">
        <x:v>Proposed; no website change made</x:v>
      </x:c>
      <x:c r="R247" s="14"/>
      <x:c r="S247" s="14"/>
      <x:c r="T247" s="15"/>
      <x:c r="U247" s="16"/>
      <x:c r="V247" s="6" t="str">
        <x:v>https://digitecme.com/ar/brands/defender-service-dubai/oil-change</x:v>
      </x:c>
      <x:c r="W247" s="6" t="str">
        <x:v>Indexable directive</x:v>
      </x:c>
      <x:c r="X247" s="6" t="n">
        <x:v>16</x:v>
      </x:c>
      <x:c r="Y247" s="6" t="str">
        <x:v>تغيير الزيت Defender في دبي | ديجي-تك</x:v>
      </x:c>
      <x:c r="Z247" s="6" t="str"/>
      <x:c r="AA247" s="6" t="str">
        <x:v>No / not compared</x:v>
      </x:c>
    </x:row>
    <x:row r="248" ht="42" customHeight="1">
      <x:c r="A248" s="6" t="str">
        <x:v>https://digitecme.com/ar/brands/defender-service-dubai/steering-repair</x:v>
      </x:c>
      <x:c r="B248" s="6" t="str"/>
      <x:c r="C248" s="6" t="str"/>
      <x:c r="D248" s="6" t="str">
        <x:v>brand-service</x:v>
      </x:c>
      <x:c r="E248" s="6" t="str">
        <x:v>Retain differentiated role</x:v>
      </x:c>
      <x:c r="F248" s="6" t="str">
        <x:v>Local source render; live version unverified</x:v>
      </x:c>
      <x:c r="G248" s="6" t="str">
        <x:v>إصلاح نظام التوجيه Defender في دبي | ديجي-تك</x:v>
      </x:c>
      <x:c r="H248" s="6" t="str">
        <x:v>إصلاح نظام التوجيه Defender في دبي | ديجي-تك</x:v>
      </x:c>
      <x:c r="I248" s="6" t="str">
        <x:v>إصلاح نظام التوجيه Defender في دبي</x:v>
      </x:c>
      <x:c r="J248" s="6" t="str">
        <x:v>إصلاح نظام التوجيه Defender في دبي</x:v>
      </x:c>
      <x:c r="K248" s="6" t="str">
        <x:v>إصلاح نظام التوجيه متخصص لسيارات Defender في دبي مع تشخيص متقدم وقطع مناسبة وتسعير واضح لدى مركز ديجي-تك.</x:v>
      </x:c>
      <x:c r="L248" s="6" t="str">
        <x:v>Retain pending evidence; no specific content edit justified by this export.</x:v>
      </x:c>
      <x:c r="M248" s="6" t="str">
        <x:v>Retain; inspect relevant context before adding links</x:v>
      </x:c>
      <x:c r="N248" s="6" t="str">
        <x:v>Unconfirmed — no query/page pairing</x:v>
      </x:c>
      <x:c r="O248" s="6" t="str">
        <x:v>Retain established booking / WhatsApp / call path; live behaviour untested</x:v>
      </x:c>
      <x:c r="P248" s="6" t="str">
        <x:v>Retain canonical and indexation policy pending a live check.</x:v>
      </x:c>
      <x:c r="Q248" s="6" t="str">
        <x:v>Proposed; no website change made</x:v>
      </x:c>
      <x:c r="R248" s="14"/>
      <x:c r="S248" s="14"/>
      <x:c r="T248" s="15"/>
      <x:c r="U248" s="16"/>
      <x:c r="V248" s="6" t="str">
        <x:v>https://digitecme.com/ar/brands/defender-service-dubai/steering-repair</x:v>
      </x:c>
      <x:c r="W248" s="6" t="str">
        <x:v>Indexable directive</x:v>
      </x:c>
      <x:c r="X248" s="6" t="n">
        <x:v>16</x:v>
      </x:c>
      <x:c r="Y248" s="6" t="str">
        <x:v>إصلاح نظام التوجيه Defender في دبي | ديجي-تك</x:v>
      </x:c>
      <x:c r="Z248" s="6" t="str"/>
      <x:c r="AA248" s="6" t="str">
        <x:v>No / not compared</x:v>
      </x:c>
    </x:row>
    <x:row r="249" ht="42" customHeight="1">
      <x:c r="A249" s="6" t="str">
        <x:v>https://digitecme.com/ar/brands/defender-service-dubai/suspension-repair</x:v>
      </x:c>
      <x:c r="B249" s="6" t="str"/>
      <x:c r="C249" s="6" t="str"/>
      <x:c r="D249" s="6" t="str">
        <x:v>brand-service</x:v>
      </x:c>
      <x:c r="E249" s="6" t="str">
        <x:v>Retain differentiated role</x:v>
      </x:c>
      <x:c r="F249" s="6" t="str">
        <x:v>Local source render; live version unverified</x:v>
      </x:c>
      <x:c r="G249" s="6" t="str">
        <x:v>إصلاح التعليق Defender في دبي | ديجي-تك</x:v>
      </x:c>
      <x:c r="H249" s="6" t="str">
        <x:v>إصلاح التعليق Defender في دبي | ديجي-تك</x:v>
      </x:c>
      <x:c r="I249" s="6" t="str">
        <x:v>إصلاح التعليق Defender في دبي</x:v>
      </x:c>
      <x:c r="J249" s="6" t="str">
        <x:v>إصلاح التعليق Defender في دبي</x:v>
      </x:c>
      <x:c r="K249" s="6" t="str">
        <x:v>إصلاح التعليق متخصص لسيارات Defender في دبي مع تشخيص متقدم وقطع مناسبة وتسعير واضح لدى مركز ديجي-تك.</x:v>
      </x:c>
      <x:c r="L249" s="6" t="str">
        <x:v>Retain pending evidence; no specific content edit justified by this export.</x:v>
      </x:c>
      <x:c r="M249" s="6" t="str">
        <x:v>Retain; inspect relevant context before adding links</x:v>
      </x:c>
      <x:c r="N249" s="6" t="str">
        <x:v>Unconfirmed — no query/page pairing</x:v>
      </x:c>
      <x:c r="O249" s="6" t="str">
        <x:v>Retain established booking / WhatsApp / call path; live behaviour untested</x:v>
      </x:c>
      <x:c r="P249" s="6" t="str">
        <x:v>Retain canonical and indexation policy pending a live check.</x:v>
      </x:c>
      <x:c r="Q249" s="6" t="str">
        <x:v>Proposed; no website change made</x:v>
      </x:c>
      <x:c r="R249" s="14"/>
      <x:c r="S249" s="14"/>
      <x:c r="T249" s="15"/>
      <x:c r="U249" s="16"/>
      <x:c r="V249" s="6" t="str">
        <x:v>https://digitecme.com/ar/brands/defender-service-dubai/suspension-repair</x:v>
      </x:c>
      <x:c r="W249" s="6" t="str">
        <x:v>Indexable directive</x:v>
      </x:c>
      <x:c r="X249" s="6" t="n">
        <x:v>16</x:v>
      </x:c>
      <x:c r="Y249" s="6" t="str">
        <x:v>إصلاح التعليق Defender في دبي | ديجي-تك</x:v>
      </x:c>
      <x:c r="Z249" s="6" t="str"/>
      <x:c r="AA249" s="6" t="str">
        <x:v>No / not compared</x:v>
      </x:c>
    </x:row>
    <x:row r="250" ht="42" customHeight="1">
      <x:c r="A250" s="6" t="str">
        <x:v>https://digitecme.com/ar/brands/defender-service-dubai/tire-repair</x:v>
      </x:c>
      <x:c r="B250" s="6" t="str"/>
      <x:c r="C250" s="6" t="str"/>
      <x:c r="D250" s="6" t="str">
        <x:v>brand-service</x:v>
      </x:c>
      <x:c r="E250" s="6" t="str">
        <x:v>Retain differentiated role</x:v>
      </x:c>
      <x:c r="F250" s="6" t="str">
        <x:v>Local source render; live version unverified</x:v>
      </x:c>
      <x:c r="G250" s="6" t="str">
        <x:v>إصلاح الإطارات Defender في دبي | ديجي-تك</x:v>
      </x:c>
      <x:c r="H250" s="6" t="str">
        <x:v>إصلاح الإطارات Defender في دبي | ديجي-تك</x:v>
      </x:c>
      <x:c r="I250" s="6" t="str">
        <x:v>إصلاح الإطارات Defender في دبي</x:v>
      </x:c>
      <x:c r="J250" s="6" t="str">
        <x:v>إصلاح الإطارات Defender في دبي</x:v>
      </x:c>
      <x:c r="K250" s="6" t="str">
        <x:v>إصلاح الإطارات متخصص لسيارات Defender في دبي مع تشخيص متقدم وقطع مناسبة وتسعير واضح لدى مركز ديجي-تك.</x:v>
      </x:c>
      <x:c r="L250" s="6" t="str">
        <x:v>Retain pending evidence; no specific content edit justified by this export.</x:v>
      </x:c>
      <x:c r="M250" s="6" t="str">
        <x:v>Retain; inspect relevant context before adding links</x:v>
      </x:c>
      <x:c r="N250" s="6" t="str">
        <x:v>Unconfirmed — no query/page pairing</x:v>
      </x:c>
      <x:c r="O250" s="6" t="str">
        <x:v>Retain established booking / WhatsApp / call path; live behaviour untested</x:v>
      </x:c>
      <x:c r="P250" s="6" t="str">
        <x:v>Retain canonical and indexation policy pending a live check.</x:v>
      </x:c>
      <x:c r="Q250" s="6" t="str">
        <x:v>Proposed; no website change made</x:v>
      </x:c>
      <x:c r="R250" s="14"/>
      <x:c r="S250" s="14"/>
      <x:c r="T250" s="15"/>
      <x:c r="U250" s="16"/>
      <x:c r="V250" s="6" t="str">
        <x:v>https://digitecme.com/ar/brands/defender-service-dubai/tire-repair</x:v>
      </x:c>
      <x:c r="W250" s="6" t="str">
        <x:v>Indexable directive</x:v>
      </x:c>
      <x:c r="X250" s="6" t="n">
        <x:v>16</x:v>
      </x:c>
      <x:c r="Y250" s="6" t="str">
        <x:v>إصلاح الإطارات Defender في دبي | ديجي-تك</x:v>
      </x:c>
      <x:c r="Z250" s="6" t="str"/>
      <x:c r="AA250" s="6" t="str">
        <x:v>No / not compared</x:v>
      </x:c>
    </x:row>
    <x:row r="251" ht="42" customHeight="1">
      <x:c r="A251" s="6" t="str">
        <x:v>https://digitecme.com/ar/brands/defender-service-dubai/transmission-repair</x:v>
      </x:c>
      <x:c r="B251" s="6" t="str"/>
      <x:c r="C251" s="6" t="str"/>
      <x:c r="D251" s="6" t="str">
        <x:v>brand-service</x:v>
      </x:c>
      <x:c r="E251" s="6" t="str">
        <x:v>Retain differentiated role</x:v>
      </x:c>
      <x:c r="F251" s="6" t="str">
        <x:v>Local source render; live version unverified</x:v>
      </x:c>
      <x:c r="G251" s="6" t="str">
        <x:v>إصلاح ناقل الحركة Defender في دبي | ديجي-تك</x:v>
      </x:c>
      <x:c r="H251" s="6" t="str">
        <x:v>إصلاح ناقل الحركة Defender في دبي | ديجي-تك</x:v>
      </x:c>
      <x:c r="I251" s="6" t="str">
        <x:v>إصلاح ناقل الحركة Defender في دبي</x:v>
      </x:c>
      <x:c r="J251" s="6" t="str">
        <x:v>إصلاح ناقل الحركة Defender في دبي</x:v>
      </x:c>
      <x:c r="K251" s="6" t="str">
        <x:v>إصلاح ناقل الحركة متخصص لسيارات Defender في دبي مع تشخيص متقدم وقطع مناسبة وتسعير واضح لدى مركز ديجي-تك.</x:v>
      </x:c>
      <x:c r="L251" s="6" t="str">
        <x:v>Retain pending evidence; no specific content edit justified by this export.</x:v>
      </x:c>
      <x:c r="M251" s="6" t="str">
        <x:v>Retain; inspect relevant context before adding links</x:v>
      </x:c>
      <x:c r="N251" s="6" t="str">
        <x:v>Unconfirmed — no query/page pairing</x:v>
      </x:c>
      <x:c r="O251" s="6" t="str">
        <x:v>Retain established booking / WhatsApp / call path; live behaviour untested</x:v>
      </x:c>
      <x:c r="P251" s="6" t="str">
        <x:v>Retain canonical and indexation policy pending a live check.</x:v>
      </x:c>
      <x:c r="Q251" s="6" t="str">
        <x:v>Proposed; no website change made</x:v>
      </x:c>
      <x:c r="R251" s="14"/>
      <x:c r="S251" s="14"/>
      <x:c r="T251" s="15"/>
      <x:c r="U251" s="16"/>
      <x:c r="V251" s="6" t="str">
        <x:v>https://digitecme.com/ar/brands/defender-service-dubai/transmission-repair</x:v>
      </x:c>
      <x:c r="W251" s="6" t="str">
        <x:v>Indexable directive</x:v>
      </x:c>
      <x:c r="X251" s="6" t="n">
        <x:v>16</x:v>
      </x:c>
      <x:c r="Y251" s="6" t="str">
        <x:v>إصلاح ناقل الحركة Defender في دبي | ديجي-تك</x:v>
      </x:c>
      <x:c r="Z251" s="6" t="str"/>
      <x:c r="AA251" s="6" t="str">
        <x:v>No / not compared</x:v>
      </x:c>
    </x:row>
    <x:row r="252" ht="42" customHeight="1">
      <x:c r="A252" s="6" t="str">
        <x:v>https://digitecme.com/ar/brands/dodge-service-dubai</x:v>
      </x:c>
      <x:c r="B252" s="6" t="str">
        <x:v>صيانة دودج</x:v>
      </x:c>
      <x:c r="C252" s="6" t="str">
        <x:v>dodge: Service and repair (Arabic)</x:v>
      </x:c>
      <x:c r="D252" s="6" t="str">
        <x:v>brand</x:v>
      </x:c>
      <x:c r="E252" s="6" t="str">
        <x:v>Primary owner for assigned intent</x:v>
      </x:c>
      <x:c r="F252" s="6" t="str">
        <x:v>Local source render; live version unverified</x:v>
      </x:c>
      <x:c r="G252" s="6" t="str">
        <x:v>إصلاح وصيانة Dodge في دبي | مركز ديجي-تك</x:v>
      </x:c>
      <x:c r="H252" s="6" t="str">
        <x:v>إصلاح وصيانة Dodge في دبي | مركز ديجي-تك</x:v>
      </x:c>
      <x:c r="I252" s="6" t="str">
        <x:v>Dodge للإصلاح والصيانة في دبي</x:v>
      </x:c>
      <x:c r="J252" s="6" t="str">
        <x:v>Dodge للإصلاح والصيانة في دبي</x:v>
      </x:c>
      <x:c r="K252" s="6" t="str">
        <x:v>إصلاح وصيانة Dodge في دبي: تشخيص وصيانة وفرامل وناقل حركة وتعليق وتكييف مع قطع بالمواصفات المناسبة لدى مركز ديجي-تك.</x:v>
      </x:c>
      <x:c r="L252" s="6" t="str">
        <x:v>Retain pending evidence; no specific content edit justified by this export.</x:v>
      </x:c>
      <x:c r="M252" s="6" t="str">
        <x:v>Retain; inspect relevant context before adding links</x:v>
      </x:c>
      <x:c r="N252" s="6" t="str">
        <x:v>Unconfirmed — no query/page pairing</x:v>
      </x:c>
      <x:c r="O252" s="6" t="str">
        <x:v>Retain established booking / WhatsApp / call path; live behaviour untested</x:v>
      </x:c>
      <x:c r="P252" s="6" t="str">
        <x:v>Retain canonical and indexation policy pending a live check.</x:v>
      </x:c>
      <x:c r="Q252" s="6" t="str">
        <x:v>Proposed; no website change made</x:v>
      </x:c>
      <x:c r="R252" s="14" t="n">
        <x:v>0</x:v>
      </x:c>
      <x:c r="S252" s="14" t="n">
        <x:v>17</x:v>
      </x:c>
      <x:c r="T252" s="15" t="n">
        <x:v>0</x:v>
      </x:c>
      <x:c r="U252" s="16" t="n">
        <x:v>18.59</x:v>
      </x:c>
      <x:c r="V252" s="6" t="str">
        <x:v>https://digitecme.com/ar/brands/dodge-service-dubai</x:v>
      </x:c>
      <x:c r="W252" s="6" t="str">
        <x:v>Indexable directive</x:v>
      </x:c>
      <x:c r="X252" s="6" t="n">
        <x:v>30</x:v>
      </x:c>
      <x:c r="Y252" s="6" t="str">
        <x:v>إصلاح وصيانة Dodge في دبي | مركز ديجي-تك</x:v>
      </x:c>
      <x:c r="Z252" s="6" t="str"/>
      <x:c r="AA252" s="6" t="str">
        <x:v>No / not compared</x:v>
      </x:c>
    </x:row>
    <x:row r="253" ht="42" customHeight="1">
      <x:c r="A253" s="6" t="str">
        <x:v>https://digitecme.com/ar/brands/dodge-service-dubai/ac-repair</x:v>
      </x:c>
      <x:c r="B253" s="6" t="str"/>
      <x:c r="C253" s="6" t="str"/>
      <x:c r="D253" s="6" t="str">
        <x:v>brand-service</x:v>
      </x:c>
      <x:c r="E253" s="6" t="str">
        <x:v>Retain differentiated role</x:v>
      </x:c>
      <x:c r="F253" s="6" t="str">
        <x:v>Local source render; live version unverified</x:v>
      </x:c>
      <x:c r="G253" s="6" t="str">
        <x:v>إصلاح التكييف Dodge في دبي | ديجي-تك</x:v>
      </x:c>
      <x:c r="H253" s="6" t="str">
        <x:v>إصلاح التكييف Dodge في دبي | ديجي-تك</x:v>
      </x:c>
      <x:c r="I253" s="6" t="str">
        <x:v>إصلاح التكييف Dodge في دبي</x:v>
      </x:c>
      <x:c r="J253" s="6" t="str">
        <x:v>إصلاح التكييف Dodge في دبي</x:v>
      </x:c>
      <x:c r="K253" s="6" t="str">
        <x:v>إصلاح التكييف متخصص لسيارات Dodge في دبي مع تشخيص متقدم وقطع مناسبة وتسعير واضح لدى مركز ديجي-تك.</x:v>
      </x:c>
      <x:c r="L253" s="6" t="str">
        <x:v>Retain pending evidence; no specific content edit justified by this export.</x:v>
      </x:c>
      <x:c r="M253" s="6" t="str">
        <x:v>Retain; inspect relevant context before adding links</x:v>
      </x:c>
      <x:c r="N253" s="6" t="str">
        <x:v>Unconfirmed — no query/page pairing</x:v>
      </x:c>
      <x:c r="O253" s="6" t="str">
        <x:v>Retain established booking / WhatsApp / call path; live behaviour untested</x:v>
      </x:c>
      <x:c r="P253" s="6" t="str">
        <x:v>Retain canonical and indexation policy pending a live check.</x:v>
      </x:c>
      <x:c r="Q253" s="6" t="str">
        <x:v>Proposed; no website change made</x:v>
      </x:c>
      <x:c r="R253" s="14"/>
      <x:c r="S253" s="14"/>
      <x:c r="T253" s="15"/>
      <x:c r="U253" s="16"/>
      <x:c r="V253" s="6" t="str">
        <x:v>https://digitecme.com/ar/brands/dodge-service-dubai/ac-repair</x:v>
      </x:c>
      <x:c r="W253" s="6" t="str">
        <x:v>Indexable directive</x:v>
      </x:c>
      <x:c r="X253" s="6" t="n">
        <x:v>8</x:v>
      </x:c>
      <x:c r="Y253" s="6" t="str">
        <x:v>إصلاح التكييف Dodge في دبي | ديجي-تك</x:v>
      </x:c>
      <x:c r="Z253" s="6" t="str"/>
      <x:c r="AA253" s="6" t="str">
        <x:v>No / not compared</x:v>
      </x:c>
    </x:row>
    <x:row r="254" ht="42" customHeight="1">
      <x:c r="A254" s="6" t="str">
        <x:v>https://digitecme.com/ar/brands/dodge-service-dubai/brake-repair</x:v>
      </x:c>
      <x:c r="B254" s="6" t="str"/>
      <x:c r="C254" s="6" t="str"/>
      <x:c r="D254" s="6" t="str">
        <x:v>brand-service</x:v>
      </x:c>
      <x:c r="E254" s="6" t="str">
        <x:v>Retain differentiated role</x:v>
      </x:c>
      <x:c r="F254" s="6" t="str">
        <x:v>Local source render; live version unverified</x:v>
      </x:c>
      <x:c r="G254" s="6" t="str">
        <x:v>إصلاح الفرامل Dodge في دبي | ديجي-تك</x:v>
      </x:c>
      <x:c r="H254" s="6" t="str">
        <x:v>إصلاح الفرامل Dodge في دبي | ديجي-تك</x:v>
      </x:c>
      <x:c r="I254" s="6" t="str">
        <x:v>إصلاح الفرامل Dodge في دبي</x:v>
      </x:c>
      <x:c r="J254" s="6" t="str">
        <x:v>إصلاح الفرامل Dodge في دبي</x:v>
      </x:c>
      <x:c r="K254" s="6" t="str">
        <x:v>إصلاح الفرامل متخصص لسيارات Dodge في دبي مع تشخيص متقدم وقطع مناسبة وتسعير واضح لدى مركز ديجي-تك.</x:v>
      </x:c>
      <x:c r="L254" s="6" t="str">
        <x:v>Retain pending evidence; no specific content edit justified by this export.</x:v>
      </x:c>
      <x:c r="M254" s="6" t="str">
        <x:v>Retain; inspect relevant context before adding links</x:v>
      </x:c>
      <x:c r="N254" s="6" t="str">
        <x:v>Unconfirmed — no query/page pairing</x:v>
      </x:c>
      <x:c r="O254" s="6" t="str">
        <x:v>Retain established booking / WhatsApp / call path; live behaviour untested</x:v>
      </x:c>
      <x:c r="P254" s="6" t="str">
        <x:v>Retain canonical and indexation policy pending a live check.</x:v>
      </x:c>
      <x:c r="Q254" s="6" t="str">
        <x:v>Proposed; no website change made</x:v>
      </x:c>
      <x:c r="R254" s="14"/>
      <x:c r="S254" s="14"/>
      <x:c r="T254" s="15"/>
      <x:c r="U254" s="16"/>
      <x:c r="V254" s="6" t="str">
        <x:v>https://digitecme.com/ar/brands/dodge-service-dubai/brake-repair</x:v>
      </x:c>
      <x:c r="W254" s="6" t="str">
        <x:v>Indexable directive</x:v>
      </x:c>
      <x:c r="X254" s="6" t="n">
        <x:v>8</x:v>
      </x:c>
      <x:c r="Y254" s="6" t="str">
        <x:v>إصلاح الفرامل Dodge في دبي | ديجي-تك</x:v>
      </x:c>
      <x:c r="Z254" s="6" t="str"/>
      <x:c r="AA254" s="6" t="str">
        <x:v>No / not compared</x:v>
      </x:c>
    </x:row>
    <x:row r="255" ht="42" customHeight="1">
      <x:c r="A255" s="6" t="str">
        <x:v>https://digitecme.com/ar/brands/dodge-service-dubai/engine-diagnostics</x:v>
      </x:c>
      <x:c r="B255" s="6" t="str"/>
      <x:c r="C255" s="6" t="str"/>
      <x:c r="D255" s="6" t="str">
        <x:v>brand-service</x:v>
      </x:c>
      <x:c r="E255" s="6" t="str">
        <x:v>Retain differentiated role</x:v>
      </x:c>
      <x:c r="F255" s="6" t="str">
        <x:v>Local source render; live version unverified</x:v>
      </x:c>
      <x:c r="G255" s="6" t="str">
        <x:v>تشخيص المحرك Dodge في دبي | ديجي-تك</x:v>
      </x:c>
      <x:c r="H255" s="6" t="str">
        <x:v>تشخيص المحرك Dodge في دبي | ديجي-تك</x:v>
      </x:c>
      <x:c r="I255" s="6" t="str">
        <x:v>تشخيص المحرك Dodge في دبي</x:v>
      </x:c>
      <x:c r="J255" s="6" t="str">
        <x:v>تشخيص المحرك Dodge في دبي</x:v>
      </x:c>
      <x:c r="K255" s="6" t="str">
        <x:v>تشخيص المحرك متخصص لسيارات Dodge في دبي مع تشخيص متقدم وقطع مناسبة وتسعير واضح لدى مركز ديجي-تك.</x:v>
      </x:c>
      <x:c r="L255" s="6" t="str">
        <x:v>Retain pending evidence; no specific content edit justified by this export.</x:v>
      </x:c>
      <x:c r="M255" s="6" t="str">
        <x:v>Retain; inspect relevant context before adding links</x:v>
      </x:c>
      <x:c r="N255" s="6" t="str">
        <x:v>Unconfirmed — no query/page pairing</x:v>
      </x:c>
      <x:c r="O255" s="6" t="str">
        <x:v>Retain established booking / WhatsApp / call path; live behaviour untested</x:v>
      </x:c>
      <x:c r="P255" s="6" t="str">
        <x:v>Retain canonical and indexation policy pending a live check.</x:v>
      </x:c>
      <x:c r="Q255" s="6" t="str">
        <x:v>Proposed; no website change made</x:v>
      </x:c>
      <x:c r="R255" s="14" t="n">
        <x:v>0</x:v>
      </x:c>
      <x:c r="S255" s="14" t="n">
        <x:v>1</x:v>
      </x:c>
      <x:c r="T255" s="15" t="n">
        <x:v>0</x:v>
      </x:c>
      <x:c r="U255" s="16" t="n">
        <x:v>1</x:v>
      </x:c>
      <x:c r="V255" s="6" t="str">
        <x:v>https://digitecme.com/ar/brands/dodge-service-dubai/engine-diagnostics</x:v>
      </x:c>
      <x:c r="W255" s="6" t="str">
        <x:v>Indexable directive</x:v>
      </x:c>
      <x:c r="X255" s="6" t="n">
        <x:v>8</x:v>
      </x:c>
      <x:c r="Y255" s="6" t="str">
        <x:v>تشخيص المحرك Dodge في دبي | ديجي-تك</x:v>
      </x:c>
      <x:c r="Z255" s="6" t="str"/>
      <x:c r="AA255" s="6" t="str">
        <x:v>No / not compared</x:v>
      </x:c>
    </x:row>
    <x:row r="256" ht="42" customHeight="1">
      <x:c r="A256" s="6" t="str">
        <x:v>https://digitecme.com/ar/brands/dodge-service-dubai/oil-change</x:v>
      </x:c>
      <x:c r="B256" s="6" t="str"/>
      <x:c r="C256" s="6" t="str"/>
      <x:c r="D256" s="6" t="str">
        <x:v>brand-service</x:v>
      </x:c>
      <x:c r="E256" s="6" t="str">
        <x:v>Retain differentiated role</x:v>
      </x:c>
      <x:c r="F256" s="6" t="str">
        <x:v>Local source render; live version unverified</x:v>
      </x:c>
      <x:c r="G256" s="6" t="str">
        <x:v>تغيير الزيت Dodge في دبي | ديجي-تك</x:v>
      </x:c>
      <x:c r="H256" s="6" t="str">
        <x:v>تغيير الزيت Dodge في دبي | ديجي-تك</x:v>
      </x:c>
      <x:c r="I256" s="6" t="str">
        <x:v>تغيير الزيت Dodge في دبي</x:v>
      </x:c>
      <x:c r="J256" s="6" t="str">
        <x:v>تغيير الزيت Dodge في دبي</x:v>
      </x:c>
      <x:c r="K256" s="6" t="str">
        <x:v>تغيير الزيت متخصص لسيارات Dodge في دبي مع تشخيص متقدم وقطع مناسبة وتسعير واضح لدى مركز ديجي-تك.</x:v>
      </x:c>
      <x:c r="L256" s="6" t="str">
        <x:v>Retain pending evidence; no specific content edit justified by this export.</x:v>
      </x:c>
      <x:c r="M256" s="6" t="str">
        <x:v>Retain; inspect relevant context before adding links</x:v>
      </x:c>
      <x:c r="N256" s="6" t="str">
        <x:v>Unconfirmed — no query/page pairing</x:v>
      </x:c>
      <x:c r="O256" s="6" t="str">
        <x:v>Retain established booking / WhatsApp / call path; live behaviour untested</x:v>
      </x:c>
      <x:c r="P256" s="6" t="str">
        <x:v>Retain canonical and indexation policy pending a live check.</x:v>
      </x:c>
      <x:c r="Q256" s="6" t="str">
        <x:v>Proposed; no website change made</x:v>
      </x:c>
      <x:c r="R256" s="14" t="n">
        <x:v>0</x:v>
      </x:c>
      <x:c r="S256" s="14" t="n">
        <x:v>1</x:v>
      </x:c>
      <x:c r="T256" s="15" t="n">
        <x:v>0</x:v>
      </x:c>
      <x:c r="U256" s="16" t="n">
        <x:v>1</x:v>
      </x:c>
      <x:c r="V256" s="6" t="str">
        <x:v>https://digitecme.com/ar/brands/dodge-service-dubai/oil-change</x:v>
      </x:c>
      <x:c r="W256" s="6" t="str">
        <x:v>Indexable directive</x:v>
      </x:c>
      <x:c r="X256" s="6" t="n">
        <x:v>8</x:v>
      </x:c>
      <x:c r="Y256" s="6" t="str">
        <x:v>تغيير الزيت Dodge في دبي | ديجي-تك</x:v>
      </x:c>
      <x:c r="Z256" s="6" t="str"/>
      <x:c r="AA256" s="6" t="str">
        <x:v>No / not compared</x:v>
      </x:c>
    </x:row>
    <x:row r="257" ht="42" customHeight="1">
      <x:c r="A257" s="6" t="str">
        <x:v>https://digitecme.com/ar/brands/dodge-service-dubai/suspension-repair</x:v>
      </x:c>
      <x:c r="B257" s="6" t="str"/>
      <x:c r="C257" s="6" t="str"/>
      <x:c r="D257" s="6" t="str">
        <x:v>brand-service</x:v>
      </x:c>
      <x:c r="E257" s="6" t="str">
        <x:v>Retain differentiated role</x:v>
      </x:c>
      <x:c r="F257" s="6" t="str">
        <x:v>Local source render; live version unverified</x:v>
      </x:c>
      <x:c r="G257" s="6" t="str">
        <x:v>إصلاح التعليق Dodge في دبي | ديجي-تك</x:v>
      </x:c>
      <x:c r="H257" s="6" t="str">
        <x:v>إصلاح التعليق Dodge في دبي | ديجي-تك</x:v>
      </x:c>
      <x:c r="I257" s="6" t="str">
        <x:v>إصلاح التعليق Dodge في دبي</x:v>
      </x:c>
      <x:c r="J257" s="6" t="str">
        <x:v>إصلاح التعليق Dodge في دبي</x:v>
      </x:c>
      <x:c r="K257" s="6" t="str">
        <x:v>إصلاح التعليق متخصص لسيارات Dodge في دبي مع تشخيص متقدم وقطع مناسبة وتسعير واضح لدى مركز ديجي-تك.</x:v>
      </x:c>
      <x:c r="L257" s="6" t="str">
        <x:v>Retain pending evidence; no specific content edit justified by this export.</x:v>
      </x:c>
      <x:c r="M257" s="6" t="str">
        <x:v>Retain; inspect relevant context before adding links</x:v>
      </x:c>
      <x:c r="N257" s="6" t="str">
        <x:v>Unconfirmed — no query/page pairing</x:v>
      </x:c>
      <x:c r="O257" s="6" t="str">
        <x:v>Retain established booking / WhatsApp / call path; live behaviour untested</x:v>
      </x:c>
      <x:c r="P257" s="6" t="str">
        <x:v>Retain canonical and indexation policy pending a live check.</x:v>
      </x:c>
      <x:c r="Q257" s="6" t="str">
        <x:v>Proposed; no website change made</x:v>
      </x:c>
      <x:c r="R257" s="14"/>
      <x:c r="S257" s="14"/>
      <x:c r="T257" s="15"/>
      <x:c r="U257" s="16"/>
      <x:c r="V257" s="6" t="str">
        <x:v>https://digitecme.com/ar/brands/dodge-service-dubai/suspension-repair</x:v>
      </x:c>
      <x:c r="W257" s="6" t="str">
        <x:v>Noindex directive</x:v>
      </x:c>
      <x:c r="X257" s="6" t="n">
        <x:v>8</x:v>
      </x:c>
      <x:c r="Y257" s="6" t="str">
        <x:v>إصلاح التعليق Dodge في دبي | ديجي-تك</x:v>
      </x:c>
      <x:c r="Z257" s="6" t="str"/>
      <x:c r="AA257" s="6" t="str">
        <x:v>No / not compared</x:v>
      </x:c>
    </x:row>
    <x:row r="258" ht="42" customHeight="1">
      <x:c r="A258" s="6" t="str">
        <x:v>https://digitecme.com/ar/brands/dodge-service-dubai/transmission-repair</x:v>
      </x:c>
      <x:c r="B258" s="6" t="str"/>
      <x:c r="C258" s="6" t="str"/>
      <x:c r="D258" s="6" t="str">
        <x:v>brand-service</x:v>
      </x:c>
      <x:c r="E258" s="6" t="str">
        <x:v>Retain differentiated role</x:v>
      </x:c>
      <x:c r="F258" s="6" t="str">
        <x:v>Local source render; live version unverified</x:v>
      </x:c>
      <x:c r="G258" s="6" t="str">
        <x:v>إصلاح ناقل الحركة Dodge في دبي | ديجي-تك</x:v>
      </x:c>
      <x:c r="H258" s="6" t="str">
        <x:v>إصلاح ناقل الحركة Dodge في دبي | ديجي-تك</x:v>
      </x:c>
      <x:c r="I258" s="6" t="str">
        <x:v>إصلاح ناقل الحركة Dodge في دبي</x:v>
      </x:c>
      <x:c r="J258" s="6" t="str">
        <x:v>إصلاح ناقل الحركة Dodge في دبي</x:v>
      </x:c>
      <x:c r="K258" s="6" t="str">
        <x:v>إصلاح ناقل الحركة متخصص لسيارات Dodge في دبي مع تشخيص متقدم وقطع مناسبة وتسعير واضح لدى مركز ديجي-تك.</x:v>
      </x:c>
      <x:c r="L258" s="6" t="str">
        <x:v>Retain pending evidence; no specific content edit justified by this export.</x:v>
      </x:c>
      <x:c r="M258" s="6" t="str">
        <x:v>Retain; inspect relevant context before adding links</x:v>
      </x:c>
      <x:c r="N258" s="6" t="str">
        <x:v>Unconfirmed — no query/page pairing</x:v>
      </x:c>
      <x:c r="O258" s="6" t="str">
        <x:v>Retain established booking / WhatsApp / call path; live behaviour untested</x:v>
      </x:c>
      <x:c r="P258" s="6" t="str">
        <x:v>Retain canonical and indexation policy pending a live check.</x:v>
      </x:c>
      <x:c r="Q258" s="6" t="str">
        <x:v>Proposed; no website change made</x:v>
      </x:c>
      <x:c r="R258" s="14"/>
      <x:c r="S258" s="14"/>
      <x:c r="T258" s="15"/>
      <x:c r="U258" s="16"/>
      <x:c r="V258" s="6" t="str">
        <x:v>https://digitecme.com/ar/brands/dodge-service-dubai/transmission-repair</x:v>
      </x:c>
      <x:c r="W258" s="6" t="str">
        <x:v>Noindex directive</x:v>
      </x:c>
      <x:c r="X258" s="6" t="n">
        <x:v>8</x:v>
      </x:c>
      <x:c r="Y258" s="6" t="str">
        <x:v>إصلاح ناقل الحركة Dodge في دبي | ديجي-تك</x:v>
      </x:c>
      <x:c r="Z258" s="6" t="str"/>
      <x:c r="AA258" s="6" t="str">
        <x:v>No / not compared</x:v>
      </x:c>
    </x:row>
    <x:row r="259" ht="42" customHeight="1">
      <x:c r="A259" s="6" t="str">
        <x:v>https://digitecme.com/ar/brands/ferrari-service-dubai</x:v>
      </x:c>
      <x:c r="B259" s="6" t="str"/>
      <x:c r="C259" s="6" t="str"/>
      <x:c r="D259" s="6" t="str">
        <x:v>brand</x:v>
      </x:c>
      <x:c r="E259" s="6" t="str">
        <x:v>Retain differentiated role</x:v>
      </x:c>
      <x:c r="F259" s="6" t="str">
        <x:v>Local source render; live version unverified</x:v>
      </x:c>
      <x:c r="G259" s="6" t="str">
        <x:v>إصلاح وصيانة Ferrari في دبي | مركز ديجي-تك</x:v>
      </x:c>
      <x:c r="H259" s="6" t="str">
        <x:v>إصلاح وصيانة Ferrari في دبي | مركز ديجي-تك</x:v>
      </x:c>
      <x:c r="I259" s="6" t="str">
        <x:v>Ferrari للإصلاح والصيانة في دبي</x:v>
      </x:c>
      <x:c r="J259" s="6" t="str">
        <x:v>Ferrari للإصلاح والصيانة في دبي</x:v>
      </x:c>
      <x:c r="K259" s="6" t="str">
        <x:v>إصلاح وصيانة Ferrari في دبي: تشخيص وصيانة وفرامل وناقل حركة وتعليق وتكييف مع قطع بالمواصفات المناسبة لدى مركز ديجي-تك.</x:v>
      </x:c>
      <x:c r="L259" s="6" t="str">
        <x:v>Retain pending evidence; no specific content edit justified by this export.</x:v>
      </x:c>
      <x:c r="M259" s="6" t="str">
        <x:v>Retain; inspect relevant context before adding links</x:v>
      </x:c>
      <x:c r="N259" s="6" t="str">
        <x:v>Unconfirmed — no query/page pairing</x:v>
      </x:c>
      <x:c r="O259" s="6" t="str">
        <x:v>Retain established booking / WhatsApp / call path; live behaviour untested</x:v>
      </x:c>
      <x:c r="P259" s="6" t="str">
        <x:v>Retain canonical and indexation policy pending a live check.</x:v>
      </x:c>
      <x:c r="Q259" s="6" t="str">
        <x:v>Proposed; no website change made</x:v>
      </x:c>
      <x:c r="R259" s="14" t="n">
        <x:v>0</x:v>
      </x:c>
      <x:c r="S259" s="14" t="n">
        <x:v>1</x:v>
      </x:c>
      <x:c r="T259" s="15" t="n">
        <x:v>0</x:v>
      </x:c>
      <x:c r="U259" s="16" t="n">
        <x:v>28</x:v>
      </x:c>
      <x:c r="V259" s="6" t="str">
        <x:v>https://digitecme.com/ar/brands/ferrari-service-dubai</x:v>
      </x:c>
      <x:c r="W259" s="6" t="str">
        <x:v>Indexable directive</x:v>
      </x:c>
      <x:c r="X259" s="6" t="n">
        <x:v>87</x:v>
      </x:c>
      <x:c r="Y259" s="6" t="str">
        <x:v>إصلاح وصيانة Ferrari في دبي | مركز ديجي-تك</x:v>
      </x:c>
      <x:c r="Z259" s="6" t="str"/>
      <x:c r="AA259" s="6" t="str">
        <x:v>No / not compared</x:v>
      </x:c>
    </x:row>
    <x:row r="260" ht="42" customHeight="1">
      <x:c r="A260" s="6" t="str">
        <x:v>https://digitecme.com/ar/brands/ferrari-service-dubai/ac-repair</x:v>
      </x:c>
      <x:c r="B260" s="6" t="str"/>
      <x:c r="C260" s="6" t="str"/>
      <x:c r="D260" s="6" t="str">
        <x:v>brand-service</x:v>
      </x:c>
      <x:c r="E260" s="6" t="str">
        <x:v>Retain differentiated role</x:v>
      </x:c>
      <x:c r="F260" s="6" t="str">
        <x:v>Local source render; live version unverified</x:v>
      </x:c>
      <x:c r="G260" s="6" t="str">
        <x:v>إصلاح التكييف Ferrari في دبي | ديجي-تك</x:v>
      </x:c>
      <x:c r="H260" s="6" t="str">
        <x:v>إصلاح التكييف Ferrari في دبي | ديجي-تك</x:v>
      </x:c>
      <x:c r="I260" s="6" t="str">
        <x:v>إصلاح التكييف Ferrari في دبي</x:v>
      </x:c>
      <x:c r="J260" s="6" t="str">
        <x:v>إصلاح التكييف Ferrari في دبي</x:v>
      </x:c>
      <x:c r="K260" s="6" t="str">
        <x:v>إصلاح التكييف متخصص لسيارات Ferrari في دبي مع تشخيص متقدم وقطع مناسبة وتسعير واضح لدى مركز ديجي-تك.</x:v>
      </x:c>
      <x:c r="L260" s="6" t="str">
        <x:v>Retain pending evidence; no specific content edit justified by this export.</x:v>
      </x:c>
      <x:c r="M260" s="6" t="str">
        <x:v>Retain; inspect relevant context before adding links</x:v>
      </x:c>
      <x:c r="N260" s="6" t="str">
        <x:v>Unconfirmed — no query/page pairing</x:v>
      </x:c>
      <x:c r="O260" s="6" t="str">
        <x:v>Retain established booking / WhatsApp / call path; live behaviour untested</x:v>
      </x:c>
      <x:c r="P260" s="6" t="str">
        <x:v>Retain canonical and indexation policy pending a live check.</x:v>
      </x:c>
      <x:c r="Q260" s="6" t="str">
        <x:v>Proposed; no website change made</x:v>
      </x:c>
      <x:c r="R260" s="14"/>
      <x:c r="S260" s="14"/>
      <x:c r="T260" s="15"/>
      <x:c r="U260" s="16"/>
      <x:c r="V260" s="6" t="str">
        <x:v>https://digitecme.com/ar/brands/ferrari-service-dubai/ac-repair</x:v>
      </x:c>
      <x:c r="W260" s="6" t="str">
        <x:v>Indexable directive</x:v>
      </x:c>
      <x:c r="X260" s="6" t="n">
        <x:v>16</x:v>
      </x:c>
      <x:c r="Y260" s="6" t="str">
        <x:v>إصلاح التكييف Ferrari في دبي | ديجي-تك</x:v>
      </x:c>
      <x:c r="Z260" s="6" t="str"/>
      <x:c r="AA260" s="6" t="str">
        <x:v>No / not compared</x:v>
      </x:c>
    </x:row>
    <x:row r="261" ht="42" customHeight="1">
      <x:c r="A261" s="6" t="str">
        <x:v>https://digitecme.com/ar/brands/ferrari-service-dubai/battery-replacement</x:v>
      </x:c>
      <x:c r="B261" s="6" t="str"/>
      <x:c r="C261" s="6" t="str"/>
      <x:c r="D261" s="6" t="str">
        <x:v>brand-service</x:v>
      </x:c>
      <x:c r="E261" s="6" t="str">
        <x:v>Retain differentiated role</x:v>
      </x:c>
      <x:c r="F261" s="6" t="str">
        <x:v>Local source render; live version unverified</x:v>
      </x:c>
      <x:c r="G261" s="6" t="str">
        <x:v>تبديل البطارية Ferrari في دبي | ديجي-تك</x:v>
      </x:c>
      <x:c r="H261" s="6" t="str">
        <x:v>تبديل البطارية Ferrari في دبي | ديجي-تك</x:v>
      </x:c>
      <x:c r="I261" s="6" t="str">
        <x:v>تبديل البطارية Ferrari في دبي</x:v>
      </x:c>
      <x:c r="J261" s="6" t="str">
        <x:v>تبديل البطارية Ferrari في دبي</x:v>
      </x:c>
      <x:c r="K261" s="6" t="str">
        <x:v>تبديل البطارية متخصص لسيارات Ferrari في دبي مع تشخيص متقدم وقطع مناسبة وتسعير واضح لدى مركز ديجي-تك.</x:v>
      </x:c>
      <x:c r="L261" s="6" t="str">
        <x:v>Retain pending evidence; no specific content edit justified by this export.</x:v>
      </x:c>
      <x:c r="M261" s="6" t="str">
        <x:v>Retain; inspect relevant context before adding links</x:v>
      </x:c>
      <x:c r="N261" s="6" t="str">
        <x:v>Unconfirmed — no query/page pairing</x:v>
      </x:c>
      <x:c r="O261" s="6" t="str">
        <x:v>Retain established booking / WhatsApp / call path; live behaviour untested</x:v>
      </x:c>
      <x:c r="P261" s="6" t="str">
        <x:v>Retain canonical and indexation policy pending a live check.</x:v>
      </x:c>
      <x:c r="Q261" s="6" t="str">
        <x:v>Proposed; no website change made</x:v>
      </x:c>
      <x:c r="R261" s="14" t="n">
        <x:v>0</x:v>
      </x:c>
      <x:c r="S261" s="14" t="n">
        <x:v>15</x:v>
      </x:c>
      <x:c r="T261" s="15" t="n">
        <x:v>0</x:v>
      </x:c>
      <x:c r="U261" s="16" t="n">
        <x:v>65.4</x:v>
      </x:c>
      <x:c r="V261" s="6" t="str">
        <x:v>https://digitecme.com/ar/brands/ferrari-service-dubai/battery-replacement</x:v>
      </x:c>
      <x:c r="W261" s="6" t="str">
        <x:v>Indexable directive</x:v>
      </x:c>
      <x:c r="X261" s="6" t="n">
        <x:v>16</x:v>
      </x:c>
      <x:c r="Y261" s="6" t="str">
        <x:v>تبديل البطارية Ferrari في دبي | ديجي-تك</x:v>
      </x:c>
      <x:c r="Z261" s="6" t="str"/>
      <x:c r="AA261" s="6" t="str">
        <x:v>No / not compared</x:v>
      </x:c>
    </x:row>
    <x:row r="262" ht="42" customHeight="1">
      <x:c r="A262" s="6" t="str">
        <x:v>https://digitecme.com/ar/brands/ferrari-service-dubai/body-repair</x:v>
      </x:c>
      <x:c r="B262" s="6" t="str"/>
      <x:c r="C262" s="6" t="str"/>
      <x:c r="D262" s="6" t="str">
        <x:v>brand-service</x:v>
      </x:c>
      <x:c r="E262" s="6" t="str">
        <x:v>Retain differentiated role</x:v>
      </x:c>
      <x:c r="F262" s="6" t="str">
        <x:v>Local source render; live version unverified</x:v>
      </x:c>
      <x:c r="G262" s="6" t="str">
        <x:v>إصلاح الهيكل Ferrari في دبي | ديجي-تك</x:v>
      </x:c>
      <x:c r="H262" s="6" t="str">
        <x:v>إصلاح الهيكل Ferrari في دبي | ديجي-تك</x:v>
      </x:c>
      <x:c r="I262" s="6" t="str">
        <x:v>إصلاح الهيكل Ferrari في دبي</x:v>
      </x:c>
      <x:c r="J262" s="6" t="str">
        <x:v>إصلاح الهيكل Ferrari في دبي</x:v>
      </x:c>
      <x:c r="K262" s="6" t="str">
        <x:v>إصلاح الهيكل متخصص لسيارات Ferrari في دبي مع تشخيص متقدم وقطع مناسبة وتسعير واضح لدى مركز ديجي-تك.</x:v>
      </x:c>
      <x:c r="L262" s="6" t="str">
        <x:v>Retain pending evidence; no specific content edit justified by this export.</x:v>
      </x:c>
      <x:c r="M262" s="6" t="str">
        <x:v>Retain; inspect relevant context before adding links</x:v>
      </x:c>
      <x:c r="N262" s="6" t="str">
        <x:v>Unconfirmed — no query/page pairing</x:v>
      </x:c>
      <x:c r="O262" s="6" t="str">
        <x:v>Retain established booking / WhatsApp / call path; live behaviour untested</x:v>
      </x:c>
      <x:c r="P262" s="6" t="str">
        <x:v>Retain canonical and indexation policy pending a live check.</x:v>
      </x:c>
      <x:c r="Q262" s="6" t="str">
        <x:v>Proposed; no website change made</x:v>
      </x:c>
      <x:c r="R262" s="14"/>
      <x:c r="S262" s="14"/>
      <x:c r="T262" s="15"/>
      <x:c r="U262" s="16"/>
      <x:c r="V262" s="6" t="str">
        <x:v>https://digitecme.com/ar/brands/ferrari-service-dubai/body-repair</x:v>
      </x:c>
      <x:c r="W262" s="6" t="str">
        <x:v>Indexable directive</x:v>
      </x:c>
      <x:c r="X262" s="6" t="n">
        <x:v>16</x:v>
      </x:c>
      <x:c r="Y262" s="6" t="str">
        <x:v>إصلاح الهيكل Ferrari في دبي | ديجي-تك</x:v>
      </x:c>
      <x:c r="Z262" s="6" t="str"/>
      <x:c r="AA262" s="6" t="str">
        <x:v>No / not compared</x:v>
      </x:c>
    </x:row>
    <x:row r="263" ht="42" customHeight="1">
      <x:c r="A263" s="6" t="str">
        <x:v>https://digitecme.com/ar/brands/ferrari-service-dubai/brake-repair</x:v>
      </x:c>
      <x:c r="B263" s="6" t="str"/>
      <x:c r="C263" s="6" t="str"/>
      <x:c r="D263" s="6" t="str">
        <x:v>brand-service</x:v>
      </x:c>
      <x:c r="E263" s="6" t="str">
        <x:v>Retain differentiated role</x:v>
      </x:c>
      <x:c r="F263" s="6" t="str">
        <x:v>Local source render; live version unverified</x:v>
      </x:c>
      <x:c r="G263" s="6" t="str">
        <x:v>إصلاح الفرامل Ferrari في دبي | ديجي-تك</x:v>
      </x:c>
      <x:c r="H263" s="6" t="str">
        <x:v>إصلاح الفرامل Ferrari في دبي | ديجي-تك</x:v>
      </x:c>
      <x:c r="I263" s="6" t="str">
        <x:v>إصلاح الفرامل Ferrari في دبي</x:v>
      </x:c>
      <x:c r="J263" s="6" t="str">
        <x:v>إصلاح الفرامل Ferrari في دبي</x:v>
      </x:c>
      <x:c r="K263" s="6" t="str">
        <x:v>إصلاح الفرامل متخصص لسيارات Ferrari في دبي مع تشخيص متقدم وقطع مناسبة وتسعير واضح لدى مركز ديجي-تك.</x:v>
      </x:c>
      <x:c r="L263" s="6" t="str">
        <x:v>Retain pending evidence; no specific content edit justified by this export.</x:v>
      </x:c>
      <x:c r="M263" s="6" t="str">
        <x:v>Retain; inspect relevant context before adding links</x:v>
      </x:c>
      <x:c r="N263" s="6" t="str">
        <x:v>Unconfirmed — no query/page pairing</x:v>
      </x:c>
      <x:c r="O263" s="6" t="str">
        <x:v>Retain established booking / WhatsApp / call path; live behaviour untested</x:v>
      </x:c>
      <x:c r="P263" s="6" t="str">
        <x:v>Retain canonical and indexation policy pending a live check.</x:v>
      </x:c>
      <x:c r="Q263" s="6" t="str">
        <x:v>Proposed; no website change made</x:v>
      </x:c>
      <x:c r="R263" s="14" t="n">
        <x:v>0</x:v>
      </x:c>
      <x:c r="S263" s="14" t="n">
        <x:v>3</x:v>
      </x:c>
      <x:c r="T263" s="15" t="n">
        <x:v>0</x:v>
      </x:c>
      <x:c r="U263" s="16" t="n">
        <x:v>94</x:v>
      </x:c>
      <x:c r="V263" s="6" t="str">
        <x:v>https://digitecme.com/ar/brands/ferrari-service-dubai/brake-repair</x:v>
      </x:c>
      <x:c r="W263" s="6" t="str">
        <x:v>Indexable directive</x:v>
      </x:c>
      <x:c r="X263" s="6" t="n">
        <x:v>17</x:v>
      </x:c>
      <x:c r="Y263" s="6" t="str">
        <x:v>إصلاح الفرامل Ferrari في دبي | ديجي-تك</x:v>
      </x:c>
      <x:c r="Z263" s="6" t="str"/>
      <x:c r="AA263" s="6" t="str">
        <x:v>No / not compared</x:v>
      </x:c>
    </x:row>
    <x:row r="264" ht="42" customHeight="1">
      <x:c r="A264" s="6" t="str">
        <x:v>https://digitecme.com/ar/brands/ferrari-service-dubai/electrical-repair</x:v>
      </x:c>
      <x:c r="B264" s="6" t="str"/>
      <x:c r="C264" s="6" t="str"/>
      <x:c r="D264" s="6" t="str">
        <x:v>brand-service</x:v>
      </x:c>
      <x:c r="E264" s="6" t="str">
        <x:v>Retain differentiated role</x:v>
      </x:c>
      <x:c r="F264" s="6" t="str">
        <x:v>Local source render; live version unverified</x:v>
      </x:c>
      <x:c r="G264" s="6" t="str">
        <x:v>إصلاح الكهرباء Ferrari في دبي | ديجي-تك</x:v>
      </x:c>
      <x:c r="H264" s="6" t="str">
        <x:v>إصلاح الكهرباء Ferrari في دبي | ديجي-تك</x:v>
      </x:c>
      <x:c r="I264" s="6" t="str">
        <x:v>إصلاح الكهرباء Ferrari في دبي</x:v>
      </x:c>
      <x:c r="J264" s="6" t="str">
        <x:v>إصلاح الكهرباء Ferrari في دبي</x:v>
      </x:c>
      <x:c r="K264" s="6" t="str">
        <x:v>إصلاح الكهرباء متخصص لسيارات Ferrari في دبي مع تشخيص متقدم وقطع مناسبة وتسعير واضح لدى مركز ديجي-تك.</x:v>
      </x:c>
      <x:c r="L264" s="6" t="str">
        <x:v>Retain pending evidence; no specific content edit justified by this export.</x:v>
      </x:c>
      <x:c r="M264" s="6" t="str">
        <x:v>Retain; inspect relevant context before adding links</x:v>
      </x:c>
      <x:c r="N264" s="6" t="str">
        <x:v>Unconfirmed — no query/page pairing</x:v>
      </x:c>
      <x:c r="O264" s="6" t="str">
        <x:v>Retain established booking / WhatsApp / call path; live behaviour untested</x:v>
      </x:c>
      <x:c r="P264" s="6" t="str">
        <x:v>Retain canonical and indexation policy pending a live check.</x:v>
      </x:c>
      <x:c r="Q264" s="6" t="str">
        <x:v>Proposed; no website change made</x:v>
      </x:c>
      <x:c r="R264" s="14" t="n">
        <x:v>0</x:v>
      </x:c>
      <x:c r="S264" s="14" t="n">
        <x:v>1</x:v>
      </x:c>
      <x:c r="T264" s="15" t="n">
        <x:v>0</x:v>
      </x:c>
      <x:c r="U264" s="16" t="n">
        <x:v>11</x:v>
      </x:c>
      <x:c r="V264" s="6" t="str">
        <x:v>https://digitecme.com/ar/brands/ferrari-service-dubai/electrical-repair</x:v>
      </x:c>
      <x:c r="W264" s="6" t="str">
        <x:v>Indexable directive</x:v>
      </x:c>
      <x:c r="X264" s="6" t="n">
        <x:v>16</x:v>
      </x:c>
      <x:c r="Y264" s="6" t="str">
        <x:v>إصلاح الكهرباء Ferrari في دبي | ديجي-تك</x:v>
      </x:c>
      <x:c r="Z264" s="6" t="str"/>
      <x:c r="AA264" s="6" t="str">
        <x:v>No / not compared</x:v>
      </x:c>
    </x:row>
    <x:row r="265" ht="42" customHeight="1">
      <x:c r="A265" s="6" t="str">
        <x:v>https://digitecme.com/ar/brands/ferrari-service-dubai/engine-diagnostics</x:v>
      </x:c>
      <x:c r="B265" s="6" t="str"/>
      <x:c r="C265" s="6" t="str"/>
      <x:c r="D265" s="6" t="str">
        <x:v>brand-service</x:v>
      </x:c>
      <x:c r="E265" s="6" t="str">
        <x:v>Retain differentiated role</x:v>
      </x:c>
      <x:c r="F265" s="6" t="str">
        <x:v>Local source render; live version unverified</x:v>
      </x:c>
      <x:c r="G265" s="6" t="str">
        <x:v>تشخيص المحرك Ferrari في دبي | ديجي-تك</x:v>
      </x:c>
      <x:c r="H265" s="6" t="str">
        <x:v>تشخيص المحرك Ferrari في دبي | ديجي-تك</x:v>
      </x:c>
      <x:c r="I265" s="6" t="str">
        <x:v>تشخيص المحرك Ferrari في دبي</x:v>
      </x:c>
      <x:c r="J265" s="6" t="str">
        <x:v>تشخيص المحرك Ferrari في دبي</x:v>
      </x:c>
      <x:c r="K265" s="6" t="str">
        <x:v>تشخيص المحرك متخصص لسيارات Ferrari في دبي مع تشخيص متقدم وقطع مناسبة وتسعير واضح لدى مركز ديجي-تك.</x:v>
      </x:c>
      <x:c r="L265" s="6" t="str">
        <x:v>Retain pending evidence; no specific content edit justified by this export.</x:v>
      </x:c>
      <x:c r="M265" s="6" t="str">
        <x:v>Retain; inspect relevant context before adding links</x:v>
      </x:c>
      <x:c r="N265" s="6" t="str">
        <x:v>Unconfirmed — no query/page pairing</x:v>
      </x:c>
      <x:c r="O265" s="6" t="str">
        <x:v>Retain established booking / WhatsApp / call path; live behaviour untested</x:v>
      </x:c>
      <x:c r="P265" s="6" t="str">
        <x:v>Retain canonical and indexation policy pending a live check.</x:v>
      </x:c>
      <x:c r="Q265" s="6" t="str">
        <x:v>Proposed; no website change made</x:v>
      </x:c>
      <x:c r="R265" s="14"/>
      <x:c r="S265" s="14"/>
      <x:c r="T265" s="15"/>
      <x:c r="U265" s="16"/>
      <x:c r="V265" s="6" t="str">
        <x:v>https://digitecme.com/ar/brands/ferrari-service-dubai/engine-diagnostics</x:v>
      </x:c>
      <x:c r="W265" s="6" t="str">
        <x:v>Indexable directive</x:v>
      </x:c>
      <x:c r="X265" s="6" t="n">
        <x:v>17</x:v>
      </x:c>
      <x:c r="Y265" s="6" t="str">
        <x:v>تشخيص المحرك Ferrari في دبي | ديجي-تك</x:v>
      </x:c>
      <x:c r="Z265" s="6" t="str"/>
      <x:c r="AA265" s="6" t="str">
        <x:v>No / not compared</x:v>
      </x:c>
    </x:row>
    <x:row r="266" ht="42" customHeight="1">
      <x:c r="A266" s="6" t="str">
        <x:v>https://digitecme.com/ar/brands/ferrari-service-dubai/exhaust-repair</x:v>
      </x:c>
      <x:c r="B266" s="6" t="str"/>
      <x:c r="C266" s="6" t="str"/>
      <x:c r="D266" s="6" t="str">
        <x:v>brand-service</x:v>
      </x:c>
      <x:c r="E266" s="6" t="str">
        <x:v>Retain differentiated role</x:v>
      </x:c>
      <x:c r="F266" s="6" t="str">
        <x:v>Local source render; live version unverified</x:v>
      </x:c>
      <x:c r="G266" s="6" t="str">
        <x:v>إصلاح العادم Ferrari في دبي | ديجي-تك</x:v>
      </x:c>
      <x:c r="H266" s="6" t="str">
        <x:v>إصلاح العادم Ferrari في دبي | ديجي-تك</x:v>
      </x:c>
      <x:c r="I266" s="6" t="str">
        <x:v>إصلاح العادم Ferrari في دبي</x:v>
      </x:c>
      <x:c r="J266" s="6" t="str">
        <x:v>إصلاح العادم Ferrari في دبي</x:v>
      </x:c>
      <x:c r="K266" s="6" t="str">
        <x:v>إصلاح العادم متخصص لسيارات Ferrari في دبي مع تشخيص متقدم وقطع مناسبة وتسعير واضح لدى مركز ديجي-تك.</x:v>
      </x:c>
      <x:c r="L266" s="6" t="str">
        <x:v>Retain pending evidence; no specific content edit justified by this export.</x:v>
      </x:c>
      <x:c r="M266" s="6" t="str">
        <x:v>Retain; inspect relevant context before adding links</x:v>
      </x:c>
      <x:c r="N266" s="6" t="str">
        <x:v>Unconfirmed — no query/page pairing</x:v>
      </x:c>
      <x:c r="O266" s="6" t="str">
        <x:v>Retain established booking / WhatsApp / call path; live behaviour untested</x:v>
      </x:c>
      <x:c r="P266" s="6" t="str">
        <x:v>Retain canonical and indexation policy pending a live check.</x:v>
      </x:c>
      <x:c r="Q266" s="6" t="str">
        <x:v>Proposed; no website change made</x:v>
      </x:c>
      <x:c r="R266" s="14" t="n">
        <x:v>0</x:v>
      </x:c>
      <x:c r="S266" s="14" t="n">
        <x:v>1</x:v>
      </x:c>
      <x:c r="T266" s="15" t="n">
        <x:v>0</x:v>
      </x:c>
      <x:c r="U266" s="16" t="n">
        <x:v>1</x:v>
      </x:c>
      <x:c r="V266" s="6" t="str">
        <x:v>https://digitecme.com/ar/brands/ferrari-service-dubai/exhaust-repair</x:v>
      </x:c>
      <x:c r="W266" s="6" t="str">
        <x:v>Indexable directive</x:v>
      </x:c>
      <x:c r="X266" s="6" t="n">
        <x:v>16</x:v>
      </x:c>
      <x:c r="Y266" s="6" t="str">
        <x:v>إصلاح العادم Ferrari في دبي | ديجي-تك</x:v>
      </x:c>
      <x:c r="Z266" s="6" t="str"/>
      <x:c r="AA266" s="6" t="str">
        <x:v>No / not compared</x:v>
      </x:c>
    </x:row>
    <x:row r="267" ht="42" customHeight="1">
      <x:c r="A267" s="6" t="str">
        <x:v>https://digitecme.com/ar/brands/ferrari-service-dubai/fuel-system-repair</x:v>
      </x:c>
      <x:c r="B267" s="6" t="str"/>
      <x:c r="C267" s="6" t="str"/>
      <x:c r="D267" s="6" t="str">
        <x:v>brand-service</x:v>
      </x:c>
      <x:c r="E267" s="6" t="str">
        <x:v>Retain differentiated role</x:v>
      </x:c>
      <x:c r="F267" s="6" t="str">
        <x:v>Local source render; live version unverified</x:v>
      </x:c>
      <x:c r="G267" s="6" t="str">
        <x:v>إصلاح نظام الوقود Ferrari في دبي | ديجي-تك</x:v>
      </x:c>
      <x:c r="H267" s="6" t="str">
        <x:v>إصلاح نظام الوقود Ferrari في دبي | ديجي-تك</x:v>
      </x:c>
      <x:c r="I267" s="6" t="str">
        <x:v>إصلاح نظام الوقود Ferrari في دبي</x:v>
      </x:c>
      <x:c r="J267" s="6" t="str">
        <x:v>إصلاح نظام الوقود Ferrari في دبي</x:v>
      </x:c>
      <x:c r="K267" s="6" t="str">
        <x:v>إصلاح نظام الوقود متخصص لسيارات Ferrari في دبي مع تشخيص متقدم وقطع مناسبة وتسعير واضح لدى مركز ديجي-تك.</x:v>
      </x:c>
      <x:c r="L267" s="6" t="str">
        <x:v>Retain pending evidence; no specific content edit justified by this export.</x:v>
      </x:c>
      <x:c r="M267" s="6" t="str">
        <x:v>Retain; inspect relevant context before adding links</x:v>
      </x:c>
      <x:c r="N267" s="6" t="str">
        <x:v>Unconfirmed — no query/page pairing</x:v>
      </x:c>
      <x:c r="O267" s="6" t="str">
        <x:v>Retain established booking / WhatsApp / call path; live behaviour untested</x:v>
      </x:c>
      <x:c r="P267" s="6" t="str">
        <x:v>Retain canonical and indexation policy pending a live check.</x:v>
      </x:c>
      <x:c r="Q267" s="6" t="str">
        <x:v>Proposed; no website change made</x:v>
      </x:c>
      <x:c r="R267" s="14"/>
      <x:c r="S267" s="14"/>
      <x:c r="T267" s="15"/>
      <x:c r="U267" s="16"/>
      <x:c r="V267" s="6" t="str">
        <x:v>https://digitecme.com/ar/brands/ferrari-service-dubai/fuel-system-repair</x:v>
      </x:c>
      <x:c r="W267" s="6" t="str">
        <x:v>Indexable directive</x:v>
      </x:c>
      <x:c r="X267" s="6" t="n">
        <x:v>16</x:v>
      </x:c>
      <x:c r="Y267" s="6" t="str">
        <x:v>إصلاح نظام الوقود Ferrari في دبي | ديجي-تك</x:v>
      </x:c>
      <x:c r="Z267" s="6" t="str"/>
      <x:c r="AA267" s="6" t="str">
        <x:v>No / not compared</x:v>
      </x:c>
    </x:row>
    <x:row r="268" ht="42" customHeight="1">
      <x:c r="A268" s="6" t="str">
        <x:v>https://digitecme.com/ar/brands/ferrari-service-dubai/mechanical-repair</x:v>
      </x:c>
      <x:c r="B268" s="6" t="str"/>
      <x:c r="C268" s="6" t="str"/>
      <x:c r="D268" s="6" t="str">
        <x:v>brand-service</x:v>
      </x:c>
      <x:c r="E268" s="6" t="str">
        <x:v>Retain differentiated role</x:v>
      </x:c>
      <x:c r="F268" s="6" t="str">
        <x:v>Local source render; live version unverified</x:v>
      </x:c>
      <x:c r="G268" s="6" t="str">
        <x:v>الإصلاح الميكانيكي Ferrari في دبي | ديجي-تك</x:v>
      </x:c>
      <x:c r="H268" s="6" t="str">
        <x:v>الإصلاح الميكانيكي Ferrari في دبي | ديجي-تك</x:v>
      </x:c>
      <x:c r="I268" s="6" t="str">
        <x:v>الإصلاح الميكانيكي Ferrari في دبي</x:v>
      </x:c>
      <x:c r="J268" s="6" t="str">
        <x:v>الإصلاح الميكانيكي Ferrari في دبي</x:v>
      </x:c>
      <x:c r="K268" s="6" t="str">
        <x:v>الإصلاح الميكانيكي متخصص لسيارات Ferrari في دبي مع تشخيص متقدم وقطع مناسبة وتسعير واضح لدى مركز ديجي-تك.</x:v>
      </x:c>
      <x:c r="L268" s="6" t="str">
        <x:v>Retain pending evidence; no specific content edit justified by this export.</x:v>
      </x:c>
      <x:c r="M268" s="6" t="str">
        <x:v>Retain; inspect relevant context before adding links</x:v>
      </x:c>
      <x:c r="N268" s="6" t="str">
        <x:v>Unconfirmed — no query/page pairing</x:v>
      </x:c>
      <x:c r="O268" s="6" t="str">
        <x:v>Retain established booking / WhatsApp / call path; live behaviour untested</x:v>
      </x:c>
      <x:c r="P268" s="6" t="str">
        <x:v>Retain canonical and indexation policy pending a live check.</x:v>
      </x:c>
      <x:c r="Q268" s="6" t="str">
        <x:v>Proposed; no website change made</x:v>
      </x:c>
      <x:c r="R268" s="14"/>
      <x:c r="S268" s="14"/>
      <x:c r="T268" s="15"/>
      <x:c r="U268" s="16"/>
      <x:c r="V268" s="6" t="str">
        <x:v>https://digitecme.com/ar/brands/ferrari-service-dubai/mechanical-repair</x:v>
      </x:c>
      <x:c r="W268" s="6" t="str">
        <x:v>Indexable directive</x:v>
      </x:c>
      <x:c r="X268" s="6" t="n">
        <x:v>16</x:v>
      </x:c>
      <x:c r="Y268" s="6" t="str">
        <x:v>الإصلاح الميكانيكي Ferrari في دبي | ديجي-تك</x:v>
      </x:c>
      <x:c r="Z268" s="6" t="str"/>
      <x:c r="AA268" s="6" t="str">
        <x:v>No / not compared</x:v>
      </x:c>
    </x:row>
    <x:row r="269" ht="42" customHeight="1">
      <x:c r="A269" s="6" t="str">
        <x:v>https://digitecme.com/ar/brands/ferrari-service-dubai/oil-change</x:v>
      </x:c>
      <x:c r="B269" s="6" t="str"/>
      <x:c r="C269" s="6" t="str"/>
      <x:c r="D269" s="6" t="str">
        <x:v>brand-service</x:v>
      </x:c>
      <x:c r="E269" s="6" t="str">
        <x:v>Retain differentiated role</x:v>
      </x:c>
      <x:c r="F269" s="6" t="str">
        <x:v>Local source render; live version unverified</x:v>
      </x:c>
      <x:c r="G269" s="6" t="str">
        <x:v>تغيير الزيت Ferrari في دبي | ديجي-تك</x:v>
      </x:c>
      <x:c r="H269" s="6" t="str">
        <x:v>تغيير الزيت Ferrari في دبي | ديجي-تك</x:v>
      </x:c>
      <x:c r="I269" s="6" t="str">
        <x:v>تغيير الزيت Ferrari في دبي</x:v>
      </x:c>
      <x:c r="J269" s="6" t="str">
        <x:v>تغيير الزيت Ferrari في دبي</x:v>
      </x:c>
      <x:c r="K269" s="6" t="str">
        <x:v>تغيير الزيت متخصص لسيارات Ferrari في دبي مع تشخيص متقدم وقطع مناسبة وتسعير واضح لدى مركز ديجي-تك.</x:v>
      </x:c>
      <x:c r="L269" s="6" t="str">
        <x:v>Retain pending evidence; no specific content edit justified by this export.</x:v>
      </x:c>
      <x:c r="M269" s="6" t="str">
        <x:v>Retain; inspect relevant context before adding links</x:v>
      </x:c>
      <x:c r="N269" s="6" t="str">
        <x:v>Unconfirmed — no query/page pairing</x:v>
      </x:c>
      <x:c r="O269" s="6" t="str">
        <x:v>Retain established booking / WhatsApp / call path; live behaviour untested</x:v>
      </x:c>
      <x:c r="P269" s="6" t="str">
        <x:v>Retain canonical and indexation policy pending a live check.</x:v>
      </x:c>
      <x:c r="Q269" s="6" t="str">
        <x:v>Proposed; no website change made</x:v>
      </x:c>
      <x:c r="R269" s="14"/>
      <x:c r="S269" s="14"/>
      <x:c r="T269" s="15"/>
      <x:c r="U269" s="16"/>
      <x:c r="V269" s="6" t="str">
        <x:v>https://digitecme.com/ar/brands/ferrari-service-dubai/oil-change</x:v>
      </x:c>
      <x:c r="W269" s="6" t="str">
        <x:v>Indexable directive</x:v>
      </x:c>
      <x:c r="X269" s="6" t="n">
        <x:v>17</x:v>
      </x:c>
      <x:c r="Y269" s="6" t="str">
        <x:v>تغيير الزيت Ferrari في دبي | ديجي-تك</x:v>
      </x:c>
      <x:c r="Z269" s="6" t="str"/>
      <x:c r="AA269" s="6" t="str">
        <x:v>No / not compared</x:v>
      </x:c>
    </x:row>
    <x:row r="270" ht="42" customHeight="1">
      <x:c r="A270" s="6" t="str">
        <x:v>https://digitecme.com/ar/brands/ferrari-service-dubai/steering-repair</x:v>
      </x:c>
      <x:c r="B270" s="6" t="str"/>
      <x:c r="C270" s="6" t="str"/>
      <x:c r="D270" s="6" t="str">
        <x:v>brand-service</x:v>
      </x:c>
      <x:c r="E270" s="6" t="str">
        <x:v>Retain differentiated role</x:v>
      </x:c>
      <x:c r="F270" s="6" t="str">
        <x:v>Local source render; live version unverified</x:v>
      </x:c>
      <x:c r="G270" s="6" t="str">
        <x:v>إصلاح نظام التوجيه Ferrari في دبي | ديجي-تك</x:v>
      </x:c>
      <x:c r="H270" s="6" t="str">
        <x:v>إصلاح نظام التوجيه Ferrari في دبي | ديجي-تك</x:v>
      </x:c>
      <x:c r="I270" s="6" t="str">
        <x:v>إصلاح نظام التوجيه Ferrari في دبي</x:v>
      </x:c>
      <x:c r="J270" s="6" t="str">
        <x:v>إصلاح نظام التوجيه Ferrari في دبي</x:v>
      </x:c>
      <x:c r="K270" s="6" t="str">
        <x:v>إصلاح نظام التوجيه متخصص لسيارات Ferrari في دبي مع تشخيص متقدم وقطع مناسبة وتسعير واضح لدى مركز ديجي-تك.</x:v>
      </x:c>
      <x:c r="L270" s="6" t="str">
        <x:v>Retain pending evidence; no specific content edit justified by this export.</x:v>
      </x:c>
      <x:c r="M270" s="6" t="str">
        <x:v>Retain; inspect relevant context before adding links</x:v>
      </x:c>
      <x:c r="N270" s="6" t="str">
        <x:v>Unconfirmed — no query/page pairing</x:v>
      </x:c>
      <x:c r="O270" s="6" t="str">
        <x:v>Retain established booking / WhatsApp / call path; live behaviour untested</x:v>
      </x:c>
      <x:c r="P270" s="6" t="str">
        <x:v>Retain canonical and indexation policy pending a live check.</x:v>
      </x:c>
      <x:c r="Q270" s="6" t="str">
        <x:v>Proposed; no website change made</x:v>
      </x:c>
      <x:c r="R270" s="14"/>
      <x:c r="S270" s="14"/>
      <x:c r="T270" s="15"/>
      <x:c r="U270" s="16"/>
      <x:c r="V270" s="6" t="str">
        <x:v>https://digitecme.com/ar/brands/ferrari-service-dubai/steering-repair</x:v>
      </x:c>
      <x:c r="W270" s="6" t="str">
        <x:v>Indexable directive</x:v>
      </x:c>
      <x:c r="X270" s="6" t="n">
        <x:v>16</x:v>
      </x:c>
      <x:c r="Y270" s="6" t="str">
        <x:v>إصلاح نظام التوجيه Ferrari في دبي | ديجي-تك</x:v>
      </x:c>
      <x:c r="Z270" s="6" t="str"/>
      <x:c r="AA270" s="6" t="str">
        <x:v>No / not compared</x:v>
      </x:c>
    </x:row>
    <x:row r="271" ht="42" customHeight="1">
      <x:c r="A271" s="6" t="str">
        <x:v>https://digitecme.com/ar/brands/ferrari-service-dubai/suspension-repair</x:v>
      </x:c>
      <x:c r="B271" s="6" t="str"/>
      <x:c r="C271" s="6" t="str"/>
      <x:c r="D271" s="6" t="str">
        <x:v>brand-service</x:v>
      </x:c>
      <x:c r="E271" s="6" t="str">
        <x:v>Retain differentiated role</x:v>
      </x:c>
      <x:c r="F271" s="6" t="str">
        <x:v>Local source render; live version unverified</x:v>
      </x:c>
      <x:c r="G271" s="6" t="str">
        <x:v>إصلاح التعليق Ferrari في دبي | ديجي-تك</x:v>
      </x:c>
      <x:c r="H271" s="6" t="str">
        <x:v>إصلاح التعليق Ferrari في دبي | ديجي-تك</x:v>
      </x:c>
      <x:c r="I271" s="6" t="str">
        <x:v>إصلاح التعليق Ferrari في دبي</x:v>
      </x:c>
      <x:c r="J271" s="6" t="str">
        <x:v>إصلاح التعليق Ferrari في دبي</x:v>
      </x:c>
      <x:c r="K271" s="6" t="str">
        <x:v>إصلاح التعليق متخصص لسيارات Ferrari في دبي مع تشخيص متقدم وقطع مناسبة وتسعير واضح لدى مركز ديجي-تك.</x:v>
      </x:c>
      <x:c r="L271" s="6" t="str">
        <x:v>Retain pending evidence; no specific content edit justified by this export.</x:v>
      </x:c>
      <x:c r="M271" s="6" t="str">
        <x:v>Retain; inspect relevant context before adding links</x:v>
      </x:c>
      <x:c r="N271" s="6" t="str">
        <x:v>Unconfirmed — no query/page pairing</x:v>
      </x:c>
      <x:c r="O271" s="6" t="str">
        <x:v>Retain established booking / WhatsApp / call path; live behaviour untested</x:v>
      </x:c>
      <x:c r="P271" s="6" t="str">
        <x:v>Retain canonical and indexation policy pending a live check.</x:v>
      </x:c>
      <x:c r="Q271" s="6" t="str">
        <x:v>Proposed; no website change made</x:v>
      </x:c>
      <x:c r="R271" s="14" t="n">
        <x:v>0</x:v>
      </x:c>
      <x:c r="S271" s="14" t="n">
        <x:v>1</x:v>
      </x:c>
      <x:c r="T271" s="15" t="n">
        <x:v>0</x:v>
      </x:c>
      <x:c r="U271" s="16" t="n">
        <x:v>98</x:v>
      </x:c>
      <x:c r="V271" s="6" t="str">
        <x:v>https://digitecme.com/ar/brands/ferrari-service-dubai/suspension-repair</x:v>
      </x:c>
      <x:c r="W271" s="6" t="str">
        <x:v>Indexable directive</x:v>
      </x:c>
      <x:c r="X271" s="6" t="n">
        <x:v>17</x:v>
      </x:c>
      <x:c r="Y271" s="6" t="str">
        <x:v>إصلاح التعليق Ferrari في دبي | ديجي-تك</x:v>
      </x:c>
      <x:c r="Z271" s="6" t="str"/>
      <x:c r="AA271" s="6" t="str">
        <x:v>No / not compared</x:v>
      </x:c>
    </x:row>
    <x:row r="272" ht="42" customHeight="1">
      <x:c r="A272" s="6" t="str">
        <x:v>https://digitecme.com/ar/brands/ferrari-service-dubai/tire-repair</x:v>
      </x:c>
      <x:c r="B272" s="6" t="str"/>
      <x:c r="C272" s="6" t="str"/>
      <x:c r="D272" s="6" t="str">
        <x:v>brand-service</x:v>
      </x:c>
      <x:c r="E272" s="6" t="str">
        <x:v>Retain differentiated role</x:v>
      </x:c>
      <x:c r="F272" s="6" t="str">
        <x:v>Local source render; live version unverified</x:v>
      </x:c>
      <x:c r="G272" s="6" t="str">
        <x:v>إصلاح الإطارات Ferrari في دبي | ديجي-تك</x:v>
      </x:c>
      <x:c r="H272" s="6" t="str">
        <x:v>إصلاح الإطارات Ferrari في دبي | ديجي-تك</x:v>
      </x:c>
      <x:c r="I272" s="6" t="str">
        <x:v>إصلاح الإطارات Ferrari في دبي</x:v>
      </x:c>
      <x:c r="J272" s="6" t="str">
        <x:v>إصلاح الإطارات Ferrari في دبي</x:v>
      </x:c>
      <x:c r="K272" s="6" t="str">
        <x:v>إصلاح الإطارات متخصص لسيارات Ferrari في دبي مع تشخيص متقدم وقطع مناسبة وتسعير واضح لدى مركز ديجي-تك.</x:v>
      </x:c>
      <x:c r="L272" s="6" t="str">
        <x:v>Retain pending evidence; no specific content edit justified by this export.</x:v>
      </x:c>
      <x:c r="M272" s="6" t="str">
        <x:v>Retain; inspect relevant context before adding links</x:v>
      </x:c>
      <x:c r="N272" s="6" t="str">
        <x:v>Unconfirmed — no query/page pairing</x:v>
      </x:c>
      <x:c r="O272" s="6" t="str">
        <x:v>Retain established booking / WhatsApp / call path; live behaviour untested</x:v>
      </x:c>
      <x:c r="P272" s="6" t="str">
        <x:v>Retain canonical and indexation policy pending a live check.</x:v>
      </x:c>
      <x:c r="Q272" s="6" t="str">
        <x:v>Proposed; no website change made</x:v>
      </x:c>
      <x:c r="R272" s="14"/>
      <x:c r="S272" s="14"/>
      <x:c r="T272" s="15"/>
      <x:c r="U272" s="16"/>
      <x:c r="V272" s="6" t="str">
        <x:v>https://digitecme.com/ar/brands/ferrari-service-dubai/tire-repair</x:v>
      </x:c>
      <x:c r="W272" s="6" t="str">
        <x:v>Indexable directive</x:v>
      </x:c>
      <x:c r="X272" s="6" t="n">
        <x:v>16</x:v>
      </x:c>
      <x:c r="Y272" s="6" t="str">
        <x:v>إصلاح الإطارات Ferrari في دبي | ديجي-تك</x:v>
      </x:c>
      <x:c r="Z272" s="6" t="str"/>
      <x:c r="AA272" s="6" t="str">
        <x:v>No / not compared</x:v>
      </x:c>
    </x:row>
    <x:row r="273" ht="42" customHeight="1">
      <x:c r="A273" s="6" t="str">
        <x:v>https://digitecme.com/ar/brands/ferrari-service-dubai/transmission-repair</x:v>
      </x:c>
      <x:c r="B273" s="6" t="str"/>
      <x:c r="C273" s="6" t="str"/>
      <x:c r="D273" s="6" t="str">
        <x:v>brand-service</x:v>
      </x:c>
      <x:c r="E273" s="6" t="str">
        <x:v>Retain differentiated role</x:v>
      </x:c>
      <x:c r="F273" s="6" t="str">
        <x:v>Local source render; live version unverified</x:v>
      </x:c>
      <x:c r="G273" s="6" t="str">
        <x:v>إصلاح ناقل الحركة Ferrari في دبي | ديجي-تك</x:v>
      </x:c>
      <x:c r="H273" s="6" t="str">
        <x:v>إصلاح ناقل الحركة Ferrari في دبي | ديجي-تك</x:v>
      </x:c>
      <x:c r="I273" s="6" t="str">
        <x:v>إصلاح ناقل الحركة Ferrari في دبي</x:v>
      </x:c>
      <x:c r="J273" s="6" t="str">
        <x:v>إصلاح ناقل الحركة Ferrari في دبي</x:v>
      </x:c>
      <x:c r="K273" s="6" t="str">
        <x:v>إصلاح ناقل الحركة متخصص لسيارات Ferrari في دبي مع تشخيص متقدم وقطع مناسبة وتسعير واضح لدى مركز ديجي-تك.</x:v>
      </x:c>
      <x:c r="L273" s="6" t="str">
        <x:v>Retain pending evidence; no specific content edit justified by this export.</x:v>
      </x:c>
      <x:c r="M273" s="6" t="str">
        <x:v>Retain; inspect relevant context before adding links</x:v>
      </x:c>
      <x:c r="N273" s="6" t="str">
        <x:v>Unconfirmed — no query/page pairing</x:v>
      </x:c>
      <x:c r="O273" s="6" t="str">
        <x:v>Retain established booking / WhatsApp / call path; live behaviour untested</x:v>
      </x:c>
      <x:c r="P273" s="6" t="str">
        <x:v>Retain canonical and indexation policy pending a live check.</x:v>
      </x:c>
      <x:c r="Q273" s="6" t="str">
        <x:v>Proposed; no website change made</x:v>
      </x:c>
      <x:c r="R273" s="14"/>
      <x:c r="S273" s="14"/>
      <x:c r="T273" s="15"/>
      <x:c r="U273" s="16"/>
      <x:c r="V273" s="6" t="str">
        <x:v>https://digitecme.com/ar/brands/ferrari-service-dubai/transmission-repair</x:v>
      </x:c>
      <x:c r="W273" s="6" t="str">
        <x:v>Indexable directive</x:v>
      </x:c>
      <x:c r="X273" s="6" t="n">
        <x:v>17</x:v>
      </x:c>
      <x:c r="Y273" s="6" t="str">
        <x:v>إصلاح ناقل الحركة Ferrari في دبي | ديجي-تك</x:v>
      </x:c>
      <x:c r="Z273" s="6" t="str"/>
      <x:c r="AA273" s="6" t="str">
        <x:v>No / not compared</x:v>
      </x:c>
    </x:row>
    <x:row r="274" ht="42" customHeight="1">
      <x:c r="A274" s="6" t="str">
        <x:v>https://digitecme.com/ar/brands/fiat-service-dubai</x:v>
      </x:c>
      <x:c r="B274" s="6" t="str"/>
      <x:c r="C274" s="6" t="str"/>
      <x:c r="D274" s="6" t="str">
        <x:v>brand</x:v>
      </x:c>
      <x:c r="E274" s="6" t="str">
        <x:v>Retain differentiated role</x:v>
      </x:c>
      <x:c r="F274" s="6" t="str">
        <x:v>Local source render; live version unverified</x:v>
      </x:c>
      <x:c r="G274" s="6" t="str">
        <x:v>إصلاح وصيانة FIAT في دبي | مركز ديجي-تك</x:v>
      </x:c>
      <x:c r="H274" s="6" t="str">
        <x:v>إصلاح وصيانة FIAT في دبي | مركز ديجي-تك</x:v>
      </x:c>
      <x:c r="I274" s="6" t="str">
        <x:v>FIAT للإصلاح والصيانة في دبي</x:v>
      </x:c>
      <x:c r="J274" s="6" t="str">
        <x:v>FIAT للإصلاح والصيانة في دبي</x:v>
      </x:c>
      <x:c r="K274" s="6" t="str">
        <x:v>إصلاح وصيانة FIAT في دبي: تشخيص وصيانة وفرامل وناقل حركة وتعليق وتكييف مع قطع بالمواصفات المناسبة لدى مركز ديجي-تك.</x:v>
      </x:c>
      <x:c r="L274" s="6" t="str">
        <x:v>Retain pending evidence; no specific content edit justified by this export.</x:v>
      </x:c>
      <x:c r="M274" s="6" t="str">
        <x:v>Retain; inspect relevant context before adding links</x:v>
      </x:c>
      <x:c r="N274" s="6" t="str">
        <x:v>Unconfirmed — no query/page pairing</x:v>
      </x:c>
      <x:c r="O274" s="6" t="str">
        <x:v>Retain established booking / WhatsApp / call path; live behaviour untested</x:v>
      </x:c>
      <x:c r="P274" s="6" t="str">
        <x:v>Retain canonical and indexation policy pending a live check.</x:v>
      </x:c>
      <x:c r="Q274" s="6" t="str">
        <x:v>Proposed; no website change made</x:v>
      </x:c>
      <x:c r="R274" s="14" t="n">
        <x:v>0</x:v>
      </x:c>
      <x:c r="S274" s="14" t="n">
        <x:v>1</x:v>
      </x:c>
      <x:c r="T274" s="15" t="n">
        <x:v>0</x:v>
      </x:c>
      <x:c r="U274" s="16" t="n">
        <x:v>9</x:v>
      </x:c>
      <x:c r="V274" s="6" t="str">
        <x:v>https://digitecme.com/ar/brands/fiat-service-dubai</x:v>
      </x:c>
      <x:c r="W274" s="6" t="str">
        <x:v>Indexable directive</x:v>
      </x:c>
      <x:c r="X274" s="6" t="n">
        <x:v>30</x:v>
      </x:c>
      <x:c r="Y274" s="6" t="str">
        <x:v>إصلاح وصيانة FIAT في دبي | مركز ديجي-تك</x:v>
      </x:c>
      <x:c r="Z274" s="6" t="str"/>
      <x:c r="AA274" s="6" t="str">
        <x:v>No / not compared</x:v>
      </x:c>
    </x:row>
    <x:row r="275" ht="42" customHeight="1">
      <x:c r="A275" s="6" t="str">
        <x:v>https://digitecme.com/ar/brands/fiat-service-dubai/ac-repair</x:v>
      </x:c>
      <x:c r="B275" s="6" t="str"/>
      <x:c r="C275" s="6" t="str"/>
      <x:c r="D275" s="6" t="str">
        <x:v>brand-service</x:v>
      </x:c>
      <x:c r="E275" s="6" t="str">
        <x:v>Retain differentiated role</x:v>
      </x:c>
      <x:c r="F275" s="6" t="str">
        <x:v>Local source render; live version unverified</x:v>
      </x:c>
      <x:c r="G275" s="6" t="str">
        <x:v>إصلاح التكييف FIAT في دبي | ديجي-تك</x:v>
      </x:c>
      <x:c r="H275" s="6" t="str">
        <x:v>إصلاح التكييف FIAT في دبي | ديجي-تك</x:v>
      </x:c>
      <x:c r="I275" s="6" t="str">
        <x:v>إصلاح التكييف FIAT في دبي</x:v>
      </x:c>
      <x:c r="J275" s="6" t="str">
        <x:v>إصلاح التكييف FIAT في دبي</x:v>
      </x:c>
      <x:c r="K275" s="6" t="str">
        <x:v>إصلاح التكييف متخصص لسيارات FIAT في دبي مع تشخيص متقدم وقطع مناسبة وتسعير واضح لدى مركز ديجي-تك.</x:v>
      </x:c>
      <x:c r="L275" s="6" t="str">
        <x:v>Retain pending evidence; no specific content edit justified by this export.</x:v>
      </x:c>
      <x:c r="M275" s="6" t="str">
        <x:v>Retain; inspect relevant context before adding links</x:v>
      </x:c>
      <x:c r="N275" s="6" t="str">
        <x:v>Unconfirmed — no query/page pairing</x:v>
      </x:c>
      <x:c r="O275" s="6" t="str">
        <x:v>Retain established booking / WhatsApp / call path; live behaviour untested</x:v>
      </x:c>
      <x:c r="P275" s="6" t="str">
        <x:v>Retain canonical and indexation policy pending a live check.</x:v>
      </x:c>
      <x:c r="Q275" s="6" t="str">
        <x:v>Proposed; no website change made</x:v>
      </x:c>
      <x:c r="R275" s="14"/>
      <x:c r="S275" s="14"/>
      <x:c r="T275" s="15"/>
      <x:c r="U275" s="16"/>
      <x:c r="V275" s="6" t="str">
        <x:v>https://digitecme.com/ar/brands/fiat-service-dubai/ac-repair</x:v>
      </x:c>
      <x:c r="W275" s="6" t="str">
        <x:v>Indexable directive</x:v>
      </x:c>
      <x:c r="X275" s="6" t="n">
        <x:v>8</x:v>
      </x:c>
      <x:c r="Y275" s="6" t="str">
        <x:v>إصلاح التكييف FIAT في دبي | ديجي-تك</x:v>
      </x:c>
      <x:c r="Z275" s="6" t="str"/>
      <x:c r="AA275" s="6" t="str">
        <x:v>No / not compared</x:v>
      </x:c>
    </x:row>
    <x:row r="276" ht="42" customHeight="1">
      <x:c r="A276" s="6" t="str">
        <x:v>https://digitecme.com/ar/brands/fiat-service-dubai/brake-repair</x:v>
      </x:c>
      <x:c r="B276" s="6" t="str"/>
      <x:c r="C276" s="6" t="str"/>
      <x:c r="D276" s="6" t="str">
        <x:v>brand-service</x:v>
      </x:c>
      <x:c r="E276" s="6" t="str">
        <x:v>Retain differentiated role</x:v>
      </x:c>
      <x:c r="F276" s="6" t="str">
        <x:v>Local source render; live version unverified</x:v>
      </x:c>
      <x:c r="G276" s="6" t="str">
        <x:v>إصلاح الفرامل FIAT في دبي | ديجي-تك</x:v>
      </x:c>
      <x:c r="H276" s="6" t="str">
        <x:v>إصلاح الفرامل FIAT في دبي | ديجي-تك</x:v>
      </x:c>
      <x:c r="I276" s="6" t="str">
        <x:v>إصلاح الفرامل FIAT في دبي</x:v>
      </x:c>
      <x:c r="J276" s="6" t="str">
        <x:v>إصلاح الفرامل FIAT في دبي</x:v>
      </x:c>
      <x:c r="K276" s="6" t="str">
        <x:v>إصلاح الفرامل متخصص لسيارات FIAT في دبي مع تشخيص متقدم وقطع مناسبة وتسعير واضح لدى مركز ديجي-تك.</x:v>
      </x:c>
      <x:c r="L276" s="6" t="str">
        <x:v>Retain pending evidence; no specific content edit justified by this export.</x:v>
      </x:c>
      <x:c r="M276" s="6" t="str">
        <x:v>Retain; inspect relevant context before adding links</x:v>
      </x:c>
      <x:c r="N276" s="6" t="str">
        <x:v>Unconfirmed — no query/page pairing</x:v>
      </x:c>
      <x:c r="O276" s="6" t="str">
        <x:v>Retain established booking / WhatsApp / call path; live behaviour untested</x:v>
      </x:c>
      <x:c r="P276" s="6" t="str">
        <x:v>Retain canonical and indexation policy pending a live check.</x:v>
      </x:c>
      <x:c r="Q276" s="6" t="str">
        <x:v>Proposed; no website change made</x:v>
      </x:c>
      <x:c r="R276" s="14"/>
      <x:c r="S276" s="14"/>
      <x:c r="T276" s="15"/>
      <x:c r="U276" s="16"/>
      <x:c r="V276" s="6" t="str">
        <x:v>https://digitecme.com/ar/brands/fiat-service-dubai/brake-repair</x:v>
      </x:c>
      <x:c r="W276" s="6" t="str">
        <x:v>Indexable directive</x:v>
      </x:c>
      <x:c r="X276" s="6" t="n">
        <x:v>8</x:v>
      </x:c>
      <x:c r="Y276" s="6" t="str">
        <x:v>إصلاح الفرامل FIAT في دبي | ديجي-تك</x:v>
      </x:c>
      <x:c r="Z276" s="6" t="str"/>
      <x:c r="AA276" s="6" t="str">
        <x:v>No / not compared</x:v>
      </x:c>
    </x:row>
    <x:row r="277" ht="42" customHeight="1">
      <x:c r="A277" s="6" t="str">
        <x:v>https://digitecme.com/ar/brands/fiat-service-dubai/engine-diagnostics</x:v>
      </x:c>
      <x:c r="B277" s="6" t="str"/>
      <x:c r="C277" s="6" t="str"/>
      <x:c r="D277" s="6" t="str">
        <x:v>brand-service</x:v>
      </x:c>
      <x:c r="E277" s="6" t="str">
        <x:v>Retain differentiated role</x:v>
      </x:c>
      <x:c r="F277" s="6" t="str">
        <x:v>Local source render; live version unverified</x:v>
      </x:c>
      <x:c r="G277" s="6" t="str">
        <x:v>تشخيص المحرك FIAT في دبي | ديجي-تك</x:v>
      </x:c>
      <x:c r="H277" s="6" t="str">
        <x:v>تشخيص المحرك FIAT في دبي | ديجي-تك</x:v>
      </x:c>
      <x:c r="I277" s="6" t="str">
        <x:v>تشخيص المحرك FIAT في دبي</x:v>
      </x:c>
      <x:c r="J277" s="6" t="str">
        <x:v>تشخيص المحرك FIAT في دبي</x:v>
      </x:c>
      <x:c r="K277" s="6" t="str">
        <x:v>تشخيص المحرك متخصص لسيارات FIAT في دبي مع تشخيص متقدم وقطع مناسبة وتسعير واضح لدى مركز ديجي-تك.</x:v>
      </x:c>
      <x:c r="L277" s="6" t="str">
        <x:v>Retain pending evidence; no specific content edit justified by this export.</x:v>
      </x:c>
      <x:c r="M277" s="6" t="str">
        <x:v>Retain; inspect relevant context before adding links</x:v>
      </x:c>
      <x:c r="N277" s="6" t="str">
        <x:v>Unconfirmed — no query/page pairing</x:v>
      </x:c>
      <x:c r="O277" s="6" t="str">
        <x:v>Retain established booking / WhatsApp / call path; live behaviour untested</x:v>
      </x:c>
      <x:c r="P277" s="6" t="str">
        <x:v>Retain canonical and indexation policy pending a live check.</x:v>
      </x:c>
      <x:c r="Q277" s="6" t="str">
        <x:v>Proposed; no website change made</x:v>
      </x:c>
      <x:c r="R277" s="14"/>
      <x:c r="S277" s="14"/>
      <x:c r="T277" s="15"/>
      <x:c r="U277" s="16"/>
      <x:c r="V277" s="6" t="str">
        <x:v>https://digitecme.com/ar/brands/fiat-service-dubai/engine-diagnostics</x:v>
      </x:c>
      <x:c r="W277" s="6" t="str">
        <x:v>Indexable directive</x:v>
      </x:c>
      <x:c r="X277" s="6" t="n">
        <x:v>8</x:v>
      </x:c>
      <x:c r="Y277" s="6" t="str">
        <x:v>تشخيص المحرك FIAT في دبي | ديجي-تك</x:v>
      </x:c>
      <x:c r="Z277" s="6" t="str"/>
      <x:c r="AA277" s="6" t="str">
        <x:v>No / not compared</x:v>
      </x:c>
    </x:row>
    <x:row r="278" ht="42" customHeight="1">
      <x:c r="A278" s="6" t="str">
        <x:v>https://digitecme.com/ar/brands/fiat-service-dubai/oil-change</x:v>
      </x:c>
      <x:c r="B278" s="6" t="str"/>
      <x:c r="C278" s="6" t="str"/>
      <x:c r="D278" s="6" t="str">
        <x:v>brand-service</x:v>
      </x:c>
      <x:c r="E278" s="6" t="str">
        <x:v>Retain differentiated role</x:v>
      </x:c>
      <x:c r="F278" s="6" t="str">
        <x:v>Local source render; live version unverified</x:v>
      </x:c>
      <x:c r="G278" s="6" t="str">
        <x:v>تغيير الزيت FIAT في دبي | ديجي-تك</x:v>
      </x:c>
      <x:c r="H278" s="6" t="str">
        <x:v>تغيير الزيت FIAT في دبي | ديجي-تك</x:v>
      </x:c>
      <x:c r="I278" s="6" t="str">
        <x:v>تغيير الزيت FIAT في دبي</x:v>
      </x:c>
      <x:c r="J278" s="6" t="str">
        <x:v>تغيير الزيت FIAT في دبي</x:v>
      </x:c>
      <x:c r="K278" s="6" t="str">
        <x:v>تغيير الزيت متخصص لسيارات FIAT في دبي مع تشخيص متقدم وقطع مناسبة وتسعير واضح لدى مركز ديجي-تك.</x:v>
      </x:c>
      <x:c r="L278" s="6" t="str">
        <x:v>Retain pending evidence; no specific content edit justified by this export.</x:v>
      </x:c>
      <x:c r="M278" s="6" t="str">
        <x:v>Retain; inspect relevant context before adding links</x:v>
      </x:c>
      <x:c r="N278" s="6" t="str">
        <x:v>Unconfirmed — no query/page pairing</x:v>
      </x:c>
      <x:c r="O278" s="6" t="str">
        <x:v>Retain established booking / WhatsApp / call path; live behaviour untested</x:v>
      </x:c>
      <x:c r="P278" s="6" t="str">
        <x:v>Retain canonical and indexation policy pending a live check.</x:v>
      </x:c>
      <x:c r="Q278" s="6" t="str">
        <x:v>Proposed; no website change made</x:v>
      </x:c>
      <x:c r="R278" s="14" t="n">
        <x:v>0</x:v>
      </x:c>
      <x:c r="S278" s="14" t="n">
        <x:v>2</x:v>
      </x:c>
      <x:c r="T278" s="15" t="n">
        <x:v>0</x:v>
      </x:c>
      <x:c r="U278" s="16" t="n">
        <x:v>7</x:v>
      </x:c>
      <x:c r="V278" s="6" t="str">
        <x:v>https://digitecme.com/ar/brands/fiat-service-dubai/oil-change</x:v>
      </x:c>
      <x:c r="W278" s="6" t="str">
        <x:v>Indexable directive</x:v>
      </x:c>
      <x:c r="X278" s="6" t="n">
        <x:v>8</x:v>
      </x:c>
      <x:c r="Y278" s="6" t="str">
        <x:v>تغيير الزيت FIAT في دبي | ديجي-تك</x:v>
      </x:c>
      <x:c r="Z278" s="6" t="str"/>
      <x:c r="AA278" s="6" t="str">
        <x:v>No / not compared</x:v>
      </x:c>
    </x:row>
    <x:row r="279" ht="42" customHeight="1">
      <x:c r="A279" s="6" t="str">
        <x:v>https://digitecme.com/ar/brands/fiat-service-dubai/suspension-repair</x:v>
      </x:c>
      <x:c r="B279" s="6" t="str"/>
      <x:c r="C279" s="6" t="str"/>
      <x:c r="D279" s="6" t="str">
        <x:v>brand-service</x:v>
      </x:c>
      <x:c r="E279" s="6" t="str">
        <x:v>Retain differentiated role</x:v>
      </x:c>
      <x:c r="F279" s="6" t="str">
        <x:v>Local source render; live version unverified</x:v>
      </x:c>
      <x:c r="G279" s="6" t="str">
        <x:v>إصلاح التعليق FIAT في دبي | ديجي-تك</x:v>
      </x:c>
      <x:c r="H279" s="6" t="str">
        <x:v>إصلاح التعليق FIAT في دبي | ديجي-تك</x:v>
      </x:c>
      <x:c r="I279" s="6" t="str">
        <x:v>إصلاح التعليق FIAT في دبي</x:v>
      </x:c>
      <x:c r="J279" s="6" t="str">
        <x:v>إصلاح التعليق FIAT في دبي</x:v>
      </x:c>
      <x:c r="K279" s="6" t="str">
        <x:v>إصلاح التعليق متخصص لسيارات FIAT في دبي مع تشخيص متقدم وقطع مناسبة وتسعير واضح لدى مركز ديجي-تك.</x:v>
      </x:c>
      <x:c r="L279" s="6" t="str">
        <x:v>Retain pending evidence; no specific content edit justified by this export.</x:v>
      </x:c>
      <x:c r="M279" s="6" t="str">
        <x:v>Retain; inspect relevant context before adding links</x:v>
      </x:c>
      <x:c r="N279" s="6" t="str">
        <x:v>Unconfirmed — no query/page pairing</x:v>
      </x:c>
      <x:c r="O279" s="6" t="str">
        <x:v>Retain established booking / WhatsApp / call path; live behaviour untested</x:v>
      </x:c>
      <x:c r="P279" s="6" t="str">
        <x:v>Retain canonical and indexation policy pending a live check.</x:v>
      </x:c>
      <x:c r="Q279" s="6" t="str">
        <x:v>Proposed; no website change made</x:v>
      </x:c>
      <x:c r="R279" s="14"/>
      <x:c r="S279" s="14"/>
      <x:c r="T279" s="15"/>
      <x:c r="U279" s="16"/>
      <x:c r="V279" s="6" t="str">
        <x:v>https://digitecme.com/ar/brands/fiat-service-dubai/suspension-repair</x:v>
      </x:c>
      <x:c r="W279" s="6" t="str">
        <x:v>Noindex directive</x:v>
      </x:c>
      <x:c r="X279" s="6" t="n">
        <x:v>8</x:v>
      </x:c>
      <x:c r="Y279" s="6" t="str">
        <x:v>إصلاح التعليق FIAT في دبي | ديجي-تك</x:v>
      </x:c>
      <x:c r="Z279" s="6" t="str"/>
      <x:c r="AA279" s="6" t="str">
        <x:v>No / not compared</x:v>
      </x:c>
    </x:row>
    <x:row r="280" ht="42" customHeight="1">
      <x:c r="A280" s="6" t="str">
        <x:v>https://digitecme.com/ar/brands/fiat-service-dubai/transmission-repair</x:v>
      </x:c>
      <x:c r="B280" s="6" t="str"/>
      <x:c r="C280" s="6" t="str"/>
      <x:c r="D280" s="6" t="str">
        <x:v>brand-service</x:v>
      </x:c>
      <x:c r="E280" s="6" t="str">
        <x:v>Retain differentiated role</x:v>
      </x:c>
      <x:c r="F280" s="6" t="str">
        <x:v>Local source render; live version unverified</x:v>
      </x:c>
      <x:c r="G280" s="6" t="str">
        <x:v>إصلاح ناقل الحركة FIAT في دبي | ديجي-تك</x:v>
      </x:c>
      <x:c r="H280" s="6" t="str">
        <x:v>إصلاح ناقل الحركة FIAT في دبي | ديجي-تك</x:v>
      </x:c>
      <x:c r="I280" s="6" t="str">
        <x:v>إصلاح ناقل الحركة FIAT في دبي</x:v>
      </x:c>
      <x:c r="J280" s="6" t="str">
        <x:v>إصلاح ناقل الحركة FIAT في دبي</x:v>
      </x:c>
      <x:c r="K280" s="6" t="str">
        <x:v>إصلاح ناقل الحركة متخصص لسيارات FIAT في دبي مع تشخيص متقدم وقطع مناسبة وتسعير واضح لدى مركز ديجي-تك.</x:v>
      </x:c>
      <x:c r="L280" s="6" t="str">
        <x:v>Retain pending evidence; no specific content edit justified by this export.</x:v>
      </x:c>
      <x:c r="M280" s="6" t="str">
        <x:v>Retain; inspect relevant context before adding links</x:v>
      </x:c>
      <x:c r="N280" s="6" t="str">
        <x:v>Unconfirmed — no query/page pairing</x:v>
      </x:c>
      <x:c r="O280" s="6" t="str">
        <x:v>Retain established booking / WhatsApp / call path; live behaviour untested</x:v>
      </x:c>
      <x:c r="P280" s="6" t="str">
        <x:v>Retain canonical and indexation policy pending a live check.</x:v>
      </x:c>
      <x:c r="Q280" s="6" t="str">
        <x:v>Proposed; no website change made</x:v>
      </x:c>
      <x:c r="R280" s="14"/>
      <x:c r="S280" s="14"/>
      <x:c r="T280" s="15"/>
      <x:c r="U280" s="16"/>
      <x:c r="V280" s="6" t="str">
        <x:v>https://digitecme.com/ar/brands/fiat-service-dubai/transmission-repair</x:v>
      </x:c>
      <x:c r="W280" s="6" t="str">
        <x:v>Noindex directive</x:v>
      </x:c>
      <x:c r="X280" s="6" t="n">
        <x:v>8</x:v>
      </x:c>
      <x:c r="Y280" s="6" t="str">
        <x:v>إصلاح ناقل الحركة FIAT في دبي | ديجي-تك</x:v>
      </x:c>
      <x:c r="Z280" s="6" t="str"/>
      <x:c r="AA280" s="6" t="str">
        <x:v>No / not compared</x:v>
      </x:c>
    </x:row>
    <x:row r="281" ht="42" customHeight="1">
      <x:c r="A281" s="6" t="str">
        <x:v>https://digitecme.com/ar/brands/ford-service-dubai</x:v>
      </x:c>
      <x:c r="B281" s="6" t="str">
        <x:v>صيانة سيارات فورد</x:v>
      </x:c>
      <x:c r="C281" s="6" t="str">
        <x:v>ford: Service and repair (Arabic)</x:v>
      </x:c>
      <x:c r="D281" s="6" t="str">
        <x:v>brand</x:v>
      </x:c>
      <x:c r="E281" s="6" t="str">
        <x:v>Primary owner for assigned intent</x:v>
      </x:c>
      <x:c r="F281" s="6" t="str">
        <x:v>Local source render; live version unverified</x:v>
      </x:c>
      <x:c r="G281" s="6" t="str">
        <x:v>إصلاح وصيانة Ford في دبي | مركز ديجي-تك</x:v>
      </x:c>
      <x:c r="H281" s="6" t="str">
        <x:v>إصلاح وصيانة Ford في دبي | مركز ديجي-تك</x:v>
      </x:c>
      <x:c r="I281" s="6" t="str">
        <x:v>Ford للإصلاح والصيانة في دبي</x:v>
      </x:c>
      <x:c r="J281" s="6" t="str">
        <x:v>Ford للإصلاح والصيانة في دبي</x:v>
      </x:c>
      <x:c r="K281" s="6" t="str">
        <x:v>إصلاح وصيانة Ford في دبي: تشخيص وصيانة وفرامل وناقل حركة وتعليق وتكييف مع قطع بالمواصفات المناسبة لدى مركز ديجي-تك.</x:v>
      </x:c>
      <x:c r="L281" s="6" t="str">
        <x:v>Retain pending evidence; no specific content edit justified by this export.</x:v>
      </x:c>
      <x:c r="M281" s="6" t="str">
        <x:v>Retain; inspect relevant context before adding links</x:v>
      </x:c>
      <x:c r="N281" s="6" t="str">
        <x:v>Unconfirmed — no query/page pairing</x:v>
      </x:c>
      <x:c r="O281" s="6" t="str">
        <x:v>Retain established booking / WhatsApp / call path; live behaviour untested</x:v>
      </x:c>
      <x:c r="P281" s="6" t="str">
        <x:v>Retain canonical and indexation policy pending a live check.</x:v>
      </x:c>
      <x:c r="Q281" s="6" t="str">
        <x:v>Proposed; no website change made</x:v>
      </x:c>
      <x:c r="R281" s="14" t="n">
        <x:v>0</x:v>
      </x:c>
      <x:c r="S281" s="14" t="n">
        <x:v>46</x:v>
      </x:c>
      <x:c r="T281" s="15" t="n">
        <x:v>0</x:v>
      </x:c>
      <x:c r="U281" s="16" t="n">
        <x:v>24.87</x:v>
      </x:c>
      <x:c r="V281" s="6" t="str">
        <x:v>https://digitecme.com/ar/brands/ford-service-dubai</x:v>
      </x:c>
      <x:c r="W281" s="6" t="str">
        <x:v>Indexable directive</x:v>
      </x:c>
      <x:c r="X281" s="6" t="n">
        <x:v>30</x:v>
      </x:c>
      <x:c r="Y281" s="6" t="str">
        <x:v>إصلاح وصيانة Ford في دبي | مركز ديجي-تك</x:v>
      </x:c>
      <x:c r="Z281" s="6" t="str"/>
      <x:c r="AA281" s="6" t="str">
        <x:v>No / not compared</x:v>
      </x:c>
    </x:row>
    <x:row r="282" ht="42" customHeight="1">
      <x:c r="A282" s="6" t="str">
        <x:v>https://digitecme.com/ar/brands/ford-service-dubai/ac-repair</x:v>
      </x:c>
      <x:c r="B282" s="6" t="str"/>
      <x:c r="C282" s="6" t="str"/>
      <x:c r="D282" s="6" t="str">
        <x:v>brand-service</x:v>
      </x:c>
      <x:c r="E282" s="6" t="str">
        <x:v>Retain differentiated role</x:v>
      </x:c>
      <x:c r="F282" s="6" t="str">
        <x:v>Local source render; live version unverified</x:v>
      </x:c>
      <x:c r="G282" s="6" t="str">
        <x:v>إصلاح التكييف Ford في دبي | ديجي-تك</x:v>
      </x:c>
      <x:c r="H282" s="6" t="str">
        <x:v>إصلاح التكييف Ford في دبي | ديجي-تك</x:v>
      </x:c>
      <x:c r="I282" s="6" t="str">
        <x:v>إصلاح التكييف Ford في دبي</x:v>
      </x:c>
      <x:c r="J282" s="6" t="str">
        <x:v>إصلاح التكييف Ford في دبي</x:v>
      </x:c>
      <x:c r="K282" s="6" t="str">
        <x:v>إصلاح التكييف متخصص لسيارات Ford في دبي مع تشخيص متقدم وقطع مناسبة وتسعير واضح لدى مركز ديجي-تك.</x:v>
      </x:c>
      <x:c r="L282" s="6" t="str">
        <x:v>Retain pending evidence; no specific content edit justified by this export.</x:v>
      </x:c>
      <x:c r="M282" s="6" t="str">
        <x:v>Retain; inspect relevant context before adding links</x:v>
      </x:c>
      <x:c r="N282" s="6" t="str">
        <x:v>Unconfirmed — no query/page pairing</x:v>
      </x:c>
      <x:c r="O282" s="6" t="str">
        <x:v>Retain established booking / WhatsApp / call path; live behaviour untested</x:v>
      </x:c>
      <x:c r="P282" s="6" t="str">
        <x:v>Retain canonical and indexation policy pending a live check.</x:v>
      </x:c>
      <x:c r="Q282" s="6" t="str">
        <x:v>Proposed; no website change made</x:v>
      </x:c>
      <x:c r="R282" s="14"/>
      <x:c r="S282" s="14"/>
      <x:c r="T282" s="15"/>
      <x:c r="U282" s="16"/>
      <x:c r="V282" s="6" t="str">
        <x:v>https://digitecme.com/ar/brands/ford-service-dubai/ac-repair</x:v>
      </x:c>
      <x:c r="W282" s="6" t="str">
        <x:v>Indexable directive</x:v>
      </x:c>
      <x:c r="X282" s="6" t="n">
        <x:v>8</x:v>
      </x:c>
      <x:c r="Y282" s="6" t="str">
        <x:v>إصلاح التكييف Ford في دبي | ديجي-تك</x:v>
      </x:c>
      <x:c r="Z282" s="6" t="str"/>
      <x:c r="AA282" s="6" t="str">
        <x:v>No / not compared</x:v>
      </x:c>
    </x:row>
    <x:row r="283" ht="42" customHeight="1">
      <x:c r="A283" s="6" t="str">
        <x:v>https://digitecme.com/ar/brands/ford-service-dubai/brake-repair</x:v>
      </x:c>
      <x:c r="B283" s="6" t="str"/>
      <x:c r="C283" s="6" t="str"/>
      <x:c r="D283" s="6" t="str">
        <x:v>brand-service</x:v>
      </x:c>
      <x:c r="E283" s="6" t="str">
        <x:v>Retain differentiated role</x:v>
      </x:c>
      <x:c r="F283" s="6" t="str">
        <x:v>Local source render; live version unverified</x:v>
      </x:c>
      <x:c r="G283" s="6" t="str">
        <x:v>إصلاح الفرامل Ford في دبي | ديجي-تك</x:v>
      </x:c>
      <x:c r="H283" s="6" t="str">
        <x:v>إصلاح الفرامل Ford في دبي | ديجي-تك</x:v>
      </x:c>
      <x:c r="I283" s="6" t="str">
        <x:v>إصلاح الفرامل Ford في دبي</x:v>
      </x:c>
      <x:c r="J283" s="6" t="str">
        <x:v>إصلاح الفرامل Ford في دبي</x:v>
      </x:c>
      <x:c r="K283" s="6" t="str">
        <x:v>إصلاح الفرامل متخصص لسيارات Ford في دبي مع تشخيص متقدم وقطع مناسبة وتسعير واضح لدى مركز ديجي-تك.</x:v>
      </x:c>
      <x:c r="L283" s="6" t="str">
        <x:v>Retain pending evidence; no specific content edit justified by this export.</x:v>
      </x:c>
      <x:c r="M283" s="6" t="str">
        <x:v>Retain; inspect relevant context before adding links</x:v>
      </x:c>
      <x:c r="N283" s="6" t="str">
        <x:v>Unconfirmed — no query/page pairing</x:v>
      </x:c>
      <x:c r="O283" s="6" t="str">
        <x:v>Retain established booking / WhatsApp / call path; live behaviour untested</x:v>
      </x:c>
      <x:c r="P283" s="6" t="str">
        <x:v>Retain canonical and indexation policy pending a live check.</x:v>
      </x:c>
      <x:c r="Q283" s="6" t="str">
        <x:v>Proposed; no website change made</x:v>
      </x:c>
      <x:c r="R283" s="14" t="n">
        <x:v>0</x:v>
      </x:c>
      <x:c r="S283" s="14" t="n">
        <x:v>2</x:v>
      </x:c>
      <x:c r="T283" s="15" t="n">
        <x:v>0</x:v>
      </x:c>
      <x:c r="U283" s="16" t="n">
        <x:v>8</x:v>
      </x:c>
      <x:c r="V283" s="6" t="str">
        <x:v>https://digitecme.com/ar/brands/ford-service-dubai/brake-repair</x:v>
      </x:c>
      <x:c r="W283" s="6" t="str">
        <x:v>Indexable directive</x:v>
      </x:c>
      <x:c r="X283" s="6" t="n">
        <x:v>8</x:v>
      </x:c>
      <x:c r="Y283" s="6" t="str">
        <x:v>إصلاح الفرامل Ford في دبي | ديجي-تك</x:v>
      </x:c>
      <x:c r="Z283" s="6" t="str"/>
      <x:c r="AA283" s="6" t="str">
        <x:v>No / not compared</x:v>
      </x:c>
    </x:row>
    <x:row r="284" ht="42" customHeight="1">
      <x:c r="A284" s="6" t="str">
        <x:v>https://digitecme.com/ar/brands/ford-service-dubai/engine-diagnostics</x:v>
      </x:c>
      <x:c r="B284" s="6" t="str"/>
      <x:c r="C284" s="6" t="str"/>
      <x:c r="D284" s="6" t="str">
        <x:v>brand-service</x:v>
      </x:c>
      <x:c r="E284" s="6" t="str">
        <x:v>Retain differentiated role</x:v>
      </x:c>
      <x:c r="F284" s="6" t="str">
        <x:v>Local source render; live version unverified</x:v>
      </x:c>
      <x:c r="G284" s="6" t="str">
        <x:v>تشخيص المحرك Ford في دبي | ديجي-تك</x:v>
      </x:c>
      <x:c r="H284" s="6" t="str">
        <x:v>تشخيص المحرك Ford في دبي | ديجي-تك</x:v>
      </x:c>
      <x:c r="I284" s="6" t="str">
        <x:v>تشخيص المحرك Ford في دبي</x:v>
      </x:c>
      <x:c r="J284" s="6" t="str">
        <x:v>تشخيص المحرك Ford في دبي</x:v>
      </x:c>
      <x:c r="K284" s="6" t="str">
        <x:v>تشخيص المحرك متخصص لسيارات Ford في دبي مع تشخيص متقدم وقطع مناسبة وتسعير واضح لدى مركز ديجي-تك.</x:v>
      </x:c>
      <x:c r="L284" s="6" t="str">
        <x:v>Retain pending evidence; no specific content edit justified by this export.</x:v>
      </x:c>
      <x:c r="M284" s="6" t="str">
        <x:v>Retain; inspect relevant context before adding links</x:v>
      </x:c>
      <x:c r="N284" s="6" t="str">
        <x:v>Unconfirmed — no query/page pairing</x:v>
      </x:c>
      <x:c r="O284" s="6" t="str">
        <x:v>Retain established booking / WhatsApp / call path; live behaviour untested</x:v>
      </x:c>
      <x:c r="P284" s="6" t="str">
        <x:v>Retain canonical and indexation policy pending a live check.</x:v>
      </x:c>
      <x:c r="Q284" s="6" t="str">
        <x:v>Proposed; no website change made</x:v>
      </x:c>
      <x:c r="R284" s="14"/>
      <x:c r="S284" s="14"/>
      <x:c r="T284" s="15"/>
      <x:c r="U284" s="16"/>
      <x:c r="V284" s="6" t="str">
        <x:v>https://digitecme.com/ar/brands/ford-service-dubai/engine-diagnostics</x:v>
      </x:c>
      <x:c r="W284" s="6" t="str">
        <x:v>Indexable directive</x:v>
      </x:c>
      <x:c r="X284" s="6" t="n">
        <x:v>8</x:v>
      </x:c>
      <x:c r="Y284" s="6" t="str">
        <x:v>تشخيص المحرك Ford في دبي | ديجي-تك</x:v>
      </x:c>
      <x:c r="Z284" s="6" t="str"/>
      <x:c r="AA284" s="6" t="str">
        <x:v>No / not compared</x:v>
      </x:c>
    </x:row>
    <x:row r="285" ht="42" customHeight="1">
      <x:c r="A285" s="6" t="str">
        <x:v>https://digitecme.com/ar/brands/ford-service-dubai/oil-change</x:v>
      </x:c>
      <x:c r="B285" s="6" t="str"/>
      <x:c r="C285" s="6" t="str"/>
      <x:c r="D285" s="6" t="str">
        <x:v>brand-service</x:v>
      </x:c>
      <x:c r="E285" s="6" t="str">
        <x:v>Retain differentiated role</x:v>
      </x:c>
      <x:c r="F285" s="6" t="str">
        <x:v>Local source render; live version unverified</x:v>
      </x:c>
      <x:c r="G285" s="6" t="str">
        <x:v>تغيير الزيت Ford في دبي | ديجي-تك</x:v>
      </x:c>
      <x:c r="H285" s="6" t="str">
        <x:v>تغيير الزيت Ford في دبي | ديجي-تك</x:v>
      </x:c>
      <x:c r="I285" s="6" t="str">
        <x:v>تغيير الزيت Ford في دبي</x:v>
      </x:c>
      <x:c r="J285" s="6" t="str">
        <x:v>تغيير الزيت Ford في دبي</x:v>
      </x:c>
      <x:c r="K285" s="6" t="str">
        <x:v>تغيير الزيت متخصص لسيارات Ford في دبي مع تشخيص متقدم وقطع مناسبة وتسعير واضح لدى مركز ديجي-تك.</x:v>
      </x:c>
      <x:c r="L285" s="6" t="str">
        <x:v>Retain pending evidence; no specific content edit justified by this export.</x:v>
      </x:c>
      <x:c r="M285" s="6" t="str">
        <x:v>Retain; inspect relevant context before adding links</x:v>
      </x:c>
      <x:c r="N285" s="6" t="str">
        <x:v>Unconfirmed — no query/page pairing</x:v>
      </x:c>
      <x:c r="O285" s="6" t="str">
        <x:v>Retain established booking / WhatsApp / call path; live behaviour untested</x:v>
      </x:c>
      <x:c r="P285" s="6" t="str">
        <x:v>Retain canonical and indexation policy pending a live check.</x:v>
      </x:c>
      <x:c r="Q285" s="6" t="str">
        <x:v>Proposed; no website change made</x:v>
      </x:c>
      <x:c r="R285" s="14" t="n">
        <x:v>0</x:v>
      </x:c>
      <x:c r="S285" s="14" t="n">
        <x:v>2</x:v>
      </x:c>
      <x:c r="T285" s="15" t="n">
        <x:v>0</x:v>
      </x:c>
      <x:c r="U285" s="16" t="n">
        <x:v>11</x:v>
      </x:c>
      <x:c r="V285" s="6" t="str">
        <x:v>https://digitecme.com/ar/brands/ford-service-dubai/oil-change</x:v>
      </x:c>
      <x:c r="W285" s="6" t="str">
        <x:v>Indexable directive</x:v>
      </x:c>
      <x:c r="X285" s="6" t="n">
        <x:v>8</x:v>
      </x:c>
      <x:c r="Y285" s="6" t="str">
        <x:v>تغيير الزيت Ford في دبي | ديجي-تك</x:v>
      </x:c>
      <x:c r="Z285" s="6" t="str"/>
      <x:c r="AA285" s="6" t="str">
        <x:v>No / not compared</x:v>
      </x:c>
    </x:row>
    <x:row r="286" ht="42" customHeight="1">
      <x:c r="A286" s="6" t="str">
        <x:v>https://digitecme.com/ar/brands/ford-service-dubai/suspension-repair</x:v>
      </x:c>
      <x:c r="B286" s="6" t="str"/>
      <x:c r="C286" s="6" t="str"/>
      <x:c r="D286" s="6" t="str">
        <x:v>brand-service</x:v>
      </x:c>
      <x:c r="E286" s="6" t="str">
        <x:v>Retain differentiated role</x:v>
      </x:c>
      <x:c r="F286" s="6" t="str">
        <x:v>Local source render; live version unverified</x:v>
      </x:c>
      <x:c r="G286" s="6" t="str">
        <x:v>إصلاح التعليق Ford في دبي | ديجي-تك</x:v>
      </x:c>
      <x:c r="H286" s="6" t="str">
        <x:v>إصلاح التعليق Ford في دبي | ديجي-تك</x:v>
      </x:c>
      <x:c r="I286" s="6" t="str">
        <x:v>إصلاح التعليق Ford في دبي</x:v>
      </x:c>
      <x:c r="J286" s="6" t="str">
        <x:v>إصلاح التعليق Ford في دبي</x:v>
      </x:c>
      <x:c r="K286" s="6" t="str">
        <x:v>إصلاح التعليق متخصص لسيارات Ford في دبي مع تشخيص متقدم وقطع مناسبة وتسعير واضح لدى مركز ديجي-تك.</x:v>
      </x:c>
      <x:c r="L286" s="6" t="str">
        <x:v>Retain pending evidence; no specific content edit justified by this export.</x:v>
      </x:c>
      <x:c r="M286" s="6" t="str">
        <x:v>Retain; inspect relevant context before adding links</x:v>
      </x:c>
      <x:c r="N286" s="6" t="str">
        <x:v>Unconfirmed — no query/page pairing</x:v>
      </x:c>
      <x:c r="O286" s="6" t="str">
        <x:v>Retain established booking / WhatsApp / call path; live behaviour untested</x:v>
      </x:c>
      <x:c r="P286" s="6" t="str">
        <x:v>Retain canonical and indexation policy pending a live check.</x:v>
      </x:c>
      <x:c r="Q286" s="6" t="str">
        <x:v>Proposed; no website change made</x:v>
      </x:c>
      <x:c r="R286" s="14"/>
      <x:c r="S286" s="14"/>
      <x:c r="T286" s="15"/>
      <x:c r="U286" s="16"/>
      <x:c r="V286" s="6" t="str">
        <x:v>https://digitecme.com/ar/brands/ford-service-dubai/suspension-repair</x:v>
      </x:c>
      <x:c r="W286" s="6" t="str">
        <x:v>Noindex directive</x:v>
      </x:c>
      <x:c r="X286" s="6" t="n">
        <x:v>8</x:v>
      </x:c>
      <x:c r="Y286" s="6" t="str">
        <x:v>إصلاح التعليق Ford في دبي | ديجي-تك</x:v>
      </x:c>
      <x:c r="Z286" s="6" t="str"/>
      <x:c r="AA286" s="6" t="str">
        <x:v>No / not compared</x:v>
      </x:c>
    </x:row>
    <x:row r="287" ht="42" customHeight="1">
      <x:c r="A287" s="6" t="str">
        <x:v>https://digitecme.com/ar/brands/ford-service-dubai/transmission-repair</x:v>
      </x:c>
      <x:c r="B287" s="6" t="str"/>
      <x:c r="C287" s="6" t="str"/>
      <x:c r="D287" s="6" t="str">
        <x:v>brand-service</x:v>
      </x:c>
      <x:c r="E287" s="6" t="str">
        <x:v>Retain differentiated role</x:v>
      </x:c>
      <x:c r="F287" s="6" t="str">
        <x:v>Local source render; live version unverified</x:v>
      </x:c>
      <x:c r="G287" s="6" t="str">
        <x:v>إصلاح ناقل الحركة Ford في دبي | ديجي-تك</x:v>
      </x:c>
      <x:c r="H287" s="6" t="str">
        <x:v>إصلاح ناقل الحركة Ford في دبي | ديجي-تك</x:v>
      </x:c>
      <x:c r="I287" s="6" t="str">
        <x:v>إصلاح ناقل الحركة Ford في دبي</x:v>
      </x:c>
      <x:c r="J287" s="6" t="str">
        <x:v>إصلاح ناقل الحركة Ford في دبي</x:v>
      </x:c>
      <x:c r="K287" s="6" t="str">
        <x:v>إصلاح ناقل الحركة متخصص لسيارات Ford في دبي مع تشخيص متقدم وقطع مناسبة وتسعير واضح لدى مركز ديجي-تك.</x:v>
      </x:c>
      <x:c r="L287" s="6" t="str">
        <x:v>Retain pending evidence; no specific content edit justified by this export.</x:v>
      </x:c>
      <x:c r="M287" s="6" t="str">
        <x:v>Retain; inspect relevant context before adding links</x:v>
      </x:c>
      <x:c r="N287" s="6" t="str">
        <x:v>Unconfirmed — no query/page pairing</x:v>
      </x:c>
      <x:c r="O287" s="6" t="str">
        <x:v>Retain established booking / WhatsApp / call path; live behaviour untested</x:v>
      </x:c>
      <x:c r="P287" s="6" t="str">
        <x:v>Retain canonical and indexation policy pending a live check.</x:v>
      </x:c>
      <x:c r="Q287" s="6" t="str">
        <x:v>Proposed; no website change made</x:v>
      </x:c>
      <x:c r="R287" s="14"/>
      <x:c r="S287" s="14"/>
      <x:c r="T287" s="15"/>
      <x:c r="U287" s="16"/>
      <x:c r="V287" s="6" t="str">
        <x:v>https://digitecme.com/ar/brands/ford-service-dubai/transmission-repair</x:v>
      </x:c>
      <x:c r="W287" s="6" t="str">
        <x:v>Noindex directive</x:v>
      </x:c>
      <x:c r="X287" s="6" t="n">
        <x:v>8</x:v>
      </x:c>
      <x:c r="Y287" s="6" t="str">
        <x:v>إصلاح ناقل الحركة Ford في دبي | ديجي-تك</x:v>
      </x:c>
      <x:c r="Z287" s="6" t="str"/>
      <x:c r="AA287" s="6" t="str">
        <x:v>No / not compared</x:v>
      </x:c>
    </x:row>
    <x:row r="288" ht="42" customHeight="1">
      <x:c r="A288" s="6" t="str">
        <x:v>https://digitecme.com/ar/brands/genesis-service-dubai</x:v>
      </x:c>
      <x:c r="B288" s="6" t="str"/>
      <x:c r="C288" s="6" t="str"/>
      <x:c r="D288" s="6" t="str">
        <x:v>brand</x:v>
      </x:c>
      <x:c r="E288" s="6" t="str">
        <x:v>Retain differentiated role</x:v>
      </x:c>
      <x:c r="F288" s="6" t="str">
        <x:v>Local source render; live version unverified</x:v>
      </x:c>
      <x:c r="G288" s="6" t="str">
        <x:v>إصلاح وصيانة Genesis في دبي | مركز ديجي-تك</x:v>
      </x:c>
      <x:c r="H288" s="6" t="str">
        <x:v>إصلاح وصيانة Genesis في دبي | مركز ديجي-تك</x:v>
      </x:c>
      <x:c r="I288" s="6" t="str">
        <x:v>Genesis للإصلاح والصيانة في دبي</x:v>
      </x:c>
      <x:c r="J288" s="6" t="str">
        <x:v>Genesis للإصلاح والصيانة في دبي</x:v>
      </x:c>
      <x:c r="K288" s="6" t="str">
        <x:v>إصلاح وصيانة Genesis في دبي: تشخيص وصيانة وفرامل وناقل حركة وتعليق وتكييف مع قطع بالمواصفات المناسبة لدى مركز ديجي-تك.</x:v>
      </x:c>
      <x:c r="L288" s="6" t="str">
        <x:v>Retain pending evidence; no specific content edit justified by this export.</x:v>
      </x:c>
      <x:c r="M288" s="6" t="str">
        <x:v>Retain; inspect relevant context before adding links</x:v>
      </x:c>
      <x:c r="N288" s="6" t="str">
        <x:v>Unconfirmed — no query/page pairing</x:v>
      </x:c>
      <x:c r="O288" s="6" t="str">
        <x:v>Retain established booking / WhatsApp / call path; live behaviour untested</x:v>
      </x:c>
      <x:c r="P288" s="6" t="str">
        <x:v>Retain canonical and indexation policy pending a live check.</x:v>
      </x:c>
      <x:c r="Q288" s="6" t="str">
        <x:v>Proposed; no website change made</x:v>
      </x:c>
      <x:c r="R288" s="14" t="n">
        <x:v>2</x:v>
      </x:c>
      <x:c r="S288" s="14" t="n">
        <x:v>18</x:v>
      </x:c>
      <x:c r="T288" s="15" t="n">
        <x:v>0.11109999999999999</x:v>
      </x:c>
      <x:c r="U288" s="16" t="n">
        <x:v>7.83</x:v>
      </x:c>
      <x:c r="V288" s="6" t="str">
        <x:v>https://digitecme.com/ar/brands/genesis-service-dubai</x:v>
      </x:c>
      <x:c r="W288" s="6" t="str">
        <x:v>Indexable directive</x:v>
      </x:c>
      <x:c r="X288" s="6" t="n">
        <x:v>30</x:v>
      </x:c>
      <x:c r="Y288" s="6" t="str">
        <x:v>إصلاح وصيانة Genesis في دبي | مركز ديجي-تك</x:v>
      </x:c>
      <x:c r="Z288" s="6" t="str"/>
      <x:c r="AA288" s="6" t="str">
        <x:v>No / not compared</x:v>
      </x:c>
    </x:row>
    <x:row r="289" ht="42" customHeight="1">
      <x:c r="A289" s="6" t="str">
        <x:v>https://digitecme.com/ar/brands/genesis-service-dubai/ac-repair</x:v>
      </x:c>
      <x:c r="B289" s="6" t="str"/>
      <x:c r="C289" s="6" t="str"/>
      <x:c r="D289" s="6" t="str">
        <x:v>brand-service</x:v>
      </x:c>
      <x:c r="E289" s="6" t="str">
        <x:v>Retain differentiated role</x:v>
      </x:c>
      <x:c r="F289" s="6" t="str">
        <x:v>Local source render; live version unverified</x:v>
      </x:c>
      <x:c r="G289" s="6" t="str">
        <x:v>إصلاح التكييف Genesis في دبي | ديجي-تك</x:v>
      </x:c>
      <x:c r="H289" s="6" t="str">
        <x:v>إصلاح التكييف Genesis في دبي | ديجي-تك</x:v>
      </x:c>
      <x:c r="I289" s="6" t="str">
        <x:v>إصلاح التكييف Genesis في دبي</x:v>
      </x:c>
      <x:c r="J289" s="6" t="str">
        <x:v>إصلاح التكييف Genesis في دبي</x:v>
      </x:c>
      <x:c r="K289" s="6" t="str">
        <x:v>إصلاح التكييف متخصص لسيارات Genesis في دبي مع تشخيص متقدم وقطع مناسبة وتسعير واضح لدى مركز ديجي-تك.</x:v>
      </x:c>
      <x:c r="L289" s="6" t="str">
        <x:v>Retain pending evidence; no specific content edit justified by this export.</x:v>
      </x:c>
      <x:c r="M289" s="6" t="str">
        <x:v>Retain; inspect relevant context before adding links</x:v>
      </x:c>
      <x:c r="N289" s="6" t="str">
        <x:v>Unconfirmed — no query/page pairing</x:v>
      </x:c>
      <x:c r="O289" s="6" t="str">
        <x:v>Retain established booking / WhatsApp / call path; live behaviour untested</x:v>
      </x:c>
      <x:c r="P289" s="6" t="str">
        <x:v>Retain canonical and indexation policy pending a live check.</x:v>
      </x:c>
      <x:c r="Q289" s="6" t="str">
        <x:v>Proposed; no website change made</x:v>
      </x:c>
      <x:c r="R289" s="14"/>
      <x:c r="S289" s="14"/>
      <x:c r="T289" s="15"/>
      <x:c r="U289" s="16"/>
      <x:c r="V289" s="6" t="str">
        <x:v>https://digitecme.com/ar/brands/genesis-service-dubai/ac-repair</x:v>
      </x:c>
      <x:c r="W289" s="6" t="str">
        <x:v>Indexable directive</x:v>
      </x:c>
      <x:c r="X289" s="6" t="n">
        <x:v>8</x:v>
      </x:c>
      <x:c r="Y289" s="6" t="str">
        <x:v>إصلاح التكييف Genesis في دبي | ديجي-تك</x:v>
      </x:c>
      <x:c r="Z289" s="6" t="str"/>
      <x:c r="AA289" s="6" t="str">
        <x:v>No / not compared</x:v>
      </x:c>
    </x:row>
    <x:row r="290" ht="42" customHeight="1">
      <x:c r="A290" s="6" t="str">
        <x:v>https://digitecme.com/ar/brands/genesis-service-dubai/brake-repair</x:v>
      </x:c>
      <x:c r="B290" s="6" t="str"/>
      <x:c r="C290" s="6" t="str"/>
      <x:c r="D290" s="6" t="str">
        <x:v>brand-service</x:v>
      </x:c>
      <x:c r="E290" s="6" t="str">
        <x:v>Retain differentiated role</x:v>
      </x:c>
      <x:c r="F290" s="6" t="str">
        <x:v>Local source render; live version unverified</x:v>
      </x:c>
      <x:c r="G290" s="6" t="str">
        <x:v>إصلاح الفرامل Genesis في دبي | ديجي-تك</x:v>
      </x:c>
      <x:c r="H290" s="6" t="str">
        <x:v>إصلاح الفرامل Genesis في دبي | ديجي-تك</x:v>
      </x:c>
      <x:c r="I290" s="6" t="str">
        <x:v>إصلاح الفرامل Genesis في دبي</x:v>
      </x:c>
      <x:c r="J290" s="6" t="str">
        <x:v>إصلاح الفرامل Genesis في دبي</x:v>
      </x:c>
      <x:c r="K290" s="6" t="str">
        <x:v>إصلاح الفرامل متخصص لسيارات Genesis في دبي مع تشخيص متقدم وقطع مناسبة وتسعير واضح لدى مركز ديجي-تك.</x:v>
      </x:c>
      <x:c r="L290" s="6" t="str">
        <x:v>Retain pending evidence; no specific content edit justified by this export.</x:v>
      </x:c>
      <x:c r="M290" s="6" t="str">
        <x:v>Retain; inspect relevant context before adding links</x:v>
      </x:c>
      <x:c r="N290" s="6" t="str">
        <x:v>Unconfirmed — no query/page pairing</x:v>
      </x:c>
      <x:c r="O290" s="6" t="str">
        <x:v>Retain established booking / WhatsApp / call path; live behaviour untested</x:v>
      </x:c>
      <x:c r="P290" s="6" t="str">
        <x:v>Retain canonical and indexation policy pending a live check.</x:v>
      </x:c>
      <x:c r="Q290" s="6" t="str">
        <x:v>Proposed; no website change made</x:v>
      </x:c>
      <x:c r="R290" s="14"/>
      <x:c r="S290" s="14"/>
      <x:c r="T290" s="15"/>
      <x:c r="U290" s="16"/>
      <x:c r="V290" s="6" t="str">
        <x:v>https://digitecme.com/ar/brands/genesis-service-dubai/brake-repair</x:v>
      </x:c>
      <x:c r="W290" s="6" t="str">
        <x:v>Indexable directive</x:v>
      </x:c>
      <x:c r="X290" s="6" t="n">
        <x:v>8</x:v>
      </x:c>
      <x:c r="Y290" s="6" t="str">
        <x:v>إصلاح الفرامل Genesis في دبي | ديجي-تك</x:v>
      </x:c>
      <x:c r="Z290" s="6" t="str"/>
      <x:c r="AA290" s="6" t="str">
        <x:v>No / not compared</x:v>
      </x:c>
    </x:row>
    <x:row r="291" ht="42" customHeight="1">
      <x:c r="A291" s="6" t="str">
        <x:v>https://digitecme.com/ar/brands/genesis-service-dubai/engine-diagnostics</x:v>
      </x:c>
      <x:c r="B291" s="6" t="str"/>
      <x:c r="C291" s="6" t="str"/>
      <x:c r="D291" s="6" t="str">
        <x:v>brand-service</x:v>
      </x:c>
      <x:c r="E291" s="6" t="str">
        <x:v>Retain differentiated role</x:v>
      </x:c>
      <x:c r="F291" s="6" t="str">
        <x:v>Local source render; live version unverified</x:v>
      </x:c>
      <x:c r="G291" s="6" t="str">
        <x:v>تشخيص المحرك Genesis في دبي | ديجي-تك</x:v>
      </x:c>
      <x:c r="H291" s="6" t="str">
        <x:v>تشخيص المحرك Genesis في دبي | ديجي-تك</x:v>
      </x:c>
      <x:c r="I291" s="6" t="str">
        <x:v>تشخيص المحرك Genesis في دبي</x:v>
      </x:c>
      <x:c r="J291" s="6" t="str">
        <x:v>تشخيص المحرك Genesis في دبي</x:v>
      </x:c>
      <x:c r="K291" s="6" t="str">
        <x:v>تشخيص المحرك متخصص لسيارات Genesis في دبي مع تشخيص متقدم وقطع مناسبة وتسعير واضح لدى مركز ديجي-تك.</x:v>
      </x:c>
      <x:c r="L291" s="6" t="str">
        <x:v>Retain pending evidence; no specific content edit justified by this export.</x:v>
      </x:c>
      <x:c r="M291" s="6" t="str">
        <x:v>Retain; inspect relevant context before adding links</x:v>
      </x:c>
      <x:c r="N291" s="6" t="str">
        <x:v>Unconfirmed — no query/page pairing</x:v>
      </x:c>
      <x:c r="O291" s="6" t="str">
        <x:v>Retain established booking / WhatsApp / call path; live behaviour untested</x:v>
      </x:c>
      <x:c r="P291" s="6" t="str">
        <x:v>Retain canonical and indexation policy pending a live check.</x:v>
      </x:c>
      <x:c r="Q291" s="6" t="str">
        <x:v>Proposed; no website change made</x:v>
      </x:c>
      <x:c r="R291" s="14"/>
      <x:c r="S291" s="14"/>
      <x:c r="T291" s="15"/>
      <x:c r="U291" s="16"/>
      <x:c r="V291" s="6" t="str">
        <x:v>https://digitecme.com/ar/brands/genesis-service-dubai/engine-diagnostics</x:v>
      </x:c>
      <x:c r="W291" s="6" t="str">
        <x:v>Indexable directive</x:v>
      </x:c>
      <x:c r="X291" s="6" t="n">
        <x:v>8</x:v>
      </x:c>
      <x:c r="Y291" s="6" t="str">
        <x:v>تشخيص المحرك Genesis في دبي | ديجي-تك</x:v>
      </x:c>
      <x:c r="Z291" s="6" t="str"/>
      <x:c r="AA291" s="6" t="str">
        <x:v>No / not compared</x:v>
      </x:c>
    </x:row>
    <x:row r="292" ht="42" customHeight="1">
      <x:c r="A292" s="6" t="str">
        <x:v>https://digitecme.com/ar/brands/genesis-service-dubai/oil-change</x:v>
      </x:c>
      <x:c r="B292" s="6" t="str"/>
      <x:c r="C292" s="6" t="str"/>
      <x:c r="D292" s="6" t="str">
        <x:v>brand-service</x:v>
      </x:c>
      <x:c r="E292" s="6" t="str">
        <x:v>Retain differentiated role</x:v>
      </x:c>
      <x:c r="F292" s="6" t="str">
        <x:v>Local source render; live version unverified</x:v>
      </x:c>
      <x:c r="G292" s="6" t="str">
        <x:v>تغيير الزيت Genesis في دبي | ديجي-تك</x:v>
      </x:c>
      <x:c r="H292" s="6" t="str">
        <x:v>تغيير الزيت Genesis في دبي | ديجي-تك</x:v>
      </x:c>
      <x:c r="I292" s="6" t="str">
        <x:v>تغيير الزيت Genesis في دبي</x:v>
      </x:c>
      <x:c r="J292" s="6" t="str">
        <x:v>تغيير الزيت Genesis في دبي</x:v>
      </x:c>
      <x:c r="K292" s="6" t="str">
        <x:v>تغيير الزيت متخصص لسيارات Genesis في دبي مع تشخيص متقدم وقطع مناسبة وتسعير واضح لدى مركز ديجي-تك.</x:v>
      </x:c>
      <x:c r="L292" s="6" t="str">
        <x:v>Retain pending evidence; no specific content edit justified by this export.</x:v>
      </x:c>
      <x:c r="M292" s="6" t="str">
        <x:v>Retain; inspect relevant context before adding links</x:v>
      </x:c>
      <x:c r="N292" s="6" t="str">
        <x:v>Unconfirmed — no query/page pairing</x:v>
      </x:c>
      <x:c r="O292" s="6" t="str">
        <x:v>Retain established booking / WhatsApp / call path; live behaviour untested</x:v>
      </x:c>
      <x:c r="P292" s="6" t="str">
        <x:v>Retain canonical and indexation policy pending a live check.</x:v>
      </x:c>
      <x:c r="Q292" s="6" t="str">
        <x:v>Proposed; no website change made</x:v>
      </x:c>
      <x:c r="R292" s="14"/>
      <x:c r="S292" s="14"/>
      <x:c r="T292" s="15"/>
      <x:c r="U292" s="16"/>
      <x:c r="V292" s="6" t="str">
        <x:v>https://digitecme.com/ar/brands/genesis-service-dubai/oil-change</x:v>
      </x:c>
      <x:c r="W292" s="6" t="str">
        <x:v>Indexable directive</x:v>
      </x:c>
      <x:c r="X292" s="6" t="n">
        <x:v>8</x:v>
      </x:c>
      <x:c r="Y292" s="6" t="str">
        <x:v>تغيير الزيت Genesis في دبي | ديجي-تك</x:v>
      </x:c>
      <x:c r="Z292" s="6" t="str"/>
      <x:c r="AA292" s="6" t="str">
        <x:v>No / not compared</x:v>
      </x:c>
    </x:row>
    <x:row r="293" ht="42" customHeight="1">
      <x:c r="A293" s="6" t="str">
        <x:v>https://digitecme.com/ar/brands/genesis-service-dubai/suspension-repair</x:v>
      </x:c>
      <x:c r="B293" s="6" t="str"/>
      <x:c r="C293" s="6" t="str"/>
      <x:c r="D293" s="6" t="str">
        <x:v>brand-service</x:v>
      </x:c>
      <x:c r="E293" s="6" t="str">
        <x:v>Retain differentiated role</x:v>
      </x:c>
      <x:c r="F293" s="6" t="str">
        <x:v>Local source render; live version unverified</x:v>
      </x:c>
      <x:c r="G293" s="6" t="str">
        <x:v>إصلاح التعليق Genesis في دبي | ديجي-تك</x:v>
      </x:c>
      <x:c r="H293" s="6" t="str">
        <x:v>إصلاح التعليق Genesis في دبي | ديجي-تك</x:v>
      </x:c>
      <x:c r="I293" s="6" t="str">
        <x:v>إصلاح التعليق Genesis في دبي</x:v>
      </x:c>
      <x:c r="J293" s="6" t="str">
        <x:v>إصلاح التعليق Genesis في دبي</x:v>
      </x:c>
      <x:c r="K293" s="6" t="str">
        <x:v>إصلاح التعليق متخصص لسيارات Genesis في دبي مع تشخيص متقدم وقطع مناسبة وتسعير واضح لدى مركز ديجي-تك.</x:v>
      </x:c>
      <x:c r="L293" s="6" t="str">
        <x:v>Retain pending evidence; no specific content edit justified by this export.</x:v>
      </x:c>
      <x:c r="M293" s="6" t="str">
        <x:v>Retain; inspect relevant context before adding links</x:v>
      </x:c>
      <x:c r="N293" s="6" t="str">
        <x:v>Unconfirmed — no query/page pairing</x:v>
      </x:c>
      <x:c r="O293" s="6" t="str">
        <x:v>Retain established booking / WhatsApp / call path; live behaviour untested</x:v>
      </x:c>
      <x:c r="P293" s="6" t="str">
        <x:v>Retain canonical and indexation policy pending a live check.</x:v>
      </x:c>
      <x:c r="Q293" s="6" t="str">
        <x:v>Proposed; no website change made</x:v>
      </x:c>
      <x:c r="R293" s="14"/>
      <x:c r="S293" s="14"/>
      <x:c r="T293" s="15"/>
      <x:c r="U293" s="16"/>
      <x:c r="V293" s="6" t="str">
        <x:v>https://digitecme.com/ar/brands/genesis-service-dubai/suspension-repair</x:v>
      </x:c>
      <x:c r="W293" s="6" t="str">
        <x:v>Noindex directive</x:v>
      </x:c>
      <x:c r="X293" s="6" t="n">
        <x:v>8</x:v>
      </x:c>
      <x:c r="Y293" s="6" t="str">
        <x:v>إصلاح التعليق Genesis في دبي | ديجي-تك</x:v>
      </x:c>
      <x:c r="Z293" s="6" t="str"/>
      <x:c r="AA293" s="6" t="str">
        <x:v>No / not compared</x:v>
      </x:c>
    </x:row>
    <x:row r="294" ht="42" customHeight="1">
      <x:c r="A294" s="6" t="str">
        <x:v>https://digitecme.com/ar/brands/genesis-service-dubai/transmission-repair</x:v>
      </x:c>
      <x:c r="B294" s="6" t="str"/>
      <x:c r="C294" s="6" t="str"/>
      <x:c r="D294" s="6" t="str">
        <x:v>brand-service</x:v>
      </x:c>
      <x:c r="E294" s="6" t="str">
        <x:v>Retain differentiated role</x:v>
      </x:c>
      <x:c r="F294" s="6" t="str">
        <x:v>Local source render; live version unverified</x:v>
      </x:c>
      <x:c r="G294" s="6" t="str">
        <x:v>إصلاح ناقل الحركة Genesis في دبي | ديجي-تك</x:v>
      </x:c>
      <x:c r="H294" s="6" t="str">
        <x:v>إصلاح ناقل الحركة Genesis في دبي | ديجي-تك</x:v>
      </x:c>
      <x:c r="I294" s="6" t="str">
        <x:v>إصلاح ناقل الحركة Genesis في دبي</x:v>
      </x:c>
      <x:c r="J294" s="6" t="str">
        <x:v>إصلاح ناقل الحركة Genesis في دبي</x:v>
      </x:c>
      <x:c r="K294" s="6" t="str">
        <x:v>إصلاح ناقل الحركة متخصص لسيارات Genesis في دبي مع تشخيص متقدم وقطع مناسبة وتسعير واضح لدى مركز ديجي-تك.</x:v>
      </x:c>
      <x:c r="L294" s="6" t="str">
        <x:v>Retain pending evidence; no specific content edit justified by this export.</x:v>
      </x:c>
      <x:c r="M294" s="6" t="str">
        <x:v>Retain; inspect relevant context before adding links</x:v>
      </x:c>
      <x:c r="N294" s="6" t="str">
        <x:v>Unconfirmed — no query/page pairing</x:v>
      </x:c>
      <x:c r="O294" s="6" t="str">
        <x:v>Retain established booking / WhatsApp / call path; live behaviour untested</x:v>
      </x:c>
      <x:c r="P294" s="6" t="str">
        <x:v>Retain canonical and indexation policy pending a live check.</x:v>
      </x:c>
      <x:c r="Q294" s="6" t="str">
        <x:v>Proposed; no website change made</x:v>
      </x:c>
      <x:c r="R294" s="14" t="n">
        <x:v>0</x:v>
      </x:c>
      <x:c r="S294" s="14" t="n">
        <x:v>2</x:v>
      </x:c>
      <x:c r="T294" s="15" t="n">
        <x:v>0</x:v>
      </x:c>
      <x:c r="U294" s="16" t="n">
        <x:v>6</x:v>
      </x:c>
      <x:c r="V294" s="6" t="str">
        <x:v>https://digitecme.com/ar/brands/genesis-service-dubai/transmission-repair</x:v>
      </x:c>
      <x:c r="W294" s="6" t="str">
        <x:v>Noindex directive</x:v>
      </x:c>
      <x:c r="X294" s="6" t="n">
        <x:v>8</x:v>
      </x:c>
      <x:c r="Y294" s="6" t="str">
        <x:v>إصلاح ناقل الحركة Genesis في دبي | ديجي-تك</x:v>
      </x:c>
      <x:c r="Z294" s="6" t="str"/>
      <x:c r="AA294" s="6" t="str">
        <x:v>No / not compared</x:v>
      </x:c>
    </x:row>
    <x:row r="295" ht="42" customHeight="1">
      <x:c r="A295" s="6" t="str">
        <x:v>https://digitecme.com/ar/brands/gmc-service-dubai</x:v>
      </x:c>
      <x:c r="B295" s="6" t="str"/>
      <x:c r="C295" s="6" t="str"/>
      <x:c r="D295" s="6" t="str">
        <x:v>brand</x:v>
      </x:c>
      <x:c r="E295" s="6" t="str">
        <x:v>Retain differentiated role</x:v>
      </x:c>
      <x:c r="F295" s="6" t="str">
        <x:v>Local source render; live version unverified</x:v>
      </x:c>
      <x:c r="G295" s="6" t="str">
        <x:v>إصلاح وصيانة GMC في دبي | مركز ديجي-تك</x:v>
      </x:c>
      <x:c r="H295" s="6" t="str">
        <x:v>إصلاح وصيانة GMC في دبي | مركز ديجي-تك</x:v>
      </x:c>
      <x:c r="I295" s="6" t="str">
        <x:v>GMC للإصلاح والصيانة في دبي</x:v>
      </x:c>
      <x:c r="J295" s="6" t="str">
        <x:v>GMC للإصلاح والصيانة في دبي</x:v>
      </x:c>
      <x:c r="K295" s="6" t="str">
        <x:v>إصلاح وصيانة GMC في دبي: تشخيص وصيانة وفرامل وناقل حركة وتعليق وتكييف مع قطع بالمواصفات المناسبة لدى مركز ديجي-تك.</x:v>
      </x:c>
      <x:c r="L295" s="6" t="str">
        <x:v>Retain pending evidence; no specific content edit justified by this export.</x:v>
      </x:c>
      <x:c r="M295" s="6" t="str">
        <x:v>Retain; inspect relevant context before adding links</x:v>
      </x:c>
      <x:c r="N295" s="6" t="str">
        <x:v>Unconfirmed — no query/page pairing</x:v>
      </x:c>
      <x:c r="O295" s="6" t="str">
        <x:v>Retain established booking / WhatsApp / call path; live behaviour untested</x:v>
      </x:c>
      <x:c r="P295" s="6" t="str">
        <x:v>Retain canonical and indexation policy pending a live check.</x:v>
      </x:c>
      <x:c r="Q295" s="6" t="str">
        <x:v>Proposed; no website change made</x:v>
      </x:c>
      <x:c r="R295" s="14" t="n">
        <x:v>0</x:v>
      </x:c>
      <x:c r="S295" s="14" t="n">
        <x:v>3</x:v>
      </x:c>
      <x:c r="T295" s="15" t="n">
        <x:v>0</x:v>
      </x:c>
      <x:c r="U295" s="16" t="n">
        <x:v>18.67</x:v>
      </x:c>
      <x:c r="V295" s="6" t="str">
        <x:v>https://digitecme.com/ar/brands/gmc-service-dubai</x:v>
      </x:c>
      <x:c r="W295" s="6" t="str">
        <x:v>Indexable directive</x:v>
      </x:c>
      <x:c r="X295" s="6" t="n">
        <x:v>30</x:v>
      </x:c>
      <x:c r="Y295" s="6" t="str">
        <x:v>إصلاح وصيانة GMC في دبي | مركز ديجي-تك</x:v>
      </x:c>
      <x:c r="Z295" s="6" t="str"/>
      <x:c r="AA295" s="6" t="str">
        <x:v>No / not compared</x:v>
      </x:c>
    </x:row>
    <x:row r="296" ht="42" customHeight="1">
      <x:c r="A296" s="6" t="str">
        <x:v>https://digitecme.com/ar/brands/gmc-service-dubai/ac-repair</x:v>
      </x:c>
      <x:c r="B296" s="6" t="str"/>
      <x:c r="C296" s="6" t="str"/>
      <x:c r="D296" s="6" t="str">
        <x:v>brand-service</x:v>
      </x:c>
      <x:c r="E296" s="6" t="str">
        <x:v>Retain differentiated role</x:v>
      </x:c>
      <x:c r="F296" s="6" t="str">
        <x:v>Local source render; live version unverified</x:v>
      </x:c>
      <x:c r="G296" s="6" t="str">
        <x:v>إصلاح التكييف GMC في دبي | ديجي-تك</x:v>
      </x:c>
      <x:c r="H296" s="6" t="str">
        <x:v>إصلاح التكييف GMC في دبي | ديجي-تك</x:v>
      </x:c>
      <x:c r="I296" s="6" t="str">
        <x:v>إصلاح التكييف GMC في دبي</x:v>
      </x:c>
      <x:c r="J296" s="6" t="str">
        <x:v>إصلاح التكييف GMC في دبي</x:v>
      </x:c>
      <x:c r="K296" s="6" t="str">
        <x:v>إصلاح التكييف متخصص لسيارات GMC في دبي مع تشخيص متقدم وقطع مناسبة وتسعير واضح لدى مركز ديجي-تك.</x:v>
      </x:c>
      <x:c r="L296" s="6" t="str">
        <x:v>Retain pending evidence; no specific content edit justified by this export.</x:v>
      </x:c>
      <x:c r="M296" s="6" t="str">
        <x:v>Retain; inspect relevant context before adding links</x:v>
      </x:c>
      <x:c r="N296" s="6" t="str">
        <x:v>Unconfirmed — no query/page pairing</x:v>
      </x:c>
      <x:c r="O296" s="6" t="str">
        <x:v>Retain established booking / WhatsApp / call path; live behaviour untested</x:v>
      </x:c>
      <x:c r="P296" s="6" t="str">
        <x:v>Retain canonical and indexation policy pending a live check.</x:v>
      </x:c>
      <x:c r="Q296" s="6" t="str">
        <x:v>Proposed; no website change made</x:v>
      </x:c>
      <x:c r="R296" s="14" t="n">
        <x:v>0</x:v>
      </x:c>
      <x:c r="S296" s="14" t="n">
        <x:v>3</x:v>
      </x:c>
      <x:c r="T296" s="15" t="n">
        <x:v>0</x:v>
      </x:c>
      <x:c r="U296" s="16" t="n">
        <x:v>3</x:v>
      </x:c>
      <x:c r="V296" s="6" t="str">
        <x:v>https://digitecme.com/ar/brands/gmc-service-dubai/ac-repair</x:v>
      </x:c>
      <x:c r="W296" s="6" t="str">
        <x:v>Indexable directive</x:v>
      </x:c>
      <x:c r="X296" s="6" t="n">
        <x:v>8</x:v>
      </x:c>
      <x:c r="Y296" s="6" t="str">
        <x:v>إصلاح التكييف GMC في دبي | ديجي-تك</x:v>
      </x:c>
      <x:c r="Z296" s="6" t="str"/>
      <x:c r="AA296" s="6" t="str">
        <x:v>No / not compared</x:v>
      </x:c>
    </x:row>
    <x:row r="297" ht="42" customHeight="1">
      <x:c r="A297" s="6" t="str">
        <x:v>https://digitecme.com/ar/brands/gmc-service-dubai/brake-repair</x:v>
      </x:c>
      <x:c r="B297" s="6" t="str"/>
      <x:c r="C297" s="6" t="str"/>
      <x:c r="D297" s="6" t="str">
        <x:v>brand-service</x:v>
      </x:c>
      <x:c r="E297" s="6" t="str">
        <x:v>Retain differentiated role</x:v>
      </x:c>
      <x:c r="F297" s="6" t="str">
        <x:v>Local source render; live version unverified</x:v>
      </x:c>
      <x:c r="G297" s="6" t="str">
        <x:v>إصلاح الفرامل GMC في دبي | ديجي-تك</x:v>
      </x:c>
      <x:c r="H297" s="6" t="str">
        <x:v>إصلاح الفرامل GMC في دبي | ديجي-تك</x:v>
      </x:c>
      <x:c r="I297" s="6" t="str">
        <x:v>إصلاح الفرامل GMC في دبي</x:v>
      </x:c>
      <x:c r="J297" s="6" t="str">
        <x:v>إصلاح الفرامل GMC في دبي</x:v>
      </x:c>
      <x:c r="K297" s="6" t="str">
        <x:v>إصلاح الفرامل متخصص لسيارات GMC في دبي مع تشخيص متقدم وقطع مناسبة وتسعير واضح لدى مركز ديجي-تك.</x:v>
      </x:c>
      <x:c r="L297" s="6" t="str">
        <x:v>Retain pending evidence; no specific content edit justified by this export.</x:v>
      </x:c>
      <x:c r="M297" s="6" t="str">
        <x:v>Retain; inspect relevant context before adding links</x:v>
      </x:c>
      <x:c r="N297" s="6" t="str">
        <x:v>Unconfirmed — no query/page pairing</x:v>
      </x:c>
      <x:c r="O297" s="6" t="str">
        <x:v>Retain established booking / WhatsApp / call path; live behaviour untested</x:v>
      </x:c>
      <x:c r="P297" s="6" t="str">
        <x:v>Retain canonical and indexation policy pending a live check.</x:v>
      </x:c>
      <x:c r="Q297" s="6" t="str">
        <x:v>Proposed; no website change made</x:v>
      </x:c>
      <x:c r="R297" s="14" t="n">
        <x:v>0</x:v>
      </x:c>
      <x:c r="S297" s="14" t="n">
        <x:v>1</x:v>
      </x:c>
      <x:c r="T297" s="15" t="n">
        <x:v>0</x:v>
      </x:c>
      <x:c r="U297" s="16" t="n">
        <x:v>6</x:v>
      </x:c>
      <x:c r="V297" s="6" t="str">
        <x:v>https://digitecme.com/ar/brands/gmc-service-dubai/brake-repair</x:v>
      </x:c>
      <x:c r="W297" s="6" t="str">
        <x:v>Indexable directive</x:v>
      </x:c>
      <x:c r="X297" s="6" t="n">
        <x:v>8</x:v>
      </x:c>
      <x:c r="Y297" s="6" t="str">
        <x:v>إصلاح الفرامل GMC في دبي | ديجي-تك</x:v>
      </x:c>
      <x:c r="Z297" s="6" t="str"/>
      <x:c r="AA297" s="6" t="str">
        <x:v>No / not compared</x:v>
      </x:c>
    </x:row>
    <x:row r="298" ht="42" customHeight="1">
      <x:c r="A298" s="6" t="str">
        <x:v>https://digitecme.com/ar/brands/gmc-service-dubai/engine-diagnostics</x:v>
      </x:c>
      <x:c r="B298" s="6" t="str"/>
      <x:c r="C298" s="6" t="str"/>
      <x:c r="D298" s="6" t="str">
        <x:v>brand-service</x:v>
      </x:c>
      <x:c r="E298" s="6" t="str">
        <x:v>Retain differentiated role</x:v>
      </x:c>
      <x:c r="F298" s="6" t="str">
        <x:v>Local source render; live version unverified</x:v>
      </x:c>
      <x:c r="G298" s="6" t="str">
        <x:v>تشخيص المحرك GMC في دبي | ديجي-تك</x:v>
      </x:c>
      <x:c r="H298" s="6" t="str">
        <x:v>تشخيص المحرك GMC في دبي | ديجي-تك</x:v>
      </x:c>
      <x:c r="I298" s="6" t="str">
        <x:v>تشخيص المحرك GMC في دبي</x:v>
      </x:c>
      <x:c r="J298" s="6" t="str">
        <x:v>تشخيص المحرك GMC في دبي</x:v>
      </x:c>
      <x:c r="K298" s="6" t="str">
        <x:v>تشخيص المحرك متخصص لسيارات GMC في دبي مع تشخيص متقدم وقطع مناسبة وتسعير واضح لدى مركز ديجي-تك.</x:v>
      </x:c>
      <x:c r="L298" s="6" t="str">
        <x:v>Retain pending evidence; no specific content edit justified by this export.</x:v>
      </x:c>
      <x:c r="M298" s="6" t="str">
        <x:v>Retain; inspect relevant context before adding links</x:v>
      </x:c>
      <x:c r="N298" s="6" t="str">
        <x:v>Unconfirmed — no query/page pairing</x:v>
      </x:c>
      <x:c r="O298" s="6" t="str">
        <x:v>Retain established booking / WhatsApp / call path; live behaviour untested</x:v>
      </x:c>
      <x:c r="P298" s="6" t="str">
        <x:v>Retain canonical and indexation policy pending a live check.</x:v>
      </x:c>
      <x:c r="Q298" s="6" t="str">
        <x:v>Proposed; no website change made</x:v>
      </x:c>
      <x:c r="R298" s="14"/>
      <x:c r="S298" s="14"/>
      <x:c r="T298" s="15"/>
      <x:c r="U298" s="16"/>
      <x:c r="V298" s="6" t="str">
        <x:v>https://digitecme.com/ar/brands/gmc-service-dubai/engine-diagnostics</x:v>
      </x:c>
      <x:c r="W298" s="6" t="str">
        <x:v>Indexable directive</x:v>
      </x:c>
      <x:c r="X298" s="6" t="n">
        <x:v>8</x:v>
      </x:c>
      <x:c r="Y298" s="6" t="str">
        <x:v>تشخيص المحرك GMC في دبي | ديجي-تك</x:v>
      </x:c>
      <x:c r="Z298" s="6" t="str"/>
      <x:c r="AA298" s="6" t="str">
        <x:v>No / not compared</x:v>
      </x:c>
    </x:row>
    <x:row r="299" ht="42" customHeight="1">
      <x:c r="A299" s="6" t="str">
        <x:v>https://digitecme.com/ar/brands/gmc-service-dubai/oil-change</x:v>
      </x:c>
      <x:c r="B299" s="6" t="str"/>
      <x:c r="C299" s="6" t="str"/>
      <x:c r="D299" s="6" t="str">
        <x:v>brand-service</x:v>
      </x:c>
      <x:c r="E299" s="6" t="str">
        <x:v>Retain differentiated role</x:v>
      </x:c>
      <x:c r="F299" s="6" t="str">
        <x:v>Local source render; live version unverified</x:v>
      </x:c>
      <x:c r="G299" s="6" t="str">
        <x:v>تغيير الزيت GMC في دبي | ديجي-تك</x:v>
      </x:c>
      <x:c r="H299" s="6" t="str">
        <x:v>تغيير الزيت GMC في دبي | ديجي-تك</x:v>
      </x:c>
      <x:c r="I299" s="6" t="str">
        <x:v>تغيير الزيت GMC في دبي</x:v>
      </x:c>
      <x:c r="J299" s="6" t="str">
        <x:v>تغيير الزيت GMC في دبي</x:v>
      </x:c>
      <x:c r="K299" s="6" t="str">
        <x:v>تغيير الزيت متخصص لسيارات GMC في دبي مع تشخيص متقدم وقطع مناسبة وتسعير واضح لدى مركز ديجي-تك.</x:v>
      </x:c>
      <x:c r="L299" s="6" t="str">
        <x:v>Retain pending evidence; no specific content edit justified by this export.</x:v>
      </x:c>
      <x:c r="M299" s="6" t="str">
        <x:v>Retain; inspect relevant context before adding links</x:v>
      </x:c>
      <x:c r="N299" s="6" t="str">
        <x:v>Unconfirmed — no query/page pairing</x:v>
      </x:c>
      <x:c r="O299" s="6" t="str">
        <x:v>Retain established booking / WhatsApp / call path; live behaviour untested</x:v>
      </x:c>
      <x:c r="P299" s="6" t="str">
        <x:v>Retain canonical and indexation policy pending a live check.</x:v>
      </x:c>
      <x:c r="Q299" s="6" t="str">
        <x:v>Proposed; no website change made</x:v>
      </x:c>
      <x:c r="R299" s="14" t="n">
        <x:v>0</x:v>
      </x:c>
      <x:c r="S299" s="14" t="n">
        <x:v>3</x:v>
      </x:c>
      <x:c r="T299" s="15" t="n">
        <x:v>0</x:v>
      </x:c>
      <x:c r="U299" s="16" t="n">
        <x:v>11.33</x:v>
      </x:c>
      <x:c r="V299" s="6" t="str">
        <x:v>https://digitecme.com/ar/brands/gmc-service-dubai/oil-change</x:v>
      </x:c>
      <x:c r="W299" s="6" t="str">
        <x:v>Indexable directive</x:v>
      </x:c>
      <x:c r="X299" s="6" t="n">
        <x:v>8</x:v>
      </x:c>
      <x:c r="Y299" s="6" t="str">
        <x:v>تغيير الزيت GMC في دبي | ديجي-تك</x:v>
      </x:c>
      <x:c r="Z299" s="6" t="str"/>
      <x:c r="AA299" s="6" t="str">
        <x:v>No / not compared</x:v>
      </x:c>
    </x:row>
    <x:row r="300" ht="42" customHeight="1">
      <x:c r="A300" s="6" t="str">
        <x:v>https://digitecme.com/ar/brands/gmc-service-dubai/suspension-repair</x:v>
      </x:c>
      <x:c r="B300" s="6" t="str"/>
      <x:c r="C300" s="6" t="str"/>
      <x:c r="D300" s="6" t="str">
        <x:v>brand-service</x:v>
      </x:c>
      <x:c r="E300" s="6" t="str">
        <x:v>Retain differentiated role</x:v>
      </x:c>
      <x:c r="F300" s="6" t="str">
        <x:v>Local source render; live version unverified</x:v>
      </x:c>
      <x:c r="G300" s="6" t="str">
        <x:v>إصلاح التعليق GMC في دبي | ديجي-تك</x:v>
      </x:c>
      <x:c r="H300" s="6" t="str">
        <x:v>إصلاح التعليق GMC في دبي | ديجي-تك</x:v>
      </x:c>
      <x:c r="I300" s="6" t="str">
        <x:v>إصلاح التعليق GMC في دبي</x:v>
      </x:c>
      <x:c r="J300" s="6" t="str">
        <x:v>إصلاح التعليق GMC في دبي</x:v>
      </x:c>
      <x:c r="K300" s="6" t="str">
        <x:v>إصلاح التعليق متخصص لسيارات GMC في دبي مع تشخيص متقدم وقطع مناسبة وتسعير واضح لدى مركز ديجي-تك.</x:v>
      </x:c>
      <x:c r="L300" s="6" t="str">
        <x:v>Retain pending evidence; no specific content edit justified by this export.</x:v>
      </x:c>
      <x:c r="M300" s="6" t="str">
        <x:v>Retain; inspect relevant context before adding links</x:v>
      </x:c>
      <x:c r="N300" s="6" t="str">
        <x:v>Unconfirmed — no query/page pairing</x:v>
      </x:c>
      <x:c r="O300" s="6" t="str">
        <x:v>Retain established booking / WhatsApp / call path; live behaviour untested</x:v>
      </x:c>
      <x:c r="P300" s="6" t="str">
        <x:v>Retain canonical and indexation policy pending a live check.</x:v>
      </x:c>
      <x:c r="Q300" s="6" t="str">
        <x:v>Proposed; no website change made</x:v>
      </x:c>
      <x:c r="R300" s="14" t="n">
        <x:v>0</x:v>
      </x:c>
      <x:c r="S300" s="14" t="n">
        <x:v>1</x:v>
      </x:c>
      <x:c r="T300" s="15" t="n">
        <x:v>0</x:v>
      </x:c>
      <x:c r="U300" s="16" t="n">
        <x:v>5</x:v>
      </x:c>
      <x:c r="V300" s="6" t="str">
        <x:v>https://digitecme.com/ar/brands/gmc-service-dubai/suspension-repair</x:v>
      </x:c>
      <x:c r="W300" s="6" t="str">
        <x:v>Noindex directive</x:v>
      </x:c>
      <x:c r="X300" s="6" t="n">
        <x:v>8</x:v>
      </x:c>
      <x:c r="Y300" s="6" t="str">
        <x:v>إصلاح التعليق GMC في دبي | ديجي-تك</x:v>
      </x:c>
      <x:c r="Z300" s="6" t="str"/>
      <x:c r="AA300" s="6" t="str">
        <x:v>No / not compared</x:v>
      </x:c>
    </x:row>
    <x:row r="301" ht="42" customHeight="1">
      <x:c r="A301" s="6" t="str">
        <x:v>https://digitecme.com/ar/brands/gmc-service-dubai/transmission-repair</x:v>
      </x:c>
      <x:c r="B301" s="6" t="str"/>
      <x:c r="C301" s="6" t="str"/>
      <x:c r="D301" s="6" t="str">
        <x:v>brand-service</x:v>
      </x:c>
      <x:c r="E301" s="6" t="str">
        <x:v>Retain differentiated role</x:v>
      </x:c>
      <x:c r="F301" s="6" t="str">
        <x:v>Local source render; live version unverified</x:v>
      </x:c>
      <x:c r="G301" s="6" t="str">
        <x:v>إصلاح ناقل الحركة GMC في دبي | ديجي-تك</x:v>
      </x:c>
      <x:c r="H301" s="6" t="str">
        <x:v>إصلاح ناقل الحركة GMC في دبي | ديجي-تك</x:v>
      </x:c>
      <x:c r="I301" s="6" t="str">
        <x:v>إصلاح ناقل الحركة GMC في دبي</x:v>
      </x:c>
      <x:c r="J301" s="6" t="str">
        <x:v>إصلاح ناقل الحركة GMC في دبي</x:v>
      </x:c>
      <x:c r="K301" s="6" t="str">
        <x:v>إصلاح ناقل الحركة متخصص لسيارات GMC في دبي مع تشخيص متقدم وقطع مناسبة وتسعير واضح لدى مركز ديجي-تك.</x:v>
      </x:c>
      <x:c r="L301" s="6" t="str">
        <x:v>Retain pending evidence; no specific content edit justified by this export.</x:v>
      </x:c>
      <x:c r="M301" s="6" t="str">
        <x:v>Retain; inspect relevant context before adding links</x:v>
      </x:c>
      <x:c r="N301" s="6" t="str">
        <x:v>Unconfirmed — no query/page pairing</x:v>
      </x:c>
      <x:c r="O301" s="6" t="str">
        <x:v>Retain established booking / WhatsApp / call path; live behaviour untested</x:v>
      </x:c>
      <x:c r="P301" s="6" t="str">
        <x:v>Retain canonical and indexation policy pending a live check.</x:v>
      </x:c>
      <x:c r="Q301" s="6" t="str">
        <x:v>Proposed; no website change made</x:v>
      </x:c>
      <x:c r="R301" s="14" t="n">
        <x:v>0</x:v>
      </x:c>
      <x:c r="S301" s="14" t="n">
        <x:v>2</x:v>
      </x:c>
      <x:c r="T301" s="15" t="n">
        <x:v>0</x:v>
      </x:c>
      <x:c r="U301" s="16" t="n">
        <x:v>3</x:v>
      </x:c>
      <x:c r="V301" s="6" t="str">
        <x:v>https://digitecme.com/ar/brands/gmc-service-dubai/transmission-repair</x:v>
      </x:c>
      <x:c r="W301" s="6" t="str">
        <x:v>Noindex directive</x:v>
      </x:c>
      <x:c r="X301" s="6" t="n">
        <x:v>8</x:v>
      </x:c>
      <x:c r="Y301" s="6" t="str">
        <x:v>إصلاح ناقل الحركة GMC في دبي | ديجي-تك</x:v>
      </x:c>
      <x:c r="Z301" s="6" t="str"/>
      <x:c r="AA301" s="6" t="str">
        <x:v>No / not compared</x:v>
      </x:c>
    </x:row>
    <x:row r="302" ht="42" customHeight="1">
      <x:c r="A302" s="6" t="str">
        <x:v>https://digitecme.com/ar/brands/hummer-service-dubai</x:v>
      </x:c>
      <x:c r="B302" s="6" t="str"/>
      <x:c r="C302" s="6" t="str"/>
      <x:c r="D302" s="6" t="str">
        <x:v>brand</x:v>
      </x:c>
      <x:c r="E302" s="6" t="str">
        <x:v>Retain differentiated role</x:v>
      </x:c>
      <x:c r="F302" s="6" t="str">
        <x:v>Local source render; live version unverified</x:v>
      </x:c>
      <x:c r="G302" s="6" t="str">
        <x:v>إصلاح وصيانة Hummer في دبي | مركز ديجي-تك</x:v>
      </x:c>
      <x:c r="H302" s="6" t="str">
        <x:v>إصلاح وصيانة Hummer في دبي | مركز ديجي-تك</x:v>
      </x:c>
      <x:c r="I302" s="6" t="str">
        <x:v>Hummer للإصلاح والصيانة في دبي</x:v>
      </x:c>
      <x:c r="J302" s="6" t="str">
        <x:v>Hummer للإصلاح والصيانة في دبي</x:v>
      </x:c>
      <x:c r="K302" s="6" t="str">
        <x:v>إصلاح وصيانة Hummer في دبي: تشخيص وصيانة وفرامل وناقل حركة وتعليق وتكييف مع قطع بالمواصفات المناسبة لدى مركز ديجي-تك.</x:v>
      </x:c>
      <x:c r="L302" s="6" t="str">
        <x:v>Retain pending evidence; no specific content edit justified by this export.</x:v>
      </x:c>
      <x:c r="M302" s="6" t="str">
        <x:v>Retain; inspect relevant context before adding links</x:v>
      </x:c>
      <x:c r="N302" s="6" t="str">
        <x:v>Unconfirmed — no query/page pairing</x:v>
      </x:c>
      <x:c r="O302" s="6" t="str">
        <x:v>Retain established booking / WhatsApp / call path; live behaviour untested</x:v>
      </x:c>
      <x:c r="P302" s="6" t="str">
        <x:v>Retain canonical and indexation policy pending a live check.</x:v>
      </x:c>
      <x:c r="Q302" s="6" t="str">
        <x:v>Proposed; no website change made</x:v>
      </x:c>
      <x:c r="R302" s="14" t="n">
        <x:v>0</x:v>
      </x:c>
      <x:c r="S302" s="14" t="n">
        <x:v>1</x:v>
      </x:c>
      <x:c r="T302" s="15" t="n">
        <x:v>0</x:v>
      </x:c>
      <x:c r="U302" s="16" t="n">
        <x:v>2</x:v>
      </x:c>
      <x:c r="V302" s="6" t="str">
        <x:v>https://digitecme.com/ar/brands/hummer-service-dubai</x:v>
      </x:c>
      <x:c r="W302" s="6" t="str">
        <x:v>Indexable directive</x:v>
      </x:c>
      <x:c r="X302" s="6" t="n">
        <x:v>30</x:v>
      </x:c>
      <x:c r="Y302" s="6" t="str">
        <x:v>إصلاح وصيانة Hummer في دبي | مركز ديجي-تك</x:v>
      </x:c>
      <x:c r="Z302" s="6" t="str"/>
      <x:c r="AA302" s="6" t="str">
        <x:v>No / not compared</x:v>
      </x:c>
    </x:row>
    <x:row r="303" ht="42" customHeight="1">
      <x:c r="A303" s="6" t="str">
        <x:v>https://digitecme.com/ar/brands/hummer-service-dubai/ac-repair</x:v>
      </x:c>
      <x:c r="B303" s="6" t="str"/>
      <x:c r="C303" s="6" t="str"/>
      <x:c r="D303" s="6" t="str">
        <x:v>brand-service</x:v>
      </x:c>
      <x:c r="E303" s="6" t="str">
        <x:v>Retain differentiated role</x:v>
      </x:c>
      <x:c r="F303" s="6" t="str">
        <x:v>Local source render; live version unverified</x:v>
      </x:c>
      <x:c r="G303" s="6" t="str">
        <x:v>إصلاح التكييف Hummer في دبي | ديجي-تك</x:v>
      </x:c>
      <x:c r="H303" s="6" t="str">
        <x:v>إصلاح التكييف Hummer في دبي | ديجي-تك</x:v>
      </x:c>
      <x:c r="I303" s="6" t="str">
        <x:v>إصلاح التكييف Hummer في دبي</x:v>
      </x:c>
      <x:c r="J303" s="6" t="str">
        <x:v>إصلاح التكييف Hummer في دبي</x:v>
      </x:c>
      <x:c r="K303" s="6" t="str">
        <x:v>إصلاح التكييف متخصص لسيارات Hummer في دبي مع تشخيص متقدم وقطع مناسبة وتسعير واضح لدى مركز ديجي-تك.</x:v>
      </x:c>
      <x:c r="L303" s="6" t="str">
        <x:v>Retain pending evidence; no specific content edit justified by this export.</x:v>
      </x:c>
      <x:c r="M303" s="6" t="str">
        <x:v>Retain; inspect relevant context before adding links</x:v>
      </x:c>
      <x:c r="N303" s="6" t="str">
        <x:v>Unconfirmed — no query/page pairing</x:v>
      </x:c>
      <x:c r="O303" s="6" t="str">
        <x:v>Retain established booking / WhatsApp / call path; live behaviour untested</x:v>
      </x:c>
      <x:c r="P303" s="6" t="str">
        <x:v>Retain canonical and indexation policy pending a live check.</x:v>
      </x:c>
      <x:c r="Q303" s="6" t="str">
        <x:v>Proposed; no website change made</x:v>
      </x:c>
      <x:c r="R303" s="14"/>
      <x:c r="S303" s="14"/>
      <x:c r="T303" s="15"/>
      <x:c r="U303" s="16"/>
      <x:c r="V303" s="6" t="str">
        <x:v>https://digitecme.com/ar/brands/hummer-service-dubai/ac-repair</x:v>
      </x:c>
      <x:c r="W303" s="6" t="str">
        <x:v>Indexable directive</x:v>
      </x:c>
      <x:c r="X303" s="6" t="n">
        <x:v>8</x:v>
      </x:c>
      <x:c r="Y303" s="6" t="str">
        <x:v>إصلاح التكييف Hummer في دبي | ديجي-تك</x:v>
      </x:c>
      <x:c r="Z303" s="6" t="str"/>
      <x:c r="AA303" s="6" t="str">
        <x:v>No / not compared</x:v>
      </x:c>
    </x:row>
    <x:row r="304" ht="42" customHeight="1">
      <x:c r="A304" s="6" t="str">
        <x:v>https://digitecme.com/ar/brands/hummer-service-dubai/brake-repair</x:v>
      </x:c>
      <x:c r="B304" s="6" t="str"/>
      <x:c r="C304" s="6" t="str"/>
      <x:c r="D304" s="6" t="str">
        <x:v>brand-service</x:v>
      </x:c>
      <x:c r="E304" s="6" t="str">
        <x:v>Retain differentiated role</x:v>
      </x:c>
      <x:c r="F304" s="6" t="str">
        <x:v>Local source render; live version unverified</x:v>
      </x:c>
      <x:c r="G304" s="6" t="str">
        <x:v>إصلاح الفرامل Hummer في دبي | ديجي-تك</x:v>
      </x:c>
      <x:c r="H304" s="6" t="str">
        <x:v>إصلاح الفرامل Hummer في دبي | ديجي-تك</x:v>
      </x:c>
      <x:c r="I304" s="6" t="str">
        <x:v>إصلاح الفرامل Hummer في دبي</x:v>
      </x:c>
      <x:c r="J304" s="6" t="str">
        <x:v>إصلاح الفرامل Hummer في دبي</x:v>
      </x:c>
      <x:c r="K304" s="6" t="str">
        <x:v>إصلاح الفرامل متخصص لسيارات Hummer في دبي مع تشخيص متقدم وقطع مناسبة وتسعير واضح لدى مركز ديجي-تك.</x:v>
      </x:c>
      <x:c r="L304" s="6" t="str">
        <x:v>Retain pending evidence; no specific content edit justified by this export.</x:v>
      </x:c>
      <x:c r="M304" s="6" t="str">
        <x:v>Retain; inspect relevant context before adding links</x:v>
      </x:c>
      <x:c r="N304" s="6" t="str">
        <x:v>Unconfirmed — no query/page pairing</x:v>
      </x:c>
      <x:c r="O304" s="6" t="str">
        <x:v>Retain established booking / WhatsApp / call path; live behaviour untested</x:v>
      </x:c>
      <x:c r="P304" s="6" t="str">
        <x:v>Retain canonical and indexation policy pending a live check.</x:v>
      </x:c>
      <x:c r="Q304" s="6" t="str">
        <x:v>Proposed; no website change made</x:v>
      </x:c>
      <x:c r="R304" s="14"/>
      <x:c r="S304" s="14"/>
      <x:c r="T304" s="15"/>
      <x:c r="U304" s="16"/>
      <x:c r="V304" s="6" t="str">
        <x:v>https://digitecme.com/ar/brands/hummer-service-dubai/brake-repair</x:v>
      </x:c>
      <x:c r="W304" s="6" t="str">
        <x:v>Indexable directive</x:v>
      </x:c>
      <x:c r="X304" s="6" t="n">
        <x:v>8</x:v>
      </x:c>
      <x:c r="Y304" s="6" t="str">
        <x:v>إصلاح الفرامل Hummer في دبي | ديجي-تك</x:v>
      </x:c>
      <x:c r="Z304" s="6" t="str"/>
      <x:c r="AA304" s="6" t="str">
        <x:v>No / not compared</x:v>
      </x:c>
    </x:row>
    <x:row r="305" ht="42" customHeight="1">
      <x:c r="A305" s="6" t="str">
        <x:v>https://digitecme.com/ar/brands/hummer-service-dubai/engine-diagnostics</x:v>
      </x:c>
      <x:c r="B305" s="6" t="str"/>
      <x:c r="C305" s="6" t="str"/>
      <x:c r="D305" s="6" t="str">
        <x:v>brand-service</x:v>
      </x:c>
      <x:c r="E305" s="6" t="str">
        <x:v>Retain differentiated role</x:v>
      </x:c>
      <x:c r="F305" s="6" t="str">
        <x:v>Local source render; live version unverified</x:v>
      </x:c>
      <x:c r="G305" s="6" t="str">
        <x:v>تشخيص المحرك Hummer في دبي | ديجي-تك</x:v>
      </x:c>
      <x:c r="H305" s="6" t="str">
        <x:v>تشخيص المحرك Hummer في دبي | ديجي-تك</x:v>
      </x:c>
      <x:c r="I305" s="6" t="str">
        <x:v>تشخيص المحرك Hummer في دبي</x:v>
      </x:c>
      <x:c r="J305" s="6" t="str">
        <x:v>تشخيص المحرك Hummer في دبي</x:v>
      </x:c>
      <x:c r="K305" s="6" t="str">
        <x:v>تشخيص المحرك متخصص لسيارات Hummer في دبي مع تشخيص متقدم وقطع مناسبة وتسعير واضح لدى مركز ديجي-تك.</x:v>
      </x:c>
      <x:c r="L305" s="6" t="str">
        <x:v>Retain pending evidence; no specific content edit justified by this export.</x:v>
      </x:c>
      <x:c r="M305" s="6" t="str">
        <x:v>Retain; inspect relevant context before adding links</x:v>
      </x:c>
      <x:c r="N305" s="6" t="str">
        <x:v>Unconfirmed — no query/page pairing</x:v>
      </x:c>
      <x:c r="O305" s="6" t="str">
        <x:v>Retain established booking / WhatsApp / call path; live behaviour untested</x:v>
      </x:c>
      <x:c r="P305" s="6" t="str">
        <x:v>Retain canonical and indexation policy pending a live check.</x:v>
      </x:c>
      <x:c r="Q305" s="6" t="str">
        <x:v>Proposed; no website change made</x:v>
      </x:c>
      <x:c r="R305" s="14"/>
      <x:c r="S305" s="14"/>
      <x:c r="T305" s="15"/>
      <x:c r="U305" s="16"/>
      <x:c r="V305" s="6" t="str">
        <x:v>https://digitecme.com/ar/brands/hummer-service-dubai/engine-diagnostics</x:v>
      </x:c>
      <x:c r="W305" s="6" t="str">
        <x:v>Indexable directive</x:v>
      </x:c>
      <x:c r="X305" s="6" t="n">
        <x:v>8</x:v>
      </x:c>
      <x:c r="Y305" s="6" t="str">
        <x:v>تشخيص المحرك Hummer في دبي | ديجي-تك</x:v>
      </x:c>
      <x:c r="Z305" s="6" t="str"/>
      <x:c r="AA305" s="6" t="str">
        <x:v>No / not compared</x:v>
      </x:c>
    </x:row>
    <x:row r="306" ht="42" customHeight="1">
      <x:c r="A306" s="6" t="str">
        <x:v>https://digitecme.com/ar/brands/hummer-service-dubai/oil-change</x:v>
      </x:c>
      <x:c r="B306" s="6" t="str"/>
      <x:c r="C306" s="6" t="str"/>
      <x:c r="D306" s="6" t="str">
        <x:v>brand-service</x:v>
      </x:c>
      <x:c r="E306" s="6" t="str">
        <x:v>Retain differentiated role</x:v>
      </x:c>
      <x:c r="F306" s="6" t="str">
        <x:v>Local source render; live version unverified</x:v>
      </x:c>
      <x:c r="G306" s="6" t="str">
        <x:v>تغيير الزيت Hummer في دبي | ديجي-تك</x:v>
      </x:c>
      <x:c r="H306" s="6" t="str">
        <x:v>تغيير الزيت Hummer في دبي | ديجي-تك</x:v>
      </x:c>
      <x:c r="I306" s="6" t="str">
        <x:v>تغيير الزيت Hummer في دبي</x:v>
      </x:c>
      <x:c r="J306" s="6" t="str">
        <x:v>تغيير الزيت Hummer في دبي</x:v>
      </x:c>
      <x:c r="K306" s="6" t="str">
        <x:v>تغيير الزيت متخصص لسيارات Hummer في دبي مع تشخيص متقدم وقطع مناسبة وتسعير واضح لدى مركز ديجي-تك.</x:v>
      </x:c>
      <x:c r="L306" s="6" t="str">
        <x:v>Retain pending evidence; no specific content edit justified by this export.</x:v>
      </x:c>
      <x:c r="M306" s="6" t="str">
        <x:v>Retain; inspect relevant context before adding links</x:v>
      </x:c>
      <x:c r="N306" s="6" t="str">
        <x:v>Unconfirmed — no query/page pairing</x:v>
      </x:c>
      <x:c r="O306" s="6" t="str">
        <x:v>Retain established booking / WhatsApp / call path; live behaviour untested</x:v>
      </x:c>
      <x:c r="P306" s="6" t="str">
        <x:v>Retain canonical and indexation policy pending a live check.</x:v>
      </x:c>
      <x:c r="Q306" s="6" t="str">
        <x:v>Proposed; no website change made</x:v>
      </x:c>
      <x:c r="R306" s="14" t="n">
        <x:v>0</x:v>
      </x:c>
      <x:c r="S306" s="14" t="n">
        <x:v>1</x:v>
      </x:c>
      <x:c r="T306" s="15" t="n">
        <x:v>0</x:v>
      </x:c>
      <x:c r="U306" s="16" t="n">
        <x:v>5</x:v>
      </x:c>
      <x:c r="V306" s="6" t="str">
        <x:v>https://digitecme.com/ar/brands/hummer-service-dubai/oil-change</x:v>
      </x:c>
      <x:c r="W306" s="6" t="str">
        <x:v>Indexable directive</x:v>
      </x:c>
      <x:c r="X306" s="6" t="n">
        <x:v>8</x:v>
      </x:c>
      <x:c r="Y306" s="6" t="str">
        <x:v>تغيير الزيت Hummer في دبي | ديجي-تك</x:v>
      </x:c>
      <x:c r="Z306" s="6" t="str"/>
      <x:c r="AA306" s="6" t="str">
        <x:v>No / not compared</x:v>
      </x:c>
    </x:row>
    <x:row r="307" ht="42" customHeight="1">
      <x:c r="A307" s="6" t="str">
        <x:v>https://digitecme.com/ar/brands/hummer-service-dubai/suspension-repair</x:v>
      </x:c>
      <x:c r="B307" s="6" t="str"/>
      <x:c r="C307" s="6" t="str"/>
      <x:c r="D307" s="6" t="str">
        <x:v>brand-service</x:v>
      </x:c>
      <x:c r="E307" s="6" t="str">
        <x:v>Retain differentiated role</x:v>
      </x:c>
      <x:c r="F307" s="6" t="str">
        <x:v>Local source render; live version unverified</x:v>
      </x:c>
      <x:c r="G307" s="6" t="str">
        <x:v>إصلاح التعليق Hummer في دبي | ديجي-تك</x:v>
      </x:c>
      <x:c r="H307" s="6" t="str">
        <x:v>إصلاح التعليق Hummer في دبي | ديجي-تك</x:v>
      </x:c>
      <x:c r="I307" s="6" t="str">
        <x:v>إصلاح التعليق Hummer في دبي</x:v>
      </x:c>
      <x:c r="J307" s="6" t="str">
        <x:v>إصلاح التعليق Hummer في دبي</x:v>
      </x:c>
      <x:c r="K307" s="6" t="str">
        <x:v>إصلاح التعليق متخصص لسيارات Hummer في دبي مع تشخيص متقدم وقطع مناسبة وتسعير واضح لدى مركز ديجي-تك.</x:v>
      </x:c>
      <x:c r="L307" s="6" t="str">
        <x:v>Retain pending evidence; no specific content edit justified by this export.</x:v>
      </x:c>
      <x:c r="M307" s="6" t="str">
        <x:v>Retain; inspect relevant context before adding links</x:v>
      </x:c>
      <x:c r="N307" s="6" t="str">
        <x:v>Unconfirmed — no query/page pairing</x:v>
      </x:c>
      <x:c r="O307" s="6" t="str">
        <x:v>Retain established booking / WhatsApp / call path; live behaviour untested</x:v>
      </x:c>
      <x:c r="P307" s="6" t="str">
        <x:v>Retain canonical and indexation policy pending a live check.</x:v>
      </x:c>
      <x:c r="Q307" s="6" t="str">
        <x:v>Proposed; no website change made</x:v>
      </x:c>
      <x:c r="R307" s="14"/>
      <x:c r="S307" s="14"/>
      <x:c r="T307" s="15"/>
      <x:c r="U307" s="16"/>
      <x:c r="V307" s="6" t="str">
        <x:v>https://digitecme.com/ar/brands/hummer-service-dubai/suspension-repair</x:v>
      </x:c>
      <x:c r="W307" s="6" t="str">
        <x:v>Noindex directive</x:v>
      </x:c>
      <x:c r="X307" s="6" t="n">
        <x:v>8</x:v>
      </x:c>
      <x:c r="Y307" s="6" t="str">
        <x:v>إصلاح التعليق Hummer في دبي | ديجي-تك</x:v>
      </x:c>
      <x:c r="Z307" s="6" t="str"/>
      <x:c r="AA307" s="6" t="str">
        <x:v>No / not compared</x:v>
      </x:c>
    </x:row>
    <x:row r="308" ht="42" customHeight="1">
      <x:c r="A308" s="6" t="str">
        <x:v>https://digitecme.com/ar/brands/hummer-service-dubai/transmission-repair</x:v>
      </x:c>
      <x:c r="B308" s="6" t="str"/>
      <x:c r="C308" s="6" t="str"/>
      <x:c r="D308" s="6" t="str">
        <x:v>brand-service</x:v>
      </x:c>
      <x:c r="E308" s="6" t="str">
        <x:v>Retain differentiated role</x:v>
      </x:c>
      <x:c r="F308" s="6" t="str">
        <x:v>Local source render; live version unverified</x:v>
      </x:c>
      <x:c r="G308" s="6" t="str">
        <x:v>إصلاح ناقل الحركة Hummer في دبي | ديجي-تك</x:v>
      </x:c>
      <x:c r="H308" s="6" t="str">
        <x:v>إصلاح ناقل الحركة Hummer في دبي | ديجي-تك</x:v>
      </x:c>
      <x:c r="I308" s="6" t="str">
        <x:v>إصلاح ناقل الحركة Hummer في دبي</x:v>
      </x:c>
      <x:c r="J308" s="6" t="str">
        <x:v>إصلاح ناقل الحركة Hummer في دبي</x:v>
      </x:c>
      <x:c r="K308" s="6" t="str">
        <x:v>إصلاح ناقل الحركة متخصص لسيارات Hummer في دبي مع تشخيص متقدم وقطع مناسبة وتسعير واضح لدى مركز ديجي-تك.</x:v>
      </x:c>
      <x:c r="L308" s="6" t="str">
        <x:v>Retain pending evidence; no specific content edit justified by this export.</x:v>
      </x:c>
      <x:c r="M308" s="6" t="str">
        <x:v>Retain; inspect relevant context before adding links</x:v>
      </x:c>
      <x:c r="N308" s="6" t="str">
        <x:v>Unconfirmed — no query/page pairing</x:v>
      </x:c>
      <x:c r="O308" s="6" t="str">
        <x:v>Retain established booking / WhatsApp / call path; live behaviour untested</x:v>
      </x:c>
      <x:c r="P308" s="6" t="str">
        <x:v>Retain canonical and indexation policy pending a live check.</x:v>
      </x:c>
      <x:c r="Q308" s="6" t="str">
        <x:v>Proposed; no website change made</x:v>
      </x:c>
      <x:c r="R308" s="14"/>
      <x:c r="S308" s="14"/>
      <x:c r="T308" s="15"/>
      <x:c r="U308" s="16"/>
      <x:c r="V308" s="6" t="str">
        <x:v>https://digitecme.com/ar/brands/hummer-service-dubai/transmission-repair</x:v>
      </x:c>
      <x:c r="W308" s="6" t="str">
        <x:v>Noindex directive</x:v>
      </x:c>
      <x:c r="X308" s="6" t="n">
        <x:v>8</x:v>
      </x:c>
      <x:c r="Y308" s="6" t="str">
        <x:v>إصلاح ناقل الحركة Hummer في دبي | ديجي-تك</x:v>
      </x:c>
      <x:c r="Z308" s="6" t="str"/>
      <x:c r="AA308" s="6" t="str">
        <x:v>No / not compared</x:v>
      </x:c>
    </x:row>
    <x:row r="309" ht="42" customHeight="1">
      <x:c r="A309" s="6" t="str">
        <x:v>https://digitecme.com/ar/brands/infiniti-service-dubai</x:v>
      </x:c>
      <x:c r="B309" s="6" t="str"/>
      <x:c r="C309" s="6" t="str"/>
      <x:c r="D309" s="6" t="str">
        <x:v>brand</x:v>
      </x:c>
      <x:c r="E309" s="6" t="str">
        <x:v>Retain differentiated role</x:v>
      </x:c>
      <x:c r="F309" s="6" t="str">
        <x:v>Local source render; live version unverified</x:v>
      </x:c>
      <x:c r="G309" s="6" t="str">
        <x:v>إصلاح وصيانة Infiniti في دبي | مركز ديجي-تك</x:v>
      </x:c>
      <x:c r="H309" s="6" t="str">
        <x:v>إصلاح وصيانة Infiniti في دبي | مركز ديجي-تك</x:v>
      </x:c>
      <x:c r="I309" s="6" t="str">
        <x:v>Infiniti للإصلاح والصيانة في دبي</x:v>
      </x:c>
      <x:c r="J309" s="6" t="str">
        <x:v>Infiniti للإصلاح والصيانة في دبي</x:v>
      </x:c>
      <x:c r="K309" s="6" t="str">
        <x:v>إصلاح وصيانة Infiniti في دبي: تشخيص وصيانة وفرامل وناقل حركة وتعليق وتكييف مع قطع بالمواصفات المناسبة لدى مركز ديجي-تك.</x:v>
      </x:c>
      <x:c r="L309" s="6" t="str">
        <x:v>Retain pending evidence; no specific content edit justified by this export.</x:v>
      </x:c>
      <x:c r="M309" s="6" t="str">
        <x:v>Retain; inspect relevant context before adding links</x:v>
      </x:c>
      <x:c r="N309" s="6" t="str">
        <x:v>Unconfirmed — no query/page pairing</x:v>
      </x:c>
      <x:c r="O309" s="6" t="str">
        <x:v>Retain established booking / WhatsApp / call path; live behaviour untested</x:v>
      </x:c>
      <x:c r="P309" s="6" t="str">
        <x:v>Retain canonical and indexation policy pending a live check.</x:v>
      </x:c>
      <x:c r="Q309" s="6" t="str">
        <x:v>Proposed; no website change made</x:v>
      </x:c>
      <x:c r="R309" s="14" t="n">
        <x:v>0</x:v>
      </x:c>
      <x:c r="S309" s="14" t="n">
        <x:v>6</x:v>
      </x:c>
      <x:c r="T309" s="15" t="n">
        <x:v>0</x:v>
      </x:c>
      <x:c r="U309" s="16" t="n">
        <x:v>27.17</x:v>
      </x:c>
      <x:c r="V309" s="6" t="str">
        <x:v>https://digitecme.com/ar/brands/infiniti-service-dubai</x:v>
      </x:c>
      <x:c r="W309" s="6" t="str">
        <x:v>Indexable directive</x:v>
      </x:c>
      <x:c r="X309" s="6" t="n">
        <x:v>30</x:v>
      </x:c>
      <x:c r="Y309" s="6" t="str">
        <x:v>إصلاح وصيانة Infiniti في دبي | مركز ديجي-تك</x:v>
      </x:c>
      <x:c r="Z309" s="6" t="str"/>
      <x:c r="AA309" s="6" t="str">
        <x:v>No / not compared</x:v>
      </x:c>
    </x:row>
    <x:row r="310" ht="42" customHeight="1">
      <x:c r="A310" s="6" t="str">
        <x:v>https://digitecme.com/ar/brands/infiniti-service-dubai/ac-repair</x:v>
      </x:c>
      <x:c r="B310" s="6" t="str"/>
      <x:c r="C310" s="6" t="str"/>
      <x:c r="D310" s="6" t="str">
        <x:v>brand-service</x:v>
      </x:c>
      <x:c r="E310" s="6" t="str">
        <x:v>Retain differentiated role</x:v>
      </x:c>
      <x:c r="F310" s="6" t="str">
        <x:v>Local source render; live version unverified</x:v>
      </x:c>
      <x:c r="G310" s="6" t="str">
        <x:v>إصلاح التكييف Infiniti في دبي | ديجي-تك</x:v>
      </x:c>
      <x:c r="H310" s="6" t="str">
        <x:v>إصلاح التكييف Infiniti في دبي | ديجي-تك</x:v>
      </x:c>
      <x:c r="I310" s="6" t="str">
        <x:v>إصلاح التكييف Infiniti في دبي</x:v>
      </x:c>
      <x:c r="J310" s="6" t="str">
        <x:v>إصلاح التكييف Infiniti في دبي</x:v>
      </x:c>
      <x:c r="K310" s="6" t="str">
        <x:v>إصلاح التكييف متخصص لسيارات Infiniti في دبي مع تشخيص متقدم وقطع مناسبة وتسعير واضح لدى مركز ديجي-تك.</x:v>
      </x:c>
      <x:c r="L310" s="6" t="str">
        <x:v>Retain pending evidence; no specific content edit justified by this export.</x:v>
      </x:c>
      <x:c r="M310" s="6" t="str">
        <x:v>Retain; inspect relevant context before adding links</x:v>
      </x:c>
      <x:c r="N310" s="6" t="str">
        <x:v>Unconfirmed — no query/page pairing</x:v>
      </x:c>
      <x:c r="O310" s="6" t="str">
        <x:v>Retain established booking / WhatsApp / call path; live behaviour untested</x:v>
      </x:c>
      <x:c r="P310" s="6" t="str">
        <x:v>Retain canonical and indexation policy pending a live check.</x:v>
      </x:c>
      <x:c r="Q310" s="6" t="str">
        <x:v>Proposed; no website change made</x:v>
      </x:c>
      <x:c r="R310" s="14"/>
      <x:c r="S310" s="14"/>
      <x:c r="T310" s="15"/>
      <x:c r="U310" s="16"/>
      <x:c r="V310" s="6" t="str">
        <x:v>https://digitecme.com/ar/brands/infiniti-service-dubai/ac-repair</x:v>
      </x:c>
      <x:c r="W310" s="6" t="str">
        <x:v>Indexable directive</x:v>
      </x:c>
      <x:c r="X310" s="6" t="n">
        <x:v>8</x:v>
      </x:c>
      <x:c r="Y310" s="6" t="str">
        <x:v>إصلاح التكييف Infiniti في دبي | ديجي-تك</x:v>
      </x:c>
      <x:c r="Z310" s="6" t="str"/>
      <x:c r="AA310" s="6" t="str">
        <x:v>No / not compared</x:v>
      </x:c>
    </x:row>
    <x:row r="311" ht="42" customHeight="1">
      <x:c r="A311" s="6" t="str">
        <x:v>https://digitecme.com/ar/brands/infiniti-service-dubai/brake-repair</x:v>
      </x:c>
      <x:c r="B311" s="6" t="str"/>
      <x:c r="C311" s="6" t="str"/>
      <x:c r="D311" s="6" t="str">
        <x:v>brand-service</x:v>
      </x:c>
      <x:c r="E311" s="6" t="str">
        <x:v>Retain differentiated role</x:v>
      </x:c>
      <x:c r="F311" s="6" t="str">
        <x:v>Local source render; live version unverified</x:v>
      </x:c>
      <x:c r="G311" s="6" t="str">
        <x:v>إصلاح الفرامل Infiniti في دبي | ديجي-تك</x:v>
      </x:c>
      <x:c r="H311" s="6" t="str">
        <x:v>إصلاح الفرامل Infiniti في دبي | ديجي-تك</x:v>
      </x:c>
      <x:c r="I311" s="6" t="str">
        <x:v>إصلاح الفرامل Infiniti في دبي</x:v>
      </x:c>
      <x:c r="J311" s="6" t="str">
        <x:v>إصلاح الفرامل Infiniti في دبي</x:v>
      </x:c>
      <x:c r="K311" s="6" t="str">
        <x:v>إصلاح الفرامل متخصص لسيارات Infiniti في دبي مع تشخيص متقدم وقطع مناسبة وتسعير واضح لدى مركز ديجي-تك.</x:v>
      </x:c>
      <x:c r="L311" s="6" t="str">
        <x:v>Retain pending evidence; no specific content edit justified by this export.</x:v>
      </x:c>
      <x:c r="M311" s="6" t="str">
        <x:v>Retain; inspect relevant context before adding links</x:v>
      </x:c>
      <x:c r="N311" s="6" t="str">
        <x:v>Unconfirmed — no query/page pairing</x:v>
      </x:c>
      <x:c r="O311" s="6" t="str">
        <x:v>Retain established booking / WhatsApp / call path; live behaviour untested</x:v>
      </x:c>
      <x:c r="P311" s="6" t="str">
        <x:v>Retain canonical and indexation policy pending a live check.</x:v>
      </x:c>
      <x:c r="Q311" s="6" t="str">
        <x:v>Proposed; no website change made</x:v>
      </x:c>
      <x:c r="R311" s="14" t="n">
        <x:v>0</x:v>
      </x:c>
      <x:c r="S311" s="14" t="n">
        <x:v>2</x:v>
      </x:c>
      <x:c r="T311" s="15" t="n">
        <x:v>0</x:v>
      </x:c>
      <x:c r="U311" s="16" t="n">
        <x:v>4.5</x:v>
      </x:c>
      <x:c r="V311" s="6" t="str">
        <x:v>https://digitecme.com/ar/brands/infiniti-service-dubai/brake-repair</x:v>
      </x:c>
      <x:c r="W311" s="6" t="str">
        <x:v>Indexable directive</x:v>
      </x:c>
      <x:c r="X311" s="6" t="n">
        <x:v>8</x:v>
      </x:c>
      <x:c r="Y311" s="6" t="str">
        <x:v>إصلاح الفرامل Infiniti في دبي | ديجي-تك</x:v>
      </x:c>
      <x:c r="Z311" s="6" t="str"/>
      <x:c r="AA311" s="6" t="str">
        <x:v>No / not compared</x:v>
      </x:c>
    </x:row>
    <x:row r="312" ht="42" customHeight="1">
      <x:c r="A312" s="6" t="str">
        <x:v>https://digitecme.com/ar/brands/infiniti-service-dubai/engine-diagnostics</x:v>
      </x:c>
      <x:c r="B312" s="6" t="str"/>
      <x:c r="C312" s="6" t="str"/>
      <x:c r="D312" s="6" t="str">
        <x:v>brand-service</x:v>
      </x:c>
      <x:c r="E312" s="6" t="str">
        <x:v>Retain differentiated role</x:v>
      </x:c>
      <x:c r="F312" s="6" t="str">
        <x:v>Local source render; live version unverified</x:v>
      </x:c>
      <x:c r="G312" s="6" t="str">
        <x:v>تشخيص المحرك Infiniti في دبي | ديجي-تك</x:v>
      </x:c>
      <x:c r="H312" s="6" t="str">
        <x:v>تشخيص المحرك Infiniti في دبي | ديجي-تك</x:v>
      </x:c>
      <x:c r="I312" s="6" t="str">
        <x:v>تشخيص المحرك Infiniti في دبي</x:v>
      </x:c>
      <x:c r="J312" s="6" t="str">
        <x:v>تشخيص المحرك Infiniti في دبي</x:v>
      </x:c>
      <x:c r="K312" s="6" t="str">
        <x:v>تشخيص المحرك متخصص لسيارات Infiniti في دبي مع تشخيص متقدم وقطع مناسبة وتسعير واضح لدى مركز ديجي-تك.</x:v>
      </x:c>
      <x:c r="L312" s="6" t="str">
        <x:v>Retain pending evidence; no specific content edit justified by this export.</x:v>
      </x:c>
      <x:c r="M312" s="6" t="str">
        <x:v>Retain; inspect relevant context before adding links</x:v>
      </x:c>
      <x:c r="N312" s="6" t="str">
        <x:v>Unconfirmed — no query/page pairing</x:v>
      </x:c>
      <x:c r="O312" s="6" t="str">
        <x:v>Retain established booking / WhatsApp / call path; live behaviour untested</x:v>
      </x:c>
      <x:c r="P312" s="6" t="str">
        <x:v>Retain canonical and indexation policy pending a live check.</x:v>
      </x:c>
      <x:c r="Q312" s="6" t="str">
        <x:v>Proposed; no website change made</x:v>
      </x:c>
      <x:c r="R312" s="14"/>
      <x:c r="S312" s="14"/>
      <x:c r="T312" s="15"/>
      <x:c r="U312" s="16"/>
      <x:c r="V312" s="6" t="str">
        <x:v>https://digitecme.com/ar/brands/infiniti-service-dubai/engine-diagnostics</x:v>
      </x:c>
      <x:c r="W312" s="6" t="str">
        <x:v>Indexable directive</x:v>
      </x:c>
      <x:c r="X312" s="6" t="n">
        <x:v>8</x:v>
      </x:c>
      <x:c r="Y312" s="6" t="str">
        <x:v>تشخيص المحرك Infiniti في دبي | ديجي-تك</x:v>
      </x:c>
      <x:c r="Z312" s="6" t="str"/>
      <x:c r="AA312" s="6" t="str">
        <x:v>No / not compared</x:v>
      </x:c>
    </x:row>
    <x:row r="313" ht="42" customHeight="1">
      <x:c r="A313" s="6" t="str">
        <x:v>https://digitecme.com/ar/brands/infiniti-service-dubai/oil-change</x:v>
      </x:c>
      <x:c r="B313" s="6" t="str"/>
      <x:c r="C313" s="6" t="str"/>
      <x:c r="D313" s="6" t="str">
        <x:v>brand-service</x:v>
      </x:c>
      <x:c r="E313" s="6" t="str">
        <x:v>Retain differentiated role</x:v>
      </x:c>
      <x:c r="F313" s="6" t="str">
        <x:v>Local source render; live version unverified</x:v>
      </x:c>
      <x:c r="G313" s="6" t="str">
        <x:v>تغيير الزيت Infiniti في دبي | ديجي-تك</x:v>
      </x:c>
      <x:c r="H313" s="6" t="str">
        <x:v>تغيير الزيت Infiniti في دبي | ديجي-تك</x:v>
      </x:c>
      <x:c r="I313" s="6" t="str">
        <x:v>تغيير الزيت Infiniti في دبي</x:v>
      </x:c>
      <x:c r="J313" s="6" t="str">
        <x:v>تغيير الزيت Infiniti في دبي</x:v>
      </x:c>
      <x:c r="K313" s="6" t="str">
        <x:v>تغيير الزيت متخصص لسيارات Infiniti في دبي مع تشخيص متقدم وقطع مناسبة وتسعير واضح لدى مركز ديجي-تك.</x:v>
      </x:c>
      <x:c r="L313" s="6" t="str">
        <x:v>Retain pending evidence; no specific content edit justified by this export.</x:v>
      </x:c>
      <x:c r="M313" s="6" t="str">
        <x:v>Retain; inspect relevant context before adding links</x:v>
      </x:c>
      <x:c r="N313" s="6" t="str">
        <x:v>Unconfirmed — no query/page pairing</x:v>
      </x:c>
      <x:c r="O313" s="6" t="str">
        <x:v>Retain established booking / WhatsApp / call path; live behaviour untested</x:v>
      </x:c>
      <x:c r="P313" s="6" t="str">
        <x:v>Retain canonical and indexation policy pending a live check.</x:v>
      </x:c>
      <x:c r="Q313" s="6" t="str">
        <x:v>Proposed; no website change made</x:v>
      </x:c>
      <x:c r="R313" s="14" t="n">
        <x:v>0</x:v>
      </x:c>
      <x:c r="S313" s="14" t="n">
        <x:v>3</x:v>
      </x:c>
      <x:c r="T313" s="15" t="n">
        <x:v>0</x:v>
      </x:c>
      <x:c r="U313" s="16" t="n">
        <x:v>68.33</x:v>
      </x:c>
      <x:c r="V313" s="6" t="str">
        <x:v>https://digitecme.com/ar/brands/infiniti-service-dubai/oil-change</x:v>
      </x:c>
      <x:c r="W313" s="6" t="str">
        <x:v>Indexable directive</x:v>
      </x:c>
      <x:c r="X313" s="6" t="n">
        <x:v>8</x:v>
      </x:c>
      <x:c r="Y313" s="6" t="str">
        <x:v>تغيير الزيت Infiniti في دبي | ديجي-تك</x:v>
      </x:c>
      <x:c r="Z313" s="6" t="str"/>
      <x:c r="AA313" s="6" t="str">
        <x:v>No / not compared</x:v>
      </x:c>
    </x:row>
    <x:row r="314" ht="42" customHeight="1">
      <x:c r="A314" s="6" t="str">
        <x:v>https://digitecme.com/ar/brands/infiniti-service-dubai/suspension-repair</x:v>
      </x:c>
      <x:c r="B314" s="6" t="str"/>
      <x:c r="C314" s="6" t="str"/>
      <x:c r="D314" s="6" t="str">
        <x:v>brand-service</x:v>
      </x:c>
      <x:c r="E314" s="6" t="str">
        <x:v>Retain differentiated role</x:v>
      </x:c>
      <x:c r="F314" s="6" t="str">
        <x:v>Local source render; live version unverified</x:v>
      </x:c>
      <x:c r="G314" s="6" t="str">
        <x:v>إصلاح التعليق Infiniti في دبي | ديجي-تك</x:v>
      </x:c>
      <x:c r="H314" s="6" t="str">
        <x:v>إصلاح التعليق Infiniti في دبي | ديجي-تك</x:v>
      </x:c>
      <x:c r="I314" s="6" t="str">
        <x:v>إصلاح التعليق Infiniti في دبي</x:v>
      </x:c>
      <x:c r="J314" s="6" t="str">
        <x:v>إصلاح التعليق Infiniti في دبي</x:v>
      </x:c>
      <x:c r="K314" s="6" t="str">
        <x:v>إصلاح التعليق متخصص لسيارات Infiniti في دبي مع تشخيص متقدم وقطع مناسبة وتسعير واضح لدى مركز ديجي-تك.</x:v>
      </x:c>
      <x:c r="L314" s="6" t="str">
        <x:v>Retain pending evidence; no specific content edit justified by this export.</x:v>
      </x:c>
      <x:c r="M314" s="6" t="str">
        <x:v>Retain; inspect relevant context before adding links</x:v>
      </x:c>
      <x:c r="N314" s="6" t="str">
        <x:v>Unconfirmed — no query/page pairing</x:v>
      </x:c>
      <x:c r="O314" s="6" t="str">
        <x:v>Retain established booking / WhatsApp / call path; live behaviour untested</x:v>
      </x:c>
      <x:c r="P314" s="6" t="str">
        <x:v>Retain canonical and indexation policy pending a live check.</x:v>
      </x:c>
      <x:c r="Q314" s="6" t="str">
        <x:v>Proposed; no website change made</x:v>
      </x:c>
      <x:c r="R314" s="14"/>
      <x:c r="S314" s="14"/>
      <x:c r="T314" s="15"/>
      <x:c r="U314" s="16"/>
      <x:c r="V314" s="6" t="str">
        <x:v>https://digitecme.com/ar/brands/infiniti-service-dubai/suspension-repair</x:v>
      </x:c>
      <x:c r="W314" s="6" t="str">
        <x:v>Noindex directive</x:v>
      </x:c>
      <x:c r="X314" s="6" t="n">
        <x:v>8</x:v>
      </x:c>
      <x:c r="Y314" s="6" t="str">
        <x:v>إصلاح التعليق Infiniti في دبي | ديجي-تك</x:v>
      </x:c>
      <x:c r="Z314" s="6" t="str"/>
      <x:c r="AA314" s="6" t="str">
        <x:v>No / not compared</x:v>
      </x:c>
    </x:row>
    <x:row r="315" ht="42" customHeight="1">
      <x:c r="A315" s="6" t="str">
        <x:v>https://digitecme.com/ar/brands/infiniti-service-dubai/transmission-repair</x:v>
      </x:c>
      <x:c r="B315" s="6" t="str"/>
      <x:c r="C315" s="6" t="str"/>
      <x:c r="D315" s="6" t="str">
        <x:v>brand-service</x:v>
      </x:c>
      <x:c r="E315" s="6" t="str">
        <x:v>Retain differentiated role</x:v>
      </x:c>
      <x:c r="F315" s="6" t="str">
        <x:v>Local source render; live version unverified</x:v>
      </x:c>
      <x:c r="G315" s="6" t="str">
        <x:v>إصلاح ناقل الحركة Infiniti في دبي | ديجي-تك</x:v>
      </x:c>
      <x:c r="H315" s="6" t="str">
        <x:v>إصلاح ناقل الحركة Infiniti في دبي | ديجي-تك</x:v>
      </x:c>
      <x:c r="I315" s="6" t="str">
        <x:v>إصلاح ناقل الحركة Infiniti في دبي</x:v>
      </x:c>
      <x:c r="J315" s="6" t="str">
        <x:v>إصلاح ناقل الحركة Infiniti في دبي</x:v>
      </x:c>
      <x:c r="K315" s="6" t="str">
        <x:v>إصلاح ناقل الحركة متخصص لسيارات Infiniti في دبي مع تشخيص متقدم وقطع مناسبة وتسعير واضح لدى مركز ديجي-تك.</x:v>
      </x:c>
      <x:c r="L315" s="6" t="str">
        <x:v>Retain pending evidence; no specific content edit justified by this export.</x:v>
      </x:c>
      <x:c r="M315" s="6" t="str">
        <x:v>Retain; inspect relevant context before adding links</x:v>
      </x:c>
      <x:c r="N315" s="6" t="str">
        <x:v>Unconfirmed — no query/page pairing</x:v>
      </x:c>
      <x:c r="O315" s="6" t="str">
        <x:v>Retain established booking / WhatsApp / call path; live behaviour untested</x:v>
      </x:c>
      <x:c r="P315" s="6" t="str">
        <x:v>Retain canonical and indexation policy pending a live check.</x:v>
      </x:c>
      <x:c r="Q315" s="6" t="str">
        <x:v>Proposed; no website change made</x:v>
      </x:c>
      <x:c r="R315" s="14"/>
      <x:c r="S315" s="14"/>
      <x:c r="T315" s="15"/>
      <x:c r="U315" s="16"/>
      <x:c r="V315" s="6" t="str">
        <x:v>https://digitecme.com/ar/brands/infiniti-service-dubai/transmission-repair</x:v>
      </x:c>
      <x:c r="W315" s="6" t="str">
        <x:v>Noindex directive</x:v>
      </x:c>
      <x:c r="X315" s="6" t="n">
        <x:v>8</x:v>
      </x:c>
      <x:c r="Y315" s="6" t="str">
        <x:v>إصلاح ناقل الحركة Infiniti في دبي | ديجي-تك</x:v>
      </x:c>
      <x:c r="Z315" s="6" t="str"/>
      <x:c r="AA315" s="6" t="str">
        <x:v>No / not compared</x:v>
      </x:c>
    </x:row>
    <x:row r="316" ht="42" customHeight="1">
      <x:c r="A316" s="6" t="str">
        <x:v>https://digitecme.com/ar/brands/jaguar-service-dubai</x:v>
      </x:c>
      <x:c r="B316" s="6" t="str"/>
      <x:c r="C316" s="6" t="str"/>
      <x:c r="D316" s="6" t="str">
        <x:v>brand</x:v>
      </x:c>
      <x:c r="E316" s="6" t="str">
        <x:v>Retain differentiated role</x:v>
      </x:c>
      <x:c r="F316" s="6" t="str">
        <x:v>Local source render; live version unverified</x:v>
      </x:c>
      <x:c r="G316" s="6" t="str">
        <x:v>إصلاح وصيانة Jaguar في دبي | مركز ديجي-تك</x:v>
      </x:c>
      <x:c r="H316" s="6" t="str">
        <x:v>إصلاح وصيانة Jaguar في دبي | مركز ديجي-تك</x:v>
      </x:c>
      <x:c r="I316" s="6" t="str">
        <x:v>Jaguar للإصلاح والصيانة في دبي</x:v>
      </x:c>
      <x:c r="J316" s="6" t="str">
        <x:v>Jaguar للإصلاح والصيانة في دبي</x:v>
      </x:c>
      <x:c r="K316" s="6" t="str">
        <x:v>إصلاح وصيانة Jaguar في دبي: تشخيص وصيانة وفرامل وناقل حركة وتعليق وتكييف مع قطع بالمواصفات المناسبة لدى مركز ديجي-تك.</x:v>
      </x:c>
      <x:c r="L316" s="6" t="str">
        <x:v>Retain pending evidence; no specific content edit justified by this export.</x:v>
      </x:c>
      <x:c r="M316" s="6" t="str">
        <x:v>Retain; inspect relevant context before adding links</x:v>
      </x:c>
      <x:c r="N316" s="6" t="str">
        <x:v>Unconfirmed — no query/page pairing</x:v>
      </x:c>
      <x:c r="O316" s="6" t="str">
        <x:v>Retain established booking / WhatsApp / call path; live behaviour untested</x:v>
      </x:c>
      <x:c r="P316" s="6" t="str">
        <x:v>Retain canonical and indexation policy pending a live check.</x:v>
      </x:c>
      <x:c r="Q316" s="6" t="str">
        <x:v>Proposed; no website change made</x:v>
      </x:c>
      <x:c r="R316" s="14" t="n">
        <x:v>0</x:v>
      </x:c>
      <x:c r="S316" s="14" t="n">
        <x:v>15</x:v>
      </x:c>
      <x:c r="T316" s="15" t="n">
        <x:v>0</x:v>
      </x:c>
      <x:c r="U316" s="16" t="n">
        <x:v>26.93</x:v>
      </x:c>
      <x:c r="V316" s="6" t="str">
        <x:v>https://digitecme.com/ar/brands/jaguar-service-dubai</x:v>
      </x:c>
      <x:c r="W316" s="6" t="str">
        <x:v>Indexable directive</x:v>
      </x:c>
      <x:c r="X316" s="6" t="n">
        <x:v>30</x:v>
      </x:c>
      <x:c r="Y316" s="6" t="str">
        <x:v>إصلاح وصيانة Jaguar في دبي | مركز ديجي-تك</x:v>
      </x:c>
      <x:c r="Z316" s="6" t="str"/>
      <x:c r="AA316" s="6" t="str">
        <x:v>No / not compared</x:v>
      </x:c>
    </x:row>
    <x:row r="317" ht="42" customHeight="1">
      <x:c r="A317" s="6" t="str">
        <x:v>https://digitecme.com/ar/brands/jaguar-service-dubai/ac-repair</x:v>
      </x:c>
      <x:c r="B317" s="6" t="str"/>
      <x:c r="C317" s="6" t="str"/>
      <x:c r="D317" s="6" t="str">
        <x:v>brand-service</x:v>
      </x:c>
      <x:c r="E317" s="6" t="str">
        <x:v>Retain differentiated role</x:v>
      </x:c>
      <x:c r="F317" s="6" t="str">
        <x:v>Local source render; live version unverified</x:v>
      </x:c>
      <x:c r="G317" s="6" t="str">
        <x:v>إصلاح التكييف Jaguar في دبي | ديجي-تك</x:v>
      </x:c>
      <x:c r="H317" s="6" t="str">
        <x:v>إصلاح التكييف Jaguar في دبي | ديجي-تك</x:v>
      </x:c>
      <x:c r="I317" s="6" t="str">
        <x:v>إصلاح التكييف Jaguar في دبي</x:v>
      </x:c>
      <x:c r="J317" s="6" t="str">
        <x:v>إصلاح التكييف Jaguar في دبي</x:v>
      </x:c>
      <x:c r="K317" s="6" t="str">
        <x:v>إصلاح التكييف متخصص لسيارات Jaguar في دبي مع تشخيص متقدم وقطع مناسبة وتسعير واضح لدى مركز ديجي-تك.</x:v>
      </x:c>
      <x:c r="L317" s="6" t="str">
        <x:v>Retain pending evidence; no specific content edit justified by this export.</x:v>
      </x:c>
      <x:c r="M317" s="6" t="str">
        <x:v>Retain; inspect relevant context before adding links</x:v>
      </x:c>
      <x:c r="N317" s="6" t="str">
        <x:v>Unconfirmed — no query/page pairing</x:v>
      </x:c>
      <x:c r="O317" s="6" t="str">
        <x:v>Retain established booking / WhatsApp / call path; live behaviour untested</x:v>
      </x:c>
      <x:c r="P317" s="6" t="str">
        <x:v>Retain canonical and indexation policy pending a live check.</x:v>
      </x:c>
      <x:c r="Q317" s="6" t="str">
        <x:v>Proposed; no website change made</x:v>
      </x:c>
      <x:c r="R317" s="14"/>
      <x:c r="S317" s="14"/>
      <x:c r="T317" s="15"/>
      <x:c r="U317" s="16"/>
      <x:c r="V317" s="6" t="str">
        <x:v>https://digitecme.com/ar/brands/jaguar-service-dubai/ac-repair</x:v>
      </x:c>
      <x:c r="W317" s="6" t="str">
        <x:v>Indexable directive</x:v>
      </x:c>
      <x:c r="X317" s="6" t="n">
        <x:v>8</x:v>
      </x:c>
      <x:c r="Y317" s="6" t="str">
        <x:v>إصلاح التكييف Jaguar في دبي | ديجي-تك</x:v>
      </x:c>
      <x:c r="Z317" s="6" t="str"/>
      <x:c r="AA317" s="6" t="str">
        <x:v>No / not compared</x:v>
      </x:c>
    </x:row>
    <x:row r="318" ht="42" customHeight="1">
      <x:c r="A318" s="6" t="str">
        <x:v>https://digitecme.com/ar/brands/jaguar-service-dubai/brake-repair</x:v>
      </x:c>
      <x:c r="B318" s="6" t="str"/>
      <x:c r="C318" s="6" t="str"/>
      <x:c r="D318" s="6" t="str">
        <x:v>brand-service</x:v>
      </x:c>
      <x:c r="E318" s="6" t="str">
        <x:v>Retain differentiated role</x:v>
      </x:c>
      <x:c r="F318" s="6" t="str">
        <x:v>Local source render; live version unverified</x:v>
      </x:c>
      <x:c r="G318" s="6" t="str">
        <x:v>إصلاح الفرامل Jaguar في دبي | ديجي-تك</x:v>
      </x:c>
      <x:c r="H318" s="6" t="str">
        <x:v>إصلاح الفرامل Jaguar في دبي | ديجي-تك</x:v>
      </x:c>
      <x:c r="I318" s="6" t="str">
        <x:v>إصلاح الفرامل Jaguar في دبي</x:v>
      </x:c>
      <x:c r="J318" s="6" t="str">
        <x:v>إصلاح الفرامل Jaguar في دبي</x:v>
      </x:c>
      <x:c r="K318" s="6" t="str">
        <x:v>إصلاح الفرامل متخصص لسيارات Jaguar في دبي مع تشخيص متقدم وقطع مناسبة وتسعير واضح لدى مركز ديجي-تك.</x:v>
      </x:c>
      <x:c r="L318" s="6" t="str">
        <x:v>Retain pending evidence; no specific content edit justified by this export.</x:v>
      </x:c>
      <x:c r="M318" s="6" t="str">
        <x:v>Retain; inspect relevant context before adding links</x:v>
      </x:c>
      <x:c r="N318" s="6" t="str">
        <x:v>Unconfirmed — no query/page pairing</x:v>
      </x:c>
      <x:c r="O318" s="6" t="str">
        <x:v>Retain established booking / WhatsApp / call path; live behaviour untested</x:v>
      </x:c>
      <x:c r="P318" s="6" t="str">
        <x:v>Retain canonical and indexation policy pending a live check.</x:v>
      </x:c>
      <x:c r="Q318" s="6" t="str">
        <x:v>Proposed; no website change made</x:v>
      </x:c>
      <x:c r="R318" s="14"/>
      <x:c r="S318" s="14"/>
      <x:c r="T318" s="15"/>
      <x:c r="U318" s="16"/>
      <x:c r="V318" s="6" t="str">
        <x:v>https://digitecme.com/ar/brands/jaguar-service-dubai/brake-repair</x:v>
      </x:c>
      <x:c r="W318" s="6" t="str">
        <x:v>Indexable directive</x:v>
      </x:c>
      <x:c r="X318" s="6" t="n">
        <x:v>8</x:v>
      </x:c>
      <x:c r="Y318" s="6" t="str">
        <x:v>إصلاح الفرامل Jaguar في دبي | ديجي-تك</x:v>
      </x:c>
      <x:c r="Z318" s="6" t="str"/>
      <x:c r="AA318" s="6" t="str">
        <x:v>No / not compared</x:v>
      </x:c>
    </x:row>
    <x:row r="319" ht="42" customHeight="1">
      <x:c r="A319" s="6" t="str">
        <x:v>https://digitecme.com/ar/brands/jaguar-service-dubai/engine-diagnostics</x:v>
      </x:c>
      <x:c r="B319" s="6" t="str"/>
      <x:c r="C319" s="6" t="str"/>
      <x:c r="D319" s="6" t="str">
        <x:v>brand-service</x:v>
      </x:c>
      <x:c r="E319" s="6" t="str">
        <x:v>Retain differentiated role</x:v>
      </x:c>
      <x:c r="F319" s="6" t="str">
        <x:v>Local source render; live version unverified</x:v>
      </x:c>
      <x:c r="G319" s="6" t="str">
        <x:v>تشخيص المحرك Jaguar في دبي | ديجي-تك</x:v>
      </x:c>
      <x:c r="H319" s="6" t="str">
        <x:v>تشخيص المحرك Jaguar في دبي | ديجي-تك</x:v>
      </x:c>
      <x:c r="I319" s="6" t="str">
        <x:v>تشخيص المحرك Jaguar في دبي</x:v>
      </x:c>
      <x:c r="J319" s="6" t="str">
        <x:v>تشخيص المحرك Jaguar في دبي</x:v>
      </x:c>
      <x:c r="K319" s="6" t="str">
        <x:v>تشخيص المحرك متخصص لسيارات Jaguar في دبي مع تشخيص متقدم وقطع مناسبة وتسعير واضح لدى مركز ديجي-تك.</x:v>
      </x:c>
      <x:c r="L319" s="6" t="str">
        <x:v>Retain pending evidence; no specific content edit justified by this export.</x:v>
      </x:c>
      <x:c r="M319" s="6" t="str">
        <x:v>Retain; inspect relevant context before adding links</x:v>
      </x:c>
      <x:c r="N319" s="6" t="str">
        <x:v>Unconfirmed — no query/page pairing</x:v>
      </x:c>
      <x:c r="O319" s="6" t="str">
        <x:v>Retain established booking / WhatsApp / call path; live behaviour untested</x:v>
      </x:c>
      <x:c r="P319" s="6" t="str">
        <x:v>Retain canonical and indexation policy pending a live check.</x:v>
      </x:c>
      <x:c r="Q319" s="6" t="str">
        <x:v>Proposed; no website change made</x:v>
      </x:c>
      <x:c r="R319" s="14" t="n">
        <x:v>0</x:v>
      </x:c>
      <x:c r="S319" s="14" t="n">
        <x:v>1</x:v>
      </x:c>
      <x:c r="T319" s="15" t="n">
        <x:v>0</x:v>
      </x:c>
      <x:c r="U319" s="16" t="n">
        <x:v>3</x:v>
      </x:c>
      <x:c r="V319" s="6" t="str">
        <x:v>https://digitecme.com/ar/brands/jaguar-service-dubai/engine-diagnostics</x:v>
      </x:c>
      <x:c r="W319" s="6" t="str">
        <x:v>Indexable directive</x:v>
      </x:c>
      <x:c r="X319" s="6" t="n">
        <x:v>8</x:v>
      </x:c>
      <x:c r="Y319" s="6" t="str">
        <x:v>تشخيص المحرك Jaguar في دبي | ديجي-تك</x:v>
      </x:c>
      <x:c r="Z319" s="6" t="str"/>
      <x:c r="AA319" s="6" t="str">
        <x:v>No / not compared</x:v>
      </x:c>
    </x:row>
    <x:row r="320" ht="42" customHeight="1">
      <x:c r="A320" s="6" t="str">
        <x:v>https://digitecme.com/ar/brands/jaguar-service-dubai/oil-change</x:v>
      </x:c>
      <x:c r="B320" s="6" t="str"/>
      <x:c r="C320" s="6" t="str"/>
      <x:c r="D320" s="6" t="str">
        <x:v>brand-service</x:v>
      </x:c>
      <x:c r="E320" s="6" t="str">
        <x:v>Retain differentiated role</x:v>
      </x:c>
      <x:c r="F320" s="6" t="str">
        <x:v>Local source render; live version unverified</x:v>
      </x:c>
      <x:c r="G320" s="6" t="str">
        <x:v>تغيير الزيت Jaguar في دبي | ديجي-تك</x:v>
      </x:c>
      <x:c r="H320" s="6" t="str">
        <x:v>تغيير الزيت Jaguar في دبي | ديجي-تك</x:v>
      </x:c>
      <x:c r="I320" s="6" t="str">
        <x:v>تغيير الزيت Jaguar في دبي</x:v>
      </x:c>
      <x:c r="J320" s="6" t="str">
        <x:v>تغيير الزيت Jaguar في دبي</x:v>
      </x:c>
      <x:c r="K320" s="6" t="str">
        <x:v>تغيير الزيت متخصص لسيارات Jaguar في دبي مع تشخيص متقدم وقطع مناسبة وتسعير واضح لدى مركز ديجي-تك.</x:v>
      </x:c>
      <x:c r="L320" s="6" t="str">
        <x:v>Retain pending evidence; no specific content edit justified by this export.</x:v>
      </x:c>
      <x:c r="M320" s="6" t="str">
        <x:v>Retain; inspect relevant context before adding links</x:v>
      </x:c>
      <x:c r="N320" s="6" t="str">
        <x:v>Unconfirmed — no query/page pairing</x:v>
      </x:c>
      <x:c r="O320" s="6" t="str">
        <x:v>Retain established booking / WhatsApp / call path; live behaviour untested</x:v>
      </x:c>
      <x:c r="P320" s="6" t="str">
        <x:v>Retain canonical and indexation policy pending a live check.</x:v>
      </x:c>
      <x:c r="Q320" s="6" t="str">
        <x:v>Proposed; no website change made</x:v>
      </x:c>
      <x:c r="R320" s="14"/>
      <x:c r="S320" s="14"/>
      <x:c r="T320" s="15"/>
      <x:c r="U320" s="16"/>
      <x:c r="V320" s="6" t="str">
        <x:v>https://digitecme.com/ar/brands/jaguar-service-dubai/oil-change</x:v>
      </x:c>
      <x:c r="W320" s="6" t="str">
        <x:v>Indexable directive</x:v>
      </x:c>
      <x:c r="X320" s="6" t="n">
        <x:v>8</x:v>
      </x:c>
      <x:c r="Y320" s="6" t="str">
        <x:v>تغيير الزيت Jaguar في دبي | ديجي-تك</x:v>
      </x:c>
      <x:c r="Z320" s="6" t="str"/>
      <x:c r="AA320" s="6" t="str">
        <x:v>No / not compared</x:v>
      </x:c>
    </x:row>
    <x:row r="321" ht="42" customHeight="1">
      <x:c r="A321" s="6" t="str">
        <x:v>https://digitecme.com/ar/brands/jaguar-service-dubai/suspension-repair</x:v>
      </x:c>
      <x:c r="B321" s="6" t="str"/>
      <x:c r="C321" s="6" t="str"/>
      <x:c r="D321" s="6" t="str">
        <x:v>brand-service</x:v>
      </x:c>
      <x:c r="E321" s="6" t="str">
        <x:v>Retain differentiated role</x:v>
      </x:c>
      <x:c r="F321" s="6" t="str">
        <x:v>Local source render; live version unverified</x:v>
      </x:c>
      <x:c r="G321" s="6" t="str">
        <x:v>إصلاح التعليق Jaguar في دبي | ديجي-تك</x:v>
      </x:c>
      <x:c r="H321" s="6" t="str">
        <x:v>إصلاح التعليق Jaguar في دبي | ديجي-تك</x:v>
      </x:c>
      <x:c r="I321" s="6" t="str">
        <x:v>إصلاح التعليق Jaguar في دبي</x:v>
      </x:c>
      <x:c r="J321" s="6" t="str">
        <x:v>إصلاح التعليق Jaguar في دبي</x:v>
      </x:c>
      <x:c r="K321" s="6" t="str">
        <x:v>إصلاح التعليق متخصص لسيارات Jaguar في دبي مع تشخيص متقدم وقطع مناسبة وتسعير واضح لدى مركز ديجي-تك.</x:v>
      </x:c>
      <x:c r="L321" s="6" t="str">
        <x:v>Retain pending evidence; no specific content edit justified by this export.</x:v>
      </x:c>
      <x:c r="M321" s="6" t="str">
        <x:v>Retain; inspect relevant context before adding links</x:v>
      </x:c>
      <x:c r="N321" s="6" t="str">
        <x:v>Unconfirmed — no query/page pairing</x:v>
      </x:c>
      <x:c r="O321" s="6" t="str">
        <x:v>Retain established booking / WhatsApp / call path; live behaviour untested</x:v>
      </x:c>
      <x:c r="P321" s="6" t="str">
        <x:v>Retain canonical and indexation policy pending a live check.</x:v>
      </x:c>
      <x:c r="Q321" s="6" t="str">
        <x:v>Proposed; no website change made</x:v>
      </x:c>
      <x:c r="R321" s="14"/>
      <x:c r="S321" s="14"/>
      <x:c r="T321" s="15"/>
      <x:c r="U321" s="16"/>
      <x:c r="V321" s="6" t="str">
        <x:v>https://digitecme.com/ar/brands/jaguar-service-dubai/suspension-repair</x:v>
      </x:c>
      <x:c r="W321" s="6" t="str">
        <x:v>Noindex directive</x:v>
      </x:c>
      <x:c r="X321" s="6" t="n">
        <x:v>8</x:v>
      </x:c>
      <x:c r="Y321" s="6" t="str">
        <x:v>إصلاح التعليق Jaguar في دبي | ديجي-تك</x:v>
      </x:c>
      <x:c r="Z321" s="6" t="str"/>
      <x:c r="AA321" s="6" t="str">
        <x:v>No / not compared</x:v>
      </x:c>
    </x:row>
    <x:row r="322" ht="42" customHeight="1">
      <x:c r="A322" s="6" t="str">
        <x:v>https://digitecme.com/ar/brands/jaguar-service-dubai/transmission-repair</x:v>
      </x:c>
      <x:c r="B322" s="6" t="str"/>
      <x:c r="C322" s="6" t="str"/>
      <x:c r="D322" s="6" t="str">
        <x:v>brand-service</x:v>
      </x:c>
      <x:c r="E322" s="6" t="str">
        <x:v>Retain differentiated role</x:v>
      </x:c>
      <x:c r="F322" s="6" t="str">
        <x:v>Local source render; live version unverified</x:v>
      </x:c>
      <x:c r="G322" s="6" t="str">
        <x:v>إصلاح ناقل الحركة Jaguar في دبي | ديجي-تك</x:v>
      </x:c>
      <x:c r="H322" s="6" t="str">
        <x:v>إصلاح ناقل الحركة Jaguar في دبي | ديجي-تك</x:v>
      </x:c>
      <x:c r="I322" s="6" t="str">
        <x:v>إصلاح ناقل الحركة Jaguar في دبي</x:v>
      </x:c>
      <x:c r="J322" s="6" t="str">
        <x:v>إصلاح ناقل الحركة Jaguar في دبي</x:v>
      </x:c>
      <x:c r="K322" s="6" t="str">
        <x:v>إصلاح ناقل الحركة متخصص لسيارات Jaguar في دبي مع تشخيص متقدم وقطع مناسبة وتسعير واضح لدى مركز ديجي-تك.</x:v>
      </x:c>
      <x:c r="L322" s="6" t="str">
        <x:v>Retain pending evidence; no specific content edit justified by this export.</x:v>
      </x:c>
      <x:c r="M322" s="6" t="str">
        <x:v>Retain; inspect relevant context before adding links</x:v>
      </x:c>
      <x:c r="N322" s="6" t="str">
        <x:v>Unconfirmed — no query/page pairing</x:v>
      </x:c>
      <x:c r="O322" s="6" t="str">
        <x:v>Retain established booking / WhatsApp / call path; live behaviour untested</x:v>
      </x:c>
      <x:c r="P322" s="6" t="str">
        <x:v>Retain canonical and indexation policy pending a live check.</x:v>
      </x:c>
      <x:c r="Q322" s="6" t="str">
        <x:v>Proposed; no website change made</x:v>
      </x:c>
      <x:c r="R322" s="14"/>
      <x:c r="S322" s="14"/>
      <x:c r="T322" s="15"/>
      <x:c r="U322" s="16"/>
      <x:c r="V322" s="6" t="str">
        <x:v>https://digitecme.com/ar/brands/jaguar-service-dubai/transmission-repair</x:v>
      </x:c>
      <x:c r="W322" s="6" t="str">
        <x:v>Noindex directive</x:v>
      </x:c>
      <x:c r="X322" s="6" t="n">
        <x:v>8</x:v>
      </x:c>
      <x:c r="Y322" s="6" t="str">
        <x:v>إصلاح ناقل الحركة Jaguar في دبي | ديجي-تك</x:v>
      </x:c>
      <x:c r="Z322" s="6" t="str"/>
      <x:c r="AA322" s="6" t="str">
        <x:v>No / not compared</x:v>
      </x:c>
    </x:row>
    <x:row r="323" ht="42" customHeight="1">
      <x:c r="A323" s="6" t="str">
        <x:v>https://digitecme.com/ar/brands/jeep-service-dubai</x:v>
      </x:c>
      <x:c r="B323" s="6" t="str">
        <x:v>تصليح جيب في الامارات</x:v>
      </x:c>
      <x:c r="C323" s="6" t="str">
        <x:v>jeep: Service and repair (Arabic)</x:v>
      </x:c>
      <x:c r="D323" s="6" t="str">
        <x:v>brand</x:v>
      </x:c>
      <x:c r="E323" s="6" t="str">
        <x:v>Primary owner for assigned intent</x:v>
      </x:c>
      <x:c r="F323" s="6" t="str">
        <x:v>Local source render; live version unverified</x:v>
      </x:c>
      <x:c r="G323" s="6" t="str">
        <x:v>إصلاح وصيانة Jeep في دبي | مركز ديجي-تك</x:v>
      </x:c>
      <x:c r="H323" s="6" t="str">
        <x:v>إصلاح وصيانة Jeep في دبي | مركز ديجي-تك</x:v>
      </x:c>
      <x:c r="I323" s="6" t="str">
        <x:v>Jeep للإصلاح والصيانة في دبي</x:v>
      </x:c>
      <x:c r="J323" s="6" t="str">
        <x:v>Jeep للإصلاح والصيانة في دبي</x:v>
      </x:c>
      <x:c r="K323" s="6" t="str">
        <x:v>إصلاح وصيانة Jeep في دبي: تشخيص وصيانة وفرامل وناقل حركة وتعليق وتكييف مع قطع بالمواصفات المناسبة لدى مركز ديجي-تك.</x:v>
      </x:c>
      <x:c r="L323" s="6" t="str">
        <x:v>Retain pending evidence; no specific content edit justified by this export.</x:v>
      </x:c>
      <x:c r="M323" s="6" t="str">
        <x:v>Retain; inspect relevant context before adding links</x:v>
      </x:c>
      <x:c r="N323" s="6" t="str">
        <x:v>Unconfirmed — no query/page pairing</x:v>
      </x:c>
      <x:c r="O323" s="6" t="str">
        <x:v>Retain established booking / WhatsApp / call path; live behaviour untested</x:v>
      </x:c>
      <x:c r="P323" s="6" t="str">
        <x:v>Retain canonical and indexation policy pending a live check.</x:v>
      </x:c>
      <x:c r="Q323" s="6" t="str">
        <x:v>Proposed; no website change made</x:v>
      </x:c>
      <x:c r="R323" s="14" t="n">
        <x:v>0</x:v>
      </x:c>
      <x:c r="S323" s="14" t="n">
        <x:v>45</x:v>
      </x:c>
      <x:c r="T323" s="15" t="n">
        <x:v>0</x:v>
      </x:c>
      <x:c r="U323" s="16" t="n">
        <x:v>32.36</x:v>
      </x:c>
      <x:c r="V323" s="6" t="str">
        <x:v>https://digitecme.com/ar/brands/jeep-service-dubai</x:v>
      </x:c>
      <x:c r="W323" s="6" t="str">
        <x:v>Indexable directive</x:v>
      </x:c>
      <x:c r="X323" s="6" t="n">
        <x:v>38</x:v>
      </x:c>
      <x:c r="Y323" s="6" t="str">
        <x:v>إصلاح وصيانة Jeep في دبي | مركز ديجي-تك</x:v>
      </x:c>
      <x:c r="Z323" s="6" t="str"/>
      <x:c r="AA323" s="6" t="str">
        <x:v>No / not compared</x:v>
      </x:c>
    </x:row>
    <x:row r="324" ht="42" customHeight="1">
      <x:c r="A324" s="6" t="str">
        <x:v>https://digitecme.com/ar/brands/jeep-service-dubai/ac-repair</x:v>
      </x:c>
      <x:c r="B324" s="6" t="str"/>
      <x:c r="C324" s="6" t="str"/>
      <x:c r="D324" s="6" t="str">
        <x:v>brand-service</x:v>
      </x:c>
      <x:c r="E324" s="6" t="str">
        <x:v>Retain differentiated role</x:v>
      </x:c>
      <x:c r="F324" s="6" t="str">
        <x:v>Local source render; live version unverified</x:v>
      </x:c>
      <x:c r="G324" s="6" t="str">
        <x:v>إصلاح التكييف Jeep في دبي | ديجي-تك</x:v>
      </x:c>
      <x:c r="H324" s="6" t="str">
        <x:v>إصلاح التكييف Jeep في دبي | ديجي-تك</x:v>
      </x:c>
      <x:c r="I324" s="6" t="str">
        <x:v>إصلاح التكييف Jeep في دبي</x:v>
      </x:c>
      <x:c r="J324" s="6" t="str">
        <x:v>إصلاح التكييف Jeep في دبي</x:v>
      </x:c>
      <x:c r="K324" s="6" t="str">
        <x:v>إصلاح التكييف متخصص لسيارات Jeep في دبي مع تشخيص متقدم وقطع مناسبة وتسعير واضح لدى مركز ديجي-تك.</x:v>
      </x:c>
      <x:c r="L324" s="6" t="str">
        <x:v>Retain pending evidence; no specific content edit justified by this export.</x:v>
      </x:c>
      <x:c r="M324" s="6" t="str">
        <x:v>Retain; inspect relevant context before adding links</x:v>
      </x:c>
      <x:c r="N324" s="6" t="str">
        <x:v>Unconfirmed — no query/page pairing</x:v>
      </x:c>
      <x:c r="O324" s="6" t="str">
        <x:v>Retain established booking / WhatsApp / call path; live behaviour untested</x:v>
      </x:c>
      <x:c r="P324" s="6" t="str">
        <x:v>Retain canonical and indexation policy pending a live check.</x:v>
      </x:c>
      <x:c r="Q324" s="6" t="str">
        <x:v>Proposed; no website change made</x:v>
      </x:c>
      <x:c r="R324" s="14" t="n">
        <x:v>0</x:v>
      </x:c>
      <x:c r="S324" s="14" t="n">
        <x:v>3</x:v>
      </x:c>
      <x:c r="T324" s="15" t="n">
        <x:v>0</x:v>
      </x:c>
      <x:c r="U324" s="16" t="n">
        <x:v>3.33</x:v>
      </x:c>
      <x:c r="V324" s="6" t="str">
        <x:v>https://digitecme.com/ar/brands/jeep-service-dubai/ac-repair</x:v>
      </x:c>
      <x:c r="W324" s="6" t="str">
        <x:v>Indexable directive</x:v>
      </x:c>
      <x:c r="X324" s="6" t="n">
        <x:v>16</x:v>
      </x:c>
      <x:c r="Y324" s="6" t="str">
        <x:v>إصلاح التكييف Jeep في دبي | ديجي-تك</x:v>
      </x:c>
      <x:c r="Z324" s="6" t="str"/>
      <x:c r="AA324" s="6" t="str">
        <x:v>No / not compared</x:v>
      </x:c>
    </x:row>
    <x:row r="325" ht="42" customHeight="1">
      <x:c r="A325" s="6" t="str">
        <x:v>https://digitecme.com/ar/brands/jeep-service-dubai/battery-replacement</x:v>
      </x:c>
      <x:c r="B325" s="6" t="str"/>
      <x:c r="C325" s="6" t="str"/>
      <x:c r="D325" s="6" t="str">
        <x:v>brand-service</x:v>
      </x:c>
      <x:c r="E325" s="6" t="str">
        <x:v>Retain differentiated role</x:v>
      </x:c>
      <x:c r="F325" s="6" t="str">
        <x:v>Local source render; live version unverified</x:v>
      </x:c>
      <x:c r="G325" s="6" t="str">
        <x:v>تبديل البطارية Jeep في دبي | ديجي-تك</x:v>
      </x:c>
      <x:c r="H325" s="6" t="str">
        <x:v>تبديل البطارية Jeep في دبي | ديجي-تك</x:v>
      </x:c>
      <x:c r="I325" s="6" t="str">
        <x:v>تبديل البطارية Jeep في دبي</x:v>
      </x:c>
      <x:c r="J325" s="6" t="str">
        <x:v>تبديل البطارية Jeep في دبي</x:v>
      </x:c>
      <x:c r="K325" s="6" t="str">
        <x:v>تبديل البطارية متخصص لسيارات Jeep في دبي مع تشخيص متقدم وقطع مناسبة وتسعير واضح لدى مركز ديجي-تك.</x:v>
      </x:c>
      <x:c r="L325" s="6" t="str">
        <x:v>Retain pending evidence; no specific content edit justified by this export.</x:v>
      </x:c>
      <x:c r="M325" s="6" t="str">
        <x:v>Retain; inspect relevant context before adding links</x:v>
      </x:c>
      <x:c r="N325" s="6" t="str">
        <x:v>Unconfirmed — no query/page pairing</x:v>
      </x:c>
      <x:c r="O325" s="6" t="str">
        <x:v>Retain established booking / WhatsApp / call path; live behaviour untested</x:v>
      </x:c>
      <x:c r="P325" s="6" t="str">
        <x:v>Retain canonical and indexation policy pending a live check.</x:v>
      </x:c>
      <x:c r="Q325" s="6" t="str">
        <x:v>Proposed; no website change made</x:v>
      </x:c>
      <x:c r="R325" s="14" t="n">
        <x:v>0</x:v>
      </x:c>
      <x:c r="S325" s="14" t="n">
        <x:v>3</x:v>
      </x:c>
      <x:c r="T325" s="15" t="n">
        <x:v>0</x:v>
      </x:c>
      <x:c r="U325" s="16" t="n">
        <x:v>6</x:v>
      </x:c>
      <x:c r="V325" s="6" t="str">
        <x:v>https://digitecme.com/ar/brands/jeep-service-dubai/battery-replacement</x:v>
      </x:c>
      <x:c r="W325" s="6" t="str">
        <x:v>Noindex directive</x:v>
      </x:c>
      <x:c r="X325" s="6" t="n">
        <x:v>16</x:v>
      </x:c>
      <x:c r="Y325" s="6" t="str">
        <x:v>تبديل البطارية Jeep في دبي | ديجي-تك</x:v>
      </x:c>
      <x:c r="Z325" s="6" t="str"/>
      <x:c r="AA325" s="6" t="str">
        <x:v>No / not compared</x:v>
      </x:c>
    </x:row>
    <x:row r="326" ht="42" customHeight="1">
      <x:c r="A326" s="6" t="str">
        <x:v>https://digitecme.com/ar/brands/jeep-service-dubai/body-repair</x:v>
      </x:c>
      <x:c r="B326" s="6" t="str"/>
      <x:c r="C326" s="6" t="str"/>
      <x:c r="D326" s="6" t="str">
        <x:v>brand-service</x:v>
      </x:c>
      <x:c r="E326" s="6" t="str">
        <x:v>Retain differentiated role</x:v>
      </x:c>
      <x:c r="F326" s="6" t="str">
        <x:v>Local source render; live version unverified</x:v>
      </x:c>
      <x:c r="G326" s="6" t="str">
        <x:v>إصلاح الهيكل Jeep في دبي | ديجي-تك</x:v>
      </x:c>
      <x:c r="H326" s="6" t="str">
        <x:v>إصلاح الهيكل Jeep في دبي | ديجي-تك</x:v>
      </x:c>
      <x:c r="I326" s="6" t="str">
        <x:v>إصلاح الهيكل Jeep في دبي</x:v>
      </x:c>
      <x:c r="J326" s="6" t="str">
        <x:v>إصلاح الهيكل Jeep في دبي</x:v>
      </x:c>
      <x:c r="K326" s="6" t="str">
        <x:v>إصلاح الهيكل متخصص لسيارات Jeep في دبي مع تشخيص متقدم وقطع مناسبة وتسعير واضح لدى مركز ديجي-تك.</x:v>
      </x:c>
      <x:c r="L326" s="6" t="str">
        <x:v>Retain pending evidence; no specific content edit justified by this export.</x:v>
      </x:c>
      <x:c r="M326" s="6" t="str">
        <x:v>Retain; inspect relevant context before adding links</x:v>
      </x:c>
      <x:c r="N326" s="6" t="str">
        <x:v>Unconfirmed — no query/page pairing</x:v>
      </x:c>
      <x:c r="O326" s="6" t="str">
        <x:v>Retain established booking / WhatsApp / call path; live behaviour untested</x:v>
      </x:c>
      <x:c r="P326" s="6" t="str">
        <x:v>Retain canonical and indexation policy pending a live check.</x:v>
      </x:c>
      <x:c r="Q326" s="6" t="str">
        <x:v>Proposed; no website change made</x:v>
      </x:c>
      <x:c r="R326" s="14" t="n">
        <x:v>0</x:v>
      </x:c>
      <x:c r="S326" s="14" t="n">
        <x:v>17</x:v>
      </x:c>
      <x:c r="T326" s="15" t="n">
        <x:v>0</x:v>
      </x:c>
      <x:c r="U326" s="16" t="n">
        <x:v>86.41</x:v>
      </x:c>
      <x:c r="V326" s="6" t="str">
        <x:v>https://digitecme.com/ar/brands/jeep-service-dubai/body-repair</x:v>
      </x:c>
      <x:c r="W326" s="6" t="str">
        <x:v>Noindex directive</x:v>
      </x:c>
      <x:c r="X326" s="6" t="n">
        <x:v>16</x:v>
      </x:c>
      <x:c r="Y326" s="6" t="str">
        <x:v>إصلاح الهيكل Jeep في دبي | ديجي-تك</x:v>
      </x:c>
      <x:c r="Z326" s="6" t="str"/>
      <x:c r="AA326" s="6" t="str">
        <x:v>No / not compared</x:v>
      </x:c>
    </x:row>
    <x:row r="327" ht="42" customHeight="1">
      <x:c r="A327" s="6" t="str">
        <x:v>https://digitecme.com/ar/brands/jeep-service-dubai/brake-repair</x:v>
      </x:c>
      <x:c r="B327" s="6" t="str"/>
      <x:c r="C327" s="6" t="str"/>
      <x:c r="D327" s="6" t="str">
        <x:v>brand-service</x:v>
      </x:c>
      <x:c r="E327" s="6" t="str">
        <x:v>Retain differentiated role</x:v>
      </x:c>
      <x:c r="F327" s="6" t="str">
        <x:v>Local source render; live version unverified</x:v>
      </x:c>
      <x:c r="G327" s="6" t="str">
        <x:v>إصلاح الفرامل Jeep في دبي | ديجي-تك</x:v>
      </x:c>
      <x:c r="H327" s="6" t="str">
        <x:v>إصلاح الفرامل Jeep في دبي | ديجي-تك</x:v>
      </x:c>
      <x:c r="I327" s="6" t="str">
        <x:v>إصلاح الفرامل Jeep في دبي</x:v>
      </x:c>
      <x:c r="J327" s="6" t="str">
        <x:v>إصلاح الفرامل Jeep في دبي</x:v>
      </x:c>
      <x:c r="K327" s="6" t="str">
        <x:v>إصلاح الفرامل متخصص لسيارات Jeep في دبي مع تشخيص متقدم وقطع مناسبة وتسعير واضح لدى مركز ديجي-تك.</x:v>
      </x:c>
      <x:c r="L327" s="6" t="str">
        <x:v>Retain pending evidence; no specific content edit justified by this export.</x:v>
      </x:c>
      <x:c r="M327" s="6" t="str">
        <x:v>Retain; inspect relevant context before adding links</x:v>
      </x:c>
      <x:c r="N327" s="6" t="str">
        <x:v>Unconfirmed — no query/page pairing</x:v>
      </x:c>
      <x:c r="O327" s="6" t="str">
        <x:v>Retain established booking / WhatsApp / call path; live behaviour untested</x:v>
      </x:c>
      <x:c r="P327" s="6" t="str">
        <x:v>Retain canonical and indexation policy pending a live check.</x:v>
      </x:c>
      <x:c r="Q327" s="6" t="str">
        <x:v>Proposed; no website change made</x:v>
      </x:c>
      <x:c r="R327" s="14"/>
      <x:c r="S327" s="14"/>
      <x:c r="T327" s="15"/>
      <x:c r="U327" s="16"/>
      <x:c r="V327" s="6" t="str">
        <x:v>https://digitecme.com/ar/brands/jeep-service-dubai/brake-repair</x:v>
      </x:c>
      <x:c r="W327" s="6" t="str">
        <x:v>Indexable directive</x:v>
      </x:c>
      <x:c r="X327" s="6" t="n">
        <x:v>16</x:v>
      </x:c>
      <x:c r="Y327" s="6" t="str">
        <x:v>إصلاح الفرامل Jeep في دبي | ديجي-تك</x:v>
      </x:c>
      <x:c r="Z327" s="6" t="str"/>
      <x:c r="AA327" s="6" t="str">
        <x:v>No / not compared</x:v>
      </x:c>
    </x:row>
    <x:row r="328" ht="42" customHeight="1">
      <x:c r="A328" s="6" t="str">
        <x:v>https://digitecme.com/ar/brands/jeep-service-dubai/electrical-repair</x:v>
      </x:c>
      <x:c r="B328" s="6" t="str"/>
      <x:c r="C328" s="6" t="str"/>
      <x:c r="D328" s="6" t="str">
        <x:v>brand-service</x:v>
      </x:c>
      <x:c r="E328" s="6" t="str">
        <x:v>Retain differentiated role</x:v>
      </x:c>
      <x:c r="F328" s="6" t="str">
        <x:v>Local source render; live version unverified</x:v>
      </x:c>
      <x:c r="G328" s="6" t="str">
        <x:v>إصلاح الكهرباء Jeep في دبي | ديجي-تك</x:v>
      </x:c>
      <x:c r="H328" s="6" t="str">
        <x:v>إصلاح الكهرباء Jeep في دبي | ديجي-تك</x:v>
      </x:c>
      <x:c r="I328" s="6" t="str">
        <x:v>إصلاح الكهرباء Jeep في دبي</x:v>
      </x:c>
      <x:c r="J328" s="6" t="str">
        <x:v>إصلاح الكهرباء Jeep في دبي</x:v>
      </x:c>
      <x:c r="K328" s="6" t="str">
        <x:v>إصلاح الكهرباء متخصص لسيارات Jeep في دبي مع تشخيص متقدم وقطع مناسبة وتسعير واضح لدى مركز ديجي-تك.</x:v>
      </x:c>
      <x:c r="L328" s="6" t="str">
        <x:v>Retain pending evidence; no specific content edit justified by this export.</x:v>
      </x:c>
      <x:c r="M328" s="6" t="str">
        <x:v>Retain; inspect relevant context before adding links</x:v>
      </x:c>
      <x:c r="N328" s="6" t="str">
        <x:v>Unconfirmed — no query/page pairing</x:v>
      </x:c>
      <x:c r="O328" s="6" t="str">
        <x:v>Retain established booking / WhatsApp / call path; live behaviour untested</x:v>
      </x:c>
      <x:c r="P328" s="6" t="str">
        <x:v>Retain canonical and indexation policy pending a live check.</x:v>
      </x:c>
      <x:c r="Q328" s="6" t="str">
        <x:v>Proposed; no website change made</x:v>
      </x:c>
      <x:c r="R328" s="14"/>
      <x:c r="S328" s="14"/>
      <x:c r="T328" s="15"/>
      <x:c r="U328" s="16"/>
      <x:c r="V328" s="6" t="str">
        <x:v>https://digitecme.com/ar/brands/jeep-service-dubai/electrical-repair</x:v>
      </x:c>
      <x:c r="W328" s="6" t="str">
        <x:v>Noindex directive</x:v>
      </x:c>
      <x:c r="X328" s="6" t="n">
        <x:v>16</x:v>
      </x:c>
      <x:c r="Y328" s="6" t="str">
        <x:v>إصلاح الكهرباء Jeep في دبي | ديجي-تك</x:v>
      </x:c>
      <x:c r="Z328" s="6" t="str"/>
      <x:c r="AA328" s="6" t="str">
        <x:v>No / not compared</x:v>
      </x:c>
    </x:row>
    <x:row r="329" ht="42" customHeight="1">
      <x:c r="A329" s="6" t="str">
        <x:v>https://digitecme.com/ar/brands/jeep-service-dubai/engine-diagnostics</x:v>
      </x:c>
      <x:c r="B329" s="6" t="str"/>
      <x:c r="C329" s="6" t="str"/>
      <x:c r="D329" s="6" t="str">
        <x:v>brand-service</x:v>
      </x:c>
      <x:c r="E329" s="6" t="str">
        <x:v>Retain differentiated role</x:v>
      </x:c>
      <x:c r="F329" s="6" t="str">
        <x:v>Local source render; live version unverified</x:v>
      </x:c>
      <x:c r="G329" s="6" t="str">
        <x:v>تشخيص المحرك Jeep في دبي | ديجي-تك</x:v>
      </x:c>
      <x:c r="H329" s="6" t="str">
        <x:v>تشخيص المحرك Jeep في دبي | ديجي-تك</x:v>
      </x:c>
      <x:c r="I329" s="6" t="str">
        <x:v>تشخيص المحرك Jeep في دبي</x:v>
      </x:c>
      <x:c r="J329" s="6" t="str">
        <x:v>تشخيص المحرك Jeep في دبي</x:v>
      </x:c>
      <x:c r="K329" s="6" t="str">
        <x:v>تشخيص المحرك متخصص لسيارات Jeep في دبي مع تشخيص متقدم وقطع مناسبة وتسعير واضح لدى مركز ديجي-تك.</x:v>
      </x:c>
      <x:c r="L329" s="6" t="str">
        <x:v>Retain pending evidence; no specific content edit justified by this export.</x:v>
      </x:c>
      <x:c r="M329" s="6" t="str">
        <x:v>Retain; inspect relevant context before adding links</x:v>
      </x:c>
      <x:c r="N329" s="6" t="str">
        <x:v>Unconfirmed — no query/page pairing</x:v>
      </x:c>
      <x:c r="O329" s="6" t="str">
        <x:v>Retain established booking / WhatsApp / call path; live behaviour untested</x:v>
      </x:c>
      <x:c r="P329" s="6" t="str">
        <x:v>Retain canonical and indexation policy pending a live check.</x:v>
      </x:c>
      <x:c r="Q329" s="6" t="str">
        <x:v>Proposed; no website change made</x:v>
      </x:c>
      <x:c r="R329" s="14"/>
      <x:c r="S329" s="14"/>
      <x:c r="T329" s="15"/>
      <x:c r="U329" s="16"/>
      <x:c r="V329" s="6" t="str">
        <x:v>https://digitecme.com/ar/brands/jeep-service-dubai/engine-diagnostics</x:v>
      </x:c>
      <x:c r="W329" s="6" t="str">
        <x:v>Indexable directive</x:v>
      </x:c>
      <x:c r="X329" s="6" t="n">
        <x:v>16</x:v>
      </x:c>
      <x:c r="Y329" s="6" t="str">
        <x:v>تشخيص المحرك Jeep في دبي | ديجي-تك</x:v>
      </x:c>
      <x:c r="Z329" s="6" t="str"/>
      <x:c r="AA329" s="6" t="str">
        <x:v>No / not compared</x:v>
      </x:c>
    </x:row>
    <x:row r="330" ht="42" customHeight="1">
      <x:c r="A330" s="6" t="str">
        <x:v>https://digitecme.com/ar/brands/jeep-service-dubai/exhaust-repair</x:v>
      </x:c>
      <x:c r="B330" s="6" t="str"/>
      <x:c r="C330" s="6" t="str"/>
      <x:c r="D330" s="6" t="str">
        <x:v>brand-service</x:v>
      </x:c>
      <x:c r="E330" s="6" t="str">
        <x:v>Retain differentiated role</x:v>
      </x:c>
      <x:c r="F330" s="6" t="str">
        <x:v>Local source render; live version unverified</x:v>
      </x:c>
      <x:c r="G330" s="6" t="str">
        <x:v>إصلاح العادم Jeep في دبي | ديجي-تك</x:v>
      </x:c>
      <x:c r="H330" s="6" t="str">
        <x:v>إصلاح العادم Jeep في دبي | ديجي-تك</x:v>
      </x:c>
      <x:c r="I330" s="6" t="str">
        <x:v>إصلاح العادم Jeep في دبي</x:v>
      </x:c>
      <x:c r="J330" s="6" t="str">
        <x:v>إصلاح العادم Jeep في دبي</x:v>
      </x:c>
      <x:c r="K330" s="6" t="str">
        <x:v>إصلاح العادم متخصص لسيارات Jeep في دبي مع تشخيص متقدم وقطع مناسبة وتسعير واضح لدى مركز ديجي-تك.</x:v>
      </x:c>
      <x:c r="L330" s="6" t="str">
        <x:v>Retain pending evidence; no specific content edit justified by this export.</x:v>
      </x:c>
      <x:c r="M330" s="6" t="str">
        <x:v>Retain; inspect relevant context before adding links</x:v>
      </x:c>
      <x:c r="N330" s="6" t="str">
        <x:v>Unconfirmed — no query/page pairing</x:v>
      </x:c>
      <x:c r="O330" s="6" t="str">
        <x:v>Retain established booking / WhatsApp / call path; live behaviour untested</x:v>
      </x:c>
      <x:c r="P330" s="6" t="str">
        <x:v>Retain canonical and indexation policy pending a live check.</x:v>
      </x:c>
      <x:c r="Q330" s="6" t="str">
        <x:v>Proposed; no website change made</x:v>
      </x:c>
      <x:c r="R330" s="14"/>
      <x:c r="S330" s="14"/>
      <x:c r="T330" s="15"/>
      <x:c r="U330" s="16"/>
      <x:c r="V330" s="6" t="str">
        <x:v>https://digitecme.com/ar/brands/jeep-service-dubai/exhaust-repair</x:v>
      </x:c>
      <x:c r="W330" s="6" t="str">
        <x:v>Noindex directive</x:v>
      </x:c>
      <x:c r="X330" s="6" t="n">
        <x:v>16</x:v>
      </x:c>
      <x:c r="Y330" s="6" t="str">
        <x:v>إصلاح العادم Jeep في دبي | ديجي-تك</x:v>
      </x:c>
      <x:c r="Z330" s="6" t="str"/>
      <x:c r="AA330" s="6" t="str">
        <x:v>No / not compared</x:v>
      </x:c>
    </x:row>
    <x:row r="331" ht="42" customHeight="1">
      <x:c r="A331" s="6" t="str">
        <x:v>https://digitecme.com/ar/brands/jeep-service-dubai/fuel-system-repair</x:v>
      </x:c>
      <x:c r="B331" s="6" t="str"/>
      <x:c r="C331" s="6" t="str"/>
      <x:c r="D331" s="6" t="str">
        <x:v>brand-service</x:v>
      </x:c>
      <x:c r="E331" s="6" t="str">
        <x:v>Retain differentiated role</x:v>
      </x:c>
      <x:c r="F331" s="6" t="str">
        <x:v>Local source render; live version unverified</x:v>
      </x:c>
      <x:c r="G331" s="6" t="str">
        <x:v>إصلاح نظام الوقود Jeep في دبي | ديجي-تك</x:v>
      </x:c>
      <x:c r="H331" s="6" t="str">
        <x:v>إصلاح نظام الوقود Jeep في دبي | ديجي-تك</x:v>
      </x:c>
      <x:c r="I331" s="6" t="str">
        <x:v>إصلاح نظام الوقود Jeep في دبي</x:v>
      </x:c>
      <x:c r="J331" s="6" t="str">
        <x:v>إصلاح نظام الوقود Jeep في دبي</x:v>
      </x:c>
      <x:c r="K331" s="6" t="str">
        <x:v>إصلاح نظام الوقود متخصص لسيارات Jeep في دبي مع تشخيص متقدم وقطع مناسبة وتسعير واضح لدى مركز ديجي-تك.</x:v>
      </x:c>
      <x:c r="L331" s="6" t="str">
        <x:v>Retain pending evidence; no specific content edit justified by this export.</x:v>
      </x:c>
      <x:c r="M331" s="6" t="str">
        <x:v>Retain; inspect relevant context before adding links</x:v>
      </x:c>
      <x:c r="N331" s="6" t="str">
        <x:v>Unconfirmed — no query/page pairing</x:v>
      </x:c>
      <x:c r="O331" s="6" t="str">
        <x:v>Retain established booking / WhatsApp / call path; live behaviour untested</x:v>
      </x:c>
      <x:c r="P331" s="6" t="str">
        <x:v>Retain canonical and indexation policy pending a live check.</x:v>
      </x:c>
      <x:c r="Q331" s="6" t="str">
        <x:v>Proposed; no website change made</x:v>
      </x:c>
      <x:c r="R331" s="14"/>
      <x:c r="S331" s="14"/>
      <x:c r="T331" s="15"/>
      <x:c r="U331" s="16"/>
      <x:c r="V331" s="6" t="str">
        <x:v>https://digitecme.com/ar/brands/jeep-service-dubai/fuel-system-repair</x:v>
      </x:c>
      <x:c r="W331" s="6" t="str">
        <x:v>Noindex directive</x:v>
      </x:c>
      <x:c r="X331" s="6" t="n">
        <x:v>16</x:v>
      </x:c>
      <x:c r="Y331" s="6" t="str">
        <x:v>إصلاح نظام الوقود Jeep في دبي | ديجي-تك</x:v>
      </x:c>
      <x:c r="Z331" s="6" t="str"/>
      <x:c r="AA331" s="6" t="str">
        <x:v>No / not compared</x:v>
      </x:c>
    </x:row>
    <x:row r="332" ht="42" customHeight="1">
      <x:c r="A332" s="6" t="str">
        <x:v>https://digitecme.com/ar/brands/jeep-service-dubai/mechanical-repair</x:v>
      </x:c>
      <x:c r="B332" s="6" t="str"/>
      <x:c r="C332" s="6" t="str"/>
      <x:c r="D332" s="6" t="str">
        <x:v>brand-service</x:v>
      </x:c>
      <x:c r="E332" s="6" t="str">
        <x:v>Retain differentiated role</x:v>
      </x:c>
      <x:c r="F332" s="6" t="str">
        <x:v>Local source render; live version unverified</x:v>
      </x:c>
      <x:c r="G332" s="6" t="str">
        <x:v>الإصلاح الميكانيكي Jeep في دبي | ديجي-تك</x:v>
      </x:c>
      <x:c r="H332" s="6" t="str">
        <x:v>الإصلاح الميكانيكي Jeep في دبي | ديجي-تك</x:v>
      </x:c>
      <x:c r="I332" s="6" t="str">
        <x:v>الإصلاح الميكانيكي Jeep في دبي</x:v>
      </x:c>
      <x:c r="J332" s="6" t="str">
        <x:v>الإصلاح الميكانيكي Jeep في دبي</x:v>
      </x:c>
      <x:c r="K332" s="6" t="str">
        <x:v>الإصلاح الميكانيكي متخصص لسيارات Jeep في دبي مع تشخيص متقدم وقطع مناسبة وتسعير واضح لدى مركز ديجي-تك.</x:v>
      </x:c>
      <x:c r="L332" s="6" t="str">
        <x:v>Retain pending evidence; no specific content edit justified by this export.</x:v>
      </x:c>
      <x:c r="M332" s="6" t="str">
        <x:v>Retain; inspect relevant context before adding links</x:v>
      </x:c>
      <x:c r="N332" s="6" t="str">
        <x:v>Unconfirmed — no query/page pairing</x:v>
      </x:c>
      <x:c r="O332" s="6" t="str">
        <x:v>Retain established booking / WhatsApp / call path; live behaviour untested</x:v>
      </x:c>
      <x:c r="P332" s="6" t="str">
        <x:v>Retain canonical and indexation policy pending a live check.</x:v>
      </x:c>
      <x:c r="Q332" s="6" t="str">
        <x:v>Proposed; no website change made</x:v>
      </x:c>
      <x:c r="R332" s="14" t="n">
        <x:v>0</x:v>
      </x:c>
      <x:c r="S332" s="14" t="n">
        <x:v>22</x:v>
      </x:c>
      <x:c r="T332" s="15" t="n">
        <x:v>0</x:v>
      </x:c>
      <x:c r="U332" s="16" t="n">
        <x:v>85.45</x:v>
      </x:c>
      <x:c r="V332" s="6" t="str">
        <x:v>https://digitecme.com/ar/brands/jeep-service-dubai/mechanical-repair</x:v>
      </x:c>
      <x:c r="W332" s="6" t="str">
        <x:v>Noindex directive</x:v>
      </x:c>
      <x:c r="X332" s="6" t="n">
        <x:v>16</x:v>
      </x:c>
      <x:c r="Y332" s="6" t="str">
        <x:v>الإصلاح الميكانيكي Jeep في دبي | ديجي-تك</x:v>
      </x:c>
      <x:c r="Z332" s="6" t="str"/>
      <x:c r="AA332" s="6" t="str">
        <x:v>No / not compared</x:v>
      </x:c>
    </x:row>
    <x:row r="333" ht="42" customHeight="1">
      <x:c r="A333" s="6" t="str">
        <x:v>https://digitecme.com/ar/brands/jeep-service-dubai/oil-change</x:v>
      </x:c>
      <x:c r="B333" s="6" t="str"/>
      <x:c r="C333" s="6" t="str"/>
      <x:c r="D333" s="6" t="str">
        <x:v>brand-service</x:v>
      </x:c>
      <x:c r="E333" s="6" t="str">
        <x:v>Retain differentiated role</x:v>
      </x:c>
      <x:c r="F333" s="6" t="str">
        <x:v>Local source render; live version unverified</x:v>
      </x:c>
      <x:c r="G333" s="6" t="str">
        <x:v>تغيير الزيت Jeep في دبي | ديجي-تك</x:v>
      </x:c>
      <x:c r="H333" s="6" t="str">
        <x:v>تغيير الزيت Jeep في دبي | ديجي-تك</x:v>
      </x:c>
      <x:c r="I333" s="6" t="str">
        <x:v>تغيير الزيت Jeep في دبي</x:v>
      </x:c>
      <x:c r="J333" s="6" t="str">
        <x:v>تغيير الزيت Jeep في دبي</x:v>
      </x:c>
      <x:c r="K333" s="6" t="str">
        <x:v>تغيير الزيت متخصص لسيارات Jeep في دبي مع تشخيص متقدم وقطع مناسبة وتسعير واضح لدى مركز ديجي-تك.</x:v>
      </x:c>
      <x:c r="L333" s="6" t="str">
        <x:v>Retain pending evidence; no specific content edit justified by this export.</x:v>
      </x:c>
      <x:c r="M333" s="6" t="str">
        <x:v>Retain; inspect relevant context before adding links</x:v>
      </x:c>
      <x:c r="N333" s="6" t="str">
        <x:v>Unconfirmed — no query/page pairing</x:v>
      </x:c>
      <x:c r="O333" s="6" t="str">
        <x:v>Retain established booking / WhatsApp / call path; live behaviour untested</x:v>
      </x:c>
      <x:c r="P333" s="6" t="str">
        <x:v>Retain canonical and indexation policy pending a live check.</x:v>
      </x:c>
      <x:c r="Q333" s="6" t="str">
        <x:v>Proposed; no website change made</x:v>
      </x:c>
      <x:c r="R333" s="14"/>
      <x:c r="S333" s="14"/>
      <x:c r="T333" s="15"/>
      <x:c r="U333" s="16"/>
      <x:c r="V333" s="6" t="str">
        <x:v>https://digitecme.com/ar/brands/jeep-service-dubai/oil-change</x:v>
      </x:c>
      <x:c r="W333" s="6" t="str">
        <x:v>Indexable directive</x:v>
      </x:c>
      <x:c r="X333" s="6" t="n">
        <x:v>16</x:v>
      </x:c>
      <x:c r="Y333" s="6" t="str">
        <x:v>تغيير الزيت Jeep في دبي | ديجي-تك</x:v>
      </x:c>
      <x:c r="Z333" s="6" t="str"/>
      <x:c r="AA333" s="6" t="str">
        <x:v>No / not compared</x:v>
      </x:c>
    </x:row>
    <x:row r="334" ht="42" customHeight="1">
      <x:c r="A334" s="6" t="str">
        <x:v>https://digitecme.com/ar/brands/jeep-service-dubai/steering-repair</x:v>
      </x:c>
      <x:c r="B334" s="6" t="str"/>
      <x:c r="C334" s="6" t="str"/>
      <x:c r="D334" s="6" t="str">
        <x:v>brand-service</x:v>
      </x:c>
      <x:c r="E334" s="6" t="str">
        <x:v>Retain differentiated role</x:v>
      </x:c>
      <x:c r="F334" s="6" t="str">
        <x:v>Local source render; live version unverified</x:v>
      </x:c>
      <x:c r="G334" s="6" t="str">
        <x:v>إصلاح نظام التوجيه Jeep في دبي | ديجي-تك</x:v>
      </x:c>
      <x:c r="H334" s="6" t="str">
        <x:v>إصلاح نظام التوجيه Jeep في دبي | ديجي-تك</x:v>
      </x:c>
      <x:c r="I334" s="6" t="str">
        <x:v>إصلاح نظام التوجيه Jeep في دبي</x:v>
      </x:c>
      <x:c r="J334" s="6" t="str">
        <x:v>إصلاح نظام التوجيه Jeep في دبي</x:v>
      </x:c>
      <x:c r="K334" s="6" t="str">
        <x:v>إصلاح نظام التوجيه متخصص لسيارات Jeep في دبي مع تشخيص متقدم وقطع مناسبة وتسعير واضح لدى مركز ديجي-تك.</x:v>
      </x:c>
      <x:c r="L334" s="6" t="str">
        <x:v>Retain pending evidence; no specific content edit justified by this export.</x:v>
      </x:c>
      <x:c r="M334" s="6" t="str">
        <x:v>Retain; inspect relevant context before adding links</x:v>
      </x:c>
      <x:c r="N334" s="6" t="str">
        <x:v>Unconfirmed — no query/page pairing</x:v>
      </x:c>
      <x:c r="O334" s="6" t="str">
        <x:v>Retain established booking / WhatsApp / call path; live behaviour untested</x:v>
      </x:c>
      <x:c r="P334" s="6" t="str">
        <x:v>Retain canonical and indexation policy pending a live check.</x:v>
      </x:c>
      <x:c r="Q334" s="6" t="str">
        <x:v>Proposed; no website change made</x:v>
      </x:c>
      <x:c r="R334" s="14"/>
      <x:c r="S334" s="14"/>
      <x:c r="T334" s="15"/>
      <x:c r="U334" s="16"/>
      <x:c r="V334" s="6" t="str">
        <x:v>https://digitecme.com/ar/brands/jeep-service-dubai/steering-repair</x:v>
      </x:c>
      <x:c r="W334" s="6" t="str">
        <x:v>Noindex directive</x:v>
      </x:c>
      <x:c r="X334" s="6" t="n">
        <x:v>16</x:v>
      </x:c>
      <x:c r="Y334" s="6" t="str">
        <x:v>إصلاح نظام التوجيه Jeep في دبي | ديجي-تك</x:v>
      </x:c>
      <x:c r="Z334" s="6" t="str"/>
      <x:c r="AA334" s="6" t="str">
        <x:v>No / not compared</x:v>
      </x:c>
    </x:row>
    <x:row r="335" ht="42" customHeight="1">
      <x:c r="A335" s="6" t="str">
        <x:v>https://digitecme.com/ar/brands/jeep-service-dubai/suspension-repair</x:v>
      </x:c>
      <x:c r="B335" s="6" t="str"/>
      <x:c r="C335" s="6" t="str"/>
      <x:c r="D335" s="6" t="str">
        <x:v>brand-service</x:v>
      </x:c>
      <x:c r="E335" s="6" t="str">
        <x:v>Retain differentiated role</x:v>
      </x:c>
      <x:c r="F335" s="6" t="str">
        <x:v>Local source render; live version unverified</x:v>
      </x:c>
      <x:c r="G335" s="6" t="str">
        <x:v>إصلاح التعليق Jeep في دبي | ديجي-تك</x:v>
      </x:c>
      <x:c r="H335" s="6" t="str">
        <x:v>إصلاح التعليق Jeep في دبي | ديجي-تك</x:v>
      </x:c>
      <x:c r="I335" s="6" t="str">
        <x:v>إصلاح التعليق Jeep في دبي</x:v>
      </x:c>
      <x:c r="J335" s="6" t="str">
        <x:v>إصلاح التعليق Jeep في دبي</x:v>
      </x:c>
      <x:c r="K335" s="6" t="str">
        <x:v>إصلاح التعليق متخصص لسيارات Jeep في دبي مع تشخيص متقدم وقطع مناسبة وتسعير واضح لدى مركز ديجي-تك.</x:v>
      </x:c>
      <x:c r="L335" s="6" t="str">
        <x:v>Retain pending evidence; no specific content edit justified by this export.</x:v>
      </x:c>
      <x:c r="M335" s="6" t="str">
        <x:v>Retain; inspect relevant context before adding links</x:v>
      </x:c>
      <x:c r="N335" s="6" t="str">
        <x:v>Unconfirmed — no query/page pairing</x:v>
      </x:c>
      <x:c r="O335" s="6" t="str">
        <x:v>Retain established booking / WhatsApp / call path; live behaviour untested</x:v>
      </x:c>
      <x:c r="P335" s="6" t="str">
        <x:v>Retain canonical and indexation policy pending a live check.</x:v>
      </x:c>
      <x:c r="Q335" s="6" t="str">
        <x:v>Proposed; no website change made</x:v>
      </x:c>
      <x:c r="R335" s="14"/>
      <x:c r="S335" s="14"/>
      <x:c r="T335" s="15"/>
      <x:c r="U335" s="16"/>
      <x:c r="V335" s="6" t="str">
        <x:v>https://digitecme.com/ar/brands/jeep-service-dubai/suspension-repair</x:v>
      </x:c>
      <x:c r="W335" s="6" t="str">
        <x:v>Noindex directive</x:v>
      </x:c>
      <x:c r="X335" s="6" t="n">
        <x:v>16</x:v>
      </x:c>
      <x:c r="Y335" s="6" t="str">
        <x:v>إصلاح التعليق Jeep في دبي | ديجي-تك</x:v>
      </x:c>
      <x:c r="Z335" s="6" t="str"/>
      <x:c r="AA335" s="6" t="str">
        <x:v>No / not compared</x:v>
      </x:c>
    </x:row>
    <x:row r="336" ht="42" customHeight="1">
      <x:c r="A336" s="6" t="str">
        <x:v>https://digitecme.com/ar/brands/jeep-service-dubai/tire-repair</x:v>
      </x:c>
      <x:c r="B336" s="6" t="str"/>
      <x:c r="C336" s="6" t="str"/>
      <x:c r="D336" s="6" t="str">
        <x:v>brand-service</x:v>
      </x:c>
      <x:c r="E336" s="6" t="str">
        <x:v>Retain differentiated role</x:v>
      </x:c>
      <x:c r="F336" s="6" t="str">
        <x:v>Local source render; live version unverified</x:v>
      </x:c>
      <x:c r="G336" s="6" t="str">
        <x:v>إصلاح الإطارات Jeep في دبي | ديجي-تك</x:v>
      </x:c>
      <x:c r="H336" s="6" t="str">
        <x:v>إصلاح الإطارات Jeep في دبي | ديجي-تك</x:v>
      </x:c>
      <x:c r="I336" s="6" t="str">
        <x:v>إصلاح الإطارات Jeep في دبي</x:v>
      </x:c>
      <x:c r="J336" s="6" t="str">
        <x:v>إصلاح الإطارات Jeep في دبي</x:v>
      </x:c>
      <x:c r="K336" s="6" t="str">
        <x:v>إصلاح الإطارات متخصص لسيارات Jeep في دبي مع تشخيص متقدم وقطع مناسبة وتسعير واضح لدى مركز ديجي-تك.</x:v>
      </x:c>
      <x:c r="L336" s="6" t="str">
        <x:v>Retain pending evidence; no specific content edit justified by this export.</x:v>
      </x:c>
      <x:c r="M336" s="6" t="str">
        <x:v>Retain; inspect relevant context before adding links</x:v>
      </x:c>
      <x:c r="N336" s="6" t="str">
        <x:v>Unconfirmed — no query/page pairing</x:v>
      </x:c>
      <x:c r="O336" s="6" t="str">
        <x:v>Retain established booking / WhatsApp / call path; live behaviour untested</x:v>
      </x:c>
      <x:c r="P336" s="6" t="str">
        <x:v>Retain canonical and indexation policy pending a live check.</x:v>
      </x:c>
      <x:c r="Q336" s="6" t="str">
        <x:v>Proposed; no website change made</x:v>
      </x:c>
      <x:c r="R336" s="14"/>
      <x:c r="S336" s="14"/>
      <x:c r="T336" s="15"/>
      <x:c r="U336" s="16"/>
      <x:c r="V336" s="6" t="str">
        <x:v>https://digitecme.com/ar/brands/jeep-service-dubai/tire-repair</x:v>
      </x:c>
      <x:c r="W336" s="6" t="str">
        <x:v>Noindex directive</x:v>
      </x:c>
      <x:c r="X336" s="6" t="n">
        <x:v>16</x:v>
      </x:c>
      <x:c r="Y336" s="6" t="str">
        <x:v>إصلاح الإطارات Jeep في دبي | ديجي-تك</x:v>
      </x:c>
      <x:c r="Z336" s="6" t="str"/>
      <x:c r="AA336" s="6" t="str">
        <x:v>No / not compared</x:v>
      </x:c>
    </x:row>
    <x:row r="337" ht="42" customHeight="1">
      <x:c r="A337" s="6" t="str">
        <x:v>https://digitecme.com/ar/brands/jeep-service-dubai/transmission-repair</x:v>
      </x:c>
      <x:c r="B337" s="6" t="str"/>
      <x:c r="C337" s="6" t="str"/>
      <x:c r="D337" s="6" t="str">
        <x:v>brand-service</x:v>
      </x:c>
      <x:c r="E337" s="6" t="str">
        <x:v>Retain differentiated role</x:v>
      </x:c>
      <x:c r="F337" s="6" t="str">
        <x:v>Local source render; live version unverified</x:v>
      </x:c>
      <x:c r="G337" s="6" t="str">
        <x:v>إصلاح ناقل الحركة Jeep في دبي | ديجي-تك</x:v>
      </x:c>
      <x:c r="H337" s="6" t="str">
        <x:v>إصلاح ناقل الحركة Jeep في دبي | ديجي-تك</x:v>
      </x:c>
      <x:c r="I337" s="6" t="str">
        <x:v>إصلاح ناقل الحركة Jeep في دبي</x:v>
      </x:c>
      <x:c r="J337" s="6" t="str">
        <x:v>إصلاح ناقل الحركة Jeep في دبي</x:v>
      </x:c>
      <x:c r="K337" s="6" t="str">
        <x:v>إصلاح ناقل الحركة متخصص لسيارات Jeep في دبي مع تشخيص متقدم وقطع مناسبة وتسعير واضح لدى مركز ديجي-تك.</x:v>
      </x:c>
      <x:c r="L337" s="6" t="str">
        <x:v>Retain pending evidence; no specific content edit justified by this export.</x:v>
      </x:c>
      <x:c r="M337" s="6" t="str">
        <x:v>Retain; inspect relevant context before adding links</x:v>
      </x:c>
      <x:c r="N337" s="6" t="str">
        <x:v>Unconfirmed — no query/page pairing</x:v>
      </x:c>
      <x:c r="O337" s="6" t="str">
        <x:v>Retain established booking / WhatsApp / call path; live behaviour untested</x:v>
      </x:c>
      <x:c r="P337" s="6" t="str">
        <x:v>Retain canonical and indexation policy pending a live check.</x:v>
      </x:c>
      <x:c r="Q337" s="6" t="str">
        <x:v>Proposed; no website change made</x:v>
      </x:c>
      <x:c r="R337" s="14"/>
      <x:c r="S337" s="14"/>
      <x:c r="T337" s="15"/>
      <x:c r="U337" s="16"/>
      <x:c r="V337" s="6" t="str">
        <x:v>https://digitecme.com/ar/brands/jeep-service-dubai/transmission-repair</x:v>
      </x:c>
      <x:c r="W337" s="6" t="str">
        <x:v>Noindex directive</x:v>
      </x:c>
      <x:c r="X337" s="6" t="n">
        <x:v>16</x:v>
      </x:c>
      <x:c r="Y337" s="6" t="str">
        <x:v>إصلاح ناقل الحركة Jeep في دبي | ديجي-تك</x:v>
      </x:c>
      <x:c r="Z337" s="6" t="str"/>
      <x:c r="AA337" s="6" t="str">
        <x:v>No / not compared</x:v>
      </x:c>
    </x:row>
    <x:row r="338" ht="42" customHeight="1">
      <x:c r="A338" s="6" t="str">
        <x:v>https://digitecme.com/ar/brands/jetour-service-dubai</x:v>
      </x:c>
      <x:c r="B338" s="6" t="str"/>
      <x:c r="C338" s="6" t="str"/>
      <x:c r="D338" s="6" t="str">
        <x:v>brand</x:v>
      </x:c>
      <x:c r="E338" s="6" t="str">
        <x:v>Retain differentiated role</x:v>
      </x:c>
      <x:c r="F338" s="6" t="str">
        <x:v>Local source render; live version unverified</x:v>
      </x:c>
      <x:c r="G338" s="6" t="str">
        <x:v>إصلاح وصيانة Jetour في دبي | مركز ديجي-تك</x:v>
      </x:c>
      <x:c r="H338" s="6" t="str">
        <x:v>إصلاح وصيانة Jetour في دبي | مركز ديجي-تك</x:v>
      </x:c>
      <x:c r="I338" s="6" t="str">
        <x:v>Jetour للإصلاح والصيانة في دبي</x:v>
      </x:c>
      <x:c r="J338" s="6" t="str">
        <x:v>Jetour للإصلاح والصيانة في دبي</x:v>
      </x:c>
      <x:c r="K338" s="6" t="str">
        <x:v>إصلاح وصيانة Jetour في دبي: تشخيص وصيانة وفرامل وناقل حركة وتعليق وتكييف مع قطع بالمواصفات المناسبة لدى مركز ديجي-تك.</x:v>
      </x:c>
      <x:c r="L338" s="6" t="str">
        <x:v>Retain pending evidence; no specific content edit justified by this export.</x:v>
      </x:c>
      <x:c r="M338" s="6" t="str">
        <x:v>Retain; inspect relevant context before adding links</x:v>
      </x:c>
      <x:c r="N338" s="6" t="str">
        <x:v>Unconfirmed — no query/page pairing</x:v>
      </x:c>
      <x:c r="O338" s="6" t="str">
        <x:v>Retain established booking / WhatsApp / call path; live behaviour untested</x:v>
      </x:c>
      <x:c r="P338" s="6" t="str">
        <x:v>Retain canonical and indexation policy pending a live check.</x:v>
      </x:c>
      <x:c r="Q338" s="6" t="str">
        <x:v>Proposed; no website change made</x:v>
      </x:c>
      <x:c r="R338" s="14" t="n">
        <x:v>0</x:v>
      </x:c>
      <x:c r="S338" s="14" t="n">
        <x:v>60</x:v>
      </x:c>
      <x:c r="T338" s="15" t="n">
        <x:v>0</x:v>
      </x:c>
      <x:c r="U338" s="16" t="n">
        <x:v>14.73</x:v>
      </x:c>
      <x:c r="V338" s="6" t="str">
        <x:v>https://digitecme.com/ar/brands/jetour-service-dubai</x:v>
      </x:c>
      <x:c r="W338" s="6" t="str">
        <x:v>Indexable directive</x:v>
      </x:c>
      <x:c r="X338" s="6" t="n">
        <x:v>38</x:v>
      </x:c>
      <x:c r="Y338" s="6" t="str">
        <x:v>إصلاح وصيانة Jetour في دبي | مركز ديجي-تك</x:v>
      </x:c>
      <x:c r="Z338" s="6" t="str"/>
      <x:c r="AA338" s="6" t="str">
        <x:v>No / not compared</x:v>
      </x:c>
    </x:row>
    <x:row r="339" ht="42" customHeight="1">
      <x:c r="A339" s="6" t="str">
        <x:v>https://digitecme.com/ar/brands/jetour-service-dubai/ac-repair</x:v>
      </x:c>
      <x:c r="B339" s="6" t="str"/>
      <x:c r="C339" s="6" t="str"/>
      <x:c r="D339" s="6" t="str">
        <x:v>brand-service</x:v>
      </x:c>
      <x:c r="E339" s="6" t="str">
        <x:v>Retain differentiated role</x:v>
      </x:c>
      <x:c r="F339" s="6" t="str">
        <x:v>Local source render; live version unverified</x:v>
      </x:c>
      <x:c r="G339" s="6" t="str">
        <x:v>إصلاح التكييف Jetour في دبي | ديجي-تك</x:v>
      </x:c>
      <x:c r="H339" s="6" t="str">
        <x:v>إصلاح التكييف Jetour في دبي | ديجي-تك</x:v>
      </x:c>
      <x:c r="I339" s="6" t="str">
        <x:v>إصلاح التكييف Jetour في دبي</x:v>
      </x:c>
      <x:c r="J339" s="6" t="str">
        <x:v>إصلاح التكييف Jetour في دبي</x:v>
      </x:c>
      <x:c r="K339" s="6" t="str">
        <x:v>إصلاح التكييف متخصص لسيارات Jetour في دبي مع تشخيص متقدم وقطع مناسبة وتسعير واضح لدى مركز ديجي-تك.</x:v>
      </x:c>
      <x:c r="L339" s="6" t="str">
        <x:v>Retain pending evidence; no specific content edit justified by this export.</x:v>
      </x:c>
      <x:c r="M339" s="6" t="str">
        <x:v>Retain; inspect relevant context before adding links</x:v>
      </x:c>
      <x:c r="N339" s="6" t="str">
        <x:v>Unconfirmed — no query/page pairing</x:v>
      </x:c>
      <x:c r="O339" s="6" t="str">
        <x:v>Retain established booking / WhatsApp / call path; live behaviour untested</x:v>
      </x:c>
      <x:c r="P339" s="6" t="str">
        <x:v>Retain canonical and indexation policy pending a live check.</x:v>
      </x:c>
      <x:c r="Q339" s="6" t="str">
        <x:v>Proposed; no website change made</x:v>
      </x:c>
      <x:c r="R339" s="14" t="n">
        <x:v>0</x:v>
      </x:c>
      <x:c r="S339" s="14" t="n">
        <x:v>1</x:v>
      </x:c>
      <x:c r="T339" s="15" t="n">
        <x:v>0</x:v>
      </x:c>
      <x:c r="U339" s="16" t="n">
        <x:v>6</x:v>
      </x:c>
      <x:c r="V339" s="6" t="str">
        <x:v>https://digitecme.com/ar/brands/jetour-service-dubai/ac-repair</x:v>
      </x:c>
      <x:c r="W339" s="6" t="str">
        <x:v>Indexable directive</x:v>
      </x:c>
      <x:c r="X339" s="6" t="n">
        <x:v>16</x:v>
      </x:c>
      <x:c r="Y339" s="6" t="str">
        <x:v>إصلاح التكييف Jetour في دبي | ديجي-تك</x:v>
      </x:c>
      <x:c r="Z339" s="6" t="str"/>
      <x:c r="AA339" s="6" t="str">
        <x:v>No / not compared</x:v>
      </x:c>
    </x:row>
    <x:row r="340" ht="42" customHeight="1">
      <x:c r="A340" s="6" t="str">
        <x:v>https://digitecme.com/ar/brands/jetour-service-dubai/battery-replacement</x:v>
      </x:c>
      <x:c r="B340" s="6" t="str"/>
      <x:c r="C340" s="6" t="str"/>
      <x:c r="D340" s="6" t="str">
        <x:v>brand-service</x:v>
      </x:c>
      <x:c r="E340" s="6" t="str">
        <x:v>Retain differentiated role</x:v>
      </x:c>
      <x:c r="F340" s="6" t="str">
        <x:v>Local source render; live version unverified</x:v>
      </x:c>
      <x:c r="G340" s="6" t="str">
        <x:v>تبديل البطارية Jetour في دبي | ديجي-تك</x:v>
      </x:c>
      <x:c r="H340" s="6" t="str">
        <x:v>تبديل البطارية Jetour في دبي | ديجي-تك</x:v>
      </x:c>
      <x:c r="I340" s="6" t="str">
        <x:v>تبديل البطارية Jetour في دبي</x:v>
      </x:c>
      <x:c r="J340" s="6" t="str">
        <x:v>تبديل البطارية Jetour في دبي</x:v>
      </x:c>
      <x:c r="K340" s="6" t="str">
        <x:v>تبديل البطارية متخصص لسيارات Jetour في دبي مع تشخيص متقدم وقطع مناسبة وتسعير واضح لدى مركز ديجي-تك.</x:v>
      </x:c>
      <x:c r="L340" s="6" t="str">
        <x:v>Retain pending evidence; no specific content edit justified by this export.</x:v>
      </x:c>
      <x:c r="M340" s="6" t="str">
        <x:v>Retain; inspect relevant context before adding links</x:v>
      </x:c>
      <x:c r="N340" s="6" t="str">
        <x:v>Unconfirmed — no query/page pairing</x:v>
      </x:c>
      <x:c r="O340" s="6" t="str">
        <x:v>Retain established booking / WhatsApp / call path; live behaviour untested</x:v>
      </x:c>
      <x:c r="P340" s="6" t="str">
        <x:v>Retain canonical and indexation policy pending a live check.</x:v>
      </x:c>
      <x:c r="Q340" s="6" t="str">
        <x:v>Proposed; no website change made</x:v>
      </x:c>
      <x:c r="R340" s="14"/>
      <x:c r="S340" s="14"/>
      <x:c r="T340" s="15"/>
      <x:c r="U340" s="16"/>
      <x:c r="V340" s="6" t="str">
        <x:v>https://digitecme.com/ar/brands/jetour-service-dubai/battery-replacement</x:v>
      </x:c>
      <x:c r="W340" s="6" t="str">
        <x:v>Noindex directive</x:v>
      </x:c>
      <x:c r="X340" s="6" t="n">
        <x:v>16</x:v>
      </x:c>
      <x:c r="Y340" s="6" t="str">
        <x:v>تبديل البطارية Jetour في دبي | ديجي-تك</x:v>
      </x:c>
      <x:c r="Z340" s="6" t="str"/>
      <x:c r="AA340" s="6" t="str">
        <x:v>No / not compared</x:v>
      </x:c>
    </x:row>
    <x:row r="341" ht="42" customHeight="1">
      <x:c r="A341" s="6" t="str">
        <x:v>https://digitecme.com/ar/brands/jetour-service-dubai/body-repair</x:v>
      </x:c>
      <x:c r="B341" s="6" t="str"/>
      <x:c r="C341" s="6" t="str"/>
      <x:c r="D341" s="6" t="str">
        <x:v>brand-service</x:v>
      </x:c>
      <x:c r="E341" s="6" t="str">
        <x:v>Retain differentiated role</x:v>
      </x:c>
      <x:c r="F341" s="6" t="str">
        <x:v>Local source render; live version unverified</x:v>
      </x:c>
      <x:c r="G341" s="6" t="str">
        <x:v>إصلاح الهيكل Jetour في دبي | ديجي-تك</x:v>
      </x:c>
      <x:c r="H341" s="6" t="str">
        <x:v>إصلاح الهيكل Jetour في دبي | ديجي-تك</x:v>
      </x:c>
      <x:c r="I341" s="6" t="str">
        <x:v>إصلاح الهيكل Jetour في دبي</x:v>
      </x:c>
      <x:c r="J341" s="6" t="str">
        <x:v>إصلاح الهيكل Jetour في دبي</x:v>
      </x:c>
      <x:c r="K341" s="6" t="str">
        <x:v>إصلاح الهيكل متخصص لسيارات Jetour في دبي مع تشخيص متقدم وقطع مناسبة وتسعير واضح لدى مركز ديجي-تك.</x:v>
      </x:c>
      <x:c r="L341" s="6" t="str">
        <x:v>Retain pending evidence; no specific content edit justified by this export.</x:v>
      </x:c>
      <x:c r="M341" s="6" t="str">
        <x:v>Retain; inspect relevant context before adding links</x:v>
      </x:c>
      <x:c r="N341" s="6" t="str">
        <x:v>Unconfirmed — no query/page pairing</x:v>
      </x:c>
      <x:c r="O341" s="6" t="str">
        <x:v>Retain established booking / WhatsApp / call path; live behaviour untested</x:v>
      </x:c>
      <x:c r="P341" s="6" t="str">
        <x:v>Retain canonical and indexation policy pending a live check.</x:v>
      </x:c>
      <x:c r="Q341" s="6" t="str">
        <x:v>Proposed; no website change made</x:v>
      </x:c>
      <x:c r="R341" s="14" t="n">
        <x:v>0</x:v>
      </x:c>
      <x:c r="S341" s="14" t="n">
        <x:v>4</x:v>
      </x:c>
      <x:c r="T341" s="15" t="n">
        <x:v>0</x:v>
      </x:c>
      <x:c r="U341" s="16" t="n">
        <x:v>8.5</x:v>
      </x:c>
      <x:c r="V341" s="6" t="str">
        <x:v>https://digitecme.com/ar/brands/jetour-service-dubai/body-repair</x:v>
      </x:c>
      <x:c r="W341" s="6" t="str">
        <x:v>Noindex directive</x:v>
      </x:c>
      <x:c r="X341" s="6" t="n">
        <x:v>16</x:v>
      </x:c>
      <x:c r="Y341" s="6" t="str">
        <x:v>إصلاح الهيكل Jetour في دبي | ديجي-تك</x:v>
      </x:c>
      <x:c r="Z341" s="6" t="str"/>
      <x:c r="AA341" s="6" t="str">
        <x:v>No / not compared</x:v>
      </x:c>
    </x:row>
    <x:row r="342" ht="42" customHeight="1">
      <x:c r="A342" s="6" t="str">
        <x:v>https://digitecme.com/ar/brands/jetour-service-dubai/brake-repair</x:v>
      </x:c>
      <x:c r="B342" s="6" t="str"/>
      <x:c r="C342" s="6" t="str"/>
      <x:c r="D342" s="6" t="str">
        <x:v>brand-service</x:v>
      </x:c>
      <x:c r="E342" s="6" t="str">
        <x:v>Retain differentiated role</x:v>
      </x:c>
      <x:c r="F342" s="6" t="str">
        <x:v>Local source render; live version unverified</x:v>
      </x:c>
      <x:c r="G342" s="6" t="str">
        <x:v>إصلاح الفرامل Jetour في دبي | ديجي-تك</x:v>
      </x:c>
      <x:c r="H342" s="6" t="str">
        <x:v>إصلاح الفرامل Jetour في دبي | ديجي-تك</x:v>
      </x:c>
      <x:c r="I342" s="6" t="str">
        <x:v>إصلاح الفرامل Jetour في دبي</x:v>
      </x:c>
      <x:c r="J342" s="6" t="str">
        <x:v>إصلاح الفرامل Jetour في دبي</x:v>
      </x:c>
      <x:c r="K342" s="6" t="str">
        <x:v>إصلاح الفرامل متخصص لسيارات Jetour في دبي مع تشخيص متقدم وقطع مناسبة وتسعير واضح لدى مركز ديجي-تك.</x:v>
      </x:c>
      <x:c r="L342" s="6" t="str">
        <x:v>Retain pending evidence; no specific content edit justified by this export.</x:v>
      </x:c>
      <x:c r="M342" s="6" t="str">
        <x:v>Retain; inspect relevant context before adding links</x:v>
      </x:c>
      <x:c r="N342" s="6" t="str">
        <x:v>Unconfirmed — no query/page pairing</x:v>
      </x:c>
      <x:c r="O342" s="6" t="str">
        <x:v>Retain established booking / WhatsApp / call path; live behaviour untested</x:v>
      </x:c>
      <x:c r="P342" s="6" t="str">
        <x:v>Retain canonical and indexation policy pending a live check.</x:v>
      </x:c>
      <x:c r="Q342" s="6" t="str">
        <x:v>Proposed; no website change made</x:v>
      </x:c>
      <x:c r="R342" s="14" t="n">
        <x:v>0</x:v>
      </x:c>
      <x:c r="S342" s="14" t="n">
        <x:v>1</x:v>
      </x:c>
      <x:c r="T342" s="15" t="n">
        <x:v>0</x:v>
      </x:c>
      <x:c r="U342" s="16" t="n">
        <x:v>10</x:v>
      </x:c>
      <x:c r="V342" s="6" t="str">
        <x:v>https://digitecme.com/ar/brands/jetour-service-dubai/brake-repair</x:v>
      </x:c>
      <x:c r="W342" s="6" t="str">
        <x:v>Indexable directive</x:v>
      </x:c>
      <x:c r="X342" s="6" t="n">
        <x:v>16</x:v>
      </x:c>
      <x:c r="Y342" s="6" t="str">
        <x:v>إصلاح الفرامل Jetour في دبي | ديجي-تك</x:v>
      </x:c>
      <x:c r="Z342" s="6" t="str"/>
      <x:c r="AA342" s="6" t="str">
        <x:v>No / not compared</x:v>
      </x:c>
    </x:row>
    <x:row r="343" ht="42" customHeight="1">
      <x:c r="A343" s="6" t="str">
        <x:v>https://digitecme.com/ar/brands/jetour-service-dubai/electrical-repair</x:v>
      </x:c>
      <x:c r="B343" s="6" t="str"/>
      <x:c r="C343" s="6" t="str"/>
      <x:c r="D343" s="6" t="str">
        <x:v>brand-service</x:v>
      </x:c>
      <x:c r="E343" s="6" t="str">
        <x:v>Retain differentiated role</x:v>
      </x:c>
      <x:c r="F343" s="6" t="str">
        <x:v>Local source render; live version unverified</x:v>
      </x:c>
      <x:c r="G343" s="6" t="str">
        <x:v>إصلاح الكهرباء Jetour في دبي | ديجي-تك</x:v>
      </x:c>
      <x:c r="H343" s="6" t="str">
        <x:v>إصلاح الكهرباء Jetour في دبي | ديجي-تك</x:v>
      </x:c>
      <x:c r="I343" s="6" t="str">
        <x:v>إصلاح الكهرباء Jetour في دبي</x:v>
      </x:c>
      <x:c r="J343" s="6" t="str">
        <x:v>إصلاح الكهرباء Jetour في دبي</x:v>
      </x:c>
      <x:c r="K343" s="6" t="str">
        <x:v>إصلاح الكهرباء متخصص لسيارات Jetour في دبي مع تشخيص متقدم وقطع مناسبة وتسعير واضح لدى مركز ديجي-تك.</x:v>
      </x:c>
      <x:c r="L343" s="6" t="str">
        <x:v>Retain pending evidence; no specific content edit justified by this export.</x:v>
      </x:c>
      <x:c r="M343" s="6" t="str">
        <x:v>Retain; inspect relevant context before adding links</x:v>
      </x:c>
      <x:c r="N343" s="6" t="str">
        <x:v>Unconfirmed — no query/page pairing</x:v>
      </x:c>
      <x:c r="O343" s="6" t="str">
        <x:v>Retain established booking / WhatsApp / call path; live behaviour untested</x:v>
      </x:c>
      <x:c r="P343" s="6" t="str">
        <x:v>Retain canonical and indexation policy pending a live check.</x:v>
      </x:c>
      <x:c r="Q343" s="6" t="str">
        <x:v>Proposed; no website change made</x:v>
      </x:c>
      <x:c r="R343" s="14" t="n">
        <x:v>0</x:v>
      </x:c>
      <x:c r="S343" s="14" t="n">
        <x:v>3</x:v>
      </x:c>
      <x:c r="T343" s="15" t="n">
        <x:v>0</x:v>
      </x:c>
      <x:c r="U343" s="16" t="n">
        <x:v>35</x:v>
      </x:c>
      <x:c r="V343" s="6" t="str">
        <x:v>https://digitecme.com/ar/brands/jetour-service-dubai/electrical-repair</x:v>
      </x:c>
      <x:c r="W343" s="6" t="str">
        <x:v>Noindex directive</x:v>
      </x:c>
      <x:c r="X343" s="6" t="n">
        <x:v>16</x:v>
      </x:c>
      <x:c r="Y343" s="6" t="str">
        <x:v>إصلاح الكهرباء Jetour في دبي | ديجي-تك</x:v>
      </x:c>
      <x:c r="Z343" s="6" t="str"/>
      <x:c r="AA343" s="6" t="str">
        <x:v>No / not compared</x:v>
      </x:c>
    </x:row>
    <x:row r="344" ht="42" customHeight="1">
      <x:c r="A344" s="6" t="str">
        <x:v>https://digitecme.com/ar/brands/jetour-service-dubai/engine-diagnostics</x:v>
      </x:c>
      <x:c r="B344" s="6" t="str"/>
      <x:c r="C344" s="6" t="str"/>
      <x:c r="D344" s="6" t="str">
        <x:v>brand-service</x:v>
      </x:c>
      <x:c r="E344" s="6" t="str">
        <x:v>Retain differentiated role</x:v>
      </x:c>
      <x:c r="F344" s="6" t="str">
        <x:v>Local source render; live version unverified</x:v>
      </x:c>
      <x:c r="G344" s="6" t="str">
        <x:v>تشخيص المحرك Jetour في دبي | ديجي-تك</x:v>
      </x:c>
      <x:c r="H344" s="6" t="str">
        <x:v>تشخيص المحرك Jetour في دبي | ديجي-تك</x:v>
      </x:c>
      <x:c r="I344" s="6" t="str">
        <x:v>تشخيص المحرك Jetour في دبي</x:v>
      </x:c>
      <x:c r="J344" s="6" t="str">
        <x:v>تشخيص المحرك Jetour في دبي</x:v>
      </x:c>
      <x:c r="K344" s="6" t="str">
        <x:v>تشخيص المحرك متخصص لسيارات Jetour في دبي مع تشخيص متقدم وقطع مناسبة وتسعير واضح لدى مركز ديجي-تك.</x:v>
      </x:c>
      <x:c r="L344" s="6" t="str">
        <x:v>Retain pending evidence; no specific content edit justified by this export.</x:v>
      </x:c>
      <x:c r="M344" s="6" t="str">
        <x:v>Retain; inspect relevant context before adding links</x:v>
      </x:c>
      <x:c r="N344" s="6" t="str">
        <x:v>Unconfirmed — no query/page pairing</x:v>
      </x:c>
      <x:c r="O344" s="6" t="str">
        <x:v>Retain established booking / WhatsApp / call path; live behaviour untested</x:v>
      </x:c>
      <x:c r="P344" s="6" t="str">
        <x:v>Retain canonical and indexation policy pending a live check.</x:v>
      </x:c>
      <x:c r="Q344" s="6" t="str">
        <x:v>Proposed; no website change made</x:v>
      </x:c>
      <x:c r="R344" s="14" t="n">
        <x:v>0</x:v>
      </x:c>
      <x:c r="S344" s="14" t="n">
        <x:v>4</x:v>
      </x:c>
      <x:c r="T344" s="15" t="n">
        <x:v>0</x:v>
      </x:c>
      <x:c r="U344" s="16" t="n">
        <x:v>16.5</x:v>
      </x:c>
      <x:c r="V344" s="6" t="str">
        <x:v>https://digitecme.com/ar/brands/jetour-service-dubai/engine-diagnostics</x:v>
      </x:c>
      <x:c r="W344" s="6" t="str">
        <x:v>Indexable directive</x:v>
      </x:c>
      <x:c r="X344" s="6" t="n">
        <x:v>16</x:v>
      </x:c>
      <x:c r="Y344" s="6" t="str">
        <x:v>تشخيص المحرك Jetour في دبي | ديجي-تك</x:v>
      </x:c>
      <x:c r="Z344" s="6" t="str"/>
      <x:c r="AA344" s="6" t="str">
        <x:v>No / not compared</x:v>
      </x:c>
    </x:row>
    <x:row r="345" ht="42" customHeight="1">
      <x:c r="A345" s="6" t="str">
        <x:v>https://digitecme.com/ar/brands/jetour-service-dubai/exhaust-repair</x:v>
      </x:c>
      <x:c r="B345" s="6" t="str"/>
      <x:c r="C345" s="6" t="str"/>
      <x:c r="D345" s="6" t="str">
        <x:v>brand-service</x:v>
      </x:c>
      <x:c r="E345" s="6" t="str">
        <x:v>Retain differentiated role</x:v>
      </x:c>
      <x:c r="F345" s="6" t="str">
        <x:v>Local source render; live version unverified</x:v>
      </x:c>
      <x:c r="G345" s="6" t="str">
        <x:v>إصلاح العادم Jetour في دبي | ديجي-تك</x:v>
      </x:c>
      <x:c r="H345" s="6" t="str">
        <x:v>إصلاح العادم Jetour في دبي | ديجي-تك</x:v>
      </x:c>
      <x:c r="I345" s="6" t="str">
        <x:v>إصلاح العادم Jetour في دبي</x:v>
      </x:c>
      <x:c r="J345" s="6" t="str">
        <x:v>إصلاح العادم Jetour في دبي</x:v>
      </x:c>
      <x:c r="K345" s="6" t="str">
        <x:v>إصلاح العادم متخصص لسيارات Jetour في دبي مع تشخيص متقدم وقطع مناسبة وتسعير واضح لدى مركز ديجي-تك.</x:v>
      </x:c>
      <x:c r="L345" s="6" t="str">
        <x:v>Retain pending evidence; no specific content edit justified by this export.</x:v>
      </x:c>
      <x:c r="M345" s="6" t="str">
        <x:v>Retain; inspect relevant context before adding links</x:v>
      </x:c>
      <x:c r="N345" s="6" t="str">
        <x:v>Unconfirmed — no query/page pairing</x:v>
      </x:c>
      <x:c r="O345" s="6" t="str">
        <x:v>Retain established booking / WhatsApp / call path; live behaviour untested</x:v>
      </x:c>
      <x:c r="P345" s="6" t="str">
        <x:v>Retain canonical and indexation policy pending a live check.</x:v>
      </x:c>
      <x:c r="Q345" s="6" t="str">
        <x:v>Proposed; no website change made</x:v>
      </x:c>
      <x:c r="R345" s="14" t="n">
        <x:v>0</x:v>
      </x:c>
      <x:c r="S345" s="14" t="n">
        <x:v>1</x:v>
      </x:c>
      <x:c r="T345" s="15" t="n">
        <x:v>0</x:v>
      </x:c>
      <x:c r="U345" s="16" t="n">
        <x:v>5</x:v>
      </x:c>
      <x:c r="V345" s="6" t="str">
        <x:v>https://digitecme.com/ar/brands/jetour-service-dubai/exhaust-repair</x:v>
      </x:c>
      <x:c r="W345" s="6" t="str">
        <x:v>Noindex directive</x:v>
      </x:c>
      <x:c r="X345" s="6" t="n">
        <x:v>16</x:v>
      </x:c>
      <x:c r="Y345" s="6" t="str">
        <x:v>إصلاح العادم Jetour في دبي | ديجي-تك</x:v>
      </x:c>
      <x:c r="Z345" s="6" t="str"/>
      <x:c r="AA345" s="6" t="str">
        <x:v>No / not compared</x:v>
      </x:c>
    </x:row>
    <x:row r="346" ht="42" customHeight="1">
      <x:c r="A346" s="6" t="str">
        <x:v>https://digitecme.com/ar/brands/jetour-service-dubai/fuel-system-repair</x:v>
      </x:c>
      <x:c r="B346" s="6" t="str"/>
      <x:c r="C346" s="6" t="str"/>
      <x:c r="D346" s="6" t="str">
        <x:v>brand-service</x:v>
      </x:c>
      <x:c r="E346" s="6" t="str">
        <x:v>Retain differentiated role</x:v>
      </x:c>
      <x:c r="F346" s="6" t="str">
        <x:v>Local source render; live version unverified</x:v>
      </x:c>
      <x:c r="G346" s="6" t="str">
        <x:v>إصلاح نظام الوقود Jetour في دبي | ديجي-تك</x:v>
      </x:c>
      <x:c r="H346" s="6" t="str">
        <x:v>إصلاح نظام الوقود Jetour في دبي | ديجي-تك</x:v>
      </x:c>
      <x:c r="I346" s="6" t="str">
        <x:v>إصلاح نظام الوقود Jetour في دبي</x:v>
      </x:c>
      <x:c r="J346" s="6" t="str">
        <x:v>إصلاح نظام الوقود Jetour في دبي</x:v>
      </x:c>
      <x:c r="K346" s="6" t="str">
        <x:v>إصلاح نظام الوقود متخصص لسيارات Jetour في دبي مع تشخيص متقدم وقطع مناسبة وتسعير واضح لدى مركز ديجي-تك.</x:v>
      </x:c>
      <x:c r="L346" s="6" t="str">
        <x:v>Retain pending evidence; no specific content edit justified by this export.</x:v>
      </x:c>
      <x:c r="M346" s="6" t="str">
        <x:v>Retain; inspect relevant context before adding links</x:v>
      </x:c>
      <x:c r="N346" s="6" t="str">
        <x:v>Unconfirmed — no query/page pairing</x:v>
      </x:c>
      <x:c r="O346" s="6" t="str">
        <x:v>Retain established booking / WhatsApp / call path; live behaviour untested</x:v>
      </x:c>
      <x:c r="P346" s="6" t="str">
        <x:v>Retain canonical and indexation policy pending a live check.</x:v>
      </x:c>
      <x:c r="Q346" s="6" t="str">
        <x:v>Proposed; no website change made</x:v>
      </x:c>
      <x:c r="R346" s="14" t="n">
        <x:v>0</x:v>
      </x:c>
      <x:c r="S346" s="14" t="n">
        <x:v>4</x:v>
      </x:c>
      <x:c r="T346" s="15" t="n">
        <x:v>0</x:v>
      </x:c>
      <x:c r="U346" s="16" t="n">
        <x:v>29.75</x:v>
      </x:c>
      <x:c r="V346" s="6" t="str">
        <x:v>https://digitecme.com/ar/brands/jetour-service-dubai/fuel-system-repair</x:v>
      </x:c>
      <x:c r="W346" s="6" t="str">
        <x:v>Noindex directive</x:v>
      </x:c>
      <x:c r="X346" s="6" t="n">
        <x:v>16</x:v>
      </x:c>
      <x:c r="Y346" s="6" t="str">
        <x:v>إصلاح نظام الوقود Jetour في دبي | ديجي-تك</x:v>
      </x:c>
      <x:c r="Z346" s="6" t="str"/>
      <x:c r="AA346" s="6" t="str">
        <x:v>No / not compared</x:v>
      </x:c>
    </x:row>
    <x:row r="347" ht="42" customHeight="1">
      <x:c r="A347" s="6" t="str">
        <x:v>https://digitecme.com/ar/brands/jetour-service-dubai/mechanical-repair</x:v>
      </x:c>
      <x:c r="B347" s="6" t="str"/>
      <x:c r="C347" s="6" t="str"/>
      <x:c r="D347" s="6" t="str">
        <x:v>brand-service</x:v>
      </x:c>
      <x:c r="E347" s="6" t="str">
        <x:v>Retain differentiated role</x:v>
      </x:c>
      <x:c r="F347" s="6" t="str">
        <x:v>Local source render; live version unverified</x:v>
      </x:c>
      <x:c r="G347" s="6" t="str">
        <x:v>الإصلاح الميكانيكي Jetour في دبي | ديجي-تك</x:v>
      </x:c>
      <x:c r="H347" s="6" t="str">
        <x:v>الإصلاح الميكانيكي Jetour في دبي | ديجي-تك</x:v>
      </x:c>
      <x:c r="I347" s="6" t="str">
        <x:v>الإصلاح الميكانيكي Jetour في دبي</x:v>
      </x:c>
      <x:c r="J347" s="6" t="str">
        <x:v>الإصلاح الميكانيكي Jetour في دبي</x:v>
      </x:c>
      <x:c r="K347" s="6" t="str">
        <x:v>الإصلاح الميكانيكي متخصص لسيارات Jetour في دبي مع تشخيص متقدم وقطع مناسبة وتسعير واضح لدى مركز ديجي-تك.</x:v>
      </x:c>
      <x:c r="L347" s="6" t="str">
        <x:v>Retain pending evidence; no specific content edit justified by this export.</x:v>
      </x:c>
      <x:c r="M347" s="6" t="str">
        <x:v>Retain; inspect relevant context before adding links</x:v>
      </x:c>
      <x:c r="N347" s="6" t="str">
        <x:v>Unconfirmed — no query/page pairing</x:v>
      </x:c>
      <x:c r="O347" s="6" t="str">
        <x:v>Retain established booking / WhatsApp / call path; live behaviour untested</x:v>
      </x:c>
      <x:c r="P347" s="6" t="str">
        <x:v>Retain canonical and indexation policy pending a live check.</x:v>
      </x:c>
      <x:c r="Q347" s="6" t="str">
        <x:v>Proposed; no website change made</x:v>
      </x:c>
      <x:c r="R347" s="14" t="n">
        <x:v>0</x:v>
      </x:c>
      <x:c r="S347" s="14" t="n">
        <x:v>4</x:v>
      </x:c>
      <x:c r="T347" s="15" t="n">
        <x:v>0</x:v>
      </x:c>
      <x:c r="U347" s="16" t="n">
        <x:v>31.25</x:v>
      </x:c>
      <x:c r="V347" s="6" t="str">
        <x:v>https://digitecme.com/ar/brands/jetour-service-dubai/mechanical-repair</x:v>
      </x:c>
      <x:c r="W347" s="6" t="str">
        <x:v>Noindex directive</x:v>
      </x:c>
      <x:c r="X347" s="6" t="n">
        <x:v>16</x:v>
      </x:c>
      <x:c r="Y347" s="6" t="str">
        <x:v>الإصلاح الميكانيكي Jetour في دبي | ديجي-تك</x:v>
      </x:c>
      <x:c r="Z347" s="6" t="str"/>
      <x:c r="AA347" s="6" t="str">
        <x:v>No / not compared</x:v>
      </x:c>
    </x:row>
    <x:row r="348" ht="42" customHeight="1">
      <x:c r="A348" s="6" t="str">
        <x:v>https://digitecme.com/ar/brands/jetour-service-dubai/oil-change</x:v>
      </x:c>
      <x:c r="B348" s="6" t="str"/>
      <x:c r="C348" s="6" t="str"/>
      <x:c r="D348" s="6" t="str">
        <x:v>brand-service</x:v>
      </x:c>
      <x:c r="E348" s="6" t="str">
        <x:v>Retain differentiated role</x:v>
      </x:c>
      <x:c r="F348" s="6" t="str">
        <x:v>Local source render; live version unverified</x:v>
      </x:c>
      <x:c r="G348" s="6" t="str">
        <x:v>تغيير الزيت Jetour في دبي | ديجي-تك</x:v>
      </x:c>
      <x:c r="H348" s="6" t="str">
        <x:v>تغيير الزيت Jetour في دبي | ديجي-تك</x:v>
      </x:c>
      <x:c r="I348" s="6" t="str">
        <x:v>تغيير الزيت Jetour في دبي</x:v>
      </x:c>
      <x:c r="J348" s="6" t="str">
        <x:v>تغيير الزيت Jetour في دبي</x:v>
      </x:c>
      <x:c r="K348" s="6" t="str">
        <x:v>تغيير الزيت متخصص لسيارات Jetour في دبي مع تشخيص متقدم وقطع مناسبة وتسعير واضح لدى مركز ديجي-تك.</x:v>
      </x:c>
      <x:c r="L348" s="6" t="str">
        <x:v>Retain pending evidence; no specific content edit justified by this export.</x:v>
      </x:c>
      <x:c r="M348" s="6" t="str">
        <x:v>Retain; inspect relevant context before adding links</x:v>
      </x:c>
      <x:c r="N348" s="6" t="str">
        <x:v>Unconfirmed — no query/page pairing</x:v>
      </x:c>
      <x:c r="O348" s="6" t="str">
        <x:v>Retain established booking / WhatsApp / call path; live behaviour untested</x:v>
      </x:c>
      <x:c r="P348" s="6" t="str">
        <x:v>Retain canonical and indexation policy pending a live check.</x:v>
      </x:c>
      <x:c r="Q348" s="6" t="str">
        <x:v>Proposed; no website change made</x:v>
      </x:c>
      <x:c r="R348" s="14" t="n">
        <x:v>1</x:v>
      </x:c>
      <x:c r="S348" s="14" t="n">
        <x:v>20</x:v>
      </x:c>
      <x:c r="T348" s="15" t="n">
        <x:v>0.05</x:v>
      </x:c>
      <x:c r="U348" s="16" t="n">
        <x:v>6.95</x:v>
      </x:c>
      <x:c r="V348" s="6" t="str">
        <x:v>https://digitecme.com/ar/brands/jetour-service-dubai/oil-change</x:v>
      </x:c>
      <x:c r="W348" s="6" t="str">
        <x:v>Indexable directive</x:v>
      </x:c>
      <x:c r="X348" s="6" t="n">
        <x:v>16</x:v>
      </x:c>
      <x:c r="Y348" s="6" t="str">
        <x:v>تغيير الزيت Jetour في دبي | ديجي-تك</x:v>
      </x:c>
      <x:c r="Z348" s="6" t="str"/>
      <x:c r="AA348" s="6" t="str">
        <x:v>No / not compared</x:v>
      </x:c>
    </x:row>
    <x:row r="349" ht="42" customHeight="1">
      <x:c r="A349" s="6" t="str">
        <x:v>https://digitecme.com/ar/brands/jetour-service-dubai/steering-repair</x:v>
      </x:c>
      <x:c r="B349" s="6" t="str"/>
      <x:c r="C349" s="6" t="str"/>
      <x:c r="D349" s="6" t="str">
        <x:v>brand-service</x:v>
      </x:c>
      <x:c r="E349" s="6" t="str">
        <x:v>Retain differentiated role</x:v>
      </x:c>
      <x:c r="F349" s="6" t="str">
        <x:v>Local source render; live version unverified</x:v>
      </x:c>
      <x:c r="G349" s="6" t="str">
        <x:v>إصلاح نظام التوجيه Jetour في دبي | ديجي-تك</x:v>
      </x:c>
      <x:c r="H349" s="6" t="str">
        <x:v>إصلاح نظام التوجيه Jetour في دبي | ديجي-تك</x:v>
      </x:c>
      <x:c r="I349" s="6" t="str">
        <x:v>إصلاح نظام التوجيه Jetour في دبي</x:v>
      </x:c>
      <x:c r="J349" s="6" t="str">
        <x:v>إصلاح نظام التوجيه Jetour في دبي</x:v>
      </x:c>
      <x:c r="K349" s="6" t="str">
        <x:v>إصلاح نظام التوجيه متخصص لسيارات Jetour في دبي مع تشخيص متقدم وقطع مناسبة وتسعير واضح لدى مركز ديجي-تك.</x:v>
      </x:c>
      <x:c r="L349" s="6" t="str">
        <x:v>Retain pending evidence; no specific content edit justified by this export.</x:v>
      </x:c>
      <x:c r="M349" s="6" t="str">
        <x:v>Retain; inspect relevant context before adding links</x:v>
      </x:c>
      <x:c r="N349" s="6" t="str">
        <x:v>Unconfirmed — no query/page pairing</x:v>
      </x:c>
      <x:c r="O349" s="6" t="str">
        <x:v>Retain established booking / WhatsApp / call path; live behaviour untested</x:v>
      </x:c>
      <x:c r="P349" s="6" t="str">
        <x:v>Retain canonical and indexation policy pending a live check.</x:v>
      </x:c>
      <x:c r="Q349" s="6" t="str">
        <x:v>Proposed; no website change made</x:v>
      </x:c>
      <x:c r="R349" s="14"/>
      <x:c r="S349" s="14"/>
      <x:c r="T349" s="15"/>
      <x:c r="U349" s="16"/>
      <x:c r="V349" s="6" t="str">
        <x:v>https://digitecme.com/ar/brands/jetour-service-dubai/steering-repair</x:v>
      </x:c>
      <x:c r="W349" s="6" t="str">
        <x:v>Noindex directive</x:v>
      </x:c>
      <x:c r="X349" s="6" t="n">
        <x:v>16</x:v>
      </x:c>
      <x:c r="Y349" s="6" t="str">
        <x:v>إصلاح نظام التوجيه Jetour في دبي | ديجي-تك</x:v>
      </x:c>
      <x:c r="Z349" s="6" t="str"/>
      <x:c r="AA349" s="6" t="str">
        <x:v>No / not compared</x:v>
      </x:c>
    </x:row>
    <x:row r="350" ht="42" customHeight="1">
      <x:c r="A350" s="6" t="str">
        <x:v>https://digitecme.com/ar/brands/jetour-service-dubai/suspension-repair</x:v>
      </x:c>
      <x:c r="B350" s="6" t="str"/>
      <x:c r="C350" s="6" t="str"/>
      <x:c r="D350" s="6" t="str">
        <x:v>brand-service</x:v>
      </x:c>
      <x:c r="E350" s="6" t="str">
        <x:v>Retain differentiated role</x:v>
      </x:c>
      <x:c r="F350" s="6" t="str">
        <x:v>Local source render; live version unverified</x:v>
      </x:c>
      <x:c r="G350" s="6" t="str">
        <x:v>إصلاح التعليق Jetour في دبي | ديجي-تك</x:v>
      </x:c>
      <x:c r="H350" s="6" t="str">
        <x:v>إصلاح التعليق Jetour في دبي | ديجي-تك</x:v>
      </x:c>
      <x:c r="I350" s="6" t="str">
        <x:v>إصلاح التعليق Jetour في دبي</x:v>
      </x:c>
      <x:c r="J350" s="6" t="str">
        <x:v>إصلاح التعليق Jetour في دبي</x:v>
      </x:c>
      <x:c r="K350" s="6" t="str">
        <x:v>إصلاح التعليق متخصص لسيارات Jetour في دبي مع تشخيص متقدم وقطع مناسبة وتسعير واضح لدى مركز ديجي-تك.</x:v>
      </x:c>
      <x:c r="L350" s="6" t="str">
        <x:v>Retain pending evidence; no specific content edit justified by this export.</x:v>
      </x:c>
      <x:c r="M350" s="6" t="str">
        <x:v>Retain; inspect relevant context before adding links</x:v>
      </x:c>
      <x:c r="N350" s="6" t="str">
        <x:v>Unconfirmed — no query/page pairing</x:v>
      </x:c>
      <x:c r="O350" s="6" t="str">
        <x:v>Retain established booking / WhatsApp / call path; live behaviour untested</x:v>
      </x:c>
      <x:c r="P350" s="6" t="str">
        <x:v>Retain canonical and indexation policy pending a live check.</x:v>
      </x:c>
      <x:c r="Q350" s="6" t="str">
        <x:v>Proposed; no website change made</x:v>
      </x:c>
      <x:c r="R350" s="14" t="n">
        <x:v>0</x:v>
      </x:c>
      <x:c r="S350" s="14" t="n">
        <x:v>12</x:v>
      </x:c>
      <x:c r="T350" s="15" t="n">
        <x:v>0</x:v>
      </x:c>
      <x:c r="U350" s="16" t="n">
        <x:v>22.25</x:v>
      </x:c>
      <x:c r="V350" s="6" t="str">
        <x:v>https://digitecme.com/ar/brands/jetour-service-dubai/suspension-repair</x:v>
      </x:c>
      <x:c r="W350" s="6" t="str">
        <x:v>Noindex directive</x:v>
      </x:c>
      <x:c r="X350" s="6" t="n">
        <x:v>16</x:v>
      </x:c>
      <x:c r="Y350" s="6" t="str">
        <x:v>إصلاح التعليق Jetour في دبي | ديجي-تك</x:v>
      </x:c>
      <x:c r="Z350" s="6" t="str"/>
      <x:c r="AA350" s="6" t="str">
        <x:v>No / not compared</x:v>
      </x:c>
    </x:row>
    <x:row r="351" ht="42" customHeight="1">
      <x:c r="A351" s="6" t="str">
        <x:v>https://digitecme.com/ar/brands/jetour-service-dubai/tire-repair</x:v>
      </x:c>
      <x:c r="B351" s="6" t="str"/>
      <x:c r="C351" s="6" t="str"/>
      <x:c r="D351" s="6" t="str">
        <x:v>brand-service</x:v>
      </x:c>
      <x:c r="E351" s="6" t="str">
        <x:v>Retain differentiated role</x:v>
      </x:c>
      <x:c r="F351" s="6" t="str">
        <x:v>Local source render; live version unverified</x:v>
      </x:c>
      <x:c r="G351" s="6" t="str">
        <x:v>إصلاح الإطارات Jetour في دبي | ديجي-تك</x:v>
      </x:c>
      <x:c r="H351" s="6" t="str">
        <x:v>إصلاح الإطارات Jetour في دبي | ديجي-تك</x:v>
      </x:c>
      <x:c r="I351" s="6" t="str">
        <x:v>إصلاح الإطارات Jetour في دبي</x:v>
      </x:c>
      <x:c r="J351" s="6" t="str">
        <x:v>إصلاح الإطارات Jetour في دبي</x:v>
      </x:c>
      <x:c r="K351" s="6" t="str">
        <x:v>إصلاح الإطارات متخصص لسيارات Jetour في دبي مع تشخيص متقدم وقطع مناسبة وتسعير واضح لدى مركز ديجي-تك.</x:v>
      </x:c>
      <x:c r="L351" s="6" t="str">
        <x:v>Retain pending evidence; no specific content edit justified by this export.</x:v>
      </x:c>
      <x:c r="M351" s="6" t="str">
        <x:v>Retain; inspect relevant context before adding links</x:v>
      </x:c>
      <x:c r="N351" s="6" t="str">
        <x:v>Unconfirmed — no query/page pairing</x:v>
      </x:c>
      <x:c r="O351" s="6" t="str">
        <x:v>Retain established booking / WhatsApp / call path; live behaviour untested</x:v>
      </x:c>
      <x:c r="P351" s="6" t="str">
        <x:v>Retain canonical and indexation policy pending a live check.</x:v>
      </x:c>
      <x:c r="Q351" s="6" t="str">
        <x:v>Proposed; no website change made</x:v>
      </x:c>
      <x:c r="R351" s="14"/>
      <x:c r="S351" s="14"/>
      <x:c r="T351" s="15"/>
      <x:c r="U351" s="16"/>
      <x:c r="V351" s="6" t="str">
        <x:v>https://digitecme.com/ar/brands/jetour-service-dubai/tire-repair</x:v>
      </x:c>
      <x:c r="W351" s="6" t="str">
        <x:v>Noindex directive</x:v>
      </x:c>
      <x:c r="X351" s="6" t="n">
        <x:v>16</x:v>
      </x:c>
      <x:c r="Y351" s="6" t="str">
        <x:v>إصلاح الإطارات Jetour في دبي | ديجي-تك</x:v>
      </x:c>
      <x:c r="Z351" s="6" t="str"/>
      <x:c r="AA351" s="6" t="str">
        <x:v>No / not compared</x:v>
      </x:c>
    </x:row>
    <x:row r="352" ht="42" customHeight="1">
      <x:c r="A352" s="6" t="str">
        <x:v>https://digitecme.com/ar/brands/jetour-service-dubai/transmission-repair</x:v>
      </x:c>
      <x:c r="B352" s="6" t="str"/>
      <x:c r="C352" s="6" t="str"/>
      <x:c r="D352" s="6" t="str">
        <x:v>brand-service</x:v>
      </x:c>
      <x:c r="E352" s="6" t="str">
        <x:v>Retain differentiated role</x:v>
      </x:c>
      <x:c r="F352" s="6" t="str">
        <x:v>Local source render; live version unverified</x:v>
      </x:c>
      <x:c r="G352" s="6" t="str">
        <x:v>إصلاح ناقل الحركة Jetour في دبي | ديجي-تك</x:v>
      </x:c>
      <x:c r="H352" s="6" t="str">
        <x:v>إصلاح ناقل الحركة Jetour في دبي | ديجي-تك</x:v>
      </x:c>
      <x:c r="I352" s="6" t="str">
        <x:v>إصلاح ناقل الحركة Jetour في دبي</x:v>
      </x:c>
      <x:c r="J352" s="6" t="str">
        <x:v>إصلاح ناقل الحركة Jetour في دبي</x:v>
      </x:c>
      <x:c r="K352" s="6" t="str">
        <x:v>إصلاح ناقل الحركة متخصص لسيارات Jetour في دبي مع تشخيص متقدم وقطع مناسبة وتسعير واضح لدى مركز ديجي-تك.</x:v>
      </x:c>
      <x:c r="L352" s="6" t="str">
        <x:v>Retain pending evidence; no specific content edit justified by this export.</x:v>
      </x:c>
      <x:c r="M352" s="6" t="str">
        <x:v>Retain; inspect relevant context before adding links</x:v>
      </x:c>
      <x:c r="N352" s="6" t="str">
        <x:v>Unconfirmed — no query/page pairing</x:v>
      </x:c>
      <x:c r="O352" s="6" t="str">
        <x:v>Retain established booking / WhatsApp / call path; live behaviour untested</x:v>
      </x:c>
      <x:c r="P352" s="6" t="str">
        <x:v>Retain canonical and indexation policy pending a live check.</x:v>
      </x:c>
      <x:c r="Q352" s="6" t="str">
        <x:v>Proposed; no website change made</x:v>
      </x:c>
      <x:c r="R352" s="14"/>
      <x:c r="S352" s="14"/>
      <x:c r="T352" s="15"/>
      <x:c r="U352" s="16"/>
      <x:c r="V352" s="6" t="str">
        <x:v>https://digitecme.com/ar/brands/jetour-service-dubai/transmission-repair</x:v>
      </x:c>
      <x:c r="W352" s="6" t="str">
        <x:v>Noindex directive</x:v>
      </x:c>
      <x:c r="X352" s="6" t="n">
        <x:v>16</x:v>
      </x:c>
      <x:c r="Y352" s="6" t="str">
        <x:v>إصلاح ناقل الحركة Jetour في دبي | ديجي-تك</x:v>
      </x:c>
      <x:c r="Z352" s="6" t="str"/>
      <x:c r="AA352" s="6" t="str">
        <x:v>No / not compared</x:v>
      </x:c>
    </x:row>
    <x:row r="353" ht="42" customHeight="1">
      <x:c r="A353" s="6" t="str">
        <x:v>https://digitecme.com/ar/brands/koenigsegg-service-dubai</x:v>
      </x:c>
      <x:c r="B353" s="6" t="str"/>
      <x:c r="C353" s="6" t="str"/>
      <x:c r="D353" s="6" t="str">
        <x:v>brand</x:v>
      </x:c>
      <x:c r="E353" s="6" t="str">
        <x:v>Retain differentiated role</x:v>
      </x:c>
      <x:c r="F353" s="6" t="str">
        <x:v>Local source render; live version unverified</x:v>
      </x:c>
      <x:c r="G353" s="6" t="str">
        <x:v>إصلاح وصيانة Koenigsegg في دبي | مركز ديجي-تك</x:v>
      </x:c>
      <x:c r="H353" s="6" t="str">
        <x:v>إصلاح وصيانة Koenigsegg في دبي | مركز ديجي-تك</x:v>
      </x:c>
      <x:c r="I353" s="6" t="str">
        <x:v>Koenigsegg للإصلاح والصيانة في دبي</x:v>
      </x:c>
      <x:c r="J353" s="6" t="str">
        <x:v>Koenigsegg للإصلاح والصيانة في دبي</x:v>
      </x:c>
      <x:c r="K353" s="6" t="str">
        <x:v>إصلاح وصيانة Koenigsegg في دبي: تشخيص وصيانة وفرامل وناقل حركة وتعليق وتكييف مع قطع بالمواصفات المناسبة لدى مركز ديجي-تك.</x:v>
      </x:c>
      <x:c r="L353" s="6" t="str">
        <x:v>Retain pending evidence; no specific content edit justified by this export.</x:v>
      </x:c>
      <x:c r="M353" s="6" t="str">
        <x:v>Retain; inspect relevant context before adding links</x:v>
      </x:c>
      <x:c r="N353" s="6" t="str">
        <x:v>Unconfirmed — no query/page pairing</x:v>
      </x:c>
      <x:c r="O353" s="6" t="str">
        <x:v>Retain established booking / WhatsApp / call path; live behaviour untested</x:v>
      </x:c>
      <x:c r="P353" s="6" t="str">
        <x:v>Retain canonical and indexation policy pending a live check.</x:v>
      </x:c>
      <x:c r="Q353" s="6" t="str">
        <x:v>Proposed; no website change made</x:v>
      </x:c>
      <x:c r="R353" s="14" t="n">
        <x:v>0</x:v>
      </x:c>
      <x:c r="S353" s="14" t="n">
        <x:v>1</x:v>
      </x:c>
      <x:c r="T353" s="15" t="n">
        <x:v>0</x:v>
      </x:c>
      <x:c r="U353" s="16" t="n">
        <x:v>2</x:v>
      </x:c>
      <x:c r="V353" s="6" t="str">
        <x:v>https://digitecme.com/ar/brands/koenigsegg-service-dubai</x:v>
      </x:c>
      <x:c r="W353" s="6" t="str">
        <x:v>Indexable directive</x:v>
      </x:c>
      <x:c r="X353" s="6" t="n">
        <x:v>30</x:v>
      </x:c>
      <x:c r="Y353" s="6" t="str">
        <x:v>إصلاح وصيانة Koenigsegg في دبي | مركز ديجي-تك</x:v>
      </x:c>
      <x:c r="Z353" s="6" t="str"/>
      <x:c r="AA353" s="6" t="str">
        <x:v>No / not compared</x:v>
      </x:c>
    </x:row>
    <x:row r="354" ht="42" customHeight="1">
      <x:c r="A354" s="6" t="str">
        <x:v>https://digitecme.com/ar/brands/koenigsegg-service-dubai/ac-repair</x:v>
      </x:c>
      <x:c r="B354" s="6" t="str"/>
      <x:c r="C354" s="6" t="str"/>
      <x:c r="D354" s="6" t="str">
        <x:v>brand-service</x:v>
      </x:c>
      <x:c r="E354" s="6" t="str">
        <x:v>Retain differentiated role</x:v>
      </x:c>
      <x:c r="F354" s="6" t="str">
        <x:v>Local source render; live version unverified</x:v>
      </x:c>
      <x:c r="G354" s="6" t="str">
        <x:v>إصلاح التكييف Koenigsegg في دبي | ديجي-تك</x:v>
      </x:c>
      <x:c r="H354" s="6" t="str">
        <x:v>إصلاح التكييف Koenigsegg في دبي | ديجي-تك</x:v>
      </x:c>
      <x:c r="I354" s="6" t="str">
        <x:v>إصلاح التكييف Koenigsegg في دبي</x:v>
      </x:c>
      <x:c r="J354" s="6" t="str">
        <x:v>إصلاح التكييف Koenigsegg في دبي</x:v>
      </x:c>
      <x:c r="K354" s="6" t="str">
        <x:v>إصلاح التكييف متخصص لسيارات Koenigsegg في دبي مع تشخيص متقدم وقطع مناسبة وتسعير واضح لدى مركز ديجي-تك.</x:v>
      </x:c>
      <x:c r="L354" s="6" t="str">
        <x:v>Retain pending evidence; no specific content edit justified by this export.</x:v>
      </x:c>
      <x:c r="M354" s="6" t="str">
        <x:v>Retain; inspect relevant context before adding links</x:v>
      </x:c>
      <x:c r="N354" s="6" t="str">
        <x:v>Unconfirmed — no query/page pairing</x:v>
      </x:c>
      <x:c r="O354" s="6" t="str">
        <x:v>Retain established booking / WhatsApp / call path; live behaviour untested</x:v>
      </x:c>
      <x:c r="P354" s="6" t="str">
        <x:v>Retain canonical and indexation policy pending a live check.</x:v>
      </x:c>
      <x:c r="Q354" s="6" t="str">
        <x:v>Proposed; no website change made</x:v>
      </x:c>
      <x:c r="R354" s="14"/>
      <x:c r="S354" s="14"/>
      <x:c r="T354" s="15"/>
      <x:c r="U354" s="16"/>
      <x:c r="V354" s="6" t="str">
        <x:v>https://digitecme.com/ar/brands/koenigsegg-service-dubai/ac-repair</x:v>
      </x:c>
      <x:c r="W354" s="6" t="str">
        <x:v>Indexable directive</x:v>
      </x:c>
      <x:c r="X354" s="6" t="n">
        <x:v>8</x:v>
      </x:c>
      <x:c r="Y354" s="6" t="str">
        <x:v>إصلاح التكييف Koenigsegg في دبي | ديجي-تك</x:v>
      </x:c>
      <x:c r="Z354" s="6" t="str"/>
      <x:c r="AA354" s="6" t="str">
        <x:v>No / not compared</x:v>
      </x:c>
    </x:row>
    <x:row r="355" ht="42" customHeight="1">
      <x:c r="A355" s="6" t="str">
        <x:v>https://digitecme.com/ar/brands/koenigsegg-service-dubai/brake-repair</x:v>
      </x:c>
      <x:c r="B355" s="6" t="str"/>
      <x:c r="C355" s="6" t="str"/>
      <x:c r="D355" s="6" t="str">
        <x:v>brand-service</x:v>
      </x:c>
      <x:c r="E355" s="6" t="str">
        <x:v>Retain differentiated role</x:v>
      </x:c>
      <x:c r="F355" s="6" t="str">
        <x:v>Local source render; live version unverified</x:v>
      </x:c>
      <x:c r="G355" s="6" t="str">
        <x:v>إصلاح الفرامل Koenigsegg في دبي | ديجي-تك</x:v>
      </x:c>
      <x:c r="H355" s="6" t="str">
        <x:v>إصلاح الفرامل Koenigsegg في دبي | ديجي-تك</x:v>
      </x:c>
      <x:c r="I355" s="6" t="str">
        <x:v>إصلاح الفرامل Koenigsegg في دبي</x:v>
      </x:c>
      <x:c r="J355" s="6" t="str">
        <x:v>إصلاح الفرامل Koenigsegg في دبي</x:v>
      </x:c>
      <x:c r="K355" s="6" t="str">
        <x:v>إصلاح الفرامل متخصص لسيارات Koenigsegg في دبي مع تشخيص متقدم وقطع مناسبة وتسعير واضح لدى مركز ديجي-تك.</x:v>
      </x:c>
      <x:c r="L355" s="6" t="str">
        <x:v>Retain pending evidence; no specific content edit justified by this export.</x:v>
      </x:c>
      <x:c r="M355" s="6" t="str">
        <x:v>Retain; inspect relevant context before adding links</x:v>
      </x:c>
      <x:c r="N355" s="6" t="str">
        <x:v>Unconfirmed — no query/page pairing</x:v>
      </x:c>
      <x:c r="O355" s="6" t="str">
        <x:v>Retain established booking / WhatsApp / call path; live behaviour untested</x:v>
      </x:c>
      <x:c r="P355" s="6" t="str">
        <x:v>Retain canonical and indexation policy pending a live check.</x:v>
      </x:c>
      <x:c r="Q355" s="6" t="str">
        <x:v>Proposed; no website change made</x:v>
      </x:c>
      <x:c r="R355" s="14"/>
      <x:c r="S355" s="14"/>
      <x:c r="T355" s="15"/>
      <x:c r="U355" s="16"/>
      <x:c r="V355" s="6" t="str">
        <x:v>https://digitecme.com/ar/brands/koenigsegg-service-dubai/brake-repair</x:v>
      </x:c>
      <x:c r="W355" s="6" t="str">
        <x:v>Indexable directive</x:v>
      </x:c>
      <x:c r="X355" s="6" t="n">
        <x:v>8</x:v>
      </x:c>
      <x:c r="Y355" s="6" t="str">
        <x:v>إصلاح الفرامل Koenigsegg في دبي | ديجي-تك</x:v>
      </x:c>
      <x:c r="Z355" s="6" t="str"/>
      <x:c r="AA355" s="6" t="str">
        <x:v>No / not compared</x:v>
      </x:c>
    </x:row>
    <x:row r="356" ht="42" customHeight="1">
      <x:c r="A356" s="6" t="str">
        <x:v>https://digitecme.com/ar/brands/koenigsegg-service-dubai/engine-diagnostics</x:v>
      </x:c>
      <x:c r="B356" s="6" t="str"/>
      <x:c r="C356" s="6" t="str"/>
      <x:c r="D356" s="6" t="str">
        <x:v>brand-service</x:v>
      </x:c>
      <x:c r="E356" s="6" t="str">
        <x:v>Retain differentiated role</x:v>
      </x:c>
      <x:c r="F356" s="6" t="str">
        <x:v>Local source render; live version unverified</x:v>
      </x:c>
      <x:c r="G356" s="6" t="str">
        <x:v>تشخيص المحرك Koenigsegg في دبي | ديجي-تك</x:v>
      </x:c>
      <x:c r="H356" s="6" t="str">
        <x:v>تشخيص المحرك Koenigsegg في دبي | ديجي-تك</x:v>
      </x:c>
      <x:c r="I356" s="6" t="str">
        <x:v>تشخيص المحرك Koenigsegg في دبي</x:v>
      </x:c>
      <x:c r="J356" s="6" t="str">
        <x:v>تشخيص المحرك Koenigsegg في دبي</x:v>
      </x:c>
      <x:c r="K356" s="6" t="str">
        <x:v>تشخيص المحرك متخصص لسيارات Koenigsegg في دبي مع تشخيص متقدم وقطع مناسبة وتسعير واضح لدى مركز ديجي-تك.</x:v>
      </x:c>
      <x:c r="L356" s="6" t="str">
        <x:v>Retain pending evidence; no specific content edit justified by this export.</x:v>
      </x:c>
      <x:c r="M356" s="6" t="str">
        <x:v>Retain; inspect relevant context before adding links</x:v>
      </x:c>
      <x:c r="N356" s="6" t="str">
        <x:v>Unconfirmed — no query/page pairing</x:v>
      </x:c>
      <x:c r="O356" s="6" t="str">
        <x:v>Retain established booking / WhatsApp / call path; live behaviour untested</x:v>
      </x:c>
      <x:c r="P356" s="6" t="str">
        <x:v>Retain canonical and indexation policy pending a live check.</x:v>
      </x:c>
      <x:c r="Q356" s="6" t="str">
        <x:v>Proposed; no website change made</x:v>
      </x:c>
      <x:c r="R356" s="14"/>
      <x:c r="S356" s="14"/>
      <x:c r="T356" s="15"/>
      <x:c r="U356" s="16"/>
      <x:c r="V356" s="6" t="str">
        <x:v>https://digitecme.com/ar/brands/koenigsegg-service-dubai/engine-diagnostics</x:v>
      </x:c>
      <x:c r="W356" s="6" t="str">
        <x:v>Indexable directive</x:v>
      </x:c>
      <x:c r="X356" s="6" t="n">
        <x:v>8</x:v>
      </x:c>
      <x:c r="Y356" s="6" t="str">
        <x:v>تشخيص المحرك Koenigsegg في دبي | ديجي-تك</x:v>
      </x:c>
      <x:c r="Z356" s="6" t="str"/>
      <x:c r="AA356" s="6" t="str">
        <x:v>No / not compared</x:v>
      </x:c>
    </x:row>
    <x:row r="357" ht="42" customHeight="1">
      <x:c r="A357" s="6" t="str">
        <x:v>https://digitecme.com/ar/brands/koenigsegg-service-dubai/oil-change</x:v>
      </x:c>
      <x:c r="B357" s="6" t="str"/>
      <x:c r="C357" s="6" t="str"/>
      <x:c r="D357" s="6" t="str">
        <x:v>brand-service</x:v>
      </x:c>
      <x:c r="E357" s="6" t="str">
        <x:v>Retain differentiated role</x:v>
      </x:c>
      <x:c r="F357" s="6" t="str">
        <x:v>Local source render; live version unverified</x:v>
      </x:c>
      <x:c r="G357" s="6" t="str">
        <x:v>تغيير الزيت Koenigsegg في دبي | ديجي-تك</x:v>
      </x:c>
      <x:c r="H357" s="6" t="str">
        <x:v>تغيير الزيت Koenigsegg في دبي | ديجي-تك</x:v>
      </x:c>
      <x:c r="I357" s="6" t="str">
        <x:v>تغيير الزيت Koenigsegg في دبي</x:v>
      </x:c>
      <x:c r="J357" s="6" t="str">
        <x:v>تغيير الزيت Koenigsegg في دبي</x:v>
      </x:c>
      <x:c r="K357" s="6" t="str">
        <x:v>تغيير الزيت متخصص لسيارات Koenigsegg في دبي مع تشخيص متقدم وقطع مناسبة وتسعير واضح لدى مركز ديجي-تك.</x:v>
      </x:c>
      <x:c r="L357" s="6" t="str">
        <x:v>Retain pending evidence; no specific content edit justified by this export.</x:v>
      </x:c>
      <x:c r="M357" s="6" t="str">
        <x:v>Retain; inspect relevant context before adding links</x:v>
      </x:c>
      <x:c r="N357" s="6" t="str">
        <x:v>Unconfirmed — no query/page pairing</x:v>
      </x:c>
      <x:c r="O357" s="6" t="str">
        <x:v>Retain established booking / WhatsApp / call path; live behaviour untested</x:v>
      </x:c>
      <x:c r="P357" s="6" t="str">
        <x:v>Retain canonical and indexation policy pending a live check.</x:v>
      </x:c>
      <x:c r="Q357" s="6" t="str">
        <x:v>Proposed; no website change made</x:v>
      </x:c>
      <x:c r="R357" s="14"/>
      <x:c r="S357" s="14"/>
      <x:c r="T357" s="15"/>
      <x:c r="U357" s="16"/>
      <x:c r="V357" s="6" t="str">
        <x:v>https://digitecme.com/ar/brands/koenigsegg-service-dubai/oil-change</x:v>
      </x:c>
      <x:c r="W357" s="6" t="str">
        <x:v>Indexable directive</x:v>
      </x:c>
      <x:c r="X357" s="6" t="n">
        <x:v>8</x:v>
      </x:c>
      <x:c r="Y357" s="6" t="str">
        <x:v>تغيير الزيت Koenigsegg في دبي | ديجي-تك</x:v>
      </x:c>
      <x:c r="Z357" s="6" t="str"/>
      <x:c r="AA357" s="6" t="str">
        <x:v>No / not compared</x:v>
      </x:c>
    </x:row>
    <x:row r="358" ht="42" customHeight="1">
      <x:c r="A358" s="6" t="str">
        <x:v>https://digitecme.com/ar/brands/koenigsegg-service-dubai/suspension-repair</x:v>
      </x:c>
      <x:c r="B358" s="6" t="str"/>
      <x:c r="C358" s="6" t="str"/>
      <x:c r="D358" s="6" t="str">
        <x:v>brand-service</x:v>
      </x:c>
      <x:c r="E358" s="6" t="str">
        <x:v>Retain differentiated role</x:v>
      </x:c>
      <x:c r="F358" s="6" t="str">
        <x:v>Local source render; live version unverified</x:v>
      </x:c>
      <x:c r="G358" s="6" t="str">
        <x:v>إصلاح التعليق Koenigsegg في دبي | ديجي-تك</x:v>
      </x:c>
      <x:c r="H358" s="6" t="str">
        <x:v>إصلاح التعليق Koenigsegg في دبي | ديجي-تك</x:v>
      </x:c>
      <x:c r="I358" s="6" t="str">
        <x:v>إصلاح التعليق Koenigsegg في دبي</x:v>
      </x:c>
      <x:c r="J358" s="6" t="str">
        <x:v>إصلاح التعليق Koenigsegg في دبي</x:v>
      </x:c>
      <x:c r="K358" s="6" t="str">
        <x:v>إصلاح التعليق متخصص لسيارات Koenigsegg في دبي مع تشخيص متقدم وقطع مناسبة وتسعير واضح لدى مركز ديجي-تك.</x:v>
      </x:c>
      <x:c r="L358" s="6" t="str">
        <x:v>Retain pending evidence; no specific content edit justified by this export.</x:v>
      </x:c>
      <x:c r="M358" s="6" t="str">
        <x:v>Retain; inspect relevant context before adding links</x:v>
      </x:c>
      <x:c r="N358" s="6" t="str">
        <x:v>Unconfirmed — no query/page pairing</x:v>
      </x:c>
      <x:c r="O358" s="6" t="str">
        <x:v>Retain established booking / WhatsApp / call path; live behaviour untested</x:v>
      </x:c>
      <x:c r="P358" s="6" t="str">
        <x:v>Retain canonical and indexation policy pending a live check.</x:v>
      </x:c>
      <x:c r="Q358" s="6" t="str">
        <x:v>Proposed; no website change made</x:v>
      </x:c>
      <x:c r="R358" s="14"/>
      <x:c r="S358" s="14"/>
      <x:c r="T358" s="15"/>
      <x:c r="U358" s="16"/>
      <x:c r="V358" s="6" t="str">
        <x:v>https://digitecme.com/ar/brands/koenigsegg-service-dubai/suspension-repair</x:v>
      </x:c>
      <x:c r="W358" s="6" t="str">
        <x:v>Noindex directive</x:v>
      </x:c>
      <x:c r="X358" s="6" t="n">
        <x:v>8</x:v>
      </x:c>
      <x:c r="Y358" s="6" t="str">
        <x:v>إصلاح التعليق Koenigsegg في دبي | ديجي-تك</x:v>
      </x:c>
      <x:c r="Z358" s="6" t="str"/>
      <x:c r="AA358" s="6" t="str">
        <x:v>No / not compared</x:v>
      </x:c>
    </x:row>
    <x:row r="359" ht="42" customHeight="1">
      <x:c r="A359" s="6" t="str">
        <x:v>https://digitecme.com/ar/brands/koenigsegg-service-dubai/transmission-repair</x:v>
      </x:c>
      <x:c r="B359" s="6" t="str"/>
      <x:c r="C359" s="6" t="str"/>
      <x:c r="D359" s="6" t="str">
        <x:v>brand-service</x:v>
      </x:c>
      <x:c r="E359" s="6" t="str">
        <x:v>Retain differentiated role</x:v>
      </x:c>
      <x:c r="F359" s="6" t="str">
        <x:v>Local source render; live version unverified</x:v>
      </x:c>
      <x:c r="G359" s="6" t="str">
        <x:v>إصلاح ناقل الحركة Koenigsegg في دبي | ديجي-تك</x:v>
      </x:c>
      <x:c r="H359" s="6" t="str">
        <x:v>إصلاح ناقل الحركة Koenigsegg في دبي | ديجي-تك</x:v>
      </x:c>
      <x:c r="I359" s="6" t="str">
        <x:v>إصلاح ناقل الحركة Koenigsegg في دبي</x:v>
      </x:c>
      <x:c r="J359" s="6" t="str">
        <x:v>إصلاح ناقل الحركة Koenigsegg في دبي</x:v>
      </x:c>
      <x:c r="K359" s="6" t="str">
        <x:v>إصلاح ناقل الحركة متخصص لسيارات Koenigsegg في دبي مع تشخيص متقدم وقطع مناسبة وتسعير واضح لدى مركز ديجي-تك.</x:v>
      </x:c>
      <x:c r="L359" s="6" t="str">
        <x:v>Retain pending evidence; no specific content edit justified by this export.</x:v>
      </x:c>
      <x:c r="M359" s="6" t="str">
        <x:v>Retain; inspect relevant context before adding links</x:v>
      </x:c>
      <x:c r="N359" s="6" t="str">
        <x:v>Unconfirmed — no query/page pairing</x:v>
      </x:c>
      <x:c r="O359" s="6" t="str">
        <x:v>Retain established booking / WhatsApp / call path; live behaviour untested</x:v>
      </x:c>
      <x:c r="P359" s="6" t="str">
        <x:v>Retain canonical and indexation policy pending a live check.</x:v>
      </x:c>
      <x:c r="Q359" s="6" t="str">
        <x:v>Proposed; no website change made</x:v>
      </x:c>
      <x:c r="R359" s="14"/>
      <x:c r="S359" s="14"/>
      <x:c r="T359" s="15"/>
      <x:c r="U359" s="16"/>
      <x:c r="V359" s="6" t="str">
        <x:v>https://digitecme.com/ar/brands/koenigsegg-service-dubai/transmission-repair</x:v>
      </x:c>
      <x:c r="W359" s="6" t="str">
        <x:v>Noindex directive</x:v>
      </x:c>
      <x:c r="X359" s="6" t="n">
        <x:v>8</x:v>
      </x:c>
      <x:c r="Y359" s="6" t="str">
        <x:v>إصلاح ناقل الحركة Koenigsegg في دبي | ديجي-تك</x:v>
      </x:c>
      <x:c r="Z359" s="6" t="str"/>
      <x:c r="AA359" s="6" t="str">
        <x:v>No / not compared</x:v>
      </x:c>
    </x:row>
    <x:row r="360" ht="42" customHeight="1">
      <x:c r="A360" s="6" t="str">
        <x:v>https://digitecme.com/ar/brands/lamborghini-service-dubai</x:v>
      </x:c>
      <x:c r="B360" s="6" t="str"/>
      <x:c r="C360" s="6" t="str"/>
      <x:c r="D360" s="6" t="str">
        <x:v>brand</x:v>
      </x:c>
      <x:c r="E360" s="6" t="str">
        <x:v>Retain differentiated role</x:v>
      </x:c>
      <x:c r="F360" s="6" t="str">
        <x:v>Local source render; live version unverified</x:v>
      </x:c>
      <x:c r="G360" s="6" t="str">
        <x:v>إصلاح وصيانة Lamborghini في دبي | مركز ديجي-تك</x:v>
      </x:c>
      <x:c r="H360" s="6" t="str">
        <x:v>إصلاح وصيانة Lamborghini في دبي | مركز ديجي-تك</x:v>
      </x:c>
      <x:c r="I360" s="6" t="str">
        <x:v>Lamborghini للإصلاح والصيانة في دبي</x:v>
      </x:c>
      <x:c r="J360" s="6" t="str">
        <x:v>Lamborghini للإصلاح والصيانة في دبي</x:v>
      </x:c>
      <x:c r="K360" s="6" t="str">
        <x:v>إصلاح وصيانة Lamborghini في دبي: تشخيص وصيانة وفرامل وناقل حركة وتعليق وتكييف مع قطع بالمواصفات المناسبة لدى مركز ديجي-تك.</x:v>
      </x:c>
      <x:c r="L360" s="6" t="str">
        <x:v>Retain pending evidence; no specific content edit justified by this export.</x:v>
      </x:c>
      <x:c r="M360" s="6" t="str">
        <x:v>Retain; inspect relevant context before adding links</x:v>
      </x:c>
      <x:c r="N360" s="6" t="str">
        <x:v>Unconfirmed — no query/page pairing</x:v>
      </x:c>
      <x:c r="O360" s="6" t="str">
        <x:v>Retain established booking / WhatsApp / call path; live behaviour untested</x:v>
      </x:c>
      <x:c r="P360" s="6" t="str">
        <x:v>Retain canonical and indexation policy pending a live check.</x:v>
      </x:c>
      <x:c r="Q360" s="6" t="str">
        <x:v>Proposed; no website change made</x:v>
      </x:c>
      <x:c r="R360" s="14"/>
      <x:c r="S360" s="14"/>
      <x:c r="T360" s="15"/>
      <x:c r="U360" s="16"/>
      <x:c r="V360" s="6" t="str">
        <x:v>https://digitecme.com/ar/brands/lamborghini-service-dubai</x:v>
      </x:c>
      <x:c r="W360" s="6" t="str">
        <x:v>Indexable directive</x:v>
      </x:c>
      <x:c r="X360" s="6" t="n">
        <x:v>87</x:v>
      </x:c>
      <x:c r="Y360" s="6" t="str">
        <x:v>إصلاح وصيانة Lamborghini في دبي | مركز ديجي-تك</x:v>
      </x:c>
      <x:c r="Z360" s="6" t="str"/>
      <x:c r="AA360" s="6" t="str">
        <x:v>No / not compared</x:v>
      </x:c>
    </x:row>
    <x:row r="361" ht="42" customHeight="1">
      <x:c r="A361" s="6" t="str">
        <x:v>https://digitecme.com/ar/brands/lamborghini-service-dubai/ac-repair</x:v>
      </x:c>
      <x:c r="B361" s="6" t="str"/>
      <x:c r="C361" s="6" t="str"/>
      <x:c r="D361" s="6" t="str">
        <x:v>brand-service</x:v>
      </x:c>
      <x:c r="E361" s="6" t="str">
        <x:v>Retain differentiated role</x:v>
      </x:c>
      <x:c r="F361" s="6" t="str">
        <x:v>Local source render; live version unverified</x:v>
      </x:c>
      <x:c r="G361" s="6" t="str">
        <x:v>إصلاح التكييف Lamborghini في دبي | ديجي-تك</x:v>
      </x:c>
      <x:c r="H361" s="6" t="str">
        <x:v>إصلاح التكييف Lamborghini في دبي | ديجي-تك</x:v>
      </x:c>
      <x:c r="I361" s="6" t="str">
        <x:v>إصلاح التكييف Lamborghini في دبي</x:v>
      </x:c>
      <x:c r="J361" s="6" t="str">
        <x:v>إصلاح التكييف Lamborghini في دبي</x:v>
      </x:c>
      <x:c r="K361" s="6" t="str">
        <x:v>إصلاح التكييف متخصص لسيارات Lamborghini في دبي مع تشخيص متقدم وقطع مناسبة وتسعير واضح لدى مركز ديجي-تك.</x:v>
      </x:c>
      <x:c r="L361" s="6" t="str">
        <x:v>Retain pending evidence; no specific content edit justified by this export.</x:v>
      </x:c>
      <x:c r="M361" s="6" t="str">
        <x:v>Retain; inspect relevant context before adding links</x:v>
      </x:c>
      <x:c r="N361" s="6" t="str">
        <x:v>Unconfirmed — no query/page pairing</x:v>
      </x:c>
      <x:c r="O361" s="6" t="str">
        <x:v>Retain established booking / WhatsApp / call path; live behaviour untested</x:v>
      </x:c>
      <x:c r="P361" s="6" t="str">
        <x:v>Retain canonical and indexation policy pending a live check.</x:v>
      </x:c>
      <x:c r="Q361" s="6" t="str">
        <x:v>Proposed; no website change made</x:v>
      </x:c>
      <x:c r="R361" s="14"/>
      <x:c r="S361" s="14"/>
      <x:c r="T361" s="15"/>
      <x:c r="U361" s="16"/>
      <x:c r="V361" s="6" t="str">
        <x:v>https://digitecme.com/ar/brands/lamborghini-service-dubai/ac-repair</x:v>
      </x:c>
      <x:c r="W361" s="6" t="str">
        <x:v>Indexable directive</x:v>
      </x:c>
      <x:c r="X361" s="6" t="n">
        <x:v>16</x:v>
      </x:c>
      <x:c r="Y361" s="6" t="str">
        <x:v>إصلاح التكييف Lamborghini في دبي | ديجي-تك</x:v>
      </x:c>
      <x:c r="Z361" s="6" t="str"/>
      <x:c r="AA361" s="6" t="str">
        <x:v>No / not compared</x:v>
      </x:c>
    </x:row>
    <x:row r="362" ht="42" customHeight="1">
      <x:c r="A362" s="6" t="str">
        <x:v>https://digitecme.com/ar/brands/lamborghini-service-dubai/battery-replacement</x:v>
      </x:c>
      <x:c r="B362" s="6" t="str"/>
      <x:c r="C362" s="6" t="str"/>
      <x:c r="D362" s="6" t="str">
        <x:v>brand-service</x:v>
      </x:c>
      <x:c r="E362" s="6" t="str">
        <x:v>Retain differentiated role</x:v>
      </x:c>
      <x:c r="F362" s="6" t="str">
        <x:v>Local source render; live version unverified</x:v>
      </x:c>
      <x:c r="G362" s="6" t="str">
        <x:v>تبديل البطارية Lamborghini في دبي | ديجي-تك</x:v>
      </x:c>
      <x:c r="H362" s="6" t="str">
        <x:v>تبديل البطارية Lamborghini في دبي | ديجي-تك</x:v>
      </x:c>
      <x:c r="I362" s="6" t="str">
        <x:v>تبديل البطارية Lamborghini في دبي</x:v>
      </x:c>
      <x:c r="J362" s="6" t="str">
        <x:v>تبديل البطارية Lamborghini في دبي</x:v>
      </x:c>
      <x:c r="K362" s="6" t="str">
        <x:v>تبديل البطارية متخصص لسيارات Lamborghini في دبي مع تشخيص متقدم وقطع مناسبة وتسعير واضح لدى مركز ديجي-تك.</x:v>
      </x:c>
      <x:c r="L362" s="6" t="str">
        <x:v>Retain pending evidence; no specific content edit justified by this export.</x:v>
      </x:c>
      <x:c r="M362" s="6" t="str">
        <x:v>Retain; inspect relevant context before adding links</x:v>
      </x:c>
      <x:c r="N362" s="6" t="str">
        <x:v>Unconfirmed — no query/page pairing</x:v>
      </x:c>
      <x:c r="O362" s="6" t="str">
        <x:v>Retain established booking / WhatsApp / call path; live behaviour untested</x:v>
      </x:c>
      <x:c r="P362" s="6" t="str">
        <x:v>Retain canonical and indexation policy pending a live check.</x:v>
      </x:c>
      <x:c r="Q362" s="6" t="str">
        <x:v>Proposed; no website change made</x:v>
      </x:c>
      <x:c r="R362" s="14" t="n">
        <x:v>0</x:v>
      </x:c>
      <x:c r="S362" s="14" t="n">
        <x:v>9</x:v>
      </x:c>
      <x:c r="T362" s="15" t="n">
        <x:v>0</x:v>
      </x:c>
      <x:c r="U362" s="16" t="n">
        <x:v>72.78</x:v>
      </x:c>
      <x:c r="V362" s="6" t="str">
        <x:v>https://digitecme.com/ar/brands/lamborghini-service-dubai/battery-replacement</x:v>
      </x:c>
      <x:c r="W362" s="6" t="str">
        <x:v>Indexable directive</x:v>
      </x:c>
      <x:c r="X362" s="6" t="n">
        <x:v>17</x:v>
      </x:c>
      <x:c r="Y362" s="6" t="str">
        <x:v>تبديل البطارية Lamborghini في دبي | ديجي-تك</x:v>
      </x:c>
      <x:c r="Z362" s="6" t="str"/>
      <x:c r="AA362" s="6" t="str">
        <x:v>No / not compared</x:v>
      </x:c>
    </x:row>
    <x:row r="363" ht="42" customHeight="1">
      <x:c r="A363" s="6" t="str">
        <x:v>https://digitecme.com/ar/brands/lamborghini-service-dubai/body-repair</x:v>
      </x:c>
      <x:c r="B363" s="6" t="str"/>
      <x:c r="C363" s="6" t="str"/>
      <x:c r="D363" s="6" t="str">
        <x:v>brand-service</x:v>
      </x:c>
      <x:c r="E363" s="6" t="str">
        <x:v>Retain differentiated role</x:v>
      </x:c>
      <x:c r="F363" s="6" t="str">
        <x:v>Local source render; live version unverified</x:v>
      </x:c>
      <x:c r="G363" s="6" t="str">
        <x:v>إصلاح الهيكل Lamborghini في دبي | ديجي-تك</x:v>
      </x:c>
      <x:c r="H363" s="6" t="str">
        <x:v>إصلاح الهيكل Lamborghini في دبي | ديجي-تك</x:v>
      </x:c>
      <x:c r="I363" s="6" t="str">
        <x:v>إصلاح الهيكل Lamborghini في دبي</x:v>
      </x:c>
      <x:c r="J363" s="6" t="str">
        <x:v>إصلاح الهيكل Lamborghini في دبي</x:v>
      </x:c>
      <x:c r="K363" s="6" t="str">
        <x:v>إصلاح الهيكل متخصص لسيارات Lamborghini في دبي مع تشخيص متقدم وقطع مناسبة وتسعير واضح لدى مركز ديجي-تك.</x:v>
      </x:c>
      <x:c r="L363" s="6" t="str">
        <x:v>Retain pending evidence; no specific content edit justified by this export.</x:v>
      </x:c>
      <x:c r="M363" s="6" t="str">
        <x:v>Retain; inspect relevant context before adding links</x:v>
      </x:c>
      <x:c r="N363" s="6" t="str">
        <x:v>Unconfirmed — no query/page pairing</x:v>
      </x:c>
      <x:c r="O363" s="6" t="str">
        <x:v>Retain established booking / WhatsApp / call path; live behaviour untested</x:v>
      </x:c>
      <x:c r="P363" s="6" t="str">
        <x:v>Retain canonical and indexation policy pending a live check.</x:v>
      </x:c>
      <x:c r="Q363" s="6" t="str">
        <x:v>Proposed; no website change made</x:v>
      </x:c>
      <x:c r="R363" s="14" t="n">
        <x:v>0</x:v>
      </x:c>
      <x:c r="S363" s="14" t="n">
        <x:v>1</x:v>
      </x:c>
      <x:c r="T363" s="15" t="n">
        <x:v>0</x:v>
      </x:c>
      <x:c r="U363" s="16" t="n">
        <x:v>7</x:v>
      </x:c>
      <x:c r="V363" s="6" t="str">
        <x:v>https://digitecme.com/ar/brands/lamborghini-service-dubai/body-repair</x:v>
      </x:c>
      <x:c r="W363" s="6" t="str">
        <x:v>Indexable directive</x:v>
      </x:c>
      <x:c r="X363" s="6" t="n">
        <x:v>16</x:v>
      </x:c>
      <x:c r="Y363" s="6" t="str">
        <x:v>إصلاح الهيكل Lamborghini في دبي | ديجي-تك</x:v>
      </x:c>
      <x:c r="Z363" s="6" t="str"/>
      <x:c r="AA363" s="6" t="str">
        <x:v>No / not compared</x:v>
      </x:c>
    </x:row>
    <x:row r="364" ht="42" customHeight="1">
      <x:c r="A364" s="6" t="str">
        <x:v>https://digitecme.com/ar/brands/lamborghini-service-dubai/brake-repair</x:v>
      </x:c>
      <x:c r="B364" s="6" t="str"/>
      <x:c r="C364" s="6" t="str"/>
      <x:c r="D364" s="6" t="str">
        <x:v>brand-service</x:v>
      </x:c>
      <x:c r="E364" s="6" t="str">
        <x:v>Retain differentiated role</x:v>
      </x:c>
      <x:c r="F364" s="6" t="str">
        <x:v>Local source render; live version unverified</x:v>
      </x:c>
      <x:c r="G364" s="6" t="str">
        <x:v>إصلاح الفرامل Lamborghini في دبي | ديجي-تك</x:v>
      </x:c>
      <x:c r="H364" s="6" t="str">
        <x:v>إصلاح الفرامل Lamborghini في دبي | ديجي-تك</x:v>
      </x:c>
      <x:c r="I364" s="6" t="str">
        <x:v>إصلاح الفرامل Lamborghini في دبي</x:v>
      </x:c>
      <x:c r="J364" s="6" t="str">
        <x:v>إصلاح الفرامل Lamborghini في دبي</x:v>
      </x:c>
      <x:c r="K364" s="6" t="str">
        <x:v>إصلاح الفرامل متخصص لسيارات Lamborghini في دبي مع تشخيص متقدم وقطع مناسبة وتسعير واضح لدى مركز ديجي-تك.</x:v>
      </x:c>
      <x:c r="L364" s="6" t="str">
        <x:v>Retain pending evidence; no specific content edit justified by this export.</x:v>
      </x:c>
      <x:c r="M364" s="6" t="str">
        <x:v>Retain; inspect relevant context before adding links</x:v>
      </x:c>
      <x:c r="N364" s="6" t="str">
        <x:v>Unconfirmed — no query/page pairing</x:v>
      </x:c>
      <x:c r="O364" s="6" t="str">
        <x:v>Retain established booking / WhatsApp / call path; live behaviour untested</x:v>
      </x:c>
      <x:c r="P364" s="6" t="str">
        <x:v>Retain canonical and indexation policy pending a live check.</x:v>
      </x:c>
      <x:c r="Q364" s="6" t="str">
        <x:v>Proposed; no website change made</x:v>
      </x:c>
      <x:c r="R364" s="14" t="n">
        <x:v>0</x:v>
      </x:c>
      <x:c r="S364" s="14" t="n">
        <x:v>1</x:v>
      </x:c>
      <x:c r="T364" s="15" t="n">
        <x:v>0</x:v>
      </x:c>
      <x:c r="U364" s="16" t="n">
        <x:v>4</x:v>
      </x:c>
      <x:c r="V364" s="6" t="str">
        <x:v>https://digitecme.com/ar/brands/lamborghini-service-dubai/brake-repair</x:v>
      </x:c>
      <x:c r="W364" s="6" t="str">
        <x:v>Indexable directive</x:v>
      </x:c>
      <x:c r="X364" s="6" t="n">
        <x:v>16</x:v>
      </x:c>
      <x:c r="Y364" s="6" t="str">
        <x:v>إصلاح الفرامل Lamborghini في دبي | ديجي-تك</x:v>
      </x:c>
      <x:c r="Z364" s="6" t="str"/>
      <x:c r="AA364" s="6" t="str">
        <x:v>No / not compared</x:v>
      </x:c>
    </x:row>
    <x:row r="365" ht="42" customHeight="1">
      <x:c r="A365" s="6" t="str">
        <x:v>https://digitecme.com/ar/brands/lamborghini-service-dubai/electrical-repair</x:v>
      </x:c>
      <x:c r="B365" s="6" t="str"/>
      <x:c r="C365" s="6" t="str"/>
      <x:c r="D365" s="6" t="str">
        <x:v>brand-service</x:v>
      </x:c>
      <x:c r="E365" s="6" t="str">
        <x:v>Retain differentiated role</x:v>
      </x:c>
      <x:c r="F365" s="6" t="str">
        <x:v>Local source render; live version unverified</x:v>
      </x:c>
      <x:c r="G365" s="6" t="str">
        <x:v>إصلاح الكهرباء Lamborghini في دبي | ديجي-تك</x:v>
      </x:c>
      <x:c r="H365" s="6" t="str">
        <x:v>إصلاح الكهرباء Lamborghini في دبي | ديجي-تك</x:v>
      </x:c>
      <x:c r="I365" s="6" t="str">
        <x:v>إصلاح الكهرباء Lamborghini في دبي</x:v>
      </x:c>
      <x:c r="J365" s="6" t="str">
        <x:v>إصلاح الكهرباء Lamborghini في دبي</x:v>
      </x:c>
      <x:c r="K365" s="6" t="str">
        <x:v>إصلاح الكهرباء متخصص لسيارات Lamborghini في دبي مع تشخيص متقدم وقطع مناسبة وتسعير واضح لدى مركز ديجي-تك.</x:v>
      </x:c>
      <x:c r="L365" s="6" t="str">
        <x:v>Retain pending evidence; no specific content edit justified by this export.</x:v>
      </x:c>
      <x:c r="M365" s="6" t="str">
        <x:v>Retain; inspect relevant context before adding links</x:v>
      </x:c>
      <x:c r="N365" s="6" t="str">
        <x:v>Unconfirmed — no query/page pairing</x:v>
      </x:c>
      <x:c r="O365" s="6" t="str">
        <x:v>Retain established booking / WhatsApp / call path; live behaviour untested</x:v>
      </x:c>
      <x:c r="P365" s="6" t="str">
        <x:v>Retain canonical and indexation policy pending a live check.</x:v>
      </x:c>
      <x:c r="Q365" s="6" t="str">
        <x:v>Proposed; no website change made</x:v>
      </x:c>
      <x:c r="R365" s="14"/>
      <x:c r="S365" s="14"/>
      <x:c r="T365" s="15"/>
      <x:c r="U365" s="16"/>
      <x:c r="V365" s="6" t="str">
        <x:v>https://digitecme.com/ar/brands/lamborghini-service-dubai/electrical-repair</x:v>
      </x:c>
      <x:c r="W365" s="6" t="str">
        <x:v>Indexable directive</x:v>
      </x:c>
      <x:c r="X365" s="6" t="n">
        <x:v>16</x:v>
      </x:c>
      <x:c r="Y365" s="6" t="str">
        <x:v>إصلاح الكهرباء Lamborghini في دبي | ديجي-تك</x:v>
      </x:c>
      <x:c r="Z365" s="6" t="str"/>
      <x:c r="AA365" s="6" t="str">
        <x:v>No / not compared</x:v>
      </x:c>
    </x:row>
    <x:row r="366" ht="42" customHeight="1">
      <x:c r="A366" s="6" t="str">
        <x:v>https://digitecme.com/ar/brands/lamborghini-service-dubai/engine-diagnostics</x:v>
      </x:c>
      <x:c r="B366" s="6" t="str"/>
      <x:c r="C366" s="6" t="str"/>
      <x:c r="D366" s="6" t="str">
        <x:v>brand-service</x:v>
      </x:c>
      <x:c r="E366" s="6" t="str">
        <x:v>Retain differentiated role</x:v>
      </x:c>
      <x:c r="F366" s="6" t="str">
        <x:v>Local source render; live version unverified</x:v>
      </x:c>
      <x:c r="G366" s="6" t="str">
        <x:v>تشخيص المحرك Lamborghini في دبي | ديجي-تك</x:v>
      </x:c>
      <x:c r="H366" s="6" t="str">
        <x:v>تشخيص المحرك Lamborghini في دبي | ديجي-تك</x:v>
      </x:c>
      <x:c r="I366" s="6" t="str">
        <x:v>تشخيص المحرك Lamborghini في دبي</x:v>
      </x:c>
      <x:c r="J366" s="6" t="str">
        <x:v>تشخيص المحرك Lamborghini في دبي</x:v>
      </x:c>
      <x:c r="K366" s="6" t="str">
        <x:v>تشخيص المحرك متخصص لسيارات Lamborghini في دبي مع تشخيص متقدم وقطع مناسبة وتسعير واضح لدى مركز ديجي-تك.</x:v>
      </x:c>
      <x:c r="L366" s="6" t="str">
        <x:v>Retain pending evidence; no specific content edit justified by this export.</x:v>
      </x:c>
      <x:c r="M366" s="6" t="str">
        <x:v>Retain; inspect relevant context before adding links</x:v>
      </x:c>
      <x:c r="N366" s="6" t="str">
        <x:v>Unconfirmed — no query/page pairing</x:v>
      </x:c>
      <x:c r="O366" s="6" t="str">
        <x:v>Retain established booking / WhatsApp / call path; live behaviour untested</x:v>
      </x:c>
      <x:c r="P366" s="6" t="str">
        <x:v>Retain canonical and indexation policy pending a live check.</x:v>
      </x:c>
      <x:c r="Q366" s="6" t="str">
        <x:v>Proposed; no website change made</x:v>
      </x:c>
      <x:c r="R366" s="14"/>
      <x:c r="S366" s="14"/>
      <x:c r="T366" s="15"/>
      <x:c r="U366" s="16"/>
      <x:c r="V366" s="6" t="str">
        <x:v>https://digitecme.com/ar/brands/lamborghini-service-dubai/engine-diagnostics</x:v>
      </x:c>
      <x:c r="W366" s="6" t="str">
        <x:v>Indexable directive</x:v>
      </x:c>
      <x:c r="X366" s="6" t="n">
        <x:v>17</x:v>
      </x:c>
      <x:c r="Y366" s="6" t="str">
        <x:v>تشخيص المحرك Lamborghini في دبي | ديجي-تك</x:v>
      </x:c>
      <x:c r="Z366" s="6" t="str"/>
      <x:c r="AA366" s="6" t="str">
        <x:v>No / not compared</x:v>
      </x:c>
    </x:row>
    <x:row r="367" ht="42" customHeight="1">
      <x:c r="A367" s="6" t="str">
        <x:v>https://digitecme.com/ar/brands/lamborghini-service-dubai/exhaust-repair</x:v>
      </x:c>
      <x:c r="B367" s="6" t="str"/>
      <x:c r="C367" s="6" t="str"/>
      <x:c r="D367" s="6" t="str">
        <x:v>brand-service</x:v>
      </x:c>
      <x:c r="E367" s="6" t="str">
        <x:v>Retain differentiated role</x:v>
      </x:c>
      <x:c r="F367" s="6" t="str">
        <x:v>Local source render; live version unverified</x:v>
      </x:c>
      <x:c r="G367" s="6" t="str">
        <x:v>إصلاح العادم Lamborghini في دبي | ديجي-تك</x:v>
      </x:c>
      <x:c r="H367" s="6" t="str">
        <x:v>إصلاح العادم Lamborghini في دبي | ديجي-تك</x:v>
      </x:c>
      <x:c r="I367" s="6" t="str">
        <x:v>إصلاح العادم Lamborghini في دبي</x:v>
      </x:c>
      <x:c r="J367" s="6" t="str">
        <x:v>إصلاح العادم Lamborghini في دبي</x:v>
      </x:c>
      <x:c r="K367" s="6" t="str">
        <x:v>إصلاح العادم متخصص لسيارات Lamborghini في دبي مع تشخيص متقدم وقطع مناسبة وتسعير واضح لدى مركز ديجي-تك.</x:v>
      </x:c>
      <x:c r="L367" s="6" t="str">
        <x:v>Retain pending evidence; no specific content edit justified by this export.</x:v>
      </x:c>
      <x:c r="M367" s="6" t="str">
        <x:v>Retain; inspect relevant context before adding links</x:v>
      </x:c>
      <x:c r="N367" s="6" t="str">
        <x:v>Unconfirmed — no query/page pairing</x:v>
      </x:c>
      <x:c r="O367" s="6" t="str">
        <x:v>Retain established booking / WhatsApp / call path; live behaviour untested</x:v>
      </x:c>
      <x:c r="P367" s="6" t="str">
        <x:v>Retain canonical and indexation policy pending a live check.</x:v>
      </x:c>
      <x:c r="Q367" s="6" t="str">
        <x:v>Proposed; no website change made</x:v>
      </x:c>
      <x:c r="R367" s="14"/>
      <x:c r="S367" s="14"/>
      <x:c r="T367" s="15"/>
      <x:c r="U367" s="16"/>
      <x:c r="V367" s="6" t="str">
        <x:v>https://digitecme.com/ar/brands/lamborghini-service-dubai/exhaust-repair</x:v>
      </x:c>
      <x:c r="W367" s="6" t="str">
        <x:v>Indexable directive</x:v>
      </x:c>
      <x:c r="X367" s="6" t="n">
        <x:v>16</x:v>
      </x:c>
      <x:c r="Y367" s="6" t="str">
        <x:v>إصلاح العادم Lamborghini في دبي | ديجي-تك</x:v>
      </x:c>
      <x:c r="Z367" s="6" t="str"/>
      <x:c r="AA367" s="6" t="str">
        <x:v>No / not compared</x:v>
      </x:c>
    </x:row>
    <x:row r="368" ht="42" customHeight="1">
      <x:c r="A368" s="6" t="str">
        <x:v>https://digitecme.com/ar/brands/lamborghini-service-dubai/fuel-system-repair</x:v>
      </x:c>
      <x:c r="B368" s="6" t="str"/>
      <x:c r="C368" s="6" t="str"/>
      <x:c r="D368" s="6" t="str">
        <x:v>brand-service</x:v>
      </x:c>
      <x:c r="E368" s="6" t="str">
        <x:v>Retain differentiated role</x:v>
      </x:c>
      <x:c r="F368" s="6" t="str">
        <x:v>Local source render; live version unverified</x:v>
      </x:c>
      <x:c r="G368" s="6" t="str">
        <x:v>إصلاح نظام الوقود Lamborghini في دبي | ديجي-تك</x:v>
      </x:c>
      <x:c r="H368" s="6" t="str">
        <x:v>إصلاح نظام الوقود Lamborghini في دبي | ديجي-تك</x:v>
      </x:c>
      <x:c r="I368" s="6" t="str">
        <x:v>إصلاح نظام الوقود Lamborghini في دبي</x:v>
      </x:c>
      <x:c r="J368" s="6" t="str">
        <x:v>إصلاح نظام الوقود Lamborghini في دبي</x:v>
      </x:c>
      <x:c r="K368" s="6" t="str">
        <x:v>إصلاح نظام الوقود متخصص لسيارات Lamborghini في دبي مع تشخيص متقدم وقطع مناسبة وتسعير واضح لدى مركز ديجي-تك.</x:v>
      </x:c>
      <x:c r="L368" s="6" t="str">
        <x:v>Retain pending evidence; no specific content edit justified by this export.</x:v>
      </x:c>
      <x:c r="M368" s="6" t="str">
        <x:v>Retain; inspect relevant context before adding links</x:v>
      </x:c>
      <x:c r="N368" s="6" t="str">
        <x:v>Unconfirmed — no query/page pairing</x:v>
      </x:c>
      <x:c r="O368" s="6" t="str">
        <x:v>Retain established booking / WhatsApp / call path; live behaviour untested</x:v>
      </x:c>
      <x:c r="P368" s="6" t="str">
        <x:v>Retain canonical and indexation policy pending a live check.</x:v>
      </x:c>
      <x:c r="Q368" s="6" t="str">
        <x:v>Proposed; no website change made</x:v>
      </x:c>
      <x:c r="R368" s="14"/>
      <x:c r="S368" s="14"/>
      <x:c r="T368" s="15"/>
      <x:c r="U368" s="16"/>
      <x:c r="V368" s="6" t="str">
        <x:v>https://digitecme.com/ar/brands/lamborghini-service-dubai/fuel-system-repair</x:v>
      </x:c>
      <x:c r="W368" s="6" t="str">
        <x:v>Indexable directive</x:v>
      </x:c>
      <x:c r="X368" s="6" t="n">
        <x:v>16</x:v>
      </x:c>
      <x:c r="Y368" s="6" t="str">
        <x:v>إصلاح نظام الوقود Lamborghini في دبي | ديجي-تك</x:v>
      </x:c>
      <x:c r="Z368" s="6" t="str"/>
      <x:c r="AA368" s="6" t="str">
        <x:v>No / not compared</x:v>
      </x:c>
    </x:row>
    <x:row r="369" ht="42" customHeight="1">
      <x:c r="A369" s="6" t="str">
        <x:v>https://digitecme.com/ar/brands/lamborghini-service-dubai/mechanical-repair</x:v>
      </x:c>
      <x:c r="B369" s="6" t="str"/>
      <x:c r="C369" s="6" t="str"/>
      <x:c r="D369" s="6" t="str">
        <x:v>brand-service</x:v>
      </x:c>
      <x:c r="E369" s="6" t="str">
        <x:v>Retain differentiated role</x:v>
      </x:c>
      <x:c r="F369" s="6" t="str">
        <x:v>Local source render; live version unverified</x:v>
      </x:c>
      <x:c r="G369" s="6" t="str">
        <x:v>الإصلاح الميكانيكي Lamborghini في دبي | ديجي-تك</x:v>
      </x:c>
      <x:c r="H369" s="6" t="str">
        <x:v>الإصلاح الميكانيكي Lamborghini في دبي | ديجي-تك</x:v>
      </x:c>
      <x:c r="I369" s="6" t="str">
        <x:v>الإصلاح الميكانيكي Lamborghini في دبي</x:v>
      </x:c>
      <x:c r="J369" s="6" t="str">
        <x:v>الإصلاح الميكانيكي Lamborghini في دبي</x:v>
      </x:c>
      <x:c r="K369" s="6" t="str">
        <x:v>الإصلاح الميكانيكي متخصص لسيارات Lamborghini في دبي مع تشخيص متقدم وقطع مناسبة وتسعير واضح لدى مركز ديجي-تك.</x:v>
      </x:c>
      <x:c r="L369" s="6" t="str">
        <x:v>Retain pending evidence; no specific content edit justified by this export.</x:v>
      </x:c>
      <x:c r="M369" s="6" t="str">
        <x:v>Retain; inspect relevant context before adding links</x:v>
      </x:c>
      <x:c r="N369" s="6" t="str">
        <x:v>Unconfirmed — no query/page pairing</x:v>
      </x:c>
      <x:c r="O369" s="6" t="str">
        <x:v>Retain established booking / WhatsApp / call path; live behaviour untested</x:v>
      </x:c>
      <x:c r="P369" s="6" t="str">
        <x:v>Retain canonical and indexation policy pending a live check.</x:v>
      </x:c>
      <x:c r="Q369" s="6" t="str">
        <x:v>Proposed; no website change made</x:v>
      </x:c>
      <x:c r="R369" s="14"/>
      <x:c r="S369" s="14"/>
      <x:c r="T369" s="15"/>
      <x:c r="U369" s="16"/>
      <x:c r="V369" s="6" t="str">
        <x:v>https://digitecme.com/ar/brands/lamborghini-service-dubai/mechanical-repair</x:v>
      </x:c>
      <x:c r="W369" s="6" t="str">
        <x:v>Indexable directive</x:v>
      </x:c>
      <x:c r="X369" s="6" t="n">
        <x:v>16</x:v>
      </x:c>
      <x:c r="Y369" s="6" t="str">
        <x:v>الإصلاح الميكانيكي Lamborghini في دبي | ديجي-تك</x:v>
      </x:c>
      <x:c r="Z369" s="6" t="str"/>
      <x:c r="AA369" s="6" t="str">
        <x:v>No / not compared</x:v>
      </x:c>
    </x:row>
    <x:row r="370" ht="42" customHeight="1">
      <x:c r="A370" s="6" t="str">
        <x:v>https://digitecme.com/ar/brands/lamborghini-service-dubai/oil-change</x:v>
      </x:c>
      <x:c r="B370" s="6" t="str"/>
      <x:c r="C370" s="6" t="str"/>
      <x:c r="D370" s="6" t="str">
        <x:v>brand-service</x:v>
      </x:c>
      <x:c r="E370" s="6" t="str">
        <x:v>Retain differentiated role</x:v>
      </x:c>
      <x:c r="F370" s="6" t="str">
        <x:v>Local source render; live version unverified</x:v>
      </x:c>
      <x:c r="G370" s="6" t="str">
        <x:v>تغيير الزيت Lamborghini في دبي | ديجي-تك</x:v>
      </x:c>
      <x:c r="H370" s="6" t="str">
        <x:v>تغيير الزيت Lamborghini في دبي | ديجي-تك</x:v>
      </x:c>
      <x:c r="I370" s="6" t="str">
        <x:v>تغيير الزيت Lamborghini في دبي</x:v>
      </x:c>
      <x:c r="J370" s="6" t="str">
        <x:v>تغيير الزيت Lamborghini في دبي</x:v>
      </x:c>
      <x:c r="K370" s="6" t="str">
        <x:v>تغيير الزيت متخصص لسيارات Lamborghini في دبي مع تشخيص متقدم وقطع مناسبة وتسعير واضح لدى مركز ديجي-تك.</x:v>
      </x:c>
      <x:c r="L370" s="6" t="str">
        <x:v>Retain pending evidence; no specific content edit justified by this export.</x:v>
      </x:c>
      <x:c r="M370" s="6" t="str">
        <x:v>Retain; inspect relevant context before adding links</x:v>
      </x:c>
      <x:c r="N370" s="6" t="str">
        <x:v>Unconfirmed — no query/page pairing</x:v>
      </x:c>
      <x:c r="O370" s="6" t="str">
        <x:v>Retain established booking / WhatsApp / call path; live behaviour untested</x:v>
      </x:c>
      <x:c r="P370" s="6" t="str">
        <x:v>Retain canonical and indexation policy pending a live check.</x:v>
      </x:c>
      <x:c r="Q370" s="6" t="str">
        <x:v>Proposed; no website change made</x:v>
      </x:c>
      <x:c r="R370" s="14" t="n">
        <x:v>0</x:v>
      </x:c>
      <x:c r="S370" s="14" t="n">
        <x:v>3</x:v>
      </x:c>
      <x:c r="T370" s="15" t="n">
        <x:v>0</x:v>
      </x:c>
      <x:c r="U370" s="16" t="n">
        <x:v>5</x:v>
      </x:c>
      <x:c r="V370" s="6" t="str">
        <x:v>https://digitecme.com/ar/brands/lamborghini-service-dubai/oil-change</x:v>
      </x:c>
      <x:c r="W370" s="6" t="str">
        <x:v>Indexable directive</x:v>
      </x:c>
      <x:c r="X370" s="6" t="n">
        <x:v>17</x:v>
      </x:c>
      <x:c r="Y370" s="6" t="str">
        <x:v>تغيير الزيت Lamborghini في دبي | ديجي-تك</x:v>
      </x:c>
      <x:c r="Z370" s="6" t="str"/>
      <x:c r="AA370" s="6" t="str">
        <x:v>No / not compared</x:v>
      </x:c>
    </x:row>
    <x:row r="371" ht="42" customHeight="1">
      <x:c r="A371" s="6" t="str">
        <x:v>https://digitecme.com/ar/brands/lamborghini-service-dubai/steering-repair</x:v>
      </x:c>
      <x:c r="B371" s="6" t="str"/>
      <x:c r="C371" s="6" t="str"/>
      <x:c r="D371" s="6" t="str">
        <x:v>brand-service</x:v>
      </x:c>
      <x:c r="E371" s="6" t="str">
        <x:v>Retain differentiated role</x:v>
      </x:c>
      <x:c r="F371" s="6" t="str">
        <x:v>Local source render; live version unverified</x:v>
      </x:c>
      <x:c r="G371" s="6" t="str">
        <x:v>إصلاح نظام التوجيه Lamborghini في دبي | ديجي-تك</x:v>
      </x:c>
      <x:c r="H371" s="6" t="str">
        <x:v>إصلاح نظام التوجيه Lamborghini في دبي | ديجي-تك</x:v>
      </x:c>
      <x:c r="I371" s="6" t="str">
        <x:v>إصلاح نظام التوجيه Lamborghini في دبي</x:v>
      </x:c>
      <x:c r="J371" s="6" t="str">
        <x:v>إصلاح نظام التوجيه Lamborghini في دبي</x:v>
      </x:c>
      <x:c r="K371" s="6" t="str">
        <x:v>إصلاح نظام التوجيه متخصص لسيارات Lamborghini في دبي مع تشخيص متقدم وقطع مناسبة وتسعير واضح لدى مركز ديجي-تك.</x:v>
      </x:c>
      <x:c r="L371" s="6" t="str">
        <x:v>Retain pending evidence; no specific content edit justified by this export.</x:v>
      </x:c>
      <x:c r="M371" s="6" t="str">
        <x:v>Retain; inspect relevant context before adding links</x:v>
      </x:c>
      <x:c r="N371" s="6" t="str">
        <x:v>Unconfirmed — no query/page pairing</x:v>
      </x:c>
      <x:c r="O371" s="6" t="str">
        <x:v>Retain established booking / WhatsApp / call path; live behaviour untested</x:v>
      </x:c>
      <x:c r="P371" s="6" t="str">
        <x:v>Retain canonical and indexation policy pending a live check.</x:v>
      </x:c>
      <x:c r="Q371" s="6" t="str">
        <x:v>Proposed; no website change made</x:v>
      </x:c>
      <x:c r="R371" s="14"/>
      <x:c r="S371" s="14"/>
      <x:c r="T371" s="15"/>
      <x:c r="U371" s="16"/>
      <x:c r="V371" s="6" t="str">
        <x:v>https://digitecme.com/ar/brands/lamborghini-service-dubai/steering-repair</x:v>
      </x:c>
      <x:c r="W371" s="6" t="str">
        <x:v>Indexable directive</x:v>
      </x:c>
      <x:c r="X371" s="6" t="n">
        <x:v>16</x:v>
      </x:c>
      <x:c r="Y371" s="6" t="str">
        <x:v>إصلاح نظام التوجيه Lamborghini في دبي | ديجي-تك</x:v>
      </x:c>
      <x:c r="Z371" s="6" t="str"/>
      <x:c r="AA371" s="6" t="str">
        <x:v>No / not compared</x:v>
      </x:c>
    </x:row>
    <x:row r="372" ht="42" customHeight="1">
      <x:c r="A372" s="6" t="str">
        <x:v>https://digitecme.com/ar/brands/lamborghini-service-dubai/suspension-repair</x:v>
      </x:c>
      <x:c r="B372" s="6" t="str"/>
      <x:c r="C372" s="6" t="str"/>
      <x:c r="D372" s="6" t="str">
        <x:v>brand-service</x:v>
      </x:c>
      <x:c r="E372" s="6" t="str">
        <x:v>Retain differentiated role</x:v>
      </x:c>
      <x:c r="F372" s="6" t="str">
        <x:v>Local source render; live version unverified</x:v>
      </x:c>
      <x:c r="G372" s="6" t="str">
        <x:v>إصلاح التعليق Lamborghini في دبي | ديجي-تك</x:v>
      </x:c>
      <x:c r="H372" s="6" t="str">
        <x:v>إصلاح التعليق Lamborghini في دبي | ديجي-تك</x:v>
      </x:c>
      <x:c r="I372" s="6" t="str">
        <x:v>إصلاح التعليق Lamborghini في دبي</x:v>
      </x:c>
      <x:c r="J372" s="6" t="str">
        <x:v>إصلاح التعليق Lamborghini في دبي</x:v>
      </x:c>
      <x:c r="K372" s="6" t="str">
        <x:v>إصلاح التعليق متخصص لسيارات Lamborghini في دبي مع تشخيص متقدم وقطع مناسبة وتسعير واضح لدى مركز ديجي-تك.</x:v>
      </x:c>
      <x:c r="L372" s="6" t="str">
        <x:v>Retain pending evidence; no specific content edit justified by this export.</x:v>
      </x:c>
      <x:c r="M372" s="6" t="str">
        <x:v>Retain; inspect relevant context before adding links</x:v>
      </x:c>
      <x:c r="N372" s="6" t="str">
        <x:v>Unconfirmed — no query/page pairing</x:v>
      </x:c>
      <x:c r="O372" s="6" t="str">
        <x:v>Retain established booking / WhatsApp / call path; live behaviour untested</x:v>
      </x:c>
      <x:c r="P372" s="6" t="str">
        <x:v>Retain canonical and indexation policy pending a live check.</x:v>
      </x:c>
      <x:c r="Q372" s="6" t="str">
        <x:v>Proposed; no website change made</x:v>
      </x:c>
      <x:c r="R372" s="14" t="n">
        <x:v>0</x:v>
      </x:c>
      <x:c r="S372" s="14" t="n">
        <x:v>3</x:v>
      </x:c>
      <x:c r="T372" s="15" t="n">
        <x:v>0</x:v>
      </x:c>
      <x:c r="U372" s="16" t="n">
        <x:v>88.67</x:v>
      </x:c>
      <x:c r="V372" s="6" t="str">
        <x:v>https://digitecme.com/ar/brands/lamborghini-service-dubai/suspension-repair</x:v>
      </x:c>
      <x:c r="W372" s="6" t="str">
        <x:v>Indexable directive</x:v>
      </x:c>
      <x:c r="X372" s="6" t="n">
        <x:v>17</x:v>
      </x:c>
      <x:c r="Y372" s="6" t="str">
        <x:v>إصلاح التعليق Lamborghini في دبي | ديجي-تك</x:v>
      </x:c>
      <x:c r="Z372" s="6" t="str"/>
      <x:c r="AA372" s="6" t="str">
        <x:v>No / not compared</x:v>
      </x:c>
    </x:row>
    <x:row r="373" ht="42" customHeight="1">
      <x:c r="A373" s="6" t="str">
        <x:v>https://digitecme.com/ar/brands/lamborghini-service-dubai/tire-repair</x:v>
      </x:c>
      <x:c r="B373" s="6" t="str"/>
      <x:c r="C373" s="6" t="str"/>
      <x:c r="D373" s="6" t="str">
        <x:v>brand-service</x:v>
      </x:c>
      <x:c r="E373" s="6" t="str">
        <x:v>Retain differentiated role</x:v>
      </x:c>
      <x:c r="F373" s="6" t="str">
        <x:v>Local source render; live version unverified</x:v>
      </x:c>
      <x:c r="G373" s="6" t="str">
        <x:v>إصلاح الإطارات Lamborghini في دبي | ديجي-تك</x:v>
      </x:c>
      <x:c r="H373" s="6" t="str">
        <x:v>إصلاح الإطارات Lamborghini في دبي | ديجي-تك</x:v>
      </x:c>
      <x:c r="I373" s="6" t="str">
        <x:v>إصلاح الإطارات Lamborghini في دبي</x:v>
      </x:c>
      <x:c r="J373" s="6" t="str">
        <x:v>إصلاح الإطارات Lamborghini في دبي</x:v>
      </x:c>
      <x:c r="K373" s="6" t="str">
        <x:v>إصلاح الإطارات متخصص لسيارات Lamborghini في دبي مع تشخيص متقدم وقطع مناسبة وتسعير واضح لدى مركز ديجي-تك.</x:v>
      </x:c>
      <x:c r="L373" s="6" t="str">
        <x:v>Retain pending evidence; no specific content edit justified by this export.</x:v>
      </x:c>
      <x:c r="M373" s="6" t="str">
        <x:v>Retain; inspect relevant context before adding links</x:v>
      </x:c>
      <x:c r="N373" s="6" t="str">
        <x:v>Unconfirmed — no query/page pairing</x:v>
      </x:c>
      <x:c r="O373" s="6" t="str">
        <x:v>Retain established booking / WhatsApp / call path; live behaviour untested</x:v>
      </x:c>
      <x:c r="P373" s="6" t="str">
        <x:v>Retain canonical and indexation policy pending a live check.</x:v>
      </x:c>
      <x:c r="Q373" s="6" t="str">
        <x:v>Proposed; no website change made</x:v>
      </x:c>
      <x:c r="R373" s="14" t="n">
        <x:v>0</x:v>
      </x:c>
      <x:c r="S373" s="14" t="n">
        <x:v>3</x:v>
      </x:c>
      <x:c r="T373" s="15" t="n">
        <x:v>0</x:v>
      </x:c>
      <x:c r="U373" s="16" t="n">
        <x:v>96.33</x:v>
      </x:c>
      <x:c r="V373" s="6" t="str">
        <x:v>https://digitecme.com/ar/brands/lamborghini-service-dubai/tire-repair</x:v>
      </x:c>
      <x:c r="W373" s="6" t="str">
        <x:v>Indexable directive</x:v>
      </x:c>
      <x:c r="X373" s="6" t="n">
        <x:v>16</x:v>
      </x:c>
      <x:c r="Y373" s="6" t="str">
        <x:v>إصلاح الإطارات Lamborghini في دبي | ديجي-تك</x:v>
      </x:c>
      <x:c r="Z373" s="6" t="str"/>
      <x:c r="AA373" s="6" t="str">
        <x:v>No / not compared</x:v>
      </x:c>
    </x:row>
    <x:row r="374" ht="42" customHeight="1">
      <x:c r="A374" s="6" t="str">
        <x:v>https://digitecme.com/ar/brands/lamborghini-service-dubai/transmission-repair</x:v>
      </x:c>
      <x:c r="B374" s="6" t="str"/>
      <x:c r="C374" s="6" t="str"/>
      <x:c r="D374" s="6" t="str">
        <x:v>brand-service</x:v>
      </x:c>
      <x:c r="E374" s="6" t="str">
        <x:v>Retain differentiated role</x:v>
      </x:c>
      <x:c r="F374" s="6" t="str">
        <x:v>Local source render; live version unverified</x:v>
      </x:c>
      <x:c r="G374" s="6" t="str">
        <x:v>إصلاح ناقل الحركة Lamborghini في دبي | ديجي-تك</x:v>
      </x:c>
      <x:c r="H374" s="6" t="str">
        <x:v>إصلاح ناقل الحركة Lamborghini في دبي | ديجي-تك</x:v>
      </x:c>
      <x:c r="I374" s="6" t="str">
        <x:v>إصلاح ناقل الحركة Lamborghini في دبي</x:v>
      </x:c>
      <x:c r="J374" s="6" t="str">
        <x:v>إصلاح ناقل الحركة Lamborghini في دبي</x:v>
      </x:c>
      <x:c r="K374" s="6" t="str">
        <x:v>إصلاح ناقل الحركة متخصص لسيارات Lamborghini في دبي مع تشخيص متقدم وقطع مناسبة وتسعير واضح لدى مركز ديجي-تك.</x:v>
      </x:c>
      <x:c r="L374" s="6" t="str">
        <x:v>Retain pending evidence; no specific content edit justified by this export.</x:v>
      </x:c>
      <x:c r="M374" s="6" t="str">
        <x:v>Retain; inspect relevant context before adding links</x:v>
      </x:c>
      <x:c r="N374" s="6" t="str">
        <x:v>Unconfirmed — no query/page pairing</x:v>
      </x:c>
      <x:c r="O374" s="6" t="str">
        <x:v>Retain established booking / WhatsApp / call path; live behaviour untested</x:v>
      </x:c>
      <x:c r="P374" s="6" t="str">
        <x:v>Retain canonical and indexation policy pending a live check.</x:v>
      </x:c>
      <x:c r="Q374" s="6" t="str">
        <x:v>Proposed; no website change made</x:v>
      </x:c>
      <x:c r="R374" s="14" t="n">
        <x:v>0</x:v>
      </x:c>
      <x:c r="S374" s="14" t="n">
        <x:v>1</x:v>
      </x:c>
      <x:c r="T374" s="15" t="n">
        <x:v>0</x:v>
      </x:c>
      <x:c r="U374" s="16" t="n">
        <x:v>99</x:v>
      </x:c>
      <x:c r="V374" s="6" t="str">
        <x:v>https://digitecme.com/ar/brands/lamborghini-service-dubai/transmission-repair</x:v>
      </x:c>
      <x:c r="W374" s="6" t="str">
        <x:v>Indexable directive</x:v>
      </x:c>
      <x:c r="X374" s="6" t="n">
        <x:v>17</x:v>
      </x:c>
      <x:c r="Y374" s="6" t="str">
        <x:v>إصلاح ناقل الحركة Lamborghini في دبي | ديجي-تك</x:v>
      </x:c>
      <x:c r="Z374" s="6" t="str"/>
      <x:c r="AA374" s="6" t="str">
        <x:v>No / not compared</x:v>
      </x:c>
    </x:row>
    <x:row r="375" ht="42" customHeight="1">
      <x:c r="A375" s="6" t="str">
        <x:v>https://digitecme.com/ar/brands/land-rover-service-dubai</x:v>
      </x:c>
      <x:c r="B375" s="6" t="str"/>
      <x:c r="C375" s="6" t="str"/>
      <x:c r="D375" s="6" t="str">
        <x:v>brand</x:v>
      </x:c>
      <x:c r="E375" s="6" t="str">
        <x:v>Retain differentiated role</x:v>
      </x:c>
      <x:c r="F375" s="6" t="str">
        <x:v>Local source render; live version unverified</x:v>
      </x:c>
      <x:c r="G375" s="6" t="str">
        <x:v>إصلاح وصيانة Land Rover في دبي | مركز ديجي-تك</x:v>
      </x:c>
      <x:c r="H375" s="6" t="str">
        <x:v>إصلاح وصيانة Land Rover في دبي | مركز ديجي-تك</x:v>
      </x:c>
      <x:c r="I375" s="6" t="str">
        <x:v>Land Rover للإصلاح والصيانة في دبي</x:v>
      </x:c>
      <x:c r="J375" s="6" t="str">
        <x:v>Land Rover للإصلاح والصيانة في دبي</x:v>
      </x:c>
      <x:c r="K375" s="6" t="str">
        <x:v>إصلاح وصيانة Land Rover في دبي: تشخيص وصيانة وفرامل وناقل حركة وتعليق وتكييف مع قطع بالمواصفات المناسبة لدى مركز ديجي-تك.</x:v>
      </x:c>
      <x:c r="L375" s="6" t="str">
        <x:v>Retain pending evidence; no specific content edit justified by this export.</x:v>
      </x:c>
      <x:c r="M375" s="6" t="str">
        <x:v>Retain; inspect relevant context before adding links</x:v>
      </x:c>
      <x:c r="N375" s="6" t="str">
        <x:v>Unconfirmed — no query/page pairing</x:v>
      </x:c>
      <x:c r="O375" s="6" t="str">
        <x:v>Retain established booking / WhatsApp / call path; live behaviour untested</x:v>
      </x:c>
      <x:c r="P375" s="6" t="str">
        <x:v>Retain canonical and indexation policy pending a live check.</x:v>
      </x:c>
      <x:c r="Q375" s="6" t="str">
        <x:v>Proposed; no website change made</x:v>
      </x:c>
      <x:c r="R375" s="14" t="n">
        <x:v>0</x:v>
      </x:c>
      <x:c r="S375" s="14" t="n">
        <x:v>23</x:v>
      </x:c>
      <x:c r="T375" s="15" t="n">
        <x:v>0</x:v>
      </x:c>
      <x:c r="U375" s="16" t="n">
        <x:v>30.7</x:v>
      </x:c>
      <x:c r="V375" s="6" t="str">
        <x:v>https://digitecme.com/ar/brands/land-rover-service-dubai</x:v>
      </x:c>
      <x:c r="W375" s="6" t="str">
        <x:v>Indexable directive</x:v>
      </x:c>
      <x:c r="X375" s="6" t="n">
        <x:v>71</x:v>
      </x:c>
      <x:c r="Y375" s="6" t="str">
        <x:v>إصلاح وصيانة Land Rover في دبي | مركز ديجي-تك</x:v>
      </x:c>
      <x:c r="Z375" s="6" t="str"/>
      <x:c r="AA375" s="6" t="str">
        <x:v>No / not compared</x:v>
      </x:c>
    </x:row>
    <x:row r="376" ht="42" customHeight="1">
      <x:c r="A376" s="6" t="str">
        <x:v>https://digitecme.com/ar/brands/land-rover-service-dubai/ac-repair</x:v>
      </x:c>
      <x:c r="B376" s="6" t="str"/>
      <x:c r="C376" s="6" t="str"/>
      <x:c r="D376" s="6" t="str">
        <x:v>brand-service</x:v>
      </x:c>
      <x:c r="E376" s="6" t="str">
        <x:v>Retain differentiated role</x:v>
      </x:c>
      <x:c r="F376" s="6" t="str">
        <x:v>Local source render; live version unverified</x:v>
      </x:c>
      <x:c r="G376" s="6" t="str">
        <x:v>إصلاح التكييف Land Rover في دبي | ديجي-تك</x:v>
      </x:c>
      <x:c r="H376" s="6" t="str">
        <x:v>إصلاح التكييف Land Rover في دبي | ديجي-تك</x:v>
      </x:c>
      <x:c r="I376" s="6" t="str">
        <x:v>إصلاح التكييف Land Rover في دبي</x:v>
      </x:c>
      <x:c r="J376" s="6" t="str">
        <x:v>إصلاح التكييف Land Rover في دبي</x:v>
      </x:c>
      <x:c r="K376" s="6" t="str">
        <x:v>إصلاح التكييف متخصص لسيارات Land Rover في دبي مع تشخيص متقدم وقطع مناسبة وتسعير واضح لدى مركز ديجي-تك.</x:v>
      </x:c>
      <x:c r="L376" s="6" t="str">
        <x:v>Retain pending evidence; no specific content edit justified by this export.</x:v>
      </x:c>
      <x:c r="M376" s="6" t="str">
        <x:v>Retain; inspect relevant context before adding links</x:v>
      </x:c>
      <x:c r="N376" s="6" t="str">
        <x:v>Unconfirmed — no query/page pairing</x:v>
      </x:c>
      <x:c r="O376" s="6" t="str">
        <x:v>Retain established booking / WhatsApp / call path; live behaviour untested</x:v>
      </x:c>
      <x:c r="P376" s="6" t="str">
        <x:v>Retain canonical and indexation policy pending a live check.</x:v>
      </x:c>
      <x:c r="Q376" s="6" t="str">
        <x:v>Proposed; no website change made</x:v>
      </x:c>
      <x:c r="R376" s="14" t="n">
        <x:v>0</x:v>
      </x:c>
      <x:c r="S376" s="14" t="n">
        <x:v>2</x:v>
      </x:c>
      <x:c r="T376" s="15" t="n">
        <x:v>0</x:v>
      </x:c>
      <x:c r="U376" s="16" t="n">
        <x:v>44</x:v>
      </x:c>
      <x:c r="V376" s="6" t="str">
        <x:v>https://digitecme.com/ar/brands/land-rover-service-dubai/ac-repair</x:v>
      </x:c>
      <x:c r="W376" s="6" t="str">
        <x:v>Indexable directive</x:v>
      </x:c>
      <x:c r="X376" s="6" t="n">
        <x:v>16</x:v>
      </x:c>
      <x:c r="Y376" s="6" t="str">
        <x:v>إصلاح التكييف Land Rover في دبي | ديجي-تك</x:v>
      </x:c>
      <x:c r="Z376" s="6" t="str"/>
      <x:c r="AA376" s="6" t="str">
        <x:v>No / not compared</x:v>
      </x:c>
    </x:row>
    <x:row r="377" ht="42" customHeight="1">
      <x:c r="A377" s="6" t="str">
        <x:v>https://digitecme.com/ar/brands/land-rover-service-dubai/battery-replacement</x:v>
      </x:c>
      <x:c r="B377" s="6" t="str"/>
      <x:c r="C377" s="6" t="str"/>
      <x:c r="D377" s="6" t="str">
        <x:v>brand-service</x:v>
      </x:c>
      <x:c r="E377" s="6" t="str">
        <x:v>Retain differentiated role</x:v>
      </x:c>
      <x:c r="F377" s="6" t="str">
        <x:v>Local source render; live version unverified</x:v>
      </x:c>
      <x:c r="G377" s="6" t="str">
        <x:v>تبديل البطارية Land Rover في دبي | ديجي-تك</x:v>
      </x:c>
      <x:c r="H377" s="6" t="str">
        <x:v>تبديل البطارية Land Rover في دبي | ديجي-تك</x:v>
      </x:c>
      <x:c r="I377" s="6" t="str">
        <x:v>تبديل البطارية Land Rover في دبي</x:v>
      </x:c>
      <x:c r="J377" s="6" t="str">
        <x:v>تبديل البطارية Land Rover في دبي</x:v>
      </x:c>
      <x:c r="K377" s="6" t="str">
        <x:v>تبديل البطارية متخصص لسيارات Land Rover في دبي مع تشخيص متقدم وقطع مناسبة وتسعير واضح لدى مركز ديجي-تك.</x:v>
      </x:c>
      <x:c r="L377" s="6" t="str">
        <x:v>Retain pending evidence; no specific content edit justified by this export.</x:v>
      </x:c>
      <x:c r="M377" s="6" t="str">
        <x:v>Retain; inspect relevant context before adding links</x:v>
      </x:c>
      <x:c r="N377" s="6" t="str">
        <x:v>Unconfirmed — no query/page pairing</x:v>
      </x:c>
      <x:c r="O377" s="6" t="str">
        <x:v>Retain established booking / WhatsApp / call path; live behaviour untested</x:v>
      </x:c>
      <x:c r="P377" s="6" t="str">
        <x:v>Retain canonical and indexation policy pending a live check.</x:v>
      </x:c>
      <x:c r="Q377" s="6" t="str">
        <x:v>Proposed; no website change made</x:v>
      </x:c>
      <x:c r="R377" s="14" t="n">
        <x:v>0</x:v>
      </x:c>
      <x:c r="S377" s="14" t="n">
        <x:v>1</x:v>
      </x:c>
      <x:c r="T377" s="15" t="n">
        <x:v>0</x:v>
      </x:c>
      <x:c r="U377" s="16" t="n">
        <x:v>5</x:v>
      </x:c>
      <x:c r="V377" s="6" t="str">
        <x:v>https://digitecme.com/ar/brands/land-rover-service-dubai/battery-replacement</x:v>
      </x:c>
      <x:c r="W377" s="6" t="str">
        <x:v>Indexable directive</x:v>
      </x:c>
      <x:c r="X377" s="6" t="n">
        <x:v>16</x:v>
      </x:c>
      <x:c r="Y377" s="6" t="str">
        <x:v>تبديل البطارية Land Rover في دبي | ديجي-تك</x:v>
      </x:c>
      <x:c r="Z377" s="6" t="str"/>
      <x:c r="AA377" s="6" t="str">
        <x:v>No / not compared</x:v>
      </x:c>
    </x:row>
    <x:row r="378" ht="42" customHeight="1">
      <x:c r="A378" s="6" t="str">
        <x:v>https://digitecme.com/ar/brands/land-rover-service-dubai/body-repair</x:v>
      </x:c>
      <x:c r="B378" s="6" t="str"/>
      <x:c r="C378" s="6" t="str"/>
      <x:c r="D378" s="6" t="str">
        <x:v>brand-service</x:v>
      </x:c>
      <x:c r="E378" s="6" t="str">
        <x:v>Retain differentiated role</x:v>
      </x:c>
      <x:c r="F378" s="6" t="str">
        <x:v>Local source render; live version unverified</x:v>
      </x:c>
      <x:c r="G378" s="6" t="str">
        <x:v>إصلاح الهيكل Land Rover في دبي | ديجي-تك</x:v>
      </x:c>
      <x:c r="H378" s="6" t="str">
        <x:v>إصلاح الهيكل Land Rover في دبي | ديجي-تك</x:v>
      </x:c>
      <x:c r="I378" s="6" t="str">
        <x:v>إصلاح الهيكل Land Rover في دبي</x:v>
      </x:c>
      <x:c r="J378" s="6" t="str">
        <x:v>إصلاح الهيكل Land Rover في دبي</x:v>
      </x:c>
      <x:c r="K378" s="6" t="str">
        <x:v>إصلاح الهيكل متخصص لسيارات Land Rover في دبي مع تشخيص متقدم وقطع مناسبة وتسعير واضح لدى مركز ديجي-تك.</x:v>
      </x:c>
      <x:c r="L378" s="6" t="str">
        <x:v>Retain pending evidence; no specific content edit justified by this export.</x:v>
      </x:c>
      <x:c r="M378" s="6" t="str">
        <x:v>Retain; inspect relevant context before adding links</x:v>
      </x:c>
      <x:c r="N378" s="6" t="str">
        <x:v>Unconfirmed — no query/page pairing</x:v>
      </x:c>
      <x:c r="O378" s="6" t="str">
        <x:v>Retain established booking / WhatsApp / call path; live behaviour untested</x:v>
      </x:c>
      <x:c r="P378" s="6" t="str">
        <x:v>Retain canonical and indexation policy pending a live check.</x:v>
      </x:c>
      <x:c r="Q378" s="6" t="str">
        <x:v>Proposed; no website change made</x:v>
      </x:c>
      <x:c r="R378" s="14" t="n">
        <x:v>0</x:v>
      </x:c>
      <x:c r="S378" s="14" t="n">
        <x:v>7</x:v>
      </x:c>
      <x:c r="T378" s="15" t="n">
        <x:v>0</x:v>
      </x:c>
      <x:c r="U378" s="16" t="n">
        <x:v>60.43</x:v>
      </x:c>
      <x:c r="V378" s="6" t="str">
        <x:v>https://digitecme.com/ar/brands/land-rover-service-dubai/body-repair</x:v>
      </x:c>
      <x:c r="W378" s="6" t="str">
        <x:v>Indexable directive</x:v>
      </x:c>
      <x:c r="X378" s="6" t="n">
        <x:v>16</x:v>
      </x:c>
      <x:c r="Y378" s="6" t="str">
        <x:v>إصلاح الهيكل Land Rover في دبي | ديجي-تك</x:v>
      </x:c>
      <x:c r="Z378" s="6" t="str"/>
      <x:c r="AA378" s="6" t="str">
        <x:v>No / not compared</x:v>
      </x:c>
    </x:row>
    <x:row r="379" ht="42" customHeight="1">
      <x:c r="A379" s="6" t="str">
        <x:v>https://digitecme.com/ar/brands/land-rover-service-dubai/brake-repair</x:v>
      </x:c>
      <x:c r="B379" s="6" t="str"/>
      <x:c r="C379" s="6" t="str"/>
      <x:c r="D379" s="6" t="str">
        <x:v>brand-service</x:v>
      </x:c>
      <x:c r="E379" s="6" t="str">
        <x:v>Retain differentiated role</x:v>
      </x:c>
      <x:c r="F379" s="6" t="str">
        <x:v>Local source render; live version unverified</x:v>
      </x:c>
      <x:c r="G379" s="6" t="str">
        <x:v>إصلاح الفرامل Land Rover في دبي | ديجي-تك</x:v>
      </x:c>
      <x:c r="H379" s="6" t="str">
        <x:v>إصلاح الفرامل Land Rover في دبي | ديجي-تك</x:v>
      </x:c>
      <x:c r="I379" s="6" t="str">
        <x:v>إصلاح الفرامل Land Rover في دبي</x:v>
      </x:c>
      <x:c r="J379" s="6" t="str">
        <x:v>إصلاح الفرامل Land Rover في دبي</x:v>
      </x:c>
      <x:c r="K379" s="6" t="str">
        <x:v>إصلاح الفرامل متخصص لسيارات Land Rover في دبي مع تشخيص متقدم وقطع مناسبة وتسعير واضح لدى مركز ديجي-تك.</x:v>
      </x:c>
      <x:c r="L379" s="6" t="str">
        <x:v>Retain pending evidence; no specific content edit justified by this export.</x:v>
      </x:c>
      <x:c r="M379" s="6" t="str">
        <x:v>Retain; inspect relevant context before adding links</x:v>
      </x:c>
      <x:c r="N379" s="6" t="str">
        <x:v>Unconfirmed — no query/page pairing</x:v>
      </x:c>
      <x:c r="O379" s="6" t="str">
        <x:v>Retain established booking / WhatsApp / call path; live behaviour untested</x:v>
      </x:c>
      <x:c r="P379" s="6" t="str">
        <x:v>Retain canonical and indexation policy pending a live check.</x:v>
      </x:c>
      <x:c r="Q379" s="6" t="str">
        <x:v>Proposed; no website change made</x:v>
      </x:c>
      <x:c r="R379" s="14"/>
      <x:c r="S379" s="14"/>
      <x:c r="T379" s="15"/>
      <x:c r="U379" s="16"/>
      <x:c r="V379" s="6" t="str">
        <x:v>https://digitecme.com/ar/brands/land-rover-service-dubai/brake-repair</x:v>
      </x:c>
      <x:c r="W379" s="6" t="str">
        <x:v>Indexable directive</x:v>
      </x:c>
      <x:c r="X379" s="6" t="n">
        <x:v>16</x:v>
      </x:c>
      <x:c r="Y379" s="6" t="str">
        <x:v>إصلاح الفرامل Land Rover في دبي | ديجي-تك</x:v>
      </x:c>
      <x:c r="Z379" s="6" t="str"/>
      <x:c r="AA379" s="6" t="str">
        <x:v>No / not compared</x:v>
      </x:c>
    </x:row>
    <x:row r="380" ht="42" customHeight="1">
      <x:c r="A380" s="6" t="str">
        <x:v>https://digitecme.com/ar/brands/land-rover-service-dubai/electrical-repair</x:v>
      </x:c>
      <x:c r="B380" s="6" t="str"/>
      <x:c r="C380" s="6" t="str"/>
      <x:c r="D380" s="6" t="str">
        <x:v>brand-service</x:v>
      </x:c>
      <x:c r="E380" s="6" t="str">
        <x:v>Retain differentiated role</x:v>
      </x:c>
      <x:c r="F380" s="6" t="str">
        <x:v>Local source render; live version unverified</x:v>
      </x:c>
      <x:c r="G380" s="6" t="str">
        <x:v>إصلاح الكهرباء Land Rover في دبي | ديجي-تك</x:v>
      </x:c>
      <x:c r="H380" s="6" t="str">
        <x:v>إصلاح الكهرباء Land Rover في دبي | ديجي-تك</x:v>
      </x:c>
      <x:c r="I380" s="6" t="str">
        <x:v>إصلاح الكهرباء Land Rover في دبي</x:v>
      </x:c>
      <x:c r="J380" s="6" t="str">
        <x:v>إصلاح الكهرباء Land Rover في دبي</x:v>
      </x:c>
      <x:c r="K380" s="6" t="str">
        <x:v>إصلاح الكهرباء متخصص لسيارات Land Rover في دبي مع تشخيص متقدم وقطع مناسبة وتسعير واضح لدى مركز ديجي-تك.</x:v>
      </x:c>
      <x:c r="L380" s="6" t="str">
        <x:v>Retain pending evidence; no specific content edit justified by this export.</x:v>
      </x:c>
      <x:c r="M380" s="6" t="str">
        <x:v>Retain; inspect relevant context before adding links</x:v>
      </x:c>
      <x:c r="N380" s="6" t="str">
        <x:v>Unconfirmed — no query/page pairing</x:v>
      </x:c>
      <x:c r="O380" s="6" t="str">
        <x:v>Retain established booking / WhatsApp / call path; live behaviour untested</x:v>
      </x:c>
      <x:c r="P380" s="6" t="str">
        <x:v>Retain canonical and indexation policy pending a live check.</x:v>
      </x:c>
      <x:c r="Q380" s="6" t="str">
        <x:v>Proposed; no website change made</x:v>
      </x:c>
      <x:c r="R380" s="14"/>
      <x:c r="S380" s="14"/>
      <x:c r="T380" s="15"/>
      <x:c r="U380" s="16"/>
      <x:c r="V380" s="6" t="str">
        <x:v>https://digitecme.com/ar/brands/land-rover-service-dubai/electrical-repair</x:v>
      </x:c>
      <x:c r="W380" s="6" t="str">
        <x:v>Indexable directive</x:v>
      </x:c>
      <x:c r="X380" s="6" t="n">
        <x:v>16</x:v>
      </x:c>
      <x:c r="Y380" s="6" t="str">
        <x:v>إصلاح الكهرباء Land Rover في دبي | ديجي-تك</x:v>
      </x:c>
      <x:c r="Z380" s="6" t="str"/>
      <x:c r="AA380" s="6" t="str">
        <x:v>No / not compared</x:v>
      </x:c>
    </x:row>
    <x:row r="381" ht="42" customHeight="1">
      <x:c r="A381" s="6" t="str">
        <x:v>https://digitecme.com/ar/brands/land-rover-service-dubai/engine-diagnostics</x:v>
      </x:c>
      <x:c r="B381" s="6" t="str"/>
      <x:c r="C381" s="6" t="str"/>
      <x:c r="D381" s="6" t="str">
        <x:v>brand-service</x:v>
      </x:c>
      <x:c r="E381" s="6" t="str">
        <x:v>Retain differentiated role</x:v>
      </x:c>
      <x:c r="F381" s="6" t="str">
        <x:v>Local source render; live version unverified</x:v>
      </x:c>
      <x:c r="G381" s="6" t="str">
        <x:v>تشخيص المحرك Land Rover في دبي | ديجي-تك</x:v>
      </x:c>
      <x:c r="H381" s="6" t="str">
        <x:v>تشخيص المحرك Land Rover في دبي | ديجي-تك</x:v>
      </x:c>
      <x:c r="I381" s="6" t="str">
        <x:v>تشخيص المحرك Land Rover في دبي</x:v>
      </x:c>
      <x:c r="J381" s="6" t="str">
        <x:v>تشخيص المحرك Land Rover في دبي</x:v>
      </x:c>
      <x:c r="K381" s="6" t="str">
        <x:v>تشخيص المحرك متخصص لسيارات Land Rover في دبي مع تشخيص متقدم وقطع مناسبة وتسعير واضح لدى مركز ديجي-تك.</x:v>
      </x:c>
      <x:c r="L381" s="6" t="str">
        <x:v>Retain pending evidence; no specific content edit justified by this export.</x:v>
      </x:c>
      <x:c r="M381" s="6" t="str">
        <x:v>Retain; inspect relevant context before adding links</x:v>
      </x:c>
      <x:c r="N381" s="6" t="str">
        <x:v>Unconfirmed — no query/page pairing</x:v>
      </x:c>
      <x:c r="O381" s="6" t="str">
        <x:v>Retain established booking / WhatsApp / call path; live behaviour untested</x:v>
      </x:c>
      <x:c r="P381" s="6" t="str">
        <x:v>Retain canonical and indexation policy pending a live check.</x:v>
      </x:c>
      <x:c r="Q381" s="6" t="str">
        <x:v>Proposed; no website change made</x:v>
      </x:c>
      <x:c r="R381" s="14"/>
      <x:c r="S381" s="14"/>
      <x:c r="T381" s="15"/>
      <x:c r="U381" s="16"/>
      <x:c r="V381" s="6" t="str">
        <x:v>https://digitecme.com/ar/brands/land-rover-service-dubai/engine-diagnostics</x:v>
      </x:c>
      <x:c r="W381" s="6" t="str">
        <x:v>Indexable directive</x:v>
      </x:c>
      <x:c r="X381" s="6" t="n">
        <x:v>16</x:v>
      </x:c>
      <x:c r="Y381" s="6" t="str">
        <x:v>تشخيص المحرك Land Rover في دبي | ديجي-تك</x:v>
      </x:c>
      <x:c r="Z381" s="6" t="str"/>
      <x:c r="AA381" s="6" t="str">
        <x:v>No / not compared</x:v>
      </x:c>
    </x:row>
    <x:row r="382" ht="42" customHeight="1">
      <x:c r="A382" s="6" t="str">
        <x:v>https://digitecme.com/ar/brands/land-rover-service-dubai/exhaust-repair</x:v>
      </x:c>
      <x:c r="B382" s="6" t="str"/>
      <x:c r="C382" s="6" t="str"/>
      <x:c r="D382" s="6" t="str">
        <x:v>brand-service</x:v>
      </x:c>
      <x:c r="E382" s="6" t="str">
        <x:v>Retain differentiated role</x:v>
      </x:c>
      <x:c r="F382" s="6" t="str">
        <x:v>Local source render; live version unverified</x:v>
      </x:c>
      <x:c r="G382" s="6" t="str">
        <x:v>إصلاح العادم Land Rover في دبي | ديجي-تك</x:v>
      </x:c>
      <x:c r="H382" s="6" t="str">
        <x:v>إصلاح العادم Land Rover في دبي | ديجي-تك</x:v>
      </x:c>
      <x:c r="I382" s="6" t="str">
        <x:v>إصلاح العادم Land Rover في دبي</x:v>
      </x:c>
      <x:c r="J382" s="6" t="str">
        <x:v>إصلاح العادم Land Rover في دبي</x:v>
      </x:c>
      <x:c r="K382" s="6" t="str">
        <x:v>إصلاح العادم متخصص لسيارات Land Rover في دبي مع تشخيص متقدم وقطع مناسبة وتسعير واضح لدى مركز ديجي-تك.</x:v>
      </x:c>
      <x:c r="L382" s="6" t="str">
        <x:v>Retain pending evidence; no specific content edit justified by this export.</x:v>
      </x:c>
      <x:c r="M382" s="6" t="str">
        <x:v>Retain; inspect relevant context before adding links</x:v>
      </x:c>
      <x:c r="N382" s="6" t="str">
        <x:v>Unconfirmed — no query/page pairing</x:v>
      </x:c>
      <x:c r="O382" s="6" t="str">
        <x:v>Retain established booking / WhatsApp / call path; live behaviour untested</x:v>
      </x:c>
      <x:c r="P382" s="6" t="str">
        <x:v>Retain canonical and indexation policy pending a live check.</x:v>
      </x:c>
      <x:c r="Q382" s="6" t="str">
        <x:v>Proposed; no website change made</x:v>
      </x:c>
      <x:c r="R382" s="14"/>
      <x:c r="S382" s="14"/>
      <x:c r="T382" s="15"/>
      <x:c r="U382" s="16"/>
      <x:c r="V382" s="6" t="str">
        <x:v>https://digitecme.com/ar/brands/land-rover-service-dubai/exhaust-repair</x:v>
      </x:c>
      <x:c r="W382" s="6" t="str">
        <x:v>Indexable directive</x:v>
      </x:c>
      <x:c r="X382" s="6" t="n">
        <x:v>16</x:v>
      </x:c>
      <x:c r="Y382" s="6" t="str">
        <x:v>إصلاح العادم Land Rover في دبي | ديجي-تك</x:v>
      </x:c>
      <x:c r="Z382" s="6" t="str"/>
      <x:c r="AA382" s="6" t="str">
        <x:v>No / not compared</x:v>
      </x:c>
    </x:row>
    <x:row r="383" ht="42" customHeight="1">
      <x:c r="A383" s="6" t="str">
        <x:v>https://digitecme.com/ar/brands/land-rover-service-dubai/fuel-system-repair</x:v>
      </x:c>
      <x:c r="B383" s="6" t="str"/>
      <x:c r="C383" s="6" t="str"/>
      <x:c r="D383" s="6" t="str">
        <x:v>brand-service</x:v>
      </x:c>
      <x:c r="E383" s="6" t="str">
        <x:v>Retain differentiated role</x:v>
      </x:c>
      <x:c r="F383" s="6" t="str">
        <x:v>Local source render; live version unverified</x:v>
      </x:c>
      <x:c r="G383" s="6" t="str">
        <x:v>إصلاح نظام الوقود Land Rover في دبي | ديجي-تك</x:v>
      </x:c>
      <x:c r="H383" s="6" t="str">
        <x:v>إصلاح نظام الوقود Land Rover في دبي | ديجي-تك</x:v>
      </x:c>
      <x:c r="I383" s="6" t="str">
        <x:v>إصلاح نظام الوقود Land Rover في دبي</x:v>
      </x:c>
      <x:c r="J383" s="6" t="str">
        <x:v>إصلاح نظام الوقود Land Rover في دبي</x:v>
      </x:c>
      <x:c r="K383" s="6" t="str">
        <x:v>إصلاح نظام الوقود متخصص لسيارات Land Rover في دبي مع تشخيص متقدم وقطع مناسبة وتسعير واضح لدى مركز ديجي-تك.</x:v>
      </x:c>
      <x:c r="L383" s="6" t="str">
        <x:v>Retain pending evidence; no specific content edit justified by this export.</x:v>
      </x:c>
      <x:c r="M383" s="6" t="str">
        <x:v>Retain; inspect relevant context before adding links</x:v>
      </x:c>
      <x:c r="N383" s="6" t="str">
        <x:v>Unconfirmed — no query/page pairing</x:v>
      </x:c>
      <x:c r="O383" s="6" t="str">
        <x:v>Retain established booking / WhatsApp / call path; live behaviour untested</x:v>
      </x:c>
      <x:c r="P383" s="6" t="str">
        <x:v>Retain canonical and indexation policy pending a live check.</x:v>
      </x:c>
      <x:c r="Q383" s="6" t="str">
        <x:v>Proposed; no website change made</x:v>
      </x:c>
      <x:c r="R383" s="14"/>
      <x:c r="S383" s="14"/>
      <x:c r="T383" s="15"/>
      <x:c r="U383" s="16"/>
      <x:c r="V383" s="6" t="str">
        <x:v>https://digitecme.com/ar/brands/land-rover-service-dubai/fuel-system-repair</x:v>
      </x:c>
      <x:c r="W383" s="6" t="str">
        <x:v>Indexable directive</x:v>
      </x:c>
      <x:c r="X383" s="6" t="n">
        <x:v>16</x:v>
      </x:c>
      <x:c r="Y383" s="6" t="str">
        <x:v>إصلاح نظام الوقود Land Rover في دبي | ديجي-تك</x:v>
      </x:c>
      <x:c r="Z383" s="6" t="str"/>
      <x:c r="AA383" s="6" t="str">
        <x:v>No / not compared</x:v>
      </x:c>
    </x:row>
    <x:row r="384" ht="42" customHeight="1">
      <x:c r="A384" s="6" t="str">
        <x:v>https://digitecme.com/ar/brands/land-rover-service-dubai/mechanical-repair</x:v>
      </x:c>
      <x:c r="B384" s="6" t="str"/>
      <x:c r="C384" s="6" t="str"/>
      <x:c r="D384" s="6" t="str">
        <x:v>brand-service</x:v>
      </x:c>
      <x:c r="E384" s="6" t="str">
        <x:v>Retain differentiated role</x:v>
      </x:c>
      <x:c r="F384" s="6" t="str">
        <x:v>Local source render; live version unverified</x:v>
      </x:c>
      <x:c r="G384" s="6" t="str">
        <x:v>الإصلاح الميكانيكي Land Rover في دبي | ديجي-تك</x:v>
      </x:c>
      <x:c r="H384" s="6" t="str">
        <x:v>الإصلاح الميكانيكي Land Rover في دبي | ديجي-تك</x:v>
      </x:c>
      <x:c r="I384" s="6" t="str">
        <x:v>الإصلاح الميكانيكي Land Rover في دبي</x:v>
      </x:c>
      <x:c r="J384" s="6" t="str">
        <x:v>الإصلاح الميكانيكي Land Rover في دبي</x:v>
      </x:c>
      <x:c r="K384" s="6" t="str">
        <x:v>الإصلاح الميكانيكي متخصص لسيارات Land Rover في دبي مع تشخيص متقدم وقطع مناسبة وتسعير واضح لدى مركز ديجي-تك.</x:v>
      </x:c>
      <x:c r="L384" s="6" t="str">
        <x:v>Retain pending evidence; no specific content edit justified by this export.</x:v>
      </x:c>
      <x:c r="M384" s="6" t="str">
        <x:v>Retain; inspect relevant context before adding links</x:v>
      </x:c>
      <x:c r="N384" s="6" t="str">
        <x:v>Unconfirmed — no query/page pairing</x:v>
      </x:c>
      <x:c r="O384" s="6" t="str">
        <x:v>Retain established booking / WhatsApp / call path; live behaviour untested</x:v>
      </x:c>
      <x:c r="P384" s="6" t="str">
        <x:v>Retain canonical and indexation policy pending a live check.</x:v>
      </x:c>
      <x:c r="Q384" s="6" t="str">
        <x:v>Proposed; no website change made</x:v>
      </x:c>
      <x:c r="R384" s="14"/>
      <x:c r="S384" s="14"/>
      <x:c r="T384" s="15"/>
      <x:c r="U384" s="16"/>
      <x:c r="V384" s="6" t="str">
        <x:v>https://digitecme.com/ar/brands/land-rover-service-dubai/mechanical-repair</x:v>
      </x:c>
      <x:c r="W384" s="6" t="str">
        <x:v>Indexable directive</x:v>
      </x:c>
      <x:c r="X384" s="6" t="n">
        <x:v>16</x:v>
      </x:c>
      <x:c r="Y384" s="6" t="str">
        <x:v>الإصلاح الميكانيكي Land Rover في دبي | ديجي-تك</x:v>
      </x:c>
      <x:c r="Z384" s="6" t="str"/>
      <x:c r="AA384" s="6" t="str">
        <x:v>No / not compared</x:v>
      </x:c>
    </x:row>
    <x:row r="385" ht="42" customHeight="1">
      <x:c r="A385" s="6" t="str">
        <x:v>https://digitecme.com/ar/brands/land-rover-service-dubai/oil-change</x:v>
      </x:c>
      <x:c r="B385" s="6" t="str"/>
      <x:c r="C385" s="6" t="str"/>
      <x:c r="D385" s="6" t="str">
        <x:v>brand-service</x:v>
      </x:c>
      <x:c r="E385" s="6" t="str">
        <x:v>Retain differentiated role</x:v>
      </x:c>
      <x:c r="F385" s="6" t="str">
        <x:v>Local source render; live version unverified</x:v>
      </x:c>
      <x:c r="G385" s="6" t="str">
        <x:v>تغيير الزيت Land Rover في دبي | ديجي-تك</x:v>
      </x:c>
      <x:c r="H385" s="6" t="str">
        <x:v>تغيير الزيت Land Rover في دبي | ديجي-تك</x:v>
      </x:c>
      <x:c r="I385" s="6" t="str">
        <x:v>تغيير الزيت Land Rover في دبي</x:v>
      </x:c>
      <x:c r="J385" s="6" t="str">
        <x:v>تغيير الزيت Land Rover في دبي</x:v>
      </x:c>
      <x:c r="K385" s="6" t="str">
        <x:v>تغيير الزيت متخصص لسيارات Land Rover في دبي مع تشخيص متقدم وقطع مناسبة وتسعير واضح لدى مركز ديجي-تك.</x:v>
      </x:c>
      <x:c r="L385" s="6" t="str">
        <x:v>Retain pending evidence; no specific content edit justified by this export.</x:v>
      </x:c>
      <x:c r="M385" s="6" t="str">
        <x:v>Retain; inspect relevant context before adding links</x:v>
      </x:c>
      <x:c r="N385" s="6" t="str">
        <x:v>Unconfirmed — no query/page pairing</x:v>
      </x:c>
      <x:c r="O385" s="6" t="str">
        <x:v>Retain established booking / WhatsApp / call path; live behaviour untested</x:v>
      </x:c>
      <x:c r="P385" s="6" t="str">
        <x:v>Retain canonical and indexation policy pending a live check.</x:v>
      </x:c>
      <x:c r="Q385" s="6" t="str">
        <x:v>Proposed; no website change made</x:v>
      </x:c>
      <x:c r="R385" s="14" t="n">
        <x:v>0</x:v>
      </x:c>
      <x:c r="S385" s="14" t="n">
        <x:v>1</x:v>
      </x:c>
      <x:c r="T385" s="15" t="n">
        <x:v>0</x:v>
      </x:c>
      <x:c r="U385" s="16" t="n">
        <x:v>10</x:v>
      </x:c>
      <x:c r="V385" s="6" t="str">
        <x:v>https://digitecme.com/ar/brands/land-rover-service-dubai/oil-change</x:v>
      </x:c>
      <x:c r="W385" s="6" t="str">
        <x:v>Indexable directive</x:v>
      </x:c>
      <x:c r="X385" s="6" t="n">
        <x:v>16</x:v>
      </x:c>
      <x:c r="Y385" s="6" t="str">
        <x:v>تغيير الزيت Land Rover في دبي | ديجي-تك</x:v>
      </x:c>
      <x:c r="Z385" s="6" t="str"/>
      <x:c r="AA385" s="6" t="str">
        <x:v>No / not compared</x:v>
      </x:c>
    </x:row>
    <x:row r="386" ht="42" customHeight="1">
      <x:c r="A386" s="6" t="str">
        <x:v>https://digitecme.com/ar/brands/land-rover-service-dubai/steering-repair</x:v>
      </x:c>
      <x:c r="B386" s="6" t="str"/>
      <x:c r="C386" s="6" t="str"/>
      <x:c r="D386" s="6" t="str">
        <x:v>brand-service</x:v>
      </x:c>
      <x:c r="E386" s="6" t="str">
        <x:v>Retain differentiated role</x:v>
      </x:c>
      <x:c r="F386" s="6" t="str">
        <x:v>Local source render; live version unverified</x:v>
      </x:c>
      <x:c r="G386" s="6" t="str">
        <x:v>إصلاح نظام التوجيه Land Rover في دبي | ديجي-تك</x:v>
      </x:c>
      <x:c r="H386" s="6" t="str">
        <x:v>إصلاح نظام التوجيه Land Rover في دبي | ديجي-تك</x:v>
      </x:c>
      <x:c r="I386" s="6" t="str">
        <x:v>إصلاح نظام التوجيه Land Rover في دبي</x:v>
      </x:c>
      <x:c r="J386" s="6" t="str">
        <x:v>إصلاح نظام التوجيه Land Rover في دبي</x:v>
      </x:c>
      <x:c r="K386" s="6" t="str">
        <x:v>إصلاح نظام التوجيه متخصص لسيارات Land Rover في دبي مع تشخيص متقدم وقطع مناسبة وتسعير واضح لدى مركز ديجي-تك.</x:v>
      </x:c>
      <x:c r="L386" s="6" t="str">
        <x:v>Retain pending evidence; no specific content edit justified by this export.</x:v>
      </x:c>
      <x:c r="M386" s="6" t="str">
        <x:v>Retain; inspect relevant context before adding links</x:v>
      </x:c>
      <x:c r="N386" s="6" t="str">
        <x:v>Unconfirmed — no query/page pairing</x:v>
      </x:c>
      <x:c r="O386" s="6" t="str">
        <x:v>Retain established booking / WhatsApp / call path; live behaviour untested</x:v>
      </x:c>
      <x:c r="P386" s="6" t="str">
        <x:v>Retain canonical and indexation policy pending a live check.</x:v>
      </x:c>
      <x:c r="Q386" s="6" t="str">
        <x:v>Proposed; no website change made</x:v>
      </x:c>
      <x:c r="R386" s="14"/>
      <x:c r="S386" s="14"/>
      <x:c r="T386" s="15"/>
      <x:c r="U386" s="16"/>
      <x:c r="V386" s="6" t="str">
        <x:v>https://digitecme.com/ar/brands/land-rover-service-dubai/steering-repair</x:v>
      </x:c>
      <x:c r="W386" s="6" t="str">
        <x:v>Indexable directive</x:v>
      </x:c>
      <x:c r="X386" s="6" t="n">
        <x:v>16</x:v>
      </x:c>
      <x:c r="Y386" s="6" t="str">
        <x:v>إصلاح نظام التوجيه Land Rover في دبي | ديجي-تك</x:v>
      </x:c>
      <x:c r="Z386" s="6" t="str"/>
      <x:c r="AA386" s="6" t="str">
        <x:v>No / not compared</x:v>
      </x:c>
    </x:row>
    <x:row r="387" ht="42" customHeight="1">
      <x:c r="A387" s="6" t="str">
        <x:v>https://digitecme.com/ar/brands/land-rover-service-dubai/suspension-repair</x:v>
      </x:c>
      <x:c r="B387" s="6" t="str"/>
      <x:c r="C387" s="6" t="str"/>
      <x:c r="D387" s="6" t="str">
        <x:v>brand-service</x:v>
      </x:c>
      <x:c r="E387" s="6" t="str">
        <x:v>Retain differentiated role</x:v>
      </x:c>
      <x:c r="F387" s="6" t="str">
        <x:v>Local source render; live version unverified</x:v>
      </x:c>
      <x:c r="G387" s="6" t="str">
        <x:v>إصلاح التعليق Land Rover في دبي | ديجي-تك</x:v>
      </x:c>
      <x:c r="H387" s="6" t="str">
        <x:v>إصلاح التعليق Land Rover في دبي | ديجي-تك</x:v>
      </x:c>
      <x:c r="I387" s="6" t="str">
        <x:v>إصلاح التعليق Land Rover في دبي</x:v>
      </x:c>
      <x:c r="J387" s="6" t="str">
        <x:v>إصلاح التعليق Land Rover في دبي</x:v>
      </x:c>
      <x:c r="K387" s="6" t="str">
        <x:v>إصلاح التعليق متخصص لسيارات Land Rover في دبي مع تشخيص متقدم وقطع مناسبة وتسعير واضح لدى مركز ديجي-تك.</x:v>
      </x:c>
      <x:c r="L387" s="6" t="str">
        <x:v>Retain pending evidence; no specific content edit justified by this export.</x:v>
      </x:c>
      <x:c r="M387" s="6" t="str">
        <x:v>Retain; inspect relevant context before adding links</x:v>
      </x:c>
      <x:c r="N387" s="6" t="str">
        <x:v>Unconfirmed — no query/page pairing</x:v>
      </x:c>
      <x:c r="O387" s="6" t="str">
        <x:v>Retain established booking / WhatsApp / call path; live behaviour untested</x:v>
      </x:c>
      <x:c r="P387" s="6" t="str">
        <x:v>Retain canonical and indexation policy pending a live check.</x:v>
      </x:c>
      <x:c r="Q387" s="6" t="str">
        <x:v>Proposed; no website change made</x:v>
      </x:c>
      <x:c r="R387" s="14"/>
      <x:c r="S387" s="14"/>
      <x:c r="T387" s="15"/>
      <x:c r="U387" s="16"/>
      <x:c r="V387" s="6" t="str">
        <x:v>https://digitecme.com/ar/brands/land-rover-service-dubai/suspension-repair</x:v>
      </x:c>
      <x:c r="W387" s="6" t="str">
        <x:v>Indexable directive</x:v>
      </x:c>
      <x:c r="X387" s="6" t="n">
        <x:v>16</x:v>
      </x:c>
      <x:c r="Y387" s="6" t="str">
        <x:v>إصلاح التعليق Land Rover في دبي | ديجي-تك</x:v>
      </x:c>
      <x:c r="Z387" s="6" t="str"/>
      <x:c r="AA387" s="6" t="str">
        <x:v>No / not compared</x:v>
      </x:c>
    </x:row>
    <x:row r="388" ht="42" customHeight="1">
      <x:c r="A388" s="6" t="str">
        <x:v>https://digitecme.com/ar/brands/land-rover-service-dubai/tire-repair</x:v>
      </x:c>
      <x:c r="B388" s="6" t="str"/>
      <x:c r="C388" s="6" t="str"/>
      <x:c r="D388" s="6" t="str">
        <x:v>brand-service</x:v>
      </x:c>
      <x:c r="E388" s="6" t="str">
        <x:v>Retain differentiated role</x:v>
      </x:c>
      <x:c r="F388" s="6" t="str">
        <x:v>Local source render; live version unverified</x:v>
      </x:c>
      <x:c r="G388" s="6" t="str">
        <x:v>إصلاح الإطارات Land Rover في دبي | ديجي-تك</x:v>
      </x:c>
      <x:c r="H388" s="6" t="str">
        <x:v>إصلاح الإطارات Land Rover في دبي | ديجي-تك</x:v>
      </x:c>
      <x:c r="I388" s="6" t="str">
        <x:v>إصلاح الإطارات Land Rover في دبي</x:v>
      </x:c>
      <x:c r="J388" s="6" t="str">
        <x:v>إصلاح الإطارات Land Rover في دبي</x:v>
      </x:c>
      <x:c r="K388" s="6" t="str">
        <x:v>إصلاح الإطارات متخصص لسيارات Land Rover في دبي مع تشخيص متقدم وقطع مناسبة وتسعير واضح لدى مركز ديجي-تك.</x:v>
      </x:c>
      <x:c r="L388" s="6" t="str">
        <x:v>Retain pending evidence; no specific content edit justified by this export.</x:v>
      </x:c>
      <x:c r="M388" s="6" t="str">
        <x:v>Retain; inspect relevant context before adding links</x:v>
      </x:c>
      <x:c r="N388" s="6" t="str">
        <x:v>Unconfirmed — no query/page pairing</x:v>
      </x:c>
      <x:c r="O388" s="6" t="str">
        <x:v>Retain established booking / WhatsApp / call path; live behaviour untested</x:v>
      </x:c>
      <x:c r="P388" s="6" t="str">
        <x:v>Retain canonical and indexation policy pending a live check.</x:v>
      </x:c>
      <x:c r="Q388" s="6" t="str">
        <x:v>Proposed; no website change made</x:v>
      </x:c>
      <x:c r="R388" s="14"/>
      <x:c r="S388" s="14"/>
      <x:c r="T388" s="15"/>
      <x:c r="U388" s="16"/>
      <x:c r="V388" s="6" t="str">
        <x:v>https://digitecme.com/ar/brands/land-rover-service-dubai/tire-repair</x:v>
      </x:c>
      <x:c r="W388" s="6" t="str">
        <x:v>Indexable directive</x:v>
      </x:c>
      <x:c r="X388" s="6" t="n">
        <x:v>16</x:v>
      </x:c>
      <x:c r="Y388" s="6" t="str">
        <x:v>إصلاح الإطارات Land Rover في دبي | ديجي-تك</x:v>
      </x:c>
      <x:c r="Z388" s="6" t="str"/>
      <x:c r="AA388" s="6" t="str">
        <x:v>No / not compared</x:v>
      </x:c>
    </x:row>
    <x:row r="389" ht="42" customHeight="1">
      <x:c r="A389" s="6" t="str">
        <x:v>https://digitecme.com/ar/brands/land-rover-service-dubai/transmission-repair</x:v>
      </x:c>
      <x:c r="B389" s="6" t="str"/>
      <x:c r="C389" s="6" t="str"/>
      <x:c r="D389" s="6" t="str">
        <x:v>brand-service</x:v>
      </x:c>
      <x:c r="E389" s="6" t="str">
        <x:v>Retain differentiated role</x:v>
      </x:c>
      <x:c r="F389" s="6" t="str">
        <x:v>Local source render; live version unverified</x:v>
      </x:c>
      <x:c r="G389" s="6" t="str">
        <x:v>إصلاح ناقل الحركة Land Rover في دبي | ديجي-تك</x:v>
      </x:c>
      <x:c r="H389" s="6" t="str">
        <x:v>إصلاح ناقل الحركة Land Rover في دبي | ديجي-تك</x:v>
      </x:c>
      <x:c r="I389" s="6" t="str">
        <x:v>إصلاح ناقل الحركة Land Rover في دبي</x:v>
      </x:c>
      <x:c r="J389" s="6" t="str">
        <x:v>إصلاح ناقل الحركة Land Rover في دبي</x:v>
      </x:c>
      <x:c r="K389" s="6" t="str">
        <x:v>إصلاح ناقل الحركة متخصص لسيارات Land Rover في دبي مع تشخيص متقدم وقطع مناسبة وتسعير واضح لدى مركز ديجي-تك.</x:v>
      </x:c>
      <x:c r="L389" s="6" t="str">
        <x:v>Retain pending evidence; no specific content edit justified by this export.</x:v>
      </x:c>
      <x:c r="M389" s="6" t="str">
        <x:v>Retain; inspect relevant context before adding links</x:v>
      </x:c>
      <x:c r="N389" s="6" t="str">
        <x:v>Unconfirmed — no query/page pairing</x:v>
      </x:c>
      <x:c r="O389" s="6" t="str">
        <x:v>Retain established booking / WhatsApp / call path; live behaviour untested</x:v>
      </x:c>
      <x:c r="P389" s="6" t="str">
        <x:v>Retain canonical and indexation policy pending a live check.</x:v>
      </x:c>
      <x:c r="Q389" s="6" t="str">
        <x:v>Proposed; no website change made</x:v>
      </x:c>
      <x:c r="R389" s="14" t="n">
        <x:v>0</x:v>
      </x:c>
      <x:c r="S389" s="14" t="n">
        <x:v>1</x:v>
      </x:c>
      <x:c r="T389" s="15" t="n">
        <x:v>0</x:v>
      </x:c>
      <x:c r="U389" s="16" t="n">
        <x:v>3</x:v>
      </x:c>
      <x:c r="V389" s="6" t="str">
        <x:v>https://digitecme.com/ar/brands/land-rover-service-dubai/transmission-repair</x:v>
      </x:c>
      <x:c r="W389" s="6" t="str">
        <x:v>Indexable directive</x:v>
      </x:c>
      <x:c r="X389" s="6" t="n">
        <x:v>16</x:v>
      </x:c>
      <x:c r="Y389" s="6" t="str">
        <x:v>إصلاح ناقل الحركة Land Rover في دبي | ديجي-تك</x:v>
      </x:c>
      <x:c r="Z389" s="6" t="str"/>
      <x:c r="AA389" s="6" t="str">
        <x:v>No / not compared</x:v>
      </x:c>
    </x:row>
    <x:row r="390" ht="42" customHeight="1">
      <x:c r="A390" s="6" t="str">
        <x:v>https://digitecme.com/ar/brands/lexus-service-dubai</x:v>
      </x:c>
      <x:c r="B390" s="6" t="str"/>
      <x:c r="C390" s="6" t="str"/>
      <x:c r="D390" s="6" t="str">
        <x:v>brand</x:v>
      </x:c>
      <x:c r="E390" s="6" t="str">
        <x:v>Retain differentiated role</x:v>
      </x:c>
      <x:c r="F390" s="6" t="str">
        <x:v>Local source render; live version unverified</x:v>
      </x:c>
      <x:c r="G390" s="6" t="str">
        <x:v>إصلاح وصيانة Lexus في دبي | مركز ديجي-تك</x:v>
      </x:c>
      <x:c r="H390" s="6" t="str">
        <x:v>إصلاح وصيانة Lexus في دبي | مركز ديجي-تك</x:v>
      </x:c>
      <x:c r="I390" s="6" t="str">
        <x:v>Lexus للإصلاح والصيانة في دبي</x:v>
      </x:c>
      <x:c r="J390" s="6" t="str">
        <x:v>Lexus للإصلاح والصيانة في دبي</x:v>
      </x:c>
      <x:c r="K390" s="6" t="str">
        <x:v>إصلاح وصيانة Lexus في دبي: تشخيص وصيانة وفرامل وناقل حركة وتعليق وتكييف مع قطع بالمواصفات المناسبة لدى مركز ديجي-تك.</x:v>
      </x:c>
      <x:c r="L390" s="6" t="str">
        <x:v>Retain pending evidence; no specific content edit justified by this export.</x:v>
      </x:c>
      <x:c r="M390" s="6" t="str">
        <x:v>Retain; inspect relevant context before adding links</x:v>
      </x:c>
      <x:c r="N390" s="6" t="str">
        <x:v>Unconfirmed — no query/page pairing</x:v>
      </x:c>
      <x:c r="O390" s="6" t="str">
        <x:v>Retain established booking / WhatsApp / call path; live behaviour untested</x:v>
      </x:c>
      <x:c r="P390" s="6" t="str">
        <x:v>Retain canonical and indexation policy pending a live check.</x:v>
      </x:c>
      <x:c r="Q390" s="6" t="str">
        <x:v>Proposed; no website change made</x:v>
      </x:c>
      <x:c r="R390" s="14" t="n">
        <x:v>1</x:v>
      </x:c>
      <x:c r="S390" s="14" t="n">
        <x:v>13</x:v>
      </x:c>
      <x:c r="T390" s="15" t="n">
        <x:v>0.07690000000000001</x:v>
      </x:c>
      <x:c r="U390" s="16" t="n">
        <x:v>20.54</x:v>
      </x:c>
      <x:c r="V390" s="6" t="str">
        <x:v>https://digitecme.com/ar/brands/lexus-service-dubai</x:v>
      </x:c>
      <x:c r="W390" s="6" t="str">
        <x:v>Indexable directive</x:v>
      </x:c>
      <x:c r="X390" s="6" t="n">
        <x:v>30</x:v>
      </x:c>
      <x:c r="Y390" s="6" t="str">
        <x:v>إصلاح وصيانة Lexus في دبي | مركز ديجي-تك</x:v>
      </x:c>
      <x:c r="Z390" s="6" t="str"/>
      <x:c r="AA390" s="6" t="str">
        <x:v>No / not compared</x:v>
      </x:c>
    </x:row>
    <x:row r="391" ht="42" customHeight="1">
      <x:c r="A391" s="6" t="str">
        <x:v>https://digitecme.com/ar/brands/lexus-service-dubai/ac-repair</x:v>
      </x:c>
      <x:c r="B391" s="6" t="str"/>
      <x:c r="C391" s="6" t="str"/>
      <x:c r="D391" s="6" t="str">
        <x:v>brand-service</x:v>
      </x:c>
      <x:c r="E391" s="6" t="str">
        <x:v>Retain differentiated role</x:v>
      </x:c>
      <x:c r="F391" s="6" t="str">
        <x:v>Local source render; live version unverified</x:v>
      </x:c>
      <x:c r="G391" s="6" t="str">
        <x:v>إصلاح التكييف Lexus في دبي | ديجي-تك</x:v>
      </x:c>
      <x:c r="H391" s="6" t="str">
        <x:v>إصلاح التكييف Lexus في دبي | ديجي-تك</x:v>
      </x:c>
      <x:c r="I391" s="6" t="str">
        <x:v>إصلاح التكييف Lexus في دبي</x:v>
      </x:c>
      <x:c r="J391" s="6" t="str">
        <x:v>إصلاح التكييف Lexus في دبي</x:v>
      </x:c>
      <x:c r="K391" s="6" t="str">
        <x:v>إصلاح التكييف متخصص لسيارات Lexus في دبي مع تشخيص متقدم وقطع مناسبة وتسعير واضح لدى مركز ديجي-تك.</x:v>
      </x:c>
      <x:c r="L391" s="6" t="str">
        <x:v>Retain pending evidence; no specific content edit justified by this export.</x:v>
      </x:c>
      <x:c r="M391" s="6" t="str">
        <x:v>Retain; inspect relevant context before adding links</x:v>
      </x:c>
      <x:c r="N391" s="6" t="str">
        <x:v>Unconfirmed — no query/page pairing</x:v>
      </x:c>
      <x:c r="O391" s="6" t="str">
        <x:v>Retain established booking / WhatsApp / call path; live behaviour untested</x:v>
      </x:c>
      <x:c r="P391" s="6" t="str">
        <x:v>Retain canonical and indexation policy pending a live check.</x:v>
      </x:c>
      <x:c r="Q391" s="6" t="str">
        <x:v>Proposed; no website change made</x:v>
      </x:c>
      <x:c r="R391" s="14"/>
      <x:c r="S391" s="14"/>
      <x:c r="T391" s="15"/>
      <x:c r="U391" s="16"/>
      <x:c r="V391" s="6" t="str">
        <x:v>https://digitecme.com/ar/brands/lexus-service-dubai/ac-repair</x:v>
      </x:c>
      <x:c r="W391" s="6" t="str">
        <x:v>Indexable directive</x:v>
      </x:c>
      <x:c r="X391" s="6" t="n">
        <x:v>8</x:v>
      </x:c>
      <x:c r="Y391" s="6" t="str">
        <x:v>إصلاح التكييف Lexus في دبي | ديجي-تك</x:v>
      </x:c>
      <x:c r="Z391" s="6" t="str"/>
      <x:c r="AA391" s="6" t="str">
        <x:v>No / not compared</x:v>
      </x:c>
    </x:row>
    <x:row r="392" ht="42" customHeight="1">
      <x:c r="A392" s="6" t="str">
        <x:v>https://digitecme.com/ar/brands/lexus-service-dubai/brake-repair</x:v>
      </x:c>
      <x:c r="B392" s="6" t="str"/>
      <x:c r="C392" s="6" t="str"/>
      <x:c r="D392" s="6" t="str">
        <x:v>brand-service</x:v>
      </x:c>
      <x:c r="E392" s="6" t="str">
        <x:v>Retain differentiated role</x:v>
      </x:c>
      <x:c r="F392" s="6" t="str">
        <x:v>Local source render; live version unverified</x:v>
      </x:c>
      <x:c r="G392" s="6" t="str">
        <x:v>إصلاح الفرامل Lexus في دبي | ديجي-تك</x:v>
      </x:c>
      <x:c r="H392" s="6" t="str">
        <x:v>إصلاح الفرامل Lexus في دبي | ديجي-تك</x:v>
      </x:c>
      <x:c r="I392" s="6" t="str">
        <x:v>إصلاح الفرامل Lexus في دبي</x:v>
      </x:c>
      <x:c r="J392" s="6" t="str">
        <x:v>إصلاح الفرامل Lexus في دبي</x:v>
      </x:c>
      <x:c r="K392" s="6" t="str">
        <x:v>إصلاح الفرامل متخصص لسيارات Lexus في دبي مع تشخيص متقدم وقطع مناسبة وتسعير واضح لدى مركز ديجي-تك.</x:v>
      </x:c>
      <x:c r="L392" s="6" t="str">
        <x:v>Retain pending evidence; no specific content edit justified by this export.</x:v>
      </x:c>
      <x:c r="M392" s="6" t="str">
        <x:v>Retain; inspect relevant context before adding links</x:v>
      </x:c>
      <x:c r="N392" s="6" t="str">
        <x:v>Unconfirmed — no query/page pairing</x:v>
      </x:c>
      <x:c r="O392" s="6" t="str">
        <x:v>Retain established booking / WhatsApp / call path; live behaviour untested</x:v>
      </x:c>
      <x:c r="P392" s="6" t="str">
        <x:v>Retain canonical and indexation policy pending a live check.</x:v>
      </x:c>
      <x:c r="Q392" s="6" t="str">
        <x:v>Proposed; no website change made</x:v>
      </x:c>
      <x:c r="R392" s="14"/>
      <x:c r="S392" s="14"/>
      <x:c r="T392" s="15"/>
      <x:c r="U392" s="16"/>
      <x:c r="V392" s="6" t="str">
        <x:v>https://digitecme.com/ar/brands/lexus-service-dubai/brake-repair</x:v>
      </x:c>
      <x:c r="W392" s="6" t="str">
        <x:v>Indexable directive</x:v>
      </x:c>
      <x:c r="X392" s="6" t="n">
        <x:v>8</x:v>
      </x:c>
      <x:c r="Y392" s="6" t="str">
        <x:v>إصلاح الفرامل Lexus في دبي | ديجي-تك</x:v>
      </x:c>
      <x:c r="Z392" s="6" t="str"/>
      <x:c r="AA392" s="6" t="str">
        <x:v>No / not compared</x:v>
      </x:c>
    </x:row>
    <x:row r="393" ht="42" customHeight="1">
      <x:c r="A393" s="6" t="str">
        <x:v>https://digitecme.com/ar/brands/lexus-service-dubai/engine-diagnostics</x:v>
      </x:c>
      <x:c r="B393" s="6" t="str"/>
      <x:c r="C393" s="6" t="str"/>
      <x:c r="D393" s="6" t="str">
        <x:v>brand-service</x:v>
      </x:c>
      <x:c r="E393" s="6" t="str">
        <x:v>Retain differentiated role</x:v>
      </x:c>
      <x:c r="F393" s="6" t="str">
        <x:v>Local source render; live version unverified</x:v>
      </x:c>
      <x:c r="G393" s="6" t="str">
        <x:v>تشخيص المحرك Lexus في دبي | ديجي-تك</x:v>
      </x:c>
      <x:c r="H393" s="6" t="str">
        <x:v>تشخيص المحرك Lexus في دبي | ديجي-تك</x:v>
      </x:c>
      <x:c r="I393" s="6" t="str">
        <x:v>تشخيص المحرك Lexus في دبي</x:v>
      </x:c>
      <x:c r="J393" s="6" t="str">
        <x:v>تشخيص المحرك Lexus في دبي</x:v>
      </x:c>
      <x:c r="K393" s="6" t="str">
        <x:v>تشخيص المحرك متخصص لسيارات Lexus في دبي مع تشخيص متقدم وقطع مناسبة وتسعير واضح لدى مركز ديجي-تك.</x:v>
      </x:c>
      <x:c r="L393" s="6" t="str">
        <x:v>Retain pending evidence; no specific content edit justified by this export.</x:v>
      </x:c>
      <x:c r="M393" s="6" t="str">
        <x:v>Retain; inspect relevant context before adding links</x:v>
      </x:c>
      <x:c r="N393" s="6" t="str">
        <x:v>Unconfirmed — no query/page pairing</x:v>
      </x:c>
      <x:c r="O393" s="6" t="str">
        <x:v>Retain established booking / WhatsApp / call path; live behaviour untested</x:v>
      </x:c>
      <x:c r="P393" s="6" t="str">
        <x:v>Retain canonical and indexation policy pending a live check.</x:v>
      </x:c>
      <x:c r="Q393" s="6" t="str">
        <x:v>Proposed; no website change made</x:v>
      </x:c>
      <x:c r="R393" s="14"/>
      <x:c r="S393" s="14"/>
      <x:c r="T393" s="15"/>
      <x:c r="U393" s="16"/>
      <x:c r="V393" s="6" t="str">
        <x:v>https://digitecme.com/ar/brands/lexus-service-dubai/engine-diagnostics</x:v>
      </x:c>
      <x:c r="W393" s="6" t="str">
        <x:v>Indexable directive</x:v>
      </x:c>
      <x:c r="X393" s="6" t="n">
        <x:v>8</x:v>
      </x:c>
      <x:c r="Y393" s="6" t="str">
        <x:v>تشخيص المحرك Lexus في دبي | ديجي-تك</x:v>
      </x:c>
      <x:c r="Z393" s="6" t="str"/>
      <x:c r="AA393" s="6" t="str">
        <x:v>No / not compared</x:v>
      </x:c>
    </x:row>
    <x:row r="394" ht="42" customHeight="1">
      <x:c r="A394" s="6" t="str">
        <x:v>https://digitecme.com/ar/brands/lexus-service-dubai/oil-change</x:v>
      </x:c>
      <x:c r="B394" s="6" t="str"/>
      <x:c r="C394" s="6" t="str"/>
      <x:c r="D394" s="6" t="str">
        <x:v>brand-service</x:v>
      </x:c>
      <x:c r="E394" s="6" t="str">
        <x:v>Retain differentiated role</x:v>
      </x:c>
      <x:c r="F394" s="6" t="str">
        <x:v>Local source render; live version unverified</x:v>
      </x:c>
      <x:c r="G394" s="6" t="str">
        <x:v>تغيير الزيت Lexus في دبي | ديجي-تك</x:v>
      </x:c>
      <x:c r="H394" s="6" t="str">
        <x:v>تغيير الزيت Lexus في دبي | ديجي-تك</x:v>
      </x:c>
      <x:c r="I394" s="6" t="str">
        <x:v>تغيير الزيت Lexus في دبي</x:v>
      </x:c>
      <x:c r="J394" s="6" t="str">
        <x:v>تغيير الزيت Lexus في دبي</x:v>
      </x:c>
      <x:c r="K394" s="6" t="str">
        <x:v>تغيير الزيت متخصص لسيارات Lexus في دبي مع تشخيص متقدم وقطع مناسبة وتسعير واضح لدى مركز ديجي-تك.</x:v>
      </x:c>
      <x:c r="L394" s="6" t="str">
        <x:v>Retain pending evidence; no specific content edit justified by this export.</x:v>
      </x:c>
      <x:c r="M394" s="6" t="str">
        <x:v>Retain; inspect relevant context before adding links</x:v>
      </x:c>
      <x:c r="N394" s="6" t="str">
        <x:v>Unconfirmed — no query/page pairing</x:v>
      </x:c>
      <x:c r="O394" s="6" t="str">
        <x:v>Retain established booking / WhatsApp / call path; live behaviour untested</x:v>
      </x:c>
      <x:c r="P394" s="6" t="str">
        <x:v>Retain canonical and indexation policy pending a live check.</x:v>
      </x:c>
      <x:c r="Q394" s="6" t="str">
        <x:v>Proposed; no website change made</x:v>
      </x:c>
      <x:c r="R394" s="14"/>
      <x:c r="S394" s="14"/>
      <x:c r="T394" s="15"/>
      <x:c r="U394" s="16"/>
      <x:c r="V394" s="6" t="str">
        <x:v>https://digitecme.com/ar/brands/lexus-service-dubai/oil-change</x:v>
      </x:c>
      <x:c r="W394" s="6" t="str">
        <x:v>Indexable directive</x:v>
      </x:c>
      <x:c r="X394" s="6" t="n">
        <x:v>8</x:v>
      </x:c>
      <x:c r="Y394" s="6" t="str">
        <x:v>تغيير الزيت Lexus في دبي | ديجي-تك</x:v>
      </x:c>
      <x:c r="Z394" s="6" t="str"/>
      <x:c r="AA394" s="6" t="str">
        <x:v>No / not compared</x:v>
      </x:c>
    </x:row>
    <x:row r="395" ht="42" customHeight="1">
      <x:c r="A395" s="6" t="str">
        <x:v>https://digitecme.com/ar/brands/lexus-service-dubai/suspension-repair</x:v>
      </x:c>
      <x:c r="B395" s="6" t="str"/>
      <x:c r="C395" s="6" t="str"/>
      <x:c r="D395" s="6" t="str">
        <x:v>brand-service</x:v>
      </x:c>
      <x:c r="E395" s="6" t="str">
        <x:v>Retain differentiated role</x:v>
      </x:c>
      <x:c r="F395" s="6" t="str">
        <x:v>Local source render; live version unverified</x:v>
      </x:c>
      <x:c r="G395" s="6" t="str">
        <x:v>إصلاح التعليق Lexus في دبي | ديجي-تك</x:v>
      </x:c>
      <x:c r="H395" s="6" t="str">
        <x:v>إصلاح التعليق Lexus في دبي | ديجي-تك</x:v>
      </x:c>
      <x:c r="I395" s="6" t="str">
        <x:v>إصلاح التعليق Lexus في دبي</x:v>
      </x:c>
      <x:c r="J395" s="6" t="str">
        <x:v>إصلاح التعليق Lexus في دبي</x:v>
      </x:c>
      <x:c r="K395" s="6" t="str">
        <x:v>إصلاح التعليق متخصص لسيارات Lexus في دبي مع تشخيص متقدم وقطع مناسبة وتسعير واضح لدى مركز ديجي-تك.</x:v>
      </x:c>
      <x:c r="L395" s="6" t="str">
        <x:v>Retain pending evidence; no specific content edit justified by this export.</x:v>
      </x:c>
      <x:c r="M395" s="6" t="str">
        <x:v>Retain; inspect relevant context before adding links</x:v>
      </x:c>
      <x:c r="N395" s="6" t="str">
        <x:v>Unconfirmed — no query/page pairing</x:v>
      </x:c>
      <x:c r="O395" s="6" t="str">
        <x:v>Retain established booking / WhatsApp / call path; live behaviour untested</x:v>
      </x:c>
      <x:c r="P395" s="6" t="str">
        <x:v>Retain canonical and indexation policy pending a live check.</x:v>
      </x:c>
      <x:c r="Q395" s="6" t="str">
        <x:v>Proposed; no website change made</x:v>
      </x:c>
      <x:c r="R395" s="14"/>
      <x:c r="S395" s="14"/>
      <x:c r="T395" s="15"/>
      <x:c r="U395" s="16"/>
      <x:c r="V395" s="6" t="str">
        <x:v>https://digitecme.com/ar/brands/lexus-service-dubai/suspension-repair</x:v>
      </x:c>
      <x:c r="W395" s="6" t="str">
        <x:v>Indexable directive</x:v>
      </x:c>
      <x:c r="X395" s="6" t="n">
        <x:v>8</x:v>
      </x:c>
      <x:c r="Y395" s="6" t="str">
        <x:v>إصلاح التعليق Lexus في دبي | ديجي-تك</x:v>
      </x:c>
      <x:c r="Z395" s="6" t="str"/>
      <x:c r="AA395" s="6" t="str">
        <x:v>No / not compared</x:v>
      </x:c>
    </x:row>
    <x:row r="396" ht="42" customHeight="1">
      <x:c r="A396" s="6" t="str">
        <x:v>https://digitecme.com/ar/brands/lexus-service-dubai/transmission-repair</x:v>
      </x:c>
      <x:c r="B396" s="6" t="str"/>
      <x:c r="C396" s="6" t="str"/>
      <x:c r="D396" s="6" t="str">
        <x:v>brand-service</x:v>
      </x:c>
      <x:c r="E396" s="6" t="str">
        <x:v>Retain differentiated role</x:v>
      </x:c>
      <x:c r="F396" s="6" t="str">
        <x:v>Local source render; live version unverified</x:v>
      </x:c>
      <x:c r="G396" s="6" t="str">
        <x:v>إصلاح ناقل الحركة Lexus في دبي | ديجي-تك</x:v>
      </x:c>
      <x:c r="H396" s="6" t="str">
        <x:v>إصلاح ناقل الحركة Lexus في دبي | ديجي-تك</x:v>
      </x:c>
      <x:c r="I396" s="6" t="str">
        <x:v>إصلاح ناقل الحركة Lexus في دبي</x:v>
      </x:c>
      <x:c r="J396" s="6" t="str">
        <x:v>إصلاح ناقل الحركة Lexus في دبي</x:v>
      </x:c>
      <x:c r="K396" s="6" t="str">
        <x:v>إصلاح ناقل الحركة متخصص لسيارات Lexus في دبي مع تشخيص متقدم وقطع مناسبة وتسعير واضح لدى مركز ديجي-تك.</x:v>
      </x:c>
      <x:c r="L396" s="6" t="str">
        <x:v>Retain pending evidence; no specific content edit justified by this export.</x:v>
      </x:c>
      <x:c r="M396" s="6" t="str">
        <x:v>Retain; inspect relevant context before adding links</x:v>
      </x:c>
      <x:c r="N396" s="6" t="str">
        <x:v>Unconfirmed — no query/page pairing</x:v>
      </x:c>
      <x:c r="O396" s="6" t="str">
        <x:v>Retain established booking / WhatsApp / call path; live behaviour untested</x:v>
      </x:c>
      <x:c r="P396" s="6" t="str">
        <x:v>Retain canonical and indexation policy pending a live check.</x:v>
      </x:c>
      <x:c r="Q396" s="6" t="str">
        <x:v>Proposed; no website change made</x:v>
      </x:c>
      <x:c r="R396" s="14"/>
      <x:c r="S396" s="14"/>
      <x:c r="T396" s="15"/>
      <x:c r="U396" s="16"/>
      <x:c r="V396" s="6" t="str">
        <x:v>https://digitecme.com/ar/brands/lexus-service-dubai/transmission-repair</x:v>
      </x:c>
      <x:c r="W396" s="6" t="str">
        <x:v>Indexable directive</x:v>
      </x:c>
      <x:c r="X396" s="6" t="n">
        <x:v>8</x:v>
      </x:c>
      <x:c r="Y396" s="6" t="str">
        <x:v>إصلاح ناقل الحركة Lexus في دبي | ديجي-تك</x:v>
      </x:c>
      <x:c r="Z396" s="6" t="str"/>
      <x:c r="AA396" s="6" t="str">
        <x:v>No / not compared</x:v>
      </x:c>
    </x:row>
    <x:row r="397" ht="42" customHeight="1">
      <x:c r="A397" s="6" t="str">
        <x:v>https://digitecme.com/ar/brands/lincoln-service-dubai</x:v>
      </x:c>
      <x:c r="B397" s="6" t="str">
        <x:v>صيانة لينكون</x:v>
      </x:c>
      <x:c r="C397" s="6" t="str">
        <x:v>lincoln: Service and repair (Arabic)</x:v>
      </x:c>
      <x:c r="D397" s="6" t="str">
        <x:v>brand</x:v>
      </x:c>
      <x:c r="E397" s="6" t="str">
        <x:v>Primary owner for assigned intent</x:v>
      </x:c>
      <x:c r="F397" s="6" t="str">
        <x:v>Local source render; live version unverified</x:v>
      </x:c>
      <x:c r="G397" s="6" t="str">
        <x:v>إصلاح وصيانة Lincoln في دبي | مركز ديجي-تك</x:v>
      </x:c>
      <x:c r="H397" s="6" t="str">
        <x:v>إصلاح وصيانة Lincoln في دبي | مركز ديجي-تك</x:v>
      </x:c>
      <x:c r="I397" s="6" t="str">
        <x:v>Lincoln للإصلاح والصيانة في دبي</x:v>
      </x:c>
      <x:c r="J397" s="6" t="str">
        <x:v>Lincoln للإصلاح والصيانة في دبي</x:v>
      </x:c>
      <x:c r="K397" s="6" t="str">
        <x:v>إصلاح وصيانة Lincoln في دبي: تشخيص وصيانة وفرامل وناقل حركة وتعليق وتكييف مع قطع بالمواصفات المناسبة لدى مركز ديجي-تك.</x:v>
      </x:c>
      <x:c r="L397" s="6" t="str">
        <x:v>Retain pending evidence; no specific content edit justified by this export.</x:v>
      </x:c>
      <x:c r="M397" s="6" t="str">
        <x:v>Retain; inspect relevant context before adding links</x:v>
      </x:c>
      <x:c r="N397" s="6" t="str">
        <x:v>Unconfirmed — no query/page pairing</x:v>
      </x:c>
      <x:c r="O397" s="6" t="str">
        <x:v>Retain established booking / WhatsApp / call path; live behaviour untested</x:v>
      </x:c>
      <x:c r="P397" s="6" t="str">
        <x:v>Retain canonical and indexation policy pending a live check.</x:v>
      </x:c>
      <x:c r="Q397" s="6" t="str">
        <x:v>Proposed; no website change made</x:v>
      </x:c>
      <x:c r="R397" s="14" t="n">
        <x:v>0</x:v>
      </x:c>
      <x:c r="S397" s="14" t="n">
        <x:v>68</x:v>
      </x:c>
      <x:c r="T397" s="15" t="n">
        <x:v>0</x:v>
      </x:c>
      <x:c r="U397" s="16" t="n">
        <x:v>26.29</x:v>
      </x:c>
      <x:c r="V397" s="6" t="str">
        <x:v>https://digitecme.com/ar/brands/lincoln-service-dubai</x:v>
      </x:c>
      <x:c r="W397" s="6" t="str">
        <x:v>Indexable directive</x:v>
      </x:c>
      <x:c r="X397" s="6" t="n">
        <x:v>30</x:v>
      </x:c>
      <x:c r="Y397" s="6" t="str">
        <x:v>إصلاح وصيانة Lincoln في دبي | مركز ديجي-تك</x:v>
      </x:c>
      <x:c r="Z397" s="6" t="str"/>
      <x:c r="AA397" s="6" t="str">
        <x:v>No / not compared</x:v>
      </x:c>
    </x:row>
    <x:row r="398" ht="42" customHeight="1">
      <x:c r="A398" s="6" t="str">
        <x:v>https://digitecme.com/ar/brands/lincoln-service-dubai/ac-repair</x:v>
      </x:c>
      <x:c r="B398" s="6" t="str"/>
      <x:c r="C398" s="6" t="str"/>
      <x:c r="D398" s="6" t="str">
        <x:v>brand-service</x:v>
      </x:c>
      <x:c r="E398" s="6" t="str">
        <x:v>Retain differentiated role</x:v>
      </x:c>
      <x:c r="F398" s="6" t="str">
        <x:v>Local source render; live version unverified</x:v>
      </x:c>
      <x:c r="G398" s="6" t="str">
        <x:v>إصلاح التكييف Lincoln في دبي | ديجي-تك</x:v>
      </x:c>
      <x:c r="H398" s="6" t="str">
        <x:v>إصلاح التكييف Lincoln في دبي | ديجي-تك</x:v>
      </x:c>
      <x:c r="I398" s="6" t="str">
        <x:v>إصلاح التكييف Lincoln في دبي</x:v>
      </x:c>
      <x:c r="J398" s="6" t="str">
        <x:v>إصلاح التكييف Lincoln في دبي</x:v>
      </x:c>
      <x:c r="K398" s="6" t="str">
        <x:v>إصلاح التكييف متخصص لسيارات Lincoln في دبي مع تشخيص متقدم وقطع مناسبة وتسعير واضح لدى مركز ديجي-تك.</x:v>
      </x:c>
      <x:c r="L398" s="6" t="str">
        <x:v>Retain pending evidence; no specific content edit justified by this export.</x:v>
      </x:c>
      <x:c r="M398" s="6" t="str">
        <x:v>Retain; inspect relevant context before adding links</x:v>
      </x:c>
      <x:c r="N398" s="6" t="str">
        <x:v>Unconfirmed — no query/page pairing</x:v>
      </x:c>
      <x:c r="O398" s="6" t="str">
        <x:v>Retain established booking / WhatsApp / call path; live behaviour untested</x:v>
      </x:c>
      <x:c r="P398" s="6" t="str">
        <x:v>Retain canonical and indexation policy pending a live check.</x:v>
      </x:c>
      <x:c r="Q398" s="6" t="str">
        <x:v>Proposed; no website change made</x:v>
      </x:c>
      <x:c r="R398" s="14" t="n">
        <x:v>0</x:v>
      </x:c>
      <x:c r="S398" s="14" t="n">
        <x:v>1</x:v>
      </x:c>
      <x:c r="T398" s="15" t="n">
        <x:v>0</x:v>
      </x:c>
      <x:c r="U398" s="16" t="n">
        <x:v>85</x:v>
      </x:c>
      <x:c r="V398" s="6" t="str">
        <x:v>https://digitecme.com/ar/brands/lincoln-service-dubai/ac-repair</x:v>
      </x:c>
      <x:c r="W398" s="6" t="str">
        <x:v>Indexable directive</x:v>
      </x:c>
      <x:c r="X398" s="6" t="n">
        <x:v>8</x:v>
      </x:c>
      <x:c r="Y398" s="6" t="str">
        <x:v>إصلاح التكييف Lincoln في دبي | ديجي-تك</x:v>
      </x:c>
      <x:c r="Z398" s="6" t="str"/>
      <x:c r="AA398" s="6" t="str">
        <x:v>No / not compared</x:v>
      </x:c>
    </x:row>
    <x:row r="399" ht="42" customHeight="1">
      <x:c r="A399" s="6" t="str">
        <x:v>https://digitecme.com/ar/brands/lincoln-service-dubai/brake-repair</x:v>
      </x:c>
      <x:c r="B399" s="6" t="str">
        <x:v>صيانة الفرامل لينكون</x:v>
      </x:c>
      <x:c r="C399" s="6" t="str">
        <x:v>lincoln: Brake repair</x:v>
      </x:c>
      <x:c r="D399" s="6" t="str">
        <x:v>brand-service</x:v>
      </x:c>
      <x:c r="E399" s="6" t="str">
        <x:v>Primary owner for assigned intent</x:v>
      </x:c>
      <x:c r="F399" s="6" t="str">
        <x:v>Local source render; live version unverified</x:v>
      </x:c>
      <x:c r="G399" s="6" t="str">
        <x:v>إصلاح الفرامل Lincoln في دبي | ديجي-تك</x:v>
      </x:c>
      <x:c r="H399" s="6" t="str">
        <x:v>إصلاح الفرامل Lincoln في دبي | ديجي-تك</x:v>
      </x:c>
      <x:c r="I399" s="6" t="str">
        <x:v>إصلاح الفرامل Lincoln في دبي</x:v>
      </x:c>
      <x:c r="J399" s="6" t="str">
        <x:v>إصلاح الفرامل Lincoln في دبي</x:v>
      </x:c>
      <x:c r="K399" s="6" t="str">
        <x:v>إصلاح الفرامل متخصص لسيارات Lincoln في دبي مع تشخيص متقدم وقطع مناسبة وتسعير واضح لدى مركز ديجي-تك.</x:v>
      </x:c>
      <x:c r="L399" s="6" t="str">
        <x:v>Retain pending evidence; no specific content edit justified by this export.</x:v>
      </x:c>
      <x:c r="M399" s="6" t="str">
        <x:v>Retain; inspect relevant context before adding links</x:v>
      </x:c>
      <x:c r="N399" s="6" t="str">
        <x:v>Unconfirmed — no query/page pairing</x:v>
      </x:c>
      <x:c r="O399" s="6" t="str">
        <x:v>Retain established booking / WhatsApp / call path; live behaviour untested</x:v>
      </x:c>
      <x:c r="P399" s="6" t="str">
        <x:v>Retain canonical and indexation policy pending a live check.</x:v>
      </x:c>
      <x:c r="Q399" s="6" t="str">
        <x:v>Proposed; no website change made</x:v>
      </x:c>
      <x:c r="R399" s="14" t="n">
        <x:v>0</x:v>
      </x:c>
      <x:c r="S399" s="14" t="n">
        <x:v>11</x:v>
      </x:c>
      <x:c r="T399" s="15" t="n">
        <x:v>0</x:v>
      </x:c>
      <x:c r="U399" s="16" t="n">
        <x:v>13.91</x:v>
      </x:c>
      <x:c r="V399" s="6" t="str">
        <x:v>https://digitecme.com/ar/brands/lincoln-service-dubai/brake-repair</x:v>
      </x:c>
      <x:c r="W399" s="6" t="str">
        <x:v>Indexable directive</x:v>
      </x:c>
      <x:c r="X399" s="6" t="n">
        <x:v>8</x:v>
      </x:c>
      <x:c r="Y399" s="6" t="str">
        <x:v>إصلاح الفرامل Lincoln في دبي | ديجي-تك</x:v>
      </x:c>
      <x:c r="Z399" s="6" t="str"/>
      <x:c r="AA399" s="6" t="str">
        <x:v>No / not compared</x:v>
      </x:c>
    </x:row>
    <x:row r="400" ht="42" customHeight="1">
      <x:c r="A400" s="6" t="str">
        <x:v>https://digitecme.com/ar/brands/lincoln-service-dubai/engine-diagnostics</x:v>
      </x:c>
      <x:c r="B400" s="6" t="str"/>
      <x:c r="C400" s="6" t="str"/>
      <x:c r="D400" s="6" t="str">
        <x:v>brand-service</x:v>
      </x:c>
      <x:c r="E400" s="6" t="str">
        <x:v>Retain differentiated role</x:v>
      </x:c>
      <x:c r="F400" s="6" t="str">
        <x:v>Local source render; live version unverified</x:v>
      </x:c>
      <x:c r="G400" s="6" t="str">
        <x:v>تشخيص المحرك Lincoln في دبي | ديجي-تك</x:v>
      </x:c>
      <x:c r="H400" s="6" t="str">
        <x:v>تشخيص المحرك Lincoln في دبي | ديجي-تك</x:v>
      </x:c>
      <x:c r="I400" s="6" t="str">
        <x:v>تشخيص المحرك Lincoln في دبي</x:v>
      </x:c>
      <x:c r="J400" s="6" t="str">
        <x:v>تشخيص المحرك Lincoln في دبي</x:v>
      </x:c>
      <x:c r="K400" s="6" t="str">
        <x:v>تشخيص المحرك متخصص لسيارات Lincoln في دبي مع تشخيص متقدم وقطع مناسبة وتسعير واضح لدى مركز ديجي-تك.</x:v>
      </x:c>
      <x:c r="L400" s="6" t="str">
        <x:v>Retain pending evidence; no specific content edit justified by this export.</x:v>
      </x:c>
      <x:c r="M400" s="6" t="str">
        <x:v>Retain; inspect relevant context before adding links</x:v>
      </x:c>
      <x:c r="N400" s="6" t="str">
        <x:v>Unconfirmed — no query/page pairing</x:v>
      </x:c>
      <x:c r="O400" s="6" t="str">
        <x:v>Retain established booking / WhatsApp / call path; live behaviour untested</x:v>
      </x:c>
      <x:c r="P400" s="6" t="str">
        <x:v>Retain canonical and indexation policy pending a live check.</x:v>
      </x:c>
      <x:c r="Q400" s="6" t="str">
        <x:v>Proposed; no website change made</x:v>
      </x:c>
      <x:c r="R400" s="14" t="n">
        <x:v>0</x:v>
      </x:c>
      <x:c r="S400" s="14" t="n">
        <x:v>2</x:v>
      </x:c>
      <x:c r="T400" s="15" t="n">
        <x:v>0</x:v>
      </x:c>
      <x:c r="U400" s="16" t="n">
        <x:v>4</x:v>
      </x:c>
      <x:c r="V400" s="6" t="str">
        <x:v>https://digitecme.com/ar/brands/lincoln-service-dubai/engine-diagnostics</x:v>
      </x:c>
      <x:c r="W400" s="6" t="str">
        <x:v>Indexable directive</x:v>
      </x:c>
      <x:c r="X400" s="6" t="n">
        <x:v>8</x:v>
      </x:c>
      <x:c r="Y400" s="6" t="str">
        <x:v>تشخيص المحرك Lincoln في دبي | ديجي-تك</x:v>
      </x:c>
      <x:c r="Z400" s="6" t="str"/>
      <x:c r="AA400" s="6" t="str">
        <x:v>No / not compared</x:v>
      </x:c>
    </x:row>
    <x:row r="401" ht="42" customHeight="1">
      <x:c r="A401" s="6" t="str">
        <x:v>https://digitecme.com/ar/brands/lincoln-service-dubai/oil-change</x:v>
      </x:c>
      <x:c r="B401" s="6" t="str"/>
      <x:c r="C401" s="6" t="str"/>
      <x:c r="D401" s="6" t="str">
        <x:v>brand-service</x:v>
      </x:c>
      <x:c r="E401" s="6" t="str">
        <x:v>Retain differentiated role</x:v>
      </x:c>
      <x:c r="F401" s="6" t="str">
        <x:v>Local source render; live version unverified</x:v>
      </x:c>
      <x:c r="G401" s="6" t="str">
        <x:v>تغيير الزيت Lincoln في دبي | ديجي-تك</x:v>
      </x:c>
      <x:c r="H401" s="6" t="str">
        <x:v>تغيير الزيت Lincoln في دبي | ديجي-تك</x:v>
      </x:c>
      <x:c r="I401" s="6" t="str">
        <x:v>تغيير الزيت Lincoln في دبي</x:v>
      </x:c>
      <x:c r="J401" s="6" t="str">
        <x:v>تغيير الزيت Lincoln في دبي</x:v>
      </x:c>
      <x:c r="K401" s="6" t="str">
        <x:v>تغيير الزيت متخصص لسيارات Lincoln في دبي مع تشخيص متقدم وقطع مناسبة وتسعير واضح لدى مركز ديجي-تك.</x:v>
      </x:c>
      <x:c r="L401" s="6" t="str">
        <x:v>Retain pending evidence; no specific content edit justified by this export.</x:v>
      </x:c>
      <x:c r="M401" s="6" t="str">
        <x:v>Retain; inspect relevant context before adding links</x:v>
      </x:c>
      <x:c r="N401" s="6" t="str">
        <x:v>Unconfirmed — no query/page pairing</x:v>
      </x:c>
      <x:c r="O401" s="6" t="str">
        <x:v>Retain established booking / WhatsApp / call path; live behaviour untested</x:v>
      </x:c>
      <x:c r="P401" s="6" t="str">
        <x:v>Retain canonical and indexation policy pending a live check.</x:v>
      </x:c>
      <x:c r="Q401" s="6" t="str">
        <x:v>Proposed; no website change made</x:v>
      </x:c>
      <x:c r="R401" s="14" t="n">
        <x:v>0</x:v>
      </x:c>
      <x:c r="S401" s="14" t="n">
        <x:v>5</x:v>
      </x:c>
      <x:c r="T401" s="15" t="n">
        <x:v>0</x:v>
      </x:c>
      <x:c r="U401" s="16" t="n">
        <x:v>79.2</x:v>
      </x:c>
      <x:c r="V401" s="6" t="str">
        <x:v>https://digitecme.com/ar/brands/lincoln-service-dubai/oil-change</x:v>
      </x:c>
      <x:c r="W401" s="6" t="str">
        <x:v>Indexable directive</x:v>
      </x:c>
      <x:c r="X401" s="6" t="n">
        <x:v>8</x:v>
      </x:c>
      <x:c r="Y401" s="6" t="str">
        <x:v>تغيير الزيت Lincoln في دبي | ديجي-تك</x:v>
      </x:c>
      <x:c r="Z401" s="6" t="str"/>
      <x:c r="AA401" s="6" t="str">
        <x:v>No / not compared</x:v>
      </x:c>
    </x:row>
    <x:row r="402" ht="42" customHeight="1">
      <x:c r="A402" s="6" t="str">
        <x:v>https://digitecme.com/ar/brands/lincoln-service-dubai/suspension-repair</x:v>
      </x:c>
      <x:c r="B402" s="6" t="str"/>
      <x:c r="C402" s="6" t="str"/>
      <x:c r="D402" s="6" t="str">
        <x:v>brand-service</x:v>
      </x:c>
      <x:c r="E402" s="6" t="str">
        <x:v>Retain differentiated role</x:v>
      </x:c>
      <x:c r="F402" s="6" t="str">
        <x:v>Local source render; live version unverified</x:v>
      </x:c>
      <x:c r="G402" s="6" t="str">
        <x:v>إصلاح التعليق Lincoln في دبي | ديجي-تك</x:v>
      </x:c>
      <x:c r="H402" s="6" t="str">
        <x:v>إصلاح التعليق Lincoln في دبي | ديجي-تك</x:v>
      </x:c>
      <x:c r="I402" s="6" t="str">
        <x:v>إصلاح التعليق Lincoln في دبي</x:v>
      </x:c>
      <x:c r="J402" s="6" t="str">
        <x:v>إصلاح التعليق Lincoln في دبي</x:v>
      </x:c>
      <x:c r="K402" s="6" t="str">
        <x:v>إصلاح التعليق متخصص لسيارات Lincoln في دبي مع تشخيص متقدم وقطع مناسبة وتسعير واضح لدى مركز ديجي-تك.</x:v>
      </x:c>
      <x:c r="L402" s="6" t="str">
        <x:v>Retain pending evidence; no specific content edit justified by this export.</x:v>
      </x:c>
      <x:c r="M402" s="6" t="str">
        <x:v>Retain; inspect relevant context before adding links</x:v>
      </x:c>
      <x:c r="N402" s="6" t="str">
        <x:v>Unconfirmed — no query/page pairing</x:v>
      </x:c>
      <x:c r="O402" s="6" t="str">
        <x:v>Retain established booking / WhatsApp / call path; live behaviour untested</x:v>
      </x:c>
      <x:c r="P402" s="6" t="str">
        <x:v>Retain canonical and indexation policy pending a live check.</x:v>
      </x:c>
      <x:c r="Q402" s="6" t="str">
        <x:v>Proposed; no website change made</x:v>
      </x:c>
      <x:c r="R402" s="14"/>
      <x:c r="S402" s="14"/>
      <x:c r="T402" s="15"/>
      <x:c r="U402" s="16"/>
      <x:c r="V402" s="6" t="str">
        <x:v>https://digitecme.com/ar/brands/lincoln-service-dubai/suspension-repair</x:v>
      </x:c>
      <x:c r="W402" s="6" t="str">
        <x:v>Noindex directive</x:v>
      </x:c>
      <x:c r="X402" s="6" t="n">
        <x:v>8</x:v>
      </x:c>
      <x:c r="Y402" s="6" t="str">
        <x:v>إصلاح التعليق Lincoln في دبي | ديجي-تك</x:v>
      </x:c>
      <x:c r="Z402" s="6" t="str"/>
      <x:c r="AA402" s="6" t="str">
        <x:v>No / not compared</x:v>
      </x:c>
    </x:row>
    <x:row r="403" ht="42" customHeight="1">
      <x:c r="A403" s="6" t="str">
        <x:v>https://digitecme.com/ar/brands/lincoln-service-dubai/transmission-repair</x:v>
      </x:c>
      <x:c r="B403" s="6" t="str"/>
      <x:c r="C403" s="6" t="str"/>
      <x:c r="D403" s="6" t="str">
        <x:v>brand-service</x:v>
      </x:c>
      <x:c r="E403" s="6" t="str">
        <x:v>Retain differentiated role</x:v>
      </x:c>
      <x:c r="F403" s="6" t="str">
        <x:v>Local source render; live version unverified</x:v>
      </x:c>
      <x:c r="G403" s="6" t="str">
        <x:v>إصلاح ناقل الحركة Lincoln في دبي | ديجي-تك</x:v>
      </x:c>
      <x:c r="H403" s="6" t="str">
        <x:v>إصلاح ناقل الحركة Lincoln في دبي | ديجي-تك</x:v>
      </x:c>
      <x:c r="I403" s="6" t="str">
        <x:v>إصلاح ناقل الحركة Lincoln في دبي</x:v>
      </x:c>
      <x:c r="J403" s="6" t="str">
        <x:v>إصلاح ناقل الحركة Lincoln في دبي</x:v>
      </x:c>
      <x:c r="K403" s="6" t="str">
        <x:v>إصلاح ناقل الحركة متخصص لسيارات Lincoln في دبي مع تشخيص متقدم وقطع مناسبة وتسعير واضح لدى مركز ديجي-تك.</x:v>
      </x:c>
      <x:c r="L403" s="6" t="str">
        <x:v>Retain pending evidence; no specific content edit justified by this export.</x:v>
      </x:c>
      <x:c r="M403" s="6" t="str">
        <x:v>Retain; inspect relevant context before adding links</x:v>
      </x:c>
      <x:c r="N403" s="6" t="str">
        <x:v>Unconfirmed — no query/page pairing</x:v>
      </x:c>
      <x:c r="O403" s="6" t="str">
        <x:v>Retain established booking / WhatsApp / call path; live behaviour untested</x:v>
      </x:c>
      <x:c r="P403" s="6" t="str">
        <x:v>Retain canonical and indexation policy pending a live check.</x:v>
      </x:c>
      <x:c r="Q403" s="6" t="str">
        <x:v>Proposed; no website change made</x:v>
      </x:c>
      <x:c r="R403" s="14"/>
      <x:c r="S403" s="14"/>
      <x:c r="T403" s="15"/>
      <x:c r="U403" s="16"/>
      <x:c r="V403" s="6" t="str">
        <x:v>https://digitecme.com/ar/brands/lincoln-service-dubai/transmission-repair</x:v>
      </x:c>
      <x:c r="W403" s="6" t="str">
        <x:v>Noindex directive</x:v>
      </x:c>
      <x:c r="X403" s="6" t="n">
        <x:v>8</x:v>
      </x:c>
      <x:c r="Y403" s="6" t="str">
        <x:v>إصلاح ناقل الحركة Lincoln في دبي | ديجي-تك</x:v>
      </x:c>
      <x:c r="Z403" s="6" t="str"/>
      <x:c r="AA403" s="6" t="str">
        <x:v>No / not compared</x:v>
      </x:c>
    </x:row>
    <x:row r="404" ht="42" customHeight="1">
      <x:c r="A404" s="6" t="str">
        <x:v>https://digitecme.com/ar/brands/lotus-service-dubai</x:v>
      </x:c>
      <x:c r="B404" s="6" t="str"/>
      <x:c r="C404" s="6" t="str"/>
      <x:c r="D404" s="6" t="str">
        <x:v>brand</x:v>
      </x:c>
      <x:c r="E404" s="6" t="str">
        <x:v>Retain differentiated role</x:v>
      </x:c>
      <x:c r="F404" s="6" t="str">
        <x:v>Local source render; live version unverified</x:v>
      </x:c>
      <x:c r="G404" s="6" t="str">
        <x:v>إصلاح وصيانة Lotus في دبي | مركز ديجي-تك</x:v>
      </x:c>
      <x:c r="H404" s="6" t="str">
        <x:v>إصلاح وصيانة Lotus في دبي | مركز ديجي-تك</x:v>
      </x:c>
      <x:c r="I404" s="6" t="str">
        <x:v>Lotus للإصلاح والصيانة في دبي</x:v>
      </x:c>
      <x:c r="J404" s="6" t="str">
        <x:v>Lotus للإصلاح والصيانة في دبي</x:v>
      </x:c>
      <x:c r="K404" s="6" t="str">
        <x:v>إصلاح وصيانة Lotus في دبي: تشخيص وصيانة وفرامل وناقل حركة وتعليق وتكييف مع قطع بالمواصفات المناسبة لدى مركز ديجي-تك.</x:v>
      </x:c>
      <x:c r="L404" s="6" t="str">
        <x:v>Retain pending evidence; no specific content edit justified by this export.</x:v>
      </x:c>
      <x:c r="M404" s="6" t="str">
        <x:v>Retain; inspect relevant context before adding links</x:v>
      </x:c>
      <x:c r="N404" s="6" t="str">
        <x:v>Unconfirmed — no query/page pairing</x:v>
      </x:c>
      <x:c r="O404" s="6" t="str">
        <x:v>Retain established booking / WhatsApp / call path; live behaviour untested</x:v>
      </x:c>
      <x:c r="P404" s="6" t="str">
        <x:v>Retain canonical and indexation policy pending a live check.</x:v>
      </x:c>
      <x:c r="Q404" s="6" t="str">
        <x:v>Proposed; no website change made</x:v>
      </x:c>
      <x:c r="R404" s="14"/>
      <x:c r="S404" s="14"/>
      <x:c r="T404" s="15"/>
      <x:c r="U404" s="16"/>
      <x:c r="V404" s="6" t="str">
        <x:v>https://digitecme.com/ar/brands/lotus-service-dubai</x:v>
      </x:c>
      <x:c r="W404" s="6" t="str">
        <x:v>Indexable directive</x:v>
      </x:c>
      <x:c r="X404" s="6" t="n">
        <x:v>30</x:v>
      </x:c>
      <x:c r="Y404" s="6" t="str">
        <x:v>إصلاح وصيانة Lotus في دبي | مركز ديجي-تك</x:v>
      </x:c>
      <x:c r="Z404" s="6" t="str"/>
      <x:c r="AA404" s="6" t="str">
        <x:v>No / not compared</x:v>
      </x:c>
    </x:row>
    <x:row r="405" ht="42" customHeight="1">
      <x:c r="A405" s="6" t="str">
        <x:v>https://digitecme.com/ar/brands/lotus-service-dubai/ac-repair</x:v>
      </x:c>
      <x:c r="B405" s="6" t="str"/>
      <x:c r="C405" s="6" t="str"/>
      <x:c r="D405" s="6" t="str">
        <x:v>brand-service</x:v>
      </x:c>
      <x:c r="E405" s="6" t="str">
        <x:v>Retain differentiated role</x:v>
      </x:c>
      <x:c r="F405" s="6" t="str">
        <x:v>Local source render; live version unverified</x:v>
      </x:c>
      <x:c r="G405" s="6" t="str">
        <x:v>إصلاح التكييف Lotus في دبي | ديجي-تك</x:v>
      </x:c>
      <x:c r="H405" s="6" t="str">
        <x:v>إصلاح التكييف Lotus في دبي | ديجي-تك</x:v>
      </x:c>
      <x:c r="I405" s="6" t="str">
        <x:v>إصلاح التكييف Lotus في دبي</x:v>
      </x:c>
      <x:c r="J405" s="6" t="str">
        <x:v>إصلاح التكييف Lotus في دبي</x:v>
      </x:c>
      <x:c r="K405" s="6" t="str">
        <x:v>إصلاح التكييف متخصص لسيارات Lotus في دبي مع تشخيص متقدم وقطع مناسبة وتسعير واضح لدى مركز ديجي-تك.</x:v>
      </x:c>
      <x:c r="L405" s="6" t="str">
        <x:v>Retain pending evidence; no specific content edit justified by this export.</x:v>
      </x:c>
      <x:c r="M405" s="6" t="str">
        <x:v>Retain; inspect relevant context before adding links</x:v>
      </x:c>
      <x:c r="N405" s="6" t="str">
        <x:v>Unconfirmed — no query/page pairing</x:v>
      </x:c>
      <x:c r="O405" s="6" t="str">
        <x:v>Retain established booking / WhatsApp / call path; live behaviour untested</x:v>
      </x:c>
      <x:c r="P405" s="6" t="str">
        <x:v>Retain canonical and indexation policy pending a live check.</x:v>
      </x:c>
      <x:c r="Q405" s="6" t="str">
        <x:v>Proposed; no website change made</x:v>
      </x:c>
      <x:c r="R405" s="14"/>
      <x:c r="S405" s="14"/>
      <x:c r="T405" s="15"/>
      <x:c r="U405" s="16"/>
      <x:c r="V405" s="6" t="str">
        <x:v>https://digitecme.com/ar/brands/lotus-service-dubai/ac-repair</x:v>
      </x:c>
      <x:c r="W405" s="6" t="str">
        <x:v>Indexable directive</x:v>
      </x:c>
      <x:c r="X405" s="6" t="n">
        <x:v>8</x:v>
      </x:c>
      <x:c r="Y405" s="6" t="str">
        <x:v>إصلاح التكييف Lotus في دبي | ديجي-تك</x:v>
      </x:c>
      <x:c r="Z405" s="6" t="str"/>
      <x:c r="AA405" s="6" t="str">
        <x:v>No / not compared</x:v>
      </x:c>
    </x:row>
    <x:row r="406" ht="42" customHeight="1">
      <x:c r="A406" s="6" t="str">
        <x:v>https://digitecme.com/ar/brands/lotus-service-dubai/brake-repair</x:v>
      </x:c>
      <x:c r="B406" s="6" t="str"/>
      <x:c r="C406" s="6" t="str"/>
      <x:c r="D406" s="6" t="str">
        <x:v>brand-service</x:v>
      </x:c>
      <x:c r="E406" s="6" t="str">
        <x:v>Retain differentiated role</x:v>
      </x:c>
      <x:c r="F406" s="6" t="str">
        <x:v>Local source render; live version unverified</x:v>
      </x:c>
      <x:c r="G406" s="6" t="str">
        <x:v>إصلاح الفرامل Lotus في دبي | ديجي-تك</x:v>
      </x:c>
      <x:c r="H406" s="6" t="str">
        <x:v>إصلاح الفرامل Lotus في دبي | ديجي-تك</x:v>
      </x:c>
      <x:c r="I406" s="6" t="str">
        <x:v>إصلاح الفرامل Lotus في دبي</x:v>
      </x:c>
      <x:c r="J406" s="6" t="str">
        <x:v>إصلاح الفرامل Lotus في دبي</x:v>
      </x:c>
      <x:c r="K406" s="6" t="str">
        <x:v>إصلاح الفرامل متخصص لسيارات Lotus في دبي مع تشخيص متقدم وقطع مناسبة وتسعير واضح لدى مركز ديجي-تك.</x:v>
      </x:c>
      <x:c r="L406" s="6" t="str">
        <x:v>Retain pending evidence; no specific content edit justified by this export.</x:v>
      </x:c>
      <x:c r="M406" s="6" t="str">
        <x:v>Retain; inspect relevant context before adding links</x:v>
      </x:c>
      <x:c r="N406" s="6" t="str">
        <x:v>Unconfirmed — no query/page pairing</x:v>
      </x:c>
      <x:c r="O406" s="6" t="str">
        <x:v>Retain established booking / WhatsApp / call path; live behaviour untested</x:v>
      </x:c>
      <x:c r="P406" s="6" t="str">
        <x:v>Retain canonical and indexation policy pending a live check.</x:v>
      </x:c>
      <x:c r="Q406" s="6" t="str">
        <x:v>Proposed; no website change made</x:v>
      </x:c>
      <x:c r="R406" s="14"/>
      <x:c r="S406" s="14"/>
      <x:c r="T406" s="15"/>
      <x:c r="U406" s="16"/>
      <x:c r="V406" s="6" t="str">
        <x:v>https://digitecme.com/ar/brands/lotus-service-dubai/brake-repair</x:v>
      </x:c>
      <x:c r="W406" s="6" t="str">
        <x:v>Indexable directive</x:v>
      </x:c>
      <x:c r="X406" s="6" t="n">
        <x:v>8</x:v>
      </x:c>
      <x:c r="Y406" s="6" t="str">
        <x:v>إصلاح الفرامل Lotus في دبي | ديجي-تك</x:v>
      </x:c>
      <x:c r="Z406" s="6" t="str"/>
      <x:c r="AA406" s="6" t="str">
        <x:v>No / not compared</x:v>
      </x:c>
    </x:row>
    <x:row r="407" ht="42" customHeight="1">
      <x:c r="A407" s="6" t="str">
        <x:v>https://digitecme.com/ar/brands/lotus-service-dubai/engine-diagnostics</x:v>
      </x:c>
      <x:c r="B407" s="6" t="str"/>
      <x:c r="C407" s="6" t="str"/>
      <x:c r="D407" s="6" t="str">
        <x:v>brand-service</x:v>
      </x:c>
      <x:c r="E407" s="6" t="str">
        <x:v>Retain differentiated role</x:v>
      </x:c>
      <x:c r="F407" s="6" t="str">
        <x:v>Local source render; live version unverified</x:v>
      </x:c>
      <x:c r="G407" s="6" t="str">
        <x:v>تشخيص المحرك Lotus في دبي | ديجي-تك</x:v>
      </x:c>
      <x:c r="H407" s="6" t="str">
        <x:v>تشخيص المحرك Lotus في دبي | ديجي-تك</x:v>
      </x:c>
      <x:c r="I407" s="6" t="str">
        <x:v>تشخيص المحرك Lotus في دبي</x:v>
      </x:c>
      <x:c r="J407" s="6" t="str">
        <x:v>تشخيص المحرك Lotus في دبي</x:v>
      </x:c>
      <x:c r="K407" s="6" t="str">
        <x:v>تشخيص المحرك متخصص لسيارات Lotus في دبي مع تشخيص متقدم وقطع مناسبة وتسعير واضح لدى مركز ديجي-تك.</x:v>
      </x:c>
      <x:c r="L407" s="6" t="str">
        <x:v>Retain pending evidence; no specific content edit justified by this export.</x:v>
      </x:c>
      <x:c r="M407" s="6" t="str">
        <x:v>Retain; inspect relevant context before adding links</x:v>
      </x:c>
      <x:c r="N407" s="6" t="str">
        <x:v>Unconfirmed — no query/page pairing</x:v>
      </x:c>
      <x:c r="O407" s="6" t="str">
        <x:v>Retain established booking / WhatsApp / call path; live behaviour untested</x:v>
      </x:c>
      <x:c r="P407" s="6" t="str">
        <x:v>Retain canonical and indexation policy pending a live check.</x:v>
      </x:c>
      <x:c r="Q407" s="6" t="str">
        <x:v>Proposed; no website change made</x:v>
      </x:c>
      <x:c r="R407" s="14"/>
      <x:c r="S407" s="14"/>
      <x:c r="T407" s="15"/>
      <x:c r="U407" s="16"/>
      <x:c r="V407" s="6" t="str">
        <x:v>https://digitecme.com/ar/brands/lotus-service-dubai/engine-diagnostics</x:v>
      </x:c>
      <x:c r="W407" s="6" t="str">
        <x:v>Indexable directive</x:v>
      </x:c>
      <x:c r="X407" s="6" t="n">
        <x:v>8</x:v>
      </x:c>
      <x:c r="Y407" s="6" t="str">
        <x:v>تشخيص المحرك Lotus في دبي | ديجي-تك</x:v>
      </x:c>
      <x:c r="Z407" s="6" t="str"/>
      <x:c r="AA407" s="6" t="str">
        <x:v>No / not compared</x:v>
      </x:c>
    </x:row>
    <x:row r="408" ht="42" customHeight="1">
      <x:c r="A408" s="6" t="str">
        <x:v>https://digitecme.com/ar/brands/lotus-service-dubai/oil-change</x:v>
      </x:c>
      <x:c r="B408" s="6" t="str"/>
      <x:c r="C408" s="6" t="str"/>
      <x:c r="D408" s="6" t="str">
        <x:v>brand-service</x:v>
      </x:c>
      <x:c r="E408" s="6" t="str">
        <x:v>Retain differentiated role</x:v>
      </x:c>
      <x:c r="F408" s="6" t="str">
        <x:v>Local source render; live version unverified</x:v>
      </x:c>
      <x:c r="G408" s="6" t="str">
        <x:v>تغيير الزيت Lotus في دبي | ديجي-تك</x:v>
      </x:c>
      <x:c r="H408" s="6" t="str">
        <x:v>تغيير الزيت Lotus في دبي | ديجي-تك</x:v>
      </x:c>
      <x:c r="I408" s="6" t="str">
        <x:v>تغيير الزيت Lotus في دبي</x:v>
      </x:c>
      <x:c r="J408" s="6" t="str">
        <x:v>تغيير الزيت Lotus في دبي</x:v>
      </x:c>
      <x:c r="K408" s="6" t="str">
        <x:v>تغيير الزيت متخصص لسيارات Lotus في دبي مع تشخيص متقدم وقطع مناسبة وتسعير واضح لدى مركز ديجي-تك.</x:v>
      </x:c>
      <x:c r="L408" s="6" t="str">
        <x:v>Retain pending evidence; no specific content edit justified by this export.</x:v>
      </x:c>
      <x:c r="M408" s="6" t="str">
        <x:v>Retain; inspect relevant context before adding links</x:v>
      </x:c>
      <x:c r="N408" s="6" t="str">
        <x:v>Unconfirmed — no query/page pairing</x:v>
      </x:c>
      <x:c r="O408" s="6" t="str">
        <x:v>Retain established booking / WhatsApp / call path; live behaviour untested</x:v>
      </x:c>
      <x:c r="P408" s="6" t="str">
        <x:v>Retain canonical and indexation policy pending a live check.</x:v>
      </x:c>
      <x:c r="Q408" s="6" t="str">
        <x:v>Proposed; no website change made</x:v>
      </x:c>
      <x:c r="R408" s="14"/>
      <x:c r="S408" s="14"/>
      <x:c r="T408" s="15"/>
      <x:c r="U408" s="16"/>
      <x:c r="V408" s="6" t="str">
        <x:v>https://digitecme.com/ar/brands/lotus-service-dubai/oil-change</x:v>
      </x:c>
      <x:c r="W408" s="6" t="str">
        <x:v>Indexable directive</x:v>
      </x:c>
      <x:c r="X408" s="6" t="n">
        <x:v>8</x:v>
      </x:c>
      <x:c r="Y408" s="6" t="str">
        <x:v>تغيير الزيت Lotus في دبي | ديجي-تك</x:v>
      </x:c>
      <x:c r="Z408" s="6" t="str"/>
      <x:c r="AA408" s="6" t="str">
        <x:v>No / not compared</x:v>
      </x:c>
    </x:row>
    <x:row r="409" ht="42" customHeight="1">
      <x:c r="A409" s="6" t="str">
        <x:v>https://digitecme.com/ar/brands/lotus-service-dubai/suspension-repair</x:v>
      </x:c>
      <x:c r="B409" s="6" t="str"/>
      <x:c r="C409" s="6" t="str"/>
      <x:c r="D409" s="6" t="str">
        <x:v>brand-service</x:v>
      </x:c>
      <x:c r="E409" s="6" t="str">
        <x:v>Retain differentiated role</x:v>
      </x:c>
      <x:c r="F409" s="6" t="str">
        <x:v>Local source render; live version unverified</x:v>
      </x:c>
      <x:c r="G409" s="6" t="str">
        <x:v>إصلاح التعليق Lotus في دبي | ديجي-تك</x:v>
      </x:c>
      <x:c r="H409" s="6" t="str">
        <x:v>إصلاح التعليق Lotus في دبي | ديجي-تك</x:v>
      </x:c>
      <x:c r="I409" s="6" t="str">
        <x:v>إصلاح التعليق Lotus في دبي</x:v>
      </x:c>
      <x:c r="J409" s="6" t="str">
        <x:v>إصلاح التعليق Lotus في دبي</x:v>
      </x:c>
      <x:c r="K409" s="6" t="str">
        <x:v>إصلاح التعليق متخصص لسيارات Lotus في دبي مع تشخيص متقدم وقطع مناسبة وتسعير واضح لدى مركز ديجي-تك.</x:v>
      </x:c>
      <x:c r="L409" s="6" t="str">
        <x:v>Retain pending evidence; no specific content edit justified by this export.</x:v>
      </x:c>
      <x:c r="M409" s="6" t="str">
        <x:v>Retain; inspect relevant context before adding links</x:v>
      </x:c>
      <x:c r="N409" s="6" t="str">
        <x:v>Unconfirmed — no query/page pairing</x:v>
      </x:c>
      <x:c r="O409" s="6" t="str">
        <x:v>Retain established booking / WhatsApp / call path; live behaviour untested</x:v>
      </x:c>
      <x:c r="P409" s="6" t="str">
        <x:v>Retain canonical and indexation policy pending a live check.</x:v>
      </x:c>
      <x:c r="Q409" s="6" t="str">
        <x:v>Proposed; no website change made</x:v>
      </x:c>
      <x:c r="R409" s="14" t="n">
        <x:v>0</x:v>
      </x:c>
      <x:c r="S409" s="14" t="n">
        <x:v>3</x:v>
      </x:c>
      <x:c r="T409" s="15" t="n">
        <x:v>0</x:v>
      </x:c>
      <x:c r="U409" s="16" t="n">
        <x:v>65</x:v>
      </x:c>
      <x:c r="V409" s="6" t="str">
        <x:v>https://digitecme.com/ar/brands/lotus-service-dubai/suspension-repair</x:v>
      </x:c>
      <x:c r="W409" s="6" t="str">
        <x:v>Noindex directive</x:v>
      </x:c>
      <x:c r="X409" s="6" t="n">
        <x:v>8</x:v>
      </x:c>
      <x:c r="Y409" s="6" t="str">
        <x:v>إصلاح التعليق Lotus في دبي | ديجي-تك</x:v>
      </x:c>
      <x:c r="Z409" s="6" t="str"/>
      <x:c r="AA409" s="6" t="str">
        <x:v>No / not compared</x:v>
      </x:c>
    </x:row>
    <x:row r="410" ht="42" customHeight="1">
      <x:c r="A410" s="6" t="str">
        <x:v>https://digitecme.com/ar/brands/lotus-service-dubai/transmission-repair</x:v>
      </x:c>
      <x:c r="B410" s="6" t="str"/>
      <x:c r="C410" s="6" t="str"/>
      <x:c r="D410" s="6" t="str">
        <x:v>brand-service</x:v>
      </x:c>
      <x:c r="E410" s="6" t="str">
        <x:v>Retain differentiated role</x:v>
      </x:c>
      <x:c r="F410" s="6" t="str">
        <x:v>Local source render; live version unverified</x:v>
      </x:c>
      <x:c r="G410" s="6" t="str">
        <x:v>إصلاح ناقل الحركة Lotus في دبي | ديجي-تك</x:v>
      </x:c>
      <x:c r="H410" s="6" t="str">
        <x:v>إصلاح ناقل الحركة Lotus في دبي | ديجي-تك</x:v>
      </x:c>
      <x:c r="I410" s="6" t="str">
        <x:v>إصلاح ناقل الحركة Lotus في دبي</x:v>
      </x:c>
      <x:c r="J410" s="6" t="str">
        <x:v>إصلاح ناقل الحركة Lotus في دبي</x:v>
      </x:c>
      <x:c r="K410" s="6" t="str">
        <x:v>إصلاح ناقل الحركة متخصص لسيارات Lotus في دبي مع تشخيص متقدم وقطع مناسبة وتسعير واضح لدى مركز ديجي-تك.</x:v>
      </x:c>
      <x:c r="L410" s="6" t="str">
        <x:v>Retain pending evidence; no specific content edit justified by this export.</x:v>
      </x:c>
      <x:c r="M410" s="6" t="str">
        <x:v>Retain; inspect relevant context before adding links</x:v>
      </x:c>
      <x:c r="N410" s="6" t="str">
        <x:v>Unconfirmed — no query/page pairing</x:v>
      </x:c>
      <x:c r="O410" s="6" t="str">
        <x:v>Retain established booking / WhatsApp / call path; live behaviour untested</x:v>
      </x:c>
      <x:c r="P410" s="6" t="str">
        <x:v>Retain canonical and indexation policy pending a live check.</x:v>
      </x:c>
      <x:c r="Q410" s="6" t="str">
        <x:v>Proposed; no website change made</x:v>
      </x:c>
      <x:c r="R410" s="14"/>
      <x:c r="S410" s="14"/>
      <x:c r="T410" s="15"/>
      <x:c r="U410" s="16"/>
      <x:c r="V410" s="6" t="str">
        <x:v>https://digitecme.com/ar/brands/lotus-service-dubai/transmission-repair</x:v>
      </x:c>
      <x:c r="W410" s="6" t="str">
        <x:v>Noindex directive</x:v>
      </x:c>
      <x:c r="X410" s="6" t="n">
        <x:v>8</x:v>
      </x:c>
      <x:c r="Y410" s="6" t="str">
        <x:v>إصلاح ناقل الحركة Lotus في دبي | ديجي-تك</x:v>
      </x:c>
      <x:c r="Z410" s="6" t="str"/>
      <x:c r="AA410" s="6" t="str">
        <x:v>No / not compared</x:v>
      </x:c>
    </x:row>
    <x:row r="411" ht="42" customHeight="1">
      <x:c r="A411" s="6" t="str">
        <x:v>https://digitecme.com/ar/brands/maserati-service-dubai</x:v>
      </x:c>
      <x:c r="B411" s="6" t="str">
        <x:v>خدمة maserati</x:v>
      </x:c>
      <x:c r="C411" s="6" t="str">
        <x:v>maserati: Service and repair (Arabic)</x:v>
      </x:c>
      <x:c r="D411" s="6" t="str">
        <x:v>brand</x:v>
      </x:c>
      <x:c r="E411" s="6" t="str">
        <x:v>Primary owner for assigned intent</x:v>
      </x:c>
      <x:c r="F411" s="6" t="str">
        <x:v>Local source render; live version unverified</x:v>
      </x:c>
      <x:c r="G411" s="6" t="str">
        <x:v>إصلاح وصيانة Maserati في دبي | مركز ديجي-تك</x:v>
      </x:c>
      <x:c r="H411" s="6" t="str">
        <x:v>إصلاح وصيانة Maserati في دبي | مركز ديجي-تك</x:v>
      </x:c>
      <x:c r="I411" s="6" t="str">
        <x:v>Maserati للإصلاح والصيانة في دبي</x:v>
      </x:c>
      <x:c r="J411" s="6" t="str">
        <x:v>Maserati للإصلاح والصيانة في دبي</x:v>
      </x:c>
      <x:c r="K411" s="6" t="str">
        <x:v>إصلاح وصيانة Maserati في دبي: تشخيص وصيانة وفرامل وناقل حركة وتعليق وتكييف مع قطع بالمواصفات المناسبة لدى مركز ديجي-تك.</x:v>
      </x:c>
      <x:c r="L411" s="6" t="str">
        <x:v>Retain pending evidence; no specific content edit justified by this export.</x:v>
      </x:c>
      <x:c r="M411" s="6" t="str">
        <x:v>Retain; inspect relevant context before adding links</x:v>
      </x:c>
      <x:c r="N411" s="6" t="str">
        <x:v>Unconfirmed — no query/page pairing</x:v>
      </x:c>
      <x:c r="O411" s="6" t="str">
        <x:v>Retain established booking / WhatsApp / call path; live behaviour untested</x:v>
      </x:c>
      <x:c r="P411" s="6" t="str">
        <x:v>Retain canonical and indexation policy pending a live check.</x:v>
      </x:c>
      <x:c r="Q411" s="6" t="str">
        <x:v>Proposed; no website change made</x:v>
      </x:c>
      <x:c r="R411" s="14" t="n">
        <x:v>0</x:v>
      </x:c>
      <x:c r="S411" s="14" t="n">
        <x:v>42</x:v>
      </x:c>
      <x:c r="T411" s="15" t="n">
        <x:v>0</x:v>
      </x:c>
      <x:c r="U411" s="16" t="n">
        <x:v>18.98</x:v>
      </x:c>
      <x:c r="V411" s="6" t="str">
        <x:v>https://digitecme.com/ar/brands/maserati-service-dubai</x:v>
      </x:c>
      <x:c r="W411" s="6" t="str">
        <x:v>Indexable directive</x:v>
      </x:c>
      <x:c r="X411" s="6" t="n">
        <x:v>50</x:v>
      </x:c>
      <x:c r="Y411" s="6" t="str">
        <x:v>إصلاح وصيانة Maserati في دبي | مركز ديجي-تك</x:v>
      </x:c>
      <x:c r="Z411" s="6" t="str"/>
      <x:c r="AA411" s="6" t="str">
        <x:v>No / not compared</x:v>
      </x:c>
    </x:row>
    <x:row r="412" ht="42" customHeight="1">
      <x:c r="A412" s="6" t="str">
        <x:v>https://digitecme.com/ar/brands/maserati-service-dubai/ac-repair</x:v>
      </x:c>
      <x:c r="B412" s="6" t="str"/>
      <x:c r="C412" s="6" t="str"/>
      <x:c r="D412" s="6" t="str">
        <x:v>brand-service</x:v>
      </x:c>
      <x:c r="E412" s="6" t="str">
        <x:v>Retain differentiated role</x:v>
      </x:c>
      <x:c r="F412" s="6" t="str">
        <x:v>Local source render; live version unverified</x:v>
      </x:c>
      <x:c r="G412" s="6" t="str">
        <x:v>إصلاح التكييف Maserati في دبي | ديجي-تك</x:v>
      </x:c>
      <x:c r="H412" s="6" t="str">
        <x:v>إصلاح التكييف Maserati في دبي | ديجي-تك</x:v>
      </x:c>
      <x:c r="I412" s="6" t="str">
        <x:v>إصلاح التكييف Maserati في دبي</x:v>
      </x:c>
      <x:c r="J412" s="6" t="str">
        <x:v>إصلاح التكييف Maserati في دبي</x:v>
      </x:c>
      <x:c r="K412" s="6" t="str">
        <x:v>إصلاح التكييف متخصص لسيارات Maserati في دبي مع تشخيص متقدم وقطع مناسبة وتسعير واضح لدى مركز ديجي-تك.</x:v>
      </x:c>
      <x:c r="L412" s="6" t="str">
        <x:v>Retain pending evidence; no specific content edit justified by this export.</x:v>
      </x:c>
      <x:c r="M412" s="6" t="str">
        <x:v>Retain; inspect relevant context before adding links</x:v>
      </x:c>
      <x:c r="N412" s="6" t="str">
        <x:v>Unconfirmed — no query/page pairing</x:v>
      </x:c>
      <x:c r="O412" s="6" t="str">
        <x:v>Retain established booking / WhatsApp / call path; live behaviour untested</x:v>
      </x:c>
      <x:c r="P412" s="6" t="str">
        <x:v>Retain canonical and indexation policy pending a live check.</x:v>
      </x:c>
      <x:c r="Q412" s="6" t="str">
        <x:v>Proposed; no website change made</x:v>
      </x:c>
      <x:c r="R412" s="14"/>
      <x:c r="S412" s="14"/>
      <x:c r="T412" s="15"/>
      <x:c r="U412" s="16"/>
      <x:c r="V412" s="6" t="str">
        <x:v>https://digitecme.com/ar/brands/maserati-service-dubai/ac-repair</x:v>
      </x:c>
      <x:c r="W412" s="6" t="str">
        <x:v>Indexable directive</x:v>
      </x:c>
      <x:c r="X412" s="6" t="n">
        <x:v>16</x:v>
      </x:c>
      <x:c r="Y412" s="6" t="str">
        <x:v>إصلاح التكييف Maserati في دبي | ديجي-تك</x:v>
      </x:c>
      <x:c r="Z412" s="6" t="str"/>
      <x:c r="AA412" s="6" t="str">
        <x:v>No / not compared</x:v>
      </x:c>
    </x:row>
    <x:row r="413" ht="42" customHeight="1">
      <x:c r="A413" s="6" t="str">
        <x:v>https://digitecme.com/ar/brands/maserati-service-dubai/battery-replacement</x:v>
      </x:c>
      <x:c r="B413" s="6" t="str"/>
      <x:c r="C413" s="6" t="str"/>
      <x:c r="D413" s="6" t="str">
        <x:v>brand-service</x:v>
      </x:c>
      <x:c r="E413" s="6" t="str">
        <x:v>Retain differentiated role</x:v>
      </x:c>
      <x:c r="F413" s="6" t="str">
        <x:v>Local source render; live version unverified</x:v>
      </x:c>
      <x:c r="G413" s="6" t="str">
        <x:v>تبديل البطارية Maserati في دبي | ديجي-تك</x:v>
      </x:c>
      <x:c r="H413" s="6" t="str">
        <x:v>تبديل البطارية Maserati في دبي | ديجي-تك</x:v>
      </x:c>
      <x:c r="I413" s="6" t="str">
        <x:v>تبديل البطارية Maserati في دبي</x:v>
      </x:c>
      <x:c r="J413" s="6" t="str">
        <x:v>تبديل البطارية Maserati في دبي</x:v>
      </x:c>
      <x:c r="K413" s="6" t="str">
        <x:v>تبديل البطارية متخصص لسيارات Maserati في دبي مع تشخيص متقدم وقطع مناسبة وتسعير واضح لدى مركز ديجي-تك.</x:v>
      </x:c>
      <x:c r="L413" s="6" t="str">
        <x:v>Retain pending evidence; no specific content edit justified by this export.</x:v>
      </x:c>
      <x:c r="M413" s="6" t="str">
        <x:v>Retain; inspect relevant context before adding links</x:v>
      </x:c>
      <x:c r="N413" s="6" t="str">
        <x:v>Unconfirmed — no query/page pairing</x:v>
      </x:c>
      <x:c r="O413" s="6" t="str">
        <x:v>Retain established booking / WhatsApp / call path; live behaviour untested</x:v>
      </x:c>
      <x:c r="P413" s="6" t="str">
        <x:v>Retain canonical and indexation policy pending a live check.</x:v>
      </x:c>
      <x:c r="Q413" s="6" t="str">
        <x:v>Proposed; no website change made</x:v>
      </x:c>
      <x:c r="R413" s="14"/>
      <x:c r="S413" s="14"/>
      <x:c r="T413" s="15"/>
      <x:c r="U413" s="16"/>
      <x:c r="V413" s="6" t="str">
        <x:v>https://digitecme.com/ar/brands/maserati-service-dubai/battery-replacement</x:v>
      </x:c>
      <x:c r="W413" s="6" t="str">
        <x:v>Indexable directive</x:v>
      </x:c>
      <x:c r="X413" s="6" t="n">
        <x:v>16</x:v>
      </x:c>
      <x:c r="Y413" s="6" t="str">
        <x:v>تبديل البطارية Maserati في دبي | ديجي-تك</x:v>
      </x:c>
      <x:c r="Z413" s="6" t="str"/>
      <x:c r="AA413" s="6" t="str">
        <x:v>No / not compared</x:v>
      </x:c>
    </x:row>
    <x:row r="414" ht="42" customHeight="1">
      <x:c r="A414" s="6" t="str">
        <x:v>https://digitecme.com/ar/brands/maserati-service-dubai/body-repair</x:v>
      </x:c>
      <x:c r="B414" s="6" t="str"/>
      <x:c r="C414" s="6" t="str"/>
      <x:c r="D414" s="6" t="str">
        <x:v>brand-service</x:v>
      </x:c>
      <x:c r="E414" s="6" t="str">
        <x:v>Retain differentiated role</x:v>
      </x:c>
      <x:c r="F414" s="6" t="str">
        <x:v>Local source render; live version unverified</x:v>
      </x:c>
      <x:c r="G414" s="6" t="str">
        <x:v>إصلاح الهيكل Maserati في دبي | ديجي-تك</x:v>
      </x:c>
      <x:c r="H414" s="6" t="str">
        <x:v>إصلاح الهيكل Maserati في دبي | ديجي-تك</x:v>
      </x:c>
      <x:c r="I414" s="6" t="str">
        <x:v>إصلاح الهيكل Maserati في دبي</x:v>
      </x:c>
      <x:c r="J414" s="6" t="str">
        <x:v>إصلاح الهيكل Maserati في دبي</x:v>
      </x:c>
      <x:c r="K414" s="6" t="str">
        <x:v>إصلاح الهيكل متخصص لسيارات Maserati في دبي مع تشخيص متقدم وقطع مناسبة وتسعير واضح لدى مركز ديجي-تك.</x:v>
      </x:c>
      <x:c r="L414" s="6" t="str">
        <x:v>Retain pending evidence; no specific content edit justified by this export.</x:v>
      </x:c>
      <x:c r="M414" s="6" t="str">
        <x:v>Retain; inspect relevant context before adding links</x:v>
      </x:c>
      <x:c r="N414" s="6" t="str">
        <x:v>Unconfirmed — no query/page pairing</x:v>
      </x:c>
      <x:c r="O414" s="6" t="str">
        <x:v>Retain established booking / WhatsApp / call path; live behaviour untested</x:v>
      </x:c>
      <x:c r="P414" s="6" t="str">
        <x:v>Retain canonical and indexation policy pending a live check.</x:v>
      </x:c>
      <x:c r="Q414" s="6" t="str">
        <x:v>Proposed; no website change made</x:v>
      </x:c>
      <x:c r="R414" s="14" t="n">
        <x:v>0</x:v>
      </x:c>
      <x:c r="S414" s="14" t="n">
        <x:v>5</x:v>
      </x:c>
      <x:c r="T414" s="15" t="n">
        <x:v>0</x:v>
      </x:c>
      <x:c r="U414" s="16" t="n">
        <x:v>49.8</x:v>
      </x:c>
      <x:c r="V414" s="6" t="str">
        <x:v>https://digitecme.com/ar/brands/maserati-service-dubai/body-repair</x:v>
      </x:c>
      <x:c r="W414" s="6" t="str">
        <x:v>Indexable directive</x:v>
      </x:c>
      <x:c r="X414" s="6" t="n">
        <x:v>16</x:v>
      </x:c>
      <x:c r="Y414" s="6" t="str">
        <x:v>إصلاح الهيكل Maserati في دبي | ديجي-تك</x:v>
      </x:c>
      <x:c r="Z414" s="6" t="str"/>
      <x:c r="AA414" s="6" t="str">
        <x:v>No / not compared</x:v>
      </x:c>
    </x:row>
    <x:row r="415" ht="42" customHeight="1">
      <x:c r="A415" s="6" t="str">
        <x:v>https://digitecme.com/ar/brands/maserati-service-dubai/brake-repair</x:v>
      </x:c>
      <x:c r="B415" s="6" t="str"/>
      <x:c r="C415" s="6" t="str"/>
      <x:c r="D415" s="6" t="str">
        <x:v>brand-service</x:v>
      </x:c>
      <x:c r="E415" s="6" t="str">
        <x:v>Retain differentiated role</x:v>
      </x:c>
      <x:c r="F415" s="6" t="str">
        <x:v>Local source render; live version unverified</x:v>
      </x:c>
      <x:c r="G415" s="6" t="str">
        <x:v>إصلاح الفرامل Maserati في دبي | ديجي-تك</x:v>
      </x:c>
      <x:c r="H415" s="6" t="str">
        <x:v>إصلاح الفرامل Maserati في دبي | ديجي-تك</x:v>
      </x:c>
      <x:c r="I415" s="6" t="str">
        <x:v>إصلاح الفرامل Maserati في دبي</x:v>
      </x:c>
      <x:c r="J415" s="6" t="str">
        <x:v>إصلاح الفرامل Maserati في دبي</x:v>
      </x:c>
      <x:c r="K415" s="6" t="str">
        <x:v>إصلاح الفرامل متخصص لسيارات Maserati في دبي مع تشخيص متقدم وقطع مناسبة وتسعير واضح لدى مركز ديجي-تك.</x:v>
      </x:c>
      <x:c r="L415" s="6" t="str">
        <x:v>Retain pending evidence; no specific content edit justified by this export.</x:v>
      </x:c>
      <x:c r="M415" s="6" t="str">
        <x:v>Retain; inspect relevant context before adding links</x:v>
      </x:c>
      <x:c r="N415" s="6" t="str">
        <x:v>Unconfirmed — no query/page pairing</x:v>
      </x:c>
      <x:c r="O415" s="6" t="str">
        <x:v>Retain established booking / WhatsApp / call path; live behaviour untested</x:v>
      </x:c>
      <x:c r="P415" s="6" t="str">
        <x:v>Retain canonical and indexation policy pending a live check.</x:v>
      </x:c>
      <x:c r="Q415" s="6" t="str">
        <x:v>Proposed; no website change made</x:v>
      </x:c>
      <x:c r="R415" s="14"/>
      <x:c r="S415" s="14"/>
      <x:c r="T415" s="15"/>
      <x:c r="U415" s="16"/>
      <x:c r="V415" s="6" t="str">
        <x:v>https://digitecme.com/ar/brands/maserati-service-dubai/brake-repair</x:v>
      </x:c>
      <x:c r="W415" s="6" t="str">
        <x:v>Indexable directive</x:v>
      </x:c>
      <x:c r="X415" s="6" t="n">
        <x:v>16</x:v>
      </x:c>
      <x:c r="Y415" s="6" t="str">
        <x:v>إصلاح الفرامل Maserati في دبي | ديجي-تك</x:v>
      </x:c>
      <x:c r="Z415" s="6" t="str"/>
      <x:c r="AA415" s="6" t="str">
        <x:v>No / not compared</x:v>
      </x:c>
    </x:row>
    <x:row r="416" ht="42" customHeight="1">
      <x:c r="A416" s="6" t="str">
        <x:v>https://digitecme.com/ar/brands/maserati-service-dubai/electrical-repair</x:v>
      </x:c>
      <x:c r="B416" s="6" t="str"/>
      <x:c r="C416" s="6" t="str"/>
      <x:c r="D416" s="6" t="str">
        <x:v>brand-service</x:v>
      </x:c>
      <x:c r="E416" s="6" t="str">
        <x:v>Retain differentiated role</x:v>
      </x:c>
      <x:c r="F416" s="6" t="str">
        <x:v>Local source render; live version unverified</x:v>
      </x:c>
      <x:c r="G416" s="6" t="str">
        <x:v>إصلاح الكهرباء Maserati في دبي | ديجي-تك</x:v>
      </x:c>
      <x:c r="H416" s="6" t="str">
        <x:v>إصلاح الكهرباء Maserati في دبي | ديجي-تك</x:v>
      </x:c>
      <x:c r="I416" s="6" t="str">
        <x:v>إصلاح الكهرباء Maserati في دبي</x:v>
      </x:c>
      <x:c r="J416" s="6" t="str">
        <x:v>إصلاح الكهرباء Maserati في دبي</x:v>
      </x:c>
      <x:c r="K416" s="6" t="str">
        <x:v>إصلاح الكهرباء متخصص لسيارات Maserati في دبي مع تشخيص متقدم وقطع مناسبة وتسعير واضح لدى مركز ديجي-تك.</x:v>
      </x:c>
      <x:c r="L416" s="6" t="str">
        <x:v>Retain pending evidence; no specific content edit justified by this export.</x:v>
      </x:c>
      <x:c r="M416" s="6" t="str">
        <x:v>Retain; inspect relevant context before adding links</x:v>
      </x:c>
      <x:c r="N416" s="6" t="str">
        <x:v>Unconfirmed — no query/page pairing</x:v>
      </x:c>
      <x:c r="O416" s="6" t="str">
        <x:v>Retain established booking / WhatsApp / call path; live behaviour untested</x:v>
      </x:c>
      <x:c r="P416" s="6" t="str">
        <x:v>Retain canonical and indexation policy pending a live check.</x:v>
      </x:c>
      <x:c r="Q416" s="6" t="str">
        <x:v>Proposed; no website change made</x:v>
      </x:c>
      <x:c r="R416" s="14"/>
      <x:c r="S416" s="14"/>
      <x:c r="T416" s="15"/>
      <x:c r="U416" s="16"/>
      <x:c r="V416" s="6" t="str">
        <x:v>https://digitecme.com/ar/brands/maserati-service-dubai/electrical-repair</x:v>
      </x:c>
      <x:c r="W416" s="6" t="str">
        <x:v>Indexable directive</x:v>
      </x:c>
      <x:c r="X416" s="6" t="n">
        <x:v>16</x:v>
      </x:c>
      <x:c r="Y416" s="6" t="str">
        <x:v>إصلاح الكهرباء Maserati في دبي | ديجي-تك</x:v>
      </x:c>
      <x:c r="Z416" s="6" t="str"/>
      <x:c r="AA416" s="6" t="str">
        <x:v>No / not compared</x:v>
      </x:c>
    </x:row>
    <x:row r="417" ht="42" customHeight="1">
      <x:c r="A417" s="6" t="str">
        <x:v>https://digitecme.com/ar/brands/maserati-service-dubai/engine-diagnostics</x:v>
      </x:c>
      <x:c r="B417" s="6" t="str"/>
      <x:c r="C417" s="6" t="str"/>
      <x:c r="D417" s="6" t="str">
        <x:v>brand-service</x:v>
      </x:c>
      <x:c r="E417" s="6" t="str">
        <x:v>Retain differentiated role</x:v>
      </x:c>
      <x:c r="F417" s="6" t="str">
        <x:v>Local source render; live version unverified</x:v>
      </x:c>
      <x:c r="G417" s="6" t="str">
        <x:v>تشخيص المحرك Maserati في دبي | ديجي-تك</x:v>
      </x:c>
      <x:c r="H417" s="6" t="str">
        <x:v>تشخيص المحرك Maserati في دبي | ديجي-تك</x:v>
      </x:c>
      <x:c r="I417" s="6" t="str">
        <x:v>تشخيص المحرك Maserati في دبي</x:v>
      </x:c>
      <x:c r="J417" s="6" t="str">
        <x:v>تشخيص المحرك Maserati في دبي</x:v>
      </x:c>
      <x:c r="K417" s="6" t="str">
        <x:v>تشخيص المحرك متخصص لسيارات Maserati في دبي مع تشخيص متقدم وقطع مناسبة وتسعير واضح لدى مركز ديجي-تك.</x:v>
      </x:c>
      <x:c r="L417" s="6" t="str">
        <x:v>Retain pending evidence; no specific content edit justified by this export.</x:v>
      </x:c>
      <x:c r="M417" s="6" t="str">
        <x:v>Retain; inspect relevant context before adding links</x:v>
      </x:c>
      <x:c r="N417" s="6" t="str">
        <x:v>Unconfirmed — no query/page pairing</x:v>
      </x:c>
      <x:c r="O417" s="6" t="str">
        <x:v>Retain established booking / WhatsApp / call path; live behaviour untested</x:v>
      </x:c>
      <x:c r="P417" s="6" t="str">
        <x:v>Retain canonical and indexation policy pending a live check.</x:v>
      </x:c>
      <x:c r="Q417" s="6" t="str">
        <x:v>Proposed; no website change made</x:v>
      </x:c>
      <x:c r="R417" s="14"/>
      <x:c r="S417" s="14"/>
      <x:c r="T417" s="15"/>
      <x:c r="U417" s="16"/>
      <x:c r="V417" s="6" t="str">
        <x:v>https://digitecme.com/ar/brands/maserati-service-dubai/engine-diagnostics</x:v>
      </x:c>
      <x:c r="W417" s="6" t="str">
        <x:v>Indexable directive</x:v>
      </x:c>
      <x:c r="X417" s="6" t="n">
        <x:v>16</x:v>
      </x:c>
      <x:c r="Y417" s="6" t="str">
        <x:v>تشخيص المحرك Maserati في دبي | ديجي-تك</x:v>
      </x:c>
      <x:c r="Z417" s="6" t="str"/>
      <x:c r="AA417" s="6" t="str">
        <x:v>No / not compared</x:v>
      </x:c>
    </x:row>
    <x:row r="418" ht="42" customHeight="1">
      <x:c r="A418" s="6" t="str">
        <x:v>https://digitecme.com/ar/brands/maserati-service-dubai/exhaust-repair</x:v>
      </x:c>
      <x:c r="B418" s="6" t="str"/>
      <x:c r="C418" s="6" t="str"/>
      <x:c r="D418" s="6" t="str">
        <x:v>brand-service</x:v>
      </x:c>
      <x:c r="E418" s="6" t="str">
        <x:v>Retain differentiated role</x:v>
      </x:c>
      <x:c r="F418" s="6" t="str">
        <x:v>Local source render; live version unverified</x:v>
      </x:c>
      <x:c r="G418" s="6" t="str">
        <x:v>إصلاح العادم Maserati في دبي | ديجي-تك</x:v>
      </x:c>
      <x:c r="H418" s="6" t="str">
        <x:v>إصلاح العادم Maserati في دبي | ديجي-تك</x:v>
      </x:c>
      <x:c r="I418" s="6" t="str">
        <x:v>إصلاح العادم Maserati في دبي</x:v>
      </x:c>
      <x:c r="J418" s="6" t="str">
        <x:v>إصلاح العادم Maserati في دبي</x:v>
      </x:c>
      <x:c r="K418" s="6" t="str">
        <x:v>إصلاح العادم متخصص لسيارات Maserati في دبي مع تشخيص متقدم وقطع مناسبة وتسعير واضح لدى مركز ديجي-تك.</x:v>
      </x:c>
      <x:c r="L418" s="6" t="str">
        <x:v>Retain pending evidence; no specific content edit justified by this export.</x:v>
      </x:c>
      <x:c r="M418" s="6" t="str">
        <x:v>Retain; inspect relevant context before adding links</x:v>
      </x:c>
      <x:c r="N418" s="6" t="str">
        <x:v>Unconfirmed — no query/page pairing</x:v>
      </x:c>
      <x:c r="O418" s="6" t="str">
        <x:v>Retain established booking / WhatsApp / call path; live behaviour untested</x:v>
      </x:c>
      <x:c r="P418" s="6" t="str">
        <x:v>Retain canonical and indexation policy pending a live check.</x:v>
      </x:c>
      <x:c r="Q418" s="6" t="str">
        <x:v>Proposed; no website change made</x:v>
      </x:c>
      <x:c r="R418" s="14" t="n">
        <x:v>0</x:v>
      </x:c>
      <x:c r="S418" s="14" t="n">
        <x:v>1</x:v>
      </x:c>
      <x:c r="T418" s="15" t="n">
        <x:v>0</x:v>
      </x:c>
      <x:c r="U418" s="16" t="n">
        <x:v>91</x:v>
      </x:c>
      <x:c r="V418" s="6" t="str">
        <x:v>https://digitecme.com/ar/brands/maserati-service-dubai/exhaust-repair</x:v>
      </x:c>
      <x:c r="W418" s="6" t="str">
        <x:v>Indexable directive</x:v>
      </x:c>
      <x:c r="X418" s="6" t="n">
        <x:v>16</x:v>
      </x:c>
      <x:c r="Y418" s="6" t="str">
        <x:v>إصلاح العادم Maserati في دبي | ديجي-تك</x:v>
      </x:c>
      <x:c r="Z418" s="6" t="str"/>
      <x:c r="AA418" s="6" t="str">
        <x:v>No / not compared</x:v>
      </x:c>
    </x:row>
    <x:row r="419" ht="42" customHeight="1">
      <x:c r="A419" s="6" t="str">
        <x:v>https://digitecme.com/ar/brands/maserati-service-dubai/fuel-system-repair</x:v>
      </x:c>
      <x:c r="B419" s="6" t="str"/>
      <x:c r="C419" s="6" t="str"/>
      <x:c r="D419" s="6" t="str">
        <x:v>brand-service</x:v>
      </x:c>
      <x:c r="E419" s="6" t="str">
        <x:v>Retain differentiated role</x:v>
      </x:c>
      <x:c r="F419" s="6" t="str">
        <x:v>Local source render; live version unverified</x:v>
      </x:c>
      <x:c r="G419" s="6" t="str">
        <x:v>إصلاح نظام الوقود Maserati في دبي | ديجي-تك</x:v>
      </x:c>
      <x:c r="H419" s="6" t="str">
        <x:v>إصلاح نظام الوقود Maserati في دبي | ديجي-تك</x:v>
      </x:c>
      <x:c r="I419" s="6" t="str">
        <x:v>إصلاح نظام الوقود Maserati في دبي</x:v>
      </x:c>
      <x:c r="J419" s="6" t="str">
        <x:v>إصلاح نظام الوقود Maserati في دبي</x:v>
      </x:c>
      <x:c r="K419" s="6" t="str">
        <x:v>إصلاح نظام الوقود متخصص لسيارات Maserati في دبي مع تشخيص متقدم وقطع مناسبة وتسعير واضح لدى مركز ديجي-تك.</x:v>
      </x:c>
      <x:c r="L419" s="6" t="str">
        <x:v>Retain pending evidence; no specific content edit justified by this export.</x:v>
      </x:c>
      <x:c r="M419" s="6" t="str">
        <x:v>Retain; inspect relevant context before adding links</x:v>
      </x:c>
      <x:c r="N419" s="6" t="str">
        <x:v>Unconfirmed — no query/page pairing</x:v>
      </x:c>
      <x:c r="O419" s="6" t="str">
        <x:v>Retain established booking / WhatsApp / call path; live behaviour untested</x:v>
      </x:c>
      <x:c r="P419" s="6" t="str">
        <x:v>Retain canonical and indexation policy pending a live check.</x:v>
      </x:c>
      <x:c r="Q419" s="6" t="str">
        <x:v>Proposed; no website change made</x:v>
      </x:c>
      <x:c r="R419" s="14"/>
      <x:c r="S419" s="14"/>
      <x:c r="T419" s="15"/>
      <x:c r="U419" s="16"/>
      <x:c r="V419" s="6" t="str">
        <x:v>https://digitecme.com/ar/brands/maserati-service-dubai/fuel-system-repair</x:v>
      </x:c>
      <x:c r="W419" s="6" t="str">
        <x:v>Indexable directive</x:v>
      </x:c>
      <x:c r="X419" s="6" t="n">
        <x:v>16</x:v>
      </x:c>
      <x:c r="Y419" s="6" t="str">
        <x:v>إصلاح نظام الوقود Maserati في دبي | ديجي-تك</x:v>
      </x:c>
      <x:c r="Z419" s="6" t="str"/>
      <x:c r="AA419" s="6" t="str">
        <x:v>No / not compared</x:v>
      </x:c>
    </x:row>
    <x:row r="420" ht="42" customHeight="1">
      <x:c r="A420" s="6" t="str">
        <x:v>https://digitecme.com/ar/brands/maserati-service-dubai/mechanical-repair</x:v>
      </x:c>
      <x:c r="B420" s="6" t="str"/>
      <x:c r="C420" s="6" t="str"/>
      <x:c r="D420" s="6" t="str">
        <x:v>brand-service</x:v>
      </x:c>
      <x:c r="E420" s="6" t="str">
        <x:v>Retain differentiated role</x:v>
      </x:c>
      <x:c r="F420" s="6" t="str">
        <x:v>Local source render; live version unverified</x:v>
      </x:c>
      <x:c r="G420" s="6" t="str">
        <x:v>الإصلاح الميكانيكي Maserati في دبي | ديجي-تك</x:v>
      </x:c>
      <x:c r="H420" s="6" t="str">
        <x:v>الإصلاح الميكانيكي Maserati في دبي | ديجي-تك</x:v>
      </x:c>
      <x:c r="I420" s="6" t="str">
        <x:v>الإصلاح الميكانيكي Maserati في دبي</x:v>
      </x:c>
      <x:c r="J420" s="6" t="str">
        <x:v>الإصلاح الميكانيكي Maserati في دبي</x:v>
      </x:c>
      <x:c r="K420" s="6" t="str">
        <x:v>الإصلاح الميكانيكي متخصص لسيارات Maserati في دبي مع تشخيص متقدم وقطع مناسبة وتسعير واضح لدى مركز ديجي-تك.</x:v>
      </x:c>
      <x:c r="L420" s="6" t="str">
        <x:v>Retain pending evidence; no specific content edit justified by this export.</x:v>
      </x:c>
      <x:c r="M420" s="6" t="str">
        <x:v>Retain; inspect relevant context before adding links</x:v>
      </x:c>
      <x:c r="N420" s="6" t="str">
        <x:v>Unconfirmed — no query/page pairing</x:v>
      </x:c>
      <x:c r="O420" s="6" t="str">
        <x:v>Retain established booking / WhatsApp / call path; live behaviour untested</x:v>
      </x:c>
      <x:c r="P420" s="6" t="str">
        <x:v>Retain canonical and indexation policy pending a live check.</x:v>
      </x:c>
      <x:c r="Q420" s="6" t="str">
        <x:v>Proposed; no website change made</x:v>
      </x:c>
      <x:c r="R420" s="14" t="n">
        <x:v>0</x:v>
      </x:c>
      <x:c r="S420" s="14" t="n">
        <x:v>1</x:v>
      </x:c>
      <x:c r="T420" s="15" t="n">
        <x:v>0</x:v>
      </x:c>
      <x:c r="U420" s="16" t="n">
        <x:v>5</x:v>
      </x:c>
      <x:c r="V420" s="6" t="str">
        <x:v>https://digitecme.com/ar/brands/maserati-service-dubai/mechanical-repair</x:v>
      </x:c>
      <x:c r="W420" s="6" t="str">
        <x:v>Indexable directive</x:v>
      </x:c>
      <x:c r="X420" s="6" t="n">
        <x:v>16</x:v>
      </x:c>
      <x:c r="Y420" s="6" t="str">
        <x:v>الإصلاح الميكانيكي Maserati في دبي | ديجي-تك</x:v>
      </x:c>
      <x:c r="Z420" s="6" t="str"/>
      <x:c r="AA420" s="6" t="str">
        <x:v>No / not compared</x:v>
      </x:c>
    </x:row>
    <x:row r="421" ht="42" customHeight="1">
      <x:c r="A421" s="6" t="str">
        <x:v>https://digitecme.com/ar/brands/maserati-service-dubai/oil-change</x:v>
      </x:c>
      <x:c r="B421" s="6" t="str"/>
      <x:c r="C421" s="6" t="str"/>
      <x:c r="D421" s="6" t="str">
        <x:v>brand-service</x:v>
      </x:c>
      <x:c r="E421" s="6" t="str">
        <x:v>Retain differentiated role</x:v>
      </x:c>
      <x:c r="F421" s="6" t="str">
        <x:v>Local source render; live version unverified</x:v>
      </x:c>
      <x:c r="G421" s="6" t="str">
        <x:v>تغيير الزيت Maserati في دبي | ديجي-تك</x:v>
      </x:c>
      <x:c r="H421" s="6" t="str">
        <x:v>تغيير الزيت Maserati في دبي | ديجي-تك</x:v>
      </x:c>
      <x:c r="I421" s="6" t="str">
        <x:v>تغيير الزيت Maserati في دبي</x:v>
      </x:c>
      <x:c r="J421" s="6" t="str">
        <x:v>تغيير الزيت Maserati في دبي</x:v>
      </x:c>
      <x:c r="K421" s="6" t="str">
        <x:v>تغيير الزيت متخصص لسيارات Maserati في دبي مع تشخيص متقدم وقطع مناسبة وتسعير واضح لدى مركز ديجي-تك.</x:v>
      </x:c>
      <x:c r="L421" s="6" t="str">
        <x:v>Retain pending evidence; no specific content edit justified by this export.</x:v>
      </x:c>
      <x:c r="M421" s="6" t="str">
        <x:v>Retain; inspect relevant context before adding links</x:v>
      </x:c>
      <x:c r="N421" s="6" t="str">
        <x:v>Unconfirmed — no query/page pairing</x:v>
      </x:c>
      <x:c r="O421" s="6" t="str">
        <x:v>Retain established booking / WhatsApp / call path; live behaviour untested</x:v>
      </x:c>
      <x:c r="P421" s="6" t="str">
        <x:v>Retain canonical and indexation policy pending a live check.</x:v>
      </x:c>
      <x:c r="Q421" s="6" t="str">
        <x:v>Proposed; no website change made</x:v>
      </x:c>
      <x:c r="R421" s="14" t="n">
        <x:v>0</x:v>
      </x:c>
      <x:c r="S421" s="14" t="n">
        <x:v>2</x:v>
      </x:c>
      <x:c r="T421" s="15" t="n">
        <x:v>0</x:v>
      </x:c>
      <x:c r="U421" s="16" t="n">
        <x:v>8.5</x:v>
      </x:c>
      <x:c r="V421" s="6" t="str">
        <x:v>https://digitecme.com/ar/brands/maserati-service-dubai/oil-change</x:v>
      </x:c>
      <x:c r="W421" s="6" t="str">
        <x:v>Indexable directive</x:v>
      </x:c>
      <x:c r="X421" s="6" t="n">
        <x:v>16</x:v>
      </x:c>
      <x:c r="Y421" s="6" t="str">
        <x:v>تغيير الزيت Maserati في دبي | ديجي-تك</x:v>
      </x:c>
      <x:c r="Z421" s="6" t="str"/>
      <x:c r="AA421" s="6" t="str">
        <x:v>No / not compared</x:v>
      </x:c>
    </x:row>
    <x:row r="422" ht="42" customHeight="1">
      <x:c r="A422" s="6" t="str">
        <x:v>https://digitecme.com/ar/brands/maserati-service-dubai/steering-repair</x:v>
      </x:c>
      <x:c r="B422" s="6" t="str"/>
      <x:c r="C422" s="6" t="str"/>
      <x:c r="D422" s="6" t="str">
        <x:v>brand-service</x:v>
      </x:c>
      <x:c r="E422" s="6" t="str">
        <x:v>Retain differentiated role</x:v>
      </x:c>
      <x:c r="F422" s="6" t="str">
        <x:v>Local source render; live version unverified</x:v>
      </x:c>
      <x:c r="G422" s="6" t="str">
        <x:v>إصلاح نظام التوجيه Maserati في دبي | ديجي-تك</x:v>
      </x:c>
      <x:c r="H422" s="6" t="str">
        <x:v>إصلاح نظام التوجيه Maserati في دبي | ديجي-تك</x:v>
      </x:c>
      <x:c r="I422" s="6" t="str">
        <x:v>إصلاح نظام التوجيه Maserati في دبي</x:v>
      </x:c>
      <x:c r="J422" s="6" t="str">
        <x:v>إصلاح نظام التوجيه Maserati في دبي</x:v>
      </x:c>
      <x:c r="K422" s="6" t="str">
        <x:v>إصلاح نظام التوجيه متخصص لسيارات Maserati في دبي مع تشخيص متقدم وقطع مناسبة وتسعير واضح لدى مركز ديجي-تك.</x:v>
      </x:c>
      <x:c r="L422" s="6" t="str">
        <x:v>Retain pending evidence; no specific content edit justified by this export.</x:v>
      </x:c>
      <x:c r="M422" s="6" t="str">
        <x:v>Retain; inspect relevant context before adding links</x:v>
      </x:c>
      <x:c r="N422" s="6" t="str">
        <x:v>Unconfirmed — no query/page pairing</x:v>
      </x:c>
      <x:c r="O422" s="6" t="str">
        <x:v>Retain established booking / WhatsApp / call path; live behaviour untested</x:v>
      </x:c>
      <x:c r="P422" s="6" t="str">
        <x:v>Retain canonical and indexation policy pending a live check.</x:v>
      </x:c>
      <x:c r="Q422" s="6" t="str">
        <x:v>Proposed; no website change made</x:v>
      </x:c>
      <x:c r="R422" s="14"/>
      <x:c r="S422" s="14"/>
      <x:c r="T422" s="15"/>
      <x:c r="U422" s="16"/>
      <x:c r="V422" s="6" t="str">
        <x:v>https://digitecme.com/ar/brands/maserati-service-dubai/steering-repair</x:v>
      </x:c>
      <x:c r="W422" s="6" t="str">
        <x:v>Indexable directive</x:v>
      </x:c>
      <x:c r="X422" s="6" t="n">
        <x:v>16</x:v>
      </x:c>
      <x:c r="Y422" s="6" t="str">
        <x:v>إصلاح نظام التوجيه Maserati في دبي | ديجي-تك</x:v>
      </x:c>
      <x:c r="Z422" s="6" t="str"/>
      <x:c r="AA422" s="6" t="str">
        <x:v>No / not compared</x:v>
      </x:c>
    </x:row>
    <x:row r="423" ht="42" customHeight="1">
      <x:c r="A423" s="6" t="str">
        <x:v>https://digitecme.com/ar/brands/maserati-service-dubai/suspension-repair</x:v>
      </x:c>
      <x:c r="B423" s="6" t="str"/>
      <x:c r="C423" s="6" t="str"/>
      <x:c r="D423" s="6" t="str">
        <x:v>brand-service</x:v>
      </x:c>
      <x:c r="E423" s="6" t="str">
        <x:v>Retain differentiated role</x:v>
      </x:c>
      <x:c r="F423" s="6" t="str">
        <x:v>Local source render; live version unverified</x:v>
      </x:c>
      <x:c r="G423" s="6" t="str">
        <x:v>إصلاح التعليق Maserati في دبي | ديجي-تك</x:v>
      </x:c>
      <x:c r="H423" s="6" t="str">
        <x:v>إصلاح التعليق Maserati في دبي | ديجي-تك</x:v>
      </x:c>
      <x:c r="I423" s="6" t="str">
        <x:v>إصلاح التعليق Maserati في دبي</x:v>
      </x:c>
      <x:c r="J423" s="6" t="str">
        <x:v>إصلاح التعليق Maserati في دبي</x:v>
      </x:c>
      <x:c r="K423" s="6" t="str">
        <x:v>إصلاح التعليق متخصص لسيارات Maserati في دبي مع تشخيص متقدم وقطع مناسبة وتسعير واضح لدى مركز ديجي-تك.</x:v>
      </x:c>
      <x:c r="L423" s="6" t="str">
        <x:v>Retain pending evidence; no specific content edit justified by this export.</x:v>
      </x:c>
      <x:c r="M423" s="6" t="str">
        <x:v>Retain; inspect relevant context before adding links</x:v>
      </x:c>
      <x:c r="N423" s="6" t="str">
        <x:v>Unconfirmed — no query/page pairing</x:v>
      </x:c>
      <x:c r="O423" s="6" t="str">
        <x:v>Retain established booking / WhatsApp / call path; live behaviour untested</x:v>
      </x:c>
      <x:c r="P423" s="6" t="str">
        <x:v>Retain canonical and indexation policy pending a live check.</x:v>
      </x:c>
      <x:c r="Q423" s="6" t="str">
        <x:v>Proposed; no website change made</x:v>
      </x:c>
      <x:c r="R423" s="14"/>
      <x:c r="S423" s="14"/>
      <x:c r="T423" s="15"/>
      <x:c r="U423" s="16"/>
      <x:c r="V423" s="6" t="str">
        <x:v>https://digitecme.com/ar/brands/maserati-service-dubai/suspension-repair</x:v>
      </x:c>
      <x:c r="W423" s="6" t="str">
        <x:v>Indexable directive</x:v>
      </x:c>
      <x:c r="X423" s="6" t="n">
        <x:v>16</x:v>
      </x:c>
      <x:c r="Y423" s="6" t="str">
        <x:v>إصلاح التعليق Maserati في دبي | ديجي-تك</x:v>
      </x:c>
      <x:c r="Z423" s="6" t="str"/>
      <x:c r="AA423" s="6" t="str">
        <x:v>No / not compared</x:v>
      </x:c>
    </x:row>
    <x:row r="424" ht="42" customHeight="1">
      <x:c r="A424" s="6" t="str">
        <x:v>https://digitecme.com/ar/brands/maserati-service-dubai/tire-repair</x:v>
      </x:c>
      <x:c r="B424" s="6" t="str"/>
      <x:c r="C424" s="6" t="str"/>
      <x:c r="D424" s="6" t="str">
        <x:v>brand-service</x:v>
      </x:c>
      <x:c r="E424" s="6" t="str">
        <x:v>Retain differentiated role</x:v>
      </x:c>
      <x:c r="F424" s="6" t="str">
        <x:v>Local source render; live version unverified</x:v>
      </x:c>
      <x:c r="G424" s="6" t="str">
        <x:v>إصلاح الإطارات Maserati في دبي | ديجي-تك</x:v>
      </x:c>
      <x:c r="H424" s="6" t="str">
        <x:v>إصلاح الإطارات Maserati في دبي | ديجي-تك</x:v>
      </x:c>
      <x:c r="I424" s="6" t="str">
        <x:v>إصلاح الإطارات Maserati في دبي</x:v>
      </x:c>
      <x:c r="J424" s="6" t="str">
        <x:v>إصلاح الإطارات Maserati في دبي</x:v>
      </x:c>
      <x:c r="K424" s="6" t="str">
        <x:v>إصلاح الإطارات متخصص لسيارات Maserati في دبي مع تشخيص متقدم وقطع مناسبة وتسعير واضح لدى مركز ديجي-تك.</x:v>
      </x:c>
      <x:c r="L424" s="6" t="str">
        <x:v>Retain pending evidence; no specific content edit justified by this export.</x:v>
      </x:c>
      <x:c r="M424" s="6" t="str">
        <x:v>Retain; inspect relevant context before adding links</x:v>
      </x:c>
      <x:c r="N424" s="6" t="str">
        <x:v>Unconfirmed — no query/page pairing</x:v>
      </x:c>
      <x:c r="O424" s="6" t="str">
        <x:v>Retain established booking / WhatsApp / call path; live behaviour untested</x:v>
      </x:c>
      <x:c r="P424" s="6" t="str">
        <x:v>Retain canonical and indexation policy pending a live check.</x:v>
      </x:c>
      <x:c r="Q424" s="6" t="str">
        <x:v>Proposed; no website change made</x:v>
      </x:c>
      <x:c r="R424" s="14"/>
      <x:c r="S424" s="14"/>
      <x:c r="T424" s="15"/>
      <x:c r="U424" s="16"/>
      <x:c r="V424" s="6" t="str">
        <x:v>https://digitecme.com/ar/brands/maserati-service-dubai/tire-repair</x:v>
      </x:c>
      <x:c r="W424" s="6" t="str">
        <x:v>Indexable directive</x:v>
      </x:c>
      <x:c r="X424" s="6" t="n">
        <x:v>16</x:v>
      </x:c>
      <x:c r="Y424" s="6" t="str">
        <x:v>إصلاح الإطارات Maserati في دبي | ديجي-تك</x:v>
      </x:c>
      <x:c r="Z424" s="6" t="str"/>
      <x:c r="AA424" s="6" t="str">
        <x:v>No / not compared</x:v>
      </x:c>
    </x:row>
    <x:row r="425" ht="42" customHeight="1">
      <x:c r="A425" s="6" t="str">
        <x:v>https://digitecme.com/ar/brands/maserati-service-dubai/transmission-repair</x:v>
      </x:c>
      <x:c r="B425" s="6" t="str"/>
      <x:c r="C425" s="6" t="str"/>
      <x:c r="D425" s="6" t="str">
        <x:v>brand-service</x:v>
      </x:c>
      <x:c r="E425" s="6" t="str">
        <x:v>Retain differentiated role</x:v>
      </x:c>
      <x:c r="F425" s="6" t="str">
        <x:v>Local source render; live version unverified</x:v>
      </x:c>
      <x:c r="G425" s="6" t="str">
        <x:v>إصلاح ناقل الحركة Maserati في دبي | ديجي-تك</x:v>
      </x:c>
      <x:c r="H425" s="6" t="str">
        <x:v>إصلاح ناقل الحركة Maserati في دبي | ديجي-تك</x:v>
      </x:c>
      <x:c r="I425" s="6" t="str">
        <x:v>إصلاح ناقل الحركة Maserati في دبي</x:v>
      </x:c>
      <x:c r="J425" s="6" t="str">
        <x:v>إصلاح ناقل الحركة Maserati في دبي</x:v>
      </x:c>
      <x:c r="K425" s="6" t="str">
        <x:v>إصلاح ناقل الحركة متخصص لسيارات Maserati في دبي مع تشخيص متقدم وقطع مناسبة وتسعير واضح لدى مركز ديجي-تك.</x:v>
      </x:c>
      <x:c r="L425" s="6" t="str">
        <x:v>Retain pending evidence; no specific content edit justified by this export.</x:v>
      </x:c>
      <x:c r="M425" s="6" t="str">
        <x:v>Retain; inspect relevant context before adding links</x:v>
      </x:c>
      <x:c r="N425" s="6" t="str">
        <x:v>Unconfirmed — no query/page pairing</x:v>
      </x:c>
      <x:c r="O425" s="6" t="str">
        <x:v>Retain established booking / WhatsApp / call path; live behaviour untested</x:v>
      </x:c>
      <x:c r="P425" s="6" t="str">
        <x:v>Retain canonical and indexation policy pending a live check.</x:v>
      </x:c>
      <x:c r="Q425" s="6" t="str">
        <x:v>Proposed; no website change made</x:v>
      </x:c>
      <x:c r="R425" s="14"/>
      <x:c r="S425" s="14"/>
      <x:c r="T425" s="15"/>
      <x:c r="U425" s="16"/>
      <x:c r="V425" s="6" t="str">
        <x:v>https://digitecme.com/ar/brands/maserati-service-dubai/transmission-repair</x:v>
      </x:c>
      <x:c r="W425" s="6" t="str">
        <x:v>Indexable directive</x:v>
      </x:c>
      <x:c r="X425" s="6" t="n">
        <x:v>16</x:v>
      </x:c>
      <x:c r="Y425" s="6" t="str">
        <x:v>إصلاح ناقل الحركة Maserati في دبي | ديجي-تك</x:v>
      </x:c>
      <x:c r="Z425" s="6" t="str"/>
      <x:c r="AA425" s="6" t="str">
        <x:v>No / not compared</x:v>
      </x:c>
    </x:row>
    <x:row r="426" ht="42" customHeight="1">
      <x:c r="A426" s="6" t="str">
        <x:v>https://digitecme.com/ar/brands/maybach-service-dubai</x:v>
      </x:c>
      <x:c r="B426" s="6" t="str"/>
      <x:c r="C426" s="6" t="str"/>
      <x:c r="D426" s="6" t="str">
        <x:v>brand</x:v>
      </x:c>
      <x:c r="E426" s="6" t="str">
        <x:v>Retain differentiated role</x:v>
      </x:c>
      <x:c r="F426" s="6" t="str">
        <x:v>Local source render; live version unverified</x:v>
      </x:c>
      <x:c r="G426" s="6" t="str">
        <x:v>إصلاح وصيانة Maybach في دبي | مركز ديجي-تك</x:v>
      </x:c>
      <x:c r="H426" s="6" t="str">
        <x:v>إصلاح وصيانة Maybach في دبي | مركز ديجي-تك</x:v>
      </x:c>
      <x:c r="I426" s="6" t="str">
        <x:v>Maybach للإصلاح والصيانة في دبي</x:v>
      </x:c>
      <x:c r="J426" s="6" t="str">
        <x:v>Maybach للإصلاح والصيانة في دبي</x:v>
      </x:c>
      <x:c r="K426" s="6" t="str">
        <x:v>إصلاح وصيانة Maybach في دبي: تشخيص وصيانة وفرامل وناقل حركة وتعليق وتكييف مع قطع بالمواصفات المناسبة لدى مركز ديجي-تك.</x:v>
      </x:c>
      <x:c r="L426" s="6" t="str">
        <x:v>Retain pending evidence; no specific content edit justified by this export.</x:v>
      </x:c>
      <x:c r="M426" s="6" t="str">
        <x:v>Retain; inspect relevant context before adding links</x:v>
      </x:c>
      <x:c r="N426" s="6" t="str">
        <x:v>Unconfirmed — no query/page pairing</x:v>
      </x:c>
      <x:c r="O426" s="6" t="str">
        <x:v>Retain established booking / WhatsApp / call path; live behaviour untested</x:v>
      </x:c>
      <x:c r="P426" s="6" t="str">
        <x:v>Retain canonical and indexation policy pending a live check.</x:v>
      </x:c>
      <x:c r="Q426" s="6" t="str">
        <x:v>Proposed; no website change made</x:v>
      </x:c>
      <x:c r="R426" s="14"/>
      <x:c r="S426" s="14"/>
      <x:c r="T426" s="15"/>
      <x:c r="U426" s="16"/>
      <x:c r="V426" s="6" t="str">
        <x:v>https://digitecme.com/ar/brands/maybach-service-dubai</x:v>
      </x:c>
      <x:c r="W426" s="6" t="str">
        <x:v>Indexable directive</x:v>
      </x:c>
      <x:c r="X426" s="6" t="n">
        <x:v>86</x:v>
      </x:c>
      <x:c r="Y426" s="6" t="str">
        <x:v>إصلاح وصيانة Maybach في دبي | مركز ديجي-تك</x:v>
      </x:c>
      <x:c r="Z426" s="6" t="str"/>
      <x:c r="AA426" s="6" t="str">
        <x:v>No / not compared</x:v>
      </x:c>
    </x:row>
    <x:row r="427" ht="42" customHeight="1">
      <x:c r="A427" s="6" t="str">
        <x:v>https://digitecme.com/ar/brands/maybach-service-dubai/ac-repair</x:v>
      </x:c>
      <x:c r="B427" s="6" t="str"/>
      <x:c r="C427" s="6" t="str"/>
      <x:c r="D427" s="6" t="str">
        <x:v>brand-service</x:v>
      </x:c>
      <x:c r="E427" s="6" t="str">
        <x:v>Retain differentiated role</x:v>
      </x:c>
      <x:c r="F427" s="6" t="str">
        <x:v>Local source render; live version unverified</x:v>
      </x:c>
      <x:c r="G427" s="6" t="str">
        <x:v>إصلاح التكييف Mercedes-Maybach في دبي | ديجي-تك</x:v>
      </x:c>
      <x:c r="H427" s="6" t="str">
        <x:v>إصلاح التكييف Mercedes-Maybach في دبي | ديجي-تك</x:v>
      </x:c>
      <x:c r="I427" s="6" t="str">
        <x:v>إصلاح التكييف Mercedes-Maybach في دبي</x:v>
      </x:c>
      <x:c r="J427" s="6" t="str">
        <x:v>إصلاح التكييف Mercedes-Maybach في دبي</x:v>
      </x:c>
      <x:c r="K427" s="6" t="str">
        <x:v>إصلاح التكييف متخصص لسيارات Mercedes-Maybach في دبي مع تشخيص متقدم وقطع مناسبة وتسعير واضح لدى مركز ديجي-تك.</x:v>
      </x:c>
      <x:c r="L427" s="6" t="str">
        <x:v>Retain pending evidence; no specific content edit justified by this export.</x:v>
      </x:c>
      <x:c r="M427" s="6" t="str">
        <x:v>Retain; inspect relevant context before adding links</x:v>
      </x:c>
      <x:c r="N427" s="6" t="str">
        <x:v>Unconfirmed — no query/page pairing</x:v>
      </x:c>
      <x:c r="O427" s="6" t="str">
        <x:v>Retain established booking / WhatsApp / call path; live behaviour untested</x:v>
      </x:c>
      <x:c r="P427" s="6" t="str">
        <x:v>Retain canonical and indexation policy pending a live check.</x:v>
      </x:c>
      <x:c r="Q427" s="6" t="str">
        <x:v>Proposed; no website change made</x:v>
      </x:c>
      <x:c r="R427" s="14"/>
      <x:c r="S427" s="14"/>
      <x:c r="T427" s="15"/>
      <x:c r="U427" s="16"/>
      <x:c r="V427" s="6" t="str">
        <x:v>https://digitecme.com/ar/brands/maybach-service-dubai/ac-repair</x:v>
      </x:c>
      <x:c r="W427" s="6" t="str">
        <x:v>Indexable directive</x:v>
      </x:c>
      <x:c r="X427" s="6" t="n">
        <x:v>16</x:v>
      </x:c>
      <x:c r="Y427" s="6" t="str">
        <x:v>إصلاح التكييف Mercedes-Maybach في دبي | ديجي-تك</x:v>
      </x:c>
      <x:c r="Z427" s="6" t="str"/>
      <x:c r="AA427" s="6" t="str">
        <x:v>No / not compared</x:v>
      </x:c>
    </x:row>
    <x:row r="428" ht="42" customHeight="1">
      <x:c r="A428" s="6" t="str">
        <x:v>https://digitecme.com/ar/brands/maybach-service-dubai/battery-replacement</x:v>
      </x:c>
      <x:c r="B428" s="6" t="str"/>
      <x:c r="C428" s="6" t="str"/>
      <x:c r="D428" s="6" t="str">
        <x:v>brand-service</x:v>
      </x:c>
      <x:c r="E428" s="6" t="str">
        <x:v>Retain differentiated role</x:v>
      </x:c>
      <x:c r="F428" s="6" t="str">
        <x:v>Local source render; live version unverified</x:v>
      </x:c>
      <x:c r="G428" s="6" t="str">
        <x:v>تبديل البطارية Mercedes-Maybach في دبي | ديجي-تك</x:v>
      </x:c>
      <x:c r="H428" s="6" t="str">
        <x:v>تبديل البطارية Mercedes-Maybach في دبي | ديجي-تك</x:v>
      </x:c>
      <x:c r="I428" s="6" t="str">
        <x:v>تبديل البطارية Mercedes-Maybach في دبي</x:v>
      </x:c>
      <x:c r="J428" s="6" t="str">
        <x:v>تبديل البطارية Mercedes-Maybach في دبي</x:v>
      </x:c>
      <x:c r="K428" s="6" t="str">
        <x:v>تبديل البطارية متخصص لسيارات Mercedes-Maybach في دبي مع تشخيص متقدم وقطع مناسبة وتسعير واضح لدى مركز ديجي-تك.</x:v>
      </x:c>
      <x:c r="L428" s="6" t="str">
        <x:v>Retain pending evidence; no specific content edit justified by this export.</x:v>
      </x:c>
      <x:c r="M428" s="6" t="str">
        <x:v>Retain; inspect relevant context before adding links</x:v>
      </x:c>
      <x:c r="N428" s="6" t="str">
        <x:v>Unconfirmed — no query/page pairing</x:v>
      </x:c>
      <x:c r="O428" s="6" t="str">
        <x:v>Retain established booking / WhatsApp / call path; live behaviour untested</x:v>
      </x:c>
      <x:c r="P428" s="6" t="str">
        <x:v>Retain canonical and indexation policy pending a live check.</x:v>
      </x:c>
      <x:c r="Q428" s="6" t="str">
        <x:v>Proposed; no website change made</x:v>
      </x:c>
      <x:c r="R428" s="14"/>
      <x:c r="S428" s="14"/>
      <x:c r="T428" s="15"/>
      <x:c r="U428" s="16"/>
      <x:c r="V428" s="6" t="str">
        <x:v>https://digitecme.com/ar/brands/maybach-service-dubai/battery-replacement</x:v>
      </x:c>
      <x:c r="W428" s="6" t="str">
        <x:v>Indexable directive</x:v>
      </x:c>
      <x:c r="X428" s="6" t="n">
        <x:v>16</x:v>
      </x:c>
      <x:c r="Y428" s="6" t="str">
        <x:v>تبديل البطارية Mercedes-Maybach في دبي | ديجي-تك</x:v>
      </x:c>
      <x:c r="Z428" s="6" t="str"/>
      <x:c r="AA428" s="6" t="str">
        <x:v>No / not compared</x:v>
      </x:c>
    </x:row>
    <x:row r="429" ht="42" customHeight="1">
      <x:c r="A429" s="6" t="str">
        <x:v>https://digitecme.com/ar/brands/maybach-service-dubai/body-repair</x:v>
      </x:c>
      <x:c r="B429" s="6" t="str"/>
      <x:c r="C429" s="6" t="str"/>
      <x:c r="D429" s="6" t="str">
        <x:v>brand-service</x:v>
      </x:c>
      <x:c r="E429" s="6" t="str">
        <x:v>Retain differentiated role</x:v>
      </x:c>
      <x:c r="F429" s="6" t="str">
        <x:v>Local source render; live version unverified</x:v>
      </x:c>
      <x:c r="G429" s="6" t="str">
        <x:v>إصلاح الهيكل Mercedes-Maybach في دبي | ديجي-تك</x:v>
      </x:c>
      <x:c r="H429" s="6" t="str">
        <x:v>إصلاح الهيكل Mercedes-Maybach في دبي | ديجي-تك</x:v>
      </x:c>
      <x:c r="I429" s="6" t="str">
        <x:v>إصلاح الهيكل Mercedes-Maybach في دبي</x:v>
      </x:c>
      <x:c r="J429" s="6" t="str">
        <x:v>إصلاح الهيكل Mercedes-Maybach في دبي</x:v>
      </x:c>
      <x:c r="K429" s="6" t="str">
        <x:v>إصلاح الهيكل متخصص لسيارات Mercedes-Maybach في دبي مع تشخيص متقدم وقطع مناسبة وتسعير واضح لدى مركز ديجي-تك.</x:v>
      </x:c>
      <x:c r="L429" s="6" t="str">
        <x:v>Retain pending evidence; no specific content edit justified by this export.</x:v>
      </x:c>
      <x:c r="M429" s="6" t="str">
        <x:v>Retain; inspect relevant context before adding links</x:v>
      </x:c>
      <x:c r="N429" s="6" t="str">
        <x:v>Unconfirmed — no query/page pairing</x:v>
      </x:c>
      <x:c r="O429" s="6" t="str">
        <x:v>Retain established booking / WhatsApp / call path; live behaviour untested</x:v>
      </x:c>
      <x:c r="P429" s="6" t="str">
        <x:v>Retain canonical and indexation policy pending a live check.</x:v>
      </x:c>
      <x:c r="Q429" s="6" t="str">
        <x:v>Proposed; no website change made</x:v>
      </x:c>
      <x:c r="R429" s="14"/>
      <x:c r="S429" s="14"/>
      <x:c r="T429" s="15"/>
      <x:c r="U429" s="16"/>
      <x:c r="V429" s="6" t="str">
        <x:v>https://digitecme.com/ar/brands/maybach-service-dubai/body-repair</x:v>
      </x:c>
      <x:c r="W429" s="6" t="str">
        <x:v>Indexable directive</x:v>
      </x:c>
      <x:c r="X429" s="6" t="n">
        <x:v>16</x:v>
      </x:c>
      <x:c r="Y429" s="6" t="str">
        <x:v>إصلاح الهيكل Mercedes-Maybach في دبي | ديجي-تك</x:v>
      </x:c>
      <x:c r="Z429" s="6" t="str"/>
      <x:c r="AA429" s="6" t="str">
        <x:v>No / not compared</x:v>
      </x:c>
    </x:row>
    <x:row r="430" ht="42" customHeight="1">
      <x:c r="A430" s="6" t="str">
        <x:v>https://digitecme.com/ar/brands/maybach-service-dubai/brake-repair</x:v>
      </x:c>
      <x:c r="B430" s="6" t="str"/>
      <x:c r="C430" s="6" t="str"/>
      <x:c r="D430" s="6" t="str">
        <x:v>brand-service</x:v>
      </x:c>
      <x:c r="E430" s="6" t="str">
        <x:v>Retain differentiated role</x:v>
      </x:c>
      <x:c r="F430" s="6" t="str">
        <x:v>Local source render; live version unverified</x:v>
      </x:c>
      <x:c r="G430" s="6" t="str">
        <x:v>إصلاح الفرامل Mercedes-Maybach في دبي | ديجي-تك</x:v>
      </x:c>
      <x:c r="H430" s="6" t="str">
        <x:v>إصلاح الفرامل Mercedes-Maybach في دبي | ديجي-تك</x:v>
      </x:c>
      <x:c r="I430" s="6" t="str">
        <x:v>إصلاح الفرامل Mercedes-Maybach في دبي</x:v>
      </x:c>
      <x:c r="J430" s="6" t="str">
        <x:v>إصلاح الفرامل Mercedes-Maybach في دبي</x:v>
      </x:c>
      <x:c r="K430" s="6" t="str">
        <x:v>إصلاح الفرامل متخصص لسيارات Mercedes-Maybach في دبي مع تشخيص متقدم وقطع مناسبة وتسعير واضح لدى مركز ديجي-تك.</x:v>
      </x:c>
      <x:c r="L430" s="6" t="str">
        <x:v>Retain pending evidence; no specific content edit justified by this export.</x:v>
      </x:c>
      <x:c r="M430" s="6" t="str">
        <x:v>Retain; inspect relevant context before adding links</x:v>
      </x:c>
      <x:c r="N430" s="6" t="str">
        <x:v>Unconfirmed — no query/page pairing</x:v>
      </x:c>
      <x:c r="O430" s="6" t="str">
        <x:v>Retain established booking / WhatsApp / call path; live behaviour untested</x:v>
      </x:c>
      <x:c r="P430" s="6" t="str">
        <x:v>Retain canonical and indexation policy pending a live check.</x:v>
      </x:c>
      <x:c r="Q430" s="6" t="str">
        <x:v>Proposed; no website change made</x:v>
      </x:c>
      <x:c r="R430" s="14" t="n">
        <x:v>0</x:v>
      </x:c>
      <x:c r="S430" s="14" t="n">
        <x:v>1</x:v>
      </x:c>
      <x:c r="T430" s="15" t="n">
        <x:v>0</x:v>
      </x:c>
      <x:c r="U430" s="16" t="n">
        <x:v>36</x:v>
      </x:c>
      <x:c r="V430" s="6" t="str">
        <x:v>https://digitecme.com/ar/brands/maybach-service-dubai/brake-repair</x:v>
      </x:c>
      <x:c r="W430" s="6" t="str">
        <x:v>Indexable directive</x:v>
      </x:c>
      <x:c r="X430" s="6" t="n">
        <x:v>16</x:v>
      </x:c>
      <x:c r="Y430" s="6" t="str">
        <x:v>إصلاح الفرامل Mercedes-Maybach في دبي | ديجي-تك</x:v>
      </x:c>
      <x:c r="Z430" s="6" t="str"/>
      <x:c r="AA430" s="6" t="str">
        <x:v>No / not compared</x:v>
      </x:c>
    </x:row>
    <x:row r="431" ht="42" customHeight="1">
      <x:c r="A431" s="6" t="str">
        <x:v>https://digitecme.com/ar/brands/maybach-service-dubai/electrical-repair</x:v>
      </x:c>
      <x:c r="B431" s="6" t="str"/>
      <x:c r="C431" s="6" t="str"/>
      <x:c r="D431" s="6" t="str">
        <x:v>brand-service</x:v>
      </x:c>
      <x:c r="E431" s="6" t="str">
        <x:v>Retain differentiated role</x:v>
      </x:c>
      <x:c r="F431" s="6" t="str">
        <x:v>Local source render; live version unverified</x:v>
      </x:c>
      <x:c r="G431" s="6" t="str">
        <x:v>إصلاح الكهرباء Mercedes-Maybach في دبي | ديجي-تك</x:v>
      </x:c>
      <x:c r="H431" s="6" t="str">
        <x:v>إصلاح الكهرباء Mercedes-Maybach في دبي | ديجي-تك</x:v>
      </x:c>
      <x:c r="I431" s="6" t="str">
        <x:v>إصلاح الكهرباء Mercedes-Maybach في دبي</x:v>
      </x:c>
      <x:c r="J431" s="6" t="str">
        <x:v>إصلاح الكهرباء Mercedes-Maybach في دبي</x:v>
      </x:c>
      <x:c r="K431" s="6" t="str">
        <x:v>إصلاح الكهرباء متخصص لسيارات Mercedes-Maybach في دبي مع تشخيص متقدم وقطع مناسبة وتسعير واضح لدى مركز ديجي-تك.</x:v>
      </x:c>
      <x:c r="L431" s="6" t="str">
        <x:v>Retain pending evidence; no specific content edit justified by this export.</x:v>
      </x:c>
      <x:c r="M431" s="6" t="str">
        <x:v>Retain; inspect relevant context before adding links</x:v>
      </x:c>
      <x:c r="N431" s="6" t="str">
        <x:v>Unconfirmed — no query/page pairing</x:v>
      </x:c>
      <x:c r="O431" s="6" t="str">
        <x:v>Retain established booking / WhatsApp / call path; live behaviour untested</x:v>
      </x:c>
      <x:c r="P431" s="6" t="str">
        <x:v>Retain canonical and indexation policy pending a live check.</x:v>
      </x:c>
      <x:c r="Q431" s="6" t="str">
        <x:v>Proposed; no website change made</x:v>
      </x:c>
      <x:c r="R431" s="14" t="n">
        <x:v>0</x:v>
      </x:c>
      <x:c r="S431" s="14" t="n">
        <x:v>1</x:v>
      </x:c>
      <x:c r="T431" s="15" t="n">
        <x:v>0</x:v>
      </x:c>
      <x:c r="U431" s="16" t="n">
        <x:v>2</x:v>
      </x:c>
      <x:c r="V431" s="6" t="str">
        <x:v>https://digitecme.com/ar/brands/maybach-service-dubai/electrical-repair</x:v>
      </x:c>
      <x:c r="W431" s="6" t="str">
        <x:v>Indexable directive</x:v>
      </x:c>
      <x:c r="X431" s="6" t="n">
        <x:v>16</x:v>
      </x:c>
      <x:c r="Y431" s="6" t="str">
        <x:v>إصلاح الكهرباء Mercedes-Maybach في دبي | ديجي-تك</x:v>
      </x:c>
      <x:c r="Z431" s="6" t="str"/>
      <x:c r="AA431" s="6" t="str">
        <x:v>No / not compared</x:v>
      </x:c>
    </x:row>
    <x:row r="432" ht="42" customHeight="1">
      <x:c r="A432" s="6" t="str">
        <x:v>https://digitecme.com/ar/brands/maybach-service-dubai/engine-diagnostics</x:v>
      </x:c>
      <x:c r="B432" s="6" t="str"/>
      <x:c r="C432" s="6" t="str"/>
      <x:c r="D432" s="6" t="str">
        <x:v>brand-service</x:v>
      </x:c>
      <x:c r="E432" s="6" t="str">
        <x:v>Retain differentiated role</x:v>
      </x:c>
      <x:c r="F432" s="6" t="str">
        <x:v>Local source render; live version unverified</x:v>
      </x:c>
      <x:c r="G432" s="6" t="str">
        <x:v>تشخيص المحرك Mercedes-Maybach في دبي | ديجي-تك</x:v>
      </x:c>
      <x:c r="H432" s="6" t="str">
        <x:v>تشخيص المحرك Mercedes-Maybach في دبي | ديجي-تك</x:v>
      </x:c>
      <x:c r="I432" s="6" t="str">
        <x:v>تشخيص المحرك Mercedes-Maybach في دبي</x:v>
      </x:c>
      <x:c r="J432" s="6" t="str">
        <x:v>تشخيص المحرك Mercedes-Maybach في دبي</x:v>
      </x:c>
      <x:c r="K432" s="6" t="str">
        <x:v>تشخيص المحرك متخصص لسيارات Mercedes-Maybach في دبي مع تشخيص متقدم وقطع مناسبة وتسعير واضح لدى مركز ديجي-تك.</x:v>
      </x:c>
      <x:c r="L432" s="6" t="str">
        <x:v>Retain pending evidence; no specific content edit justified by this export.</x:v>
      </x:c>
      <x:c r="M432" s="6" t="str">
        <x:v>Retain; inspect relevant context before adding links</x:v>
      </x:c>
      <x:c r="N432" s="6" t="str">
        <x:v>Unconfirmed — no query/page pairing</x:v>
      </x:c>
      <x:c r="O432" s="6" t="str">
        <x:v>Retain established booking / WhatsApp / call path; live behaviour untested</x:v>
      </x:c>
      <x:c r="P432" s="6" t="str">
        <x:v>Retain canonical and indexation policy pending a live check.</x:v>
      </x:c>
      <x:c r="Q432" s="6" t="str">
        <x:v>Proposed; no website change made</x:v>
      </x:c>
      <x:c r="R432" s="14"/>
      <x:c r="S432" s="14"/>
      <x:c r="T432" s="15"/>
      <x:c r="U432" s="16"/>
      <x:c r="V432" s="6" t="str">
        <x:v>https://digitecme.com/ar/brands/maybach-service-dubai/engine-diagnostics</x:v>
      </x:c>
      <x:c r="W432" s="6" t="str">
        <x:v>Indexable directive</x:v>
      </x:c>
      <x:c r="X432" s="6" t="n">
        <x:v>16</x:v>
      </x:c>
      <x:c r="Y432" s="6" t="str">
        <x:v>تشخيص المحرك Mercedes-Maybach في دبي | ديجي-تك</x:v>
      </x:c>
      <x:c r="Z432" s="6" t="str"/>
      <x:c r="AA432" s="6" t="str">
        <x:v>No / not compared</x:v>
      </x:c>
    </x:row>
    <x:row r="433" ht="42" customHeight="1">
      <x:c r="A433" s="6" t="str">
        <x:v>https://digitecme.com/ar/brands/maybach-service-dubai/exhaust-repair</x:v>
      </x:c>
      <x:c r="B433" s="6" t="str"/>
      <x:c r="C433" s="6" t="str"/>
      <x:c r="D433" s="6" t="str">
        <x:v>brand-service</x:v>
      </x:c>
      <x:c r="E433" s="6" t="str">
        <x:v>Retain differentiated role</x:v>
      </x:c>
      <x:c r="F433" s="6" t="str">
        <x:v>Local source render; live version unverified</x:v>
      </x:c>
      <x:c r="G433" s="6" t="str">
        <x:v>إصلاح العادم Mercedes-Maybach في دبي | ديجي-تك</x:v>
      </x:c>
      <x:c r="H433" s="6" t="str">
        <x:v>إصلاح العادم Mercedes-Maybach في دبي | ديجي-تك</x:v>
      </x:c>
      <x:c r="I433" s="6" t="str">
        <x:v>إصلاح العادم Mercedes-Maybach في دبي</x:v>
      </x:c>
      <x:c r="J433" s="6" t="str">
        <x:v>إصلاح العادم Mercedes-Maybach في دبي</x:v>
      </x:c>
      <x:c r="K433" s="6" t="str">
        <x:v>إصلاح العادم متخصص لسيارات Mercedes-Maybach في دبي مع تشخيص متقدم وقطع مناسبة وتسعير واضح لدى مركز ديجي-تك.</x:v>
      </x:c>
      <x:c r="L433" s="6" t="str">
        <x:v>Retain pending evidence; no specific content edit justified by this export.</x:v>
      </x:c>
      <x:c r="M433" s="6" t="str">
        <x:v>Retain; inspect relevant context before adding links</x:v>
      </x:c>
      <x:c r="N433" s="6" t="str">
        <x:v>Unconfirmed — no query/page pairing</x:v>
      </x:c>
      <x:c r="O433" s="6" t="str">
        <x:v>Retain established booking / WhatsApp / call path; live behaviour untested</x:v>
      </x:c>
      <x:c r="P433" s="6" t="str">
        <x:v>Retain canonical and indexation policy pending a live check.</x:v>
      </x:c>
      <x:c r="Q433" s="6" t="str">
        <x:v>Proposed; no website change made</x:v>
      </x:c>
      <x:c r="R433" s="14"/>
      <x:c r="S433" s="14"/>
      <x:c r="T433" s="15"/>
      <x:c r="U433" s="16"/>
      <x:c r="V433" s="6" t="str">
        <x:v>https://digitecme.com/ar/brands/maybach-service-dubai/exhaust-repair</x:v>
      </x:c>
      <x:c r="W433" s="6" t="str">
        <x:v>Indexable directive</x:v>
      </x:c>
      <x:c r="X433" s="6" t="n">
        <x:v>16</x:v>
      </x:c>
      <x:c r="Y433" s="6" t="str">
        <x:v>إصلاح العادم Mercedes-Maybach في دبي | ديجي-تك</x:v>
      </x:c>
      <x:c r="Z433" s="6" t="str"/>
      <x:c r="AA433" s="6" t="str">
        <x:v>No / not compared</x:v>
      </x:c>
    </x:row>
    <x:row r="434" ht="42" customHeight="1">
      <x:c r="A434" s="6" t="str">
        <x:v>https://digitecme.com/ar/brands/maybach-service-dubai/fuel-system-repair</x:v>
      </x:c>
      <x:c r="B434" s="6" t="str"/>
      <x:c r="C434" s="6" t="str"/>
      <x:c r="D434" s="6" t="str">
        <x:v>brand-service</x:v>
      </x:c>
      <x:c r="E434" s="6" t="str">
        <x:v>Retain differentiated role</x:v>
      </x:c>
      <x:c r="F434" s="6" t="str">
        <x:v>Local source render; live version unverified</x:v>
      </x:c>
      <x:c r="G434" s="6" t="str">
        <x:v>إصلاح نظام الوقود Mercedes-Maybach في دبي | ديجي-تك</x:v>
      </x:c>
      <x:c r="H434" s="6" t="str">
        <x:v>إصلاح نظام الوقود Mercedes-Maybach في دبي | ديجي-تك</x:v>
      </x:c>
      <x:c r="I434" s="6" t="str">
        <x:v>إصلاح نظام الوقود Mercedes-Maybach في دبي</x:v>
      </x:c>
      <x:c r="J434" s="6" t="str">
        <x:v>إصلاح نظام الوقود Mercedes-Maybach في دبي</x:v>
      </x:c>
      <x:c r="K434" s="6" t="str">
        <x:v>إصلاح نظام الوقود متخصص لسيارات Mercedes-Maybach في دبي مع تشخيص متقدم وقطع مناسبة وتسعير واضح لدى مركز ديجي-تك.</x:v>
      </x:c>
      <x:c r="L434" s="6" t="str">
        <x:v>Retain pending evidence; no specific content edit justified by this export.</x:v>
      </x:c>
      <x:c r="M434" s="6" t="str">
        <x:v>Retain; inspect relevant context before adding links</x:v>
      </x:c>
      <x:c r="N434" s="6" t="str">
        <x:v>Unconfirmed — no query/page pairing</x:v>
      </x:c>
      <x:c r="O434" s="6" t="str">
        <x:v>Retain established booking / WhatsApp / call path; live behaviour untested</x:v>
      </x:c>
      <x:c r="P434" s="6" t="str">
        <x:v>Retain canonical and indexation policy pending a live check.</x:v>
      </x:c>
      <x:c r="Q434" s="6" t="str">
        <x:v>Proposed; no website change made</x:v>
      </x:c>
      <x:c r="R434" s="14"/>
      <x:c r="S434" s="14"/>
      <x:c r="T434" s="15"/>
      <x:c r="U434" s="16"/>
      <x:c r="V434" s="6" t="str">
        <x:v>https://digitecme.com/ar/brands/maybach-service-dubai/fuel-system-repair</x:v>
      </x:c>
      <x:c r="W434" s="6" t="str">
        <x:v>Indexable directive</x:v>
      </x:c>
      <x:c r="X434" s="6" t="n">
        <x:v>16</x:v>
      </x:c>
      <x:c r="Y434" s="6" t="str">
        <x:v>إصلاح نظام الوقود Mercedes-Maybach في دبي | ديجي-تك</x:v>
      </x:c>
      <x:c r="Z434" s="6" t="str"/>
      <x:c r="AA434" s="6" t="str">
        <x:v>No / not compared</x:v>
      </x:c>
    </x:row>
    <x:row r="435" ht="42" customHeight="1">
      <x:c r="A435" s="6" t="str">
        <x:v>https://digitecme.com/ar/brands/maybach-service-dubai/mechanical-repair</x:v>
      </x:c>
      <x:c r="B435" s="6" t="str"/>
      <x:c r="C435" s="6" t="str"/>
      <x:c r="D435" s="6" t="str">
        <x:v>brand-service</x:v>
      </x:c>
      <x:c r="E435" s="6" t="str">
        <x:v>Retain differentiated role</x:v>
      </x:c>
      <x:c r="F435" s="6" t="str">
        <x:v>Local source render; live version unverified</x:v>
      </x:c>
      <x:c r="G435" s="6" t="str">
        <x:v>الإصلاح الميكانيكي Mercedes-Maybach في دبي | ديجي-تك</x:v>
      </x:c>
      <x:c r="H435" s="6" t="str">
        <x:v>الإصلاح الميكانيكي Mercedes-Maybach في دبي | ديجي-تك</x:v>
      </x:c>
      <x:c r="I435" s="6" t="str">
        <x:v>الإصلاح الميكانيكي Mercedes-Maybach في دبي</x:v>
      </x:c>
      <x:c r="J435" s="6" t="str">
        <x:v>الإصلاح الميكانيكي Mercedes-Maybach في دبي</x:v>
      </x:c>
      <x:c r="K435" s="6" t="str">
        <x:v>الإصلاح الميكانيكي متخصص لسيارات Mercedes-Maybach في دبي مع تشخيص متقدم وقطع مناسبة وتسعير واضح لدى مركز ديجي-تك.</x:v>
      </x:c>
      <x:c r="L435" s="6" t="str">
        <x:v>Retain pending evidence; no specific content edit justified by this export.</x:v>
      </x:c>
      <x:c r="M435" s="6" t="str">
        <x:v>Retain; inspect relevant context before adding links</x:v>
      </x:c>
      <x:c r="N435" s="6" t="str">
        <x:v>Unconfirmed — no query/page pairing</x:v>
      </x:c>
      <x:c r="O435" s="6" t="str">
        <x:v>Retain established booking / WhatsApp / call path; live behaviour untested</x:v>
      </x:c>
      <x:c r="P435" s="6" t="str">
        <x:v>Retain canonical and indexation policy pending a live check.</x:v>
      </x:c>
      <x:c r="Q435" s="6" t="str">
        <x:v>Proposed; no website change made</x:v>
      </x:c>
      <x:c r="R435" s="14"/>
      <x:c r="S435" s="14"/>
      <x:c r="T435" s="15"/>
      <x:c r="U435" s="16"/>
      <x:c r="V435" s="6" t="str">
        <x:v>https://digitecme.com/ar/brands/maybach-service-dubai/mechanical-repair</x:v>
      </x:c>
      <x:c r="W435" s="6" t="str">
        <x:v>Indexable directive</x:v>
      </x:c>
      <x:c r="X435" s="6" t="n">
        <x:v>16</x:v>
      </x:c>
      <x:c r="Y435" s="6" t="str">
        <x:v>الإصلاح الميكانيكي Mercedes-Maybach في دبي | ديجي-تك</x:v>
      </x:c>
      <x:c r="Z435" s="6" t="str"/>
      <x:c r="AA435" s="6" t="str">
        <x:v>No / not compared</x:v>
      </x:c>
    </x:row>
    <x:row r="436" ht="42" customHeight="1">
      <x:c r="A436" s="6" t="str">
        <x:v>https://digitecme.com/ar/brands/maybach-service-dubai/oil-change</x:v>
      </x:c>
      <x:c r="B436" s="6" t="str"/>
      <x:c r="C436" s="6" t="str"/>
      <x:c r="D436" s="6" t="str">
        <x:v>brand-service</x:v>
      </x:c>
      <x:c r="E436" s="6" t="str">
        <x:v>Retain differentiated role</x:v>
      </x:c>
      <x:c r="F436" s="6" t="str">
        <x:v>Local source render; live version unverified</x:v>
      </x:c>
      <x:c r="G436" s="6" t="str">
        <x:v>تغيير الزيت Mercedes-Maybach في دبي | ديجي-تك</x:v>
      </x:c>
      <x:c r="H436" s="6" t="str">
        <x:v>تغيير الزيت Mercedes-Maybach في دبي | ديجي-تك</x:v>
      </x:c>
      <x:c r="I436" s="6" t="str">
        <x:v>تغيير الزيت Mercedes-Maybach في دبي</x:v>
      </x:c>
      <x:c r="J436" s="6" t="str">
        <x:v>تغيير الزيت Mercedes-Maybach في دبي</x:v>
      </x:c>
      <x:c r="K436" s="6" t="str">
        <x:v>تغيير الزيت متخصص لسيارات Mercedes-Maybach في دبي مع تشخيص متقدم وقطع مناسبة وتسعير واضح لدى مركز ديجي-تك.</x:v>
      </x:c>
      <x:c r="L436" s="6" t="str">
        <x:v>Retain pending evidence; no specific content edit justified by this export.</x:v>
      </x:c>
      <x:c r="M436" s="6" t="str">
        <x:v>Retain; inspect relevant context before adding links</x:v>
      </x:c>
      <x:c r="N436" s="6" t="str">
        <x:v>Unconfirmed — no query/page pairing</x:v>
      </x:c>
      <x:c r="O436" s="6" t="str">
        <x:v>Retain established booking / WhatsApp / call path; live behaviour untested</x:v>
      </x:c>
      <x:c r="P436" s="6" t="str">
        <x:v>Retain canonical and indexation policy pending a live check.</x:v>
      </x:c>
      <x:c r="Q436" s="6" t="str">
        <x:v>Proposed; no website change made</x:v>
      </x:c>
      <x:c r="R436" s="14"/>
      <x:c r="S436" s="14"/>
      <x:c r="T436" s="15"/>
      <x:c r="U436" s="16"/>
      <x:c r="V436" s="6" t="str">
        <x:v>https://digitecme.com/ar/brands/maybach-service-dubai/oil-change</x:v>
      </x:c>
      <x:c r="W436" s="6" t="str">
        <x:v>Indexable directive</x:v>
      </x:c>
      <x:c r="X436" s="6" t="n">
        <x:v>16</x:v>
      </x:c>
      <x:c r="Y436" s="6" t="str">
        <x:v>تغيير الزيت Mercedes-Maybach في دبي | ديجي-تك</x:v>
      </x:c>
      <x:c r="Z436" s="6" t="str"/>
      <x:c r="AA436" s="6" t="str">
        <x:v>No / not compared</x:v>
      </x:c>
    </x:row>
    <x:row r="437" ht="42" customHeight="1">
      <x:c r="A437" s="6" t="str">
        <x:v>https://digitecme.com/ar/brands/maybach-service-dubai/steering-repair</x:v>
      </x:c>
      <x:c r="B437" s="6" t="str"/>
      <x:c r="C437" s="6" t="str"/>
      <x:c r="D437" s="6" t="str">
        <x:v>brand-service</x:v>
      </x:c>
      <x:c r="E437" s="6" t="str">
        <x:v>Retain differentiated role</x:v>
      </x:c>
      <x:c r="F437" s="6" t="str">
        <x:v>Local source render; live version unverified</x:v>
      </x:c>
      <x:c r="G437" s="6" t="str">
        <x:v>إصلاح نظام التوجيه Mercedes-Maybach في دبي | ديجي-تك</x:v>
      </x:c>
      <x:c r="H437" s="6" t="str">
        <x:v>إصلاح نظام التوجيه Mercedes-Maybach في دبي | ديجي-تك</x:v>
      </x:c>
      <x:c r="I437" s="6" t="str">
        <x:v>إصلاح نظام التوجيه Mercedes-Maybach في دبي</x:v>
      </x:c>
      <x:c r="J437" s="6" t="str">
        <x:v>إصلاح نظام التوجيه Mercedes-Maybach في دبي</x:v>
      </x:c>
      <x:c r="K437" s="6" t="str">
        <x:v>إصلاح نظام التوجيه متخصص لسيارات Mercedes-Maybach في دبي مع تشخيص متقدم وقطع مناسبة وتسعير واضح لدى مركز ديجي-تك.</x:v>
      </x:c>
      <x:c r="L437" s="6" t="str">
        <x:v>Retain pending evidence; no specific content edit justified by this export.</x:v>
      </x:c>
      <x:c r="M437" s="6" t="str">
        <x:v>Retain; inspect relevant context before adding links</x:v>
      </x:c>
      <x:c r="N437" s="6" t="str">
        <x:v>Unconfirmed — no query/page pairing</x:v>
      </x:c>
      <x:c r="O437" s="6" t="str">
        <x:v>Retain established booking / WhatsApp / call path; live behaviour untested</x:v>
      </x:c>
      <x:c r="P437" s="6" t="str">
        <x:v>Retain canonical and indexation policy pending a live check.</x:v>
      </x:c>
      <x:c r="Q437" s="6" t="str">
        <x:v>Proposed; no website change made</x:v>
      </x:c>
      <x:c r="R437" s="14"/>
      <x:c r="S437" s="14"/>
      <x:c r="T437" s="15"/>
      <x:c r="U437" s="16"/>
      <x:c r="V437" s="6" t="str">
        <x:v>https://digitecme.com/ar/brands/maybach-service-dubai/steering-repair</x:v>
      </x:c>
      <x:c r="W437" s="6" t="str">
        <x:v>Indexable directive</x:v>
      </x:c>
      <x:c r="X437" s="6" t="n">
        <x:v>16</x:v>
      </x:c>
      <x:c r="Y437" s="6" t="str">
        <x:v>إصلاح نظام التوجيه Mercedes-Maybach في دبي | ديجي-تك</x:v>
      </x:c>
      <x:c r="Z437" s="6" t="str"/>
      <x:c r="AA437" s="6" t="str">
        <x:v>No / not compared</x:v>
      </x:c>
    </x:row>
    <x:row r="438" ht="42" customHeight="1">
      <x:c r="A438" s="6" t="str">
        <x:v>https://digitecme.com/ar/brands/maybach-service-dubai/suspension-repair</x:v>
      </x:c>
      <x:c r="B438" s="6" t="str"/>
      <x:c r="C438" s="6" t="str"/>
      <x:c r="D438" s="6" t="str">
        <x:v>brand-service</x:v>
      </x:c>
      <x:c r="E438" s="6" t="str">
        <x:v>Retain differentiated role</x:v>
      </x:c>
      <x:c r="F438" s="6" t="str">
        <x:v>Local source render; live version unverified</x:v>
      </x:c>
      <x:c r="G438" s="6" t="str">
        <x:v>إصلاح التعليق Mercedes-Maybach في دبي | ديجي-تك</x:v>
      </x:c>
      <x:c r="H438" s="6" t="str">
        <x:v>إصلاح التعليق Mercedes-Maybach في دبي | ديجي-تك</x:v>
      </x:c>
      <x:c r="I438" s="6" t="str">
        <x:v>إصلاح التعليق Mercedes-Maybach في دبي</x:v>
      </x:c>
      <x:c r="J438" s="6" t="str">
        <x:v>إصلاح التعليق Mercedes-Maybach في دبي</x:v>
      </x:c>
      <x:c r="K438" s="6" t="str">
        <x:v>إصلاح التعليق متخصص لسيارات Mercedes-Maybach في دبي مع تشخيص متقدم وقطع مناسبة وتسعير واضح لدى مركز ديجي-تك.</x:v>
      </x:c>
      <x:c r="L438" s="6" t="str">
        <x:v>Retain pending evidence; no specific content edit justified by this export.</x:v>
      </x:c>
      <x:c r="M438" s="6" t="str">
        <x:v>Retain; inspect relevant context before adding links</x:v>
      </x:c>
      <x:c r="N438" s="6" t="str">
        <x:v>Unconfirmed — no query/page pairing</x:v>
      </x:c>
      <x:c r="O438" s="6" t="str">
        <x:v>Retain established booking / WhatsApp / call path; live behaviour untested</x:v>
      </x:c>
      <x:c r="P438" s="6" t="str">
        <x:v>Retain canonical and indexation policy pending a live check.</x:v>
      </x:c>
      <x:c r="Q438" s="6" t="str">
        <x:v>Proposed; no website change made</x:v>
      </x:c>
      <x:c r="R438" s="14"/>
      <x:c r="S438" s="14"/>
      <x:c r="T438" s="15"/>
      <x:c r="U438" s="16"/>
      <x:c r="V438" s="6" t="str">
        <x:v>https://digitecme.com/ar/brands/maybach-service-dubai/suspension-repair</x:v>
      </x:c>
      <x:c r="W438" s="6" t="str">
        <x:v>Indexable directive</x:v>
      </x:c>
      <x:c r="X438" s="6" t="n">
        <x:v>16</x:v>
      </x:c>
      <x:c r="Y438" s="6" t="str">
        <x:v>إصلاح التعليق Mercedes-Maybach في دبي | ديجي-تك</x:v>
      </x:c>
      <x:c r="Z438" s="6" t="str"/>
      <x:c r="AA438" s="6" t="str">
        <x:v>No / not compared</x:v>
      </x:c>
    </x:row>
    <x:row r="439" ht="42" customHeight="1">
      <x:c r="A439" s="6" t="str">
        <x:v>https://digitecme.com/ar/brands/maybach-service-dubai/tire-repair</x:v>
      </x:c>
      <x:c r="B439" s="6" t="str"/>
      <x:c r="C439" s="6" t="str"/>
      <x:c r="D439" s="6" t="str">
        <x:v>brand-service</x:v>
      </x:c>
      <x:c r="E439" s="6" t="str">
        <x:v>Retain differentiated role</x:v>
      </x:c>
      <x:c r="F439" s="6" t="str">
        <x:v>Local source render; live version unverified</x:v>
      </x:c>
      <x:c r="G439" s="6" t="str">
        <x:v>إصلاح الإطارات Mercedes-Maybach في دبي | ديجي-تك</x:v>
      </x:c>
      <x:c r="H439" s="6" t="str">
        <x:v>إصلاح الإطارات Mercedes-Maybach في دبي | ديجي-تك</x:v>
      </x:c>
      <x:c r="I439" s="6" t="str">
        <x:v>إصلاح الإطارات Mercedes-Maybach في دبي</x:v>
      </x:c>
      <x:c r="J439" s="6" t="str">
        <x:v>إصلاح الإطارات Mercedes-Maybach في دبي</x:v>
      </x:c>
      <x:c r="K439" s="6" t="str">
        <x:v>إصلاح الإطارات متخصص لسيارات Mercedes-Maybach في دبي مع تشخيص متقدم وقطع مناسبة وتسعير واضح لدى مركز ديجي-تك.</x:v>
      </x:c>
      <x:c r="L439" s="6" t="str">
        <x:v>Retain pending evidence; no specific content edit justified by this export.</x:v>
      </x:c>
      <x:c r="M439" s="6" t="str">
        <x:v>Retain; inspect relevant context before adding links</x:v>
      </x:c>
      <x:c r="N439" s="6" t="str">
        <x:v>Unconfirmed — no query/page pairing</x:v>
      </x:c>
      <x:c r="O439" s="6" t="str">
        <x:v>Retain established booking / WhatsApp / call path; live behaviour untested</x:v>
      </x:c>
      <x:c r="P439" s="6" t="str">
        <x:v>Retain canonical and indexation policy pending a live check.</x:v>
      </x:c>
      <x:c r="Q439" s="6" t="str">
        <x:v>Proposed; no website change made</x:v>
      </x:c>
      <x:c r="R439" s="14"/>
      <x:c r="S439" s="14"/>
      <x:c r="T439" s="15"/>
      <x:c r="U439" s="16"/>
      <x:c r="V439" s="6" t="str">
        <x:v>https://digitecme.com/ar/brands/maybach-service-dubai/tire-repair</x:v>
      </x:c>
      <x:c r="W439" s="6" t="str">
        <x:v>Indexable directive</x:v>
      </x:c>
      <x:c r="X439" s="6" t="n">
        <x:v>16</x:v>
      </x:c>
      <x:c r="Y439" s="6" t="str">
        <x:v>إصلاح الإطارات Mercedes-Maybach في دبي | ديجي-تك</x:v>
      </x:c>
      <x:c r="Z439" s="6" t="str"/>
      <x:c r="AA439" s="6" t="str">
        <x:v>No / not compared</x:v>
      </x:c>
    </x:row>
    <x:row r="440" ht="42" customHeight="1">
      <x:c r="A440" s="6" t="str">
        <x:v>https://digitecme.com/ar/brands/maybach-service-dubai/transmission-repair</x:v>
      </x:c>
      <x:c r="B440" s="6" t="str"/>
      <x:c r="C440" s="6" t="str"/>
      <x:c r="D440" s="6" t="str">
        <x:v>brand-service</x:v>
      </x:c>
      <x:c r="E440" s="6" t="str">
        <x:v>Retain differentiated role</x:v>
      </x:c>
      <x:c r="F440" s="6" t="str">
        <x:v>Local source render; live version unverified</x:v>
      </x:c>
      <x:c r="G440" s="6" t="str">
        <x:v>إصلاح ناقل الحركة Mercedes-Maybach في دبي | ديجي-تك</x:v>
      </x:c>
      <x:c r="H440" s="6" t="str">
        <x:v>إصلاح ناقل الحركة Mercedes-Maybach في دبي | ديجي-تك</x:v>
      </x:c>
      <x:c r="I440" s="6" t="str">
        <x:v>إصلاح ناقل الحركة Mercedes-Maybach في دبي</x:v>
      </x:c>
      <x:c r="J440" s="6" t="str">
        <x:v>إصلاح ناقل الحركة Mercedes-Maybach في دبي</x:v>
      </x:c>
      <x:c r="K440" s="6" t="str">
        <x:v>إصلاح ناقل الحركة متخصص لسيارات Mercedes-Maybach في دبي مع تشخيص متقدم وقطع مناسبة وتسعير واضح لدى مركز ديجي-تك.</x:v>
      </x:c>
      <x:c r="L440" s="6" t="str">
        <x:v>Retain pending evidence; no specific content edit justified by this export.</x:v>
      </x:c>
      <x:c r="M440" s="6" t="str">
        <x:v>Retain; inspect relevant context before adding links</x:v>
      </x:c>
      <x:c r="N440" s="6" t="str">
        <x:v>Unconfirmed — no query/page pairing</x:v>
      </x:c>
      <x:c r="O440" s="6" t="str">
        <x:v>Retain established booking / WhatsApp / call path; live behaviour untested</x:v>
      </x:c>
      <x:c r="P440" s="6" t="str">
        <x:v>Retain canonical and indexation policy pending a live check.</x:v>
      </x:c>
      <x:c r="Q440" s="6" t="str">
        <x:v>Proposed; no website change made</x:v>
      </x:c>
      <x:c r="R440" s="14"/>
      <x:c r="S440" s="14"/>
      <x:c r="T440" s="15"/>
      <x:c r="U440" s="16"/>
      <x:c r="V440" s="6" t="str">
        <x:v>https://digitecme.com/ar/brands/maybach-service-dubai/transmission-repair</x:v>
      </x:c>
      <x:c r="W440" s="6" t="str">
        <x:v>Indexable directive</x:v>
      </x:c>
      <x:c r="X440" s="6" t="n">
        <x:v>16</x:v>
      </x:c>
      <x:c r="Y440" s="6" t="str">
        <x:v>إصلاح ناقل الحركة Mercedes-Maybach في دبي | ديجي-تك</x:v>
      </x:c>
      <x:c r="Z440" s="6" t="str"/>
      <x:c r="AA440" s="6" t="str">
        <x:v>No / not compared</x:v>
      </x:c>
    </x:row>
    <x:row r="441" ht="42" customHeight="1">
      <x:c r="A441" s="6" t="str">
        <x:v>https://digitecme.com/ar/brands/mazda-service-dubai</x:v>
      </x:c>
      <x:c r="B441" s="6" t="str">
        <x:v>صيانة مازدا دبي</x:v>
      </x:c>
      <x:c r="C441" s="6" t="str">
        <x:v>mazda: Service and repair (Arabic)</x:v>
      </x:c>
      <x:c r="D441" s="6" t="str">
        <x:v>brand</x:v>
      </x:c>
      <x:c r="E441" s="6" t="str">
        <x:v>Primary owner for assigned intent</x:v>
      </x:c>
      <x:c r="F441" s="6" t="str">
        <x:v>Local source render; live version unverified</x:v>
      </x:c>
      <x:c r="G441" s="6" t="str">
        <x:v>إصلاح وصيانة Mazda في دبي | مركز ديجي-تك</x:v>
      </x:c>
      <x:c r="H441" s="6" t="str">
        <x:v>إصلاح وصيانة Mazda في دبي | مركز ديجي-تك</x:v>
      </x:c>
      <x:c r="I441" s="6" t="str">
        <x:v>Mazda للإصلاح والصيانة في دبي</x:v>
      </x:c>
      <x:c r="J441" s="6" t="str">
        <x:v>Mazda للإصلاح والصيانة في دبي</x:v>
      </x:c>
      <x:c r="K441" s="6" t="str">
        <x:v>إصلاح وصيانة Mazda في دبي: تشخيص وصيانة وفرامل وناقل حركة وتعليق وتكييف مع قطع بالمواصفات المناسبة لدى مركز ديجي-تك.</x:v>
      </x:c>
      <x:c r="L441" s="6" t="str">
        <x:v>Retain pending evidence; no specific content edit justified by this export.</x:v>
      </x:c>
      <x:c r="M441" s="6" t="str">
        <x:v>Retain; inspect relevant context before adding links</x:v>
      </x:c>
      <x:c r="N441" s="6" t="str">
        <x:v>Unconfirmed — no query/page pairing</x:v>
      </x:c>
      <x:c r="O441" s="6" t="str">
        <x:v>Retain established booking / WhatsApp / call path; live behaviour untested</x:v>
      </x:c>
      <x:c r="P441" s="6" t="str">
        <x:v>Retain canonical and indexation policy pending a live check.</x:v>
      </x:c>
      <x:c r="Q441" s="6" t="str">
        <x:v>Proposed; no website change made</x:v>
      </x:c>
      <x:c r="R441" s="14" t="n">
        <x:v>0</x:v>
      </x:c>
      <x:c r="S441" s="14" t="n">
        <x:v>61</x:v>
      </x:c>
      <x:c r="T441" s="15" t="n">
        <x:v>0</x:v>
      </x:c>
      <x:c r="U441" s="16" t="n">
        <x:v>11.38</x:v>
      </x:c>
      <x:c r="V441" s="6" t="str">
        <x:v>https://digitecme.com/ar/brands/mazda-service-dubai</x:v>
      </x:c>
      <x:c r="W441" s="6" t="str">
        <x:v>Indexable directive</x:v>
      </x:c>
      <x:c r="X441" s="6" t="n">
        <x:v>30</x:v>
      </x:c>
      <x:c r="Y441" s="6" t="str">
        <x:v>إصلاح وصيانة Mazda في دبي | مركز ديجي-تك</x:v>
      </x:c>
      <x:c r="Z441" s="6" t="str"/>
      <x:c r="AA441" s="6" t="str">
        <x:v>No / not compared</x:v>
      </x:c>
    </x:row>
    <x:row r="442" ht="42" customHeight="1">
      <x:c r="A442" s="6" t="str">
        <x:v>https://digitecme.com/ar/brands/mazda-service-dubai/ac-repair</x:v>
      </x:c>
      <x:c r="B442" s="6" t="str"/>
      <x:c r="C442" s="6" t="str"/>
      <x:c r="D442" s="6" t="str">
        <x:v>brand-service</x:v>
      </x:c>
      <x:c r="E442" s="6" t="str">
        <x:v>Retain differentiated role</x:v>
      </x:c>
      <x:c r="F442" s="6" t="str">
        <x:v>Local source render; live version unverified</x:v>
      </x:c>
      <x:c r="G442" s="6" t="str">
        <x:v>إصلاح التكييف Mazda في دبي | ديجي-تك</x:v>
      </x:c>
      <x:c r="H442" s="6" t="str">
        <x:v>إصلاح التكييف Mazda في دبي | ديجي-تك</x:v>
      </x:c>
      <x:c r="I442" s="6" t="str">
        <x:v>إصلاح التكييف Mazda في دبي</x:v>
      </x:c>
      <x:c r="J442" s="6" t="str">
        <x:v>إصلاح التكييف Mazda في دبي</x:v>
      </x:c>
      <x:c r="K442" s="6" t="str">
        <x:v>إصلاح التكييف متخصص لسيارات Mazda في دبي مع تشخيص متقدم وقطع مناسبة وتسعير واضح لدى مركز ديجي-تك.</x:v>
      </x:c>
      <x:c r="L442" s="6" t="str">
        <x:v>Retain pending evidence; no specific content edit justified by this export.</x:v>
      </x:c>
      <x:c r="M442" s="6" t="str">
        <x:v>Retain; inspect relevant context before adding links</x:v>
      </x:c>
      <x:c r="N442" s="6" t="str">
        <x:v>Unconfirmed — no query/page pairing</x:v>
      </x:c>
      <x:c r="O442" s="6" t="str">
        <x:v>Retain established booking / WhatsApp / call path; live behaviour untested</x:v>
      </x:c>
      <x:c r="P442" s="6" t="str">
        <x:v>Retain canonical and indexation policy pending a live check.</x:v>
      </x:c>
      <x:c r="Q442" s="6" t="str">
        <x:v>Proposed; no website change made</x:v>
      </x:c>
      <x:c r="R442" s="14" t="n">
        <x:v>0</x:v>
      </x:c>
      <x:c r="S442" s="14" t="n">
        <x:v>3</x:v>
      </x:c>
      <x:c r="T442" s="15" t="n">
        <x:v>0</x:v>
      </x:c>
      <x:c r="U442" s="16" t="n">
        <x:v>33.67</x:v>
      </x:c>
      <x:c r="V442" s="6" t="str">
        <x:v>https://digitecme.com/ar/brands/mazda-service-dubai/ac-repair</x:v>
      </x:c>
      <x:c r="W442" s="6" t="str">
        <x:v>Indexable directive</x:v>
      </x:c>
      <x:c r="X442" s="6" t="n">
        <x:v>8</x:v>
      </x:c>
      <x:c r="Y442" s="6" t="str">
        <x:v>إصلاح التكييف Mazda في دبي | ديجي-تك</x:v>
      </x:c>
      <x:c r="Z442" s="6" t="str"/>
      <x:c r="AA442" s="6" t="str">
        <x:v>No / not compared</x:v>
      </x:c>
    </x:row>
    <x:row r="443" ht="42" customHeight="1">
      <x:c r="A443" s="6" t="str">
        <x:v>https://digitecme.com/ar/brands/mazda-service-dubai/brake-repair</x:v>
      </x:c>
      <x:c r="B443" s="6" t="str"/>
      <x:c r="C443" s="6" t="str"/>
      <x:c r="D443" s="6" t="str">
        <x:v>brand-service</x:v>
      </x:c>
      <x:c r="E443" s="6" t="str">
        <x:v>Retain differentiated role</x:v>
      </x:c>
      <x:c r="F443" s="6" t="str">
        <x:v>Local source render; live version unverified</x:v>
      </x:c>
      <x:c r="G443" s="6" t="str">
        <x:v>إصلاح الفرامل Mazda في دبي | ديجي-تك</x:v>
      </x:c>
      <x:c r="H443" s="6" t="str">
        <x:v>إصلاح الفرامل Mazda في دبي | ديجي-تك</x:v>
      </x:c>
      <x:c r="I443" s="6" t="str">
        <x:v>إصلاح الفرامل Mazda في دبي</x:v>
      </x:c>
      <x:c r="J443" s="6" t="str">
        <x:v>إصلاح الفرامل Mazda في دبي</x:v>
      </x:c>
      <x:c r="K443" s="6" t="str">
        <x:v>إصلاح الفرامل متخصص لسيارات Mazda في دبي مع تشخيص متقدم وقطع مناسبة وتسعير واضح لدى مركز ديجي-تك.</x:v>
      </x:c>
      <x:c r="L443" s="6" t="str">
        <x:v>Retain pending evidence; no specific content edit justified by this export.</x:v>
      </x:c>
      <x:c r="M443" s="6" t="str">
        <x:v>Retain; inspect relevant context before adding links</x:v>
      </x:c>
      <x:c r="N443" s="6" t="str">
        <x:v>Unconfirmed — no query/page pairing</x:v>
      </x:c>
      <x:c r="O443" s="6" t="str">
        <x:v>Retain established booking / WhatsApp / call path; live behaviour untested</x:v>
      </x:c>
      <x:c r="P443" s="6" t="str">
        <x:v>Retain canonical and indexation policy pending a live check.</x:v>
      </x:c>
      <x:c r="Q443" s="6" t="str">
        <x:v>Proposed; no website change made</x:v>
      </x:c>
      <x:c r="R443" s="14"/>
      <x:c r="S443" s="14"/>
      <x:c r="T443" s="15"/>
      <x:c r="U443" s="16"/>
      <x:c r="V443" s="6" t="str">
        <x:v>https://digitecme.com/ar/brands/mazda-service-dubai/brake-repair</x:v>
      </x:c>
      <x:c r="W443" s="6" t="str">
        <x:v>Indexable directive</x:v>
      </x:c>
      <x:c r="X443" s="6" t="n">
        <x:v>8</x:v>
      </x:c>
      <x:c r="Y443" s="6" t="str">
        <x:v>إصلاح الفرامل Mazda في دبي | ديجي-تك</x:v>
      </x:c>
      <x:c r="Z443" s="6" t="str"/>
      <x:c r="AA443" s="6" t="str">
        <x:v>No / not compared</x:v>
      </x:c>
    </x:row>
    <x:row r="444" ht="42" customHeight="1">
      <x:c r="A444" s="6" t="str">
        <x:v>https://digitecme.com/ar/brands/mazda-service-dubai/engine-diagnostics</x:v>
      </x:c>
      <x:c r="B444" s="6" t="str"/>
      <x:c r="C444" s="6" t="str"/>
      <x:c r="D444" s="6" t="str">
        <x:v>brand-service</x:v>
      </x:c>
      <x:c r="E444" s="6" t="str">
        <x:v>Retain differentiated role</x:v>
      </x:c>
      <x:c r="F444" s="6" t="str">
        <x:v>Local source render; live version unverified</x:v>
      </x:c>
      <x:c r="G444" s="6" t="str">
        <x:v>تشخيص المحرك Mazda في دبي | ديجي-تك</x:v>
      </x:c>
      <x:c r="H444" s="6" t="str">
        <x:v>تشخيص المحرك Mazda في دبي | ديجي-تك</x:v>
      </x:c>
      <x:c r="I444" s="6" t="str">
        <x:v>تشخيص المحرك Mazda في دبي</x:v>
      </x:c>
      <x:c r="J444" s="6" t="str">
        <x:v>تشخيص المحرك Mazda في دبي</x:v>
      </x:c>
      <x:c r="K444" s="6" t="str">
        <x:v>تشخيص المحرك متخصص لسيارات Mazda في دبي مع تشخيص متقدم وقطع مناسبة وتسعير واضح لدى مركز ديجي-تك.</x:v>
      </x:c>
      <x:c r="L444" s="6" t="str">
        <x:v>Retain pending evidence; no specific content edit justified by this export.</x:v>
      </x:c>
      <x:c r="M444" s="6" t="str">
        <x:v>Retain; inspect relevant context before adding links</x:v>
      </x:c>
      <x:c r="N444" s="6" t="str">
        <x:v>Unconfirmed — no query/page pairing</x:v>
      </x:c>
      <x:c r="O444" s="6" t="str">
        <x:v>Retain established booking / WhatsApp / call path; live behaviour untested</x:v>
      </x:c>
      <x:c r="P444" s="6" t="str">
        <x:v>Retain canonical and indexation policy pending a live check.</x:v>
      </x:c>
      <x:c r="Q444" s="6" t="str">
        <x:v>Proposed; no website change made</x:v>
      </x:c>
      <x:c r="R444" s="14" t="n">
        <x:v>0</x:v>
      </x:c>
      <x:c r="S444" s="14" t="n">
        <x:v>1</x:v>
      </x:c>
      <x:c r="T444" s="15" t="n">
        <x:v>0</x:v>
      </x:c>
      <x:c r="U444" s="16" t="n">
        <x:v>7</x:v>
      </x:c>
      <x:c r="V444" s="6" t="str">
        <x:v>https://digitecme.com/ar/brands/mazda-service-dubai/engine-diagnostics</x:v>
      </x:c>
      <x:c r="W444" s="6" t="str">
        <x:v>Indexable directive</x:v>
      </x:c>
      <x:c r="X444" s="6" t="n">
        <x:v>8</x:v>
      </x:c>
      <x:c r="Y444" s="6" t="str">
        <x:v>تشخيص المحرك Mazda في دبي | ديجي-تك</x:v>
      </x:c>
      <x:c r="Z444" s="6" t="str"/>
      <x:c r="AA444" s="6" t="str">
        <x:v>No / not compared</x:v>
      </x:c>
    </x:row>
    <x:row r="445" ht="42" customHeight="1">
      <x:c r="A445" s="6" t="str">
        <x:v>https://digitecme.com/ar/brands/mazda-service-dubai/oil-change</x:v>
      </x:c>
      <x:c r="B445" s="6" t="str"/>
      <x:c r="C445" s="6" t="str"/>
      <x:c r="D445" s="6" t="str">
        <x:v>brand-service</x:v>
      </x:c>
      <x:c r="E445" s="6" t="str">
        <x:v>Retain differentiated role</x:v>
      </x:c>
      <x:c r="F445" s="6" t="str">
        <x:v>Local source render; live version unverified</x:v>
      </x:c>
      <x:c r="G445" s="6" t="str">
        <x:v>تغيير الزيت Mazda في دبي | ديجي-تك</x:v>
      </x:c>
      <x:c r="H445" s="6" t="str">
        <x:v>تغيير الزيت Mazda في دبي | ديجي-تك</x:v>
      </x:c>
      <x:c r="I445" s="6" t="str">
        <x:v>تغيير الزيت Mazda في دبي</x:v>
      </x:c>
      <x:c r="J445" s="6" t="str">
        <x:v>تغيير الزيت Mazda في دبي</x:v>
      </x:c>
      <x:c r="K445" s="6" t="str">
        <x:v>تغيير الزيت متخصص لسيارات Mazda في دبي مع تشخيص متقدم وقطع مناسبة وتسعير واضح لدى مركز ديجي-تك.</x:v>
      </x:c>
      <x:c r="L445" s="6" t="str">
        <x:v>Retain pending evidence; no specific content edit justified by this export.</x:v>
      </x:c>
      <x:c r="M445" s="6" t="str">
        <x:v>Retain; inspect relevant context before adding links</x:v>
      </x:c>
      <x:c r="N445" s="6" t="str">
        <x:v>Unconfirmed — no query/page pairing</x:v>
      </x:c>
      <x:c r="O445" s="6" t="str">
        <x:v>Retain established booking / WhatsApp / call path; live behaviour untested</x:v>
      </x:c>
      <x:c r="P445" s="6" t="str">
        <x:v>Retain canonical and indexation policy pending a live check.</x:v>
      </x:c>
      <x:c r="Q445" s="6" t="str">
        <x:v>Proposed; no website change made</x:v>
      </x:c>
      <x:c r="R445" s="14"/>
      <x:c r="S445" s="14"/>
      <x:c r="T445" s="15"/>
      <x:c r="U445" s="16"/>
      <x:c r="V445" s="6" t="str">
        <x:v>https://digitecme.com/ar/brands/mazda-service-dubai/oil-change</x:v>
      </x:c>
      <x:c r="W445" s="6" t="str">
        <x:v>Indexable directive</x:v>
      </x:c>
      <x:c r="X445" s="6" t="n">
        <x:v>8</x:v>
      </x:c>
      <x:c r="Y445" s="6" t="str">
        <x:v>تغيير الزيت Mazda في دبي | ديجي-تك</x:v>
      </x:c>
      <x:c r="Z445" s="6" t="str"/>
      <x:c r="AA445" s="6" t="str">
        <x:v>No / not compared</x:v>
      </x:c>
    </x:row>
    <x:row r="446" ht="42" customHeight="1">
      <x:c r="A446" s="6" t="str">
        <x:v>https://digitecme.com/ar/brands/mazda-service-dubai/suspension-repair</x:v>
      </x:c>
      <x:c r="B446" s="6" t="str"/>
      <x:c r="C446" s="6" t="str"/>
      <x:c r="D446" s="6" t="str">
        <x:v>brand-service</x:v>
      </x:c>
      <x:c r="E446" s="6" t="str">
        <x:v>Retain differentiated role</x:v>
      </x:c>
      <x:c r="F446" s="6" t="str">
        <x:v>Local source render; live version unverified</x:v>
      </x:c>
      <x:c r="G446" s="6" t="str">
        <x:v>إصلاح التعليق Mazda في دبي | ديجي-تك</x:v>
      </x:c>
      <x:c r="H446" s="6" t="str">
        <x:v>إصلاح التعليق Mazda في دبي | ديجي-تك</x:v>
      </x:c>
      <x:c r="I446" s="6" t="str">
        <x:v>إصلاح التعليق Mazda في دبي</x:v>
      </x:c>
      <x:c r="J446" s="6" t="str">
        <x:v>إصلاح التعليق Mazda في دبي</x:v>
      </x:c>
      <x:c r="K446" s="6" t="str">
        <x:v>إصلاح التعليق متخصص لسيارات Mazda في دبي مع تشخيص متقدم وقطع مناسبة وتسعير واضح لدى مركز ديجي-تك.</x:v>
      </x:c>
      <x:c r="L446" s="6" t="str">
        <x:v>Retain pending evidence; no specific content edit justified by this export.</x:v>
      </x:c>
      <x:c r="M446" s="6" t="str">
        <x:v>Retain; inspect relevant context before adding links</x:v>
      </x:c>
      <x:c r="N446" s="6" t="str">
        <x:v>Unconfirmed — no query/page pairing</x:v>
      </x:c>
      <x:c r="O446" s="6" t="str">
        <x:v>Retain established booking / WhatsApp / call path; live behaviour untested</x:v>
      </x:c>
      <x:c r="P446" s="6" t="str">
        <x:v>Retain canonical and indexation policy pending a live check.</x:v>
      </x:c>
      <x:c r="Q446" s="6" t="str">
        <x:v>Proposed; no website change made</x:v>
      </x:c>
      <x:c r="R446" s="14"/>
      <x:c r="S446" s="14"/>
      <x:c r="T446" s="15"/>
      <x:c r="U446" s="16"/>
      <x:c r="V446" s="6" t="str">
        <x:v>https://digitecme.com/ar/brands/mazda-service-dubai/suspension-repair</x:v>
      </x:c>
      <x:c r="W446" s="6" t="str">
        <x:v>Noindex directive</x:v>
      </x:c>
      <x:c r="X446" s="6" t="n">
        <x:v>8</x:v>
      </x:c>
      <x:c r="Y446" s="6" t="str">
        <x:v>إصلاح التعليق Mazda في دبي | ديجي-تك</x:v>
      </x:c>
      <x:c r="Z446" s="6" t="str"/>
      <x:c r="AA446" s="6" t="str">
        <x:v>No / not compared</x:v>
      </x:c>
    </x:row>
    <x:row r="447" ht="42" customHeight="1">
      <x:c r="A447" s="6" t="str">
        <x:v>https://digitecme.com/ar/brands/mazda-service-dubai/transmission-repair</x:v>
      </x:c>
      <x:c r="B447" s="6" t="str"/>
      <x:c r="C447" s="6" t="str"/>
      <x:c r="D447" s="6" t="str">
        <x:v>brand-service</x:v>
      </x:c>
      <x:c r="E447" s="6" t="str">
        <x:v>Retain differentiated role</x:v>
      </x:c>
      <x:c r="F447" s="6" t="str">
        <x:v>Local source render; live version unverified</x:v>
      </x:c>
      <x:c r="G447" s="6" t="str">
        <x:v>إصلاح ناقل الحركة Mazda في دبي | ديجي-تك</x:v>
      </x:c>
      <x:c r="H447" s="6" t="str">
        <x:v>إصلاح ناقل الحركة Mazda في دبي | ديجي-تك</x:v>
      </x:c>
      <x:c r="I447" s="6" t="str">
        <x:v>إصلاح ناقل الحركة Mazda في دبي</x:v>
      </x:c>
      <x:c r="J447" s="6" t="str">
        <x:v>إصلاح ناقل الحركة Mazda في دبي</x:v>
      </x:c>
      <x:c r="K447" s="6" t="str">
        <x:v>إصلاح ناقل الحركة متخصص لسيارات Mazda في دبي مع تشخيص متقدم وقطع مناسبة وتسعير واضح لدى مركز ديجي-تك.</x:v>
      </x:c>
      <x:c r="L447" s="6" t="str">
        <x:v>Retain pending evidence; no specific content edit justified by this export.</x:v>
      </x:c>
      <x:c r="M447" s="6" t="str">
        <x:v>Retain; inspect relevant context before adding links</x:v>
      </x:c>
      <x:c r="N447" s="6" t="str">
        <x:v>Unconfirmed — no query/page pairing</x:v>
      </x:c>
      <x:c r="O447" s="6" t="str">
        <x:v>Retain established booking / WhatsApp / call path; live behaviour untested</x:v>
      </x:c>
      <x:c r="P447" s="6" t="str">
        <x:v>Retain canonical and indexation policy pending a live check.</x:v>
      </x:c>
      <x:c r="Q447" s="6" t="str">
        <x:v>Proposed; no website change made</x:v>
      </x:c>
      <x:c r="R447" s="14"/>
      <x:c r="S447" s="14"/>
      <x:c r="T447" s="15"/>
      <x:c r="U447" s="16"/>
      <x:c r="V447" s="6" t="str">
        <x:v>https://digitecme.com/ar/brands/mazda-service-dubai/transmission-repair</x:v>
      </x:c>
      <x:c r="W447" s="6" t="str">
        <x:v>Noindex directive</x:v>
      </x:c>
      <x:c r="X447" s="6" t="n">
        <x:v>8</x:v>
      </x:c>
      <x:c r="Y447" s="6" t="str">
        <x:v>إصلاح ناقل الحركة Mazda في دبي | ديجي-تك</x:v>
      </x:c>
      <x:c r="Z447" s="6" t="str"/>
      <x:c r="AA447" s="6" t="str">
        <x:v>No / not compared</x:v>
      </x:c>
    </x:row>
    <x:row r="448" ht="42" customHeight="1">
      <x:c r="A448" s="6" t="str">
        <x:v>https://digitecme.com/ar/brands/mclaren-service-dubai</x:v>
      </x:c>
      <x:c r="B448" s="6" t="str"/>
      <x:c r="C448" s="6" t="str"/>
      <x:c r="D448" s="6" t="str">
        <x:v>brand</x:v>
      </x:c>
      <x:c r="E448" s="6" t="str">
        <x:v>Retain differentiated role</x:v>
      </x:c>
      <x:c r="F448" s="6" t="str">
        <x:v>Local source render; live version unverified</x:v>
      </x:c>
      <x:c r="G448" s="6" t="str">
        <x:v>إصلاح وصيانة McLaren في دبي | مركز ديجي-تك</x:v>
      </x:c>
      <x:c r="H448" s="6" t="str">
        <x:v>إصلاح وصيانة McLaren في دبي | مركز ديجي-تك</x:v>
      </x:c>
      <x:c r="I448" s="6" t="str">
        <x:v>McLaren للإصلاح والصيانة في دبي</x:v>
      </x:c>
      <x:c r="J448" s="6" t="str">
        <x:v>McLaren للإصلاح والصيانة في دبي</x:v>
      </x:c>
      <x:c r="K448" s="6" t="str">
        <x:v>إصلاح وصيانة McLaren في دبي: تشخيص وصيانة وفرامل وناقل حركة وتعليق وتكييف مع قطع بالمواصفات المناسبة لدى مركز ديجي-تك.</x:v>
      </x:c>
      <x:c r="L448" s="6" t="str">
        <x:v>Retain pending evidence; no specific content edit justified by this export.</x:v>
      </x:c>
      <x:c r="M448" s="6" t="str">
        <x:v>Retain; inspect relevant context before adding links</x:v>
      </x:c>
      <x:c r="N448" s="6" t="str">
        <x:v>Unconfirmed — no query/page pairing</x:v>
      </x:c>
      <x:c r="O448" s="6" t="str">
        <x:v>Retain established booking / WhatsApp / call path; live behaviour untested</x:v>
      </x:c>
      <x:c r="P448" s="6" t="str">
        <x:v>Retain canonical and indexation policy pending a live check.</x:v>
      </x:c>
      <x:c r="Q448" s="6" t="str">
        <x:v>Proposed; no website change made</x:v>
      </x:c>
      <x:c r="R448" s="14" t="n">
        <x:v>0</x:v>
      </x:c>
      <x:c r="S448" s="14" t="n">
        <x:v>1</x:v>
      </x:c>
      <x:c r="T448" s="15" t="n">
        <x:v>0</x:v>
      </x:c>
      <x:c r="U448" s="16" t="n">
        <x:v>12</x:v>
      </x:c>
      <x:c r="V448" s="6" t="str">
        <x:v>https://digitecme.com/ar/brands/mclaren-service-dubai</x:v>
      </x:c>
      <x:c r="W448" s="6" t="str">
        <x:v>Indexable directive</x:v>
      </x:c>
      <x:c r="X448" s="6" t="n">
        <x:v>87</x:v>
      </x:c>
      <x:c r="Y448" s="6" t="str">
        <x:v>إصلاح وصيانة McLaren في دبي | مركز ديجي-تك</x:v>
      </x:c>
      <x:c r="Z448" s="6" t="str"/>
      <x:c r="AA448" s="6" t="str">
        <x:v>No / not compared</x:v>
      </x:c>
    </x:row>
    <x:row r="449" ht="42" customHeight="1">
      <x:c r="A449" s="6" t="str">
        <x:v>https://digitecme.com/ar/brands/mclaren-service-dubai/ac-repair</x:v>
      </x:c>
      <x:c r="B449" s="6" t="str"/>
      <x:c r="C449" s="6" t="str"/>
      <x:c r="D449" s="6" t="str">
        <x:v>brand-service</x:v>
      </x:c>
      <x:c r="E449" s="6" t="str">
        <x:v>Retain differentiated role</x:v>
      </x:c>
      <x:c r="F449" s="6" t="str">
        <x:v>Local source render; live version unverified</x:v>
      </x:c>
      <x:c r="G449" s="6" t="str">
        <x:v>إصلاح التكييف McLaren في دبي | ديجي-تك</x:v>
      </x:c>
      <x:c r="H449" s="6" t="str">
        <x:v>إصلاح التكييف McLaren في دبي | ديجي-تك</x:v>
      </x:c>
      <x:c r="I449" s="6" t="str">
        <x:v>إصلاح التكييف McLaren في دبي</x:v>
      </x:c>
      <x:c r="J449" s="6" t="str">
        <x:v>إصلاح التكييف McLaren في دبي</x:v>
      </x:c>
      <x:c r="K449" s="6" t="str">
        <x:v>إصلاح التكييف متخصص لسيارات McLaren في دبي مع تشخيص متقدم وقطع مناسبة وتسعير واضح لدى مركز ديجي-تك.</x:v>
      </x:c>
      <x:c r="L449" s="6" t="str">
        <x:v>Retain pending evidence; no specific content edit justified by this export.</x:v>
      </x:c>
      <x:c r="M449" s="6" t="str">
        <x:v>Retain; inspect relevant context before adding links</x:v>
      </x:c>
      <x:c r="N449" s="6" t="str">
        <x:v>Unconfirmed — no query/page pairing</x:v>
      </x:c>
      <x:c r="O449" s="6" t="str">
        <x:v>Retain established booking / WhatsApp / call path; live behaviour untested</x:v>
      </x:c>
      <x:c r="P449" s="6" t="str">
        <x:v>Retain canonical and indexation policy pending a live check.</x:v>
      </x:c>
      <x:c r="Q449" s="6" t="str">
        <x:v>Proposed; no website change made</x:v>
      </x:c>
      <x:c r="R449" s="14"/>
      <x:c r="S449" s="14"/>
      <x:c r="T449" s="15"/>
      <x:c r="U449" s="16"/>
      <x:c r="V449" s="6" t="str">
        <x:v>https://digitecme.com/ar/brands/mclaren-service-dubai/ac-repair</x:v>
      </x:c>
      <x:c r="W449" s="6" t="str">
        <x:v>Indexable directive</x:v>
      </x:c>
      <x:c r="X449" s="6" t="n">
        <x:v>16</x:v>
      </x:c>
      <x:c r="Y449" s="6" t="str">
        <x:v>إصلاح التكييف McLaren في دبي | ديجي-تك</x:v>
      </x:c>
      <x:c r="Z449" s="6" t="str"/>
      <x:c r="AA449" s="6" t="str">
        <x:v>No / not compared</x:v>
      </x:c>
    </x:row>
    <x:row r="450" ht="42" customHeight="1">
      <x:c r="A450" s="6" t="str">
        <x:v>https://digitecme.com/ar/brands/mclaren-service-dubai/battery-replacement</x:v>
      </x:c>
      <x:c r="B450" s="6" t="str"/>
      <x:c r="C450" s="6" t="str"/>
      <x:c r="D450" s="6" t="str">
        <x:v>brand-service</x:v>
      </x:c>
      <x:c r="E450" s="6" t="str">
        <x:v>Retain differentiated role</x:v>
      </x:c>
      <x:c r="F450" s="6" t="str">
        <x:v>Local source render; live version unverified</x:v>
      </x:c>
      <x:c r="G450" s="6" t="str">
        <x:v>تبديل البطارية McLaren في دبي | ديجي-تك</x:v>
      </x:c>
      <x:c r="H450" s="6" t="str">
        <x:v>تبديل البطارية McLaren في دبي | ديجي-تك</x:v>
      </x:c>
      <x:c r="I450" s="6" t="str">
        <x:v>تبديل البطارية McLaren في دبي</x:v>
      </x:c>
      <x:c r="J450" s="6" t="str">
        <x:v>تبديل البطارية McLaren في دبي</x:v>
      </x:c>
      <x:c r="K450" s="6" t="str">
        <x:v>تبديل البطارية متخصص لسيارات McLaren في دبي مع تشخيص متقدم وقطع مناسبة وتسعير واضح لدى مركز ديجي-تك.</x:v>
      </x:c>
      <x:c r="L450" s="6" t="str">
        <x:v>Retain pending evidence; no specific content edit justified by this export.</x:v>
      </x:c>
      <x:c r="M450" s="6" t="str">
        <x:v>Retain; inspect relevant context before adding links</x:v>
      </x:c>
      <x:c r="N450" s="6" t="str">
        <x:v>Unconfirmed — no query/page pairing</x:v>
      </x:c>
      <x:c r="O450" s="6" t="str">
        <x:v>Retain established booking / WhatsApp / call path; live behaviour untested</x:v>
      </x:c>
      <x:c r="P450" s="6" t="str">
        <x:v>Retain canonical and indexation policy pending a live check.</x:v>
      </x:c>
      <x:c r="Q450" s="6" t="str">
        <x:v>Proposed; no website change made</x:v>
      </x:c>
      <x:c r="R450" s="14"/>
      <x:c r="S450" s="14"/>
      <x:c r="T450" s="15"/>
      <x:c r="U450" s="16"/>
      <x:c r="V450" s="6" t="str">
        <x:v>https://digitecme.com/ar/brands/mclaren-service-dubai/battery-replacement</x:v>
      </x:c>
      <x:c r="W450" s="6" t="str">
        <x:v>Indexable directive</x:v>
      </x:c>
      <x:c r="X450" s="6" t="n">
        <x:v>16</x:v>
      </x:c>
      <x:c r="Y450" s="6" t="str">
        <x:v>تبديل البطارية McLaren في دبي | ديجي-تك</x:v>
      </x:c>
      <x:c r="Z450" s="6" t="str"/>
      <x:c r="AA450" s="6" t="str">
        <x:v>No / not compared</x:v>
      </x:c>
    </x:row>
    <x:row r="451" ht="42" customHeight="1">
      <x:c r="A451" s="6" t="str">
        <x:v>https://digitecme.com/ar/brands/mclaren-service-dubai/body-repair</x:v>
      </x:c>
      <x:c r="B451" s="6" t="str"/>
      <x:c r="C451" s="6" t="str"/>
      <x:c r="D451" s="6" t="str">
        <x:v>brand-service</x:v>
      </x:c>
      <x:c r="E451" s="6" t="str">
        <x:v>Retain differentiated role</x:v>
      </x:c>
      <x:c r="F451" s="6" t="str">
        <x:v>Local source render; live version unverified</x:v>
      </x:c>
      <x:c r="G451" s="6" t="str">
        <x:v>إصلاح الهيكل McLaren في دبي | ديجي-تك</x:v>
      </x:c>
      <x:c r="H451" s="6" t="str">
        <x:v>إصلاح الهيكل McLaren في دبي | ديجي-تك</x:v>
      </x:c>
      <x:c r="I451" s="6" t="str">
        <x:v>إصلاح الهيكل McLaren في دبي</x:v>
      </x:c>
      <x:c r="J451" s="6" t="str">
        <x:v>إصلاح الهيكل McLaren في دبي</x:v>
      </x:c>
      <x:c r="K451" s="6" t="str">
        <x:v>إصلاح الهيكل متخصص لسيارات McLaren في دبي مع تشخيص متقدم وقطع مناسبة وتسعير واضح لدى مركز ديجي-تك.</x:v>
      </x:c>
      <x:c r="L451" s="6" t="str">
        <x:v>Retain pending evidence; no specific content edit justified by this export.</x:v>
      </x:c>
      <x:c r="M451" s="6" t="str">
        <x:v>Retain; inspect relevant context before adding links</x:v>
      </x:c>
      <x:c r="N451" s="6" t="str">
        <x:v>Unconfirmed — no query/page pairing</x:v>
      </x:c>
      <x:c r="O451" s="6" t="str">
        <x:v>Retain established booking / WhatsApp / call path; live behaviour untested</x:v>
      </x:c>
      <x:c r="P451" s="6" t="str">
        <x:v>Retain canonical and indexation policy pending a live check.</x:v>
      </x:c>
      <x:c r="Q451" s="6" t="str">
        <x:v>Proposed; no website change made</x:v>
      </x:c>
      <x:c r="R451" s="14"/>
      <x:c r="S451" s="14"/>
      <x:c r="T451" s="15"/>
      <x:c r="U451" s="16"/>
      <x:c r="V451" s="6" t="str">
        <x:v>https://digitecme.com/ar/brands/mclaren-service-dubai/body-repair</x:v>
      </x:c>
      <x:c r="W451" s="6" t="str">
        <x:v>Indexable directive</x:v>
      </x:c>
      <x:c r="X451" s="6" t="n">
        <x:v>16</x:v>
      </x:c>
      <x:c r="Y451" s="6" t="str">
        <x:v>إصلاح الهيكل McLaren في دبي | ديجي-تك</x:v>
      </x:c>
      <x:c r="Z451" s="6" t="str"/>
      <x:c r="AA451" s="6" t="str">
        <x:v>No / not compared</x:v>
      </x:c>
    </x:row>
    <x:row r="452" ht="42" customHeight="1">
      <x:c r="A452" s="6" t="str">
        <x:v>https://digitecme.com/ar/brands/mclaren-service-dubai/brake-repair</x:v>
      </x:c>
      <x:c r="B452" s="6" t="str"/>
      <x:c r="C452" s="6" t="str"/>
      <x:c r="D452" s="6" t="str">
        <x:v>brand-service</x:v>
      </x:c>
      <x:c r="E452" s="6" t="str">
        <x:v>Retain differentiated role</x:v>
      </x:c>
      <x:c r="F452" s="6" t="str">
        <x:v>Local source render; live version unverified</x:v>
      </x:c>
      <x:c r="G452" s="6" t="str">
        <x:v>إصلاح الفرامل McLaren في دبي | ديجي-تك</x:v>
      </x:c>
      <x:c r="H452" s="6" t="str">
        <x:v>إصلاح الفرامل McLaren في دبي | ديجي-تك</x:v>
      </x:c>
      <x:c r="I452" s="6" t="str">
        <x:v>إصلاح الفرامل McLaren في دبي</x:v>
      </x:c>
      <x:c r="J452" s="6" t="str">
        <x:v>إصلاح الفرامل McLaren في دبي</x:v>
      </x:c>
      <x:c r="K452" s="6" t="str">
        <x:v>إصلاح الفرامل متخصص لسيارات McLaren في دبي مع تشخيص متقدم وقطع مناسبة وتسعير واضح لدى مركز ديجي-تك.</x:v>
      </x:c>
      <x:c r="L452" s="6" t="str">
        <x:v>Retain pending evidence; no specific content edit justified by this export.</x:v>
      </x:c>
      <x:c r="M452" s="6" t="str">
        <x:v>Retain; inspect relevant context before adding links</x:v>
      </x:c>
      <x:c r="N452" s="6" t="str">
        <x:v>Unconfirmed — no query/page pairing</x:v>
      </x:c>
      <x:c r="O452" s="6" t="str">
        <x:v>Retain established booking / WhatsApp / call path; live behaviour untested</x:v>
      </x:c>
      <x:c r="P452" s="6" t="str">
        <x:v>Retain canonical and indexation policy pending a live check.</x:v>
      </x:c>
      <x:c r="Q452" s="6" t="str">
        <x:v>Proposed; no website change made</x:v>
      </x:c>
      <x:c r="R452" s="14"/>
      <x:c r="S452" s="14"/>
      <x:c r="T452" s="15"/>
      <x:c r="U452" s="16"/>
      <x:c r="V452" s="6" t="str">
        <x:v>https://digitecme.com/ar/brands/mclaren-service-dubai/brake-repair</x:v>
      </x:c>
      <x:c r="W452" s="6" t="str">
        <x:v>Indexable directive</x:v>
      </x:c>
      <x:c r="X452" s="6" t="n">
        <x:v>16</x:v>
      </x:c>
      <x:c r="Y452" s="6" t="str">
        <x:v>إصلاح الفرامل McLaren في دبي | ديجي-تك</x:v>
      </x:c>
      <x:c r="Z452" s="6" t="str"/>
      <x:c r="AA452" s="6" t="str">
        <x:v>No / not compared</x:v>
      </x:c>
    </x:row>
    <x:row r="453" ht="42" customHeight="1">
      <x:c r="A453" s="6" t="str">
        <x:v>https://digitecme.com/ar/brands/mclaren-service-dubai/electrical-repair</x:v>
      </x:c>
      <x:c r="B453" s="6" t="str"/>
      <x:c r="C453" s="6" t="str"/>
      <x:c r="D453" s="6" t="str">
        <x:v>brand-service</x:v>
      </x:c>
      <x:c r="E453" s="6" t="str">
        <x:v>Retain differentiated role</x:v>
      </x:c>
      <x:c r="F453" s="6" t="str">
        <x:v>Local source render; live version unverified</x:v>
      </x:c>
      <x:c r="G453" s="6" t="str">
        <x:v>إصلاح الكهرباء McLaren في دبي | ديجي-تك</x:v>
      </x:c>
      <x:c r="H453" s="6" t="str">
        <x:v>إصلاح الكهرباء McLaren في دبي | ديجي-تك</x:v>
      </x:c>
      <x:c r="I453" s="6" t="str">
        <x:v>إصلاح الكهرباء McLaren في دبي</x:v>
      </x:c>
      <x:c r="J453" s="6" t="str">
        <x:v>إصلاح الكهرباء McLaren في دبي</x:v>
      </x:c>
      <x:c r="K453" s="6" t="str">
        <x:v>إصلاح الكهرباء متخصص لسيارات McLaren في دبي مع تشخيص متقدم وقطع مناسبة وتسعير واضح لدى مركز ديجي-تك.</x:v>
      </x:c>
      <x:c r="L453" s="6" t="str">
        <x:v>Retain pending evidence; no specific content edit justified by this export.</x:v>
      </x:c>
      <x:c r="M453" s="6" t="str">
        <x:v>Retain; inspect relevant context before adding links</x:v>
      </x:c>
      <x:c r="N453" s="6" t="str">
        <x:v>Unconfirmed — no query/page pairing</x:v>
      </x:c>
      <x:c r="O453" s="6" t="str">
        <x:v>Retain established booking / WhatsApp / call path; live behaviour untested</x:v>
      </x:c>
      <x:c r="P453" s="6" t="str">
        <x:v>Retain canonical and indexation policy pending a live check.</x:v>
      </x:c>
      <x:c r="Q453" s="6" t="str">
        <x:v>Proposed; no website change made</x:v>
      </x:c>
      <x:c r="R453" s="14"/>
      <x:c r="S453" s="14"/>
      <x:c r="T453" s="15"/>
      <x:c r="U453" s="16"/>
      <x:c r="V453" s="6" t="str">
        <x:v>https://digitecme.com/ar/brands/mclaren-service-dubai/electrical-repair</x:v>
      </x:c>
      <x:c r="W453" s="6" t="str">
        <x:v>Indexable directive</x:v>
      </x:c>
      <x:c r="X453" s="6" t="n">
        <x:v>16</x:v>
      </x:c>
      <x:c r="Y453" s="6" t="str">
        <x:v>إصلاح الكهرباء McLaren في دبي | ديجي-تك</x:v>
      </x:c>
      <x:c r="Z453" s="6" t="str"/>
      <x:c r="AA453" s="6" t="str">
        <x:v>No / not compared</x:v>
      </x:c>
    </x:row>
    <x:row r="454" ht="42" customHeight="1">
      <x:c r="A454" s="6" t="str">
        <x:v>https://digitecme.com/ar/brands/mclaren-service-dubai/engine-diagnostics</x:v>
      </x:c>
      <x:c r="B454" s="6" t="str"/>
      <x:c r="C454" s="6" t="str"/>
      <x:c r="D454" s="6" t="str">
        <x:v>brand-service</x:v>
      </x:c>
      <x:c r="E454" s="6" t="str">
        <x:v>Retain differentiated role</x:v>
      </x:c>
      <x:c r="F454" s="6" t="str">
        <x:v>Local source render; live version unverified</x:v>
      </x:c>
      <x:c r="G454" s="6" t="str">
        <x:v>تشخيص المحرك McLaren في دبي | ديجي-تك</x:v>
      </x:c>
      <x:c r="H454" s="6" t="str">
        <x:v>تشخيص المحرك McLaren في دبي | ديجي-تك</x:v>
      </x:c>
      <x:c r="I454" s="6" t="str">
        <x:v>تشخيص المحرك McLaren في دبي</x:v>
      </x:c>
      <x:c r="J454" s="6" t="str">
        <x:v>تشخيص المحرك McLaren في دبي</x:v>
      </x:c>
      <x:c r="K454" s="6" t="str">
        <x:v>تشخيص المحرك متخصص لسيارات McLaren في دبي مع تشخيص متقدم وقطع مناسبة وتسعير واضح لدى مركز ديجي-تك.</x:v>
      </x:c>
      <x:c r="L454" s="6" t="str">
        <x:v>Retain pending evidence; no specific content edit justified by this export.</x:v>
      </x:c>
      <x:c r="M454" s="6" t="str">
        <x:v>Retain; inspect relevant context before adding links</x:v>
      </x:c>
      <x:c r="N454" s="6" t="str">
        <x:v>Unconfirmed — no query/page pairing</x:v>
      </x:c>
      <x:c r="O454" s="6" t="str">
        <x:v>Retain established booking / WhatsApp / call path; live behaviour untested</x:v>
      </x:c>
      <x:c r="P454" s="6" t="str">
        <x:v>Retain canonical and indexation policy pending a live check.</x:v>
      </x:c>
      <x:c r="Q454" s="6" t="str">
        <x:v>Proposed; no website change made</x:v>
      </x:c>
      <x:c r="R454" s="14"/>
      <x:c r="S454" s="14"/>
      <x:c r="T454" s="15"/>
      <x:c r="U454" s="16"/>
      <x:c r="V454" s="6" t="str">
        <x:v>https://digitecme.com/ar/brands/mclaren-service-dubai/engine-diagnostics</x:v>
      </x:c>
      <x:c r="W454" s="6" t="str">
        <x:v>Indexable directive</x:v>
      </x:c>
      <x:c r="X454" s="6" t="n">
        <x:v>17</x:v>
      </x:c>
      <x:c r="Y454" s="6" t="str">
        <x:v>تشخيص المحرك McLaren في دبي | ديجي-تك</x:v>
      </x:c>
      <x:c r="Z454" s="6" t="str"/>
      <x:c r="AA454" s="6" t="str">
        <x:v>No / not compared</x:v>
      </x:c>
    </x:row>
    <x:row r="455" ht="42" customHeight="1">
      <x:c r="A455" s="6" t="str">
        <x:v>https://digitecme.com/ar/brands/mclaren-service-dubai/exhaust-repair</x:v>
      </x:c>
      <x:c r="B455" s="6" t="str"/>
      <x:c r="C455" s="6" t="str"/>
      <x:c r="D455" s="6" t="str">
        <x:v>brand-service</x:v>
      </x:c>
      <x:c r="E455" s="6" t="str">
        <x:v>Retain differentiated role</x:v>
      </x:c>
      <x:c r="F455" s="6" t="str">
        <x:v>Local source render; live version unverified</x:v>
      </x:c>
      <x:c r="G455" s="6" t="str">
        <x:v>إصلاح العادم McLaren في دبي | ديجي-تك</x:v>
      </x:c>
      <x:c r="H455" s="6" t="str">
        <x:v>إصلاح العادم McLaren في دبي | ديجي-تك</x:v>
      </x:c>
      <x:c r="I455" s="6" t="str">
        <x:v>إصلاح العادم McLaren في دبي</x:v>
      </x:c>
      <x:c r="J455" s="6" t="str">
        <x:v>إصلاح العادم McLaren في دبي</x:v>
      </x:c>
      <x:c r="K455" s="6" t="str">
        <x:v>إصلاح العادم متخصص لسيارات McLaren في دبي مع تشخيص متقدم وقطع مناسبة وتسعير واضح لدى مركز ديجي-تك.</x:v>
      </x:c>
      <x:c r="L455" s="6" t="str">
        <x:v>Retain pending evidence; no specific content edit justified by this export.</x:v>
      </x:c>
      <x:c r="M455" s="6" t="str">
        <x:v>Retain; inspect relevant context before adding links</x:v>
      </x:c>
      <x:c r="N455" s="6" t="str">
        <x:v>Unconfirmed — no query/page pairing</x:v>
      </x:c>
      <x:c r="O455" s="6" t="str">
        <x:v>Retain established booking / WhatsApp / call path; live behaviour untested</x:v>
      </x:c>
      <x:c r="P455" s="6" t="str">
        <x:v>Retain canonical and indexation policy pending a live check.</x:v>
      </x:c>
      <x:c r="Q455" s="6" t="str">
        <x:v>Proposed; no website change made</x:v>
      </x:c>
      <x:c r="R455" s="14"/>
      <x:c r="S455" s="14"/>
      <x:c r="T455" s="15"/>
      <x:c r="U455" s="16"/>
      <x:c r="V455" s="6" t="str">
        <x:v>https://digitecme.com/ar/brands/mclaren-service-dubai/exhaust-repair</x:v>
      </x:c>
      <x:c r="W455" s="6" t="str">
        <x:v>Indexable directive</x:v>
      </x:c>
      <x:c r="X455" s="6" t="n">
        <x:v>16</x:v>
      </x:c>
      <x:c r="Y455" s="6" t="str">
        <x:v>إصلاح العادم McLaren في دبي | ديجي-تك</x:v>
      </x:c>
      <x:c r="Z455" s="6" t="str"/>
      <x:c r="AA455" s="6" t="str">
        <x:v>No / not compared</x:v>
      </x:c>
    </x:row>
    <x:row r="456" ht="42" customHeight="1">
      <x:c r="A456" s="6" t="str">
        <x:v>https://digitecme.com/ar/brands/mclaren-service-dubai/fuel-system-repair</x:v>
      </x:c>
      <x:c r="B456" s="6" t="str"/>
      <x:c r="C456" s="6" t="str"/>
      <x:c r="D456" s="6" t="str">
        <x:v>brand-service</x:v>
      </x:c>
      <x:c r="E456" s="6" t="str">
        <x:v>Retain differentiated role</x:v>
      </x:c>
      <x:c r="F456" s="6" t="str">
        <x:v>Local source render; live version unverified</x:v>
      </x:c>
      <x:c r="G456" s="6" t="str">
        <x:v>إصلاح نظام الوقود McLaren في دبي | ديجي-تك</x:v>
      </x:c>
      <x:c r="H456" s="6" t="str">
        <x:v>إصلاح نظام الوقود McLaren في دبي | ديجي-تك</x:v>
      </x:c>
      <x:c r="I456" s="6" t="str">
        <x:v>إصلاح نظام الوقود McLaren في دبي</x:v>
      </x:c>
      <x:c r="J456" s="6" t="str">
        <x:v>إصلاح نظام الوقود McLaren في دبي</x:v>
      </x:c>
      <x:c r="K456" s="6" t="str">
        <x:v>إصلاح نظام الوقود متخصص لسيارات McLaren في دبي مع تشخيص متقدم وقطع مناسبة وتسعير واضح لدى مركز ديجي-تك.</x:v>
      </x:c>
      <x:c r="L456" s="6" t="str">
        <x:v>Retain pending evidence; no specific content edit justified by this export.</x:v>
      </x:c>
      <x:c r="M456" s="6" t="str">
        <x:v>Retain; inspect relevant context before adding links</x:v>
      </x:c>
      <x:c r="N456" s="6" t="str">
        <x:v>Unconfirmed — no query/page pairing</x:v>
      </x:c>
      <x:c r="O456" s="6" t="str">
        <x:v>Retain established booking / WhatsApp / call path; live behaviour untested</x:v>
      </x:c>
      <x:c r="P456" s="6" t="str">
        <x:v>Retain canonical and indexation policy pending a live check.</x:v>
      </x:c>
      <x:c r="Q456" s="6" t="str">
        <x:v>Proposed; no website change made</x:v>
      </x:c>
      <x:c r="R456" s="14"/>
      <x:c r="S456" s="14"/>
      <x:c r="T456" s="15"/>
      <x:c r="U456" s="16"/>
      <x:c r="V456" s="6" t="str">
        <x:v>https://digitecme.com/ar/brands/mclaren-service-dubai/fuel-system-repair</x:v>
      </x:c>
      <x:c r="W456" s="6" t="str">
        <x:v>Indexable directive</x:v>
      </x:c>
      <x:c r="X456" s="6" t="n">
        <x:v>16</x:v>
      </x:c>
      <x:c r="Y456" s="6" t="str">
        <x:v>إصلاح نظام الوقود McLaren في دبي | ديجي-تك</x:v>
      </x:c>
      <x:c r="Z456" s="6" t="str"/>
      <x:c r="AA456" s="6" t="str">
        <x:v>No / not compared</x:v>
      </x:c>
    </x:row>
    <x:row r="457" ht="42" customHeight="1">
      <x:c r="A457" s="6" t="str">
        <x:v>https://digitecme.com/ar/brands/mclaren-service-dubai/mechanical-repair</x:v>
      </x:c>
      <x:c r="B457" s="6" t="str"/>
      <x:c r="C457" s="6" t="str"/>
      <x:c r="D457" s="6" t="str">
        <x:v>brand-service</x:v>
      </x:c>
      <x:c r="E457" s="6" t="str">
        <x:v>Retain differentiated role</x:v>
      </x:c>
      <x:c r="F457" s="6" t="str">
        <x:v>Local source render; live version unverified</x:v>
      </x:c>
      <x:c r="G457" s="6" t="str">
        <x:v>الإصلاح الميكانيكي McLaren في دبي | ديجي-تك</x:v>
      </x:c>
      <x:c r="H457" s="6" t="str">
        <x:v>الإصلاح الميكانيكي McLaren في دبي | ديجي-تك</x:v>
      </x:c>
      <x:c r="I457" s="6" t="str">
        <x:v>الإصلاح الميكانيكي McLaren في دبي</x:v>
      </x:c>
      <x:c r="J457" s="6" t="str">
        <x:v>الإصلاح الميكانيكي McLaren في دبي</x:v>
      </x:c>
      <x:c r="K457" s="6" t="str">
        <x:v>الإصلاح الميكانيكي متخصص لسيارات McLaren في دبي مع تشخيص متقدم وقطع مناسبة وتسعير واضح لدى مركز ديجي-تك.</x:v>
      </x:c>
      <x:c r="L457" s="6" t="str">
        <x:v>Retain pending evidence; no specific content edit justified by this export.</x:v>
      </x:c>
      <x:c r="M457" s="6" t="str">
        <x:v>Retain; inspect relevant context before adding links</x:v>
      </x:c>
      <x:c r="N457" s="6" t="str">
        <x:v>Unconfirmed — no query/page pairing</x:v>
      </x:c>
      <x:c r="O457" s="6" t="str">
        <x:v>Retain established booking / WhatsApp / call path; live behaviour untested</x:v>
      </x:c>
      <x:c r="P457" s="6" t="str">
        <x:v>Retain canonical and indexation policy pending a live check.</x:v>
      </x:c>
      <x:c r="Q457" s="6" t="str">
        <x:v>Proposed; no website change made</x:v>
      </x:c>
      <x:c r="R457" s="14" t="n">
        <x:v>0</x:v>
      </x:c>
      <x:c r="S457" s="14" t="n">
        <x:v>1</x:v>
      </x:c>
      <x:c r="T457" s="15" t="n">
        <x:v>0</x:v>
      </x:c>
      <x:c r="U457" s="16" t="n">
        <x:v>10</x:v>
      </x:c>
      <x:c r="V457" s="6" t="str">
        <x:v>https://digitecme.com/ar/brands/mclaren-service-dubai/mechanical-repair</x:v>
      </x:c>
      <x:c r="W457" s="6" t="str">
        <x:v>Indexable directive</x:v>
      </x:c>
      <x:c r="X457" s="6" t="n">
        <x:v>17</x:v>
      </x:c>
      <x:c r="Y457" s="6" t="str">
        <x:v>الإصلاح الميكانيكي McLaren في دبي | ديجي-تك</x:v>
      </x:c>
      <x:c r="Z457" s="6" t="str"/>
      <x:c r="AA457" s="6" t="str">
        <x:v>No / not compared</x:v>
      </x:c>
    </x:row>
    <x:row r="458" ht="42" customHeight="1">
      <x:c r="A458" s="6" t="str">
        <x:v>https://digitecme.com/ar/brands/mclaren-service-dubai/oil-change</x:v>
      </x:c>
      <x:c r="B458" s="6" t="str"/>
      <x:c r="C458" s="6" t="str"/>
      <x:c r="D458" s="6" t="str">
        <x:v>brand-service</x:v>
      </x:c>
      <x:c r="E458" s="6" t="str">
        <x:v>Retain differentiated role</x:v>
      </x:c>
      <x:c r="F458" s="6" t="str">
        <x:v>Local source render; live version unverified</x:v>
      </x:c>
      <x:c r="G458" s="6" t="str">
        <x:v>تغيير الزيت McLaren في دبي | ديجي-تك</x:v>
      </x:c>
      <x:c r="H458" s="6" t="str">
        <x:v>تغيير الزيت McLaren في دبي | ديجي-تك</x:v>
      </x:c>
      <x:c r="I458" s="6" t="str">
        <x:v>تغيير الزيت McLaren في دبي</x:v>
      </x:c>
      <x:c r="J458" s="6" t="str">
        <x:v>تغيير الزيت McLaren في دبي</x:v>
      </x:c>
      <x:c r="K458" s="6" t="str">
        <x:v>تغيير الزيت متخصص لسيارات McLaren في دبي مع تشخيص متقدم وقطع مناسبة وتسعير واضح لدى مركز ديجي-تك.</x:v>
      </x:c>
      <x:c r="L458" s="6" t="str">
        <x:v>Retain pending evidence; no specific content edit justified by this export.</x:v>
      </x:c>
      <x:c r="M458" s="6" t="str">
        <x:v>Retain; inspect relevant context before adding links</x:v>
      </x:c>
      <x:c r="N458" s="6" t="str">
        <x:v>Unconfirmed — no query/page pairing</x:v>
      </x:c>
      <x:c r="O458" s="6" t="str">
        <x:v>Retain established booking / WhatsApp / call path; live behaviour untested</x:v>
      </x:c>
      <x:c r="P458" s="6" t="str">
        <x:v>Retain canonical and indexation policy pending a live check.</x:v>
      </x:c>
      <x:c r="Q458" s="6" t="str">
        <x:v>Proposed; no website change made</x:v>
      </x:c>
      <x:c r="R458" s="14"/>
      <x:c r="S458" s="14"/>
      <x:c r="T458" s="15"/>
      <x:c r="U458" s="16"/>
      <x:c r="V458" s="6" t="str">
        <x:v>https://digitecme.com/ar/brands/mclaren-service-dubai/oil-change</x:v>
      </x:c>
      <x:c r="W458" s="6" t="str">
        <x:v>Indexable directive</x:v>
      </x:c>
      <x:c r="X458" s="6" t="n">
        <x:v>17</x:v>
      </x:c>
      <x:c r="Y458" s="6" t="str">
        <x:v>تغيير الزيت McLaren في دبي | ديجي-تك</x:v>
      </x:c>
      <x:c r="Z458" s="6" t="str"/>
      <x:c r="AA458" s="6" t="str">
        <x:v>No / not compared</x:v>
      </x:c>
    </x:row>
    <x:row r="459" ht="42" customHeight="1">
      <x:c r="A459" s="6" t="str">
        <x:v>https://digitecme.com/ar/brands/mclaren-service-dubai/steering-repair</x:v>
      </x:c>
      <x:c r="B459" s="6" t="str"/>
      <x:c r="C459" s="6" t="str"/>
      <x:c r="D459" s="6" t="str">
        <x:v>brand-service</x:v>
      </x:c>
      <x:c r="E459" s="6" t="str">
        <x:v>Retain differentiated role</x:v>
      </x:c>
      <x:c r="F459" s="6" t="str">
        <x:v>Local source render; live version unverified</x:v>
      </x:c>
      <x:c r="G459" s="6" t="str">
        <x:v>إصلاح نظام التوجيه McLaren في دبي | ديجي-تك</x:v>
      </x:c>
      <x:c r="H459" s="6" t="str">
        <x:v>إصلاح نظام التوجيه McLaren في دبي | ديجي-تك</x:v>
      </x:c>
      <x:c r="I459" s="6" t="str">
        <x:v>إصلاح نظام التوجيه McLaren في دبي</x:v>
      </x:c>
      <x:c r="J459" s="6" t="str">
        <x:v>إصلاح نظام التوجيه McLaren في دبي</x:v>
      </x:c>
      <x:c r="K459" s="6" t="str">
        <x:v>إصلاح نظام التوجيه متخصص لسيارات McLaren في دبي مع تشخيص متقدم وقطع مناسبة وتسعير واضح لدى مركز ديجي-تك.</x:v>
      </x:c>
      <x:c r="L459" s="6" t="str">
        <x:v>Retain pending evidence; no specific content edit justified by this export.</x:v>
      </x:c>
      <x:c r="M459" s="6" t="str">
        <x:v>Retain; inspect relevant context before adding links</x:v>
      </x:c>
      <x:c r="N459" s="6" t="str">
        <x:v>Unconfirmed — no query/page pairing</x:v>
      </x:c>
      <x:c r="O459" s="6" t="str">
        <x:v>Retain established booking / WhatsApp / call path; live behaviour untested</x:v>
      </x:c>
      <x:c r="P459" s="6" t="str">
        <x:v>Retain canonical and indexation policy pending a live check.</x:v>
      </x:c>
      <x:c r="Q459" s="6" t="str">
        <x:v>Proposed; no website change made</x:v>
      </x:c>
      <x:c r="R459" s="14"/>
      <x:c r="S459" s="14"/>
      <x:c r="T459" s="15"/>
      <x:c r="U459" s="16"/>
      <x:c r="V459" s="6" t="str">
        <x:v>https://digitecme.com/ar/brands/mclaren-service-dubai/steering-repair</x:v>
      </x:c>
      <x:c r="W459" s="6" t="str">
        <x:v>Indexable directive</x:v>
      </x:c>
      <x:c r="X459" s="6" t="n">
        <x:v>16</x:v>
      </x:c>
      <x:c r="Y459" s="6" t="str">
        <x:v>إصلاح نظام التوجيه McLaren في دبي | ديجي-تك</x:v>
      </x:c>
      <x:c r="Z459" s="6" t="str"/>
      <x:c r="AA459" s="6" t="str">
        <x:v>No / not compared</x:v>
      </x:c>
    </x:row>
    <x:row r="460" ht="42" customHeight="1">
      <x:c r="A460" s="6" t="str">
        <x:v>https://digitecme.com/ar/brands/mclaren-service-dubai/suspension-repair</x:v>
      </x:c>
      <x:c r="B460" s="6" t="str"/>
      <x:c r="C460" s="6" t="str"/>
      <x:c r="D460" s="6" t="str">
        <x:v>brand-service</x:v>
      </x:c>
      <x:c r="E460" s="6" t="str">
        <x:v>Retain differentiated role</x:v>
      </x:c>
      <x:c r="F460" s="6" t="str">
        <x:v>Local source render; live version unverified</x:v>
      </x:c>
      <x:c r="G460" s="6" t="str">
        <x:v>إصلاح التعليق McLaren في دبي | ديجي-تك</x:v>
      </x:c>
      <x:c r="H460" s="6" t="str">
        <x:v>إصلاح التعليق McLaren في دبي | ديجي-تك</x:v>
      </x:c>
      <x:c r="I460" s="6" t="str">
        <x:v>إصلاح التعليق McLaren في دبي</x:v>
      </x:c>
      <x:c r="J460" s="6" t="str">
        <x:v>إصلاح التعليق McLaren في دبي</x:v>
      </x:c>
      <x:c r="K460" s="6" t="str">
        <x:v>إصلاح التعليق متخصص لسيارات McLaren في دبي مع تشخيص متقدم وقطع مناسبة وتسعير واضح لدى مركز ديجي-تك.</x:v>
      </x:c>
      <x:c r="L460" s="6" t="str">
        <x:v>Retain pending evidence; no specific content edit justified by this export.</x:v>
      </x:c>
      <x:c r="M460" s="6" t="str">
        <x:v>Retain; inspect relevant context before adding links</x:v>
      </x:c>
      <x:c r="N460" s="6" t="str">
        <x:v>Unconfirmed — no query/page pairing</x:v>
      </x:c>
      <x:c r="O460" s="6" t="str">
        <x:v>Retain established booking / WhatsApp / call path; live behaviour untested</x:v>
      </x:c>
      <x:c r="P460" s="6" t="str">
        <x:v>Retain canonical and indexation policy pending a live check.</x:v>
      </x:c>
      <x:c r="Q460" s="6" t="str">
        <x:v>Proposed; no website change made</x:v>
      </x:c>
      <x:c r="R460" s="14"/>
      <x:c r="S460" s="14"/>
      <x:c r="T460" s="15"/>
      <x:c r="U460" s="16"/>
      <x:c r="V460" s="6" t="str">
        <x:v>https://digitecme.com/ar/brands/mclaren-service-dubai/suspension-repair</x:v>
      </x:c>
      <x:c r="W460" s="6" t="str">
        <x:v>Indexable directive</x:v>
      </x:c>
      <x:c r="X460" s="6" t="n">
        <x:v>17</x:v>
      </x:c>
      <x:c r="Y460" s="6" t="str">
        <x:v>إصلاح التعليق McLaren في دبي | ديجي-تك</x:v>
      </x:c>
      <x:c r="Z460" s="6" t="str"/>
      <x:c r="AA460" s="6" t="str">
        <x:v>No / not compared</x:v>
      </x:c>
    </x:row>
    <x:row r="461" ht="42" customHeight="1">
      <x:c r="A461" s="6" t="str">
        <x:v>https://digitecme.com/ar/brands/mclaren-service-dubai/tire-repair</x:v>
      </x:c>
      <x:c r="B461" s="6" t="str"/>
      <x:c r="C461" s="6" t="str"/>
      <x:c r="D461" s="6" t="str">
        <x:v>brand-service</x:v>
      </x:c>
      <x:c r="E461" s="6" t="str">
        <x:v>Retain differentiated role</x:v>
      </x:c>
      <x:c r="F461" s="6" t="str">
        <x:v>Local source render; live version unverified</x:v>
      </x:c>
      <x:c r="G461" s="6" t="str">
        <x:v>إصلاح الإطارات McLaren في دبي | ديجي-تك</x:v>
      </x:c>
      <x:c r="H461" s="6" t="str">
        <x:v>إصلاح الإطارات McLaren في دبي | ديجي-تك</x:v>
      </x:c>
      <x:c r="I461" s="6" t="str">
        <x:v>إصلاح الإطارات McLaren في دبي</x:v>
      </x:c>
      <x:c r="J461" s="6" t="str">
        <x:v>إصلاح الإطارات McLaren في دبي</x:v>
      </x:c>
      <x:c r="K461" s="6" t="str">
        <x:v>إصلاح الإطارات متخصص لسيارات McLaren في دبي مع تشخيص متقدم وقطع مناسبة وتسعير واضح لدى مركز ديجي-تك.</x:v>
      </x:c>
      <x:c r="L461" s="6" t="str">
        <x:v>Retain pending evidence; no specific content edit justified by this export.</x:v>
      </x:c>
      <x:c r="M461" s="6" t="str">
        <x:v>Retain; inspect relevant context before adding links</x:v>
      </x:c>
      <x:c r="N461" s="6" t="str">
        <x:v>Unconfirmed — no query/page pairing</x:v>
      </x:c>
      <x:c r="O461" s="6" t="str">
        <x:v>Retain established booking / WhatsApp / call path; live behaviour untested</x:v>
      </x:c>
      <x:c r="P461" s="6" t="str">
        <x:v>Retain canonical and indexation policy pending a live check.</x:v>
      </x:c>
      <x:c r="Q461" s="6" t="str">
        <x:v>Proposed; no website change made</x:v>
      </x:c>
      <x:c r="R461" s="14"/>
      <x:c r="S461" s="14"/>
      <x:c r="T461" s="15"/>
      <x:c r="U461" s="16"/>
      <x:c r="V461" s="6" t="str">
        <x:v>https://digitecme.com/ar/brands/mclaren-service-dubai/tire-repair</x:v>
      </x:c>
      <x:c r="W461" s="6" t="str">
        <x:v>Indexable directive</x:v>
      </x:c>
      <x:c r="X461" s="6" t="n">
        <x:v>16</x:v>
      </x:c>
      <x:c r="Y461" s="6" t="str">
        <x:v>إصلاح الإطارات McLaren في دبي | ديجي-تك</x:v>
      </x:c>
      <x:c r="Z461" s="6" t="str"/>
      <x:c r="AA461" s="6" t="str">
        <x:v>No / not compared</x:v>
      </x:c>
    </x:row>
    <x:row r="462" ht="42" customHeight="1">
      <x:c r="A462" s="6" t="str">
        <x:v>https://digitecme.com/ar/brands/mclaren-service-dubai/transmission-repair</x:v>
      </x:c>
      <x:c r="B462" s="6" t="str"/>
      <x:c r="C462" s="6" t="str"/>
      <x:c r="D462" s="6" t="str">
        <x:v>brand-service</x:v>
      </x:c>
      <x:c r="E462" s="6" t="str">
        <x:v>Retain differentiated role</x:v>
      </x:c>
      <x:c r="F462" s="6" t="str">
        <x:v>Local source render; live version unverified</x:v>
      </x:c>
      <x:c r="G462" s="6" t="str">
        <x:v>إصلاح ناقل الحركة McLaren في دبي | ديجي-تك</x:v>
      </x:c>
      <x:c r="H462" s="6" t="str">
        <x:v>إصلاح ناقل الحركة McLaren في دبي | ديجي-تك</x:v>
      </x:c>
      <x:c r="I462" s="6" t="str">
        <x:v>إصلاح ناقل الحركة McLaren في دبي</x:v>
      </x:c>
      <x:c r="J462" s="6" t="str">
        <x:v>إصلاح ناقل الحركة McLaren في دبي</x:v>
      </x:c>
      <x:c r="K462" s="6" t="str">
        <x:v>إصلاح ناقل الحركة متخصص لسيارات McLaren في دبي مع تشخيص متقدم وقطع مناسبة وتسعير واضح لدى مركز ديجي-تك.</x:v>
      </x:c>
      <x:c r="L462" s="6" t="str">
        <x:v>Retain pending evidence; no specific content edit justified by this export.</x:v>
      </x:c>
      <x:c r="M462" s="6" t="str">
        <x:v>Retain; inspect relevant context before adding links</x:v>
      </x:c>
      <x:c r="N462" s="6" t="str">
        <x:v>Unconfirmed — no query/page pairing</x:v>
      </x:c>
      <x:c r="O462" s="6" t="str">
        <x:v>Retain established booking / WhatsApp / call path; live behaviour untested</x:v>
      </x:c>
      <x:c r="P462" s="6" t="str">
        <x:v>Retain canonical and indexation policy pending a live check.</x:v>
      </x:c>
      <x:c r="Q462" s="6" t="str">
        <x:v>Proposed; no website change made</x:v>
      </x:c>
      <x:c r="R462" s="14"/>
      <x:c r="S462" s="14"/>
      <x:c r="T462" s="15"/>
      <x:c r="U462" s="16"/>
      <x:c r="V462" s="6" t="str">
        <x:v>https://digitecme.com/ar/brands/mclaren-service-dubai/transmission-repair</x:v>
      </x:c>
      <x:c r="W462" s="6" t="str">
        <x:v>Indexable directive</x:v>
      </x:c>
      <x:c r="X462" s="6" t="n">
        <x:v>17</x:v>
      </x:c>
      <x:c r="Y462" s="6" t="str">
        <x:v>إصلاح ناقل الحركة McLaren في دبي | ديجي-تك</x:v>
      </x:c>
      <x:c r="Z462" s="6" t="str"/>
      <x:c r="AA462" s="6" t="str">
        <x:v>No / not compared</x:v>
      </x:c>
    </x:row>
    <x:row r="463" ht="42" customHeight="1">
      <x:c r="A463" s="6" t="str">
        <x:v>https://digitecme.com/ar/brands/mercedes-benz-service-dubai</x:v>
      </x:c>
      <x:c r="B463" s="6" t="str">
        <x:v>صيانة مرسيدس</x:v>
      </x:c>
      <x:c r="C463" s="6" t="str">
        <x:v>mercedes-benz: Service and repair (Arabic)</x:v>
      </x:c>
      <x:c r="D463" s="6" t="str">
        <x:v>brand</x:v>
      </x:c>
      <x:c r="E463" s="6" t="str">
        <x:v>Primary owner for assigned intent</x:v>
      </x:c>
      <x:c r="F463" s="6" t="str">
        <x:v>Local source render; live version unverified</x:v>
      </x:c>
      <x:c r="G463" s="6" t="str">
        <x:v>إصلاح وصيانة Mercedes-Benz في دبي | مركز ديجي-تك</x:v>
      </x:c>
      <x:c r="H463" s="6" t="str">
        <x:v>إصلاح وصيانة Mercedes-Benz في دبي | مركز ديجي-تك</x:v>
      </x:c>
      <x:c r="I463" s="6" t="str">
        <x:v>Mercedes-Benz للإصلاح والصيانة في دبي</x:v>
      </x:c>
      <x:c r="J463" s="6" t="str">
        <x:v>Mercedes-Benz للإصلاح والصيانة في دبي</x:v>
      </x:c>
      <x:c r="K463" s="6" t="str">
        <x:v>إصلاح وصيانة Mercedes-Benz في دبي: تشخيص وصيانة وفرامل وناقل حركة وتعليق وتكييف مع قطع بالمواصفات المناسبة لدى مركز ديجي-تك.</x:v>
      </x:c>
      <x:c r="L463" s="6" t="str">
        <x:v>Retain pending evidence; no specific content edit justified by this export.</x:v>
      </x:c>
      <x:c r="M463" s="6" t="str">
        <x:v>Retain; inspect relevant context before adding links</x:v>
      </x:c>
      <x:c r="N463" s="6" t="str">
        <x:v>Unconfirmed — no query/page pairing</x:v>
      </x:c>
      <x:c r="O463" s="6" t="str">
        <x:v>Retain established booking / WhatsApp / call path; live behaviour untested</x:v>
      </x:c>
      <x:c r="P463" s="6" t="str">
        <x:v>Retain canonical and indexation policy pending a live check.</x:v>
      </x:c>
      <x:c r="Q463" s="6" t="str">
        <x:v>Proposed; no website change made</x:v>
      </x:c>
      <x:c r="R463" s="14" t="n">
        <x:v>1</x:v>
      </x:c>
      <x:c r="S463" s="14" t="n">
        <x:v>6</x:v>
      </x:c>
      <x:c r="T463" s="15" t="n">
        <x:v>0.16670000000000001</x:v>
      </x:c>
      <x:c r="U463" s="16" t="n">
        <x:v>14.17</x:v>
      </x:c>
      <x:c r="V463" s="6" t="str">
        <x:v>https://digitecme.com/ar/brands/mercedes-benz-service-dubai</x:v>
      </x:c>
      <x:c r="W463" s="6" t="str">
        <x:v>Indexable directive</x:v>
      </x:c>
      <x:c r="X463" s="6" t="n">
        <x:v>669</x:v>
      </x:c>
      <x:c r="Y463" s="6" t="str">
        <x:v>إصلاح وصيانة Mercedes-Benz في دبي | مركز ديجي-تك</x:v>
      </x:c>
      <x:c r="Z463" s="6" t="str"/>
      <x:c r="AA463" s="6" t="str">
        <x:v>No / not compared</x:v>
      </x:c>
    </x:row>
    <x:row r="464" ht="42" customHeight="1">
      <x:c r="A464" s="6" t="str">
        <x:v>https://digitecme.com/ar/brands/mini-service-dubai</x:v>
      </x:c>
      <x:c r="B464" s="6" t="str">
        <x:v>ورشة تصليح مينى</x:v>
      </x:c>
      <x:c r="C464" s="6" t="str">
        <x:v>mini: Service and repair (Arabic)</x:v>
      </x:c>
      <x:c r="D464" s="6" t="str">
        <x:v>brand</x:v>
      </x:c>
      <x:c r="E464" s="6" t="str">
        <x:v>Primary owner for assigned intent</x:v>
      </x:c>
      <x:c r="F464" s="6" t="str">
        <x:v>Local source render; live version unverified</x:v>
      </x:c>
      <x:c r="G464" s="6" t="str">
        <x:v>إصلاح وصيانة MINI في دبي | مركز ديجي-تك</x:v>
      </x:c>
      <x:c r="H464" s="6" t="str">
        <x:v>إصلاح وصيانة MINI في دبي | مركز ديجي-تك</x:v>
      </x:c>
      <x:c r="I464" s="6" t="str">
        <x:v>MINI للإصلاح والصيانة في دبي</x:v>
      </x:c>
      <x:c r="J464" s="6" t="str">
        <x:v>MINI للإصلاح والصيانة في دبي</x:v>
      </x:c>
      <x:c r="K464" s="6" t="str">
        <x:v>إصلاح وصيانة MINI في دبي: تشخيص وصيانة وفرامل وناقل حركة وتعليق وتكييف مع قطع بالمواصفات المناسبة لدى مركز ديجي-تك.</x:v>
      </x:c>
      <x:c r="L464" s="6" t="str">
        <x:v>Retain pending evidence; no specific content edit justified by this export.</x:v>
      </x:c>
      <x:c r="M464" s="6" t="str">
        <x:v>Retain; inspect relevant context before adding links</x:v>
      </x:c>
      <x:c r="N464" s="6" t="str">
        <x:v>Unconfirmed — no query/page pairing</x:v>
      </x:c>
      <x:c r="O464" s="6" t="str">
        <x:v>Retain established booking / WhatsApp / call path; live behaviour untested</x:v>
      </x:c>
      <x:c r="P464" s="6" t="str">
        <x:v>Retain canonical and indexation policy pending a live check.</x:v>
      </x:c>
      <x:c r="Q464" s="6" t="str">
        <x:v>Proposed; no website change made</x:v>
      </x:c>
      <x:c r="R464" s="14" t="n">
        <x:v>0</x:v>
      </x:c>
      <x:c r="S464" s="14" t="n">
        <x:v>12</x:v>
      </x:c>
      <x:c r="T464" s="15" t="n">
        <x:v>0</x:v>
      </x:c>
      <x:c r="U464" s="16" t="n">
        <x:v>54</x:v>
      </x:c>
      <x:c r="V464" s="6" t="str">
        <x:v>https://digitecme.com/ar/brands/mini-service-dubai</x:v>
      </x:c>
      <x:c r="W464" s="6" t="str">
        <x:v>Indexable directive</x:v>
      </x:c>
      <x:c r="X464" s="6" t="n">
        <x:v>30</x:v>
      </x:c>
      <x:c r="Y464" s="6" t="str">
        <x:v>إصلاح وصيانة MINI في دبي | مركز ديجي-تك</x:v>
      </x:c>
      <x:c r="Z464" s="6" t="str"/>
      <x:c r="AA464" s="6" t="str">
        <x:v>No / not compared</x:v>
      </x:c>
    </x:row>
    <x:row r="465" ht="42" customHeight="1">
      <x:c r="A465" s="6" t="str">
        <x:v>https://digitecme.com/ar/brands/mini-service-dubai/ac-repair</x:v>
      </x:c>
      <x:c r="B465" s="6" t="str"/>
      <x:c r="C465" s="6" t="str"/>
      <x:c r="D465" s="6" t="str">
        <x:v>brand-service</x:v>
      </x:c>
      <x:c r="E465" s="6" t="str">
        <x:v>Retain differentiated role</x:v>
      </x:c>
      <x:c r="F465" s="6" t="str">
        <x:v>Local source render; live version unverified</x:v>
      </x:c>
      <x:c r="G465" s="6" t="str">
        <x:v>إصلاح التكييف MINI في دبي | ديجي-تك</x:v>
      </x:c>
      <x:c r="H465" s="6" t="str">
        <x:v>إصلاح التكييف MINI في دبي | ديجي-تك</x:v>
      </x:c>
      <x:c r="I465" s="6" t="str">
        <x:v>إصلاح التكييف MINI في دبي</x:v>
      </x:c>
      <x:c r="J465" s="6" t="str">
        <x:v>إصلاح التكييف MINI في دبي</x:v>
      </x:c>
      <x:c r="K465" s="6" t="str">
        <x:v>إصلاح التكييف متخصص لسيارات MINI في دبي مع تشخيص متقدم وقطع مناسبة وتسعير واضح لدى مركز ديجي-تك.</x:v>
      </x:c>
      <x:c r="L465" s="6" t="str">
        <x:v>Retain pending evidence; no specific content edit justified by this export.</x:v>
      </x:c>
      <x:c r="M465" s="6" t="str">
        <x:v>Retain; inspect relevant context before adding links</x:v>
      </x:c>
      <x:c r="N465" s="6" t="str">
        <x:v>Unconfirmed — no query/page pairing</x:v>
      </x:c>
      <x:c r="O465" s="6" t="str">
        <x:v>Retain established booking / WhatsApp / call path; live behaviour untested</x:v>
      </x:c>
      <x:c r="P465" s="6" t="str">
        <x:v>Retain canonical and indexation policy pending a live check.</x:v>
      </x:c>
      <x:c r="Q465" s="6" t="str">
        <x:v>Proposed; no website change made</x:v>
      </x:c>
      <x:c r="R465" s="14"/>
      <x:c r="S465" s="14"/>
      <x:c r="T465" s="15"/>
      <x:c r="U465" s="16"/>
      <x:c r="V465" s="6" t="str">
        <x:v>https://digitecme.com/ar/brands/mini-service-dubai/ac-repair</x:v>
      </x:c>
      <x:c r="W465" s="6" t="str">
        <x:v>Indexable directive</x:v>
      </x:c>
      <x:c r="X465" s="6" t="n">
        <x:v>8</x:v>
      </x:c>
      <x:c r="Y465" s="6" t="str">
        <x:v>إصلاح التكييف MINI في دبي | ديجي-تك</x:v>
      </x:c>
      <x:c r="Z465" s="6" t="str"/>
      <x:c r="AA465" s="6" t="str">
        <x:v>No / not compared</x:v>
      </x:c>
    </x:row>
    <x:row r="466" ht="42" customHeight="1">
      <x:c r="A466" s="6" t="str">
        <x:v>https://digitecme.com/ar/brands/mini-service-dubai/brake-repair</x:v>
      </x:c>
      <x:c r="B466" s="6" t="str"/>
      <x:c r="C466" s="6" t="str"/>
      <x:c r="D466" s="6" t="str">
        <x:v>brand-service</x:v>
      </x:c>
      <x:c r="E466" s="6" t="str">
        <x:v>Retain differentiated role</x:v>
      </x:c>
      <x:c r="F466" s="6" t="str">
        <x:v>Local source render; live version unverified</x:v>
      </x:c>
      <x:c r="G466" s="6" t="str">
        <x:v>إصلاح الفرامل MINI في دبي | ديجي-تك</x:v>
      </x:c>
      <x:c r="H466" s="6" t="str">
        <x:v>إصلاح الفرامل MINI في دبي | ديجي-تك</x:v>
      </x:c>
      <x:c r="I466" s="6" t="str">
        <x:v>إصلاح الفرامل MINI في دبي</x:v>
      </x:c>
      <x:c r="J466" s="6" t="str">
        <x:v>إصلاح الفرامل MINI في دبي</x:v>
      </x:c>
      <x:c r="K466" s="6" t="str">
        <x:v>إصلاح الفرامل متخصص لسيارات MINI في دبي مع تشخيص متقدم وقطع مناسبة وتسعير واضح لدى مركز ديجي-تك.</x:v>
      </x:c>
      <x:c r="L466" s="6" t="str">
        <x:v>Retain pending evidence; no specific content edit justified by this export.</x:v>
      </x:c>
      <x:c r="M466" s="6" t="str">
        <x:v>Retain; inspect relevant context before adding links</x:v>
      </x:c>
      <x:c r="N466" s="6" t="str">
        <x:v>Unconfirmed — no query/page pairing</x:v>
      </x:c>
      <x:c r="O466" s="6" t="str">
        <x:v>Retain established booking / WhatsApp / call path; live behaviour untested</x:v>
      </x:c>
      <x:c r="P466" s="6" t="str">
        <x:v>Retain canonical and indexation policy pending a live check.</x:v>
      </x:c>
      <x:c r="Q466" s="6" t="str">
        <x:v>Proposed; no website change made</x:v>
      </x:c>
      <x:c r="R466" s="14"/>
      <x:c r="S466" s="14"/>
      <x:c r="T466" s="15"/>
      <x:c r="U466" s="16"/>
      <x:c r="V466" s="6" t="str">
        <x:v>https://digitecme.com/ar/brands/mini-service-dubai/brake-repair</x:v>
      </x:c>
      <x:c r="W466" s="6" t="str">
        <x:v>Indexable directive</x:v>
      </x:c>
      <x:c r="X466" s="6" t="n">
        <x:v>8</x:v>
      </x:c>
      <x:c r="Y466" s="6" t="str">
        <x:v>إصلاح الفرامل MINI في دبي | ديجي-تك</x:v>
      </x:c>
      <x:c r="Z466" s="6" t="str"/>
      <x:c r="AA466" s="6" t="str">
        <x:v>No / not compared</x:v>
      </x:c>
    </x:row>
    <x:row r="467" ht="42" customHeight="1">
      <x:c r="A467" s="6" t="str">
        <x:v>https://digitecme.com/ar/brands/mini-service-dubai/engine-diagnostics</x:v>
      </x:c>
      <x:c r="B467" s="6" t="str"/>
      <x:c r="C467" s="6" t="str"/>
      <x:c r="D467" s="6" t="str">
        <x:v>brand-service</x:v>
      </x:c>
      <x:c r="E467" s="6" t="str">
        <x:v>Retain differentiated role</x:v>
      </x:c>
      <x:c r="F467" s="6" t="str">
        <x:v>Local source render; live version unverified</x:v>
      </x:c>
      <x:c r="G467" s="6" t="str">
        <x:v>تشخيص المحرك MINI في دبي | ديجي-تك</x:v>
      </x:c>
      <x:c r="H467" s="6" t="str">
        <x:v>تشخيص المحرك MINI في دبي | ديجي-تك</x:v>
      </x:c>
      <x:c r="I467" s="6" t="str">
        <x:v>تشخيص المحرك MINI في دبي</x:v>
      </x:c>
      <x:c r="J467" s="6" t="str">
        <x:v>تشخيص المحرك MINI في دبي</x:v>
      </x:c>
      <x:c r="K467" s="6" t="str">
        <x:v>تشخيص المحرك متخصص لسيارات MINI في دبي مع تشخيص متقدم وقطع مناسبة وتسعير واضح لدى مركز ديجي-تك.</x:v>
      </x:c>
      <x:c r="L467" s="6" t="str">
        <x:v>Retain pending evidence; no specific content edit justified by this export.</x:v>
      </x:c>
      <x:c r="M467" s="6" t="str">
        <x:v>Retain; inspect relevant context before adding links</x:v>
      </x:c>
      <x:c r="N467" s="6" t="str">
        <x:v>Unconfirmed — no query/page pairing</x:v>
      </x:c>
      <x:c r="O467" s="6" t="str">
        <x:v>Retain established booking / WhatsApp / call path; live behaviour untested</x:v>
      </x:c>
      <x:c r="P467" s="6" t="str">
        <x:v>Retain canonical and indexation policy pending a live check.</x:v>
      </x:c>
      <x:c r="Q467" s="6" t="str">
        <x:v>Proposed; no website change made</x:v>
      </x:c>
      <x:c r="R467" s="14"/>
      <x:c r="S467" s="14"/>
      <x:c r="T467" s="15"/>
      <x:c r="U467" s="16"/>
      <x:c r="V467" s="6" t="str">
        <x:v>https://digitecme.com/ar/brands/mini-service-dubai/engine-diagnostics</x:v>
      </x:c>
      <x:c r="W467" s="6" t="str">
        <x:v>Indexable directive</x:v>
      </x:c>
      <x:c r="X467" s="6" t="n">
        <x:v>8</x:v>
      </x:c>
      <x:c r="Y467" s="6" t="str">
        <x:v>تشخيص المحرك MINI في دبي | ديجي-تك</x:v>
      </x:c>
      <x:c r="Z467" s="6" t="str"/>
      <x:c r="AA467" s="6" t="str">
        <x:v>No / not compared</x:v>
      </x:c>
    </x:row>
    <x:row r="468" ht="42" customHeight="1">
      <x:c r="A468" s="6" t="str">
        <x:v>https://digitecme.com/ar/brands/mini-service-dubai/oil-change</x:v>
      </x:c>
      <x:c r="B468" s="6" t="str"/>
      <x:c r="C468" s="6" t="str"/>
      <x:c r="D468" s="6" t="str">
        <x:v>brand-service</x:v>
      </x:c>
      <x:c r="E468" s="6" t="str">
        <x:v>Retain differentiated role</x:v>
      </x:c>
      <x:c r="F468" s="6" t="str">
        <x:v>Local source render; live version unverified</x:v>
      </x:c>
      <x:c r="G468" s="6" t="str">
        <x:v>تغيير الزيت MINI في دبي | ديجي-تك</x:v>
      </x:c>
      <x:c r="H468" s="6" t="str">
        <x:v>تغيير الزيت MINI في دبي | ديجي-تك</x:v>
      </x:c>
      <x:c r="I468" s="6" t="str">
        <x:v>تغيير الزيت MINI في دبي</x:v>
      </x:c>
      <x:c r="J468" s="6" t="str">
        <x:v>تغيير الزيت MINI في دبي</x:v>
      </x:c>
      <x:c r="K468" s="6" t="str">
        <x:v>تغيير الزيت متخصص لسيارات MINI في دبي مع تشخيص متقدم وقطع مناسبة وتسعير واضح لدى مركز ديجي-تك.</x:v>
      </x:c>
      <x:c r="L468" s="6" t="str">
        <x:v>Retain pending evidence; no specific content edit justified by this export.</x:v>
      </x:c>
      <x:c r="M468" s="6" t="str">
        <x:v>Retain; inspect relevant context before adding links</x:v>
      </x:c>
      <x:c r="N468" s="6" t="str">
        <x:v>Unconfirmed — no query/page pairing</x:v>
      </x:c>
      <x:c r="O468" s="6" t="str">
        <x:v>Retain established booking / WhatsApp / call path; live behaviour untested</x:v>
      </x:c>
      <x:c r="P468" s="6" t="str">
        <x:v>Retain canonical and indexation policy pending a live check.</x:v>
      </x:c>
      <x:c r="Q468" s="6" t="str">
        <x:v>Proposed; no website change made</x:v>
      </x:c>
      <x:c r="R468" s="14" t="n">
        <x:v>0</x:v>
      </x:c>
      <x:c r="S468" s="14" t="n">
        <x:v>1</x:v>
      </x:c>
      <x:c r="T468" s="15" t="n">
        <x:v>0</x:v>
      </x:c>
      <x:c r="U468" s="16" t="n">
        <x:v>5</x:v>
      </x:c>
      <x:c r="V468" s="6" t="str">
        <x:v>https://digitecme.com/ar/brands/mini-service-dubai/oil-change</x:v>
      </x:c>
      <x:c r="W468" s="6" t="str">
        <x:v>Indexable directive</x:v>
      </x:c>
      <x:c r="X468" s="6" t="n">
        <x:v>8</x:v>
      </x:c>
      <x:c r="Y468" s="6" t="str">
        <x:v>تغيير الزيت MINI في دبي | ديجي-تك</x:v>
      </x:c>
      <x:c r="Z468" s="6" t="str"/>
      <x:c r="AA468" s="6" t="str">
        <x:v>No / not compared</x:v>
      </x:c>
    </x:row>
    <x:row r="469" ht="42" customHeight="1">
      <x:c r="A469" s="6" t="str">
        <x:v>https://digitecme.com/ar/brands/mini-service-dubai/suspension-repair</x:v>
      </x:c>
      <x:c r="B469" s="6" t="str"/>
      <x:c r="C469" s="6" t="str"/>
      <x:c r="D469" s="6" t="str">
        <x:v>brand-service</x:v>
      </x:c>
      <x:c r="E469" s="6" t="str">
        <x:v>Retain differentiated role</x:v>
      </x:c>
      <x:c r="F469" s="6" t="str">
        <x:v>Local source render; live version unverified</x:v>
      </x:c>
      <x:c r="G469" s="6" t="str">
        <x:v>إصلاح التعليق MINI في دبي | ديجي-تك</x:v>
      </x:c>
      <x:c r="H469" s="6" t="str">
        <x:v>إصلاح التعليق MINI في دبي | ديجي-تك</x:v>
      </x:c>
      <x:c r="I469" s="6" t="str">
        <x:v>إصلاح التعليق MINI في دبي</x:v>
      </x:c>
      <x:c r="J469" s="6" t="str">
        <x:v>إصلاح التعليق MINI في دبي</x:v>
      </x:c>
      <x:c r="K469" s="6" t="str">
        <x:v>إصلاح التعليق متخصص لسيارات MINI في دبي مع تشخيص متقدم وقطع مناسبة وتسعير واضح لدى مركز ديجي-تك.</x:v>
      </x:c>
      <x:c r="L469" s="6" t="str">
        <x:v>Retain pending evidence; no specific content edit justified by this export.</x:v>
      </x:c>
      <x:c r="M469" s="6" t="str">
        <x:v>Retain; inspect relevant context before adding links</x:v>
      </x:c>
      <x:c r="N469" s="6" t="str">
        <x:v>Unconfirmed — no query/page pairing</x:v>
      </x:c>
      <x:c r="O469" s="6" t="str">
        <x:v>Retain established booking / WhatsApp / call path; live behaviour untested</x:v>
      </x:c>
      <x:c r="P469" s="6" t="str">
        <x:v>Retain canonical and indexation policy pending a live check.</x:v>
      </x:c>
      <x:c r="Q469" s="6" t="str">
        <x:v>Proposed; no website change made</x:v>
      </x:c>
      <x:c r="R469" s="14" t="n">
        <x:v>0</x:v>
      </x:c>
      <x:c r="S469" s="14" t="n">
        <x:v>21</x:v>
      </x:c>
      <x:c r="T469" s="15" t="n">
        <x:v>0</x:v>
      </x:c>
      <x:c r="U469" s="16" t="n">
        <x:v>55.9</x:v>
      </x:c>
      <x:c r="V469" s="6" t="str">
        <x:v>https://digitecme.com/ar/brands/mini-service-dubai/suspension-repair</x:v>
      </x:c>
      <x:c r="W469" s="6" t="str">
        <x:v>Noindex directive</x:v>
      </x:c>
      <x:c r="X469" s="6" t="n">
        <x:v>8</x:v>
      </x:c>
      <x:c r="Y469" s="6" t="str">
        <x:v>إصلاح التعليق MINI في دبي | ديجي-تك</x:v>
      </x:c>
      <x:c r="Z469" s="6" t="str"/>
      <x:c r="AA469" s="6" t="str">
        <x:v>No / not compared</x:v>
      </x:c>
    </x:row>
    <x:row r="470" ht="42" customHeight="1">
      <x:c r="A470" s="6" t="str">
        <x:v>https://digitecme.com/ar/brands/mini-service-dubai/transmission-repair</x:v>
      </x:c>
      <x:c r="B470" s="6" t="str"/>
      <x:c r="C470" s="6" t="str"/>
      <x:c r="D470" s="6" t="str">
        <x:v>brand-service</x:v>
      </x:c>
      <x:c r="E470" s="6" t="str">
        <x:v>Retain differentiated role</x:v>
      </x:c>
      <x:c r="F470" s="6" t="str">
        <x:v>Local source render; live version unverified</x:v>
      </x:c>
      <x:c r="G470" s="6" t="str">
        <x:v>إصلاح ناقل الحركة MINI في دبي | ديجي-تك</x:v>
      </x:c>
      <x:c r="H470" s="6" t="str">
        <x:v>إصلاح ناقل الحركة MINI في دبي | ديجي-تك</x:v>
      </x:c>
      <x:c r="I470" s="6" t="str">
        <x:v>إصلاح ناقل الحركة MINI في دبي</x:v>
      </x:c>
      <x:c r="J470" s="6" t="str">
        <x:v>إصلاح ناقل الحركة MINI في دبي</x:v>
      </x:c>
      <x:c r="K470" s="6" t="str">
        <x:v>إصلاح ناقل الحركة متخصص لسيارات MINI في دبي مع تشخيص متقدم وقطع مناسبة وتسعير واضح لدى مركز ديجي-تك.</x:v>
      </x:c>
      <x:c r="L470" s="6" t="str">
        <x:v>Retain pending evidence; no specific content edit justified by this export.</x:v>
      </x:c>
      <x:c r="M470" s="6" t="str">
        <x:v>Retain; inspect relevant context before adding links</x:v>
      </x:c>
      <x:c r="N470" s="6" t="str">
        <x:v>Unconfirmed — no query/page pairing</x:v>
      </x:c>
      <x:c r="O470" s="6" t="str">
        <x:v>Retain established booking / WhatsApp / call path; live behaviour untested</x:v>
      </x:c>
      <x:c r="P470" s="6" t="str">
        <x:v>Retain canonical and indexation policy pending a live check.</x:v>
      </x:c>
      <x:c r="Q470" s="6" t="str">
        <x:v>Proposed; no website change made</x:v>
      </x:c>
      <x:c r="R470" s="14" t="n">
        <x:v>0</x:v>
      </x:c>
      <x:c r="S470" s="14" t="n">
        <x:v>2</x:v>
      </x:c>
      <x:c r="T470" s="15" t="n">
        <x:v>0</x:v>
      </x:c>
      <x:c r="U470" s="16" t="n">
        <x:v>72.5</x:v>
      </x:c>
      <x:c r="V470" s="6" t="str">
        <x:v>https://digitecme.com/ar/brands/mini-service-dubai/transmission-repair</x:v>
      </x:c>
      <x:c r="W470" s="6" t="str">
        <x:v>Noindex directive</x:v>
      </x:c>
      <x:c r="X470" s="6" t="n">
        <x:v>8</x:v>
      </x:c>
      <x:c r="Y470" s="6" t="str">
        <x:v>إصلاح ناقل الحركة MINI في دبي | ديجي-تك</x:v>
      </x:c>
      <x:c r="Z470" s="6" t="str"/>
      <x:c r="AA470" s="6" t="str">
        <x:v>No / not compared</x:v>
      </x:c>
    </x:row>
    <x:row r="471" ht="42" customHeight="1">
      <x:c r="A471" s="6" t="str">
        <x:v>https://digitecme.com/ar/brands/mitsubishi-service-dubai</x:v>
      </x:c>
      <x:c r="B471" s="6" t="str"/>
      <x:c r="C471" s="6" t="str"/>
      <x:c r="D471" s="6" t="str">
        <x:v>brand</x:v>
      </x:c>
      <x:c r="E471" s="6" t="str">
        <x:v>Retain differentiated role</x:v>
      </x:c>
      <x:c r="F471" s="6" t="str">
        <x:v>Local source render; live version unverified</x:v>
      </x:c>
      <x:c r="G471" s="6" t="str">
        <x:v>إصلاح وصيانة Mitsubishi في دبي | مركز ديجي-تك</x:v>
      </x:c>
      <x:c r="H471" s="6" t="str">
        <x:v>إصلاح وصيانة Mitsubishi في دبي | مركز ديجي-تك</x:v>
      </x:c>
      <x:c r="I471" s="6" t="str">
        <x:v>Mitsubishi للإصلاح والصيانة في دبي</x:v>
      </x:c>
      <x:c r="J471" s="6" t="str">
        <x:v>Mitsubishi للإصلاح والصيانة في دبي</x:v>
      </x:c>
      <x:c r="K471" s="6" t="str">
        <x:v>إصلاح وصيانة Mitsubishi في دبي: تشخيص وصيانة وفرامل وناقل حركة وتعليق وتكييف مع قطع بالمواصفات المناسبة لدى مركز ديجي-تك.</x:v>
      </x:c>
      <x:c r="L471" s="6" t="str">
        <x:v>Retain pending evidence; no specific content edit justified by this export.</x:v>
      </x:c>
      <x:c r="M471" s="6" t="str">
        <x:v>Retain; inspect relevant context before adding links</x:v>
      </x:c>
      <x:c r="N471" s="6" t="str">
        <x:v>Unconfirmed — no query/page pairing</x:v>
      </x:c>
      <x:c r="O471" s="6" t="str">
        <x:v>Retain established booking / WhatsApp / call path; live behaviour untested</x:v>
      </x:c>
      <x:c r="P471" s="6" t="str">
        <x:v>Retain canonical and indexation policy pending a live check.</x:v>
      </x:c>
      <x:c r="Q471" s="6" t="str">
        <x:v>Proposed; no website change made</x:v>
      </x:c>
      <x:c r="R471" s="14" t="n">
        <x:v>0</x:v>
      </x:c>
      <x:c r="S471" s="14" t="n">
        <x:v>3</x:v>
      </x:c>
      <x:c r="T471" s="15" t="n">
        <x:v>0</x:v>
      </x:c>
      <x:c r="U471" s="16" t="n">
        <x:v>8.67</x:v>
      </x:c>
      <x:c r="V471" s="6" t="str">
        <x:v>https://digitecme.com/ar/brands/mitsubishi-service-dubai</x:v>
      </x:c>
      <x:c r="W471" s="6" t="str">
        <x:v>Indexable directive</x:v>
      </x:c>
      <x:c r="X471" s="6" t="n">
        <x:v>30</x:v>
      </x:c>
      <x:c r="Y471" s="6" t="str">
        <x:v>إصلاح وصيانة Mitsubishi في دبي | مركز ديجي-تك</x:v>
      </x:c>
      <x:c r="Z471" s="6" t="str"/>
      <x:c r="AA471" s="6" t="str">
        <x:v>No / not compared</x:v>
      </x:c>
    </x:row>
    <x:row r="472" ht="42" customHeight="1">
      <x:c r="A472" s="6" t="str">
        <x:v>https://digitecme.com/ar/brands/mitsubishi-service-dubai/ac-repair</x:v>
      </x:c>
      <x:c r="B472" s="6" t="str"/>
      <x:c r="C472" s="6" t="str"/>
      <x:c r="D472" s="6" t="str">
        <x:v>brand-service</x:v>
      </x:c>
      <x:c r="E472" s="6" t="str">
        <x:v>Retain differentiated role</x:v>
      </x:c>
      <x:c r="F472" s="6" t="str">
        <x:v>Local source render; live version unverified</x:v>
      </x:c>
      <x:c r="G472" s="6" t="str">
        <x:v>إصلاح التكييف Mitsubishi في دبي | ديجي-تك</x:v>
      </x:c>
      <x:c r="H472" s="6" t="str">
        <x:v>إصلاح التكييف Mitsubishi في دبي | ديجي-تك</x:v>
      </x:c>
      <x:c r="I472" s="6" t="str">
        <x:v>إصلاح التكييف Mitsubishi في دبي</x:v>
      </x:c>
      <x:c r="J472" s="6" t="str">
        <x:v>إصلاح التكييف Mitsubishi في دبي</x:v>
      </x:c>
      <x:c r="K472" s="6" t="str">
        <x:v>إصلاح التكييف متخصص لسيارات Mitsubishi في دبي مع تشخيص متقدم وقطع مناسبة وتسعير واضح لدى مركز ديجي-تك.</x:v>
      </x:c>
      <x:c r="L472" s="6" t="str">
        <x:v>Retain pending evidence; no specific content edit justified by this export.</x:v>
      </x:c>
      <x:c r="M472" s="6" t="str">
        <x:v>Retain; inspect relevant context before adding links</x:v>
      </x:c>
      <x:c r="N472" s="6" t="str">
        <x:v>Unconfirmed — no query/page pairing</x:v>
      </x:c>
      <x:c r="O472" s="6" t="str">
        <x:v>Retain established booking / WhatsApp / call path; live behaviour untested</x:v>
      </x:c>
      <x:c r="P472" s="6" t="str">
        <x:v>Retain canonical and indexation policy pending a live check.</x:v>
      </x:c>
      <x:c r="Q472" s="6" t="str">
        <x:v>Proposed; no website change made</x:v>
      </x:c>
      <x:c r="R472" s="14" t="n">
        <x:v>0</x:v>
      </x:c>
      <x:c r="S472" s="14" t="n">
        <x:v>4</x:v>
      </x:c>
      <x:c r="T472" s="15" t="n">
        <x:v>0</x:v>
      </x:c>
      <x:c r="U472" s="16" t="n">
        <x:v>11.75</x:v>
      </x:c>
      <x:c r="V472" s="6" t="str">
        <x:v>https://digitecme.com/ar/brands/mitsubishi-service-dubai/ac-repair</x:v>
      </x:c>
      <x:c r="W472" s="6" t="str">
        <x:v>Indexable directive</x:v>
      </x:c>
      <x:c r="X472" s="6" t="n">
        <x:v>8</x:v>
      </x:c>
      <x:c r="Y472" s="6" t="str">
        <x:v>إصلاح التكييف Mitsubishi في دبي | ديجي-تك</x:v>
      </x:c>
      <x:c r="Z472" s="6" t="str"/>
      <x:c r="AA472" s="6" t="str">
        <x:v>No / not compared</x:v>
      </x:c>
    </x:row>
    <x:row r="473" ht="42" customHeight="1">
      <x:c r="A473" s="6" t="str">
        <x:v>https://digitecme.com/ar/brands/mitsubishi-service-dubai/brake-repair</x:v>
      </x:c>
      <x:c r="B473" s="6" t="str"/>
      <x:c r="C473" s="6" t="str"/>
      <x:c r="D473" s="6" t="str">
        <x:v>brand-service</x:v>
      </x:c>
      <x:c r="E473" s="6" t="str">
        <x:v>Retain differentiated role</x:v>
      </x:c>
      <x:c r="F473" s="6" t="str">
        <x:v>Local source render; live version unverified</x:v>
      </x:c>
      <x:c r="G473" s="6" t="str">
        <x:v>إصلاح الفرامل Mitsubishi في دبي | ديجي-تك</x:v>
      </x:c>
      <x:c r="H473" s="6" t="str">
        <x:v>إصلاح الفرامل Mitsubishi في دبي | ديجي-تك</x:v>
      </x:c>
      <x:c r="I473" s="6" t="str">
        <x:v>إصلاح الفرامل Mitsubishi في دبي</x:v>
      </x:c>
      <x:c r="J473" s="6" t="str">
        <x:v>إصلاح الفرامل Mitsubishi في دبي</x:v>
      </x:c>
      <x:c r="K473" s="6" t="str">
        <x:v>إصلاح الفرامل متخصص لسيارات Mitsubishi في دبي مع تشخيص متقدم وقطع مناسبة وتسعير واضح لدى مركز ديجي-تك.</x:v>
      </x:c>
      <x:c r="L473" s="6" t="str">
        <x:v>Retain pending evidence; no specific content edit justified by this export.</x:v>
      </x:c>
      <x:c r="M473" s="6" t="str">
        <x:v>Retain; inspect relevant context before adding links</x:v>
      </x:c>
      <x:c r="N473" s="6" t="str">
        <x:v>Unconfirmed — no query/page pairing</x:v>
      </x:c>
      <x:c r="O473" s="6" t="str">
        <x:v>Retain established booking / WhatsApp / call path; live behaviour untested</x:v>
      </x:c>
      <x:c r="P473" s="6" t="str">
        <x:v>Retain canonical and indexation policy pending a live check.</x:v>
      </x:c>
      <x:c r="Q473" s="6" t="str">
        <x:v>Proposed; no website change made</x:v>
      </x:c>
      <x:c r="R473" s="14" t="n">
        <x:v>0</x:v>
      </x:c>
      <x:c r="S473" s="14" t="n">
        <x:v>1</x:v>
      </x:c>
      <x:c r="T473" s="15" t="n">
        <x:v>0</x:v>
      </x:c>
      <x:c r="U473" s="16" t="n">
        <x:v>8</x:v>
      </x:c>
      <x:c r="V473" s="6" t="str">
        <x:v>https://digitecme.com/ar/brands/mitsubishi-service-dubai/brake-repair</x:v>
      </x:c>
      <x:c r="W473" s="6" t="str">
        <x:v>Indexable directive</x:v>
      </x:c>
      <x:c r="X473" s="6" t="n">
        <x:v>8</x:v>
      </x:c>
      <x:c r="Y473" s="6" t="str">
        <x:v>إصلاح الفرامل Mitsubishi في دبي | ديجي-تك</x:v>
      </x:c>
      <x:c r="Z473" s="6" t="str"/>
      <x:c r="AA473" s="6" t="str">
        <x:v>No / not compared</x:v>
      </x:c>
    </x:row>
    <x:row r="474" ht="42" customHeight="1">
      <x:c r="A474" s="6" t="str">
        <x:v>https://digitecme.com/ar/brands/mitsubishi-service-dubai/engine-diagnostics</x:v>
      </x:c>
      <x:c r="B474" s="6" t="str"/>
      <x:c r="C474" s="6" t="str"/>
      <x:c r="D474" s="6" t="str">
        <x:v>brand-service</x:v>
      </x:c>
      <x:c r="E474" s="6" t="str">
        <x:v>Retain differentiated role</x:v>
      </x:c>
      <x:c r="F474" s="6" t="str">
        <x:v>Local source render; live version unverified</x:v>
      </x:c>
      <x:c r="G474" s="6" t="str">
        <x:v>تشخيص المحرك Mitsubishi في دبي | ديجي-تك</x:v>
      </x:c>
      <x:c r="H474" s="6" t="str">
        <x:v>تشخيص المحرك Mitsubishi في دبي | ديجي-تك</x:v>
      </x:c>
      <x:c r="I474" s="6" t="str">
        <x:v>تشخيص المحرك Mitsubishi في دبي</x:v>
      </x:c>
      <x:c r="J474" s="6" t="str">
        <x:v>تشخيص المحرك Mitsubishi في دبي</x:v>
      </x:c>
      <x:c r="K474" s="6" t="str">
        <x:v>تشخيص المحرك متخصص لسيارات Mitsubishi في دبي مع تشخيص متقدم وقطع مناسبة وتسعير واضح لدى مركز ديجي-تك.</x:v>
      </x:c>
      <x:c r="L474" s="6" t="str">
        <x:v>Retain pending evidence; no specific content edit justified by this export.</x:v>
      </x:c>
      <x:c r="M474" s="6" t="str">
        <x:v>Retain; inspect relevant context before adding links</x:v>
      </x:c>
      <x:c r="N474" s="6" t="str">
        <x:v>Unconfirmed — no query/page pairing</x:v>
      </x:c>
      <x:c r="O474" s="6" t="str">
        <x:v>Retain established booking / WhatsApp / call path; live behaviour untested</x:v>
      </x:c>
      <x:c r="P474" s="6" t="str">
        <x:v>Retain canonical and indexation policy pending a live check.</x:v>
      </x:c>
      <x:c r="Q474" s="6" t="str">
        <x:v>Proposed; no website change made</x:v>
      </x:c>
      <x:c r="R474" s="14"/>
      <x:c r="S474" s="14"/>
      <x:c r="T474" s="15"/>
      <x:c r="U474" s="16"/>
      <x:c r="V474" s="6" t="str">
        <x:v>https://digitecme.com/ar/brands/mitsubishi-service-dubai/engine-diagnostics</x:v>
      </x:c>
      <x:c r="W474" s="6" t="str">
        <x:v>Indexable directive</x:v>
      </x:c>
      <x:c r="X474" s="6" t="n">
        <x:v>8</x:v>
      </x:c>
      <x:c r="Y474" s="6" t="str">
        <x:v>تشخيص المحرك Mitsubishi في دبي | ديجي-تك</x:v>
      </x:c>
      <x:c r="Z474" s="6" t="str"/>
      <x:c r="AA474" s="6" t="str">
        <x:v>No / not compared</x:v>
      </x:c>
    </x:row>
    <x:row r="475" ht="42" customHeight="1">
      <x:c r="A475" s="6" t="str">
        <x:v>https://digitecme.com/ar/brands/mitsubishi-service-dubai/oil-change</x:v>
      </x:c>
      <x:c r="B475" s="6" t="str"/>
      <x:c r="C475" s="6" t="str"/>
      <x:c r="D475" s="6" t="str">
        <x:v>brand-service</x:v>
      </x:c>
      <x:c r="E475" s="6" t="str">
        <x:v>Retain differentiated role</x:v>
      </x:c>
      <x:c r="F475" s="6" t="str">
        <x:v>Local source render; live version unverified</x:v>
      </x:c>
      <x:c r="G475" s="6" t="str">
        <x:v>تغيير الزيت Mitsubishi في دبي | ديجي-تك</x:v>
      </x:c>
      <x:c r="H475" s="6" t="str">
        <x:v>تغيير الزيت Mitsubishi في دبي | ديجي-تك</x:v>
      </x:c>
      <x:c r="I475" s="6" t="str">
        <x:v>تغيير الزيت Mitsubishi في دبي</x:v>
      </x:c>
      <x:c r="J475" s="6" t="str">
        <x:v>تغيير الزيت Mitsubishi في دبي</x:v>
      </x:c>
      <x:c r="K475" s="6" t="str">
        <x:v>تغيير الزيت متخصص لسيارات Mitsubishi في دبي مع تشخيص متقدم وقطع مناسبة وتسعير واضح لدى مركز ديجي-تك.</x:v>
      </x:c>
      <x:c r="L475" s="6" t="str">
        <x:v>Retain pending evidence; no specific content edit justified by this export.</x:v>
      </x:c>
      <x:c r="M475" s="6" t="str">
        <x:v>Retain; inspect relevant context before adding links</x:v>
      </x:c>
      <x:c r="N475" s="6" t="str">
        <x:v>Unconfirmed — no query/page pairing</x:v>
      </x:c>
      <x:c r="O475" s="6" t="str">
        <x:v>Retain established booking / WhatsApp / call path; live behaviour untested</x:v>
      </x:c>
      <x:c r="P475" s="6" t="str">
        <x:v>Retain canonical and indexation policy pending a live check.</x:v>
      </x:c>
      <x:c r="Q475" s="6" t="str">
        <x:v>Proposed; no website change made</x:v>
      </x:c>
      <x:c r="R475" s="14" t="n">
        <x:v>0</x:v>
      </x:c>
      <x:c r="S475" s="14" t="n">
        <x:v>3</x:v>
      </x:c>
      <x:c r="T475" s="15" t="n">
        <x:v>0</x:v>
      </x:c>
      <x:c r="U475" s="16" t="n">
        <x:v>7</x:v>
      </x:c>
      <x:c r="V475" s="6" t="str">
        <x:v>https://digitecme.com/ar/brands/mitsubishi-service-dubai/oil-change</x:v>
      </x:c>
      <x:c r="W475" s="6" t="str">
        <x:v>Indexable directive</x:v>
      </x:c>
      <x:c r="X475" s="6" t="n">
        <x:v>8</x:v>
      </x:c>
      <x:c r="Y475" s="6" t="str">
        <x:v>تغيير الزيت Mitsubishi في دبي | ديجي-تك</x:v>
      </x:c>
      <x:c r="Z475" s="6" t="str"/>
      <x:c r="AA475" s="6" t="str">
        <x:v>No / not compared</x:v>
      </x:c>
    </x:row>
    <x:row r="476" ht="42" customHeight="1">
      <x:c r="A476" s="6" t="str">
        <x:v>https://digitecme.com/ar/brands/mitsubishi-service-dubai/suspension-repair</x:v>
      </x:c>
      <x:c r="B476" s="6" t="str"/>
      <x:c r="C476" s="6" t="str"/>
      <x:c r="D476" s="6" t="str">
        <x:v>brand-service</x:v>
      </x:c>
      <x:c r="E476" s="6" t="str">
        <x:v>Retain differentiated role</x:v>
      </x:c>
      <x:c r="F476" s="6" t="str">
        <x:v>Local source render; live version unverified</x:v>
      </x:c>
      <x:c r="G476" s="6" t="str">
        <x:v>إصلاح التعليق Mitsubishi في دبي | ديجي-تك</x:v>
      </x:c>
      <x:c r="H476" s="6" t="str">
        <x:v>إصلاح التعليق Mitsubishi في دبي | ديجي-تك</x:v>
      </x:c>
      <x:c r="I476" s="6" t="str">
        <x:v>إصلاح التعليق Mitsubishi في دبي</x:v>
      </x:c>
      <x:c r="J476" s="6" t="str">
        <x:v>إصلاح التعليق Mitsubishi في دبي</x:v>
      </x:c>
      <x:c r="K476" s="6" t="str">
        <x:v>إصلاح التعليق متخصص لسيارات Mitsubishi في دبي مع تشخيص متقدم وقطع مناسبة وتسعير واضح لدى مركز ديجي-تك.</x:v>
      </x:c>
      <x:c r="L476" s="6" t="str">
        <x:v>Retain pending evidence; no specific content edit justified by this export.</x:v>
      </x:c>
      <x:c r="M476" s="6" t="str">
        <x:v>Retain; inspect relevant context before adding links</x:v>
      </x:c>
      <x:c r="N476" s="6" t="str">
        <x:v>Unconfirmed — no query/page pairing</x:v>
      </x:c>
      <x:c r="O476" s="6" t="str">
        <x:v>Retain established booking / WhatsApp / call path; live behaviour untested</x:v>
      </x:c>
      <x:c r="P476" s="6" t="str">
        <x:v>Retain canonical and indexation policy pending a live check.</x:v>
      </x:c>
      <x:c r="Q476" s="6" t="str">
        <x:v>Proposed; no website change made</x:v>
      </x:c>
      <x:c r="R476" s="14" t="n">
        <x:v>0</x:v>
      </x:c>
      <x:c r="S476" s="14" t="n">
        <x:v>2</x:v>
      </x:c>
      <x:c r="T476" s="15" t="n">
        <x:v>0</x:v>
      </x:c>
      <x:c r="U476" s="16" t="n">
        <x:v>51</x:v>
      </x:c>
      <x:c r="V476" s="6" t="str">
        <x:v>https://digitecme.com/ar/brands/mitsubishi-service-dubai/suspension-repair</x:v>
      </x:c>
      <x:c r="W476" s="6" t="str">
        <x:v>Noindex directive</x:v>
      </x:c>
      <x:c r="X476" s="6" t="n">
        <x:v>8</x:v>
      </x:c>
      <x:c r="Y476" s="6" t="str">
        <x:v>إصلاح التعليق Mitsubishi في دبي | ديجي-تك</x:v>
      </x:c>
      <x:c r="Z476" s="6" t="str"/>
      <x:c r="AA476" s="6" t="str">
        <x:v>No / not compared</x:v>
      </x:c>
    </x:row>
    <x:row r="477" ht="42" customHeight="1">
      <x:c r="A477" s="6" t="str">
        <x:v>https://digitecme.com/ar/brands/mitsubishi-service-dubai/transmission-repair</x:v>
      </x:c>
      <x:c r="B477" s="6" t="str"/>
      <x:c r="C477" s="6" t="str"/>
      <x:c r="D477" s="6" t="str">
        <x:v>brand-service</x:v>
      </x:c>
      <x:c r="E477" s="6" t="str">
        <x:v>Retain differentiated role</x:v>
      </x:c>
      <x:c r="F477" s="6" t="str">
        <x:v>Local source render; live version unverified</x:v>
      </x:c>
      <x:c r="G477" s="6" t="str">
        <x:v>إصلاح ناقل الحركة Mitsubishi في دبي | ديجي-تك</x:v>
      </x:c>
      <x:c r="H477" s="6" t="str">
        <x:v>إصلاح ناقل الحركة Mitsubishi في دبي | ديجي-تك</x:v>
      </x:c>
      <x:c r="I477" s="6" t="str">
        <x:v>إصلاح ناقل الحركة Mitsubishi في دبي</x:v>
      </x:c>
      <x:c r="J477" s="6" t="str">
        <x:v>إصلاح ناقل الحركة Mitsubishi في دبي</x:v>
      </x:c>
      <x:c r="K477" s="6" t="str">
        <x:v>إصلاح ناقل الحركة متخصص لسيارات Mitsubishi في دبي مع تشخيص متقدم وقطع مناسبة وتسعير واضح لدى مركز ديجي-تك.</x:v>
      </x:c>
      <x:c r="L477" s="6" t="str">
        <x:v>Retain pending evidence; no specific content edit justified by this export.</x:v>
      </x:c>
      <x:c r="M477" s="6" t="str">
        <x:v>Retain; inspect relevant context before adding links</x:v>
      </x:c>
      <x:c r="N477" s="6" t="str">
        <x:v>Unconfirmed — no query/page pairing</x:v>
      </x:c>
      <x:c r="O477" s="6" t="str">
        <x:v>Retain established booking / WhatsApp / call path; live behaviour untested</x:v>
      </x:c>
      <x:c r="P477" s="6" t="str">
        <x:v>Retain canonical and indexation policy pending a live check.</x:v>
      </x:c>
      <x:c r="Q477" s="6" t="str">
        <x:v>Proposed; no website change made</x:v>
      </x:c>
      <x:c r="R477" s="14"/>
      <x:c r="S477" s="14"/>
      <x:c r="T477" s="15"/>
      <x:c r="U477" s="16"/>
      <x:c r="V477" s="6" t="str">
        <x:v>https://digitecme.com/ar/brands/mitsubishi-service-dubai/transmission-repair</x:v>
      </x:c>
      <x:c r="W477" s="6" t="str">
        <x:v>Noindex directive</x:v>
      </x:c>
      <x:c r="X477" s="6" t="n">
        <x:v>8</x:v>
      </x:c>
      <x:c r="Y477" s="6" t="str">
        <x:v>إصلاح ناقل الحركة Mitsubishi في دبي | ديجي-تك</x:v>
      </x:c>
      <x:c r="Z477" s="6" t="str"/>
      <x:c r="AA477" s="6" t="str">
        <x:v>No / not compared</x:v>
      </x:c>
    </x:row>
    <x:row r="478" ht="42" customHeight="1">
      <x:c r="A478" s="6" t="str">
        <x:v>https://digitecme.com/ar/brands/nissan-service-dubai</x:v>
      </x:c>
      <x:c r="B478" s="6" t="str"/>
      <x:c r="C478" s="6" t="str"/>
      <x:c r="D478" s="6" t="str">
        <x:v>brand</x:v>
      </x:c>
      <x:c r="E478" s="6" t="str">
        <x:v>Retain differentiated role</x:v>
      </x:c>
      <x:c r="F478" s="6" t="str">
        <x:v>Local source render; live version unverified</x:v>
      </x:c>
      <x:c r="G478" s="6" t="str">
        <x:v>إصلاح وصيانة Nissan في دبي | مركز ديجي-تك</x:v>
      </x:c>
      <x:c r="H478" s="6" t="str">
        <x:v>إصلاح وصيانة Nissan في دبي | مركز ديجي-تك</x:v>
      </x:c>
      <x:c r="I478" s="6" t="str">
        <x:v>Nissan للإصلاح والصيانة في دبي</x:v>
      </x:c>
      <x:c r="J478" s="6" t="str">
        <x:v>Nissan للإصلاح والصيانة في دبي</x:v>
      </x:c>
      <x:c r="K478" s="6" t="str">
        <x:v>إصلاح وصيانة Nissan في دبي: تشخيص وصيانة وفرامل وناقل حركة وتعليق وتكييف مع قطع بالمواصفات المناسبة لدى مركز ديجي-تك.</x:v>
      </x:c>
      <x:c r="L478" s="6" t="str">
        <x:v>Retain pending evidence; no specific content edit justified by this export.</x:v>
      </x:c>
      <x:c r="M478" s="6" t="str">
        <x:v>Retain; inspect relevant context before adding links</x:v>
      </x:c>
      <x:c r="N478" s="6" t="str">
        <x:v>Unconfirmed — no query/page pairing</x:v>
      </x:c>
      <x:c r="O478" s="6" t="str">
        <x:v>Retain established booking / WhatsApp / call path; live behaviour untested</x:v>
      </x:c>
      <x:c r="P478" s="6" t="str">
        <x:v>Retain canonical and indexation policy pending a live check.</x:v>
      </x:c>
      <x:c r="Q478" s="6" t="str">
        <x:v>Proposed; no website change made</x:v>
      </x:c>
      <x:c r="R478" s="14" t="n">
        <x:v>0</x:v>
      </x:c>
      <x:c r="S478" s="14" t="n">
        <x:v>11</x:v>
      </x:c>
      <x:c r="T478" s="15" t="n">
        <x:v>0</x:v>
      </x:c>
      <x:c r="U478" s="16" t="n">
        <x:v>37.36</x:v>
      </x:c>
      <x:c r="V478" s="6" t="str">
        <x:v>https://digitecme.com/ar/brands/nissan-service-dubai</x:v>
      </x:c>
      <x:c r="W478" s="6" t="str">
        <x:v>Indexable directive</x:v>
      </x:c>
      <x:c r="X478" s="6" t="n">
        <x:v>38</x:v>
      </x:c>
      <x:c r="Y478" s="6" t="str">
        <x:v>إصلاح وصيانة Nissan في دبي | مركز ديجي-تك</x:v>
      </x:c>
      <x:c r="Z478" s="6" t="str"/>
      <x:c r="AA478" s="6" t="str">
        <x:v>No / not compared</x:v>
      </x:c>
    </x:row>
    <x:row r="479" ht="42" customHeight="1">
      <x:c r="A479" s="6" t="str">
        <x:v>https://digitecme.com/ar/brands/nissan-service-dubai/ac-repair</x:v>
      </x:c>
      <x:c r="B479" s="6" t="str"/>
      <x:c r="C479" s="6" t="str"/>
      <x:c r="D479" s="6" t="str">
        <x:v>brand-service</x:v>
      </x:c>
      <x:c r="E479" s="6" t="str">
        <x:v>Retain differentiated role</x:v>
      </x:c>
      <x:c r="F479" s="6" t="str">
        <x:v>Local source render; live version unverified</x:v>
      </x:c>
      <x:c r="G479" s="6" t="str">
        <x:v>إصلاح التكييف Nissan في دبي | ديجي-تك</x:v>
      </x:c>
      <x:c r="H479" s="6" t="str">
        <x:v>إصلاح التكييف Nissan في دبي | ديجي-تك</x:v>
      </x:c>
      <x:c r="I479" s="6" t="str">
        <x:v>إصلاح التكييف Nissan في دبي</x:v>
      </x:c>
      <x:c r="J479" s="6" t="str">
        <x:v>إصلاح التكييف Nissan في دبي</x:v>
      </x:c>
      <x:c r="K479" s="6" t="str">
        <x:v>إصلاح التكييف متخصص لسيارات Nissan في دبي مع تشخيص متقدم وقطع مناسبة وتسعير واضح لدى مركز ديجي-تك.</x:v>
      </x:c>
      <x:c r="L479" s="6" t="str">
        <x:v>Retain pending evidence; no specific content edit justified by this export.</x:v>
      </x:c>
      <x:c r="M479" s="6" t="str">
        <x:v>Retain; inspect relevant context before adding links</x:v>
      </x:c>
      <x:c r="N479" s="6" t="str">
        <x:v>Unconfirmed — no query/page pairing</x:v>
      </x:c>
      <x:c r="O479" s="6" t="str">
        <x:v>Retain established booking / WhatsApp / call path; live behaviour untested</x:v>
      </x:c>
      <x:c r="P479" s="6" t="str">
        <x:v>Retain canonical and indexation policy pending a live check.</x:v>
      </x:c>
      <x:c r="Q479" s="6" t="str">
        <x:v>Proposed; no website change made</x:v>
      </x:c>
      <x:c r="R479" s="14" t="n">
        <x:v>0</x:v>
      </x:c>
      <x:c r="S479" s="14" t="n">
        <x:v>1</x:v>
      </x:c>
      <x:c r="T479" s="15" t="n">
        <x:v>0</x:v>
      </x:c>
      <x:c r="U479" s="16" t="n">
        <x:v>9</x:v>
      </x:c>
      <x:c r="V479" s="6" t="str">
        <x:v>https://digitecme.com/ar/brands/nissan-service-dubai/ac-repair</x:v>
      </x:c>
      <x:c r="W479" s="6" t="str">
        <x:v>Indexable directive</x:v>
      </x:c>
      <x:c r="X479" s="6" t="n">
        <x:v>16</x:v>
      </x:c>
      <x:c r="Y479" s="6" t="str">
        <x:v>إصلاح التكييف Nissan في دبي | ديجي-تك</x:v>
      </x:c>
      <x:c r="Z479" s="6" t="str"/>
      <x:c r="AA479" s="6" t="str">
        <x:v>No / not compared</x:v>
      </x:c>
    </x:row>
    <x:row r="480" ht="42" customHeight="1">
      <x:c r="A480" s="6" t="str">
        <x:v>https://digitecme.com/ar/brands/nissan-service-dubai/battery-replacement</x:v>
      </x:c>
      <x:c r="B480" s="6" t="str"/>
      <x:c r="C480" s="6" t="str"/>
      <x:c r="D480" s="6" t="str">
        <x:v>brand-service</x:v>
      </x:c>
      <x:c r="E480" s="6" t="str">
        <x:v>Retain differentiated role</x:v>
      </x:c>
      <x:c r="F480" s="6" t="str">
        <x:v>Local source render; live version unverified</x:v>
      </x:c>
      <x:c r="G480" s="6" t="str">
        <x:v>تبديل البطارية Nissan في دبي | ديجي-تك</x:v>
      </x:c>
      <x:c r="H480" s="6" t="str">
        <x:v>تبديل البطارية Nissan في دبي | ديجي-تك</x:v>
      </x:c>
      <x:c r="I480" s="6" t="str">
        <x:v>تبديل البطارية Nissan في دبي</x:v>
      </x:c>
      <x:c r="J480" s="6" t="str">
        <x:v>تبديل البطارية Nissan في دبي</x:v>
      </x:c>
      <x:c r="K480" s="6" t="str">
        <x:v>تبديل البطارية متخصص لسيارات Nissan في دبي مع تشخيص متقدم وقطع مناسبة وتسعير واضح لدى مركز ديجي-تك.</x:v>
      </x:c>
      <x:c r="L480" s="6" t="str">
        <x:v>Retain pending evidence; no specific content edit justified by this export.</x:v>
      </x:c>
      <x:c r="M480" s="6" t="str">
        <x:v>Retain; inspect relevant context before adding links</x:v>
      </x:c>
      <x:c r="N480" s="6" t="str">
        <x:v>Unconfirmed — no query/page pairing</x:v>
      </x:c>
      <x:c r="O480" s="6" t="str">
        <x:v>Retain established booking / WhatsApp / call path; live behaviour untested</x:v>
      </x:c>
      <x:c r="P480" s="6" t="str">
        <x:v>Retain canonical and indexation policy pending a live check.</x:v>
      </x:c>
      <x:c r="Q480" s="6" t="str">
        <x:v>Proposed; no website change made</x:v>
      </x:c>
      <x:c r="R480" s="14" t="n">
        <x:v>0</x:v>
      </x:c>
      <x:c r="S480" s="14" t="n">
        <x:v>7</x:v>
      </x:c>
      <x:c r="T480" s="15" t="n">
        <x:v>0</x:v>
      </x:c>
      <x:c r="U480" s="16" t="n">
        <x:v>17.29</x:v>
      </x:c>
      <x:c r="V480" s="6" t="str">
        <x:v>https://digitecme.com/ar/brands/nissan-service-dubai/battery-replacement</x:v>
      </x:c>
      <x:c r="W480" s="6" t="str">
        <x:v>Indexable directive</x:v>
      </x:c>
      <x:c r="X480" s="6" t="n">
        <x:v>16</x:v>
      </x:c>
      <x:c r="Y480" s="6" t="str">
        <x:v>تبديل البطارية Nissan في دبي | ديجي-تك</x:v>
      </x:c>
      <x:c r="Z480" s="6" t="str"/>
      <x:c r="AA480" s="6" t="str">
        <x:v>No / not compared</x:v>
      </x:c>
    </x:row>
    <x:row r="481" ht="42" customHeight="1">
      <x:c r="A481" s="6" t="str">
        <x:v>https://digitecme.com/ar/brands/nissan-service-dubai/body-repair</x:v>
      </x:c>
      <x:c r="B481" s="6" t="str"/>
      <x:c r="C481" s="6" t="str"/>
      <x:c r="D481" s="6" t="str">
        <x:v>brand-service</x:v>
      </x:c>
      <x:c r="E481" s="6" t="str">
        <x:v>Retain differentiated role</x:v>
      </x:c>
      <x:c r="F481" s="6" t="str">
        <x:v>Local source render; live version unverified</x:v>
      </x:c>
      <x:c r="G481" s="6" t="str">
        <x:v>إصلاح الهيكل Nissan في دبي | ديجي-تك</x:v>
      </x:c>
      <x:c r="H481" s="6" t="str">
        <x:v>إصلاح الهيكل Nissan في دبي | ديجي-تك</x:v>
      </x:c>
      <x:c r="I481" s="6" t="str">
        <x:v>إصلاح الهيكل Nissan في دبي</x:v>
      </x:c>
      <x:c r="J481" s="6" t="str">
        <x:v>إصلاح الهيكل Nissan في دبي</x:v>
      </x:c>
      <x:c r="K481" s="6" t="str">
        <x:v>إصلاح الهيكل متخصص لسيارات Nissan في دبي مع تشخيص متقدم وقطع مناسبة وتسعير واضح لدى مركز ديجي-تك.</x:v>
      </x:c>
      <x:c r="L481" s="6" t="str">
        <x:v>Retain pending evidence; no specific content edit justified by this export.</x:v>
      </x:c>
      <x:c r="M481" s="6" t="str">
        <x:v>Retain; inspect relevant context before adding links</x:v>
      </x:c>
      <x:c r="N481" s="6" t="str">
        <x:v>Unconfirmed — no query/page pairing</x:v>
      </x:c>
      <x:c r="O481" s="6" t="str">
        <x:v>Retain established booking / WhatsApp / call path; live behaviour untested</x:v>
      </x:c>
      <x:c r="P481" s="6" t="str">
        <x:v>Retain canonical and indexation policy pending a live check.</x:v>
      </x:c>
      <x:c r="Q481" s="6" t="str">
        <x:v>Proposed; no website change made</x:v>
      </x:c>
      <x:c r="R481" s="14"/>
      <x:c r="S481" s="14"/>
      <x:c r="T481" s="15"/>
      <x:c r="U481" s="16"/>
      <x:c r="V481" s="6" t="str">
        <x:v>https://digitecme.com/ar/brands/nissan-service-dubai/body-repair</x:v>
      </x:c>
      <x:c r="W481" s="6" t="str">
        <x:v>Indexable directive</x:v>
      </x:c>
      <x:c r="X481" s="6" t="n">
        <x:v>16</x:v>
      </x:c>
      <x:c r="Y481" s="6" t="str">
        <x:v>إصلاح الهيكل Nissan في دبي | ديجي-تك</x:v>
      </x:c>
      <x:c r="Z481" s="6" t="str"/>
      <x:c r="AA481" s="6" t="str">
        <x:v>No / not compared</x:v>
      </x:c>
    </x:row>
    <x:row r="482" ht="42" customHeight="1">
      <x:c r="A482" s="6" t="str">
        <x:v>https://digitecme.com/ar/brands/nissan-service-dubai/brake-repair</x:v>
      </x:c>
      <x:c r="B482" s="6" t="str"/>
      <x:c r="C482" s="6" t="str"/>
      <x:c r="D482" s="6" t="str">
        <x:v>brand-service</x:v>
      </x:c>
      <x:c r="E482" s="6" t="str">
        <x:v>Retain differentiated role</x:v>
      </x:c>
      <x:c r="F482" s="6" t="str">
        <x:v>Local source render; live version unverified</x:v>
      </x:c>
      <x:c r="G482" s="6" t="str">
        <x:v>إصلاح الفرامل Nissan في دبي | ديجي-تك</x:v>
      </x:c>
      <x:c r="H482" s="6" t="str">
        <x:v>إصلاح الفرامل Nissan في دبي | ديجي-تك</x:v>
      </x:c>
      <x:c r="I482" s="6" t="str">
        <x:v>إصلاح الفرامل Nissan في دبي</x:v>
      </x:c>
      <x:c r="J482" s="6" t="str">
        <x:v>إصلاح الفرامل Nissan في دبي</x:v>
      </x:c>
      <x:c r="K482" s="6" t="str">
        <x:v>إصلاح الفرامل متخصص لسيارات Nissan في دبي مع تشخيص متقدم وقطع مناسبة وتسعير واضح لدى مركز ديجي-تك.</x:v>
      </x:c>
      <x:c r="L482" s="6" t="str">
        <x:v>Retain pending evidence; no specific content edit justified by this export.</x:v>
      </x:c>
      <x:c r="M482" s="6" t="str">
        <x:v>Retain; inspect relevant context before adding links</x:v>
      </x:c>
      <x:c r="N482" s="6" t="str">
        <x:v>Unconfirmed — no query/page pairing</x:v>
      </x:c>
      <x:c r="O482" s="6" t="str">
        <x:v>Retain established booking / WhatsApp / call path; live behaviour untested</x:v>
      </x:c>
      <x:c r="P482" s="6" t="str">
        <x:v>Retain canonical and indexation policy pending a live check.</x:v>
      </x:c>
      <x:c r="Q482" s="6" t="str">
        <x:v>Proposed; no website change made</x:v>
      </x:c>
      <x:c r="R482" s="14" t="n">
        <x:v>0</x:v>
      </x:c>
      <x:c r="S482" s="14" t="n">
        <x:v>1</x:v>
      </x:c>
      <x:c r="T482" s="15" t="n">
        <x:v>0</x:v>
      </x:c>
      <x:c r="U482" s="16" t="n">
        <x:v>6</x:v>
      </x:c>
      <x:c r="V482" s="6" t="str">
        <x:v>https://digitecme.com/ar/brands/nissan-service-dubai/brake-repair</x:v>
      </x:c>
      <x:c r="W482" s="6" t="str">
        <x:v>Indexable directive</x:v>
      </x:c>
      <x:c r="X482" s="6" t="n">
        <x:v>16</x:v>
      </x:c>
      <x:c r="Y482" s="6" t="str">
        <x:v>إصلاح الفرامل Nissan في دبي | ديجي-تك</x:v>
      </x:c>
      <x:c r="Z482" s="6" t="str"/>
      <x:c r="AA482" s="6" t="str">
        <x:v>No / not compared</x:v>
      </x:c>
    </x:row>
    <x:row r="483" ht="42" customHeight="1">
      <x:c r="A483" s="6" t="str">
        <x:v>https://digitecme.com/ar/brands/nissan-service-dubai/electrical-repair</x:v>
      </x:c>
      <x:c r="B483" s="6" t="str"/>
      <x:c r="C483" s="6" t="str"/>
      <x:c r="D483" s="6" t="str">
        <x:v>brand-service</x:v>
      </x:c>
      <x:c r="E483" s="6" t="str">
        <x:v>Retain differentiated role</x:v>
      </x:c>
      <x:c r="F483" s="6" t="str">
        <x:v>Local source render; live version unverified</x:v>
      </x:c>
      <x:c r="G483" s="6" t="str">
        <x:v>إصلاح الكهرباء Nissan في دبي | ديجي-تك</x:v>
      </x:c>
      <x:c r="H483" s="6" t="str">
        <x:v>إصلاح الكهرباء Nissan في دبي | ديجي-تك</x:v>
      </x:c>
      <x:c r="I483" s="6" t="str">
        <x:v>إصلاح الكهرباء Nissan في دبي</x:v>
      </x:c>
      <x:c r="J483" s="6" t="str">
        <x:v>إصلاح الكهرباء Nissan في دبي</x:v>
      </x:c>
      <x:c r="K483" s="6" t="str">
        <x:v>إصلاح الكهرباء متخصص لسيارات Nissan في دبي مع تشخيص متقدم وقطع مناسبة وتسعير واضح لدى مركز ديجي-تك.</x:v>
      </x:c>
      <x:c r="L483" s="6" t="str">
        <x:v>Retain pending evidence; no specific content edit justified by this export.</x:v>
      </x:c>
      <x:c r="M483" s="6" t="str">
        <x:v>Retain; inspect relevant context before adding links</x:v>
      </x:c>
      <x:c r="N483" s="6" t="str">
        <x:v>Unconfirmed — no query/page pairing</x:v>
      </x:c>
      <x:c r="O483" s="6" t="str">
        <x:v>Retain established booking / WhatsApp / call path; live behaviour untested</x:v>
      </x:c>
      <x:c r="P483" s="6" t="str">
        <x:v>Retain canonical and indexation policy pending a live check.</x:v>
      </x:c>
      <x:c r="Q483" s="6" t="str">
        <x:v>Proposed; no website change made</x:v>
      </x:c>
      <x:c r="R483" s="14" t="n">
        <x:v>0</x:v>
      </x:c>
      <x:c r="S483" s="14" t="n">
        <x:v>3</x:v>
      </x:c>
      <x:c r="T483" s="15" t="n">
        <x:v>0</x:v>
      </x:c>
      <x:c r="U483" s="16" t="n">
        <x:v>2.33</x:v>
      </x:c>
      <x:c r="V483" s="6" t="str">
        <x:v>https://digitecme.com/ar/brands/nissan-service-dubai/electrical-repair</x:v>
      </x:c>
      <x:c r="W483" s="6" t="str">
        <x:v>Indexable directive</x:v>
      </x:c>
      <x:c r="X483" s="6" t="n">
        <x:v>16</x:v>
      </x:c>
      <x:c r="Y483" s="6" t="str">
        <x:v>إصلاح الكهرباء Nissan في دبي | ديجي-تك</x:v>
      </x:c>
      <x:c r="Z483" s="6" t="str"/>
      <x:c r="AA483" s="6" t="str">
        <x:v>No / not compared</x:v>
      </x:c>
    </x:row>
    <x:row r="484" ht="42" customHeight="1">
      <x:c r="A484" s="6" t="str">
        <x:v>https://digitecme.com/ar/brands/nissan-service-dubai/engine-diagnostics</x:v>
      </x:c>
      <x:c r="B484" s="6" t="str"/>
      <x:c r="C484" s="6" t="str"/>
      <x:c r="D484" s="6" t="str">
        <x:v>brand-service</x:v>
      </x:c>
      <x:c r="E484" s="6" t="str">
        <x:v>Retain differentiated role</x:v>
      </x:c>
      <x:c r="F484" s="6" t="str">
        <x:v>Local source render; live version unverified</x:v>
      </x:c>
      <x:c r="G484" s="6" t="str">
        <x:v>تشخيص المحرك Nissan في دبي | ديجي-تك</x:v>
      </x:c>
      <x:c r="H484" s="6" t="str">
        <x:v>تشخيص المحرك Nissan في دبي | ديجي-تك</x:v>
      </x:c>
      <x:c r="I484" s="6" t="str">
        <x:v>تشخيص المحرك Nissan في دبي</x:v>
      </x:c>
      <x:c r="J484" s="6" t="str">
        <x:v>تشخيص المحرك Nissan في دبي</x:v>
      </x:c>
      <x:c r="K484" s="6" t="str">
        <x:v>تشخيص المحرك متخصص لسيارات Nissan في دبي مع تشخيص متقدم وقطع مناسبة وتسعير واضح لدى مركز ديجي-تك.</x:v>
      </x:c>
      <x:c r="L484" s="6" t="str">
        <x:v>Retain pending evidence; no specific content edit justified by this export.</x:v>
      </x:c>
      <x:c r="M484" s="6" t="str">
        <x:v>Retain; inspect relevant context before adding links</x:v>
      </x:c>
      <x:c r="N484" s="6" t="str">
        <x:v>Unconfirmed — no query/page pairing</x:v>
      </x:c>
      <x:c r="O484" s="6" t="str">
        <x:v>Retain established booking / WhatsApp / call path; live behaviour untested</x:v>
      </x:c>
      <x:c r="P484" s="6" t="str">
        <x:v>Retain canonical and indexation policy pending a live check.</x:v>
      </x:c>
      <x:c r="Q484" s="6" t="str">
        <x:v>Proposed; no website change made</x:v>
      </x:c>
      <x:c r="R484" s="14"/>
      <x:c r="S484" s="14"/>
      <x:c r="T484" s="15"/>
      <x:c r="U484" s="16"/>
      <x:c r="V484" s="6" t="str">
        <x:v>https://digitecme.com/ar/brands/nissan-service-dubai/engine-diagnostics</x:v>
      </x:c>
      <x:c r="W484" s="6" t="str">
        <x:v>Indexable directive</x:v>
      </x:c>
      <x:c r="X484" s="6" t="n">
        <x:v>16</x:v>
      </x:c>
      <x:c r="Y484" s="6" t="str">
        <x:v>تشخيص المحرك Nissan في دبي | ديجي-تك</x:v>
      </x:c>
      <x:c r="Z484" s="6" t="str"/>
      <x:c r="AA484" s="6" t="str">
        <x:v>No / not compared</x:v>
      </x:c>
    </x:row>
    <x:row r="485" ht="42" customHeight="1">
      <x:c r="A485" s="6" t="str">
        <x:v>https://digitecme.com/ar/brands/nissan-service-dubai/exhaust-repair</x:v>
      </x:c>
      <x:c r="B485" s="6" t="str"/>
      <x:c r="C485" s="6" t="str"/>
      <x:c r="D485" s="6" t="str">
        <x:v>brand-service</x:v>
      </x:c>
      <x:c r="E485" s="6" t="str">
        <x:v>Retain differentiated role</x:v>
      </x:c>
      <x:c r="F485" s="6" t="str">
        <x:v>Local source render; live version unverified</x:v>
      </x:c>
      <x:c r="G485" s="6" t="str">
        <x:v>إصلاح العادم Nissan في دبي | ديجي-تك</x:v>
      </x:c>
      <x:c r="H485" s="6" t="str">
        <x:v>إصلاح العادم Nissan في دبي | ديجي-تك</x:v>
      </x:c>
      <x:c r="I485" s="6" t="str">
        <x:v>إصلاح العادم Nissan في دبي</x:v>
      </x:c>
      <x:c r="J485" s="6" t="str">
        <x:v>إصلاح العادم Nissan في دبي</x:v>
      </x:c>
      <x:c r="K485" s="6" t="str">
        <x:v>إصلاح العادم متخصص لسيارات Nissan في دبي مع تشخيص متقدم وقطع مناسبة وتسعير واضح لدى مركز ديجي-تك.</x:v>
      </x:c>
      <x:c r="L485" s="6" t="str">
        <x:v>Retain pending evidence; no specific content edit justified by this export.</x:v>
      </x:c>
      <x:c r="M485" s="6" t="str">
        <x:v>Retain; inspect relevant context before adding links</x:v>
      </x:c>
      <x:c r="N485" s="6" t="str">
        <x:v>Unconfirmed — no query/page pairing</x:v>
      </x:c>
      <x:c r="O485" s="6" t="str">
        <x:v>Retain established booking / WhatsApp / call path; live behaviour untested</x:v>
      </x:c>
      <x:c r="P485" s="6" t="str">
        <x:v>Retain canonical and indexation policy pending a live check.</x:v>
      </x:c>
      <x:c r="Q485" s="6" t="str">
        <x:v>Proposed; no website change made</x:v>
      </x:c>
      <x:c r="R485" s="14"/>
      <x:c r="S485" s="14"/>
      <x:c r="T485" s="15"/>
      <x:c r="U485" s="16"/>
      <x:c r="V485" s="6" t="str">
        <x:v>https://digitecme.com/ar/brands/nissan-service-dubai/exhaust-repair</x:v>
      </x:c>
      <x:c r="W485" s="6" t="str">
        <x:v>Indexable directive</x:v>
      </x:c>
      <x:c r="X485" s="6" t="n">
        <x:v>16</x:v>
      </x:c>
      <x:c r="Y485" s="6" t="str">
        <x:v>إصلاح العادم Nissan في دبي | ديجي-تك</x:v>
      </x:c>
      <x:c r="Z485" s="6" t="str"/>
      <x:c r="AA485" s="6" t="str">
        <x:v>No / not compared</x:v>
      </x:c>
    </x:row>
    <x:row r="486" ht="42" customHeight="1">
      <x:c r="A486" s="6" t="str">
        <x:v>https://digitecme.com/ar/brands/nissan-service-dubai/fuel-system-repair</x:v>
      </x:c>
      <x:c r="B486" s="6" t="str"/>
      <x:c r="C486" s="6" t="str"/>
      <x:c r="D486" s="6" t="str">
        <x:v>brand-service</x:v>
      </x:c>
      <x:c r="E486" s="6" t="str">
        <x:v>Retain differentiated role</x:v>
      </x:c>
      <x:c r="F486" s="6" t="str">
        <x:v>Local source render; live version unverified</x:v>
      </x:c>
      <x:c r="G486" s="6" t="str">
        <x:v>إصلاح نظام الوقود Nissan في دبي | ديجي-تك</x:v>
      </x:c>
      <x:c r="H486" s="6" t="str">
        <x:v>إصلاح نظام الوقود Nissan في دبي | ديجي-تك</x:v>
      </x:c>
      <x:c r="I486" s="6" t="str">
        <x:v>إصلاح نظام الوقود Nissan في دبي</x:v>
      </x:c>
      <x:c r="J486" s="6" t="str">
        <x:v>إصلاح نظام الوقود Nissan في دبي</x:v>
      </x:c>
      <x:c r="K486" s="6" t="str">
        <x:v>إصلاح نظام الوقود متخصص لسيارات Nissan في دبي مع تشخيص متقدم وقطع مناسبة وتسعير واضح لدى مركز ديجي-تك.</x:v>
      </x:c>
      <x:c r="L486" s="6" t="str">
        <x:v>Retain pending evidence; no specific content edit justified by this export.</x:v>
      </x:c>
      <x:c r="M486" s="6" t="str">
        <x:v>Retain; inspect relevant context before adding links</x:v>
      </x:c>
      <x:c r="N486" s="6" t="str">
        <x:v>Unconfirmed — no query/page pairing</x:v>
      </x:c>
      <x:c r="O486" s="6" t="str">
        <x:v>Retain established booking / WhatsApp / call path; live behaviour untested</x:v>
      </x:c>
      <x:c r="P486" s="6" t="str">
        <x:v>Retain canonical and indexation policy pending a live check.</x:v>
      </x:c>
      <x:c r="Q486" s="6" t="str">
        <x:v>Proposed; no website change made</x:v>
      </x:c>
      <x:c r="R486" s="14"/>
      <x:c r="S486" s="14"/>
      <x:c r="T486" s="15"/>
      <x:c r="U486" s="16"/>
      <x:c r="V486" s="6" t="str">
        <x:v>https://digitecme.com/ar/brands/nissan-service-dubai/fuel-system-repair</x:v>
      </x:c>
      <x:c r="W486" s="6" t="str">
        <x:v>Indexable directive</x:v>
      </x:c>
      <x:c r="X486" s="6" t="n">
        <x:v>16</x:v>
      </x:c>
      <x:c r="Y486" s="6" t="str">
        <x:v>إصلاح نظام الوقود Nissan في دبي | ديجي-تك</x:v>
      </x:c>
      <x:c r="Z486" s="6" t="str"/>
      <x:c r="AA486" s="6" t="str">
        <x:v>No / not compared</x:v>
      </x:c>
    </x:row>
    <x:row r="487" ht="42" customHeight="1">
      <x:c r="A487" s="6" t="str">
        <x:v>https://digitecme.com/ar/brands/nissan-service-dubai/mechanical-repair</x:v>
      </x:c>
      <x:c r="B487" s="6" t="str"/>
      <x:c r="C487" s="6" t="str"/>
      <x:c r="D487" s="6" t="str">
        <x:v>brand-service</x:v>
      </x:c>
      <x:c r="E487" s="6" t="str">
        <x:v>Retain differentiated role</x:v>
      </x:c>
      <x:c r="F487" s="6" t="str">
        <x:v>Local source render; live version unverified</x:v>
      </x:c>
      <x:c r="G487" s="6" t="str">
        <x:v>الإصلاح الميكانيكي Nissan في دبي | ديجي-تك</x:v>
      </x:c>
      <x:c r="H487" s="6" t="str">
        <x:v>الإصلاح الميكانيكي Nissan في دبي | ديجي-تك</x:v>
      </x:c>
      <x:c r="I487" s="6" t="str">
        <x:v>الإصلاح الميكانيكي Nissan في دبي</x:v>
      </x:c>
      <x:c r="J487" s="6" t="str">
        <x:v>الإصلاح الميكانيكي Nissan في دبي</x:v>
      </x:c>
      <x:c r="K487" s="6" t="str">
        <x:v>الإصلاح الميكانيكي متخصص لسيارات Nissan في دبي مع تشخيص متقدم وقطع مناسبة وتسعير واضح لدى مركز ديجي-تك.</x:v>
      </x:c>
      <x:c r="L487" s="6" t="str">
        <x:v>Retain pending evidence; no specific content edit justified by this export.</x:v>
      </x:c>
      <x:c r="M487" s="6" t="str">
        <x:v>Retain; inspect relevant context before adding links</x:v>
      </x:c>
      <x:c r="N487" s="6" t="str">
        <x:v>Unconfirmed — no query/page pairing</x:v>
      </x:c>
      <x:c r="O487" s="6" t="str">
        <x:v>Retain established booking / WhatsApp / call path; live behaviour untested</x:v>
      </x:c>
      <x:c r="P487" s="6" t="str">
        <x:v>Retain canonical and indexation policy pending a live check.</x:v>
      </x:c>
      <x:c r="Q487" s="6" t="str">
        <x:v>Proposed; no website change made</x:v>
      </x:c>
      <x:c r="R487" s="14" t="n">
        <x:v>0</x:v>
      </x:c>
      <x:c r="S487" s="14" t="n">
        <x:v>2</x:v>
      </x:c>
      <x:c r="T487" s="15" t="n">
        <x:v>0</x:v>
      </x:c>
      <x:c r="U487" s="16" t="n">
        <x:v>59</x:v>
      </x:c>
      <x:c r="V487" s="6" t="str">
        <x:v>https://digitecme.com/ar/brands/nissan-service-dubai/mechanical-repair</x:v>
      </x:c>
      <x:c r="W487" s="6" t="str">
        <x:v>Indexable directive</x:v>
      </x:c>
      <x:c r="X487" s="6" t="n">
        <x:v>16</x:v>
      </x:c>
      <x:c r="Y487" s="6" t="str">
        <x:v>الإصلاح الميكانيكي Nissan في دبي | ديجي-تك</x:v>
      </x:c>
      <x:c r="Z487" s="6" t="str"/>
      <x:c r="AA487" s="6" t="str">
        <x:v>No / not compared</x:v>
      </x:c>
    </x:row>
    <x:row r="488" ht="42" customHeight="1">
      <x:c r="A488" s="6" t="str">
        <x:v>https://digitecme.com/ar/brands/nissan-service-dubai/oil-change</x:v>
      </x:c>
      <x:c r="B488" s="6" t="str"/>
      <x:c r="C488" s="6" t="str"/>
      <x:c r="D488" s="6" t="str">
        <x:v>brand-service</x:v>
      </x:c>
      <x:c r="E488" s="6" t="str">
        <x:v>Retain differentiated role</x:v>
      </x:c>
      <x:c r="F488" s="6" t="str">
        <x:v>Local source render; live version unverified</x:v>
      </x:c>
      <x:c r="G488" s="6" t="str">
        <x:v>تغيير الزيت Nissan في دبي | ديجي-تك</x:v>
      </x:c>
      <x:c r="H488" s="6" t="str">
        <x:v>تغيير الزيت Nissan في دبي | ديجي-تك</x:v>
      </x:c>
      <x:c r="I488" s="6" t="str">
        <x:v>تغيير الزيت Nissan في دبي</x:v>
      </x:c>
      <x:c r="J488" s="6" t="str">
        <x:v>تغيير الزيت Nissan في دبي</x:v>
      </x:c>
      <x:c r="K488" s="6" t="str">
        <x:v>تغيير الزيت متخصص لسيارات Nissan في دبي مع تشخيص متقدم وقطع مناسبة وتسعير واضح لدى مركز ديجي-تك.</x:v>
      </x:c>
      <x:c r="L488" s="6" t="str">
        <x:v>Retain pending evidence; no specific content edit justified by this export.</x:v>
      </x:c>
      <x:c r="M488" s="6" t="str">
        <x:v>Retain; inspect relevant context before adding links</x:v>
      </x:c>
      <x:c r="N488" s="6" t="str">
        <x:v>Unconfirmed — no query/page pairing</x:v>
      </x:c>
      <x:c r="O488" s="6" t="str">
        <x:v>Retain established booking / WhatsApp / call path; live behaviour untested</x:v>
      </x:c>
      <x:c r="P488" s="6" t="str">
        <x:v>Retain canonical and indexation policy pending a live check.</x:v>
      </x:c>
      <x:c r="Q488" s="6" t="str">
        <x:v>Proposed; no website change made</x:v>
      </x:c>
      <x:c r="R488" s="14"/>
      <x:c r="S488" s="14"/>
      <x:c r="T488" s="15"/>
      <x:c r="U488" s="16"/>
      <x:c r="V488" s="6" t="str">
        <x:v>https://digitecme.com/ar/brands/nissan-service-dubai/oil-change</x:v>
      </x:c>
      <x:c r="W488" s="6" t="str">
        <x:v>Indexable directive</x:v>
      </x:c>
      <x:c r="X488" s="6" t="n">
        <x:v>16</x:v>
      </x:c>
      <x:c r="Y488" s="6" t="str">
        <x:v>تغيير الزيت Nissan في دبي | ديجي-تك</x:v>
      </x:c>
      <x:c r="Z488" s="6" t="str"/>
      <x:c r="AA488" s="6" t="str">
        <x:v>No / not compared</x:v>
      </x:c>
    </x:row>
    <x:row r="489" ht="42" customHeight="1">
      <x:c r="A489" s="6" t="str">
        <x:v>https://digitecme.com/ar/brands/nissan-service-dubai/steering-repair</x:v>
      </x:c>
      <x:c r="B489" s="6" t="str"/>
      <x:c r="C489" s="6" t="str"/>
      <x:c r="D489" s="6" t="str">
        <x:v>brand-service</x:v>
      </x:c>
      <x:c r="E489" s="6" t="str">
        <x:v>Retain differentiated role</x:v>
      </x:c>
      <x:c r="F489" s="6" t="str">
        <x:v>Local source render; live version unverified</x:v>
      </x:c>
      <x:c r="G489" s="6" t="str">
        <x:v>إصلاح نظام التوجيه Nissan في دبي | ديجي-تك</x:v>
      </x:c>
      <x:c r="H489" s="6" t="str">
        <x:v>إصلاح نظام التوجيه Nissan في دبي | ديجي-تك</x:v>
      </x:c>
      <x:c r="I489" s="6" t="str">
        <x:v>إصلاح نظام التوجيه Nissan في دبي</x:v>
      </x:c>
      <x:c r="J489" s="6" t="str">
        <x:v>إصلاح نظام التوجيه Nissan في دبي</x:v>
      </x:c>
      <x:c r="K489" s="6" t="str">
        <x:v>إصلاح نظام التوجيه متخصص لسيارات Nissan في دبي مع تشخيص متقدم وقطع مناسبة وتسعير واضح لدى مركز ديجي-تك.</x:v>
      </x:c>
      <x:c r="L489" s="6" t="str">
        <x:v>Retain pending evidence; no specific content edit justified by this export.</x:v>
      </x:c>
      <x:c r="M489" s="6" t="str">
        <x:v>Retain; inspect relevant context before adding links</x:v>
      </x:c>
      <x:c r="N489" s="6" t="str">
        <x:v>Unconfirmed — no query/page pairing</x:v>
      </x:c>
      <x:c r="O489" s="6" t="str">
        <x:v>Retain established booking / WhatsApp / call path; live behaviour untested</x:v>
      </x:c>
      <x:c r="P489" s="6" t="str">
        <x:v>Retain canonical and indexation policy pending a live check.</x:v>
      </x:c>
      <x:c r="Q489" s="6" t="str">
        <x:v>Proposed; no website change made</x:v>
      </x:c>
      <x:c r="R489" s="14"/>
      <x:c r="S489" s="14"/>
      <x:c r="T489" s="15"/>
      <x:c r="U489" s="16"/>
      <x:c r="V489" s="6" t="str">
        <x:v>https://digitecme.com/ar/brands/nissan-service-dubai/steering-repair</x:v>
      </x:c>
      <x:c r="W489" s="6" t="str">
        <x:v>Indexable directive</x:v>
      </x:c>
      <x:c r="X489" s="6" t="n">
        <x:v>16</x:v>
      </x:c>
      <x:c r="Y489" s="6" t="str">
        <x:v>إصلاح نظام التوجيه Nissan في دبي | ديجي-تك</x:v>
      </x:c>
      <x:c r="Z489" s="6" t="str"/>
      <x:c r="AA489" s="6" t="str">
        <x:v>No / not compared</x:v>
      </x:c>
    </x:row>
    <x:row r="490" ht="42" customHeight="1">
      <x:c r="A490" s="6" t="str">
        <x:v>https://digitecme.com/ar/brands/nissan-service-dubai/suspension-repair</x:v>
      </x:c>
      <x:c r="B490" s="6" t="str"/>
      <x:c r="C490" s="6" t="str"/>
      <x:c r="D490" s="6" t="str">
        <x:v>brand-service</x:v>
      </x:c>
      <x:c r="E490" s="6" t="str">
        <x:v>Retain differentiated role</x:v>
      </x:c>
      <x:c r="F490" s="6" t="str">
        <x:v>Local source render; live version unverified</x:v>
      </x:c>
      <x:c r="G490" s="6" t="str">
        <x:v>إصلاح التعليق Nissan في دبي | ديجي-تك</x:v>
      </x:c>
      <x:c r="H490" s="6" t="str">
        <x:v>إصلاح التعليق Nissan في دبي | ديجي-تك</x:v>
      </x:c>
      <x:c r="I490" s="6" t="str">
        <x:v>إصلاح التعليق Nissan في دبي</x:v>
      </x:c>
      <x:c r="J490" s="6" t="str">
        <x:v>إصلاح التعليق Nissan في دبي</x:v>
      </x:c>
      <x:c r="K490" s="6" t="str">
        <x:v>إصلاح التعليق متخصص لسيارات Nissan في دبي مع تشخيص متقدم وقطع مناسبة وتسعير واضح لدى مركز ديجي-تك.</x:v>
      </x:c>
      <x:c r="L490" s="6" t="str">
        <x:v>Retain pending evidence; no specific content edit justified by this export.</x:v>
      </x:c>
      <x:c r="M490" s="6" t="str">
        <x:v>Retain; inspect relevant context before adding links</x:v>
      </x:c>
      <x:c r="N490" s="6" t="str">
        <x:v>Unconfirmed — no query/page pairing</x:v>
      </x:c>
      <x:c r="O490" s="6" t="str">
        <x:v>Retain established booking / WhatsApp / call path; live behaviour untested</x:v>
      </x:c>
      <x:c r="P490" s="6" t="str">
        <x:v>Retain canonical and indexation policy pending a live check.</x:v>
      </x:c>
      <x:c r="Q490" s="6" t="str">
        <x:v>Proposed; no website change made</x:v>
      </x:c>
      <x:c r="R490" s="14"/>
      <x:c r="S490" s="14"/>
      <x:c r="T490" s="15"/>
      <x:c r="U490" s="16"/>
      <x:c r="V490" s="6" t="str">
        <x:v>https://digitecme.com/ar/brands/nissan-service-dubai/suspension-repair</x:v>
      </x:c>
      <x:c r="W490" s="6" t="str">
        <x:v>Indexable directive</x:v>
      </x:c>
      <x:c r="X490" s="6" t="n">
        <x:v>16</x:v>
      </x:c>
      <x:c r="Y490" s="6" t="str">
        <x:v>إصلاح التعليق Nissan في دبي | ديجي-تك</x:v>
      </x:c>
      <x:c r="Z490" s="6" t="str"/>
      <x:c r="AA490" s="6" t="str">
        <x:v>No / not compared</x:v>
      </x:c>
    </x:row>
    <x:row r="491" ht="42" customHeight="1">
      <x:c r="A491" s="6" t="str">
        <x:v>https://digitecme.com/ar/brands/nissan-service-dubai/tire-repair</x:v>
      </x:c>
      <x:c r="B491" s="6" t="str"/>
      <x:c r="C491" s="6" t="str"/>
      <x:c r="D491" s="6" t="str">
        <x:v>brand-service</x:v>
      </x:c>
      <x:c r="E491" s="6" t="str">
        <x:v>Retain differentiated role</x:v>
      </x:c>
      <x:c r="F491" s="6" t="str">
        <x:v>Local source render; live version unverified</x:v>
      </x:c>
      <x:c r="G491" s="6" t="str">
        <x:v>إصلاح الإطارات Nissan في دبي | ديجي-تك</x:v>
      </x:c>
      <x:c r="H491" s="6" t="str">
        <x:v>إصلاح الإطارات Nissan في دبي | ديجي-تك</x:v>
      </x:c>
      <x:c r="I491" s="6" t="str">
        <x:v>إصلاح الإطارات Nissan في دبي</x:v>
      </x:c>
      <x:c r="J491" s="6" t="str">
        <x:v>إصلاح الإطارات Nissan في دبي</x:v>
      </x:c>
      <x:c r="K491" s="6" t="str">
        <x:v>إصلاح الإطارات متخصص لسيارات Nissan في دبي مع تشخيص متقدم وقطع مناسبة وتسعير واضح لدى مركز ديجي-تك.</x:v>
      </x:c>
      <x:c r="L491" s="6" t="str">
        <x:v>Retain pending evidence; no specific content edit justified by this export.</x:v>
      </x:c>
      <x:c r="M491" s="6" t="str">
        <x:v>Retain; inspect relevant context before adding links</x:v>
      </x:c>
      <x:c r="N491" s="6" t="str">
        <x:v>Unconfirmed — no query/page pairing</x:v>
      </x:c>
      <x:c r="O491" s="6" t="str">
        <x:v>Retain established booking / WhatsApp / call path; live behaviour untested</x:v>
      </x:c>
      <x:c r="P491" s="6" t="str">
        <x:v>Retain canonical and indexation policy pending a live check.</x:v>
      </x:c>
      <x:c r="Q491" s="6" t="str">
        <x:v>Proposed; no website change made</x:v>
      </x:c>
      <x:c r="R491" s="14" t="n">
        <x:v>0</x:v>
      </x:c>
      <x:c r="S491" s="14" t="n">
        <x:v>1</x:v>
      </x:c>
      <x:c r="T491" s="15" t="n">
        <x:v>0</x:v>
      </x:c>
      <x:c r="U491" s="16" t="n">
        <x:v>12</x:v>
      </x:c>
      <x:c r="V491" s="6" t="str">
        <x:v>https://digitecme.com/ar/brands/nissan-service-dubai/tire-repair</x:v>
      </x:c>
      <x:c r="W491" s="6" t="str">
        <x:v>Indexable directive</x:v>
      </x:c>
      <x:c r="X491" s="6" t="n">
        <x:v>16</x:v>
      </x:c>
      <x:c r="Y491" s="6" t="str">
        <x:v>إصلاح الإطارات Nissan في دبي | ديجي-تك</x:v>
      </x:c>
      <x:c r="Z491" s="6" t="str"/>
      <x:c r="AA491" s="6" t="str">
        <x:v>No / not compared</x:v>
      </x:c>
    </x:row>
    <x:row r="492" ht="42" customHeight="1">
      <x:c r="A492" s="6" t="str">
        <x:v>https://digitecme.com/ar/brands/nissan-service-dubai/transmission-repair</x:v>
      </x:c>
      <x:c r="B492" s="6" t="str"/>
      <x:c r="C492" s="6" t="str"/>
      <x:c r="D492" s="6" t="str">
        <x:v>brand-service</x:v>
      </x:c>
      <x:c r="E492" s="6" t="str">
        <x:v>Retain differentiated role</x:v>
      </x:c>
      <x:c r="F492" s="6" t="str">
        <x:v>Local source render; live version unverified</x:v>
      </x:c>
      <x:c r="G492" s="6" t="str">
        <x:v>إصلاح ناقل الحركة Nissan في دبي | ديجي-تك</x:v>
      </x:c>
      <x:c r="H492" s="6" t="str">
        <x:v>إصلاح ناقل الحركة Nissan في دبي | ديجي-تك</x:v>
      </x:c>
      <x:c r="I492" s="6" t="str">
        <x:v>إصلاح ناقل الحركة Nissan في دبي</x:v>
      </x:c>
      <x:c r="J492" s="6" t="str">
        <x:v>إصلاح ناقل الحركة Nissan في دبي</x:v>
      </x:c>
      <x:c r="K492" s="6" t="str">
        <x:v>إصلاح ناقل الحركة متخصص لسيارات Nissan في دبي مع تشخيص متقدم وقطع مناسبة وتسعير واضح لدى مركز ديجي-تك.</x:v>
      </x:c>
      <x:c r="L492" s="6" t="str">
        <x:v>Retain pending evidence; no specific content edit justified by this export.</x:v>
      </x:c>
      <x:c r="M492" s="6" t="str">
        <x:v>Retain; inspect relevant context before adding links</x:v>
      </x:c>
      <x:c r="N492" s="6" t="str">
        <x:v>Unconfirmed — no query/page pairing</x:v>
      </x:c>
      <x:c r="O492" s="6" t="str">
        <x:v>Retain established booking / WhatsApp / call path; live behaviour untested</x:v>
      </x:c>
      <x:c r="P492" s="6" t="str">
        <x:v>Retain canonical and indexation policy pending a live check.</x:v>
      </x:c>
      <x:c r="Q492" s="6" t="str">
        <x:v>Proposed; no website change made</x:v>
      </x:c>
      <x:c r="R492" s="14" t="n">
        <x:v>0</x:v>
      </x:c>
      <x:c r="S492" s="14" t="n">
        <x:v>5</x:v>
      </x:c>
      <x:c r="T492" s="15" t="n">
        <x:v>0</x:v>
      </x:c>
      <x:c r="U492" s="16" t="n">
        <x:v>5.6</x:v>
      </x:c>
      <x:c r="V492" s="6" t="str">
        <x:v>https://digitecme.com/ar/brands/nissan-service-dubai/transmission-repair</x:v>
      </x:c>
      <x:c r="W492" s="6" t="str">
        <x:v>Indexable directive</x:v>
      </x:c>
      <x:c r="X492" s="6" t="n">
        <x:v>16</x:v>
      </x:c>
      <x:c r="Y492" s="6" t="str">
        <x:v>إصلاح ناقل الحركة Nissan في دبي | ديجي-تك</x:v>
      </x:c>
      <x:c r="Z492" s="6" t="str"/>
      <x:c r="AA492" s="6" t="str">
        <x:v>No / not compared</x:v>
      </x:c>
    </x:row>
    <x:row r="493" ht="42" customHeight="1">
      <x:c r="A493" s="6" t="str">
        <x:v>https://digitecme.com/ar/brands/pagani-service-dubai</x:v>
      </x:c>
      <x:c r="B493" s="6" t="str"/>
      <x:c r="C493" s="6" t="str"/>
      <x:c r="D493" s="6" t="str">
        <x:v>brand</x:v>
      </x:c>
      <x:c r="E493" s="6" t="str">
        <x:v>Retain differentiated role</x:v>
      </x:c>
      <x:c r="F493" s="6" t="str">
        <x:v>Local source render; live version unverified</x:v>
      </x:c>
      <x:c r="G493" s="6" t="str">
        <x:v>إصلاح وصيانة Pagani في دبي | مركز ديجي-تك</x:v>
      </x:c>
      <x:c r="H493" s="6" t="str">
        <x:v>إصلاح وصيانة Pagani في دبي | مركز ديجي-تك</x:v>
      </x:c>
      <x:c r="I493" s="6" t="str">
        <x:v>Pagani للإصلاح والصيانة في دبي</x:v>
      </x:c>
      <x:c r="J493" s="6" t="str">
        <x:v>Pagani للإصلاح والصيانة في دبي</x:v>
      </x:c>
      <x:c r="K493" s="6" t="str">
        <x:v>إصلاح وصيانة Pagani في دبي: تشخيص وصيانة وفرامل وناقل حركة وتعليق وتكييف مع قطع بالمواصفات المناسبة لدى مركز ديجي-تك.</x:v>
      </x:c>
      <x:c r="L493" s="6" t="str">
        <x:v>Retain pending evidence; no specific content edit justified by this export.</x:v>
      </x:c>
      <x:c r="M493" s="6" t="str">
        <x:v>Retain; inspect relevant context before adding links</x:v>
      </x:c>
      <x:c r="N493" s="6" t="str">
        <x:v>Unconfirmed — no query/page pairing</x:v>
      </x:c>
      <x:c r="O493" s="6" t="str">
        <x:v>Retain established booking / WhatsApp / call path; live behaviour untested</x:v>
      </x:c>
      <x:c r="P493" s="6" t="str">
        <x:v>Retain canonical and indexation policy pending a live check.</x:v>
      </x:c>
      <x:c r="Q493" s="6" t="str">
        <x:v>Proposed; no website change made</x:v>
      </x:c>
      <x:c r="R493" s="14" t="n">
        <x:v>0</x:v>
      </x:c>
      <x:c r="S493" s="14" t="n">
        <x:v>2</x:v>
      </x:c>
      <x:c r="T493" s="15" t="n">
        <x:v>0</x:v>
      </x:c>
      <x:c r="U493" s="16" t="n">
        <x:v>64</x:v>
      </x:c>
      <x:c r="V493" s="6" t="str">
        <x:v>https://digitecme.com/ar/brands/pagani-service-dubai</x:v>
      </x:c>
      <x:c r="W493" s="6" t="str">
        <x:v>Indexable directive</x:v>
      </x:c>
      <x:c r="X493" s="6" t="n">
        <x:v>38</x:v>
      </x:c>
      <x:c r="Y493" s="6" t="str">
        <x:v>إصلاح وصيانة Pagani في دبي | مركز ديجي-تك</x:v>
      </x:c>
      <x:c r="Z493" s="6" t="str"/>
      <x:c r="AA493" s="6" t="str">
        <x:v>No / not compared</x:v>
      </x:c>
    </x:row>
    <x:row r="494" ht="42" customHeight="1">
      <x:c r="A494" s="6" t="str">
        <x:v>https://digitecme.com/ar/brands/pagani-service-dubai/ac-repair</x:v>
      </x:c>
      <x:c r="B494" s="6" t="str"/>
      <x:c r="C494" s="6" t="str"/>
      <x:c r="D494" s="6" t="str">
        <x:v>brand-service</x:v>
      </x:c>
      <x:c r="E494" s="6" t="str">
        <x:v>Retain differentiated role</x:v>
      </x:c>
      <x:c r="F494" s="6" t="str">
        <x:v>Local source render; live version unverified</x:v>
      </x:c>
      <x:c r="G494" s="6" t="str">
        <x:v>إصلاح التكييف Pagani في دبي | ديجي-تك</x:v>
      </x:c>
      <x:c r="H494" s="6" t="str">
        <x:v>إصلاح التكييف Pagani في دبي | ديجي-تك</x:v>
      </x:c>
      <x:c r="I494" s="6" t="str">
        <x:v>إصلاح التكييف Pagani في دبي</x:v>
      </x:c>
      <x:c r="J494" s="6" t="str">
        <x:v>إصلاح التكييف Pagani في دبي</x:v>
      </x:c>
      <x:c r="K494" s="6" t="str">
        <x:v>إصلاح التكييف متخصص لسيارات Pagani في دبي مع تشخيص متقدم وقطع مناسبة وتسعير واضح لدى مركز ديجي-تك.</x:v>
      </x:c>
      <x:c r="L494" s="6" t="str">
        <x:v>Retain pending evidence; no specific content edit justified by this export.</x:v>
      </x:c>
      <x:c r="M494" s="6" t="str">
        <x:v>Retain; inspect relevant context before adding links</x:v>
      </x:c>
      <x:c r="N494" s="6" t="str">
        <x:v>Unconfirmed — no query/page pairing</x:v>
      </x:c>
      <x:c r="O494" s="6" t="str">
        <x:v>Retain established booking / WhatsApp / call path; live behaviour untested</x:v>
      </x:c>
      <x:c r="P494" s="6" t="str">
        <x:v>Retain canonical and indexation policy pending a live check.</x:v>
      </x:c>
      <x:c r="Q494" s="6" t="str">
        <x:v>Proposed; no website change made</x:v>
      </x:c>
      <x:c r="R494" s="14"/>
      <x:c r="S494" s="14"/>
      <x:c r="T494" s="15"/>
      <x:c r="U494" s="16"/>
      <x:c r="V494" s="6" t="str">
        <x:v>https://digitecme.com/ar/brands/pagani-service-dubai/ac-repair</x:v>
      </x:c>
      <x:c r="W494" s="6" t="str">
        <x:v>Indexable directive</x:v>
      </x:c>
      <x:c r="X494" s="6" t="n">
        <x:v>16</x:v>
      </x:c>
      <x:c r="Y494" s="6" t="str">
        <x:v>إصلاح التكييف Pagani في دبي | ديجي-تك</x:v>
      </x:c>
      <x:c r="Z494" s="6" t="str"/>
      <x:c r="AA494" s="6" t="str">
        <x:v>No / not compared</x:v>
      </x:c>
    </x:row>
    <x:row r="495" ht="42" customHeight="1">
      <x:c r="A495" s="6" t="str">
        <x:v>https://digitecme.com/ar/brands/pagani-service-dubai/battery-replacement</x:v>
      </x:c>
      <x:c r="B495" s="6" t="str"/>
      <x:c r="C495" s="6" t="str"/>
      <x:c r="D495" s="6" t="str">
        <x:v>brand-service</x:v>
      </x:c>
      <x:c r="E495" s="6" t="str">
        <x:v>Retain differentiated role</x:v>
      </x:c>
      <x:c r="F495" s="6" t="str">
        <x:v>Local source render; live version unverified</x:v>
      </x:c>
      <x:c r="G495" s="6" t="str">
        <x:v>تبديل البطارية Pagani في دبي | ديجي-تك</x:v>
      </x:c>
      <x:c r="H495" s="6" t="str">
        <x:v>تبديل البطارية Pagani في دبي | ديجي-تك</x:v>
      </x:c>
      <x:c r="I495" s="6" t="str">
        <x:v>تبديل البطارية Pagani في دبي</x:v>
      </x:c>
      <x:c r="J495" s="6" t="str">
        <x:v>تبديل البطارية Pagani في دبي</x:v>
      </x:c>
      <x:c r="K495" s="6" t="str">
        <x:v>تبديل البطارية متخصص لسيارات Pagani في دبي مع تشخيص متقدم وقطع مناسبة وتسعير واضح لدى مركز ديجي-تك.</x:v>
      </x:c>
      <x:c r="L495" s="6" t="str">
        <x:v>Retain pending evidence; no specific content edit justified by this export.</x:v>
      </x:c>
      <x:c r="M495" s="6" t="str">
        <x:v>Retain; inspect relevant context before adding links</x:v>
      </x:c>
      <x:c r="N495" s="6" t="str">
        <x:v>Unconfirmed — no query/page pairing</x:v>
      </x:c>
      <x:c r="O495" s="6" t="str">
        <x:v>Retain established booking / WhatsApp / call path; live behaviour untested</x:v>
      </x:c>
      <x:c r="P495" s="6" t="str">
        <x:v>Retain canonical and indexation policy pending a live check.</x:v>
      </x:c>
      <x:c r="Q495" s="6" t="str">
        <x:v>Proposed; no website change made</x:v>
      </x:c>
      <x:c r="R495" s="14"/>
      <x:c r="S495" s="14"/>
      <x:c r="T495" s="15"/>
      <x:c r="U495" s="16"/>
      <x:c r="V495" s="6" t="str">
        <x:v>https://digitecme.com/ar/brands/pagani-service-dubai/battery-replacement</x:v>
      </x:c>
      <x:c r="W495" s="6" t="str">
        <x:v>Noindex directive</x:v>
      </x:c>
      <x:c r="X495" s="6" t="n">
        <x:v>16</x:v>
      </x:c>
      <x:c r="Y495" s="6" t="str">
        <x:v>تبديل البطارية Pagani في دبي | ديجي-تك</x:v>
      </x:c>
      <x:c r="Z495" s="6" t="str"/>
      <x:c r="AA495" s="6" t="str">
        <x:v>No / not compared</x:v>
      </x:c>
    </x:row>
    <x:row r="496" ht="42" customHeight="1">
      <x:c r="A496" s="6" t="str">
        <x:v>https://digitecme.com/ar/brands/pagani-service-dubai/body-repair</x:v>
      </x:c>
      <x:c r="B496" s="6" t="str"/>
      <x:c r="C496" s="6" t="str"/>
      <x:c r="D496" s="6" t="str">
        <x:v>brand-service</x:v>
      </x:c>
      <x:c r="E496" s="6" t="str">
        <x:v>Retain differentiated role</x:v>
      </x:c>
      <x:c r="F496" s="6" t="str">
        <x:v>Local source render; live version unverified</x:v>
      </x:c>
      <x:c r="G496" s="6" t="str">
        <x:v>إصلاح الهيكل Pagani في دبي | ديجي-تك</x:v>
      </x:c>
      <x:c r="H496" s="6" t="str">
        <x:v>إصلاح الهيكل Pagani في دبي | ديجي-تك</x:v>
      </x:c>
      <x:c r="I496" s="6" t="str">
        <x:v>إصلاح الهيكل Pagani في دبي</x:v>
      </x:c>
      <x:c r="J496" s="6" t="str">
        <x:v>إصلاح الهيكل Pagani في دبي</x:v>
      </x:c>
      <x:c r="K496" s="6" t="str">
        <x:v>إصلاح الهيكل متخصص لسيارات Pagani في دبي مع تشخيص متقدم وقطع مناسبة وتسعير واضح لدى مركز ديجي-تك.</x:v>
      </x:c>
      <x:c r="L496" s="6" t="str">
        <x:v>Retain pending evidence; no specific content edit justified by this export.</x:v>
      </x:c>
      <x:c r="M496" s="6" t="str">
        <x:v>Retain; inspect relevant context before adding links</x:v>
      </x:c>
      <x:c r="N496" s="6" t="str">
        <x:v>Unconfirmed — no query/page pairing</x:v>
      </x:c>
      <x:c r="O496" s="6" t="str">
        <x:v>Retain established booking / WhatsApp / call path; live behaviour untested</x:v>
      </x:c>
      <x:c r="P496" s="6" t="str">
        <x:v>Retain canonical and indexation policy pending a live check.</x:v>
      </x:c>
      <x:c r="Q496" s="6" t="str">
        <x:v>Proposed; no website change made</x:v>
      </x:c>
      <x:c r="R496" s="14" t="n">
        <x:v>0</x:v>
      </x:c>
      <x:c r="S496" s="14" t="n">
        <x:v>1</x:v>
      </x:c>
      <x:c r="T496" s="15" t="n">
        <x:v>0</x:v>
      </x:c>
      <x:c r="U496" s="16" t="n">
        <x:v>1</x:v>
      </x:c>
      <x:c r="V496" s="6" t="str">
        <x:v>https://digitecme.com/ar/brands/pagani-service-dubai/body-repair</x:v>
      </x:c>
      <x:c r="W496" s="6" t="str">
        <x:v>Noindex directive</x:v>
      </x:c>
      <x:c r="X496" s="6" t="n">
        <x:v>16</x:v>
      </x:c>
      <x:c r="Y496" s="6" t="str">
        <x:v>إصلاح الهيكل Pagani في دبي | ديجي-تك</x:v>
      </x:c>
      <x:c r="Z496" s="6" t="str"/>
      <x:c r="AA496" s="6" t="str">
        <x:v>No / not compared</x:v>
      </x:c>
    </x:row>
    <x:row r="497" ht="42" customHeight="1">
      <x:c r="A497" s="6" t="str">
        <x:v>https://digitecme.com/ar/brands/pagani-service-dubai/brake-repair</x:v>
      </x:c>
      <x:c r="B497" s="6" t="str"/>
      <x:c r="C497" s="6" t="str"/>
      <x:c r="D497" s="6" t="str">
        <x:v>brand-service</x:v>
      </x:c>
      <x:c r="E497" s="6" t="str">
        <x:v>Retain differentiated role</x:v>
      </x:c>
      <x:c r="F497" s="6" t="str">
        <x:v>Local source render; live version unverified</x:v>
      </x:c>
      <x:c r="G497" s="6" t="str">
        <x:v>إصلاح الفرامل Pagani في دبي | ديجي-تك</x:v>
      </x:c>
      <x:c r="H497" s="6" t="str">
        <x:v>إصلاح الفرامل Pagani في دبي | ديجي-تك</x:v>
      </x:c>
      <x:c r="I497" s="6" t="str">
        <x:v>إصلاح الفرامل Pagani في دبي</x:v>
      </x:c>
      <x:c r="J497" s="6" t="str">
        <x:v>إصلاح الفرامل Pagani في دبي</x:v>
      </x:c>
      <x:c r="K497" s="6" t="str">
        <x:v>إصلاح الفرامل متخصص لسيارات Pagani في دبي مع تشخيص متقدم وقطع مناسبة وتسعير واضح لدى مركز ديجي-تك.</x:v>
      </x:c>
      <x:c r="L497" s="6" t="str">
        <x:v>Retain pending evidence; no specific content edit justified by this export.</x:v>
      </x:c>
      <x:c r="M497" s="6" t="str">
        <x:v>Retain; inspect relevant context before adding links</x:v>
      </x:c>
      <x:c r="N497" s="6" t="str">
        <x:v>Unconfirmed — no query/page pairing</x:v>
      </x:c>
      <x:c r="O497" s="6" t="str">
        <x:v>Retain established booking / WhatsApp / call path; live behaviour untested</x:v>
      </x:c>
      <x:c r="P497" s="6" t="str">
        <x:v>Retain canonical and indexation policy pending a live check.</x:v>
      </x:c>
      <x:c r="Q497" s="6" t="str">
        <x:v>Proposed; no website change made</x:v>
      </x:c>
      <x:c r="R497" s="14" t="n">
        <x:v>0</x:v>
      </x:c>
      <x:c r="S497" s="14" t="n">
        <x:v>1</x:v>
      </x:c>
      <x:c r="T497" s="15" t="n">
        <x:v>0</x:v>
      </x:c>
      <x:c r="U497" s="16" t="n">
        <x:v>96</x:v>
      </x:c>
      <x:c r="V497" s="6" t="str">
        <x:v>https://digitecme.com/ar/brands/pagani-service-dubai/brake-repair</x:v>
      </x:c>
      <x:c r="W497" s="6" t="str">
        <x:v>Indexable directive</x:v>
      </x:c>
      <x:c r="X497" s="6" t="n">
        <x:v>16</x:v>
      </x:c>
      <x:c r="Y497" s="6" t="str">
        <x:v>إصلاح الفرامل Pagani في دبي | ديجي-تك</x:v>
      </x:c>
      <x:c r="Z497" s="6" t="str"/>
      <x:c r="AA497" s="6" t="str">
        <x:v>No / not compared</x:v>
      </x:c>
    </x:row>
    <x:row r="498" ht="42" customHeight="1">
      <x:c r="A498" s="6" t="str">
        <x:v>https://digitecme.com/ar/brands/pagani-service-dubai/electrical-repair</x:v>
      </x:c>
      <x:c r="B498" s="6" t="str"/>
      <x:c r="C498" s="6" t="str"/>
      <x:c r="D498" s="6" t="str">
        <x:v>brand-service</x:v>
      </x:c>
      <x:c r="E498" s="6" t="str">
        <x:v>Retain differentiated role</x:v>
      </x:c>
      <x:c r="F498" s="6" t="str">
        <x:v>Local source render; live version unverified</x:v>
      </x:c>
      <x:c r="G498" s="6" t="str">
        <x:v>إصلاح الكهرباء Pagani في دبي | ديجي-تك</x:v>
      </x:c>
      <x:c r="H498" s="6" t="str">
        <x:v>إصلاح الكهرباء Pagani في دبي | ديجي-تك</x:v>
      </x:c>
      <x:c r="I498" s="6" t="str">
        <x:v>إصلاح الكهرباء Pagani في دبي</x:v>
      </x:c>
      <x:c r="J498" s="6" t="str">
        <x:v>إصلاح الكهرباء Pagani في دبي</x:v>
      </x:c>
      <x:c r="K498" s="6" t="str">
        <x:v>إصلاح الكهرباء متخصص لسيارات Pagani في دبي مع تشخيص متقدم وقطع مناسبة وتسعير واضح لدى مركز ديجي-تك.</x:v>
      </x:c>
      <x:c r="L498" s="6" t="str">
        <x:v>Retain pending evidence; no specific content edit justified by this export.</x:v>
      </x:c>
      <x:c r="M498" s="6" t="str">
        <x:v>Retain; inspect relevant context before adding links</x:v>
      </x:c>
      <x:c r="N498" s="6" t="str">
        <x:v>Unconfirmed — no query/page pairing</x:v>
      </x:c>
      <x:c r="O498" s="6" t="str">
        <x:v>Retain established booking / WhatsApp / call path; live behaviour untested</x:v>
      </x:c>
      <x:c r="P498" s="6" t="str">
        <x:v>Retain canonical and indexation policy pending a live check.</x:v>
      </x:c>
      <x:c r="Q498" s="6" t="str">
        <x:v>Proposed; no website change made</x:v>
      </x:c>
      <x:c r="R498" s="14"/>
      <x:c r="S498" s="14"/>
      <x:c r="T498" s="15"/>
      <x:c r="U498" s="16"/>
      <x:c r="V498" s="6" t="str">
        <x:v>https://digitecme.com/ar/brands/pagani-service-dubai/electrical-repair</x:v>
      </x:c>
      <x:c r="W498" s="6" t="str">
        <x:v>Noindex directive</x:v>
      </x:c>
      <x:c r="X498" s="6" t="n">
        <x:v>16</x:v>
      </x:c>
      <x:c r="Y498" s="6" t="str">
        <x:v>إصلاح الكهرباء Pagani في دبي | ديجي-تك</x:v>
      </x:c>
      <x:c r="Z498" s="6" t="str"/>
      <x:c r="AA498" s="6" t="str">
        <x:v>No / not compared</x:v>
      </x:c>
    </x:row>
    <x:row r="499" ht="42" customHeight="1">
      <x:c r="A499" s="6" t="str">
        <x:v>https://digitecme.com/ar/brands/pagani-service-dubai/engine-diagnostics</x:v>
      </x:c>
      <x:c r="B499" s="6" t="str"/>
      <x:c r="C499" s="6" t="str"/>
      <x:c r="D499" s="6" t="str">
        <x:v>brand-service</x:v>
      </x:c>
      <x:c r="E499" s="6" t="str">
        <x:v>Retain differentiated role</x:v>
      </x:c>
      <x:c r="F499" s="6" t="str">
        <x:v>Local source render; live version unverified</x:v>
      </x:c>
      <x:c r="G499" s="6" t="str">
        <x:v>تشخيص المحرك Pagani في دبي | ديجي-تك</x:v>
      </x:c>
      <x:c r="H499" s="6" t="str">
        <x:v>تشخيص المحرك Pagani في دبي | ديجي-تك</x:v>
      </x:c>
      <x:c r="I499" s="6" t="str">
        <x:v>تشخيص المحرك Pagani في دبي</x:v>
      </x:c>
      <x:c r="J499" s="6" t="str">
        <x:v>تشخيص المحرك Pagani في دبي</x:v>
      </x:c>
      <x:c r="K499" s="6" t="str">
        <x:v>تشخيص المحرك متخصص لسيارات Pagani في دبي مع تشخيص متقدم وقطع مناسبة وتسعير واضح لدى مركز ديجي-تك.</x:v>
      </x:c>
      <x:c r="L499" s="6" t="str">
        <x:v>Retain pending evidence; no specific content edit justified by this export.</x:v>
      </x:c>
      <x:c r="M499" s="6" t="str">
        <x:v>Retain; inspect relevant context before adding links</x:v>
      </x:c>
      <x:c r="N499" s="6" t="str">
        <x:v>Unconfirmed — no query/page pairing</x:v>
      </x:c>
      <x:c r="O499" s="6" t="str">
        <x:v>Retain established booking / WhatsApp / call path; live behaviour untested</x:v>
      </x:c>
      <x:c r="P499" s="6" t="str">
        <x:v>Retain canonical and indexation policy pending a live check.</x:v>
      </x:c>
      <x:c r="Q499" s="6" t="str">
        <x:v>Proposed; no website change made</x:v>
      </x:c>
      <x:c r="R499" s="14"/>
      <x:c r="S499" s="14"/>
      <x:c r="T499" s="15"/>
      <x:c r="U499" s="16"/>
      <x:c r="V499" s="6" t="str">
        <x:v>https://digitecme.com/ar/brands/pagani-service-dubai/engine-diagnostics</x:v>
      </x:c>
      <x:c r="W499" s="6" t="str">
        <x:v>Indexable directive</x:v>
      </x:c>
      <x:c r="X499" s="6" t="n">
        <x:v>16</x:v>
      </x:c>
      <x:c r="Y499" s="6" t="str">
        <x:v>تشخيص المحرك Pagani في دبي | ديجي-تك</x:v>
      </x:c>
      <x:c r="Z499" s="6" t="str"/>
      <x:c r="AA499" s="6" t="str">
        <x:v>No / not compared</x:v>
      </x:c>
    </x:row>
    <x:row r="500" ht="42" customHeight="1">
      <x:c r="A500" s="6" t="str">
        <x:v>https://digitecme.com/ar/brands/pagani-service-dubai/exhaust-repair</x:v>
      </x:c>
      <x:c r="B500" s="6" t="str"/>
      <x:c r="C500" s="6" t="str"/>
      <x:c r="D500" s="6" t="str">
        <x:v>brand-service</x:v>
      </x:c>
      <x:c r="E500" s="6" t="str">
        <x:v>Retain differentiated role</x:v>
      </x:c>
      <x:c r="F500" s="6" t="str">
        <x:v>Local source render; live version unverified</x:v>
      </x:c>
      <x:c r="G500" s="6" t="str">
        <x:v>إصلاح العادم Pagani في دبي | ديجي-تك</x:v>
      </x:c>
      <x:c r="H500" s="6" t="str">
        <x:v>إصلاح العادم Pagani في دبي | ديجي-تك</x:v>
      </x:c>
      <x:c r="I500" s="6" t="str">
        <x:v>إصلاح العادم Pagani في دبي</x:v>
      </x:c>
      <x:c r="J500" s="6" t="str">
        <x:v>إصلاح العادم Pagani في دبي</x:v>
      </x:c>
      <x:c r="K500" s="6" t="str">
        <x:v>إصلاح العادم متخصص لسيارات Pagani في دبي مع تشخيص متقدم وقطع مناسبة وتسعير واضح لدى مركز ديجي-تك.</x:v>
      </x:c>
      <x:c r="L500" s="6" t="str">
        <x:v>Retain pending evidence; no specific content edit justified by this export.</x:v>
      </x:c>
      <x:c r="M500" s="6" t="str">
        <x:v>Retain; inspect relevant context before adding links</x:v>
      </x:c>
      <x:c r="N500" s="6" t="str">
        <x:v>Unconfirmed — no query/page pairing</x:v>
      </x:c>
      <x:c r="O500" s="6" t="str">
        <x:v>Retain established booking / WhatsApp / call path; live behaviour untested</x:v>
      </x:c>
      <x:c r="P500" s="6" t="str">
        <x:v>Retain canonical and indexation policy pending a live check.</x:v>
      </x:c>
      <x:c r="Q500" s="6" t="str">
        <x:v>Proposed; no website change made</x:v>
      </x:c>
      <x:c r="R500" s="14"/>
      <x:c r="S500" s="14"/>
      <x:c r="T500" s="15"/>
      <x:c r="U500" s="16"/>
      <x:c r="V500" s="6" t="str">
        <x:v>https://digitecme.com/ar/brands/pagani-service-dubai/exhaust-repair</x:v>
      </x:c>
      <x:c r="W500" s="6" t="str">
        <x:v>Noindex directive</x:v>
      </x:c>
      <x:c r="X500" s="6" t="n">
        <x:v>16</x:v>
      </x:c>
      <x:c r="Y500" s="6" t="str">
        <x:v>إصلاح العادم Pagani في دبي | ديجي-تك</x:v>
      </x:c>
      <x:c r="Z500" s="6" t="str"/>
      <x:c r="AA500" s="6" t="str">
        <x:v>No / not compared</x:v>
      </x:c>
    </x:row>
    <x:row r="501" ht="42" customHeight="1">
      <x:c r="A501" s="6" t="str">
        <x:v>https://digitecme.com/ar/brands/pagani-service-dubai/fuel-system-repair</x:v>
      </x:c>
      <x:c r="B501" s="6" t="str"/>
      <x:c r="C501" s="6" t="str"/>
      <x:c r="D501" s="6" t="str">
        <x:v>brand-service</x:v>
      </x:c>
      <x:c r="E501" s="6" t="str">
        <x:v>Retain differentiated role</x:v>
      </x:c>
      <x:c r="F501" s="6" t="str">
        <x:v>Local source render; live version unverified</x:v>
      </x:c>
      <x:c r="G501" s="6" t="str">
        <x:v>إصلاح نظام الوقود Pagani في دبي | ديجي-تك</x:v>
      </x:c>
      <x:c r="H501" s="6" t="str">
        <x:v>إصلاح نظام الوقود Pagani في دبي | ديجي-تك</x:v>
      </x:c>
      <x:c r="I501" s="6" t="str">
        <x:v>إصلاح نظام الوقود Pagani في دبي</x:v>
      </x:c>
      <x:c r="J501" s="6" t="str">
        <x:v>إصلاح نظام الوقود Pagani في دبي</x:v>
      </x:c>
      <x:c r="K501" s="6" t="str">
        <x:v>إصلاح نظام الوقود متخصص لسيارات Pagani في دبي مع تشخيص متقدم وقطع مناسبة وتسعير واضح لدى مركز ديجي-تك.</x:v>
      </x:c>
      <x:c r="L501" s="6" t="str">
        <x:v>Retain pending evidence; no specific content edit justified by this export.</x:v>
      </x:c>
      <x:c r="M501" s="6" t="str">
        <x:v>Retain; inspect relevant context before adding links</x:v>
      </x:c>
      <x:c r="N501" s="6" t="str">
        <x:v>Unconfirmed — no query/page pairing</x:v>
      </x:c>
      <x:c r="O501" s="6" t="str">
        <x:v>Retain established booking / WhatsApp / call path; live behaviour untested</x:v>
      </x:c>
      <x:c r="P501" s="6" t="str">
        <x:v>Retain canonical and indexation policy pending a live check.</x:v>
      </x:c>
      <x:c r="Q501" s="6" t="str">
        <x:v>Proposed; no website change made</x:v>
      </x:c>
      <x:c r="R501" s="14"/>
      <x:c r="S501" s="14"/>
      <x:c r="T501" s="15"/>
      <x:c r="U501" s="16"/>
      <x:c r="V501" s="6" t="str">
        <x:v>https://digitecme.com/ar/brands/pagani-service-dubai/fuel-system-repair</x:v>
      </x:c>
      <x:c r="W501" s="6" t="str">
        <x:v>Noindex directive</x:v>
      </x:c>
      <x:c r="X501" s="6" t="n">
        <x:v>16</x:v>
      </x:c>
      <x:c r="Y501" s="6" t="str">
        <x:v>إصلاح نظام الوقود Pagani في دبي | ديجي-تك</x:v>
      </x:c>
      <x:c r="Z501" s="6" t="str"/>
      <x:c r="AA501" s="6" t="str">
        <x:v>No / not compared</x:v>
      </x:c>
    </x:row>
    <x:row r="502" ht="42" customHeight="1">
      <x:c r="A502" s="6" t="str">
        <x:v>https://digitecme.com/ar/brands/pagani-service-dubai/mechanical-repair</x:v>
      </x:c>
      <x:c r="B502" s="6" t="str"/>
      <x:c r="C502" s="6" t="str"/>
      <x:c r="D502" s="6" t="str">
        <x:v>brand-service</x:v>
      </x:c>
      <x:c r="E502" s="6" t="str">
        <x:v>Retain differentiated role</x:v>
      </x:c>
      <x:c r="F502" s="6" t="str">
        <x:v>Local source render; live version unverified</x:v>
      </x:c>
      <x:c r="G502" s="6" t="str">
        <x:v>الإصلاح الميكانيكي Pagani في دبي | ديجي-تك</x:v>
      </x:c>
      <x:c r="H502" s="6" t="str">
        <x:v>الإصلاح الميكانيكي Pagani في دبي | ديجي-تك</x:v>
      </x:c>
      <x:c r="I502" s="6" t="str">
        <x:v>الإصلاح الميكانيكي Pagani في دبي</x:v>
      </x:c>
      <x:c r="J502" s="6" t="str">
        <x:v>الإصلاح الميكانيكي Pagani في دبي</x:v>
      </x:c>
      <x:c r="K502" s="6" t="str">
        <x:v>الإصلاح الميكانيكي متخصص لسيارات Pagani في دبي مع تشخيص متقدم وقطع مناسبة وتسعير واضح لدى مركز ديجي-تك.</x:v>
      </x:c>
      <x:c r="L502" s="6" t="str">
        <x:v>Retain pending evidence; no specific content edit justified by this export.</x:v>
      </x:c>
      <x:c r="M502" s="6" t="str">
        <x:v>Retain; inspect relevant context before adding links</x:v>
      </x:c>
      <x:c r="N502" s="6" t="str">
        <x:v>Unconfirmed — no query/page pairing</x:v>
      </x:c>
      <x:c r="O502" s="6" t="str">
        <x:v>Retain established booking / WhatsApp / call path; live behaviour untested</x:v>
      </x:c>
      <x:c r="P502" s="6" t="str">
        <x:v>Retain canonical and indexation policy pending a live check.</x:v>
      </x:c>
      <x:c r="Q502" s="6" t="str">
        <x:v>Proposed; no website change made</x:v>
      </x:c>
      <x:c r="R502" s="14" t="n">
        <x:v>0</x:v>
      </x:c>
      <x:c r="S502" s="14" t="n">
        <x:v>1</x:v>
      </x:c>
      <x:c r="T502" s="15" t="n">
        <x:v>0</x:v>
      </x:c>
      <x:c r="U502" s="16" t="n">
        <x:v>98</x:v>
      </x:c>
      <x:c r="V502" s="6" t="str">
        <x:v>https://digitecme.com/ar/brands/pagani-service-dubai/mechanical-repair</x:v>
      </x:c>
      <x:c r="W502" s="6" t="str">
        <x:v>Noindex directive</x:v>
      </x:c>
      <x:c r="X502" s="6" t="n">
        <x:v>16</x:v>
      </x:c>
      <x:c r="Y502" s="6" t="str">
        <x:v>الإصلاح الميكانيكي Pagani في دبي | ديجي-تك</x:v>
      </x:c>
      <x:c r="Z502" s="6" t="str"/>
      <x:c r="AA502" s="6" t="str">
        <x:v>No / not compared</x:v>
      </x:c>
    </x:row>
    <x:row r="503" ht="42" customHeight="1">
      <x:c r="A503" s="6" t="str">
        <x:v>https://digitecme.com/ar/brands/pagani-service-dubai/oil-change</x:v>
      </x:c>
      <x:c r="B503" s="6" t="str"/>
      <x:c r="C503" s="6" t="str"/>
      <x:c r="D503" s="6" t="str">
        <x:v>brand-service</x:v>
      </x:c>
      <x:c r="E503" s="6" t="str">
        <x:v>Retain differentiated role</x:v>
      </x:c>
      <x:c r="F503" s="6" t="str">
        <x:v>Local source render; live version unverified</x:v>
      </x:c>
      <x:c r="G503" s="6" t="str">
        <x:v>تغيير الزيت Pagani في دبي | ديجي-تك</x:v>
      </x:c>
      <x:c r="H503" s="6" t="str">
        <x:v>تغيير الزيت Pagani في دبي | ديجي-تك</x:v>
      </x:c>
      <x:c r="I503" s="6" t="str">
        <x:v>تغيير الزيت Pagani في دبي</x:v>
      </x:c>
      <x:c r="J503" s="6" t="str">
        <x:v>تغيير الزيت Pagani في دبي</x:v>
      </x:c>
      <x:c r="K503" s="6" t="str">
        <x:v>تغيير الزيت متخصص لسيارات Pagani في دبي مع تشخيص متقدم وقطع مناسبة وتسعير واضح لدى مركز ديجي-تك.</x:v>
      </x:c>
      <x:c r="L503" s="6" t="str">
        <x:v>Retain pending evidence; no specific content edit justified by this export.</x:v>
      </x:c>
      <x:c r="M503" s="6" t="str">
        <x:v>Retain; inspect relevant context before adding links</x:v>
      </x:c>
      <x:c r="N503" s="6" t="str">
        <x:v>Unconfirmed — no query/page pairing</x:v>
      </x:c>
      <x:c r="O503" s="6" t="str">
        <x:v>Retain established booking / WhatsApp / call path; live behaviour untested</x:v>
      </x:c>
      <x:c r="P503" s="6" t="str">
        <x:v>Retain canonical and indexation policy pending a live check.</x:v>
      </x:c>
      <x:c r="Q503" s="6" t="str">
        <x:v>Proposed; no website change made</x:v>
      </x:c>
      <x:c r="R503" s="14"/>
      <x:c r="S503" s="14"/>
      <x:c r="T503" s="15"/>
      <x:c r="U503" s="16"/>
      <x:c r="V503" s="6" t="str">
        <x:v>https://digitecme.com/ar/brands/pagani-service-dubai/oil-change</x:v>
      </x:c>
      <x:c r="W503" s="6" t="str">
        <x:v>Indexable directive</x:v>
      </x:c>
      <x:c r="X503" s="6" t="n">
        <x:v>16</x:v>
      </x:c>
      <x:c r="Y503" s="6" t="str">
        <x:v>تغيير الزيت Pagani في دبي | ديجي-تك</x:v>
      </x:c>
      <x:c r="Z503" s="6" t="str"/>
      <x:c r="AA503" s="6" t="str">
        <x:v>No / not compared</x:v>
      </x:c>
    </x:row>
    <x:row r="504" ht="42" customHeight="1">
      <x:c r="A504" s="6" t="str">
        <x:v>https://digitecme.com/ar/brands/pagani-service-dubai/steering-repair</x:v>
      </x:c>
      <x:c r="B504" s="6" t="str"/>
      <x:c r="C504" s="6" t="str"/>
      <x:c r="D504" s="6" t="str">
        <x:v>brand-service</x:v>
      </x:c>
      <x:c r="E504" s="6" t="str">
        <x:v>Retain differentiated role</x:v>
      </x:c>
      <x:c r="F504" s="6" t="str">
        <x:v>Local source render; live version unverified</x:v>
      </x:c>
      <x:c r="G504" s="6" t="str">
        <x:v>إصلاح نظام التوجيه Pagani في دبي | ديجي-تك</x:v>
      </x:c>
      <x:c r="H504" s="6" t="str">
        <x:v>إصلاح نظام التوجيه Pagani في دبي | ديجي-تك</x:v>
      </x:c>
      <x:c r="I504" s="6" t="str">
        <x:v>إصلاح نظام التوجيه Pagani في دبي</x:v>
      </x:c>
      <x:c r="J504" s="6" t="str">
        <x:v>إصلاح نظام التوجيه Pagani في دبي</x:v>
      </x:c>
      <x:c r="K504" s="6" t="str">
        <x:v>إصلاح نظام التوجيه متخصص لسيارات Pagani في دبي مع تشخيص متقدم وقطع مناسبة وتسعير واضح لدى مركز ديجي-تك.</x:v>
      </x:c>
      <x:c r="L504" s="6" t="str">
        <x:v>Retain pending evidence; no specific content edit justified by this export.</x:v>
      </x:c>
      <x:c r="M504" s="6" t="str">
        <x:v>Retain; inspect relevant context before adding links</x:v>
      </x:c>
      <x:c r="N504" s="6" t="str">
        <x:v>Unconfirmed — no query/page pairing</x:v>
      </x:c>
      <x:c r="O504" s="6" t="str">
        <x:v>Retain established booking / WhatsApp / call path; live behaviour untested</x:v>
      </x:c>
      <x:c r="P504" s="6" t="str">
        <x:v>Retain canonical and indexation policy pending a live check.</x:v>
      </x:c>
      <x:c r="Q504" s="6" t="str">
        <x:v>Proposed; no website change made</x:v>
      </x:c>
      <x:c r="R504" s="14"/>
      <x:c r="S504" s="14"/>
      <x:c r="T504" s="15"/>
      <x:c r="U504" s="16"/>
      <x:c r="V504" s="6" t="str">
        <x:v>https://digitecme.com/ar/brands/pagani-service-dubai/steering-repair</x:v>
      </x:c>
      <x:c r="W504" s="6" t="str">
        <x:v>Noindex directive</x:v>
      </x:c>
      <x:c r="X504" s="6" t="n">
        <x:v>16</x:v>
      </x:c>
      <x:c r="Y504" s="6" t="str">
        <x:v>إصلاح نظام التوجيه Pagani في دبي | ديجي-تك</x:v>
      </x:c>
      <x:c r="Z504" s="6" t="str"/>
      <x:c r="AA504" s="6" t="str">
        <x:v>No / not compared</x:v>
      </x:c>
    </x:row>
    <x:row r="505" ht="42" customHeight="1">
      <x:c r="A505" s="6" t="str">
        <x:v>https://digitecme.com/ar/brands/pagani-service-dubai/suspension-repair</x:v>
      </x:c>
      <x:c r="B505" s="6" t="str"/>
      <x:c r="C505" s="6" t="str"/>
      <x:c r="D505" s="6" t="str">
        <x:v>brand-service</x:v>
      </x:c>
      <x:c r="E505" s="6" t="str">
        <x:v>Retain differentiated role</x:v>
      </x:c>
      <x:c r="F505" s="6" t="str">
        <x:v>Local source render; live version unverified</x:v>
      </x:c>
      <x:c r="G505" s="6" t="str">
        <x:v>إصلاح التعليق Pagani في دبي | ديجي-تك</x:v>
      </x:c>
      <x:c r="H505" s="6" t="str">
        <x:v>إصلاح التعليق Pagani في دبي | ديجي-تك</x:v>
      </x:c>
      <x:c r="I505" s="6" t="str">
        <x:v>إصلاح التعليق Pagani في دبي</x:v>
      </x:c>
      <x:c r="J505" s="6" t="str">
        <x:v>إصلاح التعليق Pagani في دبي</x:v>
      </x:c>
      <x:c r="K505" s="6" t="str">
        <x:v>إصلاح التعليق متخصص لسيارات Pagani في دبي مع تشخيص متقدم وقطع مناسبة وتسعير واضح لدى مركز ديجي-تك.</x:v>
      </x:c>
      <x:c r="L505" s="6" t="str">
        <x:v>Retain pending evidence; no specific content edit justified by this export.</x:v>
      </x:c>
      <x:c r="M505" s="6" t="str">
        <x:v>Retain; inspect relevant context before adding links</x:v>
      </x:c>
      <x:c r="N505" s="6" t="str">
        <x:v>Unconfirmed — no query/page pairing</x:v>
      </x:c>
      <x:c r="O505" s="6" t="str">
        <x:v>Retain established booking / WhatsApp / call path; live behaviour untested</x:v>
      </x:c>
      <x:c r="P505" s="6" t="str">
        <x:v>Retain canonical and indexation policy pending a live check.</x:v>
      </x:c>
      <x:c r="Q505" s="6" t="str">
        <x:v>Proposed; no website change made</x:v>
      </x:c>
      <x:c r="R505" s="14"/>
      <x:c r="S505" s="14"/>
      <x:c r="T505" s="15"/>
      <x:c r="U505" s="16"/>
      <x:c r="V505" s="6" t="str">
        <x:v>https://digitecme.com/ar/brands/pagani-service-dubai/suspension-repair</x:v>
      </x:c>
      <x:c r="W505" s="6" t="str">
        <x:v>Noindex directive</x:v>
      </x:c>
      <x:c r="X505" s="6" t="n">
        <x:v>16</x:v>
      </x:c>
      <x:c r="Y505" s="6" t="str">
        <x:v>إصلاح التعليق Pagani في دبي | ديجي-تك</x:v>
      </x:c>
      <x:c r="Z505" s="6" t="str"/>
      <x:c r="AA505" s="6" t="str">
        <x:v>No / not compared</x:v>
      </x:c>
    </x:row>
    <x:row r="506" ht="42" customHeight="1">
      <x:c r="A506" s="6" t="str">
        <x:v>https://digitecme.com/ar/brands/pagani-service-dubai/tire-repair</x:v>
      </x:c>
      <x:c r="B506" s="6" t="str"/>
      <x:c r="C506" s="6" t="str"/>
      <x:c r="D506" s="6" t="str">
        <x:v>brand-service</x:v>
      </x:c>
      <x:c r="E506" s="6" t="str">
        <x:v>Retain differentiated role</x:v>
      </x:c>
      <x:c r="F506" s="6" t="str">
        <x:v>Local source render; live version unverified</x:v>
      </x:c>
      <x:c r="G506" s="6" t="str">
        <x:v>إصلاح الإطارات Pagani في دبي | ديجي-تك</x:v>
      </x:c>
      <x:c r="H506" s="6" t="str">
        <x:v>إصلاح الإطارات Pagani في دبي | ديجي-تك</x:v>
      </x:c>
      <x:c r="I506" s="6" t="str">
        <x:v>إصلاح الإطارات Pagani في دبي</x:v>
      </x:c>
      <x:c r="J506" s="6" t="str">
        <x:v>إصلاح الإطارات Pagani في دبي</x:v>
      </x:c>
      <x:c r="K506" s="6" t="str">
        <x:v>إصلاح الإطارات متخصص لسيارات Pagani في دبي مع تشخيص متقدم وقطع مناسبة وتسعير واضح لدى مركز ديجي-تك.</x:v>
      </x:c>
      <x:c r="L506" s="6" t="str">
        <x:v>Retain pending evidence; no specific content edit justified by this export.</x:v>
      </x:c>
      <x:c r="M506" s="6" t="str">
        <x:v>Retain; inspect relevant context before adding links</x:v>
      </x:c>
      <x:c r="N506" s="6" t="str">
        <x:v>Unconfirmed — no query/page pairing</x:v>
      </x:c>
      <x:c r="O506" s="6" t="str">
        <x:v>Retain established booking / WhatsApp / call path; live behaviour untested</x:v>
      </x:c>
      <x:c r="P506" s="6" t="str">
        <x:v>Retain canonical and indexation policy pending a live check.</x:v>
      </x:c>
      <x:c r="Q506" s="6" t="str">
        <x:v>Proposed; no website change made</x:v>
      </x:c>
      <x:c r="R506" s="14" t="n">
        <x:v>0</x:v>
      </x:c>
      <x:c r="S506" s="14" t="n">
        <x:v>1</x:v>
      </x:c>
      <x:c r="T506" s="15" t="n">
        <x:v>0</x:v>
      </x:c>
      <x:c r="U506" s="16" t="n">
        <x:v>95</x:v>
      </x:c>
      <x:c r="V506" s="6" t="str">
        <x:v>https://digitecme.com/ar/brands/pagani-service-dubai/tire-repair</x:v>
      </x:c>
      <x:c r="W506" s="6" t="str">
        <x:v>Noindex directive</x:v>
      </x:c>
      <x:c r="X506" s="6" t="n">
        <x:v>16</x:v>
      </x:c>
      <x:c r="Y506" s="6" t="str">
        <x:v>إصلاح الإطارات Pagani في دبي | ديجي-تك</x:v>
      </x:c>
      <x:c r="Z506" s="6" t="str"/>
      <x:c r="AA506" s="6" t="str">
        <x:v>No / not compared</x:v>
      </x:c>
    </x:row>
    <x:row r="507" ht="42" customHeight="1">
      <x:c r="A507" s="6" t="str">
        <x:v>https://digitecme.com/ar/brands/pagani-service-dubai/transmission-repair</x:v>
      </x:c>
      <x:c r="B507" s="6" t="str"/>
      <x:c r="C507" s="6" t="str"/>
      <x:c r="D507" s="6" t="str">
        <x:v>brand-service</x:v>
      </x:c>
      <x:c r="E507" s="6" t="str">
        <x:v>Retain differentiated role</x:v>
      </x:c>
      <x:c r="F507" s="6" t="str">
        <x:v>Local source render; live version unverified</x:v>
      </x:c>
      <x:c r="G507" s="6" t="str">
        <x:v>إصلاح ناقل الحركة Pagani في دبي | ديجي-تك</x:v>
      </x:c>
      <x:c r="H507" s="6" t="str">
        <x:v>إصلاح ناقل الحركة Pagani في دبي | ديجي-تك</x:v>
      </x:c>
      <x:c r="I507" s="6" t="str">
        <x:v>إصلاح ناقل الحركة Pagani في دبي</x:v>
      </x:c>
      <x:c r="J507" s="6" t="str">
        <x:v>إصلاح ناقل الحركة Pagani في دبي</x:v>
      </x:c>
      <x:c r="K507" s="6" t="str">
        <x:v>إصلاح ناقل الحركة متخصص لسيارات Pagani في دبي مع تشخيص متقدم وقطع مناسبة وتسعير واضح لدى مركز ديجي-تك.</x:v>
      </x:c>
      <x:c r="L507" s="6" t="str">
        <x:v>Retain pending evidence; no specific content edit justified by this export.</x:v>
      </x:c>
      <x:c r="M507" s="6" t="str">
        <x:v>Retain; inspect relevant context before adding links</x:v>
      </x:c>
      <x:c r="N507" s="6" t="str">
        <x:v>Unconfirmed — no query/page pairing</x:v>
      </x:c>
      <x:c r="O507" s="6" t="str">
        <x:v>Retain established booking / WhatsApp / call path; live behaviour untested</x:v>
      </x:c>
      <x:c r="P507" s="6" t="str">
        <x:v>Retain canonical and indexation policy pending a live check.</x:v>
      </x:c>
      <x:c r="Q507" s="6" t="str">
        <x:v>Proposed; no website change made</x:v>
      </x:c>
      <x:c r="R507" s="14"/>
      <x:c r="S507" s="14"/>
      <x:c r="T507" s="15"/>
      <x:c r="U507" s="16"/>
      <x:c r="V507" s="6" t="str">
        <x:v>https://digitecme.com/ar/brands/pagani-service-dubai/transmission-repair</x:v>
      </x:c>
      <x:c r="W507" s="6" t="str">
        <x:v>Noindex directive</x:v>
      </x:c>
      <x:c r="X507" s="6" t="n">
        <x:v>16</x:v>
      </x:c>
      <x:c r="Y507" s="6" t="str">
        <x:v>إصلاح ناقل الحركة Pagani في دبي | ديجي-تك</x:v>
      </x:c>
      <x:c r="Z507" s="6" t="str"/>
      <x:c r="AA507" s="6" t="str">
        <x:v>No / not compared</x:v>
      </x:c>
    </x:row>
    <x:row r="508" ht="42" customHeight="1">
      <x:c r="A508" s="6" t="str">
        <x:v>https://digitecme.com/ar/brands/porsche-service-dubai</x:v>
      </x:c>
      <x:c r="B508" s="6" t="str">
        <x:v>افضل ورشة بورش</x:v>
      </x:c>
      <x:c r="C508" s="6" t="str">
        <x:v>porsche: Service and repair (Arabic)</x:v>
      </x:c>
      <x:c r="D508" s="6" t="str">
        <x:v>brand</x:v>
      </x:c>
      <x:c r="E508" s="6" t="str">
        <x:v>Primary owner for assigned intent</x:v>
      </x:c>
      <x:c r="F508" s="6" t="str">
        <x:v>Local source render; live version unverified</x:v>
      </x:c>
      <x:c r="G508" s="6" t="str">
        <x:v>إصلاح وصيانة Porsche في دبي | مركز ديجي-تك</x:v>
      </x:c>
      <x:c r="H508" s="6" t="str">
        <x:v>إصلاح وصيانة Porsche في دبي | مركز ديجي-تك</x:v>
      </x:c>
      <x:c r="I508" s="6" t="str">
        <x:v>Porsche للإصلاح والصيانة في دبي</x:v>
      </x:c>
      <x:c r="J508" s="6" t="str">
        <x:v>Porsche للإصلاح والصيانة في دبي</x:v>
      </x:c>
      <x:c r="K508" s="6" t="str">
        <x:v>إصلاح وصيانة Porsche في دبي: تشخيص وصيانة وفرامل وناقل حركة وتعليق وتكييف مع قطع بالمواصفات المناسبة لدى مركز ديجي-تك.</x:v>
      </x:c>
      <x:c r="L508" s="6" t="str">
        <x:v>Retain pending evidence; no specific content edit justified by this export.</x:v>
      </x:c>
      <x:c r="M508" s="6" t="str">
        <x:v>Retain; inspect relevant context before adding links</x:v>
      </x:c>
      <x:c r="N508" s="6" t="str">
        <x:v>Unconfirmed — no query/page pairing</x:v>
      </x:c>
      <x:c r="O508" s="6" t="str">
        <x:v>Retain established booking / WhatsApp / call path; live behaviour untested</x:v>
      </x:c>
      <x:c r="P508" s="6" t="str">
        <x:v>Retain canonical and indexation policy pending a live check.</x:v>
      </x:c>
      <x:c r="Q508" s="6" t="str">
        <x:v>Proposed; no website change made</x:v>
      </x:c>
      <x:c r="R508" s="14"/>
      <x:c r="S508" s="14"/>
      <x:c r="T508" s="15"/>
      <x:c r="U508" s="16"/>
      <x:c r="V508" s="6" t="str">
        <x:v>https://digitecme.com/ar/brands/porsche-service-dubai</x:v>
      </x:c>
      <x:c r="W508" s="6" t="str">
        <x:v>Indexable directive</x:v>
      </x:c>
      <x:c r="X508" s="6" t="n">
        <x:v>86</x:v>
      </x:c>
      <x:c r="Y508" s="6" t="str">
        <x:v>إصلاح وصيانة Porsche في دبي | مركز ديجي-تك</x:v>
      </x:c>
      <x:c r="Z508" s="6" t="str"/>
      <x:c r="AA508" s="6" t="str">
        <x:v>No / not compared</x:v>
      </x:c>
    </x:row>
    <x:row r="509" ht="42" customHeight="1">
      <x:c r="A509" s="6" t="str">
        <x:v>https://digitecme.com/ar/brands/porsche-service-dubai/ac-repair</x:v>
      </x:c>
      <x:c r="B509" s="6" t="str">
        <x:v>تصليح مكيف بورش</x:v>
      </x:c>
      <x:c r="C509" s="6" t="str">
        <x:v>porsche: AC repair (Arabic)</x:v>
      </x:c>
      <x:c r="D509" s="6" t="str">
        <x:v>brand-service</x:v>
      </x:c>
      <x:c r="E509" s="6" t="str">
        <x:v>Primary owner for assigned intent</x:v>
      </x:c>
      <x:c r="F509" s="6" t="str">
        <x:v>Local source render; live version unverified</x:v>
      </x:c>
      <x:c r="G509" s="6" t="str">
        <x:v>إصلاح التكييف Porsche في دبي | ديجي-تك</x:v>
      </x:c>
      <x:c r="H509" s="6" t="str">
        <x:v>إصلاح التكييف Porsche في دبي | ديجي-تك</x:v>
      </x:c>
      <x:c r="I509" s="6" t="str">
        <x:v>إصلاح التكييف Porsche في دبي</x:v>
      </x:c>
      <x:c r="J509" s="6" t="str">
        <x:v>إصلاح التكييف Porsche في دبي</x:v>
      </x:c>
      <x:c r="K509" s="6" t="str">
        <x:v>إصلاح التكييف متخصص لسيارات Porsche في دبي مع تشخيص متقدم وقطع مناسبة وتسعير واضح لدى مركز ديجي-تك.</x:v>
      </x:c>
      <x:c r="L509" s="6" t="str">
        <x:v>Retain pending evidence; no specific content edit justified by this export.</x:v>
      </x:c>
      <x:c r="M509" s="6" t="str">
        <x:v>Retain; inspect relevant context before adding links</x:v>
      </x:c>
      <x:c r="N509" s="6" t="str">
        <x:v>Unconfirmed — no query/page pairing</x:v>
      </x:c>
      <x:c r="O509" s="6" t="str">
        <x:v>Retain established booking / WhatsApp / call path; live behaviour untested</x:v>
      </x:c>
      <x:c r="P509" s="6" t="str">
        <x:v>Retain canonical and indexation policy pending a live check.</x:v>
      </x:c>
      <x:c r="Q509" s="6" t="str">
        <x:v>Proposed; no website change made</x:v>
      </x:c>
      <x:c r="R509" s="14" t="n">
        <x:v>0</x:v>
      </x:c>
      <x:c r="S509" s="14" t="n">
        <x:v>9</x:v>
      </x:c>
      <x:c r="T509" s="15" t="n">
        <x:v>0</x:v>
      </x:c>
      <x:c r="U509" s="16" t="n">
        <x:v>25.33</x:v>
      </x:c>
      <x:c r="V509" s="6" t="str">
        <x:v>https://digitecme.com/ar/brands/porsche-service-dubai/ac-repair</x:v>
      </x:c>
      <x:c r="W509" s="6" t="str">
        <x:v>Indexable directive</x:v>
      </x:c>
      <x:c r="X509" s="6" t="n">
        <x:v>16</x:v>
      </x:c>
      <x:c r="Y509" s="6" t="str">
        <x:v>إصلاح التكييف Porsche في دبي | ديجي-تك</x:v>
      </x:c>
      <x:c r="Z509" s="6" t="str"/>
      <x:c r="AA509" s="6" t="str">
        <x:v>No / not compared</x:v>
      </x:c>
    </x:row>
    <x:row r="510" ht="42" customHeight="1">
      <x:c r="A510" s="6" t="str">
        <x:v>https://digitecme.com/ar/brands/porsche-service-dubai/battery-replacement</x:v>
      </x:c>
      <x:c r="B510" s="6" t="str"/>
      <x:c r="C510" s="6" t="str"/>
      <x:c r="D510" s="6" t="str">
        <x:v>brand-service</x:v>
      </x:c>
      <x:c r="E510" s="6" t="str">
        <x:v>Retain differentiated role</x:v>
      </x:c>
      <x:c r="F510" s="6" t="str">
        <x:v>Local source render; live version unverified</x:v>
      </x:c>
      <x:c r="G510" s="6" t="str">
        <x:v>تبديل البطارية Porsche في دبي | ديجي-تك</x:v>
      </x:c>
      <x:c r="H510" s="6" t="str">
        <x:v>تبديل البطارية Porsche في دبي | ديجي-تك</x:v>
      </x:c>
      <x:c r="I510" s="6" t="str">
        <x:v>تبديل البطارية Porsche في دبي</x:v>
      </x:c>
      <x:c r="J510" s="6" t="str">
        <x:v>تبديل البطارية Porsche في دبي</x:v>
      </x:c>
      <x:c r="K510" s="6" t="str">
        <x:v>تبديل البطارية متخصص لسيارات Porsche في دبي مع تشخيص متقدم وقطع مناسبة وتسعير واضح لدى مركز ديجي-تك.</x:v>
      </x:c>
      <x:c r="L510" s="6" t="str">
        <x:v>Retain pending evidence; no specific content edit justified by this export.</x:v>
      </x:c>
      <x:c r="M510" s="6" t="str">
        <x:v>Retain; inspect relevant context before adding links</x:v>
      </x:c>
      <x:c r="N510" s="6" t="str">
        <x:v>Unconfirmed — no query/page pairing</x:v>
      </x:c>
      <x:c r="O510" s="6" t="str">
        <x:v>Retain established booking / WhatsApp / call path; live behaviour untested</x:v>
      </x:c>
      <x:c r="P510" s="6" t="str">
        <x:v>Retain canonical and indexation policy pending a live check.</x:v>
      </x:c>
      <x:c r="Q510" s="6" t="str">
        <x:v>Proposed; no website change made</x:v>
      </x:c>
      <x:c r="R510" s="14" t="n">
        <x:v>0</x:v>
      </x:c>
      <x:c r="S510" s="14" t="n">
        <x:v>2</x:v>
      </x:c>
      <x:c r="T510" s="15" t="n">
        <x:v>0</x:v>
      </x:c>
      <x:c r="U510" s="16" t="n">
        <x:v>4.5</x:v>
      </x:c>
      <x:c r="V510" s="6" t="str">
        <x:v>https://digitecme.com/ar/brands/porsche-service-dubai/battery-replacement</x:v>
      </x:c>
      <x:c r="W510" s="6" t="str">
        <x:v>Indexable directive</x:v>
      </x:c>
      <x:c r="X510" s="6" t="n">
        <x:v>16</x:v>
      </x:c>
      <x:c r="Y510" s="6" t="str">
        <x:v>تبديل البطارية Porsche في دبي | ديجي-تك</x:v>
      </x:c>
      <x:c r="Z510" s="6" t="str"/>
      <x:c r="AA510" s="6" t="str">
        <x:v>No / not compared</x:v>
      </x:c>
    </x:row>
    <x:row r="511" ht="42" customHeight="1">
      <x:c r="A511" s="6" t="str">
        <x:v>https://digitecme.com/ar/brands/porsche-service-dubai/body-repair</x:v>
      </x:c>
      <x:c r="B511" s="6" t="str">
        <x:v>افضل كراج صبغ بورش</x:v>
      </x:c>
      <x:c r="C511" s="6" t="str">
        <x:v>porsche: Body repair (Arabic)</x:v>
      </x:c>
      <x:c r="D511" s="6" t="str">
        <x:v>brand-service</x:v>
      </x:c>
      <x:c r="E511" s="6" t="str">
        <x:v>Primary owner for assigned intent</x:v>
      </x:c>
      <x:c r="F511" s="6" t="str">
        <x:v>Local source render; live version unverified</x:v>
      </x:c>
      <x:c r="G511" s="6" t="str">
        <x:v>إصلاح الهيكل Porsche في دبي | ديجي-تك</x:v>
      </x:c>
      <x:c r="H511" s="6" t="str">
        <x:v>إصلاح الهيكل Porsche في دبي | ديجي-تك</x:v>
      </x:c>
      <x:c r="I511" s="6" t="str">
        <x:v>إصلاح الهيكل Porsche في دبي</x:v>
      </x:c>
      <x:c r="J511" s="6" t="str">
        <x:v>إصلاح الهيكل Porsche في دبي</x:v>
      </x:c>
      <x:c r="K511" s="6" t="str">
        <x:v>إصلاح الهيكل متخصص لسيارات Porsche في دبي مع تشخيص متقدم وقطع مناسبة وتسعير واضح لدى مركز ديجي-تك.</x:v>
      </x:c>
      <x:c r="L511" s="6" t="str">
        <x:v>Retain pending evidence; no specific content edit justified by this export.</x:v>
      </x:c>
      <x:c r="M511" s="6" t="str">
        <x:v>Retain; inspect relevant context before adding links</x:v>
      </x:c>
      <x:c r="N511" s="6" t="str">
        <x:v>Unconfirmed — no query/page pairing</x:v>
      </x:c>
      <x:c r="O511" s="6" t="str">
        <x:v>Retain established booking / WhatsApp / call path; live behaviour untested</x:v>
      </x:c>
      <x:c r="P511" s="6" t="str">
        <x:v>Retain canonical and indexation policy pending a live check.</x:v>
      </x:c>
      <x:c r="Q511" s="6" t="str">
        <x:v>Proposed; no website change made</x:v>
      </x:c>
      <x:c r="R511" s="14"/>
      <x:c r="S511" s="14"/>
      <x:c r="T511" s="15"/>
      <x:c r="U511" s="16"/>
      <x:c r="V511" s="6" t="str">
        <x:v>https://digitecme.com/ar/brands/porsche-service-dubai/body-repair</x:v>
      </x:c>
      <x:c r="W511" s="6" t="str">
        <x:v>Indexable directive</x:v>
      </x:c>
      <x:c r="X511" s="6" t="n">
        <x:v>16</x:v>
      </x:c>
      <x:c r="Y511" s="6" t="str">
        <x:v>إصلاح الهيكل Porsche في دبي | ديجي-تك</x:v>
      </x:c>
      <x:c r="Z511" s="6" t="str"/>
      <x:c r="AA511" s="6" t="str">
        <x:v>No / not compared</x:v>
      </x:c>
    </x:row>
    <x:row r="512" ht="42" customHeight="1">
      <x:c r="A512" s="6" t="str">
        <x:v>https://digitecme.com/ar/brands/porsche-service-dubai/brake-repair</x:v>
      </x:c>
      <x:c r="B512" s="6" t="str"/>
      <x:c r="C512" s="6" t="str"/>
      <x:c r="D512" s="6" t="str">
        <x:v>brand-service</x:v>
      </x:c>
      <x:c r="E512" s="6" t="str">
        <x:v>Retain differentiated role</x:v>
      </x:c>
      <x:c r="F512" s="6" t="str">
        <x:v>Local source render; live version unverified</x:v>
      </x:c>
      <x:c r="G512" s="6" t="str">
        <x:v>إصلاح الفرامل Porsche في دبي | ديجي-تك</x:v>
      </x:c>
      <x:c r="H512" s="6" t="str">
        <x:v>إصلاح الفرامل Porsche في دبي | ديجي-تك</x:v>
      </x:c>
      <x:c r="I512" s="6" t="str">
        <x:v>إصلاح الفرامل Porsche في دبي</x:v>
      </x:c>
      <x:c r="J512" s="6" t="str">
        <x:v>إصلاح الفرامل Porsche في دبي</x:v>
      </x:c>
      <x:c r="K512" s="6" t="str">
        <x:v>إصلاح الفرامل متخصص لسيارات Porsche في دبي مع تشخيص متقدم وقطع مناسبة وتسعير واضح لدى مركز ديجي-تك.</x:v>
      </x:c>
      <x:c r="L512" s="6" t="str">
        <x:v>Retain pending evidence; no specific content edit justified by this export.</x:v>
      </x:c>
      <x:c r="M512" s="6" t="str">
        <x:v>Retain; inspect relevant context before adding links</x:v>
      </x:c>
      <x:c r="N512" s="6" t="str">
        <x:v>Unconfirmed — no query/page pairing</x:v>
      </x:c>
      <x:c r="O512" s="6" t="str">
        <x:v>Retain established booking / WhatsApp / call path; live behaviour untested</x:v>
      </x:c>
      <x:c r="P512" s="6" t="str">
        <x:v>Retain canonical and indexation policy pending a live check.</x:v>
      </x:c>
      <x:c r="Q512" s="6" t="str">
        <x:v>Proposed; no website change made</x:v>
      </x:c>
      <x:c r="R512" s="14"/>
      <x:c r="S512" s="14"/>
      <x:c r="T512" s="15"/>
      <x:c r="U512" s="16"/>
      <x:c r="V512" s="6" t="str">
        <x:v>https://digitecme.com/ar/brands/porsche-service-dubai/brake-repair</x:v>
      </x:c>
      <x:c r="W512" s="6" t="str">
        <x:v>Indexable directive</x:v>
      </x:c>
      <x:c r="X512" s="6" t="n">
        <x:v>16</x:v>
      </x:c>
      <x:c r="Y512" s="6" t="str">
        <x:v>إصلاح الفرامل Porsche في دبي | ديجي-تك</x:v>
      </x:c>
      <x:c r="Z512" s="6" t="str"/>
      <x:c r="AA512" s="6" t="str">
        <x:v>No / not compared</x:v>
      </x:c>
    </x:row>
    <x:row r="513" ht="42" customHeight="1">
      <x:c r="A513" s="6" t="str">
        <x:v>https://digitecme.com/ar/brands/porsche-service-dubai/electrical-repair</x:v>
      </x:c>
      <x:c r="B513" s="6" t="str"/>
      <x:c r="C513" s="6" t="str"/>
      <x:c r="D513" s="6" t="str">
        <x:v>brand-service</x:v>
      </x:c>
      <x:c r="E513" s="6" t="str">
        <x:v>Retain differentiated role</x:v>
      </x:c>
      <x:c r="F513" s="6" t="str">
        <x:v>Local source render; live version unverified</x:v>
      </x:c>
      <x:c r="G513" s="6" t="str">
        <x:v>إصلاح الكهرباء Porsche في دبي | ديجي-تك</x:v>
      </x:c>
      <x:c r="H513" s="6" t="str">
        <x:v>إصلاح الكهرباء Porsche في دبي | ديجي-تك</x:v>
      </x:c>
      <x:c r="I513" s="6" t="str">
        <x:v>إصلاح الكهرباء Porsche في دبي</x:v>
      </x:c>
      <x:c r="J513" s="6" t="str">
        <x:v>إصلاح الكهرباء Porsche في دبي</x:v>
      </x:c>
      <x:c r="K513" s="6" t="str">
        <x:v>إصلاح الكهرباء متخصص لسيارات Porsche في دبي مع تشخيص متقدم وقطع مناسبة وتسعير واضح لدى مركز ديجي-تك.</x:v>
      </x:c>
      <x:c r="L513" s="6" t="str">
        <x:v>Retain pending evidence; no specific content edit justified by this export.</x:v>
      </x:c>
      <x:c r="M513" s="6" t="str">
        <x:v>Retain; inspect relevant context before adding links</x:v>
      </x:c>
      <x:c r="N513" s="6" t="str">
        <x:v>Unconfirmed — no query/page pairing</x:v>
      </x:c>
      <x:c r="O513" s="6" t="str">
        <x:v>Retain established booking / WhatsApp / call path; live behaviour untested</x:v>
      </x:c>
      <x:c r="P513" s="6" t="str">
        <x:v>Retain canonical and indexation policy pending a live check.</x:v>
      </x:c>
      <x:c r="Q513" s="6" t="str">
        <x:v>Proposed; no website change made</x:v>
      </x:c>
      <x:c r="R513" s="14"/>
      <x:c r="S513" s="14"/>
      <x:c r="T513" s="15"/>
      <x:c r="U513" s="16"/>
      <x:c r="V513" s="6" t="str">
        <x:v>https://digitecme.com/ar/brands/porsche-service-dubai/electrical-repair</x:v>
      </x:c>
      <x:c r="W513" s="6" t="str">
        <x:v>Indexable directive</x:v>
      </x:c>
      <x:c r="X513" s="6" t="n">
        <x:v>16</x:v>
      </x:c>
      <x:c r="Y513" s="6" t="str">
        <x:v>إصلاح الكهرباء Porsche في دبي | ديجي-تك</x:v>
      </x:c>
      <x:c r="Z513" s="6" t="str"/>
      <x:c r="AA513" s="6" t="str">
        <x:v>No / not compared</x:v>
      </x:c>
    </x:row>
    <x:row r="514" ht="42" customHeight="1">
      <x:c r="A514" s="6" t="str">
        <x:v>https://digitecme.com/ar/brands/porsche-service-dubai/engine-diagnostics</x:v>
      </x:c>
      <x:c r="B514" s="6" t="str"/>
      <x:c r="C514" s="6" t="str"/>
      <x:c r="D514" s="6" t="str">
        <x:v>brand-service</x:v>
      </x:c>
      <x:c r="E514" s="6" t="str">
        <x:v>Retain differentiated role</x:v>
      </x:c>
      <x:c r="F514" s="6" t="str">
        <x:v>Local source render; live version unverified</x:v>
      </x:c>
      <x:c r="G514" s="6" t="str">
        <x:v>تشخيص المحرك Porsche في دبي | ديجي-تك</x:v>
      </x:c>
      <x:c r="H514" s="6" t="str">
        <x:v>تشخيص المحرك Porsche في دبي | ديجي-تك</x:v>
      </x:c>
      <x:c r="I514" s="6" t="str">
        <x:v>تشخيص المحرك Porsche في دبي</x:v>
      </x:c>
      <x:c r="J514" s="6" t="str">
        <x:v>تشخيص المحرك Porsche في دبي</x:v>
      </x:c>
      <x:c r="K514" s="6" t="str">
        <x:v>تشخيص المحرك متخصص لسيارات Porsche في دبي مع تشخيص متقدم وقطع مناسبة وتسعير واضح لدى مركز ديجي-تك.</x:v>
      </x:c>
      <x:c r="L514" s="6" t="str">
        <x:v>Retain pending evidence; no specific content edit justified by this export.</x:v>
      </x:c>
      <x:c r="M514" s="6" t="str">
        <x:v>Retain; inspect relevant context before adding links</x:v>
      </x:c>
      <x:c r="N514" s="6" t="str">
        <x:v>Unconfirmed — no query/page pairing</x:v>
      </x:c>
      <x:c r="O514" s="6" t="str">
        <x:v>Retain established booking / WhatsApp / call path; live behaviour untested</x:v>
      </x:c>
      <x:c r="P514" s="6" t="str">
        <x:v>Retain canonical and indexation policy pending a live check.</x:v>
      </x:c>
      <x:c r="Q514" s="6" t="str">
        <x:v>Proposed; no website change made</x:v>
      </x:c>
      <x:c r="R514" s="14"/>
      <x:c r="S514" s="14"/>
      <x:c r="T514" s="15"/>
      <x:c r="U514" s="16"/>
      <x:c r="V514" s="6" t="str">
        <x:v>https://digitecme.com/ar/brands/porsche-service-dubai/engine-diagnostics</x:v>
      </x:c>
      <x:c r="W514" s="6" t="str">
        <x:v>Indexable directive</x:v>
      </x:c>
      <x:c r="X514" s="6" t="n">
        <x:v>16</x:v>
      </x:c>
      <x:c r="Y514" s="6" t="str">
        <x:v>تشخيص المحرك Porsche في دبي | ديجي-تك</x:v>
      </x:c>
      <x:c r="Z514" s="6" t="str"/>
      <x:c r="AA514" s="6" t="str">
        <x:v>No / not compared</x:v>
      </x:c>
    </x:row>
    <x:row r="515" ht="42" customHeight="1">
      <x:c r="A515" s="6" t="str">
        <x:v>https://digitecme.com/ar/brands/porsche-service-dubai/exhaust-repair</x:v>
      </x:c>
      <x:c r="B515" s="6" t="str"/>
      <x:c r="C515" s="6" t="str"/>
      <x:c r="D515" s="6" t="str">
        <x:v>brand-service</x:v>
      </x:c>
      <x:c r="E515" s="6" t="str">
        <x:v>Retain differentiated role</x:v>
      </x:c>
      <x:c r="F515" s="6" t="str">
        <x:v>Local source render; live version unverified</x:v>
      </x:c>
      <x:c r="G515" s="6" t="str">
        <x:v>إصلاح العادم Porsche في دبي | ديجي-تك</x:v>
      </x:c>
      <x:c r="H515" s="6" t="str">
        <x:v>إصلاح العادم Porsche في دبي | ديجي-تك</x:v>
      </x:c>
      <x:c r="I515" s="6" t="str">
        <x:v>إصلاح العادم Porsche في دبي</x:v>
      </x:c>
      <x:c r="J515" s="6" t="str">
        <x:v>إصلاح العادم Porsche في دبي</x:v>
      </x:c>
      <x:c r="K515" s="6" t="str">
        <x:v>إصلاح العادم متخصص لسيارات Porsche في دبي مع تشخيص متقدم وقطع مناسبة وتسعير واضح لدى مركز ديجي-تك.</x:v>
      </x:c>
      <x:c r="L515" s="6" t="str">
        <x:v>Retain pending evidence; no specific content edit justified by this export.</x:v>
      </x:c>
      <x:c r="M515" s="6" t="str">
        <x:v>Retain; inspect relevant context before adding links</x:v>
      </x:c>
      <x:c r="N515" s="6" t="str">
        <x:v>Unconfirmed — no query/page pairing</x:v>
      </x:c>
      <x:c r="O515" s="6" t="str">
        <x:v>Retain established booking / WhatsApp / call path; live behaviour untested</x:v>
      </x:c>
      <x:c r="P515" s="6" t="str">
        <x:v>Retain canonical and indexation policy pending a live check.</x:v>
      </x:c>
      <x:c r="Q515" s="6" t="str">
        <x:v>Proposed; no website change made</x:v>
      </x:c>
      <x:c r="R515" s="14"/>
      <x:c r="S515" s="14"/>
      <x:c r="T515" s="15"/>
      <x:c r="U515" s="16"/>
      <x:c r="V515" s="6" t="str">
        <x:v>https://digitecme.com/ar/brands/porsche-service-dubai/exhaust-repair</x:v>
      </x:c>
      <x:c r="W515" s="6" t="str">
        <x:v>Indexable directive</x:v>
      </x:c>
      <x:c r="X515" s="6" t="n">
        <x:v>16</x:v>
      </x:c>
      <x:c r="Y515" s="6" t="str">
        <x:v>إصلاح العادم Porsche في دبي | ديجي-تك</x:v>
      </x:c>
      <x:c r="Z515" s="6" t="str"/>
      <x:c r="AA515" s="6" t="str">
        <x:v>No / not compared</x:v>
      </x:c>
    </x:row>
    <x:row r="516" ht="42" customHeight="1">
      <x:c r="A516" s="6" t="str">
        <x:v>https://digitecme.com/ar/brands/porsche-service-dubai/fuel-system-repair</x:v>
      </x:c>
      <x:c r="B516" s="6" t="str"/>
      <x:c r="C516" s="6" t="str"/>
      <x:c r="D516" s="6" t="str">
        <x:v>brand-service</x:v>
      </x:c>
      <x:c r="E516" s="6" t="str">
        <x:v>Retain differentiated role</x:v>
      </x:c>
      <x:c r="F516" s="6" t="str">
        <x:v>Local source render; live version unverified</x:v>
      </x:c>
      <x:c r="G516" s="6" t="str">
        <x:v>إصلاح نظام الوقود Porsche في دبي | ديجي-تك</x:v>
      </x:c>
      <x:c r="H516" s="6" t="str">
        <x:v>إصلاح نظام الوقود Porsche في دبي | ديجي-تك</x:v>
      </x:c>
      <x:c r="I516" s="6" t="str">
        <x:v>إصلاح نظام الوقود Porsche في دبي</x:v>
      </x:c>
      <x:c r="J516" s="6" t="str">
        <x:v>إصلاح نظام الوقود Porsche في دبي</x:v>
      </x:c>
      <x:c r="K516" s="6" t="str">
        <x:v>إصلاح نظام الوقود متخصص لسيارات Porsche في دبي مع تشخيص متقدم وقطع مناسبة وتسعير واضح لدى مركز ديجي-تك.</x:v>
      </x:c>
      <x:c r="L516" s="6" t="str">
        <x:v>Retain pending evidence; no specific content edit justified by this export.</x:v>
      </x:c>
      <x:c r="M516" s="6" t="str">
        <x:v>Retain; inspect relevant context before adding links</x:v>
      </x:c>
      <x:c r="N516" s="6" t="str">
        <x:v>Unconfirmed — no query/page pairing</x:v>
      </x:c>
      <x:c r="O516" s="6" t="str">
        <x:v>Retain established booking / WhatsApp / call path; live behaviour untested</x:v>
      </x:c>
      <x:c r="P516" s="6" t="str">
        <x:v>Retain canonical and indexation policy pending a live check.</x:v>
      </x:c>
      <x:c r="Q516" s="6" t="str">
        <x:v>Proposed; no website change made</x:v>
      </x:c>
      <x:c r="R516" s="14"/>
      <x:c r="S516" s="14"/>
      <x:c r="T516" s="15"/>
      <x:c r="U516" s="16"/>
      <x:c r="V516" s="6" t="str">
        <x:v>https://digitecme.com/ar/brands/porsche-service-dubai/fuel-system-repair</x:v>
      </x:c>
      <x:c r="W516" s="6" t="str">
        <x:v>Indexable directive</x:v>
      </x:c>
      <x:c r="X516" s="6" t="n">
        <x:v>16</x:v>
      </x:c>
      <x:c r="Y516" s="6" t="str">
        <x:v>إصلاح نظام الوقود Porsche في دبي | ديجي-تك</x:v>
      </x:c>
      <x:c r="Z516" s="6" t="str"/>
      <x:c r="AA516" s="6" t="str">
        <x:v>No / not compared</x:v>
      </x:c>
    </x:row>
    <x:row r="517" ht="42" customHeight="1">
      <x:c r="A517" s="6" t="str">
        <x:v>https://digitecme.com/ar/brands/porsche-service-dubai/mechanical-repair</x:v>
      </x:c>
      <x:c r="B517" s="6" t="str"/>
      <x:c r="C517" s="6" t="str"/>
      <x:c r="D517" s="6" t="str">
        <x:v>brand-service</x:v>
      </x:c>
      <x:c r="E517" s="6" t="str">
        <x:v>Retain differentiated role</x:v>
      </x:c>
      <x:c r="F517" s="6" t="str">
        <x:v>Local source render; live version unverified</x:v>
      </x:c>
      <x:c r="G517" s="6" t="str">
        <x:v>الإصلاح الميكانيكي Porsche في دبي | ديجي-تك</x:v>
      </x:c>
      <x:c r="H517" s="6" t="str">
        <x:v>الإصلاح الميكانيكي Porsche في دبي | ديجي-تك</x:v>
      </x:c>
      <x:c r="I517" s="6" t="str">
        <x:v>الإصلاح الميكانيكي Porsche في دبي</x:v>
      </x:c>
      <x:c r="J517" s="6" t="str">
        <x:v>الإصلاح الميكانيكي Porsche في دبي</x:v>
      </x:c>
      <x:c r="K517" s="6" t="str">
        <x:v>الإصلاح الميكانيكي متخصص لسيارات Porsche في دبي مع تشخيص متقدم وقطع مناسبة وتسعير واضح لدى مركز ديجي-تك.</x:v>
      </x:c>
      <x:c r="L517" s="6" t="str">
        <x:v>Retain pending evidence; no specific content edit justified by this export.</x:v>
      </x:c>
      <x:c r="M517" s="6" t="str">
        <x:v>Retain; inspect relevant context before adding links</x:v>
      </x:c>
      <x:c r="N517" s="6" t="str">
        <x:v>Unconfirmed — no query/page pairing</x:v>
      </x:c>
      <x:c r="O517" s="6" t="str">
        <x:v>Retain established booking / WhatsApp / call path; live behaviour untested</x:v>
      </x:c>
      <x:c r="P517" s="6" t="str">
        <x:v>Retain canonical and indexation policy pending a live check.</x:v>
      </x:c>
      <x:c r="Q517" s="6" t="str">
        <x:v>Proposed; no website change made</x:v>
      </x:c>
      <x:c r="R517" s="14"/>
      <x:c r="S517" s="14"/>
      <x:c r="T517" s="15"/>
      <x:c r="U517" s="16"/>
      <x:c r="V517" s="6" t="str">
        <x:v>https://digitecme.com/ar/brands/porsche-service-dubai/mechanical-repair</x:v>
      </x:c>
      <x:c r="W517" s="6" t="str">
        <x:v>Indexable directive</x:v>
      </x:c>
      <x:c r="X517" s="6" t="n">
        <x:v>16</x:v>
      </x:c>
      <x:c r="Y517" s="6" t="str">
        <x:v>الإصلاح الميكانيكي Porsche في دبي | ديجي-تك</x:v>
      </x:c>
      <x:c r="Z517" s="6" t="str"/>
      <x:c r="AA517" s="6" t="str">
        <x:v>No / not compared</x:v>
      </x:c>
    </x:row>
    <x:row r="518" ht="42" customHeight="1">
      <x:c r="A518" s="6" t="str">
        <x:v>https://digitecme.com/ar/brands/porsche-service-dubai/oil-change</x:v>
      </x:c>
      <x:c r="B518" s="6" t="str"/>
      <x:c r="C518" s="6" t="str"/>
      <x:c r="D518" s="6" t="str">
        <x:v>brand-service</x:v>
      </x:c>
      <x:c r="E518" s="6" t="str">
        <x:v>Retain differentiated role</x:v>
      </x:c>
      <x:c r="F518" s="6" t="str">
        <x:v>Local source render; live version unverified</x:v>
      </x:c>
      <x:c r="G518" s="6" t="str">
        <x:v>تغيير الزيت Porsche في دبي | ديجي-تك</x:v>
      </x:c>
      <x:c r="H518" s="6" t="str">
        <x:v>تغيير الزيت Porsche في دبي | ديجي-تك</x:v>
      </x:c>
      <x:c r="I518" s="6" t="str">
        <x:v>تغيير الزيت Porsche في دبي</x:v>
      </x:c>
      <x:c r="J518" s="6" t="str">
        <x:v>تغيير الزيت Porsche في دبي</x:v>
      </x:c>
      <x:c r="K518" s="6" t="str">
        <x:v>تغيير الزيت متخصص لسيارات Porsche في دبي مع تشخيص متقدم وقطع مناسبة وتسعير واضح لدى مركز ديجي-تك.</x:v>
      </x:c>
      <x:c r="L518" s="6" t="str">
        <x:v>Retain pending evidence; no specific content edit justified by this export.</x:v>
      </x:c>
      <x:c r="M518" s="6" t="str">
        <x:v>Retain; inspect relevant context before adding links</x:v>
      </x:c>
      <x:c r="N518" s="6" t="str">
        <x:v>Unconfirmed — no query/page pairing</x:v>
      </x:c>
      <x:c r="O518" s="6" t="str">
        <x:v>Retain established booking / WhatsApp / call path; live behaviour untested</x:v>
      </x:c>
      <x:c r="P518" s="6" t="str">
        <x:v>Retain canonical and indexation policy pending a live check.</x:v>
      </x:c>
      <x:c r="Q518" s="6" t="str">
        <x:v>Proposed; no website change made</x:v>
      </x:c>
      <x:c r="R518" s="14" t="n">
        <x:v>0</x:v>
      </x:c>
      <x:c r="S518" s="14" t="n">
        <x:v>1</x:v>
      </x:c>
      <x:c r="T518" s="15" t="n">
        <x:v>0</x:v>
      </x:c>
      <x:c r="U518" s="16" t="n">
        <x:v>11</x:v>
      </x:c>
      <x:c r="V518" s="6" t="str">
        <x:v>https://digitecme.com/ar/brands/porsche-service-dubai/oil-change</x:v>
      </x:c>
      <x:c r="W518" s="6" t="str">
        <x:v>Indexable directive</x:v>
      </x:c>
      <x:c r="X518" s="6" t="n">
        <x:v>16</x:v>
      </x:c>
      <x:c r="Y518" s="6" t="str">
        <x:v>تغيير الزيت Porsche في دبي | ديجي-تك</x:v>
      </x:c>
      <x:c r="Z518" s="6" t="str"/>
      <x:c r="AA518" s="6" t="str">
        <x:v>No / not compared</x:v>
      </x:c>
    </x:row>
    <x:row r="519" ht="42" customHeight="1">
      <x:c r="A519" s="6" t="str">
        <x:v>https://digitecme.com/ar/brands/porsche-service-dubai/steering-repair</x:v>
      </x:c>
      <x:c r="B519" s="6" t="str"/>
      <x:c r="C519" s="6" t="str"/>
      <x:c r="D519" s="6" t="str">
        <x:v>brand-service</x:v>
      </x:c>
      <x:c r="E519" s="6" t="str">
        <x:v>Retain differentiated role</x:v>
      </x:c>
      <x:c r="F519" s="6" t="str">
        <x:v>Local source render; live version unverified</x:v>
      </x:c>
      <x:c r="G519" s="6" t="str">
        <x:v>إصلاح نظام التوجيه Porsche في دبي | ديجي-تك</x:v>
      </x:c>
      <x:c r="H519" s="6" t="str">
        <x:v>إصلاح نظام التوجيه Porsche في دبي | ديجي-تك</x:v>
      </x:c>
      <x:c r="I519" s="6" t="str">
        <x:v>إصلاح نظام التوجيه Porsche في دبي</x:v>
      </x:c>
      <x:c r="J519" s="6" t="str">
        <x:v>إصلاح نظام التوجيه Porsche في دبي</x:v>
      </x:c>
      <x:c r="K519" s="6" t="str">
        <x:v>إصلاح نظام التوجيه متخصص لسيارات Porsche في دبي مع تشخيص متقدم وقطع مناسبة وتسعير واضح لدى مركز ديجي-تك.</x:v>
      </x:c>
      <x:c r="L519" s="6" t="str">
        <x:v>Retain pending evidence; no specific content edit justified by this export.</x:v>
      </x:c>
      <x:c r="M519" s="6" t="str">
        <x:v>Retain; inspect relevant context before adding links</x:v>
      </x:c>
      <x:c r="N519" s="6" t="str">
        <x:v>Unconfirmed — no query/page pairing</x:v>
      </x:c>
      <x:c r="O519" s="6" t="str">
        <x:v>Retain established booking / WhatsApp / call path; live behaviour untested</x:v>
      </x:c>
      <x:c r="P519" s="6" t="str">
        <x:v>Retain canonical and indexation policy pending a live check.</x:v>
      </x:c>
      <x:c r="Q519" s="6" t="str">
        <x:v>Proposed; no website change made</x:v>
      </x:c>
      <x:c r="R519" s="14"/>
      <x:c r="S519" s="14"/>
      <x:c r="T519" s="15"/>
      <x:c r="U519" s="16"/>
      <x:c r="V519" s="6" t="str">
        <x:v>https://digitecme.com/ar/brands/porsche-service-dubai/steering-repair</x:v>
      </x:c>
      <x:c r="W519" s="6" t="str">
        <x:v>Indexable directive</x:v>
      </x:c>
      <x:c r="X519" s="6" t="n">
        <x:v>16</x:v>
      </x:c>
      <x:c r="Y519" s="6" t="str">
        <x:v>إصلاح نظام التوجيه Porsche في دبي | ديجي-تك</x:v>
      </x:c>
      <x:c r="Z519" s="6" t="str"/>
      <x:c r="AA519" s="6" t="str">
        <x:v>No / not compared</x:v>
      </x:c>
    </x:row>
    <x:row r="520" ht="42" customHeight="1">
      <x:c r="A520" s="6" t="str">
        <x:v>https://digitecme.com/ar/brands/porsche-service-dubai/suspension-repair</x:v>
      </x:c>
      <x:c r="B520" s="6" t="str"/>
      <x:c r="C520" s="6" t="str"/>
      <x:c r="D520" s="6" t="str">
        <x:v>brand-service</x:v>
      </x:c>
      <x:c r="E520" s="6" t="str">
        <x:v>Retain differentiated role</x:v>
      </x:c>
      <x:c r="F520" s="6" t="str">
        <x:v>Local source render; live version unverified</x:v>
      </x:c>
      <x:c r="G520" s="6" t="str">
        <x:v>إصلاح التعليق Porsche في دبي | ديجي-تك</x:v>
      </x:c>
      <x:c r="H520" s="6" t="str">
        <x:v>إصلاح التعليق Porsche في دبي | ديجي-تك</x:v>
      </x:c>
      <x:c r="I520" s="6" t="str">
        <x:v>إصلاح التعليق Porsche في دبي</x:v>
      </x:c>
      <x:c r="J520" s="6" t="str">
        <x:v>إصلاح التعليق Porsche في دبي</x:v>
      </x:c>
      <x:c r="K520" s="6" t="str">
        <x:v>إصلاح التعليق متخصص لسيارات Porsche في دبي مع تشخيص متقدم وقطع مناسبة وتسعير واضح لدى مركز ديجي-تك.</x:v>
      </x:c>
      <x:c r="L520" s="6" t="str">
        <x:v>Retain pending evidence; no specific content edit justified by this export.</x:v>
      </x:c>
      <x:c r="M520" s="6" t="str">
        <x:v>Retain; inspect relevant context before adding links</x:v>
      </x:c>
      <x:c r="N520" s="6" t="str">
        <x:v>Unconfirmed — no query/page pairing</x:v>
      </x:c>
      <x:c r="O520" s="6" t="str">
        <x:v>Retain established booking / WhatsApp / call path; live behaviour untested</x:v>
      </x:c>
      <x:c r="P520" s="6" t="str">
        <x:v>Retain canonical and indexation policy pending a live check.</x:v>
      </x:c>
      <x:c r="Q520" s="6" t="str">
        <x:v>Proposed; no website change made</x:v>
      </x:c>
      <x:c r="R520" s="14"/>
      <x:c r="S520" s="14"/>
      <x:c r="T520" s="15"/>
      <x:c r="U520" s="16"/>
      <x:c r="V520" s="6" t="str">
        <x:v>https://digitecme.com/ar/brands/porsche-service-dubai/suspension-repair</x:v>
      </x:c>
      <x:c r="W520" s="6" t="str">
        <x:v>Indexable directive</x:v>
      </x:c>
      <x:c r="X520" s="6" t="n">
        <x:v>16</x:v>
      </x:c>
      <x:c r="Y520" s="6" t="str">
        <x:v>إصلاح التعليق Porsche في دبي | ديجي-تك</x:v>
      </x:c>
      <x:c r="Z520" s="6" t="str"/>
      <x:c r="AA520" s="6" t="str">
        <x:v>No / not compared</x:v>
      </x:c>
    </x:row>
    <x:row r="521" ht="42" customHeight="1">
      <x:c r="A521" s="6" t="str">
        <x:v>https://digitecme.com/ar/brands/porsche-service-dubai/tire-repair</x:v>
      </x:c>
      <x:c r="B521" s="6" t="str"/>
      <x:c r="C521" s="6" t="str"/>
      <x:c r="D521" s="6" t="str">
        <x:v>brand-service</x:v>
      </x:c>
      <x:c r="E521" s="6" t="str">
        <x:v>Retain differentiated role</x:v>
      </x:c>
      <x:c r="F521" s="6" t="str">
        <x:v>Local source render; live version unverified</x:v>
      </x:c>
      <x:c r="G521" s="6" t="str">
        <x:v>إصلاح الإطارات Porsche في دبي | ديجي-تك</x:v>
      </x:c>
      <x:c r="H521" s="6" t="str">
        <x:v>إصلاح الإطارات Porsche في دبي | ديجي-تك</x:v>
      </x:c>
      <x:c r="I521" s="6" t="str">
        <x:v>إصلاح الإطارات Porsche في دبي</x:v>
      </x:c>
      <x:c r="J521" s="6" t="str">
        <x:v>إصلاح الإطارات Porsche في دبي</x:v>
      </x:c>
      <x:c r="K521" s="6" t="str">
        <x:v>إصلاح الإطارات متخصص لسيارات Porsche في دبي مع تشخيص متقدم وقطع مناسبة وتسعير واضح لدى مركز ديجي-تك.</x:v>
      </x:c>
      <x:c r="L521" s="6" t="str">
        <x:v>Retain pending evidence; no specific content edit justified by this export.</x:v>
      </x:c>
      <x:c r="M521" s="6" t="str">
        <x:v>Retain; inspect relevant context before adding links</x:v>
      </x:c>
      <x:c r="N521" s="6" t="str">
        <x:v>Unconfirmed — no query/page pairing</x:v>
      </x:c>
      <x:c r="O521" s="6" t="str">
        <x:v>Retain established booking / WhatsApp / call path; live behaviour untested</x:v>
      </x:c>
      <x:c r="P521" s="6" t="str">
        <x:v>Retain canonical and indexation policy pending a live check.</x:v>
      </x:c>
      <x:c r="Q521" s="6" t="str">
        <x:v>Proposed; no website change made</x:v>
      </x:c>
      <x:c r="R521" s="14"/>
      <x:c r="S521" s="14"/>
      <x:c r="T521" s="15"/>
      <x:c r="U521" s="16"/>
      <x:c r="V521" s="6" t="str">
        <x:v>https://digitecme.com/ar/brands/porsche-service-dubai/tire-repair</x:v>
      </x:c>
      <x:c r="W521" s="6" t="str">
        <x:v>Indexable directive</x:v>
      </x:c>
      <x:c r="X521" s="6" t="n">
        <x:v>16</x:v>
      </x:c>
      <x:c r="Y521" s="6" t="str">
        <x:v>إصلاح الإطارات Porsche في دبي | ديجي-تك</x:v>
      </x:c>
      <x:c r="Z521" s="6" t="str"/>
      <x:c r="AA521" s="6" t="str">
        <x:v>No / not compared</x:v>
      </x:c>
    </x:row>
    <x:row r="522" ht="42" customHeight="1">
      <x:c r="A522" s="6" t="str">
        <x:v>https://digitecme.com/ar/brands/porsche-service-dubai/transmission-repair</x:v>
      </x:c>
      <x:c r="B522" s="6" t="str"/>
      <x:c r="C522" s="6" t="str"/>
      <x:c r="D522" s="6" t="str">
        <x:v>brand-service</x:v>
      </x:c>
      <x:c r="E522" s="6" t="str">
        <x:v>Retain differentiated role</x:v>
      </x:c>
      <x:c r="F522" s="6" t="str">
        <x:v>Local source render; live version unverified</x:v>
      </x:c>
      <x:c r="G522" s="6" t="str">
        <x:v>إصلاح ناقل الحركة Porsche في دبي | ديجي-تك</x:v>
      </x:c>
      <x:c r="H522" s="6" t="str">
        <x:v>إصلاح ناقل الحركة Porsche في دبي | ديجي-تك</x:v>
      </x:c>
      <x:c r="I522" s="6" t="str">
        <x:v>إصلاح ناقل الحركة Porsche في دبي</x:v>
      </x:c>
      <x:c r="J522" s="6" t="str">
        <x:v>إصلاح ناقل الحركة Porsche في دبي</x:v>
      </x:c>
      <x:c r="K522" s="6" t="str">
        <x:v>إصلاح ناقل الحركة متخصص لسيارات Porsche في دبي مع تشخيص متقدم وقطع مناسبة وتسعير واضح لدى مركز ديجي-تك.</x:v>
      </x:c>
      <x:c r="L522" s="6" t="str">
        <x:v>Retain pending evidence; no specific content edit justified by this export.</x:v>
      </x:c>
      <x:c r="M522" s="6" t="str">
        <x:v>Retain; inspect relevant context before adding links</x:v>
      </x:c>
      <x:c r="N522" s="6" t="str">
        <x:v>Unconfirmed — no query/page pairing</x:v>
      </x:c>
      <x:c r="O522" s="6" t="str">
        <x:v>Retain established booking / WhatsApp / call path; live behaviour untested</x:v>
      </x:c>
      <x:c r="P522" s="6" t="str">
        <x:v>Retain canonical and indexation policy pending a live check.</x:v>
      </x:c>
      <x:c r="Q522" s="6" t="str">
        <x:v>Proposed; no website change made</x:v>
      </x:c>
      <x:c r="R522" s="14"/>
      <x:c r="S522" s="14"/>
      <x:c r="T522" s="15"/>
      <x:c r="U522" s="16"/>
      <x:c r="V522" s="6" t="str">
        <x:v>https://digitecme.com/ar/brands/porsche-service-dubai/transmission-repair</x:v>
      </x:c>
      <x:c r="W522" s="6" t="str">
        <x:v>Indexable directive</x:v>
      </x:c>
      <x:c r="X522" s="6" t="n">
        <x:v>16</x:v>
      </x:c>
      <x:c r="Y522" s="6" t="str">
        <x:v>إصلاح ناقل الحركة Porsche في دبي | ديجي-تك</x:v>
      </x:c>
      <x:c r="Z522" s="6" t="str"/>
      <x:c r="AA522" s="6" t="str">
        <x:v>No / not compared</x:v>
      </x:c>
    </x:row>
    <x:row r="523" ht="42" customHeight="1">
      <x:c r="A523" s="6" t="str">
        <x:v>https://digitecme.com/ar/brands/range-rover-service-dubai</x:v>
      </x:c>
      <x:c r="B523" s="6" t="str"/>
      <x:c r="C523" s="6" t="str"/>
      <x:c r="D523" s="6" t="str">
        <x:v>brand</x:v>
      </x:c>
      <x:c r="E523" s="6" t="str">
        <x:v>Retain differentiated role</x:v>
      </x:c>
      <x:c r="F523" s="6" t="str">
        <x:v>Local source render; live version unverified</x:v>
      </x:c>
      <x:c r="G523" s="6" t="str">
        <x:v>إصلاح وصيانة Range Rover في دبي | مركز ديجي-تك</x:v>
      </x:c>
      <x:c r="H523" s="6" t="str">
        <x:v>إصلاح وصيانة Range Rover في دبي | مركز ديجي-تك</x:v>
      </x:c>
      <x:c r="I523" s="6" t="str">
        <x:v>Range Rover للإصلاح والصيانة في دبي</x:v>
      </x:c>
      <x:c r="J523" s="6" t="str">
        <x:v>Range Rover للإصلاح والصيانة في دبي</x:v>
      </x:c>
      <x:c r="K523" s="6" t="str">
        <x:v>إصلاح وصيانة Range Rover في دبي: تشخيص وصيانة وفرامل وناقل حركة وتعليق وتكييف مع قطع بالمواصفات المناسبة لدى مركز ديجي-تك.</x:v>
      </x:c>
      <x:c r="L523" s="6" t="str">
        <x:v>Retain pending evidence; no specific content edit justified by this export.</x:v>
      </x:c>
      <x:c r="M523" s="6" t="str">
        <x:v>Retain; inspect relevant context before adding links</x:v>
      </x:c>
      <x:c r="N523" s="6" t="str">
        <x:v>Unconfirmed — no query/page pairing</x:v>
      </x:c>
      <x:c r="O523" s="6" t="str">
        <x:v>Retain established booking / WhatsApp / call path; live behaviour untested</x:v>
      </x:c>
      <x:c r="P523" s="6" t="str">
        <x:v>Retain canonical and indexation policy pending a live check.</x:v>
      </x:c>
      <x:c r="Q523" s="6" t="str">
        <x:v>Proposed; no website change made</x:v>
      </x:c>
      <x:c r="R523" s="14"/>
      <x:c r="S523" s="14"/>
      <x:c r="T523" s="15"/>
      <x:c r="U523" s="16"/>
      <x:c r="V523" s="6" t="str">
        <x:v>https://digitecme.com/ar/brands/range-rover-service-dubai</x:v>
      </x:c>
      <x:c r="W523" s="6" t="str">
        <x:v>Indexable directive</x:v>
      </x:c>
      <x:c r="X523" s="6" t="n">
        <x:v>53</x:v>
      </x:c>
      <x:c r="Y523" s="6" t="str">
        <x:v>إصلاح وصيانة Range Rover في دبي | مركز ديجي-تك</x:v>
      </x:c>
      <x:c r="Z523" s="6" t="str"/>
      <x:c r="AA523" s="6" t="str">
        <x:v>No / not compared</x:v>
      </x:c>
    </x:row>
    <x:row r="524" ht="42" customHeight="1">
      <x:c r="A524" s="6" t="str">
        <x:v>https://digitecme.com/ar/brands/range-rover-service-dubai/ac-repair</x:v>
      </x:c>
      <x:c r="B524" s="6" t="str"/>
      <x:c r="C524" s="6" t="str"/>
      <x:c r="D524" s="6" t="str">
        <x:v>brand-service</x:v>
      </x:c>
      <x:c r="E524" s="6" t="str">
        <x:v>Retain differentiated role</x:v>
      </x:c>
      <x:c r="F524" s="6" t="str">
        <x:v>Local source render; live version unverified</x:v>
      </x:c>
      <x:c r="G524" s="6" t="str">
        <x:v>إصلاح التكييف Range Rover في دبي | ديجي-تك</x:v>
      </x:c>
      <x:c r="H524" s="6" t="str">
        <x:v>إصلاح التكييف Range Rover في دبي | ديجي-تك</x:v>
      </x:c>
      <x:c r="I524" s="6" t="str">
        <x:v>إصلاح التكييف Range Rover في دبي</x:v>
      </x:c>
      <x:c r="J524" s="6" t="str">
        <x:v>إصلاح التكييف Range Rover في دبي</x:v>
      </x:c>
      <x:c r="K524" s="6" t="str">
        <x:v>إصلاح التكييف متخصص لسيارات Range Rover في دبي مع تشخيص متقدم وقطع مناسبة وتسعير واضح لدى مركز ديجي-تك.</x:v>
      </x:c>
      <x:c r="L524" s="6" t="str">
        <x:v>Retain pending evidence; no specific content edit justified by this export.</x:v>
      </x:c>
      <x:c r="M524" s="6" t="str">
        <x:v>Retain; inspect relevant context before adding links</x:v>
      </x:c>
      <x:c r="N524" s="6" t="str">
        <x:v>Unconfirmed — no query/page pairing</x:v>
      </x:c>
      <x:c r="O524" s="6" t="str">
        <x:v>Retain established booking / WhatsApp / call path; live behaviour untested</x:v>
      </x:c>
      <x:c r="P524" s="6" t="str">
        <x:v>Retain canonical and indexation policy pending a live check.</x:v>
      </x:c>
      <x:c r="Q524" s="6" t="str">
        <x:v>Proposed; no website change made</x:v>
      </x:c>
      <x:c r="R524" s="14" t="n">
        <x:v>1</x:v>
      </x:c>
      <x:c r="S524" s="14" t="n">
        <x:v>3</x:v>
      </x:c>
      <x:c r="T524" s="15" t="n">
        <x:v>0.3333</x:v>
      </x:c>
      <x:c r="U524" s="16" t="n">
        <x:v>7.33</x:v>
      </x:c>
      <x:c r="V524" s="6" t="str">
        <x:v>https://digitecme.com/ar/brands/range-rover-service-dubai/ac-repair</x:v>
      </x:c>
      <x:c r="W524" s="6" t="str">
        <x:v>Indexable directive</x:v>
      </x:c>
      <x:c r="X524" s="6" t="n">
        <x:v>16</x:v>
      </x:c>
      <x:c r="Y524" s="6" t="str">
        <x:v>إصلاح التكييف Range Rover في دبي | ديجي-تك</x:v>
      </x:c>
      <x:c r="Z524" s="6" t="str"/>
      <x:c r="AA524" s="6" t="str">
        <x:v>No / not compared</x:v>
      </x:c>
    </x:row>
    <x:row r="525" ht="42" customHeight="1">
      <x:c r="A525" s="6" t="str">
        <x:v>https://digitecme.com/ar/brands/range-rover-service-dubai/battery-replacement</x:v>
      </x:c>
      <x:c r="B525" s="6" t="str"/>
      <x:c r="C525" s="6" t="str"/>
      <x:c r="D525" s="6" t="str">
        <x:v>brand-service</x:v>
      </x:c>
      <x:c r="E525" s="6" t="str">
        <x:v>Retain differentiated role</x:v>
      </x:c>
      <x:c r="F525" s="6" t="str">
        <x:v>Local source render; live version unverified</x:v>
      </x:c>
      <x:c r="G525" s="6" t="str">
        <x:v>تبديل البطارية Range Rover في دبي | ديجي-تك</x:v>
      </x:c>
      <x:c r="H525" s="6" t="str">
        <x:v>تبديل البطارية Range Rover في دبي | ديجي-تك</x:v>
      </x:c>
      <x:c r="I525" s="6" t="str">
        <x:v>تبديل البطارية Range Rover في دبي</x:v>
      </x:c>
      <x:c r="J525" s="6" t="str">
        <x:v>تبديل البطارية Range Rover في دبي</x:v>
      </x:c>
      <x:c r="K525" s="6" t="str">
        <x:v>تبديل البطارية متخصص لسيارات Range Rover في دبي مع تشخيص متقدم وقطع مناسبة وتسعير واضح لدى مركز ديجي-تك.</x:v>
      </x:c>
      <x:c r="L525" s="6" t="str">
        <x:v>Retain pending evidence; no specific content edit justified by this export.</x:v>
      </x:c>
      <x:c r="M525" s="6" t="str">
        <x:v>Retain; inspect relevant context before adding links</x:v>
      </x:c>
      <x:c r="N525" s="6" t="str">
        <x:v>Unconfirmed — no query/page pairing</x:v>
      </x:c>
      <x:c r="O525" s="6" t="str">
        <x:v>Retain established booking / WhatsApp / call path; live behaviour untested</x:v>
      </x:c>
      <x:c r="P525" s="6" t="str">
        <x:v>Retain canonical and indexation policy pending a live check.</x:v>
      </x:c>
      <x:c r="Q525" s="6" t="str">
        <x:v>Proposed; no website change made</x:v>
      </x:c>
      <x:c r="R525" s="14"/>
      <x:c r="S525" s="14"/>
      <x:c r="T525" s="15"/>
      <x:c r="U525" s="16"/>
      <x:c r="V525" s="6" t="str">
        <x:v>https://digitecme.com/ar/brands/range-rover-service-dubai/battery-replacement</x:v>
      </x:c>
      <x:c r="W525" s="6" t="str">
        <x:v>Indexable directive</x:v>
      </x:c>
      <x:c r="X525" s="6" t="n">
        <x:v>16</x:v>
      </x:c>
      <x:c r="Y525" s="6" t="str">
        <x:v>تبديل البطارية Range Rover في دبي | ديجي-تك</x:v>
      </x:c>
      <x:c r="Z525" s="6" t="str"/>
      <x:c r="AA525" s="6" t="str">
        <x:v>No / not compared</x:v>
      </x:c>
    </x:row>
    <x:row r="526" ht="42" customHeight="1">
      <x:c r="A526" s="6" t="str">
        <x:v>https://digitecme.com/ar/brands/range-rover-service-dubai/body-repair</x:v>
      </x:c>
      <x:c r="B526" s="6" t="str"/>
      <x:c r="C526" s="6" t="str"/>
      <x:c r="D526" s="6" t="str">
        <x:v>brand-service</x:v>
      </x:c>
      <x:c r="E526" s="6" t="str">
        <x:v>Retain differentiated role</x:v>
      </x:c>
      <x:c r="F526" s="6" t="str">
        <x:v>Local source render; live version unverified</x:v>
      </x:c>
      <x:c r="G526" s="6" t="str">
        <x:v>إصلاح الهيكل Range Rover في دبي | ديجي-تك</x:v>
      </x:c>
      <x:c r="H526" s="6" t="str">
        <x:v>إصلاح الهيكل Range Rover في دبي | ديجي-تك</x:v>
      </x:c>
      <x:c r="I526" s="6" t="str">
        <x:v>إصلاح الهيكل Range Rover في دبي</x:v>
      </x:c>
      <x:c r="J526" s="6" t="str">
        <x:v>إصلاح الهيكل Range Rover في دبي</x:v>
      </x:c>
      <x:c r="K526" s="6" t="str">
        <x:v>إصلاح الهيكل متخصص لسيارات Range Rover في دبي مع تشخيص متقدم وقطع مناسبة وتسعير واضح لدى مركز ديجي-تك.</x:v>
      </x:c>
      <x:c r="L526" s="6" t="str">
        <x:v>Retain pending evidence; no specific content edit justified by this export.</x:v>
      </x:c>
      <x:c r="M526" s="6" t="str">
        <x:v>Retain; inspect relevant context before adding links</x:v>
      </x:c>
      <x:c r="N526" s="6" t="str">
        <x:v>Unconfirmed — no query/page pairing</x:v>
      </x:c>
      <x:c r="O526" s="6" t="str">
        <x:v>Retain established booking / WhatsApp / call path; live behaviour untested</x:v>
      </x:c>
      <x:c r="P526" s="6" t="str">
        <x:v>Retain canonical and indexation policy pending a live check.</x:v>
      </x:c>
      <x:c r="Q526" s="6" t="str">
        <x:v>Proposed; no website change made</x:v>
      </x:c>
      <x:c r="R526" s="14"/>
      <x:c r="S526" s="14"/>
      <x:c r="T526" s="15"/>
      <x:c r="U526" s="16"/>
      <x:c r="V526" s="6" t="str">
        <x:v>https://digitecme.com/ar/brands/range-rover-service-dubai/body-repair</x:v>
      </x:c>
      <x:c r="W526" s="6" t="str">
        <x:v>Indexable directive</x:v>
      </x:c>
      <x:c r="X526" s="6" t="n">
        <x:v>16</x:v>
      </x:c>
      <x:c r="Y526" s="6" t="str">
        <x:v>إصلاح الهيكل Range Rover في دبي | ديجي-تك</x:v>
      </x:c>
      <x:c r="Z526" s="6" t="str"/>
      <x:c r="AA526" s="6" t="str">
        <x:v>No / not compared</x:v>
      </x:c>
    </x:row>
    <x:row r="527" ht="42" customHeight="1">
      <x:c r="A527" s="6" t="str">
        <x:v>https://digitecme.com/ar/brands/range-rover-service-dubai/brake-repair</x:v>
      </x:c>
      <x:c r="B527" s="6" t="str"/>
      <x:c r="C527" s="6" t="str"/>
      <x:c r="D527" s="6" t="str">
        <x:v>brand-service</x:v>
      </x:c>
      <x:c r="E527" s="6" t="str">
        <x:v>Retain differentiated role</x:v>
      </x:c>
      <x:c r="F527" s="6" t="str">
        <x:v>Local source render; live version unverified</x:v>
      </x:c>
      <x:c r="G527" s="6" t="str">
        <x:v>إصلاح الفرامل Range Rover في دبي | ديجي-تك</x:v>
      </x:c>
      <x:c r="H527" s="6" t="str">
        <x:v>إصلاح الفرامل Range Rover في دبي | ديجي-تك</x:v>
      </x:c>
      <x:c r="I527" s="6" t="str">
        <x:v>إصلاح الفرامل Range Rover في دبي</x:v>
      </x:c>
      <x:c r="J527" s="6" t="str">
        <x:v>إصلاح الفرامل Range Rover في دبي</x:v>
      </x:c>
      <x:c r="K527" s="6" t="str">
        <x:v>إصلاح الفرامل متخصص لسيارات Range Rover في دبي مع تشخيص متقدم وقطع مناسبة وتسعير واضح لدى مركز ديجي-تك.</x:v>
      </x:c>
      <x:c r="L527" s="6" t="str">
        <x:v>Retain pending evidence; no specific content edit justified by this export.</x:v>
      </x:c>
      <x:c r="M527" s="6" t="str">
        <x:v>Retain; inspect relevant context before adding links</x:v>
      </x:c>
      <x:c r="N527" s="6" t="str">
        <x:v>Unconfirmed — no query/page pairing</x:v>
      </x:c>
      <x:c r="O527" s="6" t="str">
        <x:v>Retain established booking / WhatsApp / call path; live behaviour untested</x:v>
      </x:c>
      <x:c r="P527" s="6" t="str">
        <x:v>Retain canonical and indexation policy pending a live check.</x:v>
      </x:c>
      <x:c r="Q527" s="6" t="str">
        <x:v>Proposed; no website change made</x:v>
      </x:c>
      <x:c r="R527" s="14"/>
      <x:c r="S527" s="14"/>
      <x:c r="T527" s="15"/>
      <x:c r="U527" s="16"/>
      <x:c r="V527" s="6" t="str">
        <x:v>https://digitecme.com/ar/brands/range-rover-service-dubai/brake-repair</x:v>
      </x:c>
      <x:c r="W527" s="6" t="str">
        <x:v>Indexable directive</x:v>
      </x:c>
      <x:c r="X527" s="6" t="n">
        <x:v>16</x:v>
      </x:c>
      <x:c r="Y527" s="6" t="str">
        <x:v>إصلاح الفرامل Range Rover في دبي | ديجي-تك</x:v>
      </x:c>
      <x:c r="Z527" s="6" t="str"/>
      <x:c r="AA527" s="6" t="str">
        <x:v>No / not compared</x:v>
      </x:c>
    </x:row>
    <x:row r="528" ht="42" customHeight="1">
      <x:c r="A528" s="6" t="str">
        <x:v>https://digitecme.com/ar/brands/range-rover-service-dubai/electrical-repair</x:v>
      </x:c>
      <x:c r="B528" s="6" t="str"/>
      <x:c r="C528" s="6" t="str"/>
      <x:c r="D528" s="6" t="str">
        <x:v>brand-service</x:v>
      </x:c>
      <x:c r="E528" s="6" t="str">
        <x:v>Retain differentiated role</x:v>
      </x:c>
      <x:c r="F528" s="6" t="str">
        <x:v>Local source render; live version unverified</x:v>
      </x:c>
      <x:c r="G528" s="6" t="str">
        <x:v>إصلاح الكهرباء Range Rover في دبي | ديجي-تك</x:v>
      </x:c>
      <x:c r="H528" s="6" t="str">
        <x:v>إصلاح الكهرباء Range Rover في دبي | ديجي-تك</x:v>
      </x:c>
      <x:c r="I528" s="6" t="str">
        <x:v>إصلاح الكهرباء Range Rover في دبي</x:v>
      </x:c>
      <x:c r="J528" s="6" t="str">
        <x:v>إصلاح الكهرباء Range Rover في دبي</x:v>
      </x:c>
      <x:c r="K528" s="6" t="str">
        <x:v>إصلاح الكهرباء متخصص لسيارات Range Rover في دبي مع تشخيص متقدم وقطع مناسبة وتسعير واضح لدى مركز ديجي-تك.</x:v>
      </x:c>
      <x:c r="L528" s="6" t="str">
        <x:v>Retain pending evidence; no specific content edit justified by this export.</x:v>
      </x:c>
      <x:c r="M528" s="6" t="str">
        <x:v>Retain; inspect relevant context before adding links</x:v>
      </x:c>
      <x:c r="N528" s="6" t="str">
        <x:v>Unconfirmed — no query/page pairing</x:v>
      </x:c>
      <x:c r="O528" s="6" t="str">
        <x:v>Retain established booking / WhatsApp / call path; live behaviour untested</x:v>
      </x:c>
      <x:c r="P528" s="6" t="str">
        <x:v>Retain canonical and indexation policy pending a live check.</x:v>
      </x:c>
      <x:c r="Q528" s="6" t="str">
        <x:v>Proposed; no website change made</x:v>
      </x:c>
      <x:c r="R528" s="14"/>
      <x:c r="S528" s="14"/>
      <x:c r="T528" s="15"/>
      <x:c r="U528" s="16"/>
      <x:c r="V528" s="6" t="str">
        <x:v>https://digitecme.com/ar/brands/range-rover-service-dubai/electrical-repair</x:v>
      </x:c>
      <x:c r="W528" s="6" t="str">
        <x:v>Indexable directive</x:v>
      </x:c>
      <x:c r="X528" s="6" t="n">
        <x:v>16</x:v>
      </x:c>
      <x:c r="Y528" s="6" t="str">
        <x:v>إصلاح الكهرباء Range Rover في دبي | ديجي-تك</x:v>
      </x:c>
      <x:c r="Z528" s="6" t="str"/>
      <x:c r="AA528" s="6" t="str">
        <x:v>No / not compared</x:v>
      </x:c>
    </x:row>
    <x:row r="529" ht="42" customHeight="1">
      <x:c r="A529" s="6" t="str">
        <x:v>https://digitecme.com/ar/brands/range-rover-service-dubai/engine-diagnostics</x:v>
      </x:c>
      <x:c r="B529" s="6" t="str"/>
      <x:c r="C529" s="6" t="str"/>
      <x:c r="D529" s="6" t="str">
        <x:v>brand-service</x:v>
      </x:c>
      <x:c r="E529" s="6" t="str">
        <x:v>Retain differentiated role</x:v>
      </x:c>
      <x:c r="F529" s="6" t="str">
        <x:v>Local source render; live version unverified</x:v>
      </x:c>
      <x:c r="G529" s="6" t="str">
        <x:v>تشخيص المحرك Range Rover في دبي | ديجي-تك</x:v>
      </x:c>
      <x:c r="H529" s="6" t="str">
        <x:v>تشخيص المحرك Range Rover في دبي | ديجي-تك</x:v>
      </x:c>
      <x:c r="I529" s="6" t="str">
        <x:v>تشخيص المحرك Range Rover في دبي</x:v>
      </x:c>
      <x:c r="J529" s="6" t="str">
        <x:v>تشخيص المحرك Range Rover في دبي</x:v>
      </x:c>
      <x:c r="K529" s="6" t="str">
        <x:v>تشخيص المحرك متخصص لسيارات Range Rover في دبي مع تشخيص متقدم وقطع مناسبة وتسعير واضح لدى مركز ديجي-تك.</x:v>
      </x:c>
      <x:c r="L529" s="6" t="str">
        <x:v>Retain pending evidence; no specific content edit justified by this export.</x:v>
      </x:c>
      <x:c r="M529" s="6" t="str">
        <x:v>Retain; inspect relevant context before adding links</x:v>
      </x:c>
      <x:c r="N529" s="6" t="str">
        <x:v>Unconfirmed — no query/page pairing</x:v>
      </x:c>
      <x:c r="O529" s="6" t="str">
        <x:v>Retain established booking / WhatsApp / call path; live behaviour untested</x:v>
      </x:c>
      <x:c r="P529" s="6" t="str">
        <x:v>Retain canonical and indexation policy pending a live check.</x:v>
      </x:c>
      <x:c r="Q529" s="6" t="str">
        <x:v>Proposed; no website change made</x:v>
      </x:c>
      <x:c r="R529" s="14"/>
      <x:c r="S529" s="14"/>
      <x:c r="T529" s="15"/>
      <x:c r="U529" s="16"/>
      <x:c r="V529" s="6" t="str">
        <x:v>https://digitecme.com/ar/brands/range-rover-service-dubai/engine-diagnostics</x:v>
      </x:c>
      <x:c r="W529" s="6" t="str">
        <x:v>Indexable directive</x:v>
      </x:c>
      <x:c r="X529" s="6" t="n">
        <x:v>16</x:v>
      </x:c>
      <x:c r="Y529" s="6" t="str">
        <x:v>تشخيص المحرك Range Rover في دبي | ديجي-تك</x:v>
      </x:c>
      <x:c r="Z529" s="6" t="str"/>
      <x:c r="AA529" s="6" t="str">
        <x:v>No / not compared</x:v>
      </x:c>
    </x:row>
    <x:row r="530" ht="42" customHeight="1">
      <x:c r="A530" s="6" t="str">
        <x:v>https://digitecme.com/ar/brands/range-rover-service-dubai/exhaust-repair</x:v>
      </x:c>
      <x:c r="B530" s="6" t="str"/>
      <x:c r="C530" s="6" t="str"/>
      <x:c r="D530" s="6" t="str">
        <x:v>brand-service</x:v>
      </x:c>
      <x:c r="E530" s="6" t="str">
        <x:v>Retain differentiated role</x:v>
      </x:c>
      <x:c r="F530" s="6" t="str">
        <x:v>Local source render; live version unverified</x:v>
      </x:c>
      <x:c r="G530" s="6" t="str">
        <x:v>إصلاح العادم Range Rover في دبي | ديجي-تك</x:v>
      </x:c>
      <x:c r="H530" s="6" t="str">
        <x:v>إصلاح العادم Range Rover في دبي | ديجي-تك</x:v>
      </x:c>
      <x:c r="I530" s="6" t="str">
        <x:v>إصلاح العادم Range Rover في دبي</x:v>
      </x:c>
      <x:c r="J530" s="6" t="str">
        <x:v>إصلاح العادم Range Rover في دبي</x:v>
      </x:c>
      <x:c r="K530" s="6" t="str">
        <x:v>إصلاح العادم متخصص لسيارات Range Rover في دبي مع تشخيص متقدم وقطع مناسبة وتسعير واضح لدى مركز ديجي-تك.</x:v>
      </x:c>
      <x:c r="L530" s="6" t="str">
        <x:v>Retain pending evidence; no specific content edit justified by this export.</x:v>
      </x:c>
      <x:c r="M530" s="6" t="str">
        <x:v>Retain; inspect relevant context before adding links</x:v>
      </x:c>
      <x:c r="N530" s="6" t="str">
        <x:v>Unconfirmed — no query/page pairing</x:v>
      </x:c>
      <x:c r="O530" s="6" t="str">
        <x:v>Retain established booking / WhatsApp / call path; live behaviour untested</x:v>
      </x:c>
      <x:c r="P530" s="6" t="str">
        <x:v>Retain canonical and indexation policy pending a live check.</x:v>
      </x:c>
      <x:c r="Q530" s="6" t="str">
        <x:v>Proposed; no website change made</x:v>
      </x:c>
      <x:c r="R530" s="14"/>
      <x:c r="S530" s="14"/>
      <x:c r="T530" s="15"/>
      <x:c r="U530" s="16"/>
      <x:c r="V530" s="6" t="str">
        <x:v>https://digitecme.com/ar/brands/range-rover-service-dubai/exhaust-repair</x:v>
      </x:c>
      <x:c r="W530" s="6" t="str">
        <x:v>Indexable directive</x:v>
      </x:c>
      <x:c r="X530" s="6" t="n">
        <x:v>16</x:v>
      </x:c>
      <x:c r="Y530" s="6" t="str">
        <x:v>إصلاح العادم Range Rover في دبي | ديجي-تك</x:v>
      </x:c>
      <x:c r="Z530" s="6" t="str"/>
      <x:c r="AA530" s="6" t="str">
        <x:v>No / not compared</x:v>
      </x:c>
    </x:row>
    <x:row r="531" ht="42" customHeight="1">
      <x:c r="A531" s="6" t="str">
        <x:v>https://digitecme.com/ar/brands/range-rover-service-dubai/fuel-system-repair</x:v>
      </x:c>
      <x:c r="B531" s="6" t="str"/>
      <x:c r="C531" s="6" t="str"/>
      <x:c r="D531" s="6" t="str">
        <x:v>brand-service</x:v>
      </x:c>
      <x:c r="E531" s="6" t="str">
        <x:v>Retain differentiated role</x:v>
      </x:c>
      <x:c r="F531" s="6" t="str">
        <x:v>Local source render; live version unverified</x:v>
      </x:c>
      <x:c r="G531" s="6" t="str">
        <x:v>إصلاح نظام الوقود Range Rover في دبي | ديجي-تك</x:v>
      </x:c>
      <x:c r="H531" s="6" t="str">
        <x:v>إصلاح نظام الوقود Range Rover في دبي | ديجي-تك</x:v>
      </x:c>
      <x:c r="I531" s="6" t="str">
        <x:v>إصلاح نظام الوقود Range Rover في دبي</x:v>
      </x:c>
      <x:c r="J531" s="6" t="str">
        <x:v>إصلاح نظام الوقود Range Rover في دبي</x:v>
      </x:c>
      <x:c r="K531" s="6" t="str">
        <x:v>إصلاح نظام الوقود متخصص لسيارات Range Rover في دبي مع تشخيص متقدم وقطع مناسبة وتسعير واضح لدى مركز ديجي-تك.</x:v>
      </x:c>
      <x:c r="L531" s="6" t="str">
        <x:v>Retain pending evidence; no specific content edit justified by this export.</x:v>
      </x:c>
      <x:c r="M531" s="6" t="str">
        <x:v>Retain; inspect relevant context before adding links</x:v>
      </x:c>
      <x:c r="N531" s="6" t="str">
        <x:v>Unconfirmed — no query/page pairing</x:v>
      </x:c>
      <x:c r="O531" s="6" t="str">
        <x:v>Retain established booking / WhatsApp / call path; live behaviour untested</x:v>
      </x:c>
      <x:c r="P531" s="6" t="str">
        <x:v>Retain canonical and indexation policy pending a live check.</x:v>
      </x:c>
      <x:c r="Q531" s="6" t="str">
        <x:v>Proposed; no website change made</x:v>
      </x:c>
      <x:c r="R531" s="14"/>
      <x:c r="S531" s="14"/>
      <x:c r="T531" s="15"/>
      <x:c r="U531" s="16"/>
      <x:c r="V531" s="6" t="str">
        <x:v>https://digitecme.com/ar/brands/range-rover-service-dubai/fuel-system-repair</x:v>
      </x:c>
      <x:c r="W531" s="6" t="str">
        <x:v>Indexable directive</x:v>
      </x:c>
      <x:c r="X531" s="6" t="n">
        <x:v>16</x:v>
      </x:c>
      <x:c r="Y531" s="6" t="str">
        <x:v>إصلاح نظام الوقود Range Rover في دبي | ديجي-تك</x:v>
      </x:c>
      <x:c r="Z531" s="6" t="str"/>
      <x:c r="AA531" s="6" t="str">
        <x:v>No / not compared</x:v>
      </x:c>
    </x:row>
    <x:row r="532" ht="42" customHeight="1">
      <x:c r="A532" s="6" t="str">
        <x:v>https://digitecme.com/ar/brands/range-rover-service-dubai/mechanical-repair</x:v>
      </x:c>
      <x:c r="B532" s="6" t="str"/>
      <x:c r="C532" s="6" t="str"/>
      <x:c r="D532" s="6" t="str">
        <x:v>brand-service</x:v>
      </x:c>
      <x:c r="E532" s="6" t="str">
        <x:v>Retain differentiated role</x:v>
      </x:c>
      <x:c r="F532" s="6" t="str">
        <x:v>Local source render; live version unverified</x:v>
      </x:c>
      <x:c r="G532" s="6" t="str">
        <x:v>الإصلاح الميكانيكي Range Rover في دبي | ديجي-تك</x:v>
      </x:c>
      <x:c r="H532" s="6" t="str">
        <x:v>الإصلاح الميكانيكي Range Rover في دبي | ديجي-تك</x:v>
      </x:c>
      <x:c r="I532" s="6" t="str">
        <x:v>الإصلاح الميكانيكي Range Rover في دبي</x:v>
      </x:c>
      <x:c r="J532" s="6" t="str">
        <x:v>الإصلاح الميكانيكي Range Rover في دبي</x:v>
      </x:c>
      <x:c r="K532" s="6" t="str">
        <x:v>الإصلاح الميكانيكي متخصص لسيارات Range Rover في دبي مع تشخيص متقدم وقطع مناسبة وتسعير واضح لدى مركز ديجي-تك.</x:v>
      </x:c>
      <x:c r="L532" s="6" t="str">
        <x:v>Retain pending evidence; no specific content edit justified by this export.</x:v>
      </x:c>
      <x:c r="M532" s="6" t="str">
        <x:v>Retain; inspect relevant context before adding links</x:v>
      </x:c>
      <x:c r="N532" s="6" t="str">
        <x:v>Unconfirmed — no query/page pairing</x:v>
      </x:c>
      <x:c r="O532" s="6" t="str">
        <x:v>Retain established booking / WhatsApp / call path; live behaviour untested</x:v>
      </x:c>
      <x:c r="P532" s="6" t="str">
        <x:v>Retain canonical and indexation policy pending a live check.</x:v>
      </x:c>
      <x:c r="Q532" s="6" t="str">
        <x:v>Proposed; no website change made</x:v>
      </x:c>
      <x:c r="R532" s="14"/>
      <x:c r="S532" s="14"/>
      <x:c r="T532" s="15"/>
      <x:c r="U532" s="16"/>
      <x:c r="V532" s="6" t="str">
        <x:v>https://digitecme.com/ar/brands/range-rover-service-dubai/mechanical-repair</x:v>
      </x:c>
      <x:c r="W532" s="6" t="str">
        <x:v>Indexable directive</x:v>
      </x:c>
      <x:c r="X532" s="6" t="n">
        <x:v>16</x:v>
      </x:c>
      <x:c r="Y532" s="6" t="str">
        <x:v>الإصلاح الميكانيكي Range Rover في دبي | ديجي-تك</x:v>
      </x:c>
      <x:c r="Z532" s="6" t="str"/>
      <x:c r="AA532" s="6" t="str">
        <x:v>No / not compared</x:v>
      </x:c>
    </x:row>
    <x:row r="533" ht="42" customHeight="1">
      <x:c r="A533" s="6" t="str">
        <x:v>https://digitecme.com/ar/brands/range-rover-service-dubai/oil-change</x:v>
      </x:c>
      <x:c r="B533" s="6" t="str"/>
      <x:c r="C533" s="6" t="str"/>
      <x:c r="D533" s="6" t="str">
        <x:v>brand-service</x:v>
      </x:c>
      <x:c r="E533" s="6" t="str">
        <x:v>Retain differentiated role</x:v>
      </x:c>
      <x:c r="F533" s="6" t="str">
        <x:v>Local source render; live version unverified</x:v>
      </x:c>
      <x:c r="G533" s="6" t="str">
        <x:v>تغيير الزيت Range Rover في دبي | ديجي-تك</x:v>
      </x:c>
      <x:c r="H533" s="6" t="str">
        <x:v>تغيير الزيت Range Rover في دبي | ديجي-تك</x:v>
      </x:c>
      <x:c r="I533" s="6" t="str">
        <x:v>تغيير الزيت Range Rover في دبي</x:v>
      </x:c>
      <x:c r="J533" s="6" t="str">
        <x:v>تغيير الزيت Range Rover في دبي</x:v>
      </x:c>
      <x:c r="K533" s="6" t="str">
        <x:v>تغيير الزيت متخصص لسيارات Range Rover في دبي مع تشخيص متقدم وقطع مناسبة وتسعير واضح لدى مركز ديجي-تك.</x:v>
      </x:c>
      <x:c r="L533" s="6" t="str">
        <x:v>Retain pending evidence; no specific content edit justified by this export.</x:v>
      </x:c>
      <x:c r="M533" s="6" t="str">
        <x:v>Retain; inspect relevant context before adding links</x:v>
      </x:c>
      <x:c r="N533" s="6" t="str">
        <x:v>Unconfirmed — no query/page pairing</x:v>
      </x:c>
      <x:c r="O533" s="6" t="str">
        <x:v>Retain established booking / WhatsApp / call path; live behaviour untested</x:v>
      </x:c>
      <x:c r="P533" s="6" t="str">
        <x:v>Retain canonical and indexation policy pending a live check.</x:v>
      </x:c>
      <x:c r="Q533" s="6" t="str">
        <x:v>Proposed; no website change made</x:v>
      </x:c>
      <x:c r="R533" s="14"/>
      <x:c r="S533" s="14"/>
      <x:c r="T533" s="15"/>
      <x:c r="U533" s="16"/>
      <x:c r="V533" s="6" t="str">
        <x:v>https://digitecme.com/ar/brands/range-rover-service-dubai/oil-change</x:v>
      </x:c>
      <x:c r="W533" s="6" t="str">
        <x:v>Indexable directive</x:v>
      </x:c>
      <x:c r="X533" s="6" t="n">
        <x:v>16</x:v>
      </x:c>
      <x:c r="Y533" s="6" t="str">
        <x:v>تغيير الزيت Range Rover في دبي | ديجي-تك</x:v>
      </x:c>
      <x:c r="Z533" s="6" t="str"/>
      <x:c r="AA533" s="6" t="str">
        <x:v>No / not compared</x:v>
      </x:c>
    </x:row>
    <x:row r="534" ht="42" customHeight="1">
      <x:c r="A534" s="6" t="str">
        <x:v>https://digitecme.com/ar/brands/range-rover-service-dubai/steering-repair</x:v>
      </x:c>
      <x:c r="B534" s="6" t="str"/>
      <x:c r="C534" s="6" t="str"/>
      <x:c r="D534" s="6" t="str">
        <x:v>brand-service</x:v>
      </x:c>
      <x:c r="E534" s="6" t="str">
        <x:v>Retain differentiated role</x:v>
      </x:c>
      <x:c r="F534" s="6" t="str">
        <x:v>Local source render; live version unverified</x:v>
      </x:c>
      <x:c r="G534" s="6" t="str">
        <x:v>إصلاح نظام التوجيه Range Rover في دبي | ديجي-تك</x:v>
      </x:c>
      <x:c r="H534" s="6" t="str">
        <x:v>إصلاح نظام التوجيه Range Rover في دبي | ديجي-تك</x:v>
      </x:c>
      <x:c r="I534" s="6" t="str">
        <x:v>إصلاح نظام التوجيه Range Rover في دبي</x:v>
      </x:c>
      <x:c r="J534" s="6" t="str">
        <x:v>إصلاح نظام التوجيه Range Rover في دبي</x:v>
      </x:c>
      <x:c r="K534" s="6" t="str">
        <x:v>إصلاح نظام التوجيه متخصص لسيارات Range Rover في دبي مع تشخيص متقدم وقطع مناسبة وتسعير واضح لدى مركز ديجي-تك.</x:v>
      </x:c>
      <x:c r="L534" s="6" t="str">
        <x:v>Retain pending evidence; no specific content edit justified by this export.</x:v>
      </x:c>
      <x:c r="M534" s="6" t="str">
        <x:v>Retain; inspect relevant context before adding links</x:v>
      </x:c>
      <x:c r="N534" s="6" t="str">
        <x:v>Unconfirmed — no query/page pairing</x:v>
      </x:c>
      <x:c r="O534" s="6" t="str">
        <x:v>Retain established booking / WhatsApp / call path; live behaviour untested</x:v>
      </x:c>
      <x:c r="P534" s="6" t="str">
        <x:v>Retain canonical and indexation policy pending a live check.</x:v>
      </x:c>
      <x:c r="Q534" s="6" t="str">
        <x:v>Proposed; no website change made</x:v>
      </x:c>
      <x:c r="R534" s="14"/>
      <x:c r="S534" s="14"/>
      <x:c r="T534" s="15"/>
      <x:c r="U534" s="16"/>
      <x:c r="V534" s="6" t="str">
        <x:v>https://digitecme.com/ar/brands/range-rover-service-dubai/steering-repair</x:v>
      </x:c>
      <x:c r="W534" s="6" t="str">
        <x:v>Indexable directive</x:v>
      </x:c>
      <x:c r="X534" s="6" t="n">
        <x:v>16</x:v>
      </x:c>
      <x:c r="Y534" s="6" t="str">
        <x:v>إصلاح نظام التوجيه Range Rover في دبي | ديجي-تك</x:v>
      </x:c>
      <x:c r="Z534" s="6" t="str"/>
      <x:c r="AA534" s="6" t="str">
        <x:v>No / not compared</x:v>
      </x:c>
    </x:row>
    <x:row r="535" ht="42" customHeight="1">
      <x:c r="A535" s="6" t="str">
        <x:v>https://digitecme.com/ar/brands/range-rover-service-dubai/suspension-repair</x:v>
      </x:c>
      <x:c r="B535" s="6" t="str"/>
      <x:c r="C535" s="6" t="str"/>
      <x:c r="D535" s="6" t="str">
        <x:v>brand-service</x:v>
      </x:c>
      <x:c r="E535" s="6" t="str">
        <x:v>Retain differentiated role</x:v>
      </x:c>
      <x:c r="F535" s="6" t="str">
        <x:v>Local source render; live version unverified</x:v>
      </x:c>
      <x:c r="G535" s="6" t="str">
        <x:v>إصلاح التعليق Range Rover في دبي | ديجي-تك</x:v>
      </x:c>
      <x:c r="H535" s="6" t="str">
        <x:v>إصلاح التعليق Range Rover في دبي | ديجي-تك</x:v>
      </x:c>
      <x:c r="I535" s="6" t="str">
        <x:v>إصلاح التعليق Range Rover في دبي</x:v>
      </x:c>
      <x:c r="J535" s="6" t="str">
        <x:v>إصلاح التعليق Range Rover في دبي</x:v>
      </x:c>
      <x:c r="K535" s="6" t="str">
        <x:v>إصلاح التعليق متخصص لسيارات Range Rover في دبي مع تشخيص متقدم وقطع مناسبة وتسعير واضح لدى مركز ديجي-تك.</x:v>
      </x:c>
      <x:c r="L535" s="6" t="str">
        <x:v>Retain pending evidence; no specific content edit justified by this export.</x:v>
      </x:c>
      <x:c r="M535" s="6" t="str">
        <x:v>Retain; inspect relevant context before adding links</x:v>
      </x:c>
      <x:c r="N535" s="6" t="str">
        <x:v>Unconfirmed — no query/page pairing</x:v>
      </x:c>
      <x:c r="O535" s="6" t="str">
        <x:v>Retain established booking / WhatsApp / call path; live behaviour untested</x:v>
      </x:c>
      <x:c r="P535" s="6" t="str">
        <x:v>Retain canonical and indexation policy pending a live check.</x:v>
      </x:c>
      <x:c r="Q535" s="6" t="str">
        <x:v>Proposed; no website change made</x:v>
      </x:c>
      <x:c r="R535" s="14"/>
      <x:c r="S535" s="14"/>
      <x:c r="T535" s="15"/>
      <x:c r="U535" s="16"/>
      <x:c r="V535" s="6" t="str">
        <x:v>https://digitecme.com/ar/brands/range-rover-service-dubai/suspension-repair</x:v>
      </x:c>
      <x:c r="W535" s="6" t="str">
        <x:v>Indexable directive</x:v>
      </x:c>
      <x:c r="X535" s="6" t="n">
        <x:v>16</x:v>
      </x:c>
      <x:c r="Y535" s="6" t="str">
        <x:v>إصلاح التعليق Range Rover في دبي | ديجي-تك</x:v>
      </x:c>
      <x:c r="Z535" s="6" t="str"/>
      <x:c r="AA535" s="6" t="str">
        <x:v>No / not compared</x:v>
      </x:c>
    </x:row>
    <x:row r="536" ht="42" customHeight="1">
      <x:c r="A536" s="6" t="str">
        <x:v>https://digitecme.com/ar/brands/range-rover-service-dubai/tire-repair</x:v>
      </x:c>
      <x:c r="B536" s="6" t="str"/>
      <x:c r="C536" s="6" t="str"/>
      <x:c r="D536" s="6" t="str">
        <x:v>brand-service</x:v>
      </x:c>
      <x:c r="E536" s="6" t="str">
        <x:v>Retain differentiated role</x:v>
      </x:c>
      <x:c r="F536" s="6" t="str">
        <x:v>Local source render; live version unverified</x:v>
      </x:c>
      <x:c r="G536" s="6" t="str">
        <x:v>إصلاح الإطارات Range Rover في دبي | ديجي-تك</x:v>
      </x:c>
      <x:c r="H536" s="6" t="str">
        <x:v>إصلاح الإطارات Range Rover في دبي | ديجي-تك</x:v>
      </x:c>
      <x:c r="I536" s="6" t="str">
        <x:v>إصلاح الإطارات Range Rover في دبي</x:v>
      </x:c>
      <x:c r="J536" s="6" t="str">
        <x:v>إصلاح الإطارات Range Rover في دبي</x:v>
      </x:c>
      <x:c r="K536" s="6" t="str">
        <x:v>إصلاح الإطارات متخصص لسيارات Range Rover في دبي مع تشخيص متقدم وقطع مناسبة وتسعير واضح لدى مركز ديجي-تك.</x:v>
      </x:c>
      <x:c r="L536" s="6" t="str">
        <x:v>Retain pending evidence; no specific content edit justified by this export.</x:v>
      </x:c>
      <x:c r="M536" s="6" t="str">
        <x:v>Retain; inspect relevant context before adding links</x:v>
      </x:c>
      <x:c r="N536" s="6" t="str">
        <x:v>Unconfirmed — no query/page pairing</x:v>
      </x:c>
      <x:c r="O536" s="6" t="str">
        <x:v>Retain established booking / WhatsApp / call path; live behaviour untested</x:v>
      </x:c>
      <x:c r="P536" s="6" t="str">
        <x:v>Retain canonical and indexation policy pending a live check.</x:v>
      </x:c>
      <x:c r="Q536" s="6" t="str">
        <x:v>Proposed; no website change made</x:v>
      </x:c>
      <x:c r="R536" s="14"/>
      <x:c r="S536" s="14"/>
      <x:c r="T536" s="15"/>
      <x:c r="U536" s="16"/>
      <x:c r="V536" s="6" t="str">
        <x:v>https://digitecme.com/ar/brands/range-rover-service-dubai/tire-repair</x:v>
      </x:c>
      <x:c r="W536" s="6" t="str">
        <x:v>Indexable directive</x:v>
      </x:c>
      <x:c r="X536" s="6" t="n">
        <x:v>16</x:v>
      </x:c>
      <x:c r="Y536" s="6" t="str">
        <x:v>إصلاح الإطارات Range Rover في دبي | ديجي-تك</x:v>
      </x:c>
      <x:c r="Z536" s="6" t="str"/>
      <x:c r="AA536" s="6" t="str">
        <x:v>No / not compared</x:v>
      </x:c>
    </x:row>
    <x:row r="537" ht="42" customHeight="1">
      <x:c r="A537" s="6" t="str">
        <x:v>https://digitecme.com/ar/brands/range-rover-service-dubai/transmission-repair</x:v>
      </x:c>
      <x:c r="B537" s="6" t="str"/>
      <x:c r="C537" s="6" t="str"/>
      <x:c r="D537" s="6" t="str">
        <x:v>brand-service</x:v>
      </x:c>
      <x:c r="E537" s="6" t="str">
        <x:v>Retain differentiated role</x:v>
      </x:c>
      <x:c r="F537" s="6" t="str">
        <x:v>Local source render; live version unverified</x:v>
      </x:c>
      <x:c r="G537" s="6" t="str">
        <x:v>إصلاح ناقل الحركة Range Rover في دبي | ديجي-تك</x:v>
      </x:c>
      <x:c r="H537" s="6" t="str">
        <x:v>إصلاح ناقل الحركة Range Rover في دبي | ديجي-تك</x:v>
      </x:c>
      <x:c r="I537" s="6" t="str">
        <x:v>إصلاح ناقل الحركة Range Rover في دبي</x:v>
      </x:c>
      <x:c r="J537" s="6" t="str">
        <x:v>إصلاح ناقل الحركة Range Rover في دبي</x:v>
      </x:c>
      <x:c r="K537" s="6" t="str">
        <x:v>إصلاح ناقل الحركة متخصص لسيارات Range Rover في دبي مع تشخيص متقدم وقطع مناسبة وتسعير واضح لدى مركز ديجي-تك.</x:v>
      </x:c>
      <x:c r="L537" s="6" t="str">
        <x:v>Retain pending evidence; no specific content edit justified by this export.</x:v>
      </x:c>
      <x:c r="M537" s="6" t="str">
        <x:v>Retain; inspect relevant context before adding links</x:v>
      </x:c>
      <x:c r="N537" s="6" t="str">
        <x:v>Unconfirmed — no query/page pairing</x:v>
      </x:c>
      <x:c r="O537" s="6" t="str">
        <x:v>Retain established booking / WhatsApp / call path; live behaviour untested</x:v>
      </x:c>
      <x:c r="P537" s="6" t="str">
        <x:v>Retain canonical and indexation policy pending a live check.</x:v>
      </x:c>
      <x:c r="Q537" s="6" t="str">
        <x:v>Proposed; no website change made</x:v>
      </x:c>
      <x:c r="R537" s="14"/>
      <x:c r="S537" s="14"/>
      <x:c r="T537" s="15"/>
      <x:c r="U537" s="16"/>
      <x:c r="V537" s="6" t="str">
        <x:v>https://digitecme.com/ar/brands/range-rover-service-dubai/transmission-repair</x:v>
      </x:c>
      <x:c r="W537" s="6" t="str">
        <x:v>Indexable directive</x:v>
      </x:c>
      <x:c r="X537" s="6" t="n">
        <x:v>16</x:v>
      </x:c>
      <x:c r="Y537" s="6" t="str">
        <x:v>إصلاح ناقل الحركة Range Rover في دبي | ديجي-تك</x:v>
      </x:c>
      <x:c r="Z537" s="6" t="str"/>
      <x:c r="AA537" s="6" t="str">
        <x:v>No / not compared</x:v>
      </x:c>
    </x:row>
    <x:row r="538" ht="42" customHeight="1">
      <x:c r="A538" s="6" t="str">
        <x:v>https://digitecme.com/ar/brands/renault-service-dubai</x:v>
      </x:c>
      <x:c r="B538" s="6" t="str"/>
      <x:c r="C538" s="6" t="str"/>
      <x:c r="D538" s="6" t="str">
        <x:v>brand</x:v>
      </x:c>
      <x:c r="E538" s="6" t="str">
        <x:v>Retain differentiated role</x:v>
      </x:c>
      <x:c r="F538" s="6" t="str">
        <x:v>Local source render; live version unverified</x:v>
      </x:c>
      <x:c r="G538" s="6" t="str">
        <x:v>إصلاح وصيانة Renault في دبي | مركز ديجي-تك</x:v>
      </x:c>
      <x:c r="H538" s="6" t="str">
        <x:v>إصلاح وصيانة Renault في دبي | مركز ديجي-تك</x:v>
      </x:c>
      <x:c r="I538" s="6" t="str">
        <x:v>Renault للإصلاح والصيانة في دبي</x:v>
      </x:c>
      <x:c r="J538" s="6" t="str">
        <x:v>Renault للإصلاح والصيانة في دبي</x:v>
      </x:c>
      <x:c r="K538" s="6" t="str">
        <x:v>إصلاح وصيانة Renault في دبي: تشخيص وصيانة وفرامل وناقل حركة وتعليق وتكييف مع قطع بالمواصفات المناسبة لدى مركز ديجي-تك.</x:v>
      </x:c>
      <x:c r="L538" s="6" t="str">
        <x:v>Retain pending evidence; no specific content edit justified by this export.</x:v>
      </x:c>
      <x:c r="M538" s="6" t="str">
        <x:v>Retain; inspect relevant context before adding links</x:v>
      </x:c>
      <x:c r="N538" s="6" t="str">
        <x:v>Unconfirmed — no query/page pairing</x:v>
      </x:c>
      <x:c r="O538" s="6" t="str">
        <x:v>Retain established booking / WhatsApp / call path; live behaviour untested</x:v>
      </x:c>
      <x:c r="P538" s="6" t="str">
        <x:v>Retain canonical and indexation policy pending a live check.</x:v>
      </x:c>
      <x:c r="Q538" s="6" t="str">
        <x:v>Proposed; no website change made</x:v>
      </x:c>
      <x:c r="R538" s="14" t="n">
        <x:v>0</x:v>
      </x:c>
      <x:c r="S538" s="14" t="n">
        <x:v>3</x:v>
      </x:c>
      <x:c r="T538" s="15" t="n">
        <x:v>0</x:v>
      </x:c>
      <x:c r="U538" s="16" t="n">
        <x:v>4</x:v>
      </x:c>
      <x:c r="V538" s="6" t="str">
        <x:v>https://digitecme.com/ar/brands/renault-service-dubai</x:v>
      </x:c>
      <x:c r="W538" s="6" t="str">
        <x:v>Indexable directive</x:v>
      </x:c>
      <x:c r="X538" s="6" t="n">
        <x:v>30</x:v>
      </x:c>
      <x:c r="Y538" s="6" t="str">
        <x:v>إصلاح وصيانة Renault في دبي | مركز ديجي-تك</x:v>
      </x:c>
      <x:c r="Z538" s="6" t="str"/>
      <x:c r="AA538" s="6" t="str">
        <x:v>No / not compared</x:v>
      </x:c>
    </x:row>
    <x:row r="539" ht="42" customHeight="1">
      <x:c r="A539" s="6" t="str">
        <x:v>https://digitecme.com/ar/brands/renault-service-dubai/ac-repair</x:v>
      </x:c>
      <x:c r="B539" s="6" t="str"/>
      <x:c r="C539" s="6" t="str"/>
      <x:c r="D539" s="6" t="str">
        <x:v>brand-service</x:v>
      </x:c>
      <x:c r="E539" s="6" t="str">
        <x:v>Retain differentiated role</x:v>
      </x:c>
      <x:c r="F539" s="6" t="str">
        <x:v>Local source render; live version unverified</x:v>
      </x:c>
      <x:c r="G539" s="6" t="str">
        <x:v>إصلاح التكييف Renault في دبي | ديجي-تك</x:v>
      </x:c>
      <x:c r="H539" s="6" t="str">
        <x:v>إصلاح التكييف Renault في دبي | ديجي-تك</x:v>
      </x:c>
      <x:c r="I539" s="6" t="str">
        <x:v>إصلاح التكييف Renault في دبي</x:v>
      </x:c>
      <x:c r="J539" s="6" t="str">
        <x:v>إصلاح التكييف Renault في دبي</x:v>
      </x:c>
      <x:c r="K539" s="6" t="str">
        <x:v>إصلاح التكييف متخصص لسيارات Renault في دبي مع تشخيص متقدم وقطع مناسبة وتسعير واضح لدى مركز ديجي-تك.</x:v>
      </x:c>
      <x:c r="L539" s="6" t="str">
        <x:v>Retain pending evidence; no specific content edit justified by this export.</x:v>
      </x:c>
      <x:c r="M539" s="6" t="str">
        <x:v>Retain; inspect relevant context before adding links</x:v>
      </x:c>
      <x:c r="N539" s="6" t="str">
        <x:v>Unconfirmed — no query/page pairing</x:v>
      </x:c>
      <x:c r="O539" s="6" t="str">
        <x:v>Retain established booking / WhatsApp / call path; live behaviour untested</x:v>
      </x:c>
      <x:c r="P539" s="6" t="str">
        <x:v>Retain canonical and indexation policy pending a live check.</x:v>
      </x:c>
      <x:c r="Q539" s="6" t="str">
        <x:v>Proposed; no website change made</x:v>
      </x:c>
      <x:c r="R539" s="14"/>
      <x:c r="S539" s="14"/>
      <x:c r="T539" s="15"/>
      <x:c r="U539" s="16"/>
      <x:c r="V539" s="6" t="str">
        <x:v>https://digitecme.com/ar/brands/renault-service-dubai/ac-repair</x:v>
      </x:c>
      <x:c r="W539" s="6" t="str">
        <x:v>Indexable directive</x:v>
      </x:c>
      <x:c r="X539" s="6" t="n">
        <x:v>8</x:v>
      </x:c>
      <x:c r="Y539" s="6" t="str">
        <x:v>إصلاح التكييف Renault في دبي | ديجي-تك</x:v>
      </x:c>
      <x:c r="Z539" s="6" t="str"/>
      <x:c r="AA539" s="6" t="str">
        <x:v>No / not compared</x:v>
      </x:c>
    </x:row>
    <x:row r="540" ht="42" customHeight="1">
      <x:c r="A540" s="6" t="str">
        <x:v>https://digitecme.com/ar/brands/renault-service-dubai/brake-repair</x:v>
      </x:c>
      <x:c r="B540" s="6" t="str"/>
      <x:c r="C540" s="6" t="str"/>
      <x:c r="D540" s="6" t="str">
        <x:v>brand-service</x:v>
      </x:c>
      <x:c r="E540" s="6" t="str">
        <x:v>Retain differentiated role</x:v>
      </x:c>
      <x:c r="F540" s="6" t="str">
        <x:v>Local source render; live version unverified</x:v>
      </x:c>
      <x:c r="G540" s="6" t="str">
        <x:v>إصلاح الفرامل Renault في دبي | ديجي-تك</x:v>
      </x:c>
      <x:c r="H540" s="6" t="str">
        <x:v>إصلاح الفرامل Renault في دبي | ديجي-تك</x:v>
      </x:c>
      <x:c r="I540" s="6" t="str">
        <x:v>إصلاح الفرامل Renault في دبي</x:v>
      </x:c>
      <x:c r="J540" s="6" t="str">
        <x:v>إصلاح الفرامل Renault في دبي</x:v>
      </x:c>
      <x:c r="K540" s="6" t="str">
        <x:v>إصلاح الفرامل متخصص لسيارات Renault في دبي مع تشخيص متقدم وقطع مناسبة وتسعير واضح لدى مركز ديجي-تك.</x:v>
      </x:c>
      <x:c r="L540" s="6" t="str">
        <x:v>Retain pending evidence; no specific content edit justified by this export.</x:v>
      </x:c>
      <x:c r="M540" s="6" t="str">
        <x:v>Retain; inspect relevant context before adding links</x:v>
      </x:c>
      <x:c r="N540" s="6" t="str">
        <x:v>Unconfirmed — no query/page pairing</x:v>
      </x:c>
      <x:c r="O540" s="6" t="str">
        <x:v>Retain established booking / WhatsApp / call path; live behaviour untested</x:v>
      </x:c>
      <x:c r="P540" s="6" t="str">
        <x:v>Retain canonical and indexation policy pending a live check.</x:v>
      </x:c>
      <x:c r="Q540" s="6" t="str">
        <x:v>Proposed; no website change made</x:v>
      </x:c>
      <x:c r="R540" s="14"/>
      <x:c r="S540" s="14"/>
      <x:c r="T540" s="15"/>
      <x:c r="U540" s="16"/>
      <x:c r="V540" s="6" t="str">
        <x:v>https://digitecme.com/ar/brands/renault-service-dubai/brake-repair</x:v>
      </x:c>
      <x:c r="W540" s="6" t="str">
        <x:v>Indexable directive</x:v>
      </x:c>
      <x:c r="X540" s="6" t="n">
        <x:v>8</x:v>
      </x:c>
      <x:c r="Y540" s="6" t="str">
        <x:v>إصلاح الفرامل Renault في دبي | ديجي-تك</x:v>
      </x:c>
      <x:c r="Z540" s="6" t="str"/>
      <x:c r="AA540" s="6" t="str">
        <x:v>No / not compared</x:v>
      </x:c>
    </x:row>
    <x:row r="541" ht="42" customHeight="1">
      <x:c r="A541" s="6" t="str">
        <x:v>https://digitecme.com/ar/brands/renault-service-dubai/engine-diagnostics</x:v>
      </x:c>
      <x:c r="B541" s="6" t="str"/>
      <x:c r="C541" s="6" t="str"/>
      <x:c r="D541" s="6" t="str">
        <x:v>brand-service</x:v>
      </x:c>
      <x:c r="E541" s="6" t="str">
        <x:v>Retain differentiated role</x:v>
      </x:c>
      <x:c r="F541" s="6" t="str">
        <x:v>Local source render; live version unverified</x:v>
      </x:c>
      <x:c r="G541" s="6" t="str">
        <x:v>تشخيص المحرك Renault في دبي | ديجي-تك</x:v>
      </x:c>
      <x:c r="H541" s="6" t="str">
        <x:v>تشخيص المحرك Renault في دبي | ديجي-تك</x:v>
      </x:c>
      <x:c r="I541" s="6" t="str">
        <x:v>تشخيص المحرك Renault في دبي</x:v>
      </x:c>
      <x:c r="J541" s="6" t="str">
        <x:v>تشخيص المحرك Renault في دبي</x:v>
      </x:c>
      <x:c r="K541" s="6" t="str">
        <x:v>تشخيص المحرك متخصص لسيارات Renault في دبي مع تشخيص متقدم وقطع مناسبة وتسعير واضح لدى مركز ديجي-تك.</x:v>
      </x:c>
      <x:c r="L541" s="6" t="str">
        <x:v>Retain pending evidence; no specific content edit justified by this export.</x:v>
      </x:c>
      <x:c r="M541" s="6" t="str">
        <x:v>Retain; inspect relevant context before adding links</x:v>
      </x:c>
      <x:c r="N541" s="6" t="str">
        <x:v>Unconfirmed — no query/page pairing</x:v>
      </x:c>
      <x:c r="O541" s="6" t="str">
        <x:v>Retain established booking / WhatsApp / call path; live behaviour untested</x:v>
      </x:c>
      <x:c r="P541" s="6" t="str">
        <x:v>Retain canonical and indexation policy pending a live check.</x:v>
      </x:c>
      <x:c r="Q541" s="6" t="str">
        <x:v>Proposed; no website change made</x:v>
      </x:c>
      <x:c r="R541" s="14"/>
      <x:c r="S541" s="14"/>
      <x:c r="T541" s="15"/>
      <x:c r="U541" s="16"/>
      <x:c r="V541" s="6" t="str">
        <x:v>https://digitecme.com/ar/brands/renault-service-dubai/engine-diagnostics</x:v>
      </x:c>
      <x:c r="W541" s="6" t="str">
        <x:v>Indexable directive</x:v>
      </x:c>
      <x:c r="X541" s="6" t="n">
        <x:v>8</x:v>
      </x:c>
      <x:c r="Y541" s="6" t="str">
        <x:v>تشخيص المحرك Renault في دبي | ديجي-تك</x:v>
      </x:c>
      <x:c r="Z541" s="6" t="str"/>
      <x:c r="AA541" s="6" t="str">
        <x:v>No / not compared</x:v>
      </x:c>
    </x:row>
    <x:row r="542" ht="42" customHeight="1">
      <x:c r="A542" s="6" t="str">
        <x:v>https://digitecme.com/ar/brands/renault-service-dubai/oil-change</x:v>
      </x:c>
      <x:c r="B542" s="6" t="str"/>
      <x:c r="C542" s="6" t="str"/>
      <x:c r="D542" s="6" t="str">
        <x:v>brand-service</x:v>
      </x:c>
      <x:c r="E542" s="6" t="str">
        <x:v>Retain differentiated role</x:v>
      </x:c>
      <x:c r="F542" s="6" t="str">
        <x:v>Local source render; live version unverified</x:v>
      </x:c>
      <x:c r="G542" s="6" t="str">
        <x:v>تغيير الزيت Renault في دبي | ديجي-تك</x:v>
      </x:c>
      <x:c r="H542" s="6" t="str">
        <x:v>تغيير الزيت Renault في دبي | ديجي-تك</x:v>
      </x:c>
      <x:c r="I542" s="6" t="str">
        <x:v>تغيير الزيت Renault في دبي</x:v>
      </x:c>
      <x:c r="J542" s="6" t="str">
        <x:v>تغيير الزيت Renault في دبي</x:v>
      </x:c>
      <x:c r="K542" s="6" t="str">
        <x:v>تغيير الزيت متخصص لسيارات Renault في دبي مع تشخيص متقدم وقطع مناسبة وتسعير واضح لدى مركز ديجي-تك.</x:v>
      </x:c>
      <x:c r="L542" s="6" t="str">
        <x:v>Retain pending evidence; no specific content edit justified by this export.</x:v>
      </x:c>
      <x:c r="M542" s="6" t="str">
        <x:v>Retain; inspect relevant context before adding links</x:v>
      </x:c>
      <x:c r="N542" s="6" t="str">
        <x:v>Unconfirmed — no query/page pairing</x:v>
      </x:c>
      <x:c r="O542" s="6" t="str">
        <x:v>Retain established booking / WhatsApp / call path; live behaviour untested</x:v>
      </x:c>
      <x:c r="P542" s="6" t="str">
        <x:v>Retain canonical and indexation policy pending a live check.</x:v>
      </x:c>
      <x:c r="Q542" s="6" t="str">
        <x:v>Proposed; no website change made</x:v>
      </x:c>
      <x:c r="R542" s="14" t="n">
        <x:v>0</x:v>
      </x:c>
      <x:c r="S542" s="14" t="n">
        <x:v>2</x:v>
      </x:c>
      <x:c r="T542" s="15" t="n">
        <x:v>0</x:v>
      </x:c>
      <x:c r="U542" s="16" t="n">
        <x:v>5.5</x:v>
      </x:c>
      <x:c r="V542" s="6" t="str">
        <x:v>https://digitecme.com/ar/brands/renault-service-dubai/oil-change</x:v>
      </x:c>
      <x:c r="W542" s="6" t="str">
        <x:v>Indexable directive</x:v>
      </x:c>
      <x:c r="X542" s="6" t="n">
        <x:v>8</x:v>
      </x:c>
      <x:c r="Y542" s="6" t="str">
        <x:v>تغيير الزيت Renault في دبي | ديجي-تك</x:v>
      </x:c>
      <x:c r="Z542" s="6" t="str"/>
      <x:c r="AA542" s="6" t="str">
        <x:v>No / not compared</x:v>
      </x:c>
    </x:row>
    <x:row r="543" ht="42" customHeight="1">
      <x:c r="A543" s="6" t="str">
        <x:v>https://digitecme.com/ar/brands/renault-service-dubai/suspension-repair</x:v>
      </x:c>
      <x:c r="B543" s="6" t="str"/>
      <x:c r="C543" s="6" t="str"/>
      <x:c r="D543" s="6" t="str">
        <x:v>brand-service</x:v>
      </x:c>
      <x:c r="E543" s="6" t="str">
        <x:v>Retain differentiated role</x:v>
      </x:c>
      <x:c r="F543" s="6" t="str">
        <x:v>Local source render; live version unverified</x:v>
      </x:c>
      <x:c r="G543" s="6" t="str">
        <x:v>إصلاح التعليق Renault في دبي | ديجي-تك</x:v>
      </x:c>
      <x:c r="H543" s="6" t="str">
        <x:v>إصلاح التعليق Renault في دبي | ديجي-تك</x:v>
      </x:c>
      <x:c r="I543" s="6" t="str">
        <x:v>إصلاح التعليق Renault في دبي</x:v>
      </x:c>
      <x:c r="J543" s="6" t="str">
        <x:v>إصلاح التعليق Renault في دبي</x:v>
      </x:c>
      <x:c r="K543" s="6" t="str">
        <x:v>إصلاح التعليق متخصص لسيارات Renault في دبي مع تشخيص متقدم وقطع مناسبة وتسعير واضح لدى مركز ديجي-تك.</x:v>
      </x:c>
      <x:c r="L543" s="6" t="str">
        <x:v>Retain pending evidence; no specific content edit justified by this export.</x:v>
      </x:c>
      <x:c r="M543" s="6" t="str">
        <x:v>Retain; inspect relevant context before adding links</x:v>
      </x:c>
      <x:c r="N543" s="6" t="str">
        <x:v>Unconfirmed — no query/page pairing</x:v>
      </x:c>
      <x:c r="O543" s="6" t="str">
        <x:v>Retain established booking / WhatsApp / call path; live behaviour untested</x:v>
      </x:c>
      <x:c r="P543" s="6" t="str">
        <x:v>Retain canonical and indexation policy pending a live check.</x:v>
      </x:c>
      <x:c r="Q543" s="6" t="str">
        <x:v>Proposed; no website change made</x:v>
      </x:c>
      <x:c r="R543" s="14"/>
      <x:c r="S543" s="14"/>
      <x:c r="T543" s="15"/>
      <x:c r="U543" s="16"/>
      <x:c r="V543" s="6" t="str">
        <x:v>https://digitecme.com/ar/brands/renault-service-dubai/suspension-repair</x:v>
      </x:c>
      <x:c r="W543" s="6" t="str">
        <x:v>Noindex directive</x:v>
      </x:c>
      <x:c r="X543" s="6" t="n">
        <x:v>8</x:v>
      </x:c>
      <x:c r="Y543" s="6" t="str">
        <x:v>إصلاح التعليق Renault في دبي | ديجي-تك</x:v>
      </x:c>
      <x:c r="Z543" s="6" t="str"/>
      <x:c r="AA543" s="6" t="str">
        <x:v>No / not compared</x:v>
      </x:c>
    </x:row>
    <x:row r="544" ht="42" customHeight="1">
      <x:c r="A544" s="6" t="str">
        <x:v>https://digitecme.com/ar/brands/renault-service-dubai/transmission-repair</x:v>
      </x:c>
      <x:c r="B544" s="6" t="str"/>
      <x:c r="C544" s="6" t="str"/>
      <x:c r="D544" s="6" t="str">
        <x:v>brand-service</x:v>
      </x:c>
      <x:c r="E544" s="6" t="str">
        <x:v>Retain differentiated role</x:v>
      </x:c>
      <x:c r="F544" s="6" t="str">
        <x:v>Local source render; live version unverified</x:v>
      </x:c>
      <x:c r="G544" s="6" t="str">
        <x:v>إصلاح ناقل الحركة Renault في دبي | ديجي-تك</x:v>
      </x:c>
      <x:c r="H544" s="6" t="str">
        <x:v>إصلاح ناقل الحركة Renault في دبي | ديجي-تك</x:v>
      </x:c>
      <x:c r="I544" s="6" t="str">
        <x:v>إصلاح ناقل الحركة Renault في دبي</x:v>
      </x:c>
      <x:c r="J544" s="6" t="str">
        <x:v>إصلاح ناقل الحركة Renault في دبي</x:v>
      </x:c>
      <x:c r="K544" s="6" t="str">
        <x:v>إصلاح ناقل الحركة متخصص لسيارات Renault في دبي مع تشخيص متقدم وقطع مناسبة وتسعير واضح لدى مركز ديجي-تك.</x:v>
      </x:c>
      <x:c r="L544" s="6" t="str">
        <x:v>Retain pending evidence; no specific content edit justified by this export.</x:v>
      </x:c>
      <x:c r="M544" s="6" t="str">
        <x:v>Retain; inspect relevant context before adding links</x:v>
      </x:c>
      <x:c r="N544" s="6" t="str">
        <x:v>Unconfirmed — no query/page pairing</x:v>
      </x:c>
      <x:c r="O544" s="6" t="str">
        <x:v>Retain established booking / WhatsApp / call path; live behaviour untested</x:v>
      </x:c>
      <x:c r="P544" s="6" t="str">
        <x:v>Retain canonical and indexation policy pending a live check.</x:v>
      </x:c>
      <x:c r="Q544" s="6" t="str">
        <x:v>Proposed; no website change made</x:v>
      </x:c>
      <x:c r="R544" s="14"/>
      <x:c r="S544" s="14"/>
      <x:c r="T544" s="15"/>
      <x:c r="U544" s="16"/>
      <x:c r="V544" s="6" t="str">
        <x:v>https://digitecme.com/ar/brands/renault-service-dubai/transmission-repair</x:v>
      </x:c>
      <x:c r="W544" s="6" t="str">
        <x:v>Noindex directive</x:v>
      </x:c>
      <x:c r="X544" s="6" t="n">
        <x:v>8</x:v>
      </x:c>
      <x:c r="Y544" s="6" t="str">
        <x:v>إصلاح ناقل الحركة Renault في دبي | ديجي-تك</x:v>
      </x:c>
      <x:c r="Z544" s="6" t="str"/>
      <x:c r="AA544" s="6" t="str">
        <x:v>No / not compared</x:v>
      </x:c>
    </x:row>
    <x:row r="545" ht="42" customHeight="1">
      <x:c r="A545" s="6" t="str">
        <x:v>https://digitecme.com/ar/brands/rolls-royce-service-dubai</x:v>
      </x:c>
      <x:c r="B545" s="6" t="str"/>
      <x:c r="C545" s="6" t="str"/>
      <x:c r="D545" s="6" t="str">
        <x:v>brand</x:v>
      </x:c>
      <x:c r="E545" s="6" t="str">
        <x:v>Retain differentiated role</x:v>
      </x:c>
      <x:c r="F545" s="6" t="str">
        <x:v>Local source render; live version unverified</x:v>
      </x:c>
      <x:c r="G545" s="6" t="str">
        <x:v>إصلاح وصيانة Rolls-Royce في دبي | مركز ديجي-تك</x:v>
      </x:c>
      <x:c r="H545" s="6" t="str">
        <x:v>إصلاح وصيانة Rolls-Royce في دبي | مركز ديجي-تك</x:v>
      </x:c>
      <x:c r="I545" s="6" t="str">
        <x:v>Rolls-Royce للإصلاح والصيانة في دبي</x:v>
      </x:c>
      <x:c r="J545" s="6" t="str">
        <x:v>Rolls-Royce للإصلاح والصيانة في دبي</x:v>
      </x:c>
      <x:c r="K545" s="6" t="str">
        <x:v>إصلاح وصيانة Rolls-Royce في دبي: تشخيص وصيانة وفرامل وناقل حركة وتعليق وتكييف مع قطع بالمواصفات المناسبة لدى مركز ديجي-تك.</x:v>
      </x:c>
      <x:c r="L545" s="6" t="str">
        <x:v>Retain pending evidence; no specific content edit justified by this export.</x:v>
      </x:c>
      <x:c r="M545" s="6" t="str">
        <x:v>Retain; inspect relevant context before adding links</x:v>
      </x:c>
      <x:c r="N545" s="6" t="str">
        <x:v>Unconfirmed — no query/page pairing</x:v>
      </x:c>
      <x:c r="O545" s="6" t="str">
        <x:v>Retain established booking / WhatsApp / call path; live behaviour untested</x:v>
      </x:c>
      <x:c r="P545" s="6" t="str">
        <x:v>Retain canonical and indexation policy pending a live check.</x:v>
      </x:c>
      <x:c r="Q545" s="6" t="str">
        <x:v>Proposed; no website change made</x:v>
      </x:c>
      <x:c r="R545" s="14" t="n">
        <x:v>0</x:v>
      </x:c>
      <x:c r="S545" s="14" t="n">
        <x:v>17</x:v>
      </x:c>
      <x:c r="T545" s="15" t="n">
        <x:v>0</x:v>
      </x:c>
      <x:c r="U545" s="16" t="n">
        <x:v>56.88</x:v>
      </x:c>
      <x:c r="V545" s="6" t="str">
        <x:v>https://digitecme.com/ar/brands/rolls-royce-service-dubai</x:v>
      </x:c>
      <x:c r="W545" s="6" t="str">
        <x:v>Indexable directive</x:v>
      </x:c>
      <x:c r="X545" s="6" t="n">
        <x:v>88</x:v>
      </x:c>
      <x:c r="Y545" s="6" t="str">
        <x:v>إصلاح وصيانة Rolls-Royce في دبي | مركز ديجي-تك</x:v>
      </x:c>
      <x:c r="Z545" s="6" t="str"/>
      <x:c r="AA545" s="6" t="str">
        <x:v>No / not compared</x:v>
      </x:c>
    </x:row>
    <x:row r="546" ht="42" customHeight="1">
      <x:c r="A546" s="6" t="str">
        <x:v>https://digitecme.com/ar/brands/rolls-royce-service-dubai/ac-repair</x:v>
      </x:c>
      <x:c r="B546" s="6" t="str"/>
      <x:c r="C546" s="6" t="str"/>
      <x:c r="D546" s="6" t="str">
        <x:v>brand-service</x:v>
      </x:c>
      <x:c r="E546" s="6" t="str">
        <x:v>Retain differentiated role</x:v>
      </x:c>
      <x:c r="F546" s="6" t="str">
        <x:v>Local source render; live version unverified</x:v>
      </x:c>
      <x:c r="G546" s="6" t="str">
        <x:v>إصلاح التكييف Rolls-Royce في دبي | ديجي-تك</x:v>
      </x:c>
      <x:c r="H546" s="6" t="str">
        <x:v>إصلاح التكييف Rolls-Royce في دبي | ديجي-تك</x:v>
      </x:c>
      <x:c r="I546" s="6" t="str">
        <x:v>إصلاح التكييف Rolls-Royce في دبي</x:v>
      </x:c>
      <x:c r="J546" s="6" t="str">
        <x:v>إصلاح التكييف Rolls-Royce في دبي</x:v>
      </x:c>
      <x:c r="K546" s="6" t="str">
        <x:v>إصلاح التكييف متخصص لسيارات Rolls-Royce في دبي مع تشخيص متقدم وقطع مناسبة وتسعير واضح لدى مركز ديجي-تك.</x:v>
      </x:c>
      <x:c r="L546" s="6" t="str">
        <x:v>Retain pending evidence; no specific content edit justified by this export.</x:v>
      </x:c>
      <x:c r="M546" s="6" t="str">
        <x:v>Retain; inspect relevant context before adding links</x:v>
      </x:c>
      <x:c r="N546" s="6" t="str">
        <x:v>Unconfirmed — no query/page pairing</x:v>
      </x:c>
      <x:c r="O546" s="6" t="str">
        <x:v>Retain established booking / WhatsApp / call path; live behaviour untested</x:v>
      </x:c>
      <x:c r="P546" s="6" t="str">
        <x:v>Retain canonical and indexation policy pending a live check.</x:v>
      </x:c>
      <x:c r="Q546" s="6" t="str">
        <x:v>Proposed; no website change made</x:v>
      </x:c>
      <x:c r="R546" s="14"/>
      <x:c r="S546" s="14"/>
      <x:c r="T546" s="15"/>
      <x:c r="U546" s="16"/>
      <x:c r="V546" s="6" t="str">
        <x:v>https://digitecme.com/ar/brands/rolls-royce-service-dubai/ac-repair</x:v>
      </x:c>
      <x:c r="W546" s="6" t="str">
        <x:v>Indexable directive</x:v>
      </x:c>
      <x:c r="X546" s="6" t="n">
        <x:v>17</x:v>
      </x:c>
      <x:c r="Y546" s="6" t="str">
        <x:v>إصلاح التكييف Rolls-Royce في دبي | ديجي-تك</x:v>
      </x:c>
      <x:c r="Z546" s="6" t="str"/>
      <x:c r="AA546" s="6" t="str">
        <x:v>No / not compared</x:v>
      </x:c>
    </x:row>
    <x:row r="547" ht="42" customHeight="1">
      <x:c r="A547" s="6" t="str">
        <x:v>https://digitecme.com/ar/brands/rolls-royce-service-dubai/battery-replacement</x:v>
      </x:c>
      <x:c r="B547" s="6" t="str"/>
      <x:c r="C547" s="6" t="str"/>
      <x:c r="D547" s="6" t="str">
        <x:v>brand-service</x:v>
      </x:c>
      <x:c r="E547" s="6" t="str">
        <x:v>Retain differentiated role</x:v>
      </x:c>
      <x:c r="F547" s="6" t="str">
        <x:v>Local source render; live version unverified</x:v>
      </x:c>
      <x:c r="G547" s="6" t="str">
        <x:v>تبديل البطارية Rolls-Royce في دبي | ديجي-تك</x:v>
      </x:c>
      <x:c r="H547" s="6" t="str">
        <x:v>تبديل البطارية Rolls-Royce في دبي | ديجي-تك</x:v>
      </x:c>
      <x:c r="I547" s="6" t="str">
        <x:v>تبديل البطارية Rolls-Royce في دبي</x:v>
      </x:c>
      <x:c r="J547" s="6" t="str">
        <x:v>تبديل البطارية Rolls-Royce في دبي</x:v>
      </x:c>
      <x:c r="K547" s="6" t="str">
        <x:v>تبديل البطارية متخصص لسيارات Rolls-Royce في دبي مع تشخيص متقدم وقطع مناسبة وتسعير واضح لدى مركز ديجي-تك.</x:v>
      </x:c>
      <x:c r="L547" s="6" t="str">
        <x:v>Retain pending evidence; no specific content edit justified by this export.</x:v>
      </x:c>
      <x:c r="M547" s="6" t="str">
        <x:v>Retain; inspect relevant context before adding links</x:v>
      </x:c>
      <x:c r="N547" s="6" t="str">
        <x:v>Unconfirmed — no query/page pairing</x:v>
      </x:c>
      <x:c r="O547" s="6" t="str">
        <x:v>Retain established booking / WhatsApp / call path; live behaviour untested</x:v>
      </x:c>
      <x:c r="P547" s="6" t="str">
        <x:v>Retain canonical and indexation policy pending a live check.</x:v>
      </x:c>
      <x:c r="Q547" s="6" t="str">
        <x:v>Proposed; no website change made</x:v>
      </x:c>
      <x:c r="R547" s="14" t="n">
        <x:v>0</x:v>
      </x:c>
      <x:c r="S547" s="14" t="n">
        <x:v>22</x:v>
      </x:c>
      <x:c r="T547" s="15" t="n">
        <x:v>0</x:v>
      </x:c>
      <x:c r="U547" s="16" t="n">
        <x:v>72.23</x:v>
      </x:c>
      <x:c r="V547" s="6" t="str">
        <x:v>https://digitecme.com/ar/brands/rolls-royce-service-dubai/battery-replacement</x:v>
      </x:c>
      <x:c r="W547" s="6" t="str">
        <x:v>Indexable directive</x:v>
      </x:c>
      <x:c r="X547" s="6" t="n">
        <x:v>16</x:v>
      </x:c>
      <x:c r="Y547" s="6" t="str">
        <x:v>تبديل البطارية Rolls-Royce في دبي | ديجي-تك</x:v>
      </x:c>
      <x:c r="Z547" s="6" t="str"/>
      <x:c r="AA547" s="6" t="str">
        <x:v>No / not compared</x:v>
      </x:c>
    </x:row>
    <x:row r="548" ht="42" customHeight="1">
      <x:c r="A548" s="6" t="str">
        <x:v>https://digitecme.com/ar/brands/rolls-royce-service-dubai/body-repair</x:v>
      </x:c>
      <x:c r="B548" s="6" t="str"/>
      <x:c r="C548" s="6" t="str"/>
      <x:c r="D548" s="6" t="str">
        <x:v>brand-service</x:v>
      </x:c>
      <x:c r="E548" s="6" t="str">
        <x:v>Retain differentiated role</x:v>
      </x:c>
      <x:c r="F548" s="6" t="str">
        <x:v>Local source render; live version unverified</x:v>
      </x:c>
      <x:c r="G548" s="6" t="str">
        <x:v>إصلاح الهيكل Rolls-Royce في دبي | ديجي-تك</x:v>
      </x:c>
      <x:c r="H548" s="6" t="str">
        <x:v>إصلاح الهيكل Rolls-Royce في دبي | ديجي-تك</x:v>
      </x:c>
      <x:c r="I548" s="6" t="str">
        <x:v>إصلاح الهيكل Rolls-Royce في دبي</x:v>
      </x:c>
      <x:c r="J548" s="6" t="str">
        <x:v>إصلاح الهيكل Rolls-Royce في دبي</x:v>
      </x:c>
      <x:c r="K548" s="6" t="str">
        <x:v>إصلاح الهيكل متخصص لسيارات Rolls-Royce في دبي مع تشخيص متقدم وقطع مناسبة وتسعير واضح لدى مركز ديجي-تك.</x:v>
      </x:c>
      <x:c r="L548" s="6" t="str">
        <x:v>Retain pending evidence; no specific content edit justified by this export.</x:v>
      </x:c>
      <x:c r="M548" s="6" t="str">
        <x:v>Retain; inspect relevant context before adding links</x:v>
      </x:c>
      <x:c r="N548" s="6" t="str">
        <x:v>Unconfirmed — no query/page pairing</x:v>
      </x:c>
      <x:c r="O548" s="6" t="str">
        <x:v>Retain established booking / WhatsApp / call path; live behaviour untested</x:v>
      </x:c>
      <x:c r="P548" s="6" t="str">
        <x:v>Retain canonical and indexation policy pending a live check.</x:v>
      </x:c>
      <x:c r="Q548" s="6" t="str">
        <x:v>Proposed; no website change made</x:v>
      </x:c>
      <x:c r="R548" s="14"/>
      <x:c r="S548" s="14"/>
      <x:c r="T548" s="15"/>
      <x:c r="U548" s="16"/>
      <x:c r="V548" s="6" t="str">
        <x:v>https://digitecme.com/ar/brands/rolls-royce-service-dubai/body-repair</x:v>
      </x:c>
      <x:c r="W548" s="6" t="str">
        <x:v>Indexable directive</x:v>
      </x:c>
      <x:c r="X548" s="6" t="n">
        <x:v>16</x:v>
      </x:c>
      <x:c r="Y548" s="6" t="str">
        <x:v>إصلاح الهيكل Rolls-Royce في دبي | ديجي-تك</x:v>
      </x:c>
      <x:c r="Z548" s="6" t="str"/>
      <x:c r="AA548" s="6" t="str">
        <x:v>No / not compared</x:v>
      </x:c>
    </x:row>
    <x:row r="549" ht="42" customHeight="1">
      <x:c r="A549" s="6" t="str">
        <x:v>https://digitecme.com/ar/brands/rolls-royce-service-dubai/brake-repair</x:v>
      </x:c>
      <x:c r="B549" s="6" t="str"/>
      <x:c r="C549" s="6" t="str"/>
      <x:c r="D549" s="6" t="str">
        <x:v>brand-service</x:v>
      </x:c>
      <x:c r="E549" s="6" t="str">
        <x:v>Retain differentiated role</x:v>
      </x:c>
      <x:c r="F549" s="6" t="str">
        <x:v>Local source render; live version unverified</x:v>
      </x:c>
      <x:c r="G549" s="6" t="str">
        <x:v>إصلاح الفرامل Rolls-Royce في دبي | ديجي-تك</x:v>
      </x:c>
      <x:c r="H549" s="6" t="str">
        <x:v>إصلاح الفرامل Rolls-Royce في دبي | ديجي-تك</x:v>
      </x:c>
      <x:c r="I549" s="6" t="str">
        <x:v>إصلاح الفرامل Rolls-Royce في دبي</x:v>
      </x:c>
      <x:c r="J549" s="6" t="str">
        <x:v>إصلاح الفرامل Rolls-Royce في دبي</x:v>
      </x:c>
      <x:c r="K549" s="6" t="str">
        <x:v>إصلاح الفرامل متخصص لسيارات Rolls-Royce في دبي مع تشخيص متقدم وقطع مناسبة وتسعير واضح لدى مركز ديجي-تك.</x:v>
      </x:c>
      <x:c r="L549" s="6" t="str">
        <x:v>Retain pending evidence; no specific content edit justified by this export.</x:v>
      </x:c>
      <x:c r="M549" s="6" t="str">
        <x:v>Retain; inspect relevant context before adding links</x:v>
      </x:c>
      <x:c r="N549" s="6" t="str">
        <x:v>Unconfirmed — no query/page pairing</x:v>
      </x:c>
      <x:c r="O549" s="6" t="str">
        <x:v>Retain established booking / WhatsApp / call path; live behaviour untested</x:v>
      </x:c>
      <x:c r="P549" s="6" t="str">
        <x:v>Retain canonical and indexation policy pending a live check.</x:v>
      </x:c>
      <x:c r="Q549" s="6" t="str">
        <x:v>Proposed; no website change made</x:v>
      </x:c>
      <x:c r="R549" s="14"/>
      <x:c r="S549" s="14"/>
      <x:c r="T549" s="15"/>
      <x:c r="U549" s="16"/>
      <x:c r="V549" s="6" t="str">
        <x:v>https://digitecme.com/ar/brands/rolls-royce-service-dubai/brake-repair</x:v>
      </x:c>
      <x:c r="W549" s="6" t="str">
        <x:v>Indexable directive</x:v>
      </x:c>
      <x:c r="X549" s="6" t="n">
        <x:v>16</x:v>
      </x:c>
      <x:c r="Y549" s="6" t="str">
        <x:v>إصلاح الفرامل Rolls-Royce في دبي | ديجي-تك</x:v>
      </x:c>
      <x:c r="Z549" s="6" t="str"/>
      <x:c r="AA549" s="6" t="str">
        <x:v>No / not compared</x:v>
      </x:c>
    </x:row>
    <x:row r="550" ht="42" customHeight="1">
      <x:c r="A550" s="6" t="str">
        <x:v>https://digitecme.com/ar/brands/rolls-royce-service-dubai/electrical-repair</x:v>
      </x:c>
      <x:c r="B550" s="6" t="str"/>
      <x:c r="C550" s="6" t="str"/>
      <x:c r="D550" s="6" t="str">
        <x:v>brand-service</x:v>
      </x:c>
      <x:c r="E550" s="6" t="str">
        <x:v>Retain differentiated role</x:v>
      </x:c>
      <x:c r="F550" s="6" t="str">
        <x:v>Local source render; live version unverified</x:v>
      </x:c>
      <x:c r="G550" s="6" t="str">
        <x:v>إصلاح الكهرباء Rolls-Royce في دبي | ديجي-تك</x:v>
      </x:c>
      <x:c r="H550" s="6" t="str">
        <x:v>إصلاح الكهرباء Rolls-Royce في دبي | ديجي-تك</x:v>
      </x:c>
      <x:c r="I550" s="6" t="str">
        <x:v>إصلاح الكهرباء Rolls-Royce في دبي</x:v>
      </x:c>
      <x:c r="J550" s="6" t="str">
        <x:v>إصلاح الكهرباء Rolls-Royce في دبي</x:v>
      </x:c>
      <x:c r="K550" s="6" t="str">
        <x:v>إصلاح الكهرباء متخصص لسيارات Rolls-Royce في دبي مع تشخيص متقدم وقطع مناسبة وتسعير واضح لدى مركز ديجي-تك.</x:v>
      </x:c>
      <x:c r="L550" s="6" t="str">
        <x:v>Retain pending evidence; no specific content edit justified by this export.</x:v>
      </x:c>
      <x:c r="M550" s="6" t="str">
        <x:v>Retain; inspect relevant context before adding links</x:v>
      </x:c>
      <x:c r="N550" s="6" t="str">
        <x:v>Unconfirmed — no query/page pairing</x:v>
      </x:c>
      <x:c r="O550" s="6" t="str">
        <x:v>Retain established booking / WhatsApp / call path; live behaviour untested</x:v>
      </x:c>
      <x:c r="P550" s="6" t="str">
        <x:v>Retain canonical and indexation policy pending a live check.</x:v>
      </x:c>
      <x:c r="Q550" s="6" t="str">
        <x:v>Proposed; no website change made</x:v>
      </x:c>
      <x:c r="R550" s="14"/>
      <x:c r="S550" s="14"/>
      <x:c r="T550" s="15"/>
      <x:c r="U550" s="16"/>
      <x:c r="V550" s="6" t="str">
        <x:v>https://digitecme.com/ar/brands/rolls-royce-service-dubai/electrical-repair</x:v>
      </x:c>
      <x:c r="W550" s="6" t="str">
        <x:v>Indexable directive</x:v>
      </x:c>
      <x:c r="X550" s="6" t="n">
        <x:v>16</x:v>
      </x:c>
      <x:c r="Y550" s="6" t="str">
        <x:v>إصلاح الكهرباء Rolls-Royce في دبي | ديجي-تك</x:v>
      </x:c>
      <x:c r="Z550" s="6" t="str"/>
      <x:c r="AA550" s="6" t="str">
        <x:v>No / not compared</x:v>
      </x:c>
    </x:row>
    <x:row r="551" ht="42" customHeight="1">
      <x:c r="A551" s="6" t="str">
        <x:v>https://digitecme.com/ar/brands/rolls-royce-service-dubai/engine-diagnostics</x:v>
      </x:c>
      <x:c r="B551" s="6" t="str"/>
      <x:c r="C551" s="6" t="str"/>
      <x:c r="D551" s="6" t="str">
        <x:v>brand-service</x:v>
      </x:c>
      <x:c r="E551" s="6" t="str">
        <x:v>Retain differentiated role</x:v>
      </x:c>
      <x:c r="F551" s="6" t="str">
        <x:v>Local source render; live version unverified</x:v>
      </x:c>
      <x:c r="G551" s="6" t="str">
        <x:v>تشخيص المحرك Rolls-Royce في دبي | ديجي-تك</x:v>
      </x:c>
      <x:c r="H551" s="6" t="str">
        <x:v>تشخيص المحرك Rolls-Royce في دبي | ديجي-تك</x:v>
      </x:c>
      <x:c r="I551" s="6" t="str">
        <x:v>تشخيص المحرك Rolls-Royce في دبي</x:v>
      </x:c>
      <x:c r="J551" s="6" t="str">
        <x:v>تشخيص المحرك Rolls-Royce في دبي</x:v>
      </x:c>
      <x:c r="K551" s="6" t="str">
        <x:v>تشخيص المحرك متخصص لسيارات Rolls-Royce في دبي مع تشخيص متقدم وقطع مناسبة وتسعير واضح لدى مركز ديجي-تك.</x:v>
      </x:c>
      <x:c r="L551" s="6" t="str">
        <x:v>Retain pending evidence; no specific content edit justified by this export.</x:v>
      </x:c>
      <x:c r="M551" s="6" t="str">
        <x:v>Retain; inspect relevant context before adding links</x:v>
      </x:c>
      <x:c r="N551" s="6" t="str">
        <x:v>Unconfirmed — no query/page pairing</x:v>
      </x:c>
      <x:c r="O551" s="6" t="str">
        <x:v>Retain established booking / WhatsApp / call path; live behaviour untested</x:v>
      </x:c>
      <x:c r="P551" s="6" t="str">
        <x:v>Retain canonical and indexation policy pending a live check.</x:v>
      </x:c>
      <x:c r="Q551" s="6" t="str">
        <x:v>Proposed; no website change made</x:v>
      </x:c>
      <x:c r="R551" s="14"/>
      <x:c r="S551" s="14"/>
      <x:c r="T551" s="15"/>
      <x:c r="U551" s="16"/>
      <x:c r="V551" s="6" t="str">
        <x:v>https://digitecme.com/ar/brands/rolls-royce-service-dubai/engine-diagnostics</x:v>
      </x:c>
      <x:c r="W551" s="6" t="str">
        <x:v>Indexable directive</x:v>
      </x:c>
      <x:c r="X551" s="6" t="n">
        <x:v>17</x:v>
      </x:c>
      <x:c r="Y551" s="6" t="str">
        <x:v>تشخيص المحرك Rolls-Royce في دبي | ديجي-تك</x:v>
      </x:c>
      <x:c r="Z551" s="6" t="str"/>
      <x:c r="AA551" s="6" t="str">
        <x:v>No / not compared</x:v>
      </x:c>
    </x:row>
    <x:row r="552" ht="42" customHeight="1">
      <x:c r="A552" s="6" t="str">
        <x:v>https://digitecme.com/ar/brands/rolls-royce-service-dubai/exhaust-repair</x:v>
      </x:c>
      <x:c r="B552" s="6" t="str"/>
      <x:c r="C552" s="6" t="str"/>
      <x:c r="D552" s="6" t="str">
        <x:v>brand-service</x:v>
      </x:c>
      <x:c r="E552" s="6" t="str">
        <x:v>Retain differentiated role</x:v>
      </x:c>
      <x:c r="F552" s="6" t="str">
        <x:v>Local source render; live version unverified</x:v>
      </x:c>
      <x:c r="G552" s="6" t="str">
        <x:v>إصلاح العادم Rolls-Royce في دبي | ديجي-تك</x:v>
      </x:c>
      <x:c r="H552" s="6" t="str">
        <x:v>إصلاح العادم Rolls-Royce في دبي | ديجي-تك</x:v>
      </x:c>
      <x:c r="I552" s="6" t="str">
        <x:v>إصلاح العادم Rolls-Royce في دبي</x:v>
      </x:c>
      <x:c r="J552" s="6" t="str">
        <x:v>إصلاح العادم Rolls-Royce في دبي</x:v>
      </x:c>
      <x:c r="K552" s="6" t="str">
        <x:v>إصلاح العادم متخصص لسيارات Rolls-Royce في دبي مع تشخيص متقدم وقطع مناسبة وتسعير واضح لدى مركز ديجي-تك.</x:v>
      </x:c>
      <x:c r="L552" s="6" t="str">
        <x:v>Retain pending evidence; no specific content edit justified by this export.</x:v>
      </x:c>
      <x:c r="M552" s="6" t="str">
        <x:v>Retain; inspect relevant context before adding links</x:v>
      </x:c>
      <x:c r="N552" s="6" t="str">
        <x:v>Unconfirmed — no query/page pairing</x:v>
      </x:c>
      <x:c r="O552" s="6" t="str">
        <x:v>Retain established booking / WhatsApp / call path; live behaviour untested</x:v>
      </x:c>
      <x:c r="P552" s="6" t="str">
        <x:v>Retain canonical and indexation policy pending a live check.</x:v>
      </x:c>
      <x:c r="Q552" s="6" t="str">
        <x:v>Proposed; no website change made</x:v>
      </x:c>
      <x:c r="R552" s="14"/>
      <x:c r="S552" s="14"/>
      <x:c r="T552" s="15"/>
      <x:c r="U552" s="16"/>
      <x:c r="V552" s="6" t="str">
        <x:v>https://digitecme.com/ar/brands/rolls-royce-service-dubai/exhaust-repair</x:v>
      </x:c>
      <x:c r="W552" s="6" t="str">
        <x:v>Indexable directive</x:v>
      </x:c>
      <x:c r="X552" s="6" t="n">
        <x:v>16</x:v>
      </x:c>
      <x:c r="Y552" s="6" t="str">
        <x:v>إصلاح العادم Rolls-Royce في دبي | ديجي-تك</x:v>
      </x:c>
      <x:c r="Z552" s="6" t="str"/>
      <x:c r="AA552" s="6" t="str">
        <x:v>No / not compared</x:v>
      </x:c>
    </x:row>
    <x:row r="553" ht="42" customHeight="1">
      <x:c r="A553" s="6" t="str">
        <x:v>https://digitecme.com/ar/brands/rolls-royce-service-dubai/fuel-system-repair</x:v>
      </x:c>
      <x:c r="B553" s="6" t="str"/>
      <x:c r="C553" s="6" t="str"/>
      <x:c r="D553" s="6" t="str">
        <x:v>brand-service</x:v>
      </x:c>
      <x:c r="E553" s="6" t="str">
        <x:v>Retain differentiated role</x:v>
      </x:c>
      <x:c r="F553" s="6" t="str">
        <x:v>Local source render; live version unverified</x:v>
      </x:c>
      <x:c r="G553" s="6" t="str">
        <x:v>إصلاح نظام الوقود Rolls-Royce في دبي | ديجي-تك</x:v>
      </x:c>
      <x:c r="H553" s="6" t="str">
        <x:v>إصلاح نظام الوقود Rolls-Royce في دبي | ديجي-تك</x:v>
      </x:c>
      <x:c r="I553" s="6" t="str">
        <x:v>إصلاح نظام الوقود Rolls-Royce في دبي</x:v>
      </x:c>
      <x:c r="J553" s="6" t="str">
        <x:v>إصلاح نظام الوقود Rolls-Royce في دبي</x:v>
      </x:c>
      <x:c r="K553" s="6" t="str">
        <x:v>إصلاح نظام الوقود متخصص لسيارات Rolls-Royce في دبي مع تشخيص متقدم وقطع مناسبة وتسعير واضح لدى مركز ديجي-تك.</x:v>
      </x:c>
      <x:c r="L553" s="6" t="str">
        <x:v>Retain pending evidence; no specific content edit justified by this export.</x:v>
      </x:c>
      <x:c r="M553" s="6" t="str">
        <x:v>Retain; inspect relevant context before adding links</x:v>
      </x:c>
      <x:c r="N553" s="6" t="str">
        <x:v>Unconfirmed — no query/page pairing</x:v>
      </x:c>
      <x:c r="O553" s="6" t="str">
        <x:v>Retain established booking / WhatsApp / call path; live behaviour untested</x:v>
      </x:c>
      <x:c r="P553" s="6" t="str">
        <x:v>Retain canonical and indexation policy pending a live check.</x:v>
      </x:c>
      <x:c r="Q553" s="6" t="str">
        <x:v>Proposed; no website change made</x:v>
      </x:c>
      <x:c r="R553" s="14"/>
      <x:c r="S553" s="14"/>
      <x:c r="T553" s="15"/>
      <x:c r="U553" s="16"/>
      <x:c r="V553" s="6" t="str">
        <x:v>https://digitecme.com/ar/brands/rolls-royce-service-dubai/fuel-system-repair</x:v>
      </x:c>
      <x:c r="W553" s="6" t="str">
        <x:v>Indexable directive</x:v>
      </x:c>
      <x:c r="X553" s="6" t="n">
        <x:v>16</x:v>
      </x:c>
      <x:c r="Y553" s="6" t="str">
        <x:v>إصلاح نظام الوقود Rolls-Royce في دبي | ديجي-تك</x:v>
      </x:c>
      <x:c r="Z553" s="6" t="str"/>
      <x:c r="AA553" s="6" t="str">
        <x:v>No / not compared</x:v>
      </x:c>
    </x:row>
    <x:row r="554" ht="42" customHeight="1">
      <x:c r="A554" s="6" t="str">
        <x:v>https://digitecme.com/ar/brands/rolls-royce-service-dubai/mechanical-repair</x:v>
      </x:c>
      <x:c r="B554" s="6" t="str"/>
      <x:c r="C554" s="6" t="str"/>
      <x:c r="D554" s="6" t="str">
        <x:v>brand-service</x:v>
      </x:c>
      <x:c r="E554" s="6" t="str">
        <x:v>Retain differentiated role</x:v>
      </x:c>
      <x:c r="F554" s="6" t="str">
        <x:v>Local source render; live version unverified</x:v>
      </x:c>
      <x:c r="G554" s="6" t="str">
        <x:v>الإصلاح الميكانيكي Rolls-Royce في دبي | ديجي-تك</x:v>
      </x:c>
      <x:c r="H554" s="6" t="str">
        <x:v>الإصلاح الميكانيكي Rolls-Royce في دبي | ديجي-تك</x:v>
      </x:c>
      <x:c r="I554" s="6" t="str">
        <x:v>الإصلاح الميكانيكي Rolls-Royce في دبي</x:v>
      </x:c>
      <x:c r="J554" s="6" t="str">
        <x:v>الإصلاح الميكانيكي Rolls-Royce في دبي</x:v>
      </x:c>
      <x:c r="K554" s="6" t="str">
        <x:v>الإصلاح الميكانيكي متخصص لسيارات Rolls-Royce في دبي مع تشخيص متقدم وقطع مناسبة وتسعير واضح لدى مركز ديجي-تك.</x:v>
      </x:c>
      <x:c r="L554" s="6" t="str">
        <x:v>Retain pending evidence; no specific content edit justified by this export.</x:v>
      </x:c>
      <x:c r="M554" s="6" t="str">
        <x:v>Retain; inspect relevant context before adding links</x:v>
      </x:c>
      <x:c r="N554" s="6" t="str">
        <x:v>Unconfirmed — no query/page pairing</x:v>
      </x:c>
      <x:c r="O554" s="6" t="str">
        <x:v>Retain established booking / WhatsApp / call path; live behaviour untested</x:v>
      </x:c>
      <x:c r="P554" s="6" t="str">
        <x:v>Retain canonical and indexation policy pending a live check.</x:v>
      </x:c>
      <x:c r="Q554" s="6" t="str">
        <x:v>Proposed; no website change made</x:v>
      </x:c>
      <x:c r="R554" s="14"/>
      <x:c r="S554" s="14"/>
      <x:c r="T554" s="15"/>
      <x:c r="U554" s="16"/>
      <x:c r="V554" s="6" t="str">
        <x:v>https://digitecme.com/ar/brands/rolls-royce-service-dubai/mechanical-repair</x:v>
      </x:c>
      <x:c r="W554" s="6" t="str">
        <x:v>Indexable directive</x:v>
      </x:c>
      <x:c r="X554" s="6" t="n">
        <x:v>16</x:v>
      </x:c>
      <x:c r="Y554" s="6" t="str">
        <x:v>الإصلاح الميكانيكي Rolls-Royce في دبي | ديجي-تك</x:v>
      </x:c>
      <x:c r="Z554" s="6" t="str"/>
      <x:c r="AA554" s="6" t="str">
        <x:v>No / not compared</x:v>
      </x:c>
    </x:row>
    <x:row r="555" ht="42" customHeight="1">
      <x:c r="A555" s="6" t="str">
        <x:v>https://digitecme.com/ar/brands/rolls-royce-service-dubai/oil-change</x:v>
      </x:c>
      <x:c r="B555" s="6" t="str"/>
      <x:c r="C555" s="6" t="str"/>
      <x:c r="D555" s="6" t="str">
        <x:v>brand-service</x:v>
      </x:c>
      <x:c r="E555" s="6" t="str">
        <x:v>Retain differentiated role</x:v>
      </x:c>
      <x:c r="F555" s="6" t="str">
        <x:v>Local source render; live version unverified</x:v>
      </x:c>
      <x:c r="G555" s="6" t="str">
        <x:v>تغيير الزيت Rolls-Royce في دبي | ديجي-تك</x:v>
      </x:c>
      <x:c r="H555" s="6" t="str">
        <x:v>تغيير الزيت Rolls-Royce في دبي | ديجي-تك</x:v>
      </x:c>
      <x:c r="I555" s="6" t="str">
        <x:v>تغيير الزيت Rolls-Royce في دبي</x:v>
      </x:c>
      <x:c r="J555" s="6" t="str">
        <x:v>تغيير الزيت Rolls-Royce في دبي</x:v>
      </x:c>
      <x:c r="K555" s="6" t="str">
        <x:v>تغيير الزيت متخصص لسيارات Rolls-Royce في دبي مع تشخيص متقدم وقطع مناسبة وتسعير واضح لدى مركز ديجي-تك.</x:v>
      </x:c>
      <x:c r="L555" s="6" t="str">
        <x:v>Retain pending evidence; no specific content edit justified by this export.</x:v>
      </x:c>
      <x:c r="M555" s="6" t="str">
        <x:v>Retain; inspect relevant context before adding links</x:v>
      </x:c>
      <x:c r="N555" s="6" t="str">
        <x:v>Unconfirmed — no query/page pairing</x:v>
      </x:c>
      <x:c r="O555" s="6" t="str">
        <x:v>Retain established booking / WhatsApp / call path; live behaviour untested</x:v>
      </x:c>
      <x:c r="P555" s="6" t="str">
        <x:v>Retain canonical and indexation policy pending a live check.</x:v>
      </x:c>
      <x:c r="Q555" s="6" t="str">
        <x:v>Proposed; no website change made</x:v>
      </x:c>
      <x:c r="R555" s="14" t="n">
        <x:v>0</x:v>
      </x:c>
      <x:c r="S555" s="14" t="n">
        <x:v>1</x:v>
      </x:c>
      <x:c r="T555" s="15" t="n">
        <x:v>0</x:v>
      </x:c>
      <x:c r="U555" s="16" t="n">
        <x:v>100</x:v>
      </x:c>
      <x:c r="V555" s="6" t="str">
        <x:v>https://digitecme.com/ar/brands/rolls-royce-service-dubai/oil-change</x:v>
      </x:c>
      <x:c r="W555" s="6" t="str">
        <x:v>Indexable directive</x:v>
      </x:c>
      <x:c r="X555" s="6" t="n">
        <x:v>17</x:v>
      </x:c>
      <x:c r="Y555" s="6" t="str">
        <x:v>تغيير الزيت Rolls-Royce في دبي | ديجي-تك</x:v>
      </x:c>
      <x:c r="Z555" s="6" t="str"/>
      <x:c r="AA555" s="6" t="str">
        <x:v>No / not compared</x:v>
      </x:c>
    </x:row>
    <x:row r="556" ht="42" customHeight="1">
      <x:c r="A556" s="6" t="str">
        <x:v>https://digitecme.com/ar/brands/rolls-royce-service-dubai/steering-repair</x:v>
      </x:c>
      <x:c r="B556" s="6" t="str"/>
      <x:c r="C556" s="6" t="str"/>
      <x:c r="D556" s="6" t="str">
        <x:v>brand-service</x:v>
      </x:c>
      <x:c r="E556" s="6" t="str">
        <x:v>Retain differentiated role</x:v>
      </x:c>
      <x:c r="F556" s="6" t="str">
        <x:v>Local source render; live version unverified</x:v>
      </x:c>
      <x:c r="G556" s="6" t="str">
        <x:v>إصلاح نظام التوجيه Rolls-Royce في دبي | ديجي-تك</x:v>
      </x:c>
      <x:c r="H556" s="6" t="str">
        <x:v>إصلاح نظام التوجيه Rolls-Royce في دبي | ديجي-تك</x:v>
      </x:c>
      <x:c r="I556" s="6" t="str">
        <x:v>إصلاح نظام التوجيه Rolls-Royce في دبي</x:v>
      </x:c>
      <x:c r="J556" s="6" t="str">
        <x:v>إصلاح نظام التوجيه Rolls-Royce في دبي</x:v>
      </x:c>
      <x:c r="K556" s="6" t="str">
        <x:v>إصلاح نظام التوجيه متخصص لسيارات Rolls-Royce في دبي مع تشخيص متقدم وقطع مناسبة وتسعير واضح لدى مركز ديجي-تك.</x:v>
      </x:c>
      <x:c r="L556" s="6" t="str">
        <x:v>Retain pending evidence; no specific content edit justified by this export.</x:v>
      </x:c>
      <x:c r="M556" s="6" t="str">
        <x:v>Retain; inspect relevant context before adding links</x:v>
      </x:c>
      <x:c r="N556" s="6" t="str">
        <x:v>Unconfirmed — no query/page pairing</x:v>
      </x:c>
      <x:c r="O556" s="6" t="str">
        <x:v>Retain established booking / WhatsApp / call path; live behaviour untested</x:v>
      </x:c>
      <x:c r="P556" s="6" t="str">
        <x:v>Retain canonical and indexation policy pending a live check.</x:v>
      </x:c>
      <x:c r="Q556" s="6" t="str">
        <x:v>Proposed; no website change made</x:v>
      </x:c>
      <x:c r="R556" s="14" t="n">
        <x:v>0</x:v>
      </x:c>
      <x:c r="S556" s="14" t="n">
        <x:v>1</x:v>
      </x:c>
      <x:c r="T556" s="15" t="n">
        <x:v>0</x:v>
      </x:c>
      <x:c r="U556" s="16" t="n">
        <x:v>7</x:v>
      </x:c>
      <x:c r="V556" s="6" t="str">
        <x:v>https://digitecme.com/ar/brands/rolls-royce-service-dubai/steering-repair</x:v>
      </x:c>
      <x:c r="W556" s="6" t="str">
        <x:v>Indexable directive</x:v>
      </x:c>
      <x:c r="X556" s="6" t="n">
        <x:v>16</x:v>
      </x:c>
      <x:c r="Y556" s="6" t="str">
        <x:v>إصلاح نظام التوجيه Rolls-Royce في دبي | ديجي-تك</x:v>
      </x:c>
      <x:c r="Z556" s="6" t="str"/>
      <x:c r="AA556" s="6" t="str">
        <x:v>No / not compared</x:v>
      </x:c>
    </x:row>
    <x:row r="557" ht="42" customHeight="1">
      <x:c r="A557" s="6" t="str">
        <x:v>https://digitecme.com/ar/brands/rolls-royce-service-dubai/suspension-repair</x:v>
      </x:c>
      <x:c r="B557" s="6" t="str"/>
      <x:c r="C557" s="6" t="str"/>
      <x:c r="D557" s="6" t="str">
        <x:v>brand-service</x:v>
      </x:c>
      <x:c r="E557" s="6" t="str">
        <x:v>Retain differentiated role</x:v>
      </x:c>
      <x:c r="F557" s="6" t="str">
        <x:v>Local source render; live version unverified</x:v>
      </x:c>
      <x:c r="G557" s="6" t="str">
        <x:v>إصلاح التعليق Rolls-Royce في دبي | ديجي-تك</x:v>
      </x:c>
      <x:c r="H557" s="6" t="str">
        <x:v>إصلاح التعليق Rolls-Royce في دبي | ديجي-تك</x:v>
      </x:c>
      <x:c r="I557" s="6" t="str">
        <x:v>إصلاح التعليق Rolls-Royce في دبي</x:v>
      </x:c>
      <x:c r="J557" s="6" t="str">
        <x:v>إصلاح التعليق Rolls-Royce في دبي</x:v>
      </x:c>
      <x:c r="K557" s="6" t="str">
        <x:v>إصلاح التعليق متخصص لسيارات Rolls-Royce في دبي مع تشخيص متقدم وقطع مناسبة وتسعير واضح لدى مركز ديجي-تك.</x:v>
      </x:c>
      <x:c r="L557" s="6" t="str">
        <x:v>Retain pending evidence; no specific content edit justified by this export.</x:v>
      </x:c>
      <x:c r="M557" s="6" t="str">
        <x:v>Retain; inspect relevant context before adding links</x:v>
      </x:c>
      <x:c r="N557" s="6" t="str">
        <x:v>Unconfirmed — no query/page pairing</x:v>
      </x:c>
      <x:c r="O557" s="6" t="str">
        <x:v>Retain established booking / WhatsApp / call path; live behaviour untested</x:v>
      </x:c>
      <x:c r="P557" s="6" t="str">
        <x:v>Retain canonical and indexation policy pending a live check.</x:v>
      </x:c>
      <x:c r="Q557" s="6" t="str">
        <x:v>Proposed; no website change made</x:v>
      </x:c>
      <x:c r="R557" s="14"/>
      <x:c r="S557" s="14"/>
      <x:c r="T557" s="15"/>
      <x:c r="U557" s="16"/>
      <x:c r="V557" s="6" t="str">
        <x:v>https://digitecme.com/ar/brands/rolls-royce-service-dubai/suspension-repair</x:v>
      </x:c>
      <x:c r="W557" s="6" t="str">
        <x:v>Indexable directive</x:v>
      </x:c>
      <x:c r="X557" s="6" t="n">
        <x:v>17</x:v>
      </x:c>
      <x:c r="Y557" s="6" t="str">
        <x:v>إصلاح التعليق Rolls-Royce في دبي | ديجي-تك</x:v>
      </x:c>
      <x:c r="Z557" s="6" t="str"/>
      <x:c r="AA557" s="6" t="str">
        <x:v>No / not compared</x:v>
      </x:c>
    </x:row>
    <x:row r="558" ht="42" customHeight="1">
      <x:c r="A558" s="6" t="str">
        <x:v>https://digitecme.com/ar/brands/rolls-royce-service-dubai/tire-repair</x:v>
      </x:c>
      <x:c r="B558" s="6" t="str"/>
      <x:c r="C558" s="6" t="str"/>
      <x:c r="D558" s="6" t="str">
        <x:v>brand-service</x:v>
      </x:c>
      <x:c r="E558" s="6" t="str">
        <x:v>Retain differentiated role</x:v>
      </x:c>
      <x:c r="F558" s="6" t="str">
        <x:v>Local source render; live version unverified</x:v>
      </x:c>
      <x:c r="G558" s="6" t="str">
        <x:v>إصلاح الإطارات Rolls-Royce في دبي | ديجي-تك</x:v>
      </x:c>
      <x:c r="H558" s="6" t="str">
        <x:v>إصلاح الإطارات Rolls-Royce في دبي | ديجي-تك</x:v>
      </x:c>
      <x:c r="I558" s="6" t="str">
        <x:v>إصلاح الإطارات Rolls-Royce في دبي</x:v>
      </x:c>
      <x:c r="J558" s="6" t="str">
        <x:v>إصلاح الإطارات Rolls-Royce في دبي</x:v>
      </x:c>
      <x:c r="K558" s="6" t="str">
        <x:v>إصلاح الإطارات متخصص لسيارات Rolls-Royce في دبي مع تشخيص متقدم وقطع مناسبة وتسعير واضح لدى مركز ديجي-تك.</x:v>
      </x:c>
      <x:c r="L558" s="6" t="str">
        <x:v>Retain pending evidence; no specific content edit justified by this export.</x:v>
      </x:c>
      <x:c r="M558" s="6" t="str">
        <x:v>Retain; inspect relevant context before adding links</x:v>
      </x:c>
      <x:c r="N558" s="6" t="str">
        <x:v>Unconfirmed — no query/page pairing</x:v>
      </x:c>
      <x:c r="O558" s="6" t="str">
        <x:v>Retain established booking / WhatsApp / call path; live behaviour untested</x:v>
      </x:c>
      <x:c r="P558" s="6" t="str">
        <x:v>Retain canonical and indexation policy pending a live check.</x:v>
      </x:c>
      <x:c r="Q558" s="6" t="str">
        <x:v>Proposed; no website change made</x:v>
      </x:c>
      <x:c r="R558" s="14"/>
      <x:c r="S558" s="14"/>
      <x:c r="T558" s="15"/>
      <x:c r="U558" s="16"/>
      <x:c r="V558" s="6" t="str">
        <x:v>https://digitecme.com/ar/brands/rolls-royce-service-dubai/tire-repair</x:v>
      </x:c>
      <x:c r="W558" s="6" t="str">
        <x:v>Indexable directive</x:v>
      </x:c>
      <x:c r="X558" s="6" t="n">
        <x:v>16</x:v>
      </x:c>
      <x:c r="Y558" s="6" t="str">
        <x:v>إصلاح الإطارات Rolls-Royce في دبي | ديجي-تك</x:v>
      </x:c>
      <x:c r="Z558" s="6" t="str"/>
      <x:c r="AA558" s="6" t="str">
        <x:v>No / not compared</x:v>
      </x:c>
    </x:row>
    <x:row r="559" ht="42" customHeight="1">
      <x:c r="A559" s="6" t="str">
        <x:v>https://digitecme.com/ar/brands/rolls-royce-service-dubai/transmission-repair</x:v>
      </x:c>
      <x:c r="B559" s="6" t="str"/>
      <x:c r="C559" s="6" t="str"/>
      <x:c r="D559" s="6" t="str">
        <x:v>brand-service</x:v>
      </x:c>
      <x:c r="E559" s="6" t="str">
        <x:v>Retain differentiated role</x:v>
      </x:c>
      <x:c r="F559" s="6" t="str">
        <x:v>Local source render; live version unverified</x:v>
      </x:c>
      <x:c r="G559" s="6" t="str">
        <x:v>إصلاح ناقل الحركة Rolls-Royce في دبي | ديجي-تك</x:v>
      </x:c>
      <x:c r="H559" s="6" t="str">
        <x:v>إصلاح ناقل الحركة Rolls-Royce في دبي | ديجي-تك</x:v>
      </x:c>
      <x:c r="I559" s="6" t="str">
        <x:v>إصلاح ناقل الحركة Rolls-Royce في دبي</x:v>
      </x:c>
      <x:c r="J559" s="6" t="str">
        <x:v>إصلاح ناقل الحركة Rolls-Royce في دبي</x:v>
      </x:c>
      <x:c r="K559" s="6" t="str">
        <x:v>إصلاح ناقل الحركة متخصص لسيارات Rolls-Royce في دبي مع تشخيص متقدم وقطع مناسبة وتسعير واضح لدى مركز ديجي-تك.</x:v>
      </x:c>
      <x:c r="L559" s="6" t="str">
        <x:v>Retain pending evidence; no specific content edit justified by this export.</x:v>
      </x:c>
      <x:c r="M559" s="6" t="str">
        <x:v>Retain; inspect relevant context before adding links</x:v>
      </x:c>
      <x:c r="N559" s="6" t="str">
        <x:v>Unconfirmed — no query/page pairing</x:v>
      </x:c>
      <x:c r="O559" s="6" t="str">
        <x:v>Retain established booking / WhatsApp / call path; live behaviour untested</x:v>
      </x:c>
      <x:c r="P559" s="6" t="str">
        <x:v>Retain canonical and indexation policy pending a live check.</x:v>
      </x:c>
      <x:c r="Q559" s="6" t="str">
        <x:v>Proposed; no website change made</x:v>
      </x:c>
      <x:c r="R559" s="14"/>
      <x:c r="S559" s="14"/>
      <x:c r="T559" s="15"/>
      <x:c r="U559" s="16"/>
      <x:c r="V559" s="6" t="str">
        <x:v>https://digitecme.com/ar/brands/rolls-royce-service-dubai/transmission-repair</x:v>
      </x:c>
      <x:c r="W559" s="6" t="str">
        <x:v>Indexable directive</x:v>
      </x:c>
      <x:c r="X559" s="6" t="n">
        <x:v>17</x:v>
      </x:c>
      <x:c r="Y559" s="6" t="str">
        <x:v>إصلاح ناقل الحركة Rolls-Royce في دبي | ديجي-تك</x:v>
      </x:c>
      <x:c r="Z559" s="6" t="str"/>
      <x:c r="AA559" s="6" t="str">
        <x:v>No / not compared</x:v>
      </x:c>
    </x:row>
    <x:row r="560" ht="42" customHeight="1">
      <x:c r="A560" s="6" t="str">
        <x:v>https://digitecme.com/ar/brands/rox-service-dubai</x:v>
      </x:c>
      <x:c r="B560" s="6" t="str"/>
      <x:c r="C560" s="6" t="str"/>
      <x:c r="D560" s="6" t="str">
        <x:v>brand</x:v>
      </x:c>
      <x:c r="E560" s="6" t="str">
        <x:v>Retain differentiated role</x:v>
      </x:c>
      <x:c r="F560" s="6" t="str">
        <x:v>Local source render; live version unverified</x:v>
      </x:c>
      <x:c r="G560" s="6" t="str">
        <x:v>إصلاح وصيانة ROX في دبي | مركز ديجي-تك</x:v>
      </x:c>
      <x:c r="H560" s="6" t="str">
        <x:v>إصلاح وصيانة ROX في دبي | مركز ديجي-تك</x:v>
      </x:c>
      <x:c r="I560" s="6" t="str">
        <x:v>ROX للإصلاح والصيانة في دبي</x:v>
      </x:c>
      <x:c r="J560" s="6" t="str">
        <x:v>ROX للإصلاح والصيانة في دبي</x:v>
      </x:c>
      <x:c r="K560" s="6" t="str">
        <x:v>إصلاح وصيانة ROX في دبي: تشخيص وصيانة وفرامل وناقل حركة وتعليق وتكييف مع قطع بالمواصفات المناسبة لدى مركز ديجي-تك.</x:v>
      </x:c>
      <x:c r="L560" s="6" t="str">
        <x:v>Retain pending evidence; no specific content edit justified by this export.</x:v>
      </x:c>
      <x:c r="M560" s="6" t="str">
        <x:v>Retain; inspect relevant context before adding links</x:v>
      </x:c>
      <x:c r="N560" s="6" t="str">
        <x:v>Unconfirmed — no query/page pairing</x:v>
      </x:c>
      <x:c r="O560" s="6" t="str">
        <x:v>Retain established booking / WhatsApp / call path; live behaviour untested</x:v>
      </x:c>
      <x:c r="P560" s="6" t="str">
        <x:v>Retain canonical and indexation policy pending a live check.</x:v>
      </x:c>
      <x:c r="Q560" s="6" t="str">
        <x:v>Proposed; no website change made</x:v>
      </x:c>
      <x:c r="R560" s="14" t="n">
        <x:v>1</x:v>
      </x:c>
      <x:c r="S560" s="14" t="n">
        <x:v>44</x:v>
      </x:c>
      <x:c r="T560" s="15" t="n">
        <x:v>0.0227</x:v>
      </x:c>
      <x:c r="U560" s="16" t="n">
        <x:v>7.27</x:v>
      </x:c>
      <x:c r="V560" s="6" t="str">
        <x:v>https://digitecme.com/ar/brands/rox-service-dubai</x:v>
      </x:c>
      <x:c r="W560" s="6" t="str">
        <x:v>Indexable directive</x:v>
      </x:c>
      <x:c r="X560" s="6" t="n">
        <x:v>39</x:v>
      </x:c>
      <x:c r="Y560" s="6" t="str">
        <x:v>إصلاح وصيانة ROX في دبي | مركز ديجي-تك</x:v>
      </x:c>
      <x:c r="Z560" s="6" t="str"/>
      <x:c r="AA560" s="6" t="str">
        <x:v>No / not compared</x:v>
      </x:c>
    </x:row>
    <x:row r="561" ht="42" customHeight="1">
      <x:c r="A561" s="6" t="str">
        <x:v>https://digitecme.com/ar/brands/rox-service-dubai/ac-repair</x:v>
      </x:c>
      <x:c r="B561" s="6" t="str"/>
      <x:c r="C561" s="6" t="str"/>
      <x:c r="D561" s="6" t="str">
        <x:v>brand-service</x:v>
      </x:c>
      <x:c r="E561" s="6" t="str">
        <x:v>Retain differentiated role</x:v>
      </x:c>
      <x:c r="F561" s="6" t="str">
        <x:v>Local source render; live version unverified</x:v>
      </x:c>
      <x:c r="G561" s="6" t="str">
        <x:v>إصلاح التكييف ROX في دبي | ديجي-تك</x:v>
      </x:c>
      <x:c r="H561" s="6" t="str">
        <x:v>إصلاح التكييف ROX في دبي | ديجي-تك</x:v>
      </x:c>
      <x:c r="I561" s="6" t="str">
        <x:v>إصلاح التكييف ROX في دبي</x:v>
      </x:c>
      <x:c r="J561" s="6" t="str">
        <x:v>إصلاح التكييف ROX في دبي</x:v>
      </x:c>
      <x:c r="K561" s="6" t="str">
        <x:v>إصلاح التكييف متخصص لسيارات ROX في دبي مع تشخيص متقدم وقطع مناسبة وتسعير واضح لدى مركز ديجي-تك.</x:v>
      </x:c>
      <x:c r="L561" s="6" t="str">
        <x:v>Retain pending evidence; no specific content edit justified by this export.</x:v>
      </x:c>
      <x:c r="M561" s="6" t="str">
        <x:v>Retain; inspect relevant context before adding links</x:v>
      </x:c>
      <x:c r="N561" s="6" t="str">
        <x:v>Unconfirmed — no query/page pairing</x:v>
      </x:c>
      <x:c r="O561" s="6" t="str">
        <x:v>Retain established booking / WhatsApp / call path; live behaviour untested</x:v>
      </x:c>
      <x:c r="P561" s="6" t="str">
        <x:v>Retain canonical and indexation policy pending a live check.</x:v>
      </x:c>
      <x:c r="Q561" s="6" t="str">
        <x:v>Proposed; no website change made</x:v>
      </x:c>
      <x:c r="R561" s="14"/>
      <x:c r="S561" s="14"/>
      <x:c r="T561" s="15"/>
      <x:c r="U561" s="16"/>
      <x:c r="V561" s="6" t="str">
        <x:v>https://digitecme.com/ar/brands/rox-service-dubai/ac-repair</x:v>
      </x:c>
      <x:c r="W561" s="6" t="str">
        <x:v>Indexable directive</x:v>
      </x:c>
      <x:c r="X561" s="6" t="n">
        <x:v>17</x:v>
      </x:c>
      <x:c r="Y561" s="6" t="str">
        <x:v>إصلاح التكييف ROX في دبي | ديجي-تك</x:v>
      </x:c>
      <x:c r="Z561" s="6" t="str"/>
      <x:c r="AA561" s="6" t="str">
        <x:v>No / not compared</x:v>
      </x:c>
    </x:row>
    <x:row r="562" ht="42" customHeight="1">
      <x:c r="A562" s="6" t="str">
        <x:v>https://digitecme.com/ar/brands/rox-service-dubai/battery-replacement</x:v>
      </x:c>
      <x:c r="B562" s="6" t="str"/>
      <x:c r="C562" s="6" t="str"/>
      <x:c r="D562" s="6" t="str">
        <x:v>brand-service</x:v>
      </x:c>
      <x:c r="E562" s="6" t="str">
        <x:v>Retain differentiated role</x:v>
      </x:c>
      <x:c r="F562" s="6" t="str">
        <x:v>Local source render; live version unverified</x:v>
      </x:c>
      <x:c r="G562" s="6" t="str">
        <x:v>تبديل البطارية ROX في دبي | ديجي-تك</x:v>
      </x:c>
      <x:c r="H562" s="6" t="str">
        <x:v>تبديل البطارية ROX في دبي | ديجي-تك</x:v>
      </x:c>
      <x:c r="I562" s="6" t="str">
        <x:v>تبديل البطارية ROX في دبي</x:v>
      </x:c>
      <x:c r="J562" s="6" t="str">
        <x:v>تبديل البطارية ROX في دبي</x:v>
      </x:c>
      <x:c r="K562" s="6" t="str">
        <x:v>تبديل البطارية متخصص لسيارات ROX في دبي مع تشخيص متقدم وقطع مناسبة وتسعير واضح لدى مركز ديجي-تك.</x:v>
      </x:c>
      <x:c r="L562" s="6" t="str">
        <x:v>Retain pending evidence; no specific content edit justified by this export.</x:v>
      </x:c>
      <x:c r="M562" s="6" t="str">
        <x:v>Retain; inspect relevant context before adding links</x:v>
      </x:c>
      <x:c r="N562" s="6" t="str">
        <x:v>Unconfirmed — no query/page pairing</x:v>
      </x:c>
      <x:c r="O562" s="6" t="str">
        <x:v>Retain established booking / WhatsApp / call path; live behaviour untested</x:v>
      </x:c>
      <x:c r="P562" s="6" t="str">
        <x:v>Retain canonical and indexation policy pending a live check.</x:v>
      </x:c>
      <x:c r="Q562" s="6" t="str">
        <x:v>Proposed; no website change made</x:v>
      </x:c>
      <x:c r="R562" s="14" t="n">
        <x:v>1</x:v>
      </x:c>
      <x:c r="S562" s="14" t="n">
        <x:v>12</x:v>
      </x:c>
      <x:c r="T562" s="15" t="n">
        <x:v>0.0833</x:v>
      </x:c>
      <x:c r="U562" s="16" t="n">
        <x:v>9.67</x:v>
      </x:c>
      <x:c r="V562" s="6" t="str">
        <x:v>https://digitecme.com/ar/brands/rox-service-dubai/battery-replacement</x:v>
      </x:c>
      <x:c r="W562" s="6" t="str">
        <x:v>Noindex directive</x:v>
      </x:c>
      <x:c r="X562" s="6" t="n">
        <x:v>17</x:v>
      </x:c>
      <x:c r="Y562" s="6" t="str">
        <x:v>تبديل البطارية ROX في دبي | ديجي-تك</x:v>
      </x:c>
      <x:c r="Z562" s="6" t="str"/>
      <x:c r="AA562" s="6" t="str">
        <x:v>No / not compared</x:v>
      </x:c>
    </x:row>
    <x:row r="563" ht="42" customHeight="1">
      <x:c r="A563" s="6" t="str">
        <x:v>https://digitecme.com/ar/brands/rox-service-dubai/body-repair</x:v>
      </x:c>
      <x:c r="B563" s="6" t="str"/>
      <x:c r="C563" s="6" t="str"/>
      <x:c r="D563" s="6" t="str">
        <x:v>brand-service</x:v>
      </x:c>
      <x:c r="E563" s="6" t="str">
        <x:v>Retain differentiated role</x:v>
      </x:c>
      <x:c r="F563" s="6" t="str">
        <x:v>Local source render; live version unverified</x:v>
      </x:c>
      <x:c r="G563" s="6" t="str">
        <x:v>إصلاح الهيكل ROX في دبي | ديجي-تك</x:v>
      </x:c>
      <x:c r="H563" s="6" t="str">
        <x:v>إصلاح الهيكل ROX في دبي | ديجي-تك</x:v>
      </x:c>
      <x:c r="I563" s="6" t="str">
        <x:v>إصلاح الهيكل ROX في دبي</x:v>
      </x:c>
      <x:c r="J563" s="6" t="str">
        <x:v>إصلاح الهيكل ROX في دبي</x:v>
      </x:c>
      <x:c r="K563" s="6" t="str">
        <x:v>إصلاح الهيكل متخصص لسيارات ROX في دبي مع تشخيص متقدم وقطع مناسبة وتسعير واضح لدى مركز ديجي-تك.</x:v>
      </x:c>
      <x:c r="L563" s="6" t="str">
        <x:v>Retain pending evidence; no specific content edit justified by this export.</x:v>
      </x:c>
      <x:c r="M563" s="6" t="str">
        <x:v>Retain; inspect relevant context before adding links</x:v>
      </x:c>
      <x:c r="N563" s="6" t="str">
        <x:v>Unconfirmed — no query/page pairing</x:v>
      </x:c>
      <x:c r="O563" s="6" t="str">
        <x:v>Retain established booking / WhatsApp / call path; live behaviour untested</x:v>
      </x:c>
      <x:c r="P563" s="6" t="str">
        <x:v>Retain canonical and indexation policy pending a live check.</x:v>
      </x:c>
      <x:c r="Q563" s="6" t="str">
        <x:v>Proposed; no website change made</x:v>
      </x:c>
      <x:c r="R563" s="14" t="n">
        <x:v>0</x:v>
      </x:c>
      <x:c r="S563" s="14" t="n">
        <x:v>2</x:v>
      </x:c>
      <x:c r="T563" s="15" t="n">
        <x:v>0</x:v>
      </x:c>
      <x:c r="U563" s="16" t="n">
        <x:v>4.5</x:v>
      </x:c>
      <x:c r="V563" s="6" t="str">
        <x:v>https://digitecme.com/ar/brands/rox-service-dubai/body-repair</x:v>
      </x:c>
      <x:c r="W563" s="6" t="str">
        <x:v>Noindex directive</x:v>
      </x:c>
      <x:c r="X563" s="6" t="n">
        <x:v>17</x:v>
      </x:c>
      <x:c r="Y563" s="6" t="str">
        <x:v>إصلاح الهيكل ROX في دبي | ديجي-تك</x:v>
      </x:c>
      <x:c r="Z563" s="6" t="str"/>
      <x:c r="AA563" s="6" t="str">
        <x:v>No / not compared</x:v>
      </x:c>
    </x:row>
    <x:row r="564" ht="42" customHeight="1">
      <x:c r="A564" s="6" t="str">
        <x:v>https://digitecme.com/ar/brands/rox-service-dubai/brake-repair</x:v>
      </x:c>
      <x:c r="B564" s="6" t="str"/>
      <x:c r="C564" s="6" t="str"/>
      <x:c r="D564" s="6" t="str">
        <x:v>brand-service</x:v>
      </x:c>
      <x:c r="E564" s="6" t="str">
        <x:v>Retain differentiated role</x:v>
      </x:c>
      <x:c r="F564" s="6" t="str">
        <x:v>Local source render; live version unverified</x:v>
      </x:c>
      <x:c r="G564" s="6" t="str">
        <x:v>إصلاح الفرامل ROX في دبي | ديجي-تك</x:v>
      </x:c>
      <x:c r="H564" s="6" t="str">
        <x:v>إصلاح الفرامل ROX في دبي | ديجي-تك</x:v>
      </x:c>
      <x:c r="I564" s="6" t="str">
        <x:v>إصلاح الفرامل ROX في دبي</x:v>
      </x:c>
      <x:c r="J564" s="6" t="str">
        <x:v>إصلاح الفرامل ROX في دبي</x:v>
      </x:c>
      <x:c r="K564" s="6" t="str">
        <x:v>إصلاح الفرامل متخصص لسيارات ROX في دبي مع تشخيص متقدم وقطع مناسبة وتسعير واضح لدى مركز ديجي-تك.</x:v>
      </x:c>
      <x:c r="L564" s="6" t="str">
        <x:v>Retain pending evidence; no specific content edit justified by this export.</x:v>
      </x:c>
      <x:c r="M564" s="6" t="str">
        <x:v>Retain; inspect relevant context before adding links</x:v>
      </x:c>
      <x:c r="N564" s="6" t="str">
        <x:v>Unconfirmed — no query/page pairing</x:v>
      </x:c>
      <x:c r="O564" s="6" t="str">
        <x:v>Retain established booking / WhatsApp / call path; live behaviour untested</x:v>
      </x:c>
      <x:c r="P564" s="6" t="str">
        <x:v>Retain canonical and indexation policy pending a live check.</x:v>
      </x:c>
      <x:c r="Q564" s="6" t="str">
        <x:v>Proposed; no website change made</x:v>
      </x:c>
      <x:c r="R564" s="14" t="n">
        <x:v>0</x:v>
      </x:c>
      <x:c r="S564" s="14" t="n">
        <x:v>6</x:v>
      </x:c>
      <x:c r="T564" s="15" t="n">
        <x:v>0</x:v>
      </x:c>
      <x:c r="U564" s="16" t="n">
        <x:v>5.33</x:v>
      </x:c>
      <x:c r="V564" s="6" t="str">
        <x:v>https://digitecme.com/ar/brands/rox-service-dubai/brake-repair</x:v>
      </x:c>
      <x:c r="W564" s="6" t="str">
        <x:v>Indexable directive</x:v>
      </x:c>
      <x:c r="X564" s="6" t="n">
        <x:v>17</x:v>
      </x:c>
      <x:c r="Y564" s="6" t="str">
        <x:v>إصلاح الفرامل ROX في دبي | ديجي-تك</x:v>
      </x:c>
      <x:c r="Z564" s="6" t="str"/>
      <x:c r="AA564" s="6" t="str">
        <x:v>No / not compared</x:v>
      </x:c>
    </x:row>
    <x:row r="565" ht="42" customHeight="1">
      <x:c r="A565" s="6" t="str">
        <x:v>https://digitecme.com/ar/brands/rox-service-dubai/electrical-repair</x:v>
      </x:c>
      <x:c r="B565" s="6" t="str"/>
      <x:c r="C565" s="6" t="str"/>
      <x:c r="D565" s="6" t="str">
        <x:v>brand-service</x:v>
      </x:c>
      <x:c r="E565" s="6" t="str">
        <x:v>Retain differentiated role</x:v>
      </x:c>
      <x:c r="F565" s="6" t="str">
        <x:v>Local source render; live version unverified</x:v>
      </x:c>
      <x:c r="G565" s="6" t="str">
        <x:v>إصلاح الكهرباء ROX في دبي | ديجي-تك</x:v>
      </x:c>
      <x:c r="H565" s="6" t="str">
        <x:v>إصلاح الكهرباء ROX في دبي | ديجي-تك</x:v>
      </x:c>
      <x:c r="I565" s="6" t="str">
        <x:v>إصلاح الكهرباء ROX في دبي</x:v>
      </x:c>
      <x:c r="J565" s="6" t="str">
        <x:v>إصلاح الكهرباء ROX في دبي</x:v>
      </x:c>
      <x:c r="K565" s="6" t="str">
        <x:v>إصلاح الكهرباء متخصص لسيارات ROX في دبي مع تشخيص متقدم وقطع مناسبة وتسعير واضح لدى مركز ديجي-تك.</x:v>
      </x:c>
      <x:c r="L565" s="6" t="str">
        <x:v>Retain pending evidence; no specific content edit justified by this export.</x:v>
      </x:c>
      <x:c r="M565" s="6" t="str">
        <x:v>Retain; inspect relevant context before adding links</x:v>
      </x:c>
      <x:c r="N565" s="6" t="str">
        <x:v>Unconfirmed — no query/page pairing</x:v>
      </x:c>
      <x:c r="O565" s="6" t="str">
        <x:v>Retain established booking / WhatsApp / call path; live behaviour untested</x:v>
      </x:c>
      <x:c r="P565" s="6" t="str">
        <x:v>Retain canonical and indexation policy pending a live check.</x:v>
      </x:c>
      <x:c r="Q565" s="6" t="str">
        <x:v>Proposed; no website change made</x:v>
      </x:c>
      <x:c r="R565" s="14" t="n">
        <x:v>0</x:v>
      </x:c>
      <x:c r="S565" s="14" t="n">
        <x:v>3</x:v>
      </x:c>
      <x:c r="T565" s="15" t="n">
        <x:v>0</x:v>
      </x:c>
      <x:c r="U565" s="16" t="n">
        <x:v>8</x:v>
      </x:c>
      <x:c r="V565" s="6" t="str">
        <x:v>https://digitecme.com/ar/brands/rox-service-dubai/electrical-repair</x:v>
      </x:c>
      <x:c r="W565" s="6" t="str">
        <x:v>Noindex directive</x:v>
      </x:c>
      <x:c r="X565" s="6" t="n">
        <x:v>17</x:v>
      </x:c>
      <x:c r="Y565" s="6" t="str">
        <x:v>إصلاح الكهرباء ROX في دبي | ديجي-تك</x:v>
      </x:c>
      <x:c r="Z565" s="6" t="str"/>
      <x:c r="AA565" s="6" t="str">
        <x:v>No / not compared</x:v>
      </x:c>
    </x:row>
    <x:row r="566" ht="42" customHeight="1">
      <x:c r="A566" s="6" t="str">
        <x:v>https://digitecme.com/ar/brands/rox-service-dubai/engine-diagnostics</x:v>
      </x:c>
      <x:c r="B566" s="6" t="str"/>
      <x:c r="C566" s="6" t="str"/>
      <x:c r="D566" s="6" t="str">
        <x:v>brand-service</x:v>
      </x:c>
      <x:c r="E566" s="6" t="str">
        <x:v>Retain differentiated role</x:v>
      </x:c>
      <x:c r="F566" s="6" t="str">
        <x:v>Local source render; live version unverified</x:v>
      </x:c>
      <x:c r="G566" s="6" t="str">
        <x:v>تشخيص المحرك ROX في دبي | ديجي-تك</x:v>
      </x:c>
      <x:c r="H566" s="6" t="str">
        <x:v>تشخيص المحرك ROX في دبي | ديجي-تك</x:v>
      </x:c>
      <x:c r="I566" s="6" t="str">
        <x:v>تشخيص المحرك ROX في دبي</x:v>
      </x:c>
      <x:c r="J566" s="6" t="str">
        <x:v>تشخيص المحرك ROX في دبي</x:v>
      </x:c>
      <x:c r="K566" s="6" t="str">
        <x:v>تشخيص المحرك متخصص لسيارات ROX في دبي مع تشخيص متقدم وقطع مناسبة وتسعير واضح لدى مركز ديجي-تك.</x:v>
      </x:c>
      <x:c r="L566" s="6" t="str">
        <x:v>Retain pending evidence; no specific content edit justified by this export.</x:v>
      </x:c>
      <x:c r="M566" s="6" t="str">
        <x:v>Retain; inspect relevant context before adding links</x:v>
      </x:c>
      <x:c r="N566" s="6" t="str">
        <x:v>Unconfirmed — no query/page pairing</x:v>
      </x:c>
      <x:c r="O566" s="6" t="str">
        <x:v>Retain established booking / WhatsApp / call path; live behaviour untested</x:v>
      </x:c>
      <x:c r="P566" s="6" t="str">
        <x:v>Retain canonical and indexation policy pending a live check.</x:v>
      </x:c>
      <x:c r="Q566" s="6" t="str">
        <x:v>Proposed; no website change made</x:v>
      </x:c>
      <x:c r="R566" s="14" t="n">
        <x:v>0</x:v>
      </x:c>
      <x:c r="S566" s="14" t="n">
        <x:v>2</x:v>
      </x:c>
      <x:c r="T566" s="15" t="n">
        <x:v>0</x:v>
      </x:c>
      <x:c r="U566" s="16" t="n">
        <x:v>6</x:v>
      </x:c>
      <x:c r="V566" s="6" t="str">
        <x:v>https://digitecme.com/ar/brands/rox-service-dubai/engine-diagnostics</x:v>
      </x:c>
      <x:c r="W566" s="6" t="str">
        <x:v>Indexable directive</x:v>
      </x:c>
      <x:c r="X566" s="6" t="n">
        <x:v>17</x:v>
      </x:c>
      <x:c r="Y566" s="6" t="str">
        <x:v>تشخيص المحرك ROX في دبي | ديجي-تك</x:v>
      </x:c>
      <x:c r="Z566" s="6" t="str"/>
      <x:c r="AA566" s="6" t="str">
        <x:v>No / not compared</x:v>
      </x:c>
    </x:row>
    <x:row r="567" ht="42" customHeight="1">
      <x:c r="A567" s="6" t="str">
        <x:v>https://digitecme.com/ar/brands/rox-service-dubai/exhaust-repair</x:v>
      </x:c>
      <x:c r="B567" s="6" t="str"/>
      <x:c r="C567" s="6" t="str"/>
      <x:c r="D567" s="6" t="str">
        <x:v>brand-service</x:v>
      </x:c>
      <x:c r="E567" s="6" t="str">
        <x:v>Retain differentiated role</x:v>
      </x:c>
      <x:c r="F567" s="6" t="str">
        <x:v>Local source render; live version unverified</x:v>
      </x:c>
      <x:c r="G567" s="6" t="str">
        <x:v>إصلاح العادم ROX في دبي | ديجي-تك</x:v>
      </x:c>
      <x:c r="H567" s="6" t="str">
        <x:v>إصلاح العادم ROX في دبي | ديجي-تك</x:v>
      </x:c>
      <x:c r="I567" s="6" t="str">
        <x:v>إصلاح العادم ROX في دبي</x:v>
      </x:c>
      <x:c r="J567" s="6" t="str">
        <x:v>إصلاح العادم ROX في دبي</x:v>
      </x:c>
      <x:c r="K567" s="6" t="str">
        <x:v>إصلاح العادم متخصص لسيارات ROX في دبي مع تشخيص متقدم وقطع مناسبة وتسعير واضح لدى مركز ديجي-تك.</x:v>
      </x:c>
      <x:c r="L567" s="6" t="str">
        <x:v>Retain pending evidence; no specific content edit justified by this export.</x:v>
      </x:c>
      <x:c r="M567" s="6" t="str">
        <x:v>Retain; inspect relevant context before adding links</x:v>
      </x:c>
      <x:c r="N567" s="6" t="str">
        <x:v>Unconfirmed — no query/page pairing</x:v>
      </x:c>
      <x:c r="O567" s="6" t="str">
        <x:v>Retain established booking / WhatsApp / call path; live behaviour untested</x:v>
      </x:c>
      <x:c r="P567" s="6" t="str">
        <x:v>Retain canonical and indexation policy pending a live check.</x:v>
      </x:c>
      <x:c r="Q567" s="6" t="str">
        <x:v>Proposed; no website change made</x:v>
      </x:c>
      <x:c r="R567" s="14" t="n">
        <x:v>0</x:v>
      </x:c>
      <x:c r="S567" s="14" t="n">
        <x:v>1</x:v>
      </x:c>
      <x:c r="T567" s="15" t="n">
        <x:v>0</x:v>
      </x:c>
      <x:c r="U567" s="16" t="n">
        <x:v>10</x:v>
      </x:c>
      <x:c r="V567" s="6" t="str">
        <x:v>https://digitecme.com/ar/brands/rox-service-dubai/exhaust-repair</x:v>
      </x:c>
      <x:c r="W567" s="6" t="str">
        <x:v>Noindex directive</x:v>
      </x:c>
      <x:c r="X567" s="6" t="n">
        <x:v>17</x:v>
      </x:c>
      <x:c r="Y567" s="6" t="str">
        <x:v>إصلاح العادم ROX في دبي | ديجي-تك</x:v>
      </x:c>
      <x:c r="Z567" s="6" t="str"/>
      <x:c r="AA567" s="6" t="str">
        <x:v>No / not compared</x:v>
      </x:c>
    </x:row>
    <x:row r="568" ht="42" customHeight="1">
      <x:c r="A568" s="6" t="str">
        <x:v>https://digitecme.com/ar/brands/rox-service-dubai/fuel-system-repair</x:v>
      </x:c>
      <x:c r="B568" s="6" t="str"/>
      <x:c r="C568" s="6" t="str"/>
      <x:c r="D568" s="6" t="str">
        <x:v>brand-service</x:v>
      </x:c>
      <x:c r="E568" s="6" t="str">
        <x:v>Retain differentiated role</x:v>
      </x:c>
      <x:c r="F568" s="6" t="str">
        <x:v>Local source render; live version unverified</x:v>
      </x:c>
      <x:c r="G568" s="6" t="str">
        <x:v>إصلاح نظام الوقود ROX في دبي | ديجي-تك</x:v>
      </x:c>
      <x:c r="H568" s="6" t="str">
        <x:v>إصلاح نظام الوقود ROX في دبي | ديجي-تك</x:v>
      </x:c>
      <x:c r="I568" s="6" t="str">
        <x:v>إصلاح نظام الوقود ROX في دبي</x:v>
      </x:c>
      <x:c r="J568" s="6" t="str">
        <x:v>إصلاح نظام الوقود ROX في دبي</x:v>
      </x:c>
      <x:c r="K568" s="6" t="str">
        <x:v>إصلاح نظام الوقود متخصص لسيارات ROX في دبي مع تشخيص متقدم وقطع مناسبة وتسعير واضح لدى مركز ديجي-تك.</x:v>
      </x:c>
      <x:c r="L568" s="6" t="str">
        <x:v>Retain pending evidence; no specific content edit justified by this export.</x:v>
      </x:c>
      <x:c r="M568" s="6" t="str">
        <x:v>Retain; inspect relevant context before adding links</x:v>
      </x:c>
      <x:c r="N568" s="6" t="str">
        <x:v>Unconfirmed — no query/page pairing</x:v>
      </x:c>
      <x:c r="O568" s="6" t="str">
        <x:v>Retain established booking / WhatsApp / call path; live behaviour untested</x:v>
      </x:c>
      <x:c r="P568" s="6" t="str">
        <x:v>Retain canonical and indexation policy pending a live check.</x:v>
      </x:c>
      <x:c r="Q568" s="6" t="str">
        <x:v>Proposed; no website change made</x:v>
      </x:c>
      <x:c r="R568" s="14" t="n">
        <x:v>0</x:v>
      </x:c>
      <x:c r="S568" s="14" t="n">
        <x:v>3</x:v>
      </x:c>
      <x:c r="T568" s="15" t="n">
        <x:v>0</x:v>
      </x:c>
      <x:c r="U568" s="16" t="n">
        <x:v>16</x:v>
      </x:c>
      <x:c r="V568" s="6" t="str">
        <x:v>https://digitecme.com/ar/brands/rox-service-dubai/fuel-system-repair</x:v>
      </x:c>
      <x:c r="W568" s="6" t="str">
        <x:v>Noindex directive</x:v>
      </x:c>
      <x:c r="X568" s="6" t="n">
        <x:v>17</x:v>
      </x:c>
      <x:c r="Y568" s="6" t="str">
        <x:v>إصلاح نظام الوقود ROX في دبي | ديجي-تك</x:v>
      </x:c>
      <x:c r="Z568" s="6" t="str"/>
      <x:c r="AA568" s="6" t="str">
        <x:v>No / not compared</x:v>
      </x:c>
    </x:row>
    <x:row r="569" ht="42" customHeight="1">
      <x:c r="A569" s="6" t="str">
        <x:v>https://digitecme.com/ar/brands/rox-service-dubai/mechanical-repair</x:v>
      </x:c>
      <x:c r="B569" s="6" t="str"/>
      <x:c r="C569" s="6" t="str"/>
      <x:c r="D569" s="6" t="str">
        <x:v>brand-service</x:v>
      </x:c>
      <x:c r="E569" s="6" t="str">
        <x:v>Retain differentiated role</x:v>
      </x:c>
      <x:c r="F569" s="6" t="str">
        <x:v>Local source render; live version unverified</x:v>
      </x:c>
      <x:c r="G569" s="6" t="str">
        <x:v>الإصلاح الميكانيكي ROX في دبي | ديجي-تك</x:v>
      </x:c>
      <x:c r="H569" s="6" t="str">
        <x:v>الإصلاح الميكانيكي ROX في دبي | ديجي-تك</x:v>
      </x:c>
      <x:c r="I569" s="6" t="str">
        <x:v>الإصلاح الميكانيكي ROX في دبي</x:v>
      </x:c>
      <x:c r="J569" s="6" t="str">
        <x:v>الإصلاح الميكانيكي ROX في دبي</x:v>
      </x:c>
      <x:c r="K569" s="6" t="str">
        <x:v>الإصلاح الميكانيكي متخصص لسيارات ROX في دبي مع تشخيص متقدم وقطع مناسبة وتسعير واضح لدى مركز ديجي-تك.</x:v>
      </x:c>
      <x:c r="L569" s="6" t="str">
        <x:v>Retain pending evidence; no specific content edit justified by this export.</x:v>
      </x:c>
      <x:c r="M569" s="6" t="str">
        <x:v>Retain; inspect relevant context before adding links</x:v>
      </x:c>
      <x:c r="N569" s="6" t="str">
        <x:v>Unconfirmed — no query/page pairing</x:v>
      </x:c>
      <x:c r="O569" s="6" t="str">
        <x:v>Retain established booking / WhatsApp / call path; live behaviour untested</x:v>
      </x:c>
      <x:c r="P569" s="6" t="str">
        <x:v>Retain canonical and indexation policy pending a live check.</x:v>
      </x:c>
      <x:c r="Q569" s="6" t="str">
        <x:v>Proposed; no website change made</x:v>
      </x:c>
      <x:c r="R569" s="14" t="n">
        <x:v>0</x:v>
      </x:c>
      <x:c r="S569" s="14" t="n">
        <x:v>9</x:v>
      </x:c>
      <x:c r="T569" s="15" t="n">
        <x:v>0</x:v>
      </x:c>
      <x:c r="U569" s="16" t="n">
        <x:v>10.67</x:v>
      </x:c>
      <x:c r="V569" s="6" t="str">
        <x:v>https://digitecme.com/ar/brands/rox-service-dubai/mechanical-repair</x:v>
      </x:c>
      <x:c r="W569" s="6" t="str">
        <x:v>Noindex directive</x:v>
      </x:c>
      <x:c r="X569" s="6" t="n">
        <x:v>17</x:v>
      </x:c>
      <x:c r="Y569" s="6" t="str">
        <x:v>الإصلاح الميكانيكي ROX في دبي | ديجي-تك</x:v>
      </x:c>
      <x:c r="Z569" s="6" t="str"/>
      <x:c r="AA569" s="6" t="str">
        <x:v>No / not compared</x:v>
      </x:c>
    </x:row>
    <x:row r="570" ht="42" customHeight="1">
      <x:c r="A570" s="6" t="str">
        <x:v>https://digitecme.com/ar/brands/rox-service-dubai/oil-change</x:v>
      </x:c>
      <x:c r="B570" s="6" t="str"/>
      <x:c r="C570" s="6" t="str"/>
      <x:c r="D570" s="6" t="str">
        <x:v>brand-service</x:v>
      </x:c>
      <x:c r="E570" s="6" t="str">
        <x:v>Retain differentiated role</x:v>
      </x:c>
      <x:c r="F570" s="6" t="str">
        <x:v>Local source render; live version unverified</x:v>
      </x:c>
      <x:c r="G570" s="6" t="str">
        <x:v>تغيير الزيت ROX في دبي | ديجي-تك</x:v>
      </x:c>
      <x:c r="H570" s="6" t="str">
        <x:v>تغيير الزيت ROX في دبي | ديجي-تك</x:v>
      </x:c>
      <x:c r="I570" s="6" t="str">
        <x:v>تغيير الزيت ROX في دبي</x:v>
      </x:c>
      <x:c r="J570" s="6" t="str">
        <x:v>تغيير الزيت ROX في دبي</x:v>
      </x:c>
      <x:c r="K570" s="6" t="str">
        <x:v>تغيير الزيت متخصص لسيارات ROX في دبي مع تشخيص متقدم وقطع مناسبة وتسعير واضح لدى مركز ديجي-تك.</x:v>
      </x:c>
      <x:c r="L570" s="6" t="str">
        <x:v>Retain pending evidence; no specific content edit justified by this export.</x:v>
      </x:c>
      <x:c r="M570" s="6" t="str">
        <x:v>Retain; inspect relevant context before adding links</x:v>
      </x:c>
      <x:c r="N570" s="6" t="str">
        <x:v>Unconfirmed — no query/page pairing</x:v>
      </x:c>
      <x:c r="O570" s="6" t="str">
        <x:v>Retain established booking / WhatsApp / call path; live behaviour untested</x:v>
      </x:c>
      <x:c r="P570" s="6" t="str">
        <x:v>Retain canonical and indexation policy pending a live check.</x:v>
      </x:c>
      <x:c r="Q570" s="6" t="str">
        <x:v>Proposed; no website change made</x:v>
      </x:c>
      <x:c r="R570" s="14" t="n">
        <x:v>2</x:v>
      </x:c>
      <x:c r="S570" s="14" t="n">
        <x:v>27</x:v>
      </x:c>
      <x:c r="T570" s="15" t="n">
        <x:v>0.0741</x:v>
      </x:c>
      <x:c r="U570" s="16" t="n">
        <x:v>4.7</x:v>
      </x:c>
      <x:c r="V570" s="6" t="str">
        <x:v>https://digitecme.com/ar/brands/rox-service-dubai/oil-change</x:v>
      </x:c>
      <x:c r="W570" s="6" t="str">
        <x:v>Indexable directive</x:v>
      </x:c>
      <x:c r="X570" s="6" t="n">
        <x:v>17</x:v>
      </x:c>
      <x:c r="Y570" s="6" t="str">
        <x:v>تغيير الزيت ROX في دبي | ديجي-تك</x:v>
      </x:c>
      <x:c r="Z570" s="6" t="str"/>
      <x:c r="AA570" s="6" t="str">
        <x:v>No / not compared</x:v>
      </x:c>
    </x:row>
    <x:row r="571" ht="42" customHeight="1">
      <x:c r="A571" s="6" t="str">
        <x:v>https://digitecme.com/ar/brands/rox-service-dubai/soft-close-door-installation</x:v>
      </x:c>
      <x:c r="B571" s="6" t="str"/>
      <x:c r="C571" s="6" t="str"/>
      <x:c r="D571" s="6" t="str">
        <x:v>brand-service</x:v>
      </x:c>
      <x:c r="E571" s="6" t="str">
        <x:v>Retain differentiated role</x:v>
      </x:c>
      <x:c r="F571" s="6" t="str">
        <x:v>Local source render; live version unverified</x:v>
      </x:c>
      <x:c r="G571" s="6" t="str">
        <x:v>تركيب وإصلاح الإغلاق الناعم للأبواب ROX في دبي | ديجي-تك</x:v>
      </x:c>
      <x:c r="H571" s="6" t="str">
        <x:v>تركيب وإصلاح الإغلاق الناعم للأبواب ROX في دبي | ديجي-تك</x:v>
      </x:c>
      <x:c r="I571" s="6" t="str">
        <x:v>تركيب وإصلاح الإغلاق الناعم للأبواب ROX في دبي</x:v>
      </x:c>
      <x:c r="J571" s="6" t="str">
        <x:v>تركيب وإصلاح الإغلاق الناعم للأبواب ROX في دبي</x:v>
      </x:c>
      <x:c r="K571" s="6" t="str">
        <x:v>تركيب وإصلاح الإغلاق الناعم للأبواب متخصص لسيارات ROX في دبي مع تشخيص متقدم وقطع مناسبة وتسعير واضح لدى مركز ديجي-تك.</x:v>
      </x:c>
      <x:c r="L571" s="6" t="str">
        <x:v>Retain pending evidence; no specific content edit justified by this export.</x:v>
      </x:c>
      <x:c r="M571" s="6" t="str">
        <x:v>Retain; inspect relevant context before adding links</x:v>
      </x:c>
      <x:c r="N571" s="6" t="str">
        <x:v>Unconfirmed — no query/page pairing</x:v>
      </x:c>
      <x:c r="O571" s="6" t="str">
        <x:v>Retain established booking / WhatsApp / call path; live behaviour untested</x:v>
      </x:c>
      <x:c r="P571" s="6" t="str">
        <x:v>Retain canonical and indexation policy pending a live check.</x:v>
      </x:c>
      <x:c r="Q571" s="6" t="str">
        <x:v>Proposed; no website change made</x:v>
      </x:c>
      <x:c r="R571" s="14" t="n">
        <x:v>0</x:v>
      </x:c>
      <x:c r="S571" s="14" t="n">
        <x:v>5</x:v>
      </x:c>
      <x:c r="T571" s="15" t="n">
        <x:v>0</x:v>
      </x:c>
      <x:c r="U571" s="16" t="n">
        <x:v>15.8</x:v>
      </x:c>
      <x:c r="V571" s="6" t="str">
        <x:v>https://digitecme.com/ar/brands/rox-service-dubai/soft-close-door-installation</x:v>
      </x:c>
      <x:c r="W571" s="6" t="str">
        <x:v>Noindex directive</x:v>
      </x:c>
      <x:c r="X571" s="6" t="n">
        <x:v>18</x:v>
      </x:c>
      <x:c r="Y571" s="6" t="str">
        <x:v>تركيب وإصلاح الإغلاق الناعم للأبواب ROX في دبي | ديجي-تك</x:v>
      </x:c>
      <x:c r="Z571" s="6" t="str"/>
      <x:c r="AA571" s="6" t="str">
        <x:v>No / not compared</x:v>
      </x:c>
    </x:row>
    <x:row r="572" ht="42" customHeight="1">
      <x:c r="A572" s="6" t="str">
        <x:v>https://digitecme.com/ar/brands/rox-service-dubai/steering-repair</x:v>
      </x:c>
      <x:c r="B572" s="6" t="str"/>
      <x:c r="C572" s="6" t="str"/>
      <x:c r="D572" s="6" t="str">
        <x:v>brand-service</x:v>
      </x:c>
      <x:c r="E572" s="6" t="str">
        <x:v>Retain differentiated role</x:v>
      </x:c>
      <x:c r="F572" s="6" t="str">
        <x:v>Local source render; live version unverified</x:v>
      </x:c>
      <x:c r="G572" s="6" t="str">
        <x:v>إصلاح نظام التوجيه ROX في دبي | ديجي-تك</x:v>
      </x:c>
      <x:c r="H572" s="6" t="str">
        <x:v>إصلاح نظام التوجيه ROX في دبي | ديجي-تك</x:v>
      </x:c>
      <x:c r="I572" s="6" t="str">
        <x:v>إصلاح نظام التوجيه ROX في دبي</x:v>
      </x:c>
      <x:c r="J572" s="6" t="str">
        <x:v>إصلاح نظام التوجيه ROX في دبي</x:v>
      </x:c>
      <x:c r="K572" s="6" t="str">
        <x:v>إصلاح نظام التوجيه متخصص لسيارات ROX في دبي مع تشخيص متقدم وقطع مناسبة وتسعير واضح لدى مركز ديجي-تك.</x:v>
      </x:c>
      <x:c r="L572" s="6" t="str">
        <x:v>Retain pending evidence; no specific content edit justified by this export.</x:v>
      </x:c>
      <x:c r="M572" s="6" t="str">
        <x:v>Retain; inspect relevant context before adding links</x:v>
      </x:c>
      <x:c r="N572" s="6" t="str">
        <x:v>Unconfirmed — no query/page pairing</x:v>
      </x:c>
      <x:c r="O572" s="6" t="str">
        <x:v>Retain established booking / WhatsApp / call path; live behaviour untested</x:v>
      </x:c>
      <x:c r="P572" s="6" t="str">
        <x:v>Retain canonical and indexation policy pending a live check.</x:v>
      </x:c>
      <x:c r="Q572" s="6" t="str">
        <x:v>Proposed; no website change made</x:v>
      </x:c>
      <x:c r="R572" s="14" t="n">
        <x:v>0</x:v>
      </x:c>
      <x:c r="S572" s="14" t="n">
        <x:v>3</x:v>
      </x:c>
      <x:c r="T572" s="15" t="n">
        <x:v>0</x:v>
      </x:c>
      <x:c r="U572" s="16" t="n">
        <x:v>7.33</x:v>
      </x:c>
      <x:c r="V572" s="6" t="str">
        <x:v>https://digitecme.com/ar/brands/rox-service-dubai/steering-repair</x:v>
      </x:c>
      <x:c r="W572" s="6" t="str">
        <x:v>Noindex directive</x:v>
      </x:c>
      <x:c r="X572" s="6" t="n">
        <x:v>17</x:v>
      </x:c>
      <x:c r="Y572" s="6" t="str">
        <x:v>إصلاح نظام التوجيه ROX في دبي | ديجي-تك</x:v>
      </x:c>
      <x:c r="Z572" s="6" t="str"/>
      <x:c r="AA572" s="6" t="str">
        <x:v>No / not compared</x:v>
      </x:c>
    </x:row>
    <x:row r="573" ht="42" customHeight="1">
      <x:c r="A573" s="6" t="str">
        <x:v>https://digitecme.com/ar/brands/rox-service-dubai/suspension-repair</x:v>
      </x:c>
      <x:c r="B573" s="6" t="str"/>
      <x:c r="C573" s="6" t="str"/>
      <x:c r="D573" s="6" t="str">
        <x:v>brand-service</x:v>
      </x:c>
      <x:c r="E573" s="6" t="str">
        <x:v>Retain differentiated role</x:v>
      </x:c>
      <x:c r="F573" s="6" t="str">
        <x:v>Local source render; live version unverified</x:v>
      </x:c>
      <x:c r="G573" s="6" t="str">
        <x:v>إصلاح التعليق ROX في دبي | ديجي-تك</x:v>
      </x:c>
      <x:c r="H573" s="6" t="str">
        <x:v>إصلاح التعليق ROX في دبي | ديجي-تك</x:v>
      </x:c>
      <x:c r="I573" s="6" t="str">
        <x:v>إصلاح التعليق ROX في دبي</x:v>
      </x:c>
      <x:c r="J573" s="6" t="str">
        <x:v>إصلاح التعليق ROX في دبي</x:v>
      </x:c>
      <x:c r="K573" s="6" t="str">
        <x:v>إصلاح التعليق متخصص لسيارات ROX في دبي مع تشخيص متقدم وقطع مناسبة وتسعير واضح لدى مركز ديجي-تك.</x:v>
      </x:c>
      <x:c r="L573" s="6" t="str">
        <x:v>Retain pending evidence; no specific content edit justified by this export.</x:v>
      </x:c>
      <x:c r="M573" s="6" t="str">
        <x:v>Retain; inspect relevant context before adding links</x:v>
      </x:c>
      <x:c r="N573" s="6" t="str">
        <x:v>Unconfirmed — no query/page pairing</x:v>
      </x:c>
      <x:c r="O573" s="6" t="str">
        <x:v>Retain established booking / WhatsApp / call path; live behaviour untested</x:v>
      </x:c>
      <x:c r="P573" s="6" t="str">
        <x:v>Retain canonical and indexation policy pending a live check.</x:v>
      </x:c>
      <x:c r="Q573" s="6" t="str">
        <x:v>Proposed; no website change made</x:v>
      </x:c>
      <x:c r="R573" s="14" t="n">
        <x:v>0</x:v>
      </x:c>
      <x:c r="S573" s="14" t="n">
        <x:v>16</x:v>
      </x:c>
      <x:c r="T573" s="15" t="n">
        <x:v>0</x:v>
      </x:c>
      <x:c r="U573" s="16" t="n">
        <x:v>6.44</x:v>
      </x:c>
      <x:c r="V573" s="6" t="str">
        <x:v>https://digitecme.com/ar/brands/rox-service-dubai/suspension-repair</x:v>
      </x:c>
      <x:c r="W573" s="6" t="str">
        <x:v>Noindex directive</x:v>
      </x:c>
      <x:c r="X573" s="6" t="n">
        <x:v>17</x:v>
      </x:c>
      <x:c r="Y573" s="6" t="str">
        <x:v>إصلاح التعليق ROX في دبي | ديجي-تك</x:v>
      </x:c>
      <x:c r="Z573" s="6" t="str"/>
      <x:c r="AA573" s="6" t="str">
        <x:v>No / not compared</x:v>
      </x:c>
    </x:row>
    <x:row r="574" ht="42" customHeight="1">
      <x:c r="A574" s="6" t="str">
        <x:v>https://digitecme.com/ar/brands/rox-service-dubai/tire-repair</x:v>
      </x:c>
      <x:c r="B574" s="6" t="str"/>
      <x:c r="C574" s="6" t="str"/>
      <x:c r="D574" s="6" t="str">
        <x:v>brand-service</x:v>
      </x:c>
      <x:c r="E574" s="6" t="str">
        <x:v>Retain differentiated role</x:v>
      </x:c>
      <x:c r="F574" s="6" t="str">
        <x:v>Local source render; live version unverified</x:v>
      </x:c>
      <x:c r="G574" s="6" t="str">
        <x:v>إصلاح الإطارات ROX في دبي | ديجي-تك</x:v>
      </x:c>
      <x:c r="H574" s="6" t="str">
        <x:v>إصلاح الإطارات ROX في دبي | ديجي-تك</x:v>
      </x:c>
      <x:c r="I574" s="6" t="str">
        <x:v>إصلاح الإطارات ROX في دبي</x:v>
      </x:c>
      <x:c r="J574" s="6" t="str">
        <x:v>إصلاح الإطارات ROX في دبي</x:v>
      </x:c>
      <x:c r="K574" s="6" t="str">
        <x:v>إصلاح الإطارات متخصص لسيارات ROX في دبي مع تشخيص متقدم وقطع مناسبة وتسعير واضح لدى مركز ديجي-تك.</x:v>
      </x:c>
      <x:c r="L574" s="6" t="str">
        <x:v>Retain pending evidence; no specific content edit justified by this export.</x:v>
      </x:c>
      <x:c r="M574" s="6" t="str">
        <x:v>Retain; inspect relevant context before adding links</x:v>
      </x:c>
      <x:c r="N574" s="6" t="str">
        <x:v>Unconfirmed — no query/page pairing</x:v>
      </x:c>
      <x:c r="O574" s="6" t="str">
        <x:v>Retain established booking / WhatsApp / call path; live behaviour untested</x:v>
      </x:c>
      <x:c r="P574" s="6" t="str">
        <x:v>Retain canonical and indexation policy pending a live check.</x:v>
      </x:c>
      <x:c r="Q574" s="6" t="str">
        <x:v>Proposed; no website change made</x:v>
      </x:c>
      <x:c r="R574" s="14" t="n">
        <x:v>0</x:v>
      </x:c>
      <x:c r="S574" s="14" t="n">
        <x:v>2</x:v>
      </x:c>
      <x:c r="T574" s="15" t="n">
        <x:v>0</x:v>
      </x:c>
      <x:c r="U574" s="16" t="n">
        <x:v>9.5</x:v>
      </x:c>
      <x:c r="V574" s="6" t="str">
        <x:v>https://digitecme.com/ar/brands/rox-service-dubai/tire-repair</x:v>
      </x:c>
      <x:c r="W574" s="6" t="str">
        <x:v>Noindex directive</x:v>
      </x:c>
      <x:c r="X574" s="6" t="n">
        <x:v>17</x:v>
      </x:c>
      <x:c r="Y574" s="6" t="str">
        <x:v>إصلاح الإطارات ROX في دبي | ديجي-تك</x:v>
      </x:c>
      <x:c r="Z574" s="6" t="str"/>
      <x:c r="AA574" s="6" t="str">
        <x:v>No / not compared</x:v>
      </x:c>
    </x:row>
    <x:row r="575" ht="42" customHeight="1">
      <x:c r="A575" s="6" t="str">
        <x:v>https://digitecme.com/ar/brands/rox-service-dubai/transmission-repair</x:v>
      </x:c>
      <x:c r="B575" s="6" t="str"/>
      <x:c r="C575" s="6" t="str"/>
      <x:c r="D575" s="6" t="str">
        <x:v>brand-service</x:v>
      </x:c>
      <x:c r="E575" s="6" t="str">
        <x:v>Retain differentiated role</x:v>
      </x:c>
      <x:c r="F575" s="6" t="str">
        <x:v>Local source render; live version unverified</x:v>
      </x:c>
      <x:c r="G575" s="6" t="str">
        <x:v>إصلاح ناقل الحركة ROX في دبي | ديجي-تك</x:v>
      </x:c>
      <x:c r="H575" s="6" t="str">
        <x:v>إصلاح ناقل الحركة ROX في دبي | ديجي-تك</x:v>
      </x:c>
      <x:c r="I575" s="6" t="str">
        <x:v>إصلاح ناقل الحركة ROX في دبي</x:v>
      </x:c>
      <x:c r="J575" s="6" t="str">
        <x:v>إصلاح ناقل الحركة ROX في دبي</x:v>
      </x:c>
      <x:c r="K575" s="6" t="str">
        <x:v>إصلاح ناقل الحركة متخصص لسيارات ROX في دبي مع تشخيص متقدم وقطع مناسبة وتسعير واضح لدى مركز ديجي-تك.</x:v>
      </x:c>
      <x:c r="L575" s="6" t="str">
        <x:v>Retain pending evidence; no specific content edit justified by this export.</x:v>
      </x:c>
      <x:c r="M575" s="6" t="str">
        <x:v>Retain; inspect relevant context before adding links</x:v>
      </x:c>
      <x:c r="N575" s="6" t="str">
        <x:v>Unconfirmed — no query/page pairing</x:v>
      </x:c>
      <x:c r="O575" s="6" t="str">
        <x:v>Retain established booking / WhatsApp / call path; live behaviour untested</x:v>
      </x:c>
      <x:c r="P575" s="6" t="str">
        <x:v>Retain canonical and indexation policy pending a live check.</x:v>
      </x:c>
      <x:c r="Q575" s="6" t="str">
        <x:v>Proposed; no website change made</x:v>
      </x:c>
      <x:c r="R575" s="14" t="n">
        <x:v>0</x:v>
      </x:c>
      <x:c r="S575" s="14" t="n">
        <x:v>1</x:v>
      </x:c>
      <x:c r="T575" s="15" t="n">
        <x:v>0</x:v>
      </x:c>
      <x:c r="U575" s="16" t="n">
        <x:v>11</x:v>
      </x:c>
      <x:c r="V575" s="6" t="str">
        <x:v>https://digitecme.com/ar/brands/rox-service-dubai/transmission-repair</x:v>
      </x:c>
      <x:c r="W575" s="6" t="str">
        <x:v>Noindex directive</x:v>
      </x:c>
      <x:c r="X575" s="6" t="n">
        <x:v>17</x:v>
      </x:c>
      <x:c r="Y575" s="6" t="str">
        <x:v>إصلاح ناقل الحركة ROX في دبي | ديجي-تك</x:v>
      </x:c>
      <x:c r="Z575" s="6" t="str"/>
      <x:c r="AA575" s="6" t="str">
        <x:v>No / not compared</x:v>
      </x:c>
    </x:row>
    <x:row r="576" ht="42" customHeight="1">
      <x:c r="A576" s="6" t="str">
        <x:v>https://digitecme.com/ar/brands/subaru-service-dubai</x:v>
      </x:c>
      <x:c r="B576" s="6" t="str"/>
      <x:c r="C576" s="6" t="str"/>
      <x:c r="D576" s="6" t="str">
        <x:v>brand</x:v>
      </x:c>
      <x:c r="E576" s="6" t="str">
        <x:v>Retain differentiated role</x:v>
      </x:c>
      <x:c r="F576" s="6" t="str">
        <x:v>Local source render; live version unverified</x:v>
      </x:c>
      <x:c r="G576" s="6" t="str">
        <x:v>إصلاح وصيانة Subaru في دبي | مركز ديجي-تك</x:v>
      </x:c>
      <x:c r="H576" s="6" t="str">
        <x:v>إصلاح وصيانة Subaru في دبي | مركز ديجي-تك</x:v>
      </x:c>
      <x:c r="I576" s="6" t="str">
        <x:v>Subaru للإصلاح والصيانة في دبي</x:v>
      </x:c>
      <x:c r="J576" s="6" t="str">
        <x:v>Subaru للإصلاح والصيانة في دبي</x:v>
      </x:c>
      <x:c r="K576" s="6" t="str">
        <x:v>إصلاح وصيانة Subaru في دبي: تشخيص وصيانة وفرامل وناقل حركة وتعليق وتكييف مع قطع بالمواصفات المناسبة لدى مركز ديجي-تك.</x:v>
      </x:c>
      <x:c r="L576" s="6" t="str">
        <x:v>Retain pending evidence; no specific content edit justified by this export.</x:v>
      </x:c>
      <x:c r="M576" s="6" t="str">
        <x:v>Retain; inspect relevant context before adding links</x:v>
      </x:c>
      <x:c r="N576" s="6" t="str">
        <x:v>Unconfirmed — no query/page pairing</x:v>
      </x:c>
      <x:c r="O576" s="6" t="str">
        <x:v>Retain established booking / WhatsApp / call path; live behaviour untested</x:v>
      </x:c>
      <x:c r="P576" s="6" t="str">
        <x:v>Retain canonical and indexation policy pending a live check.</x:v>
      </x:c>
      <x:c r="Q576" s="6" t="str">
        <x:v>Proposed; no website change made</x:v>
      </x:c>
      <x:c r="R576" s="14"/>
      <x:c r="S576" s="14"/>
      <x:c r="T576" s="15"/>
      <x:c r="U576" s="16"/>
      <x:c r="V576" s="6" t="str">
        <x:v>https://digitecme.com/ar/brands/subaru-service-dubai</x:v>
      </x:c>
      <x:c r="W576" s="6" t="str">
        <x:v>Indexable directive</x:v>
      </x:c>
      <x:c r="X576" s="6" t="n">
        <x:v>30</x:v>
      </x:c>
      <x:c r="Y576" s="6" t="str">
        <x:v>إصلاح وصيانة Subaru في دبي | مركز ديجي-تك</x:v>
      </x:c>
      <x:c r="Z576" s="6" t="str"/>
      <x:c r="AA576" s="6" t="str">
        <x:v>No / not compared</x:v>
      </x:c>
    </x:row>
    <x:row r="577" ht="42" customHeight="1">
      <x:c r="A577" s="6" t="str">
        <x:v>https://digitecme.com/ar/brands/subaru-service-dubai/ac-repair</x:v>
      </x:c>
      <x:c r="B577" s="6" t="str"/>
      <x:c r="C577" s="6" t="str"/>
      <x:c r="D577" s="6" t="str">
        <x:v>brand-service</x:v>
      </x:c>
      <x:c r="E577" s="6" t="str">
        <x:v>Retain differentiated role</x:v>
      </x:c>
      <x:c r="F577" s="6" t="str">
        <x:v>Local source render; live version unverified</x:v>
      </x:c>
      <x:c r="G577" s="6" t="str">
        <x:v>إصلاح التكييف Subaru في دبي | ديجي-تك</x:v>
      </x:c>
      <x:c r="H577" s="6" t="str">
        <x:v>إصلاح التكييف Subaru في دبي | ديجي-تك</x:v>
      </x:c>
      <x:c r="I577" s="6" t="str">
        <x:v>إصلاح التكييف Subaru في دبي</x:v>
      </x:c>
      <x:c r="J577" s="6" t="str">
        <x:v>إصلاح التكييف Subaru في دبي</x:v>
      </x:c>
      <x:c r="K577" s="6" t="str">
        <x:v>إصلاح التكييف متخصص لسيارات Subaru في دبي مع تشخيص متقدم وقطع مناسبة وتسعير واضح لدى مركز ديجي-تك.</x:v>
      </x:c>
      <x:c r="L577" s="6" t="str">
        <x:v>Retain pending evidence; no specific content edit justified by this export.</x:v>
      </x:c>
      <x:c r="M577" s="6" t="str">
        <x:v>Retain; inspect relevant context before adding links</x:v>
      </x:c>
      <x:c r="N577" s="6" t="str">
        <x:v>Unconfirmed — no query/page pairing</x:v>
      </x:c>
      <x:c r="O577" s="6" t="str">
        <x:v>Retain established booking / WhatsApp / call path; live behaviour untested</x:v>
      </x:c>
      <x:c r="P577" s="6" t="str">
        <x:v>Retain canonical and indexation policy pending a live check.</x:v>
      </x:c>
      <x:c r="Q577" s="6" t="str">
        <x:v>Proposed; no website change made</x:v>
      </x:c>
      <x:c r="R577" s="14"/>
      <x:c r="S577" s="14"/>
      <x:c r="T577" s="15"/>
      <x:c r="U577" s="16"/>
      <x:c r="V577" s="6" t="str">
        <x:v>https://digitecme.com/ar/brands/subaru-service-dubai/ac-repair</x:v>
      </x:c>
      <x:c r="W577" s="6" t="str">
        <x:v>Indexable directive</x:v>
      </x:c>
      <x:c r="X577" s="6" t="n">
        <x:v>8</x:v>
      </x:c>
      <x:c r="Y577" s="6" t="str">
        <x:v>إصلاح التكييف Subaru في دبي | ديجي-تك</x:v>
      </x:c>
      <x:c r="Z577" s="6" t="str"/>
      <x:c r="AA577" s="6" t="str">
        <x:v>No / not compared</x:v>
      </x:c>
    </x:row>
    <x:row r="578" ht="42" customHeight="1">
      <x:c r="A578" s="6" t="str">
        <x:v>https://digitecme.com/ar/brands/subaru-service-dubai/brake-repair</x:v>
      </x:c>
      <x:c r="B578" s="6" t="str"/>
      <x:c r="C578" s="6" t="str"/>
      <x:c r="D578" s="6" t="str">
        <x:v>brand-service</x:v>
      </x:c>
      <x:c r="E578" s="6" t="str">
        <x:v>Retain differentiated role</x:v>
      </x:c>
      <x:c r="F578" s="6" t="str">
        <x:v>Local source render; live version unverified</x:v>
      </x:c>
      <x:c r="G578" s="6" t="str">
        <x:v>إصلاح الفرامل Subaru في دبي | ديجي-تك</x:v>
      </x:c>
      <x:c r="H578" s="6" t="str">
        <x:v>إصلاح الفرامل Subaru في دبي | ديجي-تك</x:v>
      </x:c>
      <x:c r="I578" s="6" t="str">
        <x:v>إصلاح الفرامل Subaru في دبي</x:v>
      </x:c>
      <x:c r="J578" s="6" t="str">
        <x:v>إصلاح الفرامل Subaru في دبي</x:v>
      </x:c>
      <x:c r="K578" s="6" t="str">
        <x:v>إصلاح الفرامل متخصص لسيارات Subaru في دبي مع تشخيص متقدم وقطع مناسبة وتسعير واضح لدى مركز ديجي-تك.</x:v>
      </x:c>
      <x:c r="L578" s="6" t="str">
        <x:v>Retain pending evidence; no specific content edit justified by this export.</x:v>
      </x:c>
      <x:c r="M578" s="6" t="str">
        <x:v>Retain; inspect relevant context before adding links</x:v>
      </x:c>
      <x:c r="N578" s="6" t="str">
        <x:v>Unconfirmed — no query/page pairing</x:v>
      </x:c>
      <x:c r="O578" s="6" t="str">
        <x:v>Retain established booking / WhatsApp / call path; live behaviour untested</x:v>
      </x:c>
      <x:c r="P578" s="6" t="str">
        <x:v>Retain canonical and indexation policy pending a live check.</x:v>
      </x:c>
      <x:c r="Q578" s="6" t="str">
        <x:v>Proposed; no website change made</x:v>
      </x:c>
      <x:c r="R578" s="14"/>
      <x:c r="S578" s="14"/>
      <x:c r="T578" s="15"/>
      <x:c r="U578" s="16"/>
      <x:c r="V578" s="6" t="str">
        <x:v>https://digitecme.com/ar/brands/subaru-service-dubai/brake-repair</x:v>
      </x:c>
      <x:c r="W578" s="6" t="str">
        <x:v>Indexable directive</x:v>
      </x:c>
      <x:c r="X578" s="6" t="n">
        <x:v>8</x:v>
      </x:c>
      <x:c r="Y578" s="6" t="str">
        <x:v>إصلاح الفرامل Subaru في دبي | ديجي-تك</x:v>
      </x:c>
      <x:c r="Z578" s="6" t="str"/>
      <x:c r="AA578" s="6" t="str">
        <x:v>No / not compared</x:v>
      </x:c>
    </x:row>
    <x:row r="579" ht="42" customHeight="1">
      <x:c r="A579" s="6" t="str">
        <x:v>https://digitecme.com/ar/brands/subaru-service-dubai/engine-diagnostics</x:v>
      </x:c>
      <x:c r="B579" s="6" t="str"/>
      <x:c r="C579" s="6" t="str"/>
      <x:c r="D579" s="6" t="str">
        <x:v>brand-service</x:v>
      </x:c>
      <x:c r="E579" s="6" t="str">
        <x:v>Retain differentiated role</x:v>
      </x:c>
      <x:c r="F579" s="6" t="str">
        <x:v>Local source render; live version unverified</x:v>
      </x:c>
      <x:c r="G579" s="6" t="str">
        <x:v>تشخيص المحرك Subaru في دبي | ديجي-تك</x:v>
      </x:c>
      <x:c r="H579" s="6" t="str">
        <x:v>تشخيص المحرك Subaru في دبي | ديجي-تك</x:v>
      </x:c>
      <x:c r="I579" s="6" t="str">
        <x:v>تشخيص المحرك Subaru في دبي</x:v>
      </x:c>
      <x:c r="J579" s="6" t="str">
        <x:v>تشخيص المحرك Subaru في دبي</x:v>
      </x:c>
      <x:c r="K579" s="6" t="str">
        <x:v>تشخيص المحرك متخصص لسيارات Subaru في دبي مع تشخيص متقدم وقطع مناسبة وتسعير واضح لدى مركز ديجي-تك.</x:v>
      </x:c>
      <x:c r="L579" s="6" t="str">
        <x:v>Retain pending evidence; no specific content edit justified by this export.</x:v>
      </x:c>
      <x:c r="M579" s="6" t="str">
        <x:v>Retain; inspect relevant context before adding links</x:v>
      </x:c>
      <x:c r="N579" s="6" t="str">
        <x:v>Unconfirmed — no query/page pairing</x:v>
      </x:c>
      <x:c r="O579" s="6" t="str">
        <x:v>Retain established booking / WhatsApp / call path; live behaviour untested</x:v>
      </x:c>
      <x:c r="P579" s="6" t="str">
        <x:v>Retain canonical and indexation policy pending a live check.</x:v>
      </x:c>
      <x:c r="Q579" s="6" t="str">
        <x:v>Proposed; no website change made</x:v>
      </x:c>
      <x:c r="R579" s="14"/>
      <x:c r="S579" s="14"/>
      <x:c r="T579" s="15"/>
      <x:c r="U579" s="16"/>
      <x:c r="V579" s="6" t="str">
        <x:v>https://digitecme.com/ar/brands/subaru-service-dubai/engine-diagnostics</x:v>
      </x:c>
      <x:c r="W579" s="6" t="str">
        <x:v>Indexable directive</x:v>
      </x:c>
      <x:c r="X579" s="6" t="n">
        <x:v>8</x:v>
      </x:c>
      <x:c r="Y579" s="6" t="str">
        <x:v>تشخيص المحرك Subaru في دبي | ديجي-تك</x:v>
      </x:c>
      <x:c r="Z579" s="6" t="str"/>
      <x:c r="AA579" s="6" t="str">
        <x:v>No / not compared</x:v>
      </x:c>
    </x:row>
    <x:row r="580" ht="42" customHeight="1">
      <x:c r="A580" s="6" t="str">
        <x:v>https://digitecme.com/ar/brands/subaru-service-dubai/oil-change</x:v>
      </x:c>
      <x:c r="B580" s="6" t="str"/>
      <x:c r="C580" s="6" t="str"/>
      <x:c r="D580" s="6" t="str">
        <x:v>brand-service</x:v>
      </x:c>
      <x:c r="E580" s="6" t="str">
        <x:v>Retain differentiated role</x:v>
      </x:c>
      <x:c r="F580" s="6" t="str">
        <x:v>Local source render; live version unverified</x:v>
      </x:c>
      <x:c r="G580" s="6" t="str">
        <x:v>تغيير الزيت Subaru في دبي | ديجي-تك</x:v>
      </x:c>
      <x:c r="H580" s="6" t="str">
        <x:v>تغيير الزيت Subaru في دبي | ديجي-تك</x:v>
      </x:c>
      <x:c r="I580" s="6" t="str">
        <x:v>تغيير الزيت Subaru في دبي</x:v>
      </x:c>
      <x:c r="J580" s="6" t="str">
        <x:v>تغيير الزيت Subaru في دبي</x:v>
      </x:c>
      <x:c r="K580" s="6" t="str">
        <x:v>تغيير الزيت متخصص لسيارات Subaru في دبي مع تشخيص متقدم وقطع مناسبة وتسعير واضح لدى مركز ديجي-تك.</x:v>
      </x:c>
      <x:c r="L580" s="6" t="str">
        <x:v>Retain pending evidence; no specific content edit justified by this export.</x:v>
      </x:c>
      <x:c r="M580" s="6" t="str">
        <x:v>Retain; inspect relevant context before adding links</x:v>
      </x:c>
      <x:c r="N580" s="6" t="str">
        <x:v>Unconfirmed — no query/page pairing</x:v>
      </x:c>
      <x:c r="O580" s="6" t="str">
        <x:v>Retain established booking / WhatsApp / call path; live behaviour untested</x:v>
      </x:c>
      <x:c r="P580" s="6" t="str">
        <x:v>Retain canonical and indexation policy pending a live check.</x:v>
      </x:c>
      <x:c r="Q580" s="6" t="str">
        <x:v>Proposed; no website change made</x:v>
      </x:c>
      <x:c r="R580" s="14"/>
      <x:c r="S580" s="14"/>
      <x:c r="T580" s="15"/>
      <x:c r="U580" s="16"/>
      <x:c r="V580" s="6" t="str">
        <x:v>https://digitecme.com/ar/brands/subaru-service-dubai/oil-change</x:v>
      </x:c>
      <x:c r="W580" s="6" t="str">
        <x:v>Indexable directive</x:v>
      </x:c>
      <x:c r="X580" s="6" t="n">
        <x:v>8</x:v>
      </x:c>
      <x:c r="Y580" s="6" t="str">
        <x:v>تغيير الزيت Subaru في دبي | ديجي-تك</x:v>
      </x:c>
      <x:c r="Z580" s="6" t="str"/>
      <x:c r="AA580" s="6" t="str">
        <x:v>No / not compared</x:v>
      </x:c>
    </x:row>
    <x:row r="581" ht="42" customHeight="1">
      <x:c r="A581" s="6" t="str">
        <x:v>https://digitecme.com/ar/brands/subaru-service-dubai/suspension-repair</x:v>
      </x:c>
      <x:c r="B581" s="6" t="str"/>
      <x:c r="C581" s="6" t="str"/>
      <x:c r="D581" s="6" t="str">
        <x:v>brand-service</x:v>
      </x:c>
      <x:c r="E581" s="6" t="str">
        <x:v>Retain differentiated role</x:v>
      </x:c>
      <x:c r="F581" s="6" t="str">
        <x:v>Local source render; live version unverified</x:v>
      </x:c>
      <x:c r="G581" s="6" t="str">
        <x:v>إصلاح التعليق Subaru في دبي | ديجي-تك</x:v>
      </x:c>
      <x:c r="H581" s="6" t="str">
        <x:v>إصلاح التعليق Subaru في دبي | ديجي-تك</x:v>
      </x:c>
      <x:c r="I581" s="6" t="str">
        <x:v>إصلاح التعليق Subaru في دبي</x:v>
      </x:c>
      <x:c r="J581" s="6" t="str">
        <x:v>إصلاح التعليق Subaru في دبي</x:v>
      </x:c>
      <x:c r="K581" s="6" t="str">
        <x:v>إصلاح التعليق متخصص لسيارات Subaru في دبي مع تشخيص متقدم وقطع مناسبة وتسعير واضح لدى مركز ديجي-تك.</x:v>
      </x:c>
      <x:c r="L581" s="6" t="str">
        <x:v>Retain pending evidence; no specific content edit justified by this export.</x:v>
      </x:c>
      <x:c r="M581" s="6" t="str">
        <x:v>Retain; inspect relevant context before adding links</x:v>
      </x:c>
      <x:c r="N581" s="6" t="str">
        <x:v>Unconfirmed — no query/page pairing</x:v>
      </x:c>
      <x:c r="O581" s="6" t="str">
        <x:v>Retain established booking / WhatsApp / call path; live behaviour untested</x:v>
      </x:c>
      <x:c r="P581" s="6" t="str">
        <x:v>Retain canonical and indexation policy pending a live check.</x:v>
      </x:c>
      <x:c r="Q581" s="6" t="str">
        <x:v>Proposed; no website change made</x:v>
      </x:c>
      <x:c r="R581" s="14" t="n">
        <x:v>0</x:v>
      </x:c>
      <x:c r="S581" s="14" t="n">
        <x:v>1</x:v>
      </x:c>
      <x:c r="T581" s="15" t="n">
        <x:v>0</x:v>
      </x:c>
      <x:c r="U581" s="16" t="n">
        <x:v>10</x:v>
      </x:c>
      <x:c r="V581" s="6" t="str">
        <x:v>https://digitecme.com/ar/brands/subaru-service-dubai/suspension-repair</x:v>
      </x:c>
      <x:c r="W581" s="6" t="str">
        <x:v>Noindex directive</x:v>
      </x:c>
      <x:c r="X581" s="6" t="n">
        <x:v>8</x:v>
      </x:c>
      <x:c r="Y581" s="6" t="str">
        <x:v>إصلاح التعليق Subaru في دبي | ديجي-تك</x:v>
      </x:c>
      <x:c r="Z581" s="6" t="str"/>
      <x:c r="AA581" s="6" t="str">
        <x:v>No / not compared</x:v>
      </x:c>
    </x:row>
    <x:row r="582" ht="42" customHeight="1">
      <x:c r="A582" s="6" t="str">
        <x:v>https://digitecme.com/ar/brands/subaru-service-dubai/transmission-repair</x:v>
      </x:c>
      <x:c r="B582" s="6" t="str"/>
      <x:c r="C582" s="6" t="str"/>
      <x:c r="D582" s="6" t="str">
        <x:v>brand-service</x:v>
      </x:c>
      <x:c r="E582" s="6" t="str">
        <x:v>Retain differentiated role</x:v>
      </x:c>
      <x:c r="F582" s="6" t="str">
        <x:v>Local source render; live version unverified</x:v>
      </x:c>
      <x:c r="G582" s="6" t="str">
        <x:v>إصلاح ناقل الحركة Subaru في دبي | ديجي-تك</x:v>
      </x:c>
      <x:c r="H582" s="6" t="str">
        <x:v>إصلاح ناقل الحركة Subaru في دبي | ديجي-تك</x:v>
      </x:c>
      <x:c r="I582" s="6" t="str">
        <x:v>إصلاح ناقل الحركة Subaru في دبي</x:v>
      </x:c>
      <x:c r="J582" s="6" t="str">
        <x:v>إصلاح ناقل الحركة Subaru في دبي</x:v>
      </x:c>
      <x:c r="K582" s="6" t="str">
        <x:v>إصلاح ناقل الحركة متخصص لسيارات Subaru في دبي مع تشخيص متقدم وقطع مناسبة وتسعير واضح لدى مركز ديجي-تك.</x:v>
      </x:c>
      <x:c r="L582" s="6" t="str">
        <x:v>Retain pending evidence; no specific content edit justified by this export.</x:v>
      </x:c>
      <x:c r="M582" s="6" t="str">
        <x:v>Retain; inspect relevant context before adding links</x:v>
      </x:c>
      <x:c r="N582" s="6" t="str">
        <x:v>Unconfirmed — no query/page pairing</x:v>
      </x:c>
      <x:c r="O582" s="6" t="str">
        <x:v>Retain established booking / WhatsApp / call path; live behaviour untested</x:v>
      </x:c>
      <x:c r="P582" s="6" t="str">
        <x:v>Retain canonical and indexation policy pending a live check.</x:v>
      </x:c>
      <x:c r="Q582" s="6" t="str">
        <x:v>Proposed; no website change made</x:v>
      </x:c>
      <x:c r="R582" s="14"/>
      <x:c r="S582" s="14"/>
      <x:c r="T582" s="15"/>
      <x:c r="U582" s="16"/>
      <x:c r="V582" s="6" t="str">
        <x:v>https://digitecme.com/ar/brands/subaru-service-dubai/transmission-repair</x:v>
      </x:c>
      <x:c r="W582" s="6" t="str">
        <x:v>Noindex directive</x:v>
      </x:c>
      <x:c r="X582" s="6" t="n">
        <x:v>8</x:v>
      </x:c>
      <x:c r="Y582" s="6" t="str">
        <x:v>إصلاح ناقل الحركة Subaru في دبي | ديجي-تك</x:v>
      </x:c>
      <x:c r="Z582" s="6" t="str"/>
      <x:c r="AA582" s="6" t="str">
        <x:v>No / not compared</x:v>
      </x:c>
    </x:row>
    <x:row r="583" ht="42" customHeight="1">
      <x:c r="A583" s="6" t="str">
        <x:v>https://digitecme.com/ar/brands/tesla-service-dubai</x:v>
      </x:c>
      <x:c r="B583" s="6" t="str"/>
      <x:c r="C583" s="6" t="str"/>
      <x:c r="D583" s="6" t="str">
        <x:v>brand</x:v>
      </x:c>
      <x:c r="E583" s="6" t="str">
        <x:v>Retain differentiated role</x:v>
      </x:c>
      <x:c r="F583" s="6" t="str">
        <x:v>Local source render; live version unverified</x:v>
      </x:c>
      <x:c r="G583" s="6" t="str">
        <x:v>إصلاح وصيانة Tesla في دبي | مركز ديجي-تك</x:v>
      </x:c>
      <x:c r="H583" s="6" t="str">
        <x:v>إصلاح وصيانة Tesla في دبي | مركز ديجي-تك</x:v>
      </x:c>
      <x:c r="I583" s="6" t="str">
        <x:v>Tesla للإصلاح والصيانة في دبي</x:v>
      </x:c>
      <x:c r="J583" s="6" t="str">
        <x:v>Tesla للإصلاح والصيانة في دبي</x:v>
      </x:c>
      <x:c r="K583" s="6" t="str">
        <x:v>إصلاح وصيانة Tesla في دبي: تشخيص وصيانة وفرامل وناقل حركة وتعليق وتكييف مع قطع بالمواصفات المناسبة لدى مركز ديجي-تك.</x:v>
      </x:c>
      <x:c r="L583" s="6" t="str">
        <x:v>Retain pending evidence; no specific content edit justified by this export.</x:v>
      </x:c>
      <x:c r="M583" s="6" t="str">
        <x:v>Retain; inspect relevant context before adding links</x:v>
      </x:c>
      <x:c r="N583" s="6" t="str">
        <x:v>Unconfirmed — no query/page pairing</x:v>
      </x:c>
      <x:c r="O583" s="6" t="str">
        <x:v>Retain established booking / WhatsApp / call path; live behaviour untested</x:v>
      </x:c>
      <x:c r="P583" s="6" t="str">
        <x:v>Retain canonical and indexation policy pending a live check.</x:v>
      </x:c>
      <x:c r="Q583" s="6" t="str">
        <x:v>Proposed; no website change made</x:v>
      </x:c>
      <x:c r="R583" s="14" t="n">
        <x:v>0</x:v>
      </x:c>
      <x:c r="S583" s="14" t="n">
        <x:v>13</x:v>
      </x:c>
      <x:c r="T583" s="15" t="n">
        <x:v>0</x:v>
      </x:c>
      <x:c r="U583" s="16" t="n">
        <x:v>8.69</x:v>
      </x:c>
      <x:c r="V583" s="6" t="str">
        <x:v>https://digitecme.com/ar/brands/tesla-service-dubai</x:v>
      </x:c>
      <x:c r="W583" s="6" t="str">
        <x:v>Indexable directive</x:v>
      </x:c>
      <x:c r="X583" s="6" t="n">
        <x:v>33</x:v>
      </x:c>
      <x:c r="Y583" s="6" t="str">
        <x:v>إصلاح وصيانة Tesla في دبي | مركز ديجي-تك</x:v>
      </x:c>
      <x:c r="Z583" s="6" t="str"/>
      <x:c r="AA583" s="6" t="str">
        <x:v>No / not compared</x:v>
      </x:c>
    </x:row>
    <x:row r="584" ht="42" customHeight="1">
      <x:c r="A584" s="6" t="str">
        <x:v>https://digitecme.com/ar/brands/tesla-service-dubai/ac-repair</x:v>
      </x:c>
      <x:c r="B584" s="6" t="str"/>
      <x:c r="C584" s="6" t="str"/>
      <x:c r="D584" s="6" t="str">
        <x:v>brand-service</x:v>
      </x:c>
      <x:c r="E584" s="6" t="str">
        <x:v>Retain differentiated role</x:v>
      </x:c>
      <x:c r="F584" s="6" t="str">
        <x:v>Local source render; live version unverified</x:v>
      </x:c>
      <x:c r="G584" s="6" t="str">
        <x:v>إصلاح التكييف Tesla في دبي | ديجي-تك</x:v>
      </x:c>
      <x:c r="H584" s="6" t="str">
        <x:v>إصلاح التكييف Tesla في دبي | ديجي-تك</x:v>
      </x:c>
      <x:c r="I584" s="6" t="str">
        <x:v>إصلاح التكييف Tesla في دبي</x:v>
      </x:c>
      <x:c r="J584" s="6" t="str">
        <x:v>إصلاح التكييف Tesla في دبي</x:v>
      </x:c>
      <x:c r="K584" s="6" t="str">
        <x:v>إصلاح التكييف متخصص لسيارات Tesla في دبي مع تشخيص متقدم وقطع مناسبة وتسعير واضح لدى مركز ديجي-تك.</x:v>
      </x:c>
      <x:c r="L584" s="6" t="str">
        <x:v>Retain pending evidence; no specific content edit justified by this export.</x:v>
      </x:c>
      <x:c r="M584" s="6" t="str">
        <x:v>Retain; inspect relevant context before adding links</x:v>
      </x:c>
      <x:c r="N584" s="6" t="str">
        <x:v>Unconfirmed — no query/page pairing</x:v>
      </x:c>
      <x:c r="O584" s="6" t="str">
        <x:v>Retain established booking / WhatsApp / call path; live behaviour untested</x:v>
      </x:c>
      <x:c r="P584" s="6" t="str">
        <x:v>Retain canonical and indexation policy pending a live check.</x:v>
      </x:c>
      <x:c r="Q584" s="6" t="str">
        <x:v>Proposed; no website change made</x:v>
      </x:c>
      <x:c r="R584" s="14"/>
      <x:c r="S584" s="14"/>
      <x:c r="T584" s="15"/>
      <x:c r="U584" s="16"/>
      <x:c r="V584" s="6" t="str">
        <x:v>https://digitecme.com/ar/brands/tesla-service-dubai/ac-repair</x:v>
      </x:c>
      <x:c r="W584" s="6" t="str">
        <x:v>Indexable directive</x:v>
      </x:c>
      <x:c r="X584" s="6" t="n">
        <x:v>11</x:v>
      </x:c>
      <x:c r="Y584" s="6" t="str">
        <x:v>إصلاح التكييف Tesla في دبي | ديجي-تك</x:v>
      </x:c>
      <x:c r="Z584" s="6" t="str"/>
      <x:c r="AA584" s="6" t="str">
        <x:v>No / not compared</x:v>
      </x:c>
    </x:row>
    <x:row r="585" ht="42" customHeight="1">
      <x:c r="A585" s="6" t="str">
        <x:v>https://digitecme.com/ar/brands/tesla-service-dubai/battery-replacement</x:v>
      </x:c>
      <x:c r="B585" s="6" t="str"/>
      <x:c r="C585" s="6" t="str"/>
      <x:c r="D585" s="6" t="str">
        <x:v>brand-service</x:v>
      </x:c>
      <x:c r="E585" s="6" t="str">
        <x:v>Retain differentiated role</x:v>
      </x:c>
      <x:c r="F585" s="6" t="str">
        <x:v>Local source render; live version unverified</x:v>
      </x:c>
      <x:c r="G585" s="6" t="str">
        <x:v>تبديل البطارية Tesla في دبي | ديجي-تك</x:v>
      </x:c>
      <x:c r="H585" s="6" t="str">
        <x:v>تبديل البطارية Tesla في دبي | ديجي-تك</x:v>
      </x:c>
      <x:c r="I585" s="6" t="str">
        <x:v>تبديل البطارية Tesla في دبي</x:v>
      </x:c>
      <x:c r="J585" s="6" t="str">
        <x:v>تبديل البطارية Tesla في دبي</x:v>
      </x:c>
      <x:c r="K585" s="6" t="str">
        <x:v>تبديل البطارية متخصص لسيارات Tesla في دبي مع تشخيص متقدم وقطع مناسبة وتسعير واضح لدى مركز ديجي-تك.</x:v>
      </x:c>
      <x:c r="L585" s="6" t="str">
        <x:v>Retain pending evidence; no specific content edit justified by this export.</x:v>
      </x:c>
      <x:c r="M585" s="6" t="str">
        <x:v>Retain; inspect relevant context before adding links</x:v>
      </x:c>
      <x:c r="N585" s="6" t="str">
        <x:v>Unconfirmed — no query/page pairing</x:v>
      </x:c>
      <x:c r="O585" s="6" t="str">
        <x:v>Retain established booking / WhatsApp / call path; live behaviour untested</x:v>
      </x:c>
      <x:c r="P585" s="6" t="str">
        <x:v>Retain canonical and indexation policy pending a live check.</x:v>
      </x:c>
      <x:c r="Q585" s="6" t="str">
        <x:v>Proposed; no website change made</x:v>
      </x:c>
      <x:c r="R585" s="14"/>
      <x:c r="S585" s="14"/>
      <x:c r="T585" s="15"/>
      <x:c r="U585" s="16"/>
      <x:c r="V585" s="6" t="str">
        <x:v>https://digitecme.com/ar/brands/tesla-service-dubai/battery-replacement</x:v>
      </x:c>
      <x:c r="W585" s="6" t="str">
        <x:v>Noindex directive</x:v>
      </x:c>
      <x:c r="X585" s="6" t="n">
        <x:v>11</x:v>
      </x:c>
      <x:c r="Y585" s="6" t="str">
        <x:v>تبديل البطارية Tesla في دبي | ديجي-تك</x:v>
      </x:c>
      <x:c r="Z585" s="6" t="str"/>
      <x:c r="AA585" s="6" t="str">
        <x:v>No / not compared</x:v>
      </x:c>
    </x:row>
    <x:row r="586" ht="42" customHeight="1">
      <x:c r="A586" s="6" t="str">
        <x:v>https://digitecme.com/ar/brands/tesla-service-dubai/body-repair</x:v>
      </x:c>
      <x:c r="B586" s="6" t="str"/>
      <x:c r="C586" s="6" t="str"/>
      <x:c r="D586" s="6" t="str">
        <x:v>brand-service</x:v>
      </x:c>
      <x:c r="E586" s="6" t="str">
        <x:v>Retain differentiated role</x:v>
      </x:c>
      <x:c r="F586" s="6" t="str">
        <x:v>Local source render; live version unverified</x:v>
      </x:c>
      <x:c r="G586" s="6" t="str">
        <x:v>إصلاح الهيكل Tesla في دبي | ديجي-تك</x:v>
      </x:c>
      <x:c r="H586" s="6" t="str">
        <x:v>إصلاح الهيكل Tesla في دبي | ديجي-تك</x:v>
      </x:c>
      <x:c r="I586" s="6" t="str">
        <x:v>إصلاح الهيكل Tesla في دبي</x:v>
      </x:c>
      <x:c r="J586" s="6" t="str">
        <x:v>إصلاح الهيكل Tesla في دبي</x:v>
      </x:c>
      <x:c r="K586" s="6" t="str">
        <x:v>إصلاح الهيكل متخصص لسيارات Tesla في دبي مع تشخيص متقدم وقطع مناسبة وتسعير واضح لدى مركز ديجي-تك.</x:v>
      </x:c>
      <x:c r="L586" s="6" t="str">
        <x:v>Retain pending evidence; no specific content edit justified by this export.</x:v>
      </x:c>
      <x:c r="M586" s="6" t="str">
        <x:v>Retain; inspect relevant context before adding links</x:v>
      </x:c>
      <x:c r="N586" s="6" t="str">
        <x:v>Unconfirmed — no query/page pairing</x:v>
      </x:c>
      <x:c r="O586" s="6" t="str">
        <x:v>Retain established booking / WhatsApp / call path; live behaviour untested</x:v>
      </x:c>
      <x:c r="P586" s="6" t="str">
        <x:v>Retain canonical and indexation policy pending a live check.</x:v>
      </x:c>
      <x:c r="Q586" s="6" t="str">
        <x:v>Proposed; no website change made</x:v>
      </x:c>
      <x:c r="R586" s="14"/>
      <x:c r="S586" s="14"/>
      <x:c r="T586" s="15"/>
      <x:c r="U586" s="16"/>
      <x:c r="V586" s="6" t="str">
        <x:v>https://digitecme.com/ar/brands/tesla-service-dubai/body-repair</x:v>
      </x:c>
      <x:c r="W586" s="6" t="str">
        <x:v>Noindex directive</x:v>
      </x:c>
      <x:c r="X586" s="6" t="n">
        <x:v>11</x:v>
      </x:c>
      <x:c r="Y586" s="6" t="str">
        <x:v>إصلاح الهيكل Tesla في دبي | ديجي-تك</x:v>
      </x:c>
      <x:c r="Z586" s="6" t="str"/>
      <x:c r="AA586" s="6" t="str">
        <x:v>No / not compared</x:v>
      </x:c>
    </x:row>
    <x:row r="587" ht="42" customHeight="1">
      <x:c r="A587" s="6" t="str">
        <x:v>https://digitecme.com/ar/brands/tesla-service-dubai/brake-repair</x:v>
      </x:c>
      <x:c r="B587" s="6" t="str"/>
      <x:c r="C587" s="6" t="str"/>
      <x:c r="D587" s="6" t="str">
        <x:v>brand-service</x:v>
      </x:c>
      <x:c r="E587" s="6" t="str">
        <x:v>Retain differentiated role</x:v>
      </x:c>
      <x:c r="F587" s="6" t="str">
        <x:v>Local source render; live version unverified</x:v>
      </x:c>
      <x:c r="G587" s="6" t="str">
        <x:v>إصلاح الفرامل Tesla في دبي | ديجي-تك</x:v>
      </x:c>
      <x:c r="H587" s="6" t="str">
        <x:v>إصلاح الفرامل Tesla في دبي | ديجي-تك</x:v>
      </x:c>
      <x:c r="I587" s="6" t="str">
        <x:v>إصلاح الفرامل Tesla في دبي</x:v>
      </x:c>
      <x:c r="J587" s="6" t="str">
        <x:v>إصلاح الفرامل Tesla في دبي</x:v>
      </x:c>
      <x:c r="K587" s="6" t="str">
        <x:v>إصلاح الفرامل متخصص لسيارات Tesla في دبي مع تشخيص متقدم وقطع مناسبة وتسعير واضح لدى مركز ديجي-تك.</x:v>
      </x:c>
      <x:c r="L587" s="6" t="str">
        <x:v>Retain pending evidence; no specific content edit justified by this export.</x:v>
      </x:c>
      <x:c r="M587" s="6" t="str">
        <x:v>Retain; inspect relevant context before adding links</x:v>
      </x:c>
      <x:c r="N587" s="6" t="str">
        <x:v>Unconfirmed — no query/page pairing</x:v>
      </x:c>
      <x:c r="O587" s="6" t="str">
        <x:v>Retain established booking / WhatsApp / call path; live behaviour untested</x:v>
      </x:c>
      <x:c r="P587" s="6" t="str">
        <x:v>Retain canonical and indexation policy pending a live check.</x:v>
      </x:c>
      <x:c r="Q587" s="6" t="str">
        <x:v>Proposed; no website change made</x:v>
      </x:c>
      <x:c r="R587" s="14" t="n">
        <x:v>0</x:v>
      </x:c>
      <x:c r="S587" s="14" t="n">
        <x:v>1</x:v>
      </x:c>
      <x:c r="T587" s="15" t="n">
        <x:v>0</x:v>
      </x:c>
      <x:c r="U587" s="16" t="n">
        <x:v>21</x:v>
      </x:c>
      <x:c r="V587" s="6" t="str">
        <x:v>https://digitecme.com/ar/brands/tesla-service-dubai/brake-repair</x:v>
      </x:c>
      <x:c r="W587" s="6" t="str">
        <x:v>Indexable directive</x:v>
      </x:c>
      <x:c r="X587" s="6" t="n">
        <x:v>11</x:v>
      </x:c>
      <x:c r="Y587" s="6" t="str">
        <x:v>إصلاح الفرامل Tesla في دبي | ديجي-تك</x:v>
      </x:c>
      <x:c r="Z587" s="6" t="str"/>
      <x:c r="AA587" s="6" t="str">
        <x:v>No / not compared</x:v>
      </x:c>
    </x:row>
    <x:row r="588" ht="42" customHeight="1">
      <x:c r="A588" s="6" t="str">
        <x:v>https://digitecme.com/ar/brands/tesla-service-dubai/electrical-repair</x:v>
      </x:c>
      <x:c r="B588" s="6" t="str"/>
      <x:c r="C588" s="6" t="str"/>
      <x:c r="D588" s="6" t="str">
        <x:v>brand-service</x:v>
      </x:c>
      <x:c r="E588" s="6" t="str">
        <x:v>Retain differentiated role</x:v>
      </x:c>
      <x:c r="F588" s="6" t="str">
        <x:v>Local source render; live version unverified</x:v>
      </x:c>
      <x:c r="G588" s="6" t="str">
        <x:v>إصلاح الكهرباء Tesla في دبي | ديجي-تك</x:v>
      </x:c>
      <x:c r="H588" s="6" t="str">
        <x:v>إصلاح الكهرباء Tesla في دبي | ديجي-تك</x:v>
      </x:c>
      <x:c r="I588" s="6" t="str">
        <x:v>إصلاح الكهرباء Tesla في دبي</x:v>
      </x:c>
      <x:c r="J588" s="6" t="str">
        <x:v>إصلاح الكهرباء Tesla في دبي</x:v>
      </x:c>
      <x:c r="K588" s="6" t="str">
        <x:v>إصلاح الكهرباء متخصص لسيارات Tesla في دبي مع تشخيص متقدم وقطع مناسبة وتسعير واضح لدى مركز ديجي-تك.</x:v>
      </x:c>
      <x:c r="L588" s="6" t="str">
        <x:v>Retain pending evidence; no specific content edit justified by this export.</x:v>
      </x:c>
      <x:c r="M588" s="6" t="str">
        <x:v>Retain; inspect relevant context before adding links</x:v>
      </x:c>
      <x:c r="N588" s="6" t="str">
        <x:v>Unconfirmed — no query/page pairing</x:v>
      </x:c>
      <x:c r="O588" s="6" t="str">
        <x:v>Retain established booking / WhatsApp / call path; live behaviour untested</x:v>
      </x:c>
      <x:c r="P588" s="6" t="str">
        <x:v>Retain canonical and indexation policy pending a live check.</x:v>
      </x:c>
      <x:c r="Q588" s="6" t="str">
        <x:v>Proposed; no website change made</x:v>
      </x:c>
      <x:c r="R588" s="14" t="n">
        <x:v>0</x:v>
      </x:c>
      <x:c r="S588" s="14" t="n">
        <x:v>1</x:v>
      </x:c>
      <x:c r="T588" s="15" t="n">
        <x:v>0</x:v>
      </x:c>
      <x:c r="U588" s="16" t="n">
        <x:v>5</x:v>
      </x:c>
      <x:c r="V588" s="6" t="str">
        <x:v>https://digitecme.com/ar/brands/tesla-service-dubai/electrical-repair</x:v>
      </x:c>
      <x:c r="W588" s="6" t="str">
        <x:v>Noindex directive</x:v>
      </x:c>
      <x:c r="X588" s="6" t="n">
        <x:v>11</x:v>
      </x:c>
      <x:c r="Y588" s="6" t="str">
        <x:v>إصلاح الكهرباء Tesla في دبي | ديجي-تك</x:v>
      </x:c>
      <x:c r="Z588" s="6" t="str"/>
      <x:c r="AA588" s="6" t="str">
        <x:v>No / not compared</x:v>
      </x:c>
    </x:row>
    <x:row r="589" ht="42" customHeight="1">
      <x:c r="A589" s="6" t="str">
        <x:v>https://digitecme.com/ar/brands/tesla-service-dubai/mechanical-repair</x:v>
      </x:c>
      <x:c r="B589" s="6" t="str"/>
      <x:c r="C589" s="6" t="str"/>
      <x:c r="D589" s="6" t="str">
        <x:v>brand-service</x:v>
      </x:c>
      <x:c r="E589" s="6" t="str">
        <x:v>Retain differentiated role</x:v>
      </x:c>
      <x:c r="F589" s="6" t="str">
        <x:v>Local source render; live version unverified</x:v>
      </x:c>
      <x:c r="G589" s="6" t="str">
        <x:v>الإصلاح الميكانيكي Tesla في دبي | ديجي-تك</x:v>
      </x:c>
      <x:c r="H589" s="6" t="str">
        <x:v>الإصلاح الميكانيكي Tesla في دبي | ديجي-تك</x:v>
      </x:c>
      <x:c r="I589" s="6" t="str">
        <x:v>الإصلاح الميكانيكي Tesla في دبي</x:v>
      </x:c>
      <x:c r="J589" s="6" t="str">
        <x:v>الإصلاح الميكانيكي Tesla في دبي</x:v>
      </x:c>
      <x:c r="K589" s="6" t="str">
        <x:v>الإصلاح الميكانيكي متخصص لسيارات Tesla في دبي مع تشخيص متقدم وقطع مناسبة وتسعير واضح لدى مركز ديجي-تك.</x:v>
      </x:c>
      <x:c r="L589" s="6" t="str">
        <x:v>Retain pending evidence; no specific content edit justified by this export.</x:v>
      </x:c>
      <x:c r="M589" s="6" t="str">
        <x:v>Retain; inspect relevant context before adding links</x:v>
      </x:c>
      <x:c r="N589" s="6" t="str">
        <x:v>Unconfirmed — no query/page pairing</x:v>
      </x:c>
      <x:c r="O589" s="6" t="str">
        <x:v>Retain established booking / WhatsApp / call path; live behaviour untested</x:v>
      </x:c>
      <x:c r="P589" s="6" t="str">
        <x:v>Retain canonical and indexation policy pending a live check.</x:v>
      </x:c>
      <x:c r="Q589" s="6" t="str">
        <x:v>Proposed; no website change made</x:v>
      </x:c>
      <x:c r="R589" s="14"/>
      <x:c r="S589" s="14"/>
      <x:c r="T589" s="15"/>
      <x:c r="U589" s="16"/>
      <x:c r="V589" s="6" t="str">
        <x:v>https://digitecme.com/ar/brands/tesla-service-dubai/mechanical-repair</x:v>
      </x:c>
      <x:c r="W589" s="6" t="str">
        <x:v>Noindex directive</x:v>
      </x:c>
      <x:c r="X589" s="6" t="n">
        <x:v>11</x:v>
      </x:c>
      <x:c r="Y589" s="6" t="str">
        <x:v>الإصلاح الميكانيكي Tesla في دبي | ديجي-تك</x:v>
      </x:c>
      <x:c r="Z589" s="6" t="str"/>
      <x:c r="AA589" s="6" t="str">
        <x:v>No / not compared</x:v>
      </x:c>
    </x:row>
    <x:row r="590" ht="42" customHeight="1">
      <x:c r="A590" s="6" t="str">
        <x:v>https://digitecme.com/ar/brands/tesla-service-dubai/steering-repair</x:v>
      </x:c>
      <x:c r="B590" s="6" t="str"/>
      <x:c r="C590" s="6" t="str"/>
      <x:c r="D590" s="6" t="str">
        <x:v>brand-service</x:v>
      </x:c>
      <x:c r="E590" s="6" t="str">
        <x:v>Retain differentiated role</x:v>
      </x:c>
      <x:c r="F590" s="6" t="str">
        <x:v>Local source render; live version unverified</x:v>
      </x:c>
      <x:c r="G590" s="6" t="str">
        <x:v>إصلاح نظام التوجيه Tesla في دبي | ديجي-تك</x:v>
      </x:c>
      <x:c r="H590" s="6" t="str">
        <x:v>إصلاح نظام التوجيه Tesla في دبي | ديجي-تك</x:v>
      </x:c>
      <x:c r="I590" s="6" t="str">
        <x:v>إصلاح نظام التوجيه Tesla في دبي</x:v>
      </x:c>
      <x:c r="J590" s="6" t="str">
        <x:v>إصلاح نظام التوجيه Tesla في دبي</x:v>
      </x:c>
      <x:c r="K590" s="6" t="str">
        <x:v>إصلاح نظام التوجيه متخصص لسيارات Tesla في دبي مع تشخيص متقدم وقطع مناسبة وتسعير واضح لدى مركز ديجي-تك.</x:v>
      </x:c>
      <x:c r="L590" s="6" t="str">
        <x:v>Retain pending evidence; no specific content edit justified by this export.</x:v>
      </x:c>
      <x:c r="M590" s="6" t="str">
        <x:v>Retain; inspect relevant context before adding links</x:v>
      </x:c>
      <x:c r="N590" s="6" t="str">
        <x:v>Unconfirmed — no query/page pairing</x:v>
      </x:c>
      <x:c r="O590" s="6" t="str">
        <x:v>Retain established booking / WhatsApp / call path; live behaviour untested</x:v>
      </x:c>
      <x:c r="P590" s="6" t="str">
        <x:v>Retain canonical and indexation policy pending a live check.</x:v>
      </x:c>
      <x:c r="Q590" s="6" t="str">
        <x:v>Proposed; no website change made</x:v>
      </x:c>
      <x:c r="R590" s="14"/>
      <x:c r="S590" s="14"/>
      <x:c r="T590" s="15"/>
      <x:c r="U590" s="16"/>
      <x:c r="V590" s="6" t="str">
        <x:v>https://digitecme.com/ar/brands/tesla-service-dubai/steering-repair</x:v>
      </x:c>
      <x:c r="W590" s="6" t="str">
        <x:v>Noindex directive</x:v>
      </x:c>
      <x:c r="X590" s="6" t="n">
        <x:v>11</x:v>
      </x:c>
      <x:c r="Y590" s="6" t="str">
        <x:v>إصلاح نظام التوجيه Tesla في دبي | ديجي-تك</x:v>
      </x:c>
      <x:c r="Z590" s="6" t="str"/>
      <x:c r="AA590" s="6" t="str">
        <x:v>No / not compared</x:v>
      </x:c>
    </x:row>
    <x:row r="591" ht="42" customHeight="1">
      <x:c r="A591" s="6" t="str">
        <x:v>https://digitecme.com/ar/brands/tesla-service-dubai/suspension-repair</x:v>
      </x:c>
      <x:c r="B591" s="6" t="str"/>
      <x:c r="C591" s="6" t="str"/>
      <x:c r="D591" s="6" t="str">
        <x:v>brand-service</x:v>
      </x:c>
      <x:c r="E591" s="6" t="str">
        <x:v>Retain differentiated role</x:v>
      </x:c>
      <x:c r="F591" s="6" t="str">
        <x:v>Local source render; live version unverified</x:v>
      </x:c>
      <x:c r="G591" s="6" t="str">
        <x:v>إصلاح التعليق Tesla في دبي | ديجي-تك</x:v>
      </x:c>
      <x:c r="H591" s="6" t="str">
        <x:v>إصلاح التعليق Tesla في دبي | ديجي-تك</x:v>
      </x:c>
      <x:c r="I591" s="6" t="str">
        <x:v>إصلاح التعليق Tesla في دبي</x:v>
      </x:c>
      <x:c r="J591" s="6" t="str">
        <x:v>إصلاح التعليق Tesla في دبي</x:v>
      </x:c>
      <x:c r="K591" s="6" t="str">
        <x:v>إصلاح التعليق متخصص لسيارات Tesla في دبي مع تشخيص متقدم وقطع مناسبة وتسعير واضح لدى مركز ديجي-تك.</x:v>
      </x:c>
      <x:c r="L591" s="6" t="str">
        <x:v>Retain pending evidence; no specific content edit justified by this export.</x:v>
      </x:c>
      <x:c r="M591" s="6" t="str">
        <x:v>Retain; inspect relevant context before adding links</x:v>
      </x:c>
      <x:c r="N591" s="6" t="str">
        <x:v>Unconfirmed — no query/page pairing</x:v>
      </x:c>
      <x:c r="O591" s="6" t="str">
        <x:v>Retain established booking / WhatsApp / call path; live behaviour untested</x:v>
      </x:c>
      <x:c r="P591" s="6" t="str">
        <x:v>Retain canonical and indexation policy pending a live check.</x:v>
      </x:c>
      <x:c r="Q591" s="6" t="str">
        <x:v>Proposed; no website change made</x:v>
      </x:c>
      <x:c r="R591" s="14" t="n">
        <x:v>0</x:v>
      </x:c>
      <x:c r="S591" s="14" t="n">
        <x:v>1</x:v>
      </x:c>
      <x:c r="T591" s="15" t="n">
        <x:v>0</x:v>
      </x:c>
      <x:c r="U591" s="16" t="n">
        <x:v>5</x:v>
      </x:c>
      <x:c r="V591" s="6" t="str">
        <x:v>https://digitecme.com/ar/brands/tesla-service-dubai/suspension-repair</x:v>
      </x:c>
      <x:c r="W591" s="6" t="str">
        <x:v>Noindex directive</x:v>
      </x:c>
      <x:c r="X591" s="6" t="n">
        <x:v>11</x:v>
      </x:c>
      <x:c r="Y591" s="6" t="str">
        <x:v>إصلاح التعليق Tesla في دبي | ديجي-تك</x:v>
      </x:c>
      <x:c r="Z591" s="6" t="str"/>
      <x:c r="AA591" s="6" t="str">
        <x:v>No / not compared</x:v>
      </x:c>
    </x:row>
    <x:row r="592" ht="42" customHeight="1">
      <x:c r="A592" s="6" t="str">
        <x:v>https://digitecme.com/ar/brands/tesla-service-dubai/tire-repair</x:v>
      </x:c>
      <x:c r="B592" s="6" t="str"/>
      <x:c r="C592" s="6" t="str"/>
      <x:c r="D592" s="6" t="str">
        <x:v>brand-service</x:v>
      </x:c>
      <x:c r="E592" s="6" t="str">
        <x:v>Retain differentiated role</x:v>
      </x:c>
      <x:c r="F592" s="6" t="str">
        <x:v>Local source render; live version unverified</x:v>
      </x:c>
      <x:c r="G592" s="6" t="str">
        <x:v>إصلاح الإطارات Tesla في دبي | ديجي-تك</x:v>
      </x:c>
      <x:c r="H592" s="6" t="str">
        <x:v>إصلاح الإطارات Tesla في دبي | ديجي-تك</x:v>
      </x:c>
      <x:c r="I592" s="6" t="str">
        <x:v>إصلاح الإطارات Tesla في دبي</x:v>
      </x:c>
      <x:c r="J592" s="6" t="str">
        <x:v>إصلاح الإطارات Tesla في دبي</x:v>
      </x:c>
      <x:c r="K592" s="6" t="str">
        <x:v>إصلاح الإطارات متخصص لسيارات Tesla في دبي مع تشخيص متقدم وقطع مناسبة وتسعير واضح لدى مركز ديجي-تك.</x:v>
      </x:c>
      <x:c r="L592" s="6" t="str">
        <x:v>Retain pending evidence; no specific content edit justified by this export.</x:v>
      </x:c>
      <x:c r="M592" s="6" t="str">
        <x:v>Retain; inspect relevant context before adding links</x:v>
      </x:c>
      <x:c r="N592" s="6" t="str">
        <x:v>Unconfirmed — no query/page pairing</x:v>
      </x:c>
      <x:c r="O592" s="6" t="str">
        <x:v>Retain established booking / WhatsApp / call path; live behaviour untested</x:v>
      </x:c>
      <x:c r="P592" s="6" t="str">
        <x:v>Retain canonical and indexation policy pending a live check.</x:v>
      </x:c>
      <x:c r="Q592" s="6" t="str">
        <x:v>Proposed; no website change made</x:v>
      </x:c>
      <x:c r="R592" s="14"/>
      <x:c r="S592" s="14"/>
      <x:c r="T592" s="15"/>
      <x:c r="U592" s="16"/>
      <x:c r="V592" s="6" t="str">
        <x:v>https://digitecme.com/ar/brands/tesla-service-dubai/tire-repair</x:v>
      </x:c>
      <x:c r="W592" s="6" t="str">
        <x:v>Noindex directive</x:v>
      </x:c>
      <x:c r="X592" s="6" t="n">
        <x:v>11</x:v>
      </x:c>
      <x:c r="Y592" s="6" t="str">
        <x:v>إصلاح الإطارات Tesla في دبي | ديجي-تك</x:v>
      </x:c>
      <x:c r="Z592" s="6" t="str"/>
      <x:c r="AA592" s="6" t="str">
        <x:v>No / not compared</x:v>
      </x:c>
    </x:row>
    <x:row r="593" ht="42" customHeight="1">
      <x:c r="A593" s="6" t="str">
        <x:v>https://digitecme.com/ar/brands/toyota-service-dubai</x:v>
      </x:c>
      <x:c r="B593" s="6" t="str"/>
      <x:c r="C593" s="6" t="str"/>
      <x:c r="D593" s="6" t="str">
        <x:v>brand</x:v>
      </x:c>
      <x:c r="E593" s="6" t="str">
        <x:v>Retain differentiated role</x:v>
      </x:c>
      <x:c r="F593" s="6" t="str">
        <x:v>Local source render; live version unverified</x:v>
      </x:c>
      <x:c r="G593" s="6" t="str">
        <x:v>إصلاح وصيانة Toyota في دبي | مركز ديجي-تك</x:v>
      </x:c>
      <x:c r="H593" s="6" t="str">
        <x:v>إصلاح وصيانة Toyota في دبي | مركز ديجي-تك</x:v>
      </x:c>
      <x:c r="I593" s="6" t="str">
        <x:v>Toyota للإصلاح والصيانة في دبي</x:v>
      </x:c>
      <x:c r="J593" s="6" t="str">
        <x:v>Toyota للإصلاح والصيانة في دبي</x:v>
      </x:c>
      <x:c r="K593" s="6" t="str">
        <x:v>إصلاح وصيانة Toyota في دبي: تشخيص وصيانة وفرامل وناقل حركة وتعليق وتكييف مع قطع بالمواصفات المناسبة لدى مركز ديجي-تك.</x:v>
      </x:c>
      <x:c r="L593" s="6" t="str">
        <x:v>Retain pending evidence; no specific content edit justified by this export.</x:v>
      </x:c>
      <x:c r="M593" s="6" t="str">
        <x:v>Retain; inspect relevant context before adding links</x:v>
      </x:c>
      <x:c r="N593" s="6" t="str">
        <x:v>Unconfirmed — no query/page pairing</x:v>
      </x:c>
      <x:c r="O593" s="6" t="str">
        <x:v>Retain established booking / WhatsApp / call path; live behaviour untested</x:v>
      </x:c>
      <x:c r="P593" s="6" t="str">
        <x:v>Retain canonical and indexation policy pending a live check.</x:v>
      </x:c>
      <x:c r="Q593" s="6" t="str">
        <x:v>Proposed; no website change made</x:v>
      </x:c>
      <x:c r="R593" s="14" t="n">
        <x:v>0</x:v>
      </x:c>
      <x:c r="S593" s="14" t="n">
        <x:v>21</x:v>
      </x:c>
      <x:c r="T593" s="15" t="n">
        <x:v>0</x:v>
      </x:c>
      <x:c r="U593" s="16" t="n">
        <x:v>10.81</x:v>
      </x:c>
      <x:c r="V593" s="6" t="str">
        <x:v>https://digitecme.com/ar/brands/toyota-service-dubai</x:v>
      </x:c>
      <x:c r="W593" s="6" t="str">
        <x:v>Indexable directive</x:v>
      </x:c>
      <x:c r="X593" s="6" t="n">
        <x:v>38</x:v>
      </x:c>
      <x:c r="Y593" s="6" t="str">
        <x:v>إصلاح وصيانة Toyota في دبي | مركز ديجي-تك</x:v>
      </x:c>
      <x:c r="Z593" s="6" t="str"/>
      <x:c r="AA593" s="6" t="str">
        <x:v>No / not compared</x:v>
      </x:c>
    </x:row>
    <x:row r="594" ht="42" customHeight="1">
      <x:c r="A594" s="6" t="str">
        <x:v>https://digitecme.com/ar/brands/toyota-service-dubai/ac-repair</x:v>
      </x:c>
      <x:c r="B594" s="6" t="str"/>
      <x:c r="C594" s="6" t="str"/>
      <x:c r="D594" s="6" t="str">
        <x:v>brand-service</x:v>
      </x:c>
      <x:c r="E594" s="6" t="str">
        <x:v>Retain differentiated role</x:v>
      </x:c>
      <x:c r="F594" s="6" t="str">
        <x:v>Local source render; live version unverified</x:v>
      </x:c>
      <x:c r="G594" s="6" t="str">
        <x:v>إصلاح التكييف Toyota في دبي | ديجي-تك</x:v>
      </x:c>
      <x:c r="H594" s="6" t="str">
        <x:v>إصلاح التكييف Toyota في دبي | ديجي-تك</x:v>
      </x:c>
      <x:c r="I594" s="6" t="str">
        <x:v>إصلاح التكييف Toyota في دبي</x:v>
      </x:c>
      <x:c r="J594" s="6" t="str">
        <x:v>إصلاح التكييف Toyota في دبي</x:v>
      </x:c>
      <x:c r="K594" s="6" t="str">
        <x:v>إصلاح التكييف متخصص لسيارات Toyota في دبي مع تشخيص متقدم وقطع مناسبة وتسعير واضح لدى مركز ديجي-تك.</x:v>
      </x:c>
      <x:c r="L594" s="6" t="str">
        <x:v>Retain pending evidence; no specific content edit justified by this export.</x:v>
      </x:c>
      <x:c r="M594" s="6" t="str">
        <x:v>Retain; inspect relevant context before adding links</x:v>
      </x:c>
      <x:c r="N594" s="6" t="str">
        <x:v>Unconfirmed — no query/page pairing</x:v>
      </x:c>
      <x:c r="O594" s="6" t="str">
        <x:v>Retain established booking / WhatsApp / call path; live behaviour untested</x:v>
      </x:c>
      <x:c r="P594" s="6" t="str">
        <x:v>Retain canonical and indexation policy pending a live check.</x:v>
      </x:c>
      <x:c r="Q594" s="6" t="str">
        <x:v>Proposed; no website change made</x:v>
      </x:c>
      <x:c r="R594" s="14"/>
      <x:c r="S594" s="14"/>
      <x:c r="T594" s="15"/>
      <x:c r="U594" s="16"/>
      <x:c r="V594" s="6" t="str">
        <x:v>https://digitecme.com/ar/brands/toyota-service-dubai/ac-repair</x:v>
      </x:c>
      <x:c r="W594" s="6" t="str">
        <x:v>Indexable directive</x:v>
      </x:c>
      <x:c r="X594" s="6" t="n">
        <x:v>16</x:v>
      </x:c>
      <x:c r="Y594" s="6" t="str">
        <x:v>إصلاح التكييف Toyota في دبي | ديجي-تك</x:v>
      </x:c>
      <x:c r="Z594" s="6" t="str"/>
      <x:c r="AA594" s="6" t="str">
        <x:v>No / not compared</x:v>
      </x:c>
    </x:row>
    <x:row r="595" ht="42" customHeight="1">
      <x:c r="A595" s="6" t="str">
        <x:v>https://digitecme.com/ar/brands/toyota-service-dubai/battery-replacement</x:v>
      </x:c>
      <x:c r="B595" s="6" t="str"/>
      <x:c r="C595" s="6" t="str"/>
      <x:c r="D595" s="6" t="str">
        <x:v>brand-service</x:v>
      </x:c>
      <x:c r="E595" s="6" t="str">
        <x:v>Retain differentiated role</x:v>
      </x:c>
      <x:c r="F595" s="6" t="str">
        <x:v>Local source render; live version unverified</x:v>
      </x:c>
      <x:c r="G595" s="6" t="str">
        <x:v>تبديل البطارية Toyota في دبي | ديجي-تك</x:v>
      </x:c>
      <x:c r="H595" s="6" t="str">
        <x:v>تبديل البطارية Toyota في دبي | ديجي-تك</x:v>
      </x:c>
      <x:c r="I595" s="6" t="str">
        <x:v>تبديل البطارية Toyota في دبي</x:v>
      </x:c>
      <x:c r="J595" s="6" t="str">
        <x:v>تبديل البطارية Toyota في دبي</x:v>
      </x:c>
      <x:c r="K595" s="6" t="str">
        <x:v>تبديل البطارية متخصص لسيارات Toyota في دبي مع تشخيص متقدم وقطع مناسبة وتسعير واضح لدى مركز ديجي-تك.</x:v>
      </x:c>
      <x:c r="L595" s="6" t="str">
        <x:v>Retain pending evidence; no specific content edit justified by this export.</x:v>
      </x:c>
      <x:c r="M595" s="6" t="str">
        <x:v>Retain; inspect relevant context before adding links</x:v>
      </x:c>
      <x:c r="N595" s="6" t="str">
        <x:v>Unconfirmed — no query/page pairing</x:v>
      </x:c>
      <x:c r="O595" s="6" t="str">
        <x:v>Retain established booking / WhatsApp / call path; live behaviour untested</x:v>
      </x:c>
      <x:c r="P595" s="6" t="str">
        <x:v>Retain canonical and indexation policy pending a live check.</x:v>
      </x:c>
      <x:c r="Q595" s="6" t="str">
        <x:v>Proposed; no website change made</x:v>
      </x:c>
      <x:c r="R595" s="14"/>
      <x:c r="S595" s="14"/>
      <x:c r="T595" s="15"/>
      <x:c r="U595" s="16"/>
      <x:c r="V595" s="6" t="str">
        <x:v>https://digitecme.com/ar/brands/toyota-service-dubai/battery-replacement</x:v>
      </x:c>
      <x:c r="W595" s="6" t="str">
        <x:v>Indexable directive</x:v>
      </x:c>
      <x:c r="X595" s="6" t="n">
        <x:v>16</x:v>
      </x:c>
      <x:c r="Y595" s="6" t="str">
        <x:v>تبديل البطارية Toyota في دبي | ديجي-تك</x:v>
      </x:c>
      <x:c r="Z595" s="6" t="str"/>
      <x:c r="AA595" s="6" t="str">
        <x:v>No / not compared</x:v>
      </x:c>
    </x:row>
    <x:row r="596" ht="42" customHeight="1">
      <x:c r="A596" s="6" t="str">
        <x:v>https://digitecme.com/ar/brands/toyota-service-dubai/body-repair</x:v>
      </x:c>
      <x:c r="B596" s="6" t="str"/>
      <x:c r="C596" s="6" t="str"/>
      <x:c r="D596" s="6" t="str">
        <x:v>brand-service</x:v>
      </x:c>
      <x:c r="E596" s="6" t="str">
        <x:v>Retain differentiated role</x:v>
      </x:c>
      <x:c r="F596" s="6" t="str">
        <x:v>Local source render; live version unverified</x:v>
      </x:c>
      <x:c r="G596" s="6" t="str">
        <x:v>إصلاح الهيكل Toyota في دبي | ديجي-تك</x:v>
      </x:c>
      <x:c r="H596" s="6" t="str">
        <x:v>إصلاح الهيكل Toyota في دبي | ديجي-تك</x:v>
      </x:c>
      <x:c r="I596" s="6" t="str">
        <x:v>إصلاح الهيكل Toyota في دبي</x:v>
      </x:c>
      <x:c r="J596" s="6" t="str">
        <x:v>إصلاح الهيكل Toyota في دبي</x:v>
      </x:c>
      <x:c r="K596" s="6" t="str">
        <x:v>إصلاح الهيكل متخصص لسيارات Toyota في دبي مع تشخيص متقدم وقطع مناسبة وتسعير واضح لدى مركز ديجي-تك.</x:v>
      </x:c>
      <x:c r="L596" s="6" t="str">
        <x:v>Retain pending evidence; no specific content edit justified by this export.</x:v>
      </x:c>
      <x:c r="M596" s="6" t="str">
        <x:v>Retain; inspect relevant context before adding links</x:v>
      </x:c>
      <x:c r="N596" s="6" t="str">
        <x:v>Unconfirmed — no query/page pairing</x:v>
      </x:c>
      <x:c r="O596" s="6" t="str">
        <x:v>Retain established booking / WhatsApp / call path; live behaviour untested</x:v>
      </x:c>
      <x:c r="P596" s="6" t="str">
        <x:v>Retain canonical and indexation policy pending a live check.</x:v>
      </x:c>
      <x:c r="Q596" s="6" t="str">
        <x:v>Proposed; no website change made</x:v>
      </x:c>
      <x:c r="R596" s="14"/>
      <x:c r="S596" s="14"/>
      <x:c r="T596" s="15"/>
      <x:c r="U596" s="16"/>
      <x:c r="V596" s="6" t="str">
        <x:v>https://digitecme.com/ar/brands/toyota-service-dubai/body-repair</x:v>
      </x:c>
      <x:c r="W596" s="6" t="str">
        <x:v>Indexable directive</x:v>
      </x:c>
      <x:c r="X596" s="6" t="n">
        <x:v>16</x:v>
      </x:c>
      <x:c r="Y596" s="6" t="str">
        <x:v>إصلاح الهيكل Toyota في دبي | ديجي-تك</x:v>
      </x:c>
      <x:c r="Z596" s="6" t="str"/>
      <x:c r="AA596" s="6" t="str">
        <x:v>No / not compared</x:v>
      </x:c>
    </x:row>
    <x:row r="597" ht="42" customHeight="1">
      <x:c r="A597" s="6" t="str">
        <x:v>https://digitecme.com/ar/brands/toyota-service-dubai/brake-repair</x:v>
      </x:c>
      <x:c r="B597" s="6" t="str"/>
      <x:c r="C597" s="6" t="str"/>
      <x:c r="D597" s="6" t="str">
        <x:v>brand-service</x:v>
      </x:c>
      <x:c r="E597" s="6" t="str">
        <x:v>Retain differentiated role</x:v>
      </x:c>
      <x:c r="F597" s="6" t="str">
        <x:v>Local source render; live version unverified</x:v>
      </x:c>
      <x:c r="G597" s="6" t="str">
        <x:v>إصلاح الفرامل Toyota في دبي | ديجي-تك</x:v>
      </x:c>
      <x:c r="H597" s="6" t="str">
        <x:v>إصلاح الفرامل Toyota في دبي | ديجي-تك</x:v>
      </x:c>
      <x:c r="I597" s="6" t="str">
        <x:v>إصلاح الفرامل Toyota في دبي</x:v>
      </x:c>
      <x:c r="J597" s="6" t="str">
        <x:v>إصلاح الفرامل Toyota في دبي</x:v>
      </x:c>
      <x:c r="K597" s="6" t="str">
        <x:v>إصلاح الفرامل متخصص لسيارات Toyota في دبي مع تشخيص متقدم وقطع مناسبة وتسعير واضح لدى مركز ديجي-تك.</x:v>
      </x:c>
      <x:c r="L597" s="6" t="str">
        <x:v>Retain pending evidence; no specific content edit justified by this export.</x:v>
      </x:c>
      <x:c r="M597" s="6" t="str">
        <x:v>Retain; inspect relevant context before adding links</x:v>
      </x:c>
      <x:c r="N597" s="6" t="str">
        <x:v>Unconfirmed — no query/page pairing</x:v>
      </x:c>
      <x:c r="O597" s="6" t="str">
        <x:v>Retain established booking / WhatsApp / call path; live behaviour untested</x:v>
      </x:c>
      <x:c r="P597" s="6" t="str">
        <x:v>Retain canonical and indexation policy pending a live check.</x:v>
      </x:c>
      <x:c r="Q597" s="6" t="str">
        <x:v>Proposed; no website change made</x:v>
      </x:c>
      <x:c r="R597" s="14"/>
      <x:c r="S597" s="14"/>
      <x:c r="T597" s="15"/>
      <x:c r="U597" s="16"/>
      <x:c r="V597" s="6" t="str">
        <x:v>https://digitecme.com/ar/brands/toyota-service-dubai/brake-repair</x:v>
      </x:c>
      <x:c r="W597" s="6" t="str">
        <x:v>Indexable directive</x:v>
      </x:c>
      <x:c r="X597" s="6" t="n">
        <x:v>16</x:v>
      </x:c>
      <x:c r="Y597" s="6" t="str">
        <x:v>إصلاح الفرامل Toyota في دبي | ديجي-تك</x:v>
      </x:c>
      <x:c r="Z597" s="6" t="str"/>
      <x:c r="AA597" s="6" t="str">
        <x:v>No / not compared</x:v>
      </x:c>
    </x:row>
    <x:row r="598" ht="42" customHeight="1">
      <x:c r="A598" s="6" t="str">
        <x:v>https://digitecme.com/ar/brands/toyota-service-dubai/electrical-repair</x:v>
      </x:c>
      <x:c r="B598" s="6" t="str"/>
      <x:c r="C598" s="6" t="str"/>
      <x:c r="D598" s="6" t="str">
        <x:v>brand-service</x:v>
      </x:c>
      <x:c r="E598" s="6" t="str">
        <x:v>Retain differentiated role</x:v>
      </x:c>
      <x:c r="F598" s="6" t="str">
        <x:v>Local source render; live version unverified</x:v>
      </x:c>
      <x:c r="G598" s="6" t="str">
        <x:v>إصلاح الكهرباء Toyota في دبي | ديجي-تك</x:v>
      </x:c>
      <x:c r="H598" s="6" t="str">
        <x:v>إصلاح الكهرباء Toyota في دبي | ديجي-تك</x:v>
      </x:c>
      <x:c r="I598" s="6" t="str">
        <x:v>إصلاح الكهرباء Toyota في دبي</x:v>
      </x:c>
      <x:c r="J598" s="6" t="str">
        <x:v>إصلاح الكهرباء Toyota في دبي</x:v>
      </x:c>
      <x:c r="K598" s="6" t="str">
        <x:v>إصلاح الكهرباء متخصص لسيارات Toyota في دبي مع تشخيص متقدم وقطع مناسبة وتسعير واضح لدى مركز ديجي-تك.</x:v>
      </x:c>
      <x:c r="L598" s="6" t="str">
        <x:v>Retain pending evidence; no specific content edit justified by this export.</x:v>
      </x:c>
      <x:c r="M598" s="6" t="str">
        <x:v>Retain; inspect relevant context before adding links</x:v>
      </x:c>
      <x:c r="N598" s="6" t="str">
        <x:v>Unconfirmed — no query/page pairing</x:v>
      </x:c>
      <x:c r="O598" s="6" t="str">
        <x:v>Retain established booking / WhatsApp / call path; live behaviour untested</x:v>
      </x:c>
      <x:c r="P598" s="6" t="str">
        <x:v>Retain canonical and indexation policy pending a live check.</x:v>
      </x:c>
      <x:c r="Q598" s="6" t="str">
        <x:v>Proposed; no website change made</x:v>
      </x:c>
      <x:c r="R598" s="14"/>
      <x:c r="S598" s="14"/>
      <x:c r="T598" s="15"/>
      <x:c r="U598" s="16"/>
      <x:c r="V598" s="6" t="str">
        <x:v>https://digitecme.com/ar/brands/toyota-service-dubai/electrical-repair</x:v>
      </x:c>
      <x:c r="W598" s="6" t="str">
        <x:v>Indexable directive</x:v>
      </x:c>
      <x:c r="X598" s="6" t="n">
        <x:v>16</x:v>
      </x:c>
      <x:c r="Y598" s="6" t="str">
        <x:v>إصلاح الكهرباء Toyota في دبي | ديجي-تك</x:v>
      </x:c>
      <x:c r="Z598" s="6" t="str"/>
      <x:c r="AA598" s="6" t="str">
        <x:v>No / not compared</x:v>
      </x:c>
    </x:row>
    <x:row r="599" ht="42" customHeight="1">
      <x:c r="A599" s="6" t="str">
        <x:v>https://digitecme.com/ar/brands/toyota-service-dubai/engine-diagnostics</x:v>
      </x:c>
      <x:c r="B599" s="6" t="str"/>
      <x:c r="C599" s="6" t="str"/>
      <x:c r="D599" s="6" t="str">
        <x:v>brand-service</x:v>
      </x:c>
      <x:c r="E599" s="6" t="str">
        <x:v>Retain differentiated role</x:v>
      </x:c>
      <x:c r="F599" s="6" t="str">
        <x:v>Local source render; live version unverified</x:v>
      </x:c>
      <x:c r="G599" s="6" t="str">
        <x:v>تشخيص المحرك Toyota في دبي | ديجي-تك</x:v>
      </x:c>
      <x:c r="H599" s="6" t="str">
        <x:v>تشخيص المحرك Toyota في دبي | ديجي-تك</x:v>
      </x:c>
      <x:c r="I599" s="6" t="str">
        <x:v>تشخيص المحرك Toyota في دبي</x:v>
      </x:c>
      <x:c r="J599" s="6" t="str">
        <x:v>تشخيص المحرك Toyota في دبي</x:v>
      </x:c>
      <x:c r="K599" s="6" t="str">
        <x:v>تشخيص المحرك متخصص لسيارات Toyota في دبي مع تشخيص متقدم وقطع مناسبة وتسعير واضح لدى مركز ديجي-تك.</x:v>
      </x:c>
      <x:c r="L599" s="6" t="str">
        <x:v>Retain pending evidence; no specific content edit justified by this export.</x:v>
      </x:c>
      <x:c r="M599" s="6" t="str">
        <x:v>Retain; inspect relevant context before adding links</x:v>
      </x:c>
      <x:c r="N599" s="6" t="str">
        <x:v>Unconfirmed — no query/page pairing</x:v>
      </x:c>
      <x:c r="O599" s="6" t="str">
        <x:v>Retain established booking / WhatsApp / call path; live behaviour untested</x:v>
      </x:c>
      <x:c r="P599" s="6" t="str">
        <x:v>Retain canonical and indexation policy pending a live check.</x:v>
      </x:c>
      <x:c r="Q599" s="6" t="str">
        <x:v>Proposed; no website change made</x:v>
      </x:c>
      <x:c r="R599" s="14" t="n">
        <x:v>0</x:v>
      </x:c>
      <x:c r="S599" s="14" t="n">
        <x:v>1</x:v>
      </x:c>
      <x:c r="T599" s="15" t="n">
        <x:v>0</x:v>
      </x:c>
      <x:c r="U599" s="16" t="n">
        <x:v>15</x:v>
      </x:c>
      <x:c r="V599" s="6" t="str">
        <x:v>https://digitecme.com/ar/brands/toyota-service-dubai/engine-diagnostics</x:v>
      </x:c>
      <x:c r="W599" s="6" t="str">
        <x:v>Indexable directive</x:v>
      </x:c>
      <x:c r="X599" s="6" t="n">
        <x:v>16</x:v>
      </x:c>
      <x:c r="Y599" s="6" t="str">
        <x:v>تشخيص المحرك Toyota في دبي | ديجي-تك</x:v>
      </x:c>
      <x:c r="Z599" s="6" t="str"/>
      <x:c r="AA599" s="6" t="str">
        <x:v>No / not compared</x:v>
      </x:c>
    </x:row>
    <x:row r="600" ht="42" customHeight="1">
      <x:c r="A600" s="6" t="str">
        <x:v>https://digitecme.com/ar/brands/toyota-service-dubai/exhaust-repair</x:v>
      </x:c>
      <x:c r="B600" s="6" t="str"/>
      <x:c r="C600" s="6" t="str"/>
      <x:c r="D600" s="6" t="str">
        <x:v>brand-service</x:v>
      </x:c>
      <x:c r="E600" s="6" t="str">
        <x:v>Retain differentiated role</x:v>
      </x:c>
      <x:c r="F600" s="6" t="str">
        <x:v>Local source render; live version unverified</x:v>
      </x:c>
      <x:c r="G600" s="6" t="str">
        <x:v>إصلاح العادم Toyota في دبي | ديجي-تك</x:v>
      </x:c>
      <x:c r="H600" s="6" t="str">
        <x:v>إصلاح العادم Toyota في دبي | ديجي-تك</x:v>
      </x:c>
      <x:c r="I600" s="6" t="str">
        <x:v>إصلاح العادم Toyota في دبي</x:v>
      </x:c>
      <x:c r="J600" s="6" t="str">
        <x:v>إصلاح العادم Toyota في دبي</x:v>
      </x:c>
      <x:c r="K600" s="6" t="str">
        <x:v>إصلاح العادم متخصص لسيارات Toyota في دبي مع تشخيص متقدم وقطع مناسبة وتسعير واضح لدى مركز ديجي-تك.</x:v>
      </x:c>
      <x:c r="L600" s="6" t="str">
        <x:v>Retain pending evidence; no specific content edit justified by this export.</x:v>
      </x:c>
      <x:c r="M600" s="6" t="str">
        <x:v>Retain; inspect relevant context before adding links</x:v>
      </x:c>
      <x:c r="N600" s="6" t="str">
        <x:v>Unconfirmed — no query/page pairing</x:v>
      </x:c>
      <x:c r="O600" s="6" t="str">
        <x:v>Retain established booking / WhatsApp / call path; live behaviour untested</x:v>
      </x:c>
      <x:c r="P600" s="6" t="str">
        <x:v>Retain canonical and indexation policy pending a live check.</x:v>
      </x:c>
      <x:c r="Q600" s="6" t="str">
        <x:v>Proposed; no website change made</x:v>
      </x:c>
      <x:c r="R600" s="14"/>
      <x:c r="S600" s="14"/>
      <x:c r="T600" s="15"/>
      <x:c r="U600" s="16"/>
      <x:c r="V600" s="6" t="str">
        <x:v>https://digitecme.com/ar/brands/toyota-service-dubai/exhaust-repair</x:v>
      </x:c>
      <x:c r="W600" s="6" t="str">
        <x:v>Indexable directive</x:v>
      </x:c>
      <x:c r="X600" s="6" t="n">
        <x:v>16</x:v>
      </x:c>
      <x:c r="Y600" s="6" t="str">
        <x:v>إصلاح العادم Toyota في دبي | ديجي-تك</x:v>
      </x:c>
      <x:c r="Z600" s="6" t="str"/>
      <x:c r="AA600" s="6" t="str">
        <x:v>No / not compared</x:v>
      </x:c>
    </x:row>
    <x:row r="601" ht="42" customHeight="1">
      <x:c r="A601" s="6" t="str">
        <x:v>https://digitecme.com/ar/brands/toyota-service-dubai/fuel-system-repair</x:v>
      </x:c>
      <x:c r="B601" s="6" t="str"/>
      <x:c r="C601" s="6" t="str"/>
      <x:c r="D601" s="6" t="str">
        <x:v>brand-service</x:v>
      </x:c>
      <x:c r="E601" s="6" t="str">
        <x:v>Retain differentiated role</x:v>
      </x:c>
      <x:c r="F601" s="6" t="str">
        <x:v>Local source render; live version unverified</x:v>
      </x:c>
      <x:c r="G601" s="6" t="str">
        <x:v>إصلاح نظام الوقود Toyota في دبي | ديجي-تك</x:v>
      </x:c>
      <x:c r="H601" s="6" t="str">
        <x:v>إصلاح نظام الوقود Toyota في دبي | ديجي-تك</x:v>
      </x:c>
      <x:c r="I601" s="6" t="str">
        <x:v>إصلاح نظام الوقود Toyota في دبي</x:v>
      </x:c>
      <x:c r="J601" s="6" t="str">
        <x:v>إصلاح نظام الوقود Toyota في دبي</x:v>
      </x:c>
      <x:c r="K601" s="6" t="str">
        <x:v>إصلاح نظام الوقود متخصص لسيارات Toyota في دبي مع تشخيص متقدم وقطع مناسبة وتسعير واضح لدى مركز ديجي-تك.</x:v>
      </x:c>
      <x:c r="L601" s="6" t="str">
        <x:v>Retain pending evidence; no specific content edit justified by this export.</x:v>
      </x:c>
      <x:c r="M601" s="6" t="str">
        <x:v>Retain; inspect relevant context before adding links</x:v>
      </x:c>
      <x:c r="N601" s="6" t="str">
        <x:v>Unconfirmed — no query/page pairing</x:v>
      </x:c>
      <x:c r="O601" s="6" t="str">
        <x:v>Retain established booking / WhatsApp / call path; live behaviour untested</x:v>
      </x:c>
      <x:c r="P601" s="6" t="str">
        <x:v>Retain canonical and indexation policy pending a live check.</x:v>
      </x:c>
      <x:c r="Q601" s="6" t="str">
        <x:v>Proposed; no website change made</x:v>
      </x:c>
      <x:c r="R601" s="14"/>
      <x:c r="S601" s="14"/>
      <x:c r="T601" s="15"/>
      <x:c r="U601" s="16"/>
      <x:c r="V601" s="6" t="str">
        <x:v>https://digitecme.com/ar/brands/toyota-service-dubai/fuel-system-repair</x:v>
      </x:c>
      <x:c r="W601" s="6" t="str">
        <x:v>Indexable directive</x:v>
      </x:c>
      <x:c r="X601" s="6" t="n">
        <x:v>16</x:v>
      </x:c>
      <x:c r="Y601" s="6" t="str">
        <x:v>إصلاح نظام الوقود Toyota في دبي | ديجي-تك</x:v>
      </x:c>
      <x:c r="Z601" s="6" t="str"/>
      <x:c r="AA601" s="6" t="str">
        <x:v>No / not compared</x:v>
      </x:c>
    </x:row>
    <x:row r="602" ht="42" customHeight="1">
      <x:c r="A602" s="6" t="str">
        <x:v>https://digitecme.com/ar/brands/toyota-service-dubai/mechanical-repair</x:v>
      </x:c>
      <x:c r="B602" s="6" t="str"/>
      <x:c r="C602" s="6" t="str"/>
      <x:c r="D602" s="6" t="str">
        <x:v>brand-service</x:v>
      </x:c>
      <x:c r="E602" s="6" t="str">
        <x:v>Retain differentiated role</x:v>
      </x:c>
      <x:c r="F602" s="6" t="str">
        <x:v>Local source render; live version unverified</x:v>
      </x:c>
      <x:c r="G602" s="6" t="str">
        <x:v>الإصلاح الميكانيكي Toyota في دبي | ديجي-تك</x:v>
      </x:c>
      <x:c r="H602" s="6" t="str">
        <x:v>الإصلاح الميكانيكي Toyota في دبي | ديجي-تك</x:v>
      </x:c>
      <x:c r="I602" s="6" t="str">
        <x:v>الإصلاح الميكانيكي Toyota في دبي</x:v>
      </x:c>
      <x:c r="J602" s="6" t="str">
        <x:v>الإصلاح الميكانيكي Toyota في دبي</x:v>
      </x:c>
      <x:c r="K602" s="6" t="str">
        <x:v>الإصلاح الميكانيكي متخصص لسيارات Toyota في دبي مع تشخيص متقدم وقطع مناسبة وتسعير واضح لدى مركز ديجي-تك.</x:v>
      </x:c>
      <x:c r="L602" s="6" t="str">
        <x:v>Retain pending evidence; no specific content edit justified by this export.</x:v>
      </x:c>
      <x:c r="M602" s="6" t="str">
        <x:v>Retain; inspect relevant context before adding links</x:v>
      </x:c>
      <x:c r="N602" s="6" t="str">
        <x:v>Unconfirmed — no query/page pairing</x:v>
      </x:c>
      <x:c r="O602" s="6" t="str">
        <x:v>Retain established booking / WhatsApp / call path; live behaviour untested</x:v>
      </x:c>
      <x:c r="P602" s="6" t="str">
        <x:v>Retain canonical and indexation policy pending a live check.</x:v>
      </x:c>
      <x:c r="Q602" s="6" t="str">
        <x:v>Proposed; no website change made</x:v>
      </x:c>
      <x:c r="R602" s="14"/>
      <x:c r="S602" s="14"/>
      <x:c r="T602" s="15"/>
      <x:c r="U602" s="16"/>
      <x:c r="V602" s="6" t="str">
        <x:v>https://digitecme.com/ar/brands/toyota-service-dubai/mechanical-repair</x:v>
      </x:c>
      <x:c r="W602" s="6" t="str">
        <x:v>Indexable directive</x:v>
      </x:c>
      <x:c r="X602" s="6" t="n">
        <x:v>16</x:v>
      </x:c>
      <x:c r="Y602" s="6" t="str">
        <x:v>الإصلاح الميكانيكي Toyota في دبي | ديجي-تك</x:v>
      </x:c>
      <x:c r="Z602" s="6" t="str"/>
      <x:c r="AA602" s="6" t="str">
        <x:v>No / not compared</x:v>
      </x:c>
    </x:row>
    <x:row r="603" ht="42" customHeight="1">
      <x:c r="A603" s="6" t="str">
        <x:v>https://digitecme.com/ar/brands/toyota-service-dubai/oil-change</x:v>
      </x:c>
      <x:c r="B603" s="6" t="str"/>
      <x:c r="C603" s="6" t="str"/>
      <x:c r="D603" s="6" t="str">
        <x:v>brand-service</x:v>
      </x:c>
      <x:c r="E603" s="6" t="str">
        <x:v>Retain differentiated role</x:v>
      </x:c>
      <x:c r="F603" s="6" t="str">
        <x:v>Local source render; live version unverified</x:v>
      </x:c>
      <x:c r="G603" s="6" t="str">
        <x:v>تغيير الزيت Toyota في دبي | ديجي-تك</x:v>
      </x:c>
      <x:c r="H603" s="6" t="str">
        <x:v>تغيير الزيت Toyota في دبي | ديجي-تك</x:v>
      </x:c>
      <x:c r="I603" s="6" t="str">
        <x:v>تغيير الزيت Toyota في دبي</x:v>
      </x:c>
      <x:c r="J603" s="6" t="str">
        <x:v>تغيير الزيت Toyota في دبي</x:v>
      </x:c>
      <x:c r="K603" s="6" t="str">
        <x:v>تغيير الزيت متخصص لسيارات Toyota في دبي مع تشخيص متقدم وقطع مناسبة وتسعير واضح لدى مركز ديجي-تك.</x:v>
      </x:c>
      <x:c r="L603" s="6" t="str">
        <x:v>Retain pending evidence; no specific content edit justified by this export.</x:v>
      </x:c>
      <x:c r="M603" s="6" t="str">
        <x:v>Retain; inspect relevant context before adding links</x:v>
      </x:c>
      <x:c r="N603" s="6" t="str">
        <x:v>Unconfirmed — no query/page pairing</x:v>
      </x:c>
      <x:c r="O603" s="6" t="str">
        <x:v>Retain established booking / WhatsApp / call path; live behaviour untested</x:v>
      </x:c>
      <x:c r="P603" s="6" t="str">
        <x:v>Retain canonical and indexation policy pending a live check.</x:v>
      </x:c>
      <x:c r="Q603" s="6" t="str">
        <x:v>Proposed; no website change made</x:v>
      </x:c>
      <x:c r="R603" s="14" t="n">
        <x:v>0</x:v>
      </x:c>
      <x:c r="S603" s="14" t="n">
        <x:v>3</x:v>
      </x:c>
      <x:c r="T603" s="15" t="n">
        <x:v>0</x:v>
      </x:c>
      <x:c r="U603" s="16" t="n">
        <x:v>6.67</x:v>
      </x:c>
      <x:c r="V603" s="6" t="str">
        <x:v>https://digitecme.com/ar/brands/toyota-service-dubai/oil-change</x:v>
      </x:c>
      <x:c r="W603" s="6" t="str">
        <x:v>Indexable directive</x:v>
      </x:c>
      <x:c r="X603" s="6" t="n">
        <x:v>16</x:v>
      </x:c>
      <x:c r="Y603" s="6" t="str">
        <x:v>تغيير الزيت Toyota في دبي | ديجي-تك</x:v>
      </x:c>
      <x:c r="Z603" s="6" t="str"/>
      <x:c r="AA603" s="6" t="str">
        <x:v>No / not compared</x:v>
      </x:c>
    </x:row>
    <x:row r="604" ht="42" customHeight="1">
      <x:c r="A604" s="6" t="str">
        <x:v>https://digitecme.com/ar/brands/toyota-service-dubai/steering-repair</x:v>
      </x:c>
      <x:c r="B604" s="6" t="str"/>
      <x:c r="C604" s="6" t="str"/>
      <x:c r="D604" s="6" t="str">
        <x:v>brand-service</x:v>
      </x:c>
      <x:c r="E604" s="6" t="str">
        <x:v>Retain differentiated role</x:v>
      </x:c>
      <x:c r="F604" s="6" t="str">
        <x:v>Local source render; live version unverified</x:v>
      </x:c>
      <x:c r="G604" s="6" t="str">
        <x:v>إصلاح نظام التوجيه Toyota في دبي | ديجي-تك</x:v>
      </x:c>
      <x:c r="H604" s="6" t="str">
        <x:v>إصلاح نظام التوجيه Toyota في دبي | ديجي-تك</x:v>
      </x:c>
      <x:c r="I604" s="6" t="str">
        <x:v>إصلاح نظام التوجيه Toyota في دبي</x:v>
      </x:c>
      <x:c r="J604" s="6" t="str">
        <x:v>إصلاح نظام التوجيه Toyota في دبي</x:v>
      </x:c>
      <x:c r="K604" s="6" t="str">
        <x:v>إصلاح نظام التوجيه متخصص لسيارات Toyota في دبي مع تشخيص متقدم وقطع مناسبة وتسعير واضح لدى مركز ديجي-تك.</x:v>
      </x:c>
      <x:c r="L604" s="6" t="str">
        <x:v>Retain pending evidence; no specific content edit justified by this export.</x:v>
      </x:c>
      <x:c r="M604" s="6" t="str">
        <x:v>Retain; inspect relevant context before adding links</x:v>
      </x:c>
      <x:c r="N604" s="6" t="str">
        <x:v>Unconfirmed — no query/page pairing</x:v>
      </x:c>
      <x:c r="O604" s="6" t="str">
        <x:v>Retain established booking / WhatsApp / call path; live behaviour untested</x:v>
      </x:c>
      <x:c r="P604" s="6" t="str">
        <x:v>Retain canonical and indexation policy pending a live check.</x:v>
      </x:c>
      <x:c r="Q604" s="6" t="str">
        <x:v>Proposed; no website change made</x:v>
      </x:c>
      <x:c r="R604" s="14"/>
      <x:c r="S604" s="14"/>
      <x:c r="T604" s="15"/>
      <x:c r="U604" s="16"/>
      <x:c r="V604" s="6" t="str">
        <x:v>https://digitecme.com/ar/brands/toyota-service-dubai/steering-repair</x:v>
      </x:c>
      <x:c r="W604" s="6" t="str">
        <x:v>Indexable directive</x:v>
      </x:c>
      <x:c r="X604" s="6" t="n">
        <x:v>16</x:v>
      </x:c>
      <x:c r="Y604" s="6" t="str">
        <x:v>إصلاح نظام التوجيه Toyota في دبي | ديجي-تك</x:v>
      </x:c>
      <x:c r="Z604" s="6" t="str"/>
      <x:c r="AA604" s="6" t="str">
        <x:v>No / not compared</x:v>
      </x:c>
    </x:row>
    <x:row r="605" ht="42" customHeight="1">
      <x:c r="A605" s="6" t="str">
        <x:v>https://digitecme.com/ar/brands/toyota-service-dubai/suspension-repair</x:v>
      </x:c>
      <x:c r="B605" s="6" t="str"/>
      <x:c r="C605" s="6" t="str"/>
      <x:c r="D605" s="6" t="str">
        <x:v>brand-service</x:v>
      </x:c>
      <x:c r="E605" s="6" t="str">
        <x:v>Retain differentiated role</x:v>
      </x:c>
      <x:c r="F605" s="6" t="str">
        <x:v>Local source render; live version unverified</x:v>
      </x:c>
      <x:c r="G605" s="6" t="str">
        <x:v>إصلاح التعليق Toyota في دبي | ديجي-تك</x:v>
      </x:c>
      <x:c r="H605" s="6" t="str">
        <x:v>إصلاح التعليق Toyota في دبي | ديجي-تك</x:v>
      </x:c>
      <x:c r="I605" s="6" t="str">
        <x:v>إصلاح التعليق Toyota في دبي</x:v>
      </x:c>
      <x:c r="J605" s="6" t="str">
        <x:v>إصلاح التعليق Toyota في دبي</x:v>
      </x:c>
      <x:c r="K605" s="6" t="str">
        <x:v>إصلاح التعليق متخصص لسيارات Toyota في دبي مع تشخيص متقدم وقطع مناسبة وتسعير واضح لدى مركز ديجي-تك.</x:v>
      </x:c>
      <x:c r="L605" s="6" t="str">
        <x:v>Retain pending evidence; no specific content edit justified by this export.</x:v>
      </x:c>
      <x:c r="M605" s="6" t="str">
        <x:v>Retain; inspect relevant context before adding links</x:v>
      </x:c>
      <x:c r="N605" s="6" t="str">
        <x:v>Unconfirmed — no query/page pairing</x:v>
      </x:c>
      <x:c r="O605" s="6" t="str">
        <x:v>Retain established booking / WhatsApp / call path; live behaviour untested</x:v>
      </x:c>
      <x:c r="P605" s="6" t="str">
        <x:v>Retain canonical and indexation policy pending a live check.</x:v>
      </x:c>
      <x:c r="Q605" s="6" t="str">
        <x:v>Proposed; no website change made</x:v>
      </x:c>
      <x:c r="R605" s="14" t="n">
        <x:v>0</x:v>
      </x:c>
      <x:c r="S605" s="14" t="n">
        <x:v>1</x:v>
      </x:c>
      <x:c r="T605" s="15" t="n">
        <x:v>0</x:v>
      </x:c>
      <x:c r="U605" s="16" t="n">
        <x:v>7</x:v>
      </x:c>
      <x:c r="V605" s="6" t="str">
        <x:v>https://digitecme.com/ar/brands/toyota-service-dubai/suspension-repair</x:v>
      </x:c>
      <x:c r="W605" s="6" t="str">
        <x:v>Indexable directive</x:v>
      </x:c>
      <x:c r="X605" s="6" t="n">
        <x:v>16</x:v>
      </x:c>
      <x:c r="Y605" s="6" t="str">
        <x:v>إصلاح التعليق Toyota في دبي | ديجي-تك</x:v>
      </x:c>
      <x:c r="Z605" s="6" t="str"/>
      <x:c r="AA605" s="6" t="str">
        <x:v>No / not compared</x:v>
      </x:c>
    </x:row>
    <x:row r="606" ht="42" customHeight="1">
      <x:c r="A606" s="6" t="str">
        <x:v>https://digitecme.com/ar/brands/toyota-service-dubai/tire-repair</x:v>
      </x:c>
      <x:c r="B606" s="6" t="str"/>
      <x:c r="C606" s="6" t="str"/>
      <x:c r="D606" s="6" t="str">
        <x:v>brand-service</x:v>
      </x:c>
      <x:c r="E606" s="6" t="str">
        <x:v>Retain differentiated role</x:v>
      </x:c>
      <x:c r="F606" s="6" t="str">
        <x:v>Local source render; live version unverified</x:v>
      </x:c>
      <x:c r="G606" s="6" t="str">
        <x:v>إصلاح الإطارات Toyota في دبي | ديجي-تك</x:v>
      </x:c>
      <x:c r="H606" s="6" t="str">
        <x:v>إصلاح الإطارات Toyota في دبي | ديجي-تك</x:v>
      </x:c>
      <x:c r="I606" s="6" t="str">
        <x:v>إصلاح الإطارات Toyota في دبي</x:v>
      </x:c>
      <x:c r="J606" s="6" t="str">
        <x:v>إصلاح الإطارات Toyota في دبي</x:v>
      </x:c>
      <x:c r="K606" s="6" t="str">
        <x:v>إصلاح الإطارات متخصص لسيارات Toyota في دبي مع تشخيص متقدم وقطع مناسبة وتسعير واضح لدى مركز ديجي-تك.</x:v>
      </x:c>
      <x:c r="L606" s="6" t="str">
        <x:v>Retain pending evidence; no specific content edit justified by this export.</x:v>
      </x:c>
      <x:c r="M606" s="6" t="str">
        <x:v>Retain; inspect relevant context before adding links</x:v>
      </x:c>
      <x:c r="N606" s="6" t="str">
        <x:v>Unconfirmed — no query/page pairing</x:v>
      </x:c>
      <x:c r="O606" s="6" t="str">
        <x:v>Retain established booking / WhatsApp / call path; live behaviour untested</x:v>
      </x:c>
      <x:c r="P606" s="6" t="str">
        <x:v>Retain canonical and indexation policy pending a live check.</x:v>
      </x:c>
      <x:c r="Q606" s="6" t="str">
        <x:v>Proposed; no website change made</x:v>
      </x:c>
      <x:c r="R606" s="14"/>
      <x:c r="S606" s="14"/>
      <x:c r="T606" s="15"/>
      <x:c r="U606" s="16"/>
      <x:c r="V606" s="6" t="str">
        <x:v>https://digitecme.com/ar/brands/toyota-service-dubai/tire-repair</x:v>
      </x:c>
      <x:c r="W606" s="6" t="str">
        <x:v>Indexable directive</x:v>
      </x:c>
      <x:c r="X606" s="6" t="n">
        <x:v>16</x:v>
      </x:c>
      <x:c r="Y606" s="6" t="str">
        <x:v>إصلاح الإطارات Toyota في دبي | ديجي-تك</x:v>
      </x:c>
      <x:c r="Z606" s="6" t="str"/>
      <x:c r="AA606" s="6" t="str">
        <x:v>No / not compared</x:v>
      </x:c>
    </x:row>
    <x:row r="607" ht="42" customHeight="1">
      <x:c r="A607" s="6" t="str">
        <x:v>https://digitecme.com/ar/brands/toyota-service-dubai/transmission-repair</x:v>
      </x:c>
      <x:c r="B607" s="6" t="str"/>
      <x:c r="C607" s="6" t="str"/>
      <x:c r="D607" s="6" t="str">
        <x:v>brand-service</x:v>
      </x:c>
      <x:c r="E607" s="6" t="str">
        <x:v>Retain differentiated role</x:v>
      </x:c>
      <x:c r="F607" s="6" t="str">
        <x:v>Local source render; live version unverified</x:v>
      </x:c>
      <x:c r="G607" s="6" t="str">
        <x:v>إصلاح ناقل الحركة Toyota في دبي | ديجي-تك</x:v>
      </x:c>
      <x:c r="H607" s="6" t="str">
        <x:v>إصلاح ناقل الحركة Toyota في دبي | ديجي-تك</x:v>
      </x:c>
      <x:c r="I607" s="6" t="str">
        <x:v>إصلاح ناقل الحركة Toyota في دبي</x:v>
      </x:c>
      <x:c r="J607" s="6" t="str">
        <x:v>إصلاح ناقل الحركة Toyota في دبي</x:v>
      </x:c>
      <x:c r="K607" s="6" t="str">
        <x:v>إصلاح ناقل الحركة متخصص لسيارات Toyota في دبي مع تشخيص متقدم وقطع مناسبة وتسعير واضح لدى مركز ديجي-تك.</x:v>
      </x:c>
      <x:c r="L607" s="6" t="str">
        <x:v>Retain pending evidence; no specific content edit justified by this export.</x:v>
      </x:c>
      <x:c r="M607" s="6" t="str">
        <x:v>Retain; inspect relevant context before adding links</x:v>
      </x:c>
      <x:c r="N607" s="6" t="str">
        <x:v>Unconfirmed — no query/page pairing</x:v>
      </x:c>
      <x:c r="O607" s="6" t="str">
        <x:v>Retain established booking / WhatsApp / call path; live behaviour untested</x:v>
      </x:c>
      <x:c r="P607" s="6" t="str">
        <x:v>Retain canonical and indexation policy pending a live check.</x:v>
      </x:c>
      <x:c r="Q607" s="6" t="str">
        <x:v>Proposed; no website change made</x:v>
      </x:c>
      <x:c r="R607" s="14"/>
      <x:c r="S607" s="14"/>
      <x:c r="T607" s="15"/>
      <x:c r="U607" s="16"/>
      <x:c r="V607" s="6" t="str">
        <x:v>https://digitecme.com/ar/brands/toyota-service-dubai/transmission-repair</x:v>
      </x:c>
      <x:c r="W607" s="6" t="str">
        <x:v>Indexable directive</x:v>
      </x:c>
      <x:c r="X607" s="6" t="n">
        <x:v>16</x:v>
      </x:c>
      <x:c r="Y607" s="6" t="str">
        <x:v>إصلاح ناقل الحركة Toyota في دبي | ديجي-تك</x:v>
      </x:c>
      <x:c r="Z607" s="6" t="str"/>
      <x:c r="AA607" s="6" t="str">
        <x:v>No / not compared</x:v>
      </x:c>
    </x:row>
    <x:row r="608" ht="42" customHeight="1">
      <x:c r="A608" s="6" t="str">
        <x:v>https://digitecme.com/ar/brands/volkswagen-service-dubai</x:v>
      </x:c>
      <x:c r="B608" s="6" t="str">
        <x:v>صيانة فولكس فاجن</x:v>
      </x:c>
      <x:c r="C608" s="6" t="str">
        <x:v>volkswagen: Service and repair (Arabic)</x:v>
      </x:c>
      <x:c r="D608" s="6" t="str">
        <x:v>brand</x:v>
      </x:c>
      <x:c r="E608" s="6" t="str">
        <x:v>Primary owner for assigned intent</x:v>
      </x:c>
      <x:c r="F608" s="6" t="str">
        <x:v>Local source render; live version unverified</x:v>
      </x:c>
      <x:c r="G608" s="6" t="str">
        <x:v>إصلاح وصيانة Volkswagen في دبي | مركز ديجي-تك</x:v>
      </x:c>
      <x:c r="H608" s="6" t="str">
        <x:v>إصلاح وصيانة Volkswagen في دبي | مركز ديجي-تك</x:v>
      </x:c>
      <x:c r="I608" s="6" t="str">
        <x:v>Volkswagen للإصلاح والصيانة في دبي</x:v>
      </x:c>
      <x:c r="J608" s="6" t="str">
        <x:v>Volkswagen للإصلاح والصيانة في دبي</x:v>
      </x:c>
      <x:c r="K608" s="6" t="str">
        <x:v>إصلاح وصيانة Volkswagen في دبي: تشخيص وصيانة وفرامل وناقل حركة وتعليق وتكييف مع قطع بالمواصفات المناسبة لدى مركز ديجي-تك.</x:v>
      </x:c>
      <x:c r="L608" s="6" t="str">
        <x:v>Retain pending evidence; no specific content edit justified by this export.</x:v>
      </x:c>
      <x:c r="M608" s="6" t="str">
        <x:v>Retain; inspect relevant context before adding links</x:v>
      </x:c>
      <x:c r="N608" s="6" t="str">
        <x:v>Unconfirmed — no query/page pairing</x:v>
      </x:c>
      <x:c r="O608" s="6" t="str">
        <x:v>Retain established booking / WhatsApp / call path; live behaviour untested</x:v>
      </x:c>
      <x:c r="P608" s="6" t="str">
        <x:v>Retain canonical and indexation policy pending a live check.</x:v>
      </x:c>
      <x:c r="Q608" s="6" t="str">
        <x:v>Proposed; no website change made</x:v>
      </x:c>
      <x:c r="R608" s="14" t="n">
        <x:v>0</x:v>
      </x:c>
      <x:c r="S608" s="14" t="n">
        <x:v>17</x:v>
      </x:c>
      <x:c r="T608" s="15" t="n">
        <x:v>0</x:v>
      </x:c>
      <x:c r="U608" s="16" t="n">
        <x:v>36.65</x:v>
      </x:c>
      <x:c r="V608" s="6" t="str">
        <x:v>https://digitecme.com/ar/brands/volkswagen-service-dubai</x:v>
      </x:c>
      <x:c r="W608" s="6" t="str">
        <x:v>Indexable directive</x:v>
      </x:c>
      <x:c r="X608" s="6" t="n">
        <x:v>38</x:v>
      </x:c>
      <x:c r="Y608" s="6" t="str">
        <x:v>إصلاح وصيانة Volkswagen في دبي | مركز ديجي-تك</x:v>
      </x:c>
      <x:c r="Z608" s="6" t="str"/>
      <x:c r="AA608" s="6" t="str">
        <x:v>No / not compared</x:v>
      </x:c>
    </x:row>
    <x:row r="609" ht="42" customHeight="1">
      <x:c r="A609" s="6" t="str">
        <x:v>https://digitecme.com/ar/brands/volkswagen-service-dubai/ac-repair</x:v>
      </x:c>
      <x:c r="B609" s="6" t="str"/>
      <x:c r="C609" s="6" t="str"/>
      <x:c r="D609" s="6" t="str">
        <x:v>brand-service</x:v>
      </x:c>
      <x:c r="E609" s="6" t="str">
        <x:v>Retain differentiated role</x:v>
      </x:c>
      <x:c r="F609" s="6" t="str">
        <x:v>Local source render; live version unverified</x:v>
      </x:c>
      <x:c r="G609" s="6" t="str">
        <x:v>إصلاح التكييف Volkswagen في دبي | ديجي-تك</x:v>
      </x:c>
      <x:c r="H609" s="6" t="str">
        <x:v>إصلاح التكييف Volkswagen في دبي | ديجي-تك</x:v>
      </x:c>
      <x:c r="I609" s="6" t="str">
        <x:v>إصلاح التكييف Volkswagen في دبي</x:v>
      </x:c>
      <x:c r="J609" s="6" t="str">
        <x:v>إصلاح التكييف Volkswagen في دبي</x:v>
      </x:c>
      <x:c r="K609" s="6" t="str">
        <x:v>إصلاح التكييف متخصص لسيارات Volkswagen في دبي مع تشخيص متقدم وقطع مناسبة وتسعير واضح لدى مركز ديجي-تك.</x:v>
      </x:c>
      <x:c r="L609" s="6" t="str">
        <x:v>Retain pending evidence; no specific content edit justified by this export.</x:v>
      </x:c>
      <x:c r="M609" s="6" t="str">
        <x:v>Retain; inspect relevant context before adding links</x:v>
      </x:c>
      <x:c r="N609" s="6" t="str">
        <x:v>Unconfirmed — no query/page pairing</x:v>
      </x:c>
      <x:c r="O609" s="6" t="str">
        <x:v>Retain established booking / WhatsApp / call path; live behaviour untested</x:v>
      </x:c>
      <x:c r="P609" s="6" t="str">
        <x:v>Retain canonical and indexation policy pending a live check.</x:v>
      </x:c>
      <x:c r="Q609" s="6" t="str">
        <x:v>Proposed; no website change made</x:v>
      </x:c>
      <x:c r="R609" s="14" t="n">
        <x:v>0</x:v>
      </x:c>
      <x:c r="S609" s="14" t="n">
        <x:v>1</x:v>
      </x:c>
      <x:c r="T609" s="15" t="n">
        <x:v>0</x:v>
      </x:c>
      <x:c r="U609" s="16" t="n">
        <x:v>93</x:v>
      </x:c>
      <x:c r="V609" s="6" t="str">
        <x:v>https://digitecme.com/ar/brands/volkswagen-service-dubai/ac-repair</x:v>
      </x:c>
      <x:c r="W609" s="6" t="str">
        <x:v>Indexable directive</x:v>
      </x:c>
      <x:c r="X609" s="6" t="n">
        <x:v>16</x:v>
      </x:c>
      <x:c r="Y609" s="6" t="str">
        <x:v>إصلاح التكييف Volkswagen في دبي | ديجي-تك</x:v>
      </x:c>
      <x:c r="Z609" s="6" t="str"/>
      <x:c r="AA609" s="6" t="str">
        <x:v>No / not compared</x:v>
      </x:c>
    </x:row>
    <x:row r="610" ht="42" customHeight="1">
      <x:c r="A610" s="6" t="str">
        <x:v>https://digitecme.com/ar/brands/volkswagen-service-dubai/battery-replacement</x:v>
      </x:c>
      <x:c r="B610" s="6" t="str"/>
      <x:c r="C610" s="6" t="str"/>
      <x:c r="D610" s="6" t="str">
        <x:v>brand-service</x:v>
      </x:c>
      <x:c r="E610" s="6" t="str">
        <x:v>Retain differentiated role</x:v>
      </x:c>
      <x:c r="F610" s="6" t="str">
        <x:v>Local source render; live version unverified</x:v>
      </x:c>
      <x:c r="G610" s="6" t="str">
        <x:v>تبديل البطارية Volkswagen في دبي | ديجي-تك</x:v>
      </x:c>
      <x:c r="H610" s="6" t="str">
        <x:v>تبديل البطارية Volkswagen في دبي | ديجي-تك</x:v>
      </x:c>
      <x:c r="I610" s="6" t="str">
        <x:v>تبديل البطارية Volkswagen في دبي</x:v>
      </x:c>
      <x:c r="J610" s="6" t="str">
        <x:v>تبديل البطارية Volkswagen في دبي</x:v>
      </x:c>
      <x:c r="K610" s="6" t="str">
        <x:v>تبديل البطارية متخصص لسيارات Volkswagen في دبي مع تشخيص متقدم وقطع مناسبة وتسعير واضح لدى مركز ديجي-تك.</x:v>
      </x:c>
      <x:c r="L610" s="6" t="str">
        <x:v>Retain pending evidence; no specific content edit justified by this export.</x:v>
      </x:c>
      <x:c r="M610" s="6" t="str">
        <x:v>Retain; inspect relevant context before adding links</x:v>
      </x:c>
      <x:c r="N610" s="6" t="str">
        <x:v>Unconfirmed — no query/page pairing</x:v>
      </x:c>
      <x:c r="O610" s="6" t="str">
        <x:v>Retain established booking / WhatsApp / call path; live behaviour untested</x:v>
      </x:c>
      <x:c r="P610" s="6" t="str">
        <x:v>Retain canonical and indexation policy pending a live check.</x:v>
      </x:c>
      <x:c r="Q610" s="6" t="str">
        <x:v>Proposed; no website change made</x:v>
      </x:c>
      <x:c r="R610" s="14" t="n">
        <x:v>0</x:v>
      </x:c>
      <x:c r="S610" s="14" t="n">
        <x:v>1</x:v>
      </x:c>
      <x:c r="T610" s="15" t="n">
        <x:v>0</x:v>
      </x:c>
      <x:c r="U610" s="16" t="n">
        <x:v>8</x:v>
      </x:c>
      <x:c r="V610" s="6" t="str">
        <x:v>https://digitecme.com/ar/brands/volkswagen-service-dubai/battery-replacement</x:v>
      </x:c>
      <x:c r="W610" s="6" t="str">
        <x:v>Noindex directive</x:v>
      </x:c>
      <x:c r="X610" s="6" t="n">
        <x:v>16</x:v>
      </x:c>
      <x:c r="Y610" s="6" t="str">
        <x:v>تبديل البطارية Volkswagen في دبي | ديجي-تك</x:v>
      </x:c>
      <x:c r="Z610" s="6" t="str"/>
      <x:c r="AA610" s="6" t="str">
        <x:v>No / not compared</x:v>
      </x:c>
    </x:row>
    <x:row r="611" ht="42" customHeight="1">
      <x:c r="A611" s="6" t="str">
        <x:v>https://digitecme.com/ar/brands/volkswagen-service-dubai/body-repair</x:v>
      </x:c>
      <x:c r="B611" s="6" t="str"/>
      <x:c r="C611" s="6" t="str"/>
      <x:c r="D611" s="6" t="str">
        <x:v>brand-service</x:v>
      </x:c>
      <x:c r="E611" s="6" t="str">
        <x:v>Retain differentiated role</x:v>
      </x:c>
      <x:c r="F611" s="6" t="str">
        <x:v>Local source render; live version unverified</x:v>
      </x:c>
      <x:c r="G611" s="6" t="str">
        <x:v>إصلاح الهيكل Volkswagen في دبي | ديجي-تك</x:v>
      </x:c>
      <x:c r="H611" s="6" t="str">
        <x:v>إصلاح الهيكل Volkswagen في دبي | ديجي-تك</x:v>
      </x:c>
      <x:c r="I611" s="6" t="str">
        <x:v>إصلاح الهيكل Volkswagen في دبي</x:v>
      </x:c>
      <x:c r="J611" s="6" t="str">
        <x:v>إصلاح الهيكل Volkswagen في دبي</x:v>
      </x:c>
      <x:c r="K611" s="6" t="str">
        <x:v>إصلاح الهيكل متخصص لسيارات Volkswagen في دبي مع تشخيص متقدم وقطع مناسبة وتسعير واضح لدى مركز ديجي-تك.</x:v>
      </x:c>
      <x:c r="L611" s="6" t="str">
        <x:v>Retain pending evidence; no specific content edit justified by this export.</x:v>
      </x:c>
      <x:c r="M611" s="6" t="str">
        <x:v>Retain; inspect relevant context before adding links</x:v>
      </x:c>
      <x:c r="N611" s="6" t="str">
        <x:v>Unconfirmed — no query/page pairing</x:v>
      </x:c>
      <x:c r="O611" s="6" t="str">
        <x:v>Retain established booking / WhatsApp / call path; live behaviour untested</x:v>
      </x:c>
      <x:c r="P611" s="6" t="str">
        <x:v>Retain canonical and indexation policy pending a live check.</x:v>
      </x:c>
      <x:c r="Q611" s="6" t="str">
        <x:v>Proposed; no website change made</x:v>
      </x:c>
      <x:c r="R611" s="14"/>
      <x:c r="S611" s="14"/>
      <x:c r="T611" s="15"/>
      <x:c r="U611" s="16"/>
      <x:c r="V611" s="6" t="str">
        <x:v>https://digitecme.com/ar/brands/volkswagen-service-dubai/body-repair</x:v>
      </x:c>
      <x:c r="W611" s="6" t="str">
        <x:v>Noindex directive</x:v>
      </x:c>
      <x:c r="X611" s="6" t="n">
        <x:v>16</x:v>
      </x:c>
      <x:c r="Y611" s="6" t="str">
        <x:v>إصلاح الهيكل Volkswagen في دبي | ديجي-تك</x:v>
      </x:c>
      <x:c r="Z611" s="6" t="str"/>
      <x:c r="AA611" s="6" t="str">
        <x:v>No / not compared</x:v>
      </x:c>
    </x:row>
    <x:row r="612" ht="42" customHeight="1">
      <x:c r="A612" s="6" t="str">
        <x:v>https://digitecme.com/ar/brands/volkswagen-service-dubai/brake-repair</x:v>
      </x:c>
      <x:c r="B612" s="6" t="str"/>
      <x:c r="C612" s="6" t="str"/>
      <x:c r="D612" s="6" t="str">
        <x:v>brand-service</x:v>
      </x:c>
      <x:c r="E612" s="6" t="str">
        <x:v>Retain differentiated role</x:v>
      </x:c>
      <x:c r="F612" s="6" t="str">
        <x:v>Local source render; live version unverified</x:v>
      </x:c>
      <x:c r="G612" s="6" t="str">
        <x:v>إصلاح الفرامل Volkswagen في دبي | ديجي-تك</x:v>
      </x:c>
      <x:c r="H612" s="6" t="str">
        <x:v>إصلاح الفرامل Volkswagen في دبي | ديجي-تك</x:v>
      </x:c>
      <x:c r="I612" s="6" t="str">
        <x:v>إصلاح الفرامل Volkswagen في دبي</x:v>
      </x:c>
      <x:c r="J612" s="6" t="str">
        <x:v>إصلاح الفرامل Volkswagen في دبي</x:v>
      </x:c>
      <x:c r="K612" s="6" t="str">
        <x:v>إصلاح الفرامل متخصص لسيارات Volkswagen في دبي مع تشخيص متقدم وقطع مناسبة وتسعير واضح لدى مركز ديجي-تك.</x:v>
      </x:c>
      <x:c r="L612" s="6" t="str">
        <x:v>Retain pending evidence; no specific content edit justified by this export.</x:v>
      </x:c>
      <x:c r="M612" s="6" t="str">
        <x:v>Retain; inspect relevant context before adding links</x:v>
      </x:c>
      <x:c r="N612" s="6" t="str">
        <x:v>Unconfirmed — no query/page pairing</x:v>
      </x:c>
      <x:c r="O612" s="6" t="str">
        <x:v>Retain established booking / WhatsApp / call path; live behaviour untested</x:v>
      </x:c>
      <x:c r="P612" s="6" t="str">
        <x:v>Retain canonical and indexation policy pending a live check.</x:v>
      </x:c>
      <x:c r="Q612" s="6" t="str">
        <x:v>Proposed; no website change made</x:v>
      </x:c>
      <x:c r="R612" s="14" t="n">
        <x:v>0</x:v>
      </x:c>
      <x:c r="S612" s="14" t="n">
        <x:v>1</x:v>
      </x:c>
      <x:c r="T612" s="15" t="n">
        <x:v>0</x:v>
      </x:c>
      <x:c r="U612" s="16" t="n">
        <x:v>91</x:v>
      </x:c>
      <x:c r="V612" s="6" t="str">
        <x:v>https://digitecme.com/ar/brands/volkswagen-service-dubai/brake-repair</x:v>
      </x:c>
      <x:c r="W612" s="6" t="str">
        <x:v>Indexable directive</x:v>
      </x:c>
      <x:c r="X612" s="6" t="n">
        <x:v>16</x:v>
      </x:c>
      <x:c r="Y612" s="6" t="str">
        <x:v>إصلاح الفرامل Volkswagen في دبي | ديجي-تك</x:v>
      </x:c>
      <x:c r="Z612" s="6" t="str"/>
      <x:c r="AA612" s="6" t="str">
        <x:v>No / not compared</x:v>
      </x:c>
    </x:row>
    <x:row r="613" ht="42" customHeight="1">
      <x:c r="A613" s="6" t="str">
        <x:v>https://digitecme.com/ar/brands/volkswagen-service-dubai/electrical-repair</x:v>
      </x:c>
      <x:c r="B613" s="6" t="str"/>
      <x:c r="C613" s="6" t="str"/>
      <x:c r="D613" s="6" t="str">
        <x:v>brand-service</x:v>
      </x:c>
      <x:c r="E613" s="6" t="str">
        <x:v>Retain differentiated role</x:v>
      </x:c>
      <x:c r="F613" s="6" t="str">
        <x:v>Local source render; live version unverified</x:v>
      </x:c>
      <x:c r="G613" s="6" t="str">
        <x:v>إصلاح الكهرباء Volkswagen في دبي | ديجي-تك</x:v>
      </x:c>
      <x:c r="H613" s="6" t="str">
        <x:v>إصلاح الكهرباء Volkswagen في دبي | ديجي-تك</x:v>
      </x:c>
      <x:c r="I613" s="6" t="str">
        <x:v>إصلاح الكهرباء Volkswagen في دبي</x:v>
      </x:c>
      <x:c r="J613" s="6" t="str">
        <x:v>إصلاح الكهرباء Volkswagen في دبي</x:v>
      </x:c>
      <x:c r="K613" s="6" t="str">
        <x:v>إصلاح الكهرباء متخصص لسيارات Volkswagen في دبي مع تشخيص متقدم وقطع مناسبة وتسعير واضح لدى مركز ديجي-تك.</x:v>
      </x:c>
      <x:c r="L613" s="6" t="str">
        <x:v>Retain pending evidence; no specific content edit justified by this export.</x:v>
      </x:c>
      <x:c r="M613" s="6" t="str">
        <x:v>Retain; inspect relevant context before adding links</x:v>
      </x:c>
      <x:c r="N613" s="6" t="str">
        <x:v>Unconfirmed — no query/page pairing</x:v>
      </x:c>
      <x:c r="O613" s="6" t="str">
        <x:v>Retain established booking / WhatsApp / call path; live behaviour untested</x:v>
      </x:c>
      <x:c r="P613" s="6" t="str">
        <x:v>Retain canonical and indexation policy pending a live check.</x:v>
      </x:c>
      <x:c r="Q613" s="6" t="str">
        <x:v>Proposed; no website change made</x:v>
      </x:c>
      <x:c r="R613" s="14" t="n">
        <x:v>1</x:v>
      </x:c>
      <x:c r="S613" s="14" t="n">
        <x:v>2</x:v>
      </x:c>
      <x:c r="T613" s="15" t="n">
        <x:v>0.5</x:v>
      </x:c>
      <x:c r="U613" s="16" t="n">
        <x:v>1.5</x:v>
      </x:c>
      <x:c r="V613" s="6" t="str">
        <x:v>https://digitecme.com/ar/brands/volkswagen-service-dubai/electrical-repair</x:v>
      </x:c>
      <x:c r="W613" s="6" t="str">
        <x:v>Noindex directive</x:v>
      </x:c>
      <x:c r="X613" s="6" t="n">
        <x:v>16</x:v>
      </x:c>
      <x:c r="Y613" s="6" t="str">
        <x:v>إصلاح الكهرباء Volkswagen في دبي | ديجي-تك</x:v>
      </x:c>
      <x:c r="Z613" s="6" t="str"/>
      <x:c r="AA613" s="6" t="str">
        <x:v>No / not compared</x:v>
      </x:c>
    </x:row>
    <x:row r="614" ht="42" customHeight="1">
      <x:c r="A614" s="6" t="str">
        <x:v>https://digitecme.com/ar/brands/volkswagen-service-dubai/engine-diagnostics</x:v>
      </x:c>
      <x:c r="B614" s="6" t="str"/>
      <x:c r="C614" s="6" t="str"/>
      <x:c r="D614" s="6" t="str">
        <x:v>brand-service</x:v>
      </x:c>
      <x:c r="E614" s="6" t="str">
        <x:v>Retain differentiated role</x:v>
      </x:c>
      <x:c r="F614" s="6" t="str">
        <x:v>Local source render; live version unverified</x:v>
      </x:c>
      <x:c r="G614" s="6" t="str">
        <x:v>تشخيص المحرك Volkswagen في دبي | ديجي-تك</x:v>
      </x:c>
      <x:c r="H614" s="6" t="str">
        <x:v>تشخيص المحرك Volkswagen في دبي | ديجي-تك</x:v>
      </x:c>
      <x:c r="I614" s="6" t="str">
        <x:v>تشخيص المحرك Volkswagen في دبي</x:v>
      </x:c>
      <x:c r="J614" s="6" t="str">
        <x:v>تشخيص المحرك Volkswagen في دبي</x:v>
      </x:c>
      <x:c r="K614" s="6" t="str">
        <x:v>تشخيص المحرك متخصص لسيارات Volkswagen في دبي مع تشخيص متقدم وقطع مناسبة وتسعير واضح لدى مركز ديجي-تك.</x:v>
      </x:c>
      <x:c r="L614" s="6" t="str">
        <x:v>Retain pending evidence; no specific content edit justified by this export.</x:v>
      </x:c>
      <x:c r="M614" s="6" t="str">
        <x:v>Retain; inspect relevant context before adding links</x:v>
      </x:c>
      <x:c r="N614" s="6" t="str">
        <x:v>Unconfirmed — no query/page pairing</x:v>
      </x:c>
      <x:c r="O614" s="6" t="str">
        <x:v>Retain established booking / WhatsApp / call path; live behaviour untested</x:v>
      </x:c>
      <x:c r="P614" s="6" t="str">
        <x:v>Retain canonical and indexation policy pending a live check.</x:v>
      </x:c>
      <x:c r="Q614" s="6" t="str">
        <x:v>Proposed; no website change made</x:v>
      </x:c>
      <x:c r="R614" s="14" t="n">
        <x:v>0</x:v>
      </x:c>
      <x:c r="S614" s="14" t="n">
        <x:v>1</x:v>
      </x:c>
      <x:c r="T614" s="15" t="n">
        <x:v>0</x:v>
      </x:c>
      <x:c r="U614" s="16" t="n">
        <x:v>2</x:v>
      </x:c>
      <x:c r="V614" s="6" t="str">
        <x:v>https://digitecme.com/ar/brands/volkswagen-service-dubai/engine-diagnostics</x:v>
      </x:c>
      <x:c r="W614" s="6" t="str">
        <x:v>Indexable directive</x:v>
      </x:c>
      <x:c r="X614" s="6" t="n">
        <x:v>16</x:v>
      </x:c>
      <x:c r="Y614" s="6" t="str">
        <x:v>تشخيص المحرك Volkswagen في دبي | ديجي-تك</x:v>
      </x:c>
      <x:c r="Z614" s="6" t="str"/>
      <x:c r="AA614" s="6" t="str">
        <x:v>No / not compared</x:v>
      </x:c>
    </x:row>
    <x:row r="615" ht="42" customHeight="1">
      <x:c r="A615" s="6" t="str">
        <x:v>https://digitecme.com/ar/brands/volkswagen-service-dubai/exhaust-repair</x:v>
      </x:c>
      <x:c r="B615" s="6" t="str"/>
      <x:c r="C615" s="6" t="str"/>
      <x:c r="D615" s="6" t="str">
        <x:v>brand-service</x:v>
      </x:c>
      <x:c r="E615" s="6" t="str">
        <x:v>Retain differentiated role</x:v>
      </x:c>
      <x:c r="F615" s="6" t="str">
        <x:v>Local source render; live version unverified</x:v>
      </x:c>
      <x:c r="G615" s="6" t="str">
        <x:v>إصلاح العادم Volkswagen في دبي | ديجي-تك</x:v>
      </x:c>
      <x:c r="H615" s="6" t="str">
        <x:v>إصلاح العادم Volkswagen في دبي | ديجي-تك</x:v>
      </x:c>
      <x:c r="I615" s="6" t="str">
        <x:v>إصلاح العادم Volkswagen في دبي</x:v>
      </x:c>
      <x:c r="J615" s="6" t="str">
        <x:v>إصلاح العادم Volkswagen في دبي</x:v>
      </x:c>
      <x:c r="K615" s="6" t="str">
        <x:v>إصلاح العادم متخصص لسيارات Volkswagen في دبي مع تشخيص متقدم وقطع مناسبة وتسعير واضح لدى مركز ديجي-تك.</x:v>
      </x:c>
      <x:c r="L615" s="6" t="str">
        <x:v>Retain pending evidence; no specific content edit justified by this export.</x:v>
      </x:c>
      <x:c r="M615" s="6" t="str">
        <x:v>Retain; inspect relevant context before adding links</x:v>
      </x:c>
      <x:c r="N615" s="6" t="str">
        <x:v>Unconfirmed — no query/page pairing</x:v>
      </x:c>
      <x:c r="O615" s="6" t="str">
        <x:v>Retain established booking / WhatsApp / call path; live behaviour untested</x:v>
      </x:c>
      <x:c r="P615" s="6" t="str">
        <x:v>Retain canonical and indexation policy pending a live check.</x:v>
      </x:c>
      <x:c r="Q615" s="6" t="str">
        <x:v>Proposed; no website change made</x:v>
      </x:c>
      <x:c r="R615" s="14"/>
      <x:c r="S615" s="14"/>
      <x:c r="T615" s="15"/>
      <x:c r="U615" s="16"/>
      <x:c r="V615" s="6" t="str">
        <x:v>https://digitecme.com/ar/brands/volkswagen-service-dubai/exhaust-repair</x:v>
      </x:c>
      <x:c r="W615" s="6" t="str">
        <x:v>Noindex directive</x:v>
      </x:c>
      <x:c r="X615" s="6" t="n">
        <x:v>16</x:v>
      </x:c>
      <x:c r="Y615" s="6" t="str">
        <x:v>إصلاح العادم Volkswagen في دبي | ديجي-تك</x:v>
      </x:c>
      <x:c r="Z615" s="6" t="str"/>
      <x:c r="AA615" s="6" t="str">
        <x:v>No / not compared</x:v>
      </x:c>
    </x:row>
    <x:row r="616" ht="42" customHeight="1">
      <x:c r="A616" s="6" t="str">
        <x:v>https://digitecme.com/ar/brands/volkswagen-service-dubai/fuel-system-repair</x:v>
      </x:c>
      <x:c r="B616" s="6" t="str"/>
      <x:c r="C616" s="6" t="str"/>
      <x:c r="D616" s="6" t="str">
        <x:v>brand-service</x:v>
      </x:c>
      <x:c r="E616" s="6" t="str">
        <x:v>Retain differentiated role</x:v>
      </x:c>
      <x:c r="F616" s="6" t="str">
        <x:v>Local source render; live version unverified</x:v>
      </x:c>
      <x:c r="G616" s="6" t="str">
        <x:v>إصلاح نظام الوقود Volkswagen في دبي | ديجي-تك</x:v>
      </x:c>
      <x:c r="H616" s="6" t="str">
        <x:v>إصلاح نظام الوقود Volkswagen في دبي | ديجي-تك</x:v>
      </x:c>
      <x:c r="I616" s="6" t="str">
        <x:v>إصلاح نظام الوقود Volkswagen في دبي</x:v>
      </x:c>
      <x:c r="J616" s="6" t="str">
        <x:v>إصلاح نظام الوقود Volkswagen في دبي</x:v>
      </x:c>
      <x:c r="K616" s="6" t="str">
        <x:v>إصلاح نظام الوقود متخصص لسيارات Volkswagen في دبي مع تشخيص متقدم وقطع مناسبة وتسعير واضح لدى مركز ديجي-تك.</x:v>
      </x:c>
      <x:c r="L616" s="6" t="str">
        <x:v>Retain pending evidence; no specific content edit justified by this export.</x:v>
      </x:c>
      <x:c r="M616" s="6" t="str">
        <x:v>Retain; inspect relevant context before adding links</x:v>
      </x:c>
      <x:c r="N616" s="6" t="str">
        <x:v>Unconfirmed — no query/page pairing</x:v>
      </x:c>
      <x:c r="O616" s="6" t="str">
        <x:v>Retain established booking / WhatsApp / call path; live behaviour untested</x:v>
      </x:c>
      <x:c r="P616" s="6" t="str">
        <x:v>Retain canonical and indexation policy pending a live check.</x:v>
      </x:c>
      <x:c r="Q616" s="6" t="str">
        <x:v>Proposed; no website change made</x:v>
      </x:c>
      <x:c r="R616" s="14"/>
      <x:c r="S616" s="14"/>
      <x:c r="T616" s="15"/>
      <x:c r="U616" s="16"/>
      <x:c r="V616" s="6" t="str">
        <x:v>https://digitecme.com/ar/brands/volkswagen-service-dubai/fuel-system-repair</x:v>
      </x:c>
      <x:c r="W616" s="6" t="str">
        <x:v>Noindex directive</x:v>
      </x:c>
      <x:c r="X616" s="6" t="n">
        <x:v>16</x:v>
      </x:c>
      <x:c r="Y616" s="6" t="str">
        <x:v>إصلاح نظام الوقود Volkswagen في دبي | ديجي-تك</x:v>
      </x:c>
      <x:c r="Z616" s="6" t="str"/>
      <x:c r="AA616" s="6" t="str">
        <x:v>No / not compared</x:v>
      </x:c>
    </x:row>
    <x:row r="617" ht="42" customHeight="1">
      <x:c r="A617" s="6" t="str">
        <x:v>https://digitecme.com/ar/brands/volkswagen-service-dubai/mechanical-repair</x:v>
      </x:c>
      <x:c r="B617" s="6" t="str"/>
      <x:c r="C617" s="6" t="str"/>
      <x:c r="D617" s="6" t="str">
        <x:v>brand-service</x:v>
      </x:c>
      <x:c r="E617" s="6" t="str">
        <x:v>Retain differentiated role</x:v>
      </x:c>
      <x:c r="F617" s="6" t="str">
        <x:v>Local source render; live version unverified</x:v>
      </x:c>
      <x:c r="G617" s="6" t="str">
        <x:v>الإصلاح الميكانيكي Volkswagen في دبي | ديجي-تك</x:v>
      </x:c>
      <x:c r="H617" s="6" t="str">
        <x:v>الإصلاح الميكانيكي Volkswagen في دبي | ديجي-تك</x:v>
      </x:c>
      <x:c r="I617" s="6" t="str">
        <x:v>الإصلاح الميكانيكي Volkswagen في دبي</x:v>
      </x:c>
      <x:c r="J617" s="6" t="str">
        <x:v>الإصلاح الميكانيكي Volkswagen في دبي</x:v>
      </x:c>
      <x:c r="K617" s="6" t="str">
        <x:v>الإصلاح الميكانيكي متخصص لسيارات Volkswagen في دبي مع تشخيص متقدم وقطع مناسبة وتسعير واضح لدى مركز ديجي-تك.</x:v>
      </x:c>
      <x:c r="L617" s="6" t="str">
        <x:v>Retain pending evidence; no specific content edit justified by this export.</x:v>
      </x:c>
      <x:c r="M617" s="6" t="str">
        <x:v>Retain; inspect relevant context before adding links</x:v>
      </x:c>
      <x:c r="N617" s="6" t="str">
        <x:v>Unconfirmed — no query/page pairing</x:v>
      </x:c>
      <x:c r="O617" s="6" t="str">
        <x:v>Retain established booking / WhatsApp / call path; live behaviour untested</x:v>
      </x:c>
      <x:c r="P617" s="6" t="str">
        <x:v>Retain canonical and indexation policy pending a live check.</x:v>
      </x:c>
      <x:c r="Q617" s="6" t="str">
        <x:v>Proposed; no website change made</x:v>
      </x:c>
      <x:c r="R617" s="14" t="n">
        <x:v>0</x:v>
      </x:c>
      <x:c r="S617" s="14" t="n">
        <x:v>1</x:v>
      </x:c>
      <x:c r="T617" s="15" t="n">
        <x:v>0</x:v>
      </x:c>
      <x:c r="U617" s="16" t="n">
        <x:v>79</x:v>
      </x:c>
      <x:c r="V617" s="6" t="str">
        <x:v>https://digitecme.com/ar/brands/volkswagen-service-dubai/mechanical-repair</x:v>
      </x:c>
      <x:c r="W617" s="6" t="str">
        <x:v>Noindex directive</x:v>
      </x:c>
      <x:c r="X617" s="6" t="n">
        <x:v>16</x:v>
      </x:c>
      <x:c r="Y617" s="6" t="str">
        <x:v>الإصلاح الميكانيكي Volkswagen في دبي | ديجي-تك</x:v>
      </x:c>
      <x:c r="Z617" s="6" t="str"/>
      <x:c r="AA617" s="6" t="str">
        <x:v>No / not compared</x:v>
      </x:c>
    </x:row>
    <x:row r="618" ht="42" customHeight="1">
      <x:c r="A618" s="6" t="str">
        <x:v>https://digitecme.com/ar/brands/volkswagen-service-dubai/oil-change</x:v>
      </x:c>
      <x:c r="B618" s="6" t="str"/>
      <x:c r="C618" s="6" t="str"/>
      <x:c r="D618" s="6" t="str">
        <x:v>brand-service</x:v>
      </x:c>
      <x:c r="E618" s="6" t="str">
        <x:v>Retain differentiated role</x:v>
      </x:c>
      <x:c r="F618" s="6" t="str">
        <x:v>Local source render; live version unverified</x:v>
      </x:c>
      <x:c r="G618" s="6" t="str">
        <x:v>تغيير الزيت Volkswagen في دبي | ديجي-تك</x:v>
      </x:c>
      <x:c r="H618" s="6" t="str">
        <x:v>تغيير الزيت Volkswagen في دبي | ديجي-تك</x:v>
      </x:c>
      <x:c r="I618" s="6" t="str">
        <x:v>تغيير الزيت Volkswagen في دبي</x:v>
      </x:c>
      <x:c r="J618" s="6" t="str">
        <x:v>تغيير الزيت Volkswagen في دبي</x:v>
      </x:c>
      <x:c r="K618" s="6" t="str">
        <x:v>تغيير الزيت متخصص لسيارات Volkswagen في دبي مع تشخيص متقدم وقطع مناسبة وتسعير واضح لدى مركز ديجي-تك.</x:v>
      </x:c>
      <x:c r="L618" s="6" t="str">
        <x:v>Retain pending evidence; no specific content edit justified by this export.</x:v>
      </x:c>
      <x:c r="M618" s="6" t="str">
        <x:v>Retain; inspect relevant context before adding links</x:v>
      </x:c>
      <x:c r="N618" s="6" t="str">
        <x:v>Unconfirmed — no query/page pairing</x:v>
      </x:c>
      <x:c r="O618" s="6" t="str">
        <x:v>Retain established booking / WhatsApp / call path; live behaviour untested</x:v>
      </x:c>
      <x:c r="P618" s="6" t="str">
        <x:v>Retain canonical and indexation policy pending a live check.</x:v>
      </x:c>
      <x:c r="Q618" s="6" t="str">
        <x:v>Proposed; no website change made</x:v>
      </x:c>
      <x:c r="R618" s="14" t="n">
        <x:v>0</x:v>
      </x:c>
      <x:c r="S618" s="14" t="n">
        <x:v>3</x:v>
      </x:c>
      <x:c r="T618" s="15" t="n">
        <x:v>0</x:v>
      </x:c>
      <x:c r="U618" s="16" t="n">
        <x:v>9.67</x:v>
      </x:c>
      <x:c r="V618" s="6" t="str">
        <x:v>https://digitecme.com/ar/brands/volkswagen-service-dubai/oil-change</x:v>
      </x:c>
      <x:c r="W618" s="6" t="str">
        <x:v>Indexable directive</x:v>
      </x:c>
      <x:c r="X618" s="6" t="n">
        <x:v>16</x:v>
      </x:c>
      <x:c r="Y618" s="6" t="str">
        <x:v>تغيير الزيت Volkswagen في دبي | ديجي-تك</x:v>
      </x:c>
      <x:c r="Z618" s="6" t="str"/>
      <x:c r="AA618" s="6" t="str">
        <x:v>No / not compared</x:v>
      </x:c>
    </x:row>
    <x:row r="619" ht="42" customHeight="1">
      <x:c r="A619" s="6" t="str">
        <x:v>https://digitecme.com/ar/brands/volkswagen-service-dubai/steering-repair</x:v>
      </x:c>
      <x:c r="B619" s="6" t="str"/>
      <x:c r="C619" s="6" t="str"/>
      <x:c r="D619" s="6" t="str">
        <x:v>brand-service</x:v>
      </x:c>
      <x:c r="E619" s="6" t="str">
        <x:v>Retain differentiated role</x:v>
      </x:c>
      <x:c r="F619" s="6" t="str">
        <x:v>Local source render; live version unverified</x:v>
      </x:c>
      <x:c r="G619" s="6" t="str">
        <x:v>إصلاح نظام التوجيه Volkswagen في دبي | ديجي-تك</x:v>
      </x:c>
      <x:c r="H619" s="6" t="str">
        <x:v>إصلاح نظام التوجيه Volkswagen في دبي | ديجي-تك</x:v>
      </x:c>
      <x:c r="I619" s="6" t="str">
        <x:v>إصلاح نظام التوجيه Volkswagen في دبي</x:v>
      </x:c>
      <x:c r="J619" s="6" t="str">
        <x:v>إصلاح نظام التوجيه Volkswagen في دبي</x:v>
      </x:c>
      <x:c r="K619" s="6" t="str">
        <x:v>إصلاح نظام التوجيه متخصص لسيارات Volkswagen في دبي مع تشخيص متقدم وقطع مناسبة وتسعير واضح لدى مركز ديجي-تك.</x:v>
      </x:c>
      <x:c r="L619" s="6" t="str">
        <x:v>Retain pending evidence; no specific content edit justified by this export.</x:v>
      </x:c>
      <x:c r="M619" s="6" t="str">
        <x:v>Retain; inspect relevant context before adding links</x:v>
      </x:c>
      <x:c r="N619" s="6" t="str">
        <x:v>Unconfirmed — no query/page pairing</x:v>
      </x:c>
      <x:c r="O619" s="6" t="str">
        <x:v>Retain established booking / WhatsApp / call path; live behaviour untested</x:v>
      </x:c>
      <x:c r="P619" s="6" t="str">
        <x:v>Retain canonical and indexation policy pending a live check.</x:v>
      </x:c>
      <x:c r="Q619" s="6" t="str">
        <x:v>Proposed; no website change made</x:v>
      </x:c>
      <x:c r="R619" s="14"/>
      <x:c r="S619" s="14"/>
      <x:c r="T619" s="15"/>
      <x:c r="U619" s="16"/>
      <x:c r="V619" s="6" t="str">
        <x:v>https://digitecme.com/ar/brands/volkswagen-service-dubai/steering-repair</x:v>
      </x:c>
      <x:c r="W619" s="6" t="str">
        <x:v>Noindex directive</x:v>
      </x:c>
      <x:c r="X619" s="6" t="n">
        <x:v>16</x:v>
      </x:c>
      <x:c r="Y619" s="6" t="str">
        <x:v>إصلاح نظام التوجيه Volkswagen في دبي | ديجي-تك</x:v>
      </x:c>
      <x:c r="Z619" s="6" t="str"/>
      <x:c r="AA619" s="6" t="str">
        <x:v>No / not compared</x:v>
      </x:c>
    </x:row>
    <x:row r="620" ht="42" customHeight="1">
      <x:c r="A620" s="6" t="str">
        <x:v>https://digitecme.com/ar/brands/volkswagen-service-dubai/suspension-repair</x:v>
      </x:c>
      <x:c r="B620" s="6" t="str"/>
      <x:c r="C620" s="6" t="str"/>
      <x:c r="D620" s="6" t="str">
        <x:v>brand-service</x:v>
      </x:c>
      <x:c r="E620" s="6" t="str">
        <x:v>Retain differentiated role</x:v>
      </x:c>
      <x:c r="F620" s="6" t="str">
        <x:v>Local source render; live version unverified</x:v>
      </x:c>
      <x:c r="G620" s="6" t="str">
        <x:v>إصلاح التعليق Volkswagen في دبي | ديجي-تك</x:v>
      </x:c>
      <x:c r="H620" s="6" t="str">
        <x:v>إصلاح التعليق Volkswagen في دبي | ديجي-تك</x:v>
      </x:c>
      <x:c r="I620" s="6" t="str">
        <x:v>إصلاح التعليق Volkswagen في دبي</x:v>
      </x:c>
      <x:c r="J620" s="6" t="str">
        <x:v>إصلاح التعليق Volkswagen في دبي</x:v>
      </x:c>
      <x:c r="K620" s="6" t="str">
        <x:v>إصلاح التعليق متخصص لسيارات Volkswagen في دبي مع تشخيص متقدم وقطع مناسبة وتسعير واضح لدى مركز ديجي-تك.</x:v>
      </x:c>
      <x:c r="L620" s="6" t="str">
        <x:v>Retain pending evidence; no specific content edit justified by this export.</x:v>
      </x:c>
      <x:c r="M620" s="6" t="str">
        <x:v>Retain; inspect relevant context before adding links</x:v>
      </x:c>
      <x:c r="N620" s="6" t="str">
        <x:v>Unconfirmed — no query/page pairing</x:v>
      </x:c>
      <x:c r="O620" s="6" t="str">
        <x:v>Retain established booking / WhatsApp / call path; live behaviour untested</x:v>
      </x:c>
      <x:c r="P620" s="6" t="str">
        <x:v>Retain canonical and indexation policy pending a live check.</x:v>
      </x:c>
      <x:c r="Q620" s="6" t="str">
        <x:v>Proposed; no website change made</x:v>
      </x:c>
      <x:c r="R620" s="14"/>
      <x:c r="S620" s="14"/>
      <x:c r="T620" s="15"/>
      <x:c r="U620" s="16"/>
      <x:c r="V620" s="6" t="str">
        <x:v>https://digitecme.com/ar/brands/volkswagen-service-dubai/suspension-repair</x:v>
      </x:c>
      <x:c r="W620" s="6" t="str">
        <x:v>Noindex directive</x:v>
      </x:c>
      <x:c r="X620" s="6" t="n">
        <x:v>16</x:v>
      </x:c>
      <x:c r="Y620" s="6" t="str">
        <x:v>إصلاح التعليق Volkswagen في دبي | ديجي-تك</x:v>
      </x:c>
      <x:c r="Z620" s="6" t="str"/>
      <x:c r="AA620" s="6" t="str">
        <x:v>No / not compared</x:v>
      </x:c>
    </x:row>
    <x:row r="621" ht="42" customHeight="1">
      <x:c r="A621" s="6" t="str">
        <x:v>https://digitecme.com/ar/brands/volkswagen-service-dubai/tire-repair</x:v>
      </x:c>
      <x:c r="B621" s="6" t="str"/>
      <x:c r="C621" s="6" t="str"/>
      <x:c r="D621" s="6" t="str">
        <x:v>brand-service</x:v>
      </x:c>
      <x:c r="E621" s="6" t="str">
        <x:v>Retain differentiated role</x:v>
      </x:c>
      <x:c r="F621" s="6" t="str">
        <x:v>Local source render; live version unverified</x:v>
      </x:c>
      <x:c r="G621" s="6" t="str">
        <x:v>إصلاح الإطارات Volkswagen في دبي | ديجي-تك</x:v>
      </x:c>
      <x:c r="H621" s="6" t="str">
        <x:v>إصلاح الإطارات Volkswagen في دبي | ديجي-تك</x:v>
      </x:c>
      <x:c r="I621" s="6" t="str">
        <x:v>إصلاح الإطارات Volkswagen في دبي</x:v>
      </x:c>
      <x:c r="J621" s="6" t="str">
        <x:v>إصلاح الإطارات Volkswagen في دبي</x:v>
      </x:c>
      <x:c r="K621" s="6" t="str">
        <x:v>إصلاح الإطارات متخصص لسيارات Volkswagen في دبي مع تشخيص متقدم وقطع مناسبة وتسعير واضح لدى مركز ديجي-تك.</x:v>
      </x:c>
      <x:c r="L621" s="6" t="str">
        <x:v>Retain pending evidence; no specific content edit justified by this export.</x:v>
      </x:c>
      <x:c r="M621" s="6" t="str">
        <x:v>Retain; inspect relevant context before adding links</x:v>
      </x:c>
      <x:c r="N621" s="6" t="str">
        <x:v>Unconfirmed — no query/page pairing</x:v>
      </x:c>
      <x:c r="O621" s="6" t="str">
        <x:v>Retain established booking / WhatsApp / call path; live behaviour untested</x:v>
      </x:c>
      <x:c r="P621" s="6" t="str">
        <x:v>Retain canonical and indexation policy pending a live check.</x:v>
      </x:c>
      <x:c r="Q621" s="6" t="str">
        <x:v>Proposed; no website change made</x:v>
      </x:c>
      <x:c r="R621" s="14" t="n">
        <x:v>0</x:v>
      </x:c>
      <x:c r="S621" s="14" t="n">
        <x:v>1</x:v>
      </x:c>
      <x:c r="T621" s="15" t="n">
        <x:v>0</x:v>
      </x:c>
      <x:c r="U621" s="16" t="n">
        <x:v>20</x:v>
      </x:c>
      <x:c r="V621" s="6" t="str">
        <x:v>https://digitecme.com/ar/brands/volkswagen-service-dubai/tire-repair</x:v>
      </x:c>
      <x:c r="W621" s="6" t="str">
        <x:v>Noindex directive</x:v>
      </x:c>
      <x:c r="X621" s="6" t="n">
        <x:v>16</x:v>
      </x:c>
      <x:c r="Y621" s="6" t="str">
        <x:v>إصلاح الإطارات Volkswagen في دبي | ديجي-تك</x:v>
      </x:c>
      <x:c r="Z621" s="6" t="str"/>
      <x:c r="AA621" s="6" t="str">
        <x:v>No / not compared</x:v>
      </x:c>
    </x:row>
    <x:row r="622" ht="42" customHeight="1">
      <x:c r="A622" s="6" t="str">
        <x:v>https://digitecme.com/ar/brands/volkswagen-service-dubai/transmission-repair</x:v>
      </x:c>
      <x:c r="B622" s="6" t="str"/>
      <x:c r="C622" s="6" t="str"/>
      <x:c r="D622" s="6" t="str">
        <x:v>brand-service</x:v>
      </x:c>
      <x:c r="E622" s="6" t="str">
        <x:v>Retain differentiated role</x:v>
      </x:c>
      <x:c r="F622" s="6" t="str">
        <x:v>Local source render; live version unverified</x:v>
      </x:c>
      <x:c r="G622" s="6" t="str">
        <x:v>إصلاح ناقل الحركة Volkswagen في دبي | ديجي-تك</x:v>
      </x:c>
      <x:c r="H622" s="6" t="str">
        <x:v>إصلاح ناقل الحركة Volkswagen في دبي | ديجي-تك</x:v>
      </x:c>
      <x:c r="I622" s="6" t="str">
        <x:v>إصلاح ناقل الحركة Volkswagen في دبي</x:v>
      </x:c>
      <x:c r="J622" s="6" t="str">
        <x:v>إصلاح ناقل الحركة Volkswagen في دبي</x:v>
      </x:c>
      <x:c r="K622" s="6" t="str">
        <x:v>إصلاح ناقل الحركة متخصص لسيارات Volkswagen في دبي مع تشخيص متقدم وقطع مناسبة وتسعير واضح لدى مركز ديجي-تك.</x:v>
      </x:c>
      <x:c r="L622" s="6" t="str">
        <x:v>Retain pending evidence; no specific content edit justified by this export.</x:v>
      </x:c>
      <x:c r="M622" s="6" t="str">
        <x:v>Retain; inspect relevant context before adding links</x:v>
      </x:c>
      <x:c r="N622" s="6" t="str">
        <x:v>Unconfirmed — no query/page pairing</x:v>
      </x:c>
      <x:c r="O622" s="6" t="str">
        <x:v>Retain established booking / WhatsApp / call path; live behaviour untested</x:v>
      </x:c>
      <x:c r="P622" s="6" t="str">
        <x:v>Retain canonical and indexation policy pending a live check.</x:v>
      </x:c>
      <x:c r="Q622" s="6" t="str">
        <x:v>Proposed; no website change made</x:v>
      </x:c>
      <x:c r="R622" s="14"/>
      <x:c r="S622" s="14"/>
      <x:c r="T622" s="15"/>
      <x:c r="U622" s="16"/>
      <x:c r="V622" s="6" t="str">
        <x:v>https://digitecme.com/ar/brands/volkswagen-service-dubai/transmission-repair</x:v>
      </x:c>
      <x:c r="W622" s="6" t="str">
        <x:v>Noindex directive</x:v>
      </x:c>
      <x:c r="X622" s="6" t="n">
        <x:v>16</x:v>
      </x:c>
      <x:c r="Y622" s="6" t="str">
        <x:v>إصلاح ناقل الحركة Volkswagen في دبي | ديجي-تك</x:v>
      </x:c>
      <x:c r="Z622" s="6" t="str"/>
      <x:c r="AA622" s="6" t="str">
        <x:v>No / not compared</x:v>
      </x:c>
    </x:row>
    <x:row r="623" ht="42" customHeight="1">
      <x:c r="A623" s="6" t="str">
        <x:v>https://digitecme.com/ar/brands/volvo-service-dubai</x:v>
      </x:c>
      <x:c r="B623" s="6" t="str"/>
      <x:c r="C623" s="6" t="str"/>
      <x:c r="D623" s="6" t="str">
        <x:v>brand</x:v>
      </x:c>
      <x:c r="E623" s="6" t="str">
        <x:v>Retain differentiated role</x:v>
      </x:c>
      <x:c r="F623" s="6" t="str">
        <x:v>Local source render; live version unverified</x:v>
      </x:c>
      <x:c r="G623" s="6" t="str">
        <x:v>إصلاح وصيانة Volvo في دبي | مركز ديجي-تك</x:v>
      </x:c>
      <x:c r="H623" s="6" t="str">
        <x:v>إصلاح وصيانة Volvo في دبي | مركز ديجي-تك</x:v>
      </x:c>
      <x:c r="I623" s="6" t="str">
        <x:v>Volvo للإصلاح والصيانة في دبي</x:v>
      </x:c>
      <x:c r="J623" s="6" t="str">
        <x:v>Volvo للإصلاح والصيانة في دبي</x:v>
      </x:c>
      <x:c r="K623" s="6" t="str">
        <x:v>إصلاح وصيانة Volvo في دبي: تشخيص وصيانة وفرامل وناقل حركة وتعليق وتكييف مع قطع بالمواصفات المناسبة لدى مركز ديجي-تك.</x:v>
      </x:c>
      <x:c r="L623" s="6" t="str">
        <x:v>Retain pending evidence; no specific content edit justified by this export.</x:v>
      </x:c>
      <x:c r="M623" s="6" t="str">
        <x:v>Retain; inspect relevant context before adding links</x:v>
      </x:c>
      <x:c r="N623" s="6" t="str">
        <x:v>Unconfirmed — no query/page pairing</x:v>
      </x:c>
      <x:c r="O623" s="6" t="str">
        <x:v>Retain established booking / WhatsApp / call path; live behaviour untested</x:v>
      </x:c>
      <x:c r="P623" s="6" t="str">
        <x:v>Retain canonical and indexation policy pending a live check.</x:v>
      </x:c>
      <x:c r="Q623" s="6" t="str">
        <x:v>Proposed; no website change made</x:v>
      </x:c>
      <x:c r="R623" s="14" t="n">
        <x:v>0</x:v>
      </x:c>
      <x:c r="S623" s="14" t="n">
        <x:v>8</x:v>
      </x:c>
      <x:c r="T623" s="15" t="n">
        <x:v>0</x:v>
      </x:c>
      <x:c r="U623" s="16" t="n">
        <x:v>20.25</x:v>
      </x:c>
      <x:c r="V623" s="6" t="str">
        <x:v>https://digitecme.com/ar/brands/volvo-service-dubai</x:v>
      </x:c>
      <x:c r="W623" s="6" t="str">
        <x:v>Indexable directive</x:v>
      </x:c>
      <x:c r="X623" s="6" t="n">
        <x:v>38</x:v>
      </x:c>
      <x:c r="Y623" s="6" t="str">
        <x:v>إصلاح وصيانة Volvo في دبي | مركز ديجي-تك</x:v>
      </x:c>
      <x:c r="Z623" s="6" t="str"/>
      <x:c r="AA623" s="6" t="str">
        <x:v>No / not compared</x:v>
      </x:c>
    </x:row>
    <x:row r="624" ht="42" customHeight="1">
      <x:c r="A624" s="6" t="str">
        <x:v>https://digitecme.com/ar/brands/volvo-service-dubai/ac-repair</x:v>
      </x:c>
      <x:c r="B624" s="6" t="str"/>
      <x:c r="C624" s="6" t="str"/>
      <x:c r="D624" s="6" t="str">
        <x:v>brand-service</x:v>
      </x:c>
      <x:c r="E624" s="6" t="str">
        <x:v>Retain differentiated role</x:v>
      </x:c>
      <x:c r="F624" s="6" t="str">
        <x:v>Local source render; live version unverified</x:v>
      </x:c>
      <x:c r="G624" s="6" t="str">
        <x:v>إصلاح التكييف Volvo في دبي | ديجي-تك</x:v>
      </x:c>
      <x:c r="H624" s="6" t="str">
        <x:v>إصلاح التكييف Volvo في دبي | ديجي-تك</x:v>
      </x:c>
      <x:c r="I624" s="6" t="str">
        <x:v>إصلاح التكييف Volvo في دبي</x:v>
      </x:c>
      <x:c r="J624" s="6" t="str">
        <x:v>إصلاح التكييف Volvo في دبي</x:v>
      </x:c>
      <x:c r="K624" s="6" t="str">
        <x:v>إصلاح التكييف متخصص لسيارات Volvo في دبي مع تشخيص متقدم وقطع مناسبة وتسعير واضح لدى مركز ديجي-تك.</x:v>
      </x:c>
      <x:c r="L624" s="6" t="str">
        <x:v>Retain pending evidence; no specific content edit justified by this export.</x:v>
      </x:c>
      <x:c r="M624" s="6" t="str">
        <x:v>Retain; inspect relevant context before adding links</x:v>
      </x:c>
      <x:c r="N624" s="6" t="str">
        <x:v>Unconfirmed — no query/page pairing</x:v>
      </x:c>
      <x:c r="O624" s="6" t="str">
        <x:v>Retain established booking / WhatsApp / call path; live behaviour untested</x:v>
      </x:c>
      <x:c r="P624" s="6" t="str">
        <x:v>Retain canonical and indexation policy pending a live check.</x:v>
      </x:c>
      <x:c r="Q624" s="6" t="str">
        <x:v>Proposed; no website change made</x:v>
      </x:c>
      <x:c r="R624" s="14"/>
      <x:c r="S624" s="14"/>
      <x:c r="T624" s="15"/>
      <x:c r="U624" s="16"/>
      <x:c r="V624" s="6" t="str">
        <x:v>https://digitecme.com/ar/brands/volvo-service-dubai/ac-repair</x:v>
      </x:c>
      <x:c r="W624" s="6" t="str">
        <x:v>Indexable directive</x:v>
      </x:c>
      <x:c r="X624" s="6" t="n">
        <x:v>16</x:v>
      </x:c>
      <x:c r="Y624" s="6" t="str">
        <x:v>إصلاح التكييف Volvo في دبي | ديجي-تك</x:v>
      </x:c>
      <x:c r="Z624" s="6" t="str"/>
      <x:c r="AA624" s="6" t="str">
        <x:v>No / not compared</x:v>
      </x:c>
    </x:row>
    <x:row r="625" ht="42" customHeight="1">
      <x:c r="A625" s="6" t="str">
        <x:v>https://digitecme.com/ar/brands/volvo-service-dubai/battery-replacement</x:v>
      </x:c>
      <x:c r="B625" s="6" t="str"/>
      <x:c r="C625" s="6" t="str"/>
      <x:c r="D625" s="6" t="str">
        <x:v>brand-service</x:v>
      </x:c>
      <x:c r="E625" s="6" t="str">
        <x:v>Retain differentiated role</x:v>
      </x:c>
      <x:c r="F625" s="6" t="str">
        <x:v>Local source render; live version unverified</x:v>
      </x:c>
      <x:c r="G625" s="6" t="str">
        <x:v>تبديل البطارية Volvo في دبي | ديجي-تك</x:v>
      </x:c>
      <x:c r="H625" s="6" t="str">
        <x:v>تبديل البطارية Volvo في دبي | ديجي-تك</x:v>
      </x:c>
      <x:c r="I625" s="6" t="str">
        <x:v>تبديل البطارية Volvo في دبي</x:v>
      </x:c>
      <x:c r="J625" s="6" t="str">
        <x:v>تبديل البطارية Volvo في دبي</x:v>
      </x:c>
      <x:c r="K625" s="6" t="str">
        <x:v>تبديل البطارية متخصص لسيارات Volvo في دبي مع تشخيص متقدم وقطع مناسبة وتسعير واضح لدى مركز ديجي-تك.</x:v>
      </x:c>
      <x:c r="L625" s="6" t="str">
        <x:v>Retain pending evidence; no specific content edit justified by this export.</x:v>
      </x:c>
      <x:c r="M625" s="6" t="str">
        <x:v>Retain; inspect relevant context before adding links</x:v>
      </x:c>
      <x:c r="N625" s="6" t="str">
        <x:v>Unconfirmed — no query/page pairing</x:v>
      </x:c>
      <x:c r="O625" s="6" t="str">
        <x:v>Retain established booking / WhatsApp / call path; live behaviour untested</x:v>
      </x:c>
      <x:c r="P625" s="6" t="str">
        <x:v>Retain canonical and indexation policy pending a live check.</x:v>
      </x:c>
      <x:c r="Q625" s="6" t="str">
        <x:v>Proposed; no website change made</x:v>
      </x:c>
      <x:c r="R625" s="14"/>
      <x:c r="S625" s="14"/>
      <x:c r="T625" s="15"/>
      <x:c r="U625" s="16"/>
      <x:c r="V625" s="6" t="str">
        <x:v>https://digitecme.com/ar/brands/volvo-service-dubai/battery-replacement</x:v>
      </x:c>
      <x:c r="W625" s="6" t="str">
        <x:v>Noindex directive</x:v>
      </x:c>
      <x:c r="X625" s="6" t="n">
        <x:v>16</x:v>
      </x:c>
      <x:c r="Y625" s="6" t="str">
        <x:v>تبديل البطارية Volvo في دبي | ديجي-تك</x:v>
      </x:c>
      <x:c r="Z625" s="6" t="str"/>
      <x:c r="AA625" s="6" t="str">
        <x:v>No / not compared</x:v>
      </x:c>
    </x:row>
    <x:row r="626" ht="42" customHeight="1">
      <x:c r="A626" s="6" t="str">
        <x:v>https://digitecme.com/ar/brands/volvo-service-dubai/body-repair</x:v>
      </x:c>
      <x:c r="B626" s="6" t="str"/>
      <x:c r="C626" s="6" t="str"/>
      <x:c r="D626" s="6" t="str">
        <x:v>brand-service</x:v>
      </x:c>
      <x:c r="E626" s="6" t="str">
        <x:v>Retain differentiated role</x:v>
      </x:c>
      <x:c r="F626" s="6" t="str">
        <x:v>Local source render; live version unverified</x:v>
      </x:c>
      <x:c r="G626" s="6" t="str">
        <x:v>إصلاح الهيكل Volvo في دبي | ديجي-تك</x:v>
      </x:c>
      <x:c r="H626" s="6" t="str">
        <x:v>إصلاح الهيكل Volvo في دبي | ديجي-تك</x:v>
      </x:c>
      <x:c r="I626" s="6" t="str">
        <x:v>إصلاح الهيكل Volvo في دبي</x:v>
      </x:c>
      <x:c r="J626" s="6" t="str">
        <x:v>إصلاح الهيكل Volvo في دبي</x:v>
      </x:c>
      <x:c r="K626" s="6" t="str">
        <x:v>إصلاح الهيكل متخصص لسيارات Volvo في دبي مع تشخيص متقدم وقطع مناسبة وتسعير واضح لدى مركز ديجي-تك.</x:v>
      </x:c>
      <x:c r="L626" s="6" t="str">
        <x:v>Retain pending evidence; no specific content edit justified by this export.</x:v>
      </x:c>
      <x:c r="M626" s="6" t="str">
        <x:v>Retain; inspect relevant context before adding links</x:v>
      </x:c>
      <x:c r="N626" s="6" t="str">
        <x:v>Unconfirmed — no query/page pairing</x:v>
      </x:c>
      <x:c r="O626" s="6" t="str">
        <x:v>Retain established booking / WhatsApp / call path; live behaviour untested</x:v>
      </x:c>
      <x:c r="P626" s="6" t="str">
        <x:v>Retain canonical and indexation policy pending a live check.</x:v>
      </x:c>
      <x:c r="Q626" s="6" t="str">
        <x:v>Proposed; no website change made</x:v>
      </x:c>
      <x:c r="R626" s="14" t="n">
        <x:v>0</x:v>
      </x:c>
      <x:c r="S626" s="14" t="n">
        <x:v>1</x:v>
      </x:c>
      <x:c r="T626" s="15" t="n">
        <x:v>0</x:v>
      </x:c>
      <x:c r="U626" s="16" t="n">
        <x:v>99</x:v>
      </x:c>
      <x:c r="V626" s="6" t="str">
        <x:v>https://digitecme.com/ar/brands/volvo-service-dubai/body-repair</x:v>
      </x:c>
      <x:c r="W626" s="6" t="str">
        <x:v>Noindex directive</x:v>
      </x:c>
      <x:c r="X626" s="6" t="n">
        <x:v>16</x:v>
      </x:c>
      <x:c r="Y626" s="6" t="str">
        <x:v>إصلاح الهيكل Volvo في دبي | ديجي-تك</x:v>
      </x:c>
      <x:c r="Z626" s="6" t="str"/>
      <x:c r="AA626" s="6" t="str">
        <x:v>No / not compared</x:v>
      </x:c>
    </x:row>
    <x:row r="627" ht="42" customHeight="1">
      <x:c r="A627" s="6" t="str">
        <x:v>https://digitecme.com/ar/brands/volvo-service-dubai/brake-repair</x:v>
      </x:c>
      <x:c r="B627" s="6" t="str"/>
      <x:c r="C627" s="6" t="str"/>
      <x:c r="D627" s="6" t="str">
        <x:v>brand-service</x:v>
      </x:c>
      <x:c r="E627" s="6" t="str">
        <x:v>Retain differentiated role</x:v>
      </x:c>
      <x:c r="F627" s="6" t="str">
        <x:v>Local source render; live version unverified</x:v>
      </x:c>
      <x:c r="G627" s="6" t="str">
        <x:v>إصلاح الفرامل Volvo في دبي | ديجي-تك</x:v>
      </x:c>
      <x:c r="H627" s="6" t="str">
        <x:v>إصلاح الفرامل Volvo في دبي | ديجي-تك</x:v>
      </x:c>
      <x:c r="I627" s="6" t="str">
        <x:v>إصلاح الفرامل Volvo في دبي</x:v>
      </x:c>
      <x:c r="J627" s="6" t="str">
        <x:v>إصلاح الفرامل Volvo في دبي</x:v>
      </x:c>
      <x:c r="K627" s="6" t="str">
        <x:v>إصلاح الفرامل متخصص لسيارات Volvo في دبي مع تشخيص متقدم وقطع مناسبة وتسعير واضح لدى مركز ديجي-تك.</x:v>
      </x:c>
      <x:c r="L627" s="6" t="str">
        <x:v>Retain pending evidence; no specific content edit justified by this export.</x:v>
      </x:c>
      <x:c r="M627" s="6" t="str">
        <x:v>Retain; inspect relevant context before adding links</x:v>
      </x:c>
      <x:c r="N627" s="6" t="str">
        <x:v>Unconfirmed — no query/page pairing</x:v>
      </x:c>
      <x:c r="O627" s="6" t="str">
        <x:v>Retain established booking / WhatsApp / call path; live behaviour untested</x:v>
      </x:c>
      <x:c r="P627" s="6" t="str">
        <x:v>Retain canonical and indexation policy pending a live check.</x:v>
      </x:c>
      <x:c r="Q627" s="6" t="str">
        <x:v>Proposed; no website change made</x:v>
      </x:c>
      <x:c r="R627" s="14"/>
      <x:c r="S627" s="14"/>
      <x:c r="T627" s="15"/>
      <x:c r="U627" s="16"/>
      <x:c r="V627" s="6" t="str">
        <x:v>https://digitecme.com/ar/brands/volvo-service-dubai/brake-repair</x:v>
      </x:c>
      <x:c r="W627" s="6" t="str">
        <x:v>Indexable directive</x:v>
      </x:c>
      <x:c r="X627" s="6" t="n">
        <x:v>16</x:v>
      </x:c>
      <x:c r="Y627" s="6" t="str">
        <x:v>إصلاح الفرامل Volvo في دبي | ديجي-تك</x:v>
      </x:c>
      <x:c r="Z627" s="6" t="str"/>
      <x:c r="AA627" s="6" t="str">
        <x:v>No / not compared</x:v>
      </x:c>
    </x:row>
    <x:row r="628" ht="42" customHeight="1">
      <x:c r="A628" s="6" t="str">
        <x:v>https://digitecme.com/ar/brands/volvo-service-dubai/electrical-repair</x:v>
      </x:c>
      <x:c r="B628" s="6" t="str"/>
      <x:c r="C628" s="6" t="str"/>
      <x:c r="D628" s="6" t="str">
        <x:v>brand-service</x:v>
      </x:c>
      <x:c r="E628" s="6" t="str">
        <x:v>Retain differentiated role</x:v>
      </x:c>
      <x:c r="F628" s="6" t="str">
        <x:v>Local source render; live version unverified</x:v>
      </x:c>
      <x:c r="G628" s="6" t="str">
        <x:v>إصلاح الكهرباء Volvo في دبي | ديجي-تك</x:v>
      </x:c>
      <x:c r="H628" s="6" t="str">
        <x:v>إصلاح الكهرباء Volvo في دبي | ديجي-تك</x:v>
      </x:c>
      <x:c r="I628" s="6" t="str">
        <x:v>إصلاح الكهرباء Volvo في دبي</x:v>
      </x:c>
      <x:c r="J628" s="6" t="str">
        <x:v>إصلاح الكهرباء Volvo في دبي</x:v>
      </x:c>
      <x:c r="K628" s="6" t="str">
        <x:v>إصلاح الكهرباء متخصص لسيارات Volvo في دبي مع تشخيص متقدم وقطع مناسبة وتسعير واضح لدى مركز ديجي-تك.</x:v>
      </x:c>
      <x:c r="L628" s="6" t="str">
        <x:v>Retain pending evidence; no specific content edit justified by this export.</x:v>
      </x:c>
      <x:c r="M628" s="6" t="str">
        <x:v>Retain; inspect relevant context before adding links</x:v>
      </x:c>
      <x:c r="N628" s="6" t="str">
        <x:v>Unconfirmed — no query/page pairing</x:v>
      </x:c>
      <x:c r="O628" s="6" t="str">
        <x:v>Retain established booking / WhatsApp / call path; live behaviour untested</x:v>
      </x:c>
      <x:c r="P628" s="6" t="str">
        <x:v>Retain canonical and indexation policy pending a live check.</x:v>
      </x:c>
      <x:c r="Q628" s="6" t="str">
        <x:v>Proposed; no website change made</x:v>
      </x:c>
      <x:c r="R628" s="14"/>
      <x:c r="S628" s="14"/>
      <x:c r="T628" s="15"/>
      <x:c r="U628" s="16"/>
      <x:c r="V628" s="6" t="str">
        <x:v>https://digitecme.com/ar/brands/volvo-service-dubai/electrical-repair</x:v>
      </x:c>
      <x:c r="W628" s="6" t="str">
        <x:v>Noindex directive</x:v>
      </x:c>
      <x:c r="X628" s="6" t="n">
        <x:v>16</x:v>
      </x:c>
      <x:c r="Y628" s="6" t="str">
        <x:v>إصلاح الكهرباء Volvo في دبي | ديجي-تك</x:v>
      </x:c>
      <x:c r="Z628" s="6" t="str"/>
      <x:c r="AA628" s="6" t="str">
        <x:v>No / not compared</x:v>
      </x:c>
    </x:row>
    <x:row r="629" ht="42" customHeight="1">
      <x:c r="A629" s="6" t="str">
        <x:v>https://digitecme.com/ar/brands/volvo-service-dubai/engine-diagnostics</x:v>
      </x:c>
      <x:c r="B629" s="6" t="str"/>
      <x:c r="C629" s="6" t="str"/>
      <x:c r="D629" s="6" t="str">
        <x:v>brand-service</x:v>
      </x:c>
      <x:c r="E629" s="6" t="str">
        <x:v>Retain differentiated role</x:v>
      </x:c>
      <x:c r="F629" s="6" t="str">
        <x:v>Local source render; live version unverified</x:v>
      </x:c>
      <x:c r="G629" s="6" t="str">
        <x:v>تشخيص المحرك Volvo في دبي | ديجي-تك</x:v>
      </x:c>
      <x:c r="H629" s="6" t="str">
        <x:v>تشخيص المحرك Volvo في دبي | ديجي-تك</x:v>
      </x:c>
      <x:c r="I629" s="6" t="str">
        <x:v>تشخيص المحرك Volvo في دبي</x:v>
      </x:c>
      <x:c r="J629" s="6" t="str">
        <x:v>تشخيص المحرك Volvo في دبي</x:v>
      </x:c>
      <x:c r="K629" s="6" t="str">
        <x:v>تشخيص المحرك متخصص لسيارات Volvo في دبي مع تشخيص متقدم وقطع مناسبة وتسعير واضح لدى مركز ديجي-تك.</x:v>
      </x:c>
      <x:c r="L629" s="6" t="str">
        <x:v>Retain pending evidence; no specific content edit justified by this export.</x:v>
      </x:c>
      <x:c r="M629" s="6" t="str">
        <x:v>Retain; inspect relevant context before adding links</x:v>
      </x:c>
      <x:c r="N629" s="6" t="str">
        <x:v>Unconfirmed — no query/page pairing</x:v>
      </x:c>
      <x:c r="O629" s="6" t="str">
        <x:v>Retain established booking / WhatsApp / call path; live behaviour untested</x:v>
      </x:c>
      <x:c r="P629" s="6" t="str">
        <x:v>Retain canonical and indexation policy pending a live check.</x:v>
      </x:c>
      <x:c r="Q629" s="6" t="str">
        <x:v>Proposed; no website change made</x:v>
      </x:c>
      <x:c r="R629" s="14"/>
      <x:c r="S629" s="14"/>
      <x:c r="T629" s="15"/>
      <x:c r="U629" s="16"/>
      <x:c r="V629" s="6" t="str">
        <x:v>https://digitecme.com/ar/brands/volvo-service-dubai/engine-diagnostics</x:v>
      </x:c>
      <x:c r="W629" s="6" t="str">
        <x:v>Indexable directive</x:v>
      </x:c>
      <x:c r="X629" s="6" t="n">
        <x:v>16</x:v>
      </x:c>
      <x:c r="Y629" s="6" t="str">
        <x:v>تشخيص المحرك Volvo في دبي | ديجي-تك</x:v>
      </x:c>
      <x:c r="Z629" s="6" t="str"/>
      <x:c r="AA629" s="6" t="str">
        <x:v>No / not compared</x:v>
      </x:c>
    </x:row>
    <x:row r="630" ht="42" customHeight="1">
      <x:c r="A630" s="6" t="str">
        <x:v>https://digitecme.com/ar/brands/volvo-service-dubai/exhaust-repair</x:v>
      </x:c>
      <x:c r="B630" s="6" t="str"/>
      <x:c r="C630" s="6" t="str"/>
      <x:c r="D630" s="6" t="str">
        <x:v>brand-service</x:v>
      </x:c>
      <x:c r="E630" s="6" t="str">
        <x:v>Retain differentiated role</x:v>
      </x:c>
      <x:c r="F630" s="6" t="str">
        <x:v>Local source render; live version unverified</x:v>
      </x:c>
      <x:c r="G630" s="6" t="str">
        <x:v>إصلاح العادم Volvo في دبي | ديجي-تك</x:v>
      </x:c>
      <x:c r="H630" s="6" t="str">
        <x:v>إصلاح العادم Volvo في دبي | ديجي-تك</x:v>
      </x:c>
      <x:c r="I630" s="6" t="str">
        <x:v>إصلاح العادم Volvo في دبي</x:v>
      </x:c>
      <x:c r="J630" s="6" t="str">
        <x:v>إصلاح العادم Volvo في دبي</x:v>
      </x:c>
      <x:c r="K630" s="6" t="str">
        <x:v>إصلاح العادم متخصص لسيارات Volvo في دبي مع تشخيص متقدم وقطع مناسبة وتسعير واضح لدى مركز ديجي-تك.</x:v>
      </x:c>
      <x:c r="L630" s="6" t="str">
        <x:v>Retain pending evidence; no specific content edit justified by this export.</x:v>
      </x:c>
      <x:c r="M630" s="6" t="str">
        <x:v>Retain; inspect relevant context before adding links</x:v>
      </x:c>
      <x:c r="N630" s="6" t="str">
        <x:v>Unconfirmed — no query/page pairing</x:v>
      </x:c>
      <x:c r="O630" s="6" t="str">
        <x:v>Retain established booking / WhatsApp / call path; live behaviour untested</x:v>
      </x:c>
      <x:c r="P630" s="6" t="str">
        <x:v>Retain canonical and indexation policy pending a live check.</x:v>
      </x:c>
      <x:c r="Q630" s="6" t="str">
        <x:v>Proposed; no website change made</x:v>
      </x:c>
      <x:c r="R630" s="14"/>
      <x:c r="S630" s="14"/>
      <x:c r="T630" s="15"/>
      <x:c r="U630" s="16"/>
      <x:c r="V630" s="6" t="str">
        <x:v>https://digitecme.com/ar/brands/volvo-service-dubai/exhaust-repair</x:v>
      </x:c>
      <x:c r="W630" s="6" t="str">
        <x:v>Noindex directive</x:v>
      </x:c>
      <x:c r="X630" s="6" t="n">
        <x:v>16</x:v>
      </x:c>
      <x:c r="Y630" s="6" t="str">
        <x:v>إصلاح العادم Volvo في دبي | ديجي-تك</x:v>
      </x:c>
      <x:c r="Z630" s="6" t="str"/>
      <x:c r="AA630" s="6" t="str">
        <x:v>No / not compared</x:v>
      </x:c>
    </x:row>
    <x:row r="631" ht="42" customHeight="1">
      <x:c r="A631" s="6" t="str">
        <x:v>https://digitecme.com/ar/brands/volvo-service-dubai/fuel-system-repair</x:v>
      </x:c>
      <x:c r="B631" s="6" t="str"/>
      <x:c r="C631" s="6" t="str"/>
      <x:c r="D631" s="6" t="str">
        <x:v>brand-service</x:v>
      </x:c>
      <x:c r="E631" s="6" t="str">
        <x:v>Retain differentiated role</x:v>
      </x:c>
      <x:c r="F631" s="6" t="str">
        <x:v>Local source render; live version unverified</x:v>
      </x:c>
      <x:c r="G631" s="6" t="str">
        <x:v>إصلاح نظام الوقود Volvo في دبي | ديجي-تك</x:v>
      </x:c>
      <x:c r="H631" s="6" t="str">
        <x:v>إصلاح نظام الوقود Volvo في دبي | ديجي-تك</x:v>
      </x:c>
      <x:c r="I631" s="6" t="str">
        <x:v>إصلاح نظام الوقود Volvo في دبي</x:v>
      </x:c>
      <x:c r="J631" s="6" t="str">
        <x:v>إصلاح نظام الوقود Volvo في دبي</x:v>
      </x:c>
      <x:c r="K631" s="6" t="str">
        <x:v>إصلاح نظام الوقود متخصص لسيارات Volvo في دبي مع تشخيص متقدم وقطع مناسبة وتسعير واضح لدى مركز ديجي-تك.</x:v>
      </x:c>
      <x:c r="L631" s="6" t="str">
        <x:v>Retain pending evidence; no specific content edit justified by this export.</x:v>
      </x:c>
      <x:c r="M631" s="6" t="str">
        <x:v>Retain; inspect relevant context before adding links</x:v>
      </x:c>
      <x:c r="N631" s="6" t="str">
        <x:v>Unconfirmed — no query/page pairing</x:v>
      </x:c>
      <x:c r="O631" s="6" t="str">
        <x:v>Retain established booking / WhatsApp / call path; live behaviour untested</x:v>
      </x:c>
      <x:c r="P631" s="6" t="str">
        <x:v>Retain canonical and indexation policy pending a live check.</x:v>
      </x:c>
      <x:c r="Q631" s="6" t="str">
        <x:v>Proposed; no website change made</x:v>
      </x:c>
      <x:c r="R631" s="14"/>
      <x:c r="S631" s="14"/>
      <x:c r="T631" s="15"/>
      <x:c r="U631" s="16"/>
      <x:c r="V631" s="6" t="str">
        <x:v>https://digitecme.com/ar/brands/volvo-service-dubai/fuel-system-repair</x:v>
      </x:c>
      <x:c r="W631" s="6" t="str">
        <x:v>Noindex directive</x:v>
      </x:c>
      <x:c r="X631" s="6" t="n">
        <x:v>16</x:v>
      </x:c>
      <x:c r="Y631" s="6" t="str">
        <x:v>إصلاح نظام الوقود Volvo في دبي | ديجي-تك</x:v>
      </x:c>
      <x:c r="Z631" s="6" t="str"/>
      <x:c r="AA631" s="6" t="str">
        <x:v>No / not compared</x:v>
      </x:c>
    </x:row>
    <x:row r="632" ht="42" customHeight="1">
      <x:c r="A632" s="6" t="str">
        <x:v>https://digitecme.com/ar/brands/volvo-service-dubai/mechanical-repair</x:v>
      </x:c>
      <x:c r="B632" s="6" t="str"/>
      <x:c r="C632" s="6" t="str"/>
      <x:c r="D632" s="6" t="str">
        <x:v>brand-service</x:v>
      </x:c>
      <x:c r="E632" s="6" t="str">
        <x:v>Retain differentiated role</x:v>
      </x:c>
      <x:c r="F632" s="6" t="str">
        <x:v>Local source render; live version unverified</x:v>
      </x:c>
      <x:c r="G632" s="6" t="str">
        <x:v>الإصلاح الميكانيكي Volvo في دبي | ديجي-تك</x:v>
      </x:c>
      <x:c r="H632" s="6" t="str">
        <x:v>الإصلاح الميكانيكي Volvo في دبي | ديجي-تك</x:v>
      </x:c>
      <x:c r="I632" s="6" t="str">
        <x:v>الإصلاح الميكانيكي Volvo في دبي</x:v>
      </x:c>
      <x:c r="J632" s="6" t="str">
        <x:v>الإصلاح الميكانيكي Volvo في دبي</x:v>
      </x:c>
      <x:c r="K632" s="6" t="str">
        <x:v>الإصلاح الميكانيكي متخصص لسيارات Volvo في دبي مع تشخيص متقدم وقطع مناسبة وتسعير واضح لدى مركز ديجي-تك.</x:v>
      </x:c>
      <x:c r="L632" s="6" t="str">
        <x:v>Retain pending evidence; no specific content edit justified by this export.</x:v>
      </x:c>
      <x:c r="M632" s="6" t="str">
        <x:v>Retain; inspect relevant context before adding links</x:v>
      </x:c>
      <x:c r="N632" s="6" t="str">
        <x:v>Unconfirmed — no query/page pairing</x:v>
      </x:c>
      <x:c r="O632" s="6" t="str">
        <x:v>Retain established booking / WhatsApp / call path; live behaviour untested</x:v>
      </x:c>
      <x:c r="P632" s="6" t="str">
        <x:v>Retain canonical and indexation policy pending a live check.</x:v>
      </x:c>
      <x:c r="Q632" s="6" t="str">
        <x:v>Proposed; no website change made</x:v>
      </x:c>
      <x:c r="R632" s="14" t="n">
        <x:v>0</x:v>
      </x:c>
      <x:c r="S632" s="14" t="n">
        <x:v>1</x:v>
      </x:c>
      <x:c r="T632" s="15" t="n">
        <x:v>0</x:v>
      </x:c>
      <x:c r="U632" s="16" t="n">
        <x:v>1</x:v>
      </x:c>
      <x:c r="V632" s="6" t="str">
        <x:v>https://digitecme.com/ar/brands/volvo-service-dubai/mechanical-repair</x:v>
      </x:c>
      <x:c r="W632" s="6" t="str">
        <x:v>Noindex directive</x:v>
      </x:c>
      <x:c r="X632" s="6" t="n">
        <x:v>16</x:v>
      </x:c>
      <x:c r="Y632" s="6" t="str">
        <x:v>الإصلاح الميكانيكي Volvo في دبي | ديجي-تك</x:v>
      </x:c>
      <x:c r="Z632" s="6" t="str"/>
      <x:c r="AA632" s="6" t="str">
        <x:v>No / not compared</x:v>
      </x:c>
    </x:row>
    <x:row r="633" ht="42" customHeight="1">
      <x:c r="A633" s="6" t="str">
        <x:v>https://digitecme.com/ar/brands/volvo-service-dubai/oil-change</x:v>
      </x:c>
      <x:c r="B633" s="6" t="str"/>
      <x:c r="C633" s="6" t="str"/>
      <x:c r="D633" s="6" t="str">
        <x:v>brand-service</x:v>
      </x:c>
      <x:c r="E633" s="6" t="str">
        <x:v>Retain differentiated role</x:v>
      </x:c>
      <x:c r="F633" s="6" t="str">
        <x:v>Local source render; live version unverified</x:v>
      </x:c>
      <x:c r="G633" s="6" t="str">
        <x:v>تغيير الزيت Volvo في دبي | ديجي-تك</x:v>
      </x:c>
      <x:c r="H633" s="6" t="str">
        <x:v>تغيير الزيت Volvo في دبي | ديجي-تك</x:v>
      </x:c>
      <x:c r="I633" s="6" t="str">
        <x:v>تغيير الزيت Volvo في دبي</x:v>
      </x:c>
      <x:c r="J633" s="6" t="str">
        <x:v>تغيير الزيت Volvo في دبي</x:v>
      </x:c>
      <x:c r="K633" s="6" t="str">
        <x:v>تغيير الزيت متخصص لسيارات Volvo في دبي مع تشخيص متقدم وقطع مناسبة وتسعير واضح لدى مركز ديجي-تك.</x:v>
      </x:c>
      <x:c r="L633" s="6" t="str">
        <x:v>Retain pending evidence; no specific content edit justified by this export.</x:v>
      </x:c>
      <x:c r="M633" s="6" t="str">
        <x:v>Retain; inspect relevant context before adding links</x:v>
      </x:c>
      <x:c r="N633" s="6" t="str">
        <x:v>Unconfirmed — no query/page pairing</x:v>
      </x:c>
      <x:c r="O633" s="6" t="str">
        <x:v>Retain established booking / WhatsApp / call path; live behaviour untested</x:v>
      </x:c>
      <x:c r="P633" s="6" t="str">
        <x:v>Retain canonical and indexation policy pending a live check.</x:v>
      </x:c>
      <x:c r="Q633" s="6" t="str">
        <x:v>Proposed; no website change made</x:v>
      </x:c>
      <x:c r="R633" s="14"/>
      <x:c r="S633" s="14"/>
      <x:c r="T633" s="15"/>
      <x:c r="U633" s="16"/>
      <x:c r="V633" s="6" t="str">
        <x:v>https://digitecme.com/ar/brands/volvo-service-dubai/oil-change</x:v>
      </x:c>
      <x:c r="W633" s="6" t="str">
        <x:v>Indexable directive</x:v>
      </x:c>
      <x:c r="X633" s="6" t="n">
        <x:v>16</x:v>
      </x:c>
      <x:c r="Y633" s="6" t="str">
        <x:v>تغيير الزيت Volvo في دبي | ديجي-تك</x:v>
      </x:c>
      <x:c r="Z633" s="6" t="str"/>
      <x:c r="AA633" s="6" t="str">
        <x:v>No / not compared</x:v>
      </x:c>
    </x:row>
    <x:row r="634" ht="42" customHeight="1">
      <x:c r="A634" s="6" t="str">
        <x:v>https://digitecme.com/ar/brands/volvo-service-dubai/steering-repair</x:v>
      </x:c>
      <x:c r="B634" s="6" t="str"/>
      <x:c r="C634" s="6" t="str"/>
      <x:c r="D634" s="6" t="str">
        <x:v>brand-service</x:v>
      </x:c>
      <x:c r="E634" s="6" t="str">
        <x:v>Retain differentiated role</x:v>
      </x:c>
      <x:c r="F634" s="6" t="str">
        <x:v>Local source render; live version unverified</x:v>
      </x:c>
      <x:c r="G634" s="6" t="str">
        <x:v>إصلاح نظام التوجيه Volvo في دبي | ديجي-تك</x:v>
      </x:c>
      <x:c r="H634" s="6" t="str">
        <x:v>إصلاح نظام التوجيه Volvo في دبي | ديجي-تك</x:v>
      </x:c>
      <x:c r="I634" s="6" t="str">
        <x:v>إصلاح نظام التوجيه Volvo في دبي</x:v>
      </x:c>
      <x:c r="J634" s="6" t="str">
        <x:v>إصلاح نظام التوجيه Volvo في دبي</x:v>
      </x:c>
      <x:c r="K634" s="6" t="str">
        <x:v>إصلاح نظام التوجيه متخصص لسيارات Volvo في دبي مع تشخيص متقدم وقطع مناسبة وتسعير واضح لدى مركز ديجي-تك.</x:v>
      </x:c>
      <x:c r="L634" s="6" t="str">
        <x:v>Retain pending evidence; no specific content edit justified by this export.</x:v>
      </x:c>
      <x:c r="M634" s="6" t="str">
        <x:v>Retain; inspect relevant context before adding links</x:v>
      </x:c>
      <x:c r="N634" s="6" t="str">
        <x:v>Unconfirmed — no query/page pairing</x:v>
      </x:c>
      <x:c r="O634" s="6" t="str">
        <x:v>Retain established booking / WhatsApp / call path; live behaviour untested</x:v>
      </x:c>
      <x:c r="P634" s="6" t="str">
        <x:v>Retain canonical and indexation policy pending a live check.</x:v>
      </x:c>
      <x:c r="Q634" s="6" t="str">
        <x:v>Proposed; no website change made</x:v>
      </x:c>
      <x:c r="R634" s="14"/>
      <x:c r="S634" s="14"/>
      <x:c r="T634" s="15"/>
      <x:c r="U634" s="16"/>
      <x:c r="V634" s="6" t="str">
        <x:v>https://digitecme.com/ar/brands/volvo-service-dubai/steering-repair</x:v>
      </x:c>
      <x:c r="W634" s="6" t="str">
        <x:v>Noindex directive</x:v>
      </x:c>
      <x:c r="X634" s="6" t="n">
        <x:v>16</x:v>
      </x:c>
      <x:c r="Y634" s="6" t="str">
        <x:v>إصلاح نظام التوجيه Volvo في دبي | ديجي-تك</x:v>
      </x:c>
      <x:c r="Z634" s="6" t="str"/>
      <x:c r="AA634" s="6" t="str">
        <x:v>No / not compared</x:v>
      </x:c>
    </x:row>
    <x:row r="635" ht="42" customHeight="1">
      <x:c r="A635" s="6" t="str">
        <x:v>https://digitecme.com/ar/brands/volvo-service-dubai/suspension-repair</x:v>
      </x:c>
      <x:c r="B635" s="6" t="str"/>
      <x:c r="C635" s="6" t="str"/>
      <x:c r="D635" s="6" t="str">
        <x:v>brand-service</x:v>
      </x:c>
      <x:c r="E635" s="6" t="str">
        <x:v>Retain differentiated role</x:v>
      </x:c>
      <x:c r="F635" s="6" t="str">
        <x:v>Local source render; live version unverified</x:v>
      </x:c>
      <x:c r="G635" s="6" t="str">
        <x:v>إصلاح التعليق Volvo في دبي | ديجي-تك</x:v>
      </x:c>
      <x:c r="H635" s="6" t="str">
        <x:v>إصلاح التعليق Volvo في دبي | ديجي-تك</x:v>
      </x:c>
      <x:c r="I635" s="6" t="str">
        <x:v>إصلاح التعليق Volvo في دبي</x:v>
      </x:c>
      <x:c r="J635" s="6" t="str">
        <x:v>إصلاح التعليق Volvo في دبي</x:v>
      </x:c>
      <x:c r="K635" s="6" t="str">
        <x:v>إصلاح التعليق متخصص لسيارات Volvo في دبي مع تشخيص متقدم وقطع مناسبة وتسعير واضح لدى مركز ديجي-تك.</x:v>
      </x:c>
      <x:c r="L635" s="6" t="str">
        <x:v>Retain pending evidence; no specific content edit justified by this export.</x:v>
      </x:c>
      <x:c r="M635" s="6" t="str">
        <x:v>Retain; inspect relevant context before adding links</x:v>
      </x:c>
      <x:c r="N635" s="6" t="str">
        <x:v>Unconfirmed — no query/page pairing</x:v>
      </x:c>
      <x:c r="O635" s="6" t="str">
        <x:v>Retain established booking / WhatsApp / call path; live behaviour untested</x:v>
      </x:c>
      <x:c r="P635" s="6" t="str">
        <x:v>Retain canonical and indexation policy pending a live check.</x:v>
      </x:c>
      <x:c r="Q635" s="6" t="str">
        <x:v>Proposed; no website change made</x:v>
      </x:c>
      <x:c r="R635" s="14"/>
      <x:c r="S635" s="14"/>
      <x:c r="T635" s="15"/>
      <x:c r="U635" s="16"/>
      <x:c r="V635" s="6" t="str">
        <x:v>https://digitecme.com/ar/brands/volvo-service-dubai/suspension-repair</x:v>
      </x:c>
      <x:c r="W635" s="6" t="str">
        <x:v>Noindex directive</x:v>
      </x:c>
      <x:c r="X635" s="6" t="n">
        <x:v>16</x:v>
      </x:c>
      <x:c r="Y635" s="6" t="str">
        <x:v>إصلاح التعليق Volvo في دبي | ديجي-تك</x:v>
      </x:c>
      <x:c r="Z635" s="6" t="str"/>
      <x:c r="AA635" s="6" t="str">
        <x:v>No / not compared</x:v>
      </x:c>
    </x:row>
    <x:row r="636" ht="42" customHeight="1">
      <x:c r="A636" s="6" t="str">
        <x:v>https://digitecme.com/ar/brands/volvo-service-dubai/tire-repair</x:v>
      </x:c>
      <x:c r="B636" s="6" t="str"/>
      <x:c r="C636" s="6" t="str"/>
      <x:c r="D636" s="6" t="str">
        <x:v>brand-service</x:v>
      </x:c>
      <x:c r="E636" s="6" t="str">
        <x:v>Retain differentiated role</x:v>
      </x:c>
      <x:c r="F636" s="6" t="str">
        <x:v>Local source render; live version unverified</x:v>
      </x:c>
      <x:c r="G636" s="6" t="str">
        <x:v>إصلاح الإطارات Volvo في دبي | ديجي-تك</x:v>
      </x:c>
      <x:c r="H636" s="6" t="str">
        <x:v>إصلاح الإطارات Volvo في دبي | ديجي-تك</x:v>
      </x:c>
      <x:c r="I636" s="6" t="str">
        <x:v>إصلاح الإطارات Volvo في دبي</x:v>
      </x:c>
      <x:c r="J636" s="6" t="str">
        <x:v>إصلاح الإطارات Volvo في دبي</x:v>
      </x:c>
      <x:c r="K636" s="6" t="str">
        <x:v>إصلاح الإطارات متخصص لسيارات Volvo في دبي مع تشخيص متقدم وقطع مناسبة وتسعير واضح لدى مركز ديجي-تك.</x:v>
      </x:c>
      <x:c r="L636" s="6" t="str">
        <x:v>Retain pending evidence; no specific content edit justified by this export.</x:v>
      </x:c>
      <x:c r="M636" s="6" t="str">
        <x:v>Retain; inspect relevant context before adding links</x:v>
      </x:c>
      <x:c r="N636" s="6" t="str">
        <x:v>Unconfirmed — no query/page pairing</x:v>
      </x:c>
      <x:c r="O636" s="6" t="str">
        <x:v>Retain established booking / WhatsApp / call path; live behaviour untested</x:v>
      </x:c>
      <x:c r="P636" s="6" t="str">
        <x:v>Retain canonical and indexation policy pending a live check.</x:v>
      </x:c>
      <x:c r="Q636" s="6" t="str">
        <x:v>Proposed; no website change made</x:v>
      </x:c>
      <x:c r="R636" s="14"/>
      <x:c r="S636" s="14"/>
      <x:c r="T636" s="15"/>
      <x:c r="U636" s="16"/>
      <x:c r="V636" s="6" t="str">
        <x:v>https://digitecme.com/ar/brands/volvo-service-dubai/tire-repair</x:v>
      </x:c>
      <x:c r="W636" s="6" t="str">
        <x:v>Noindex directive</x:v>
      </x:c>
      <x:c r="X636" s="6" t="n">
        <x:v>16</x:v>
      </x:c>
      <x:c r="Y636" s="6" t="str">
        <x:v>إصلاح الإطارات Volvo في دبي | ديجي-تك</x:v>
      </x:c>
      <x:c r="Z636" s="6" t="str"/>
      <x:c r="AA636" s="6" t="str">
        <x:v>No / not compared</x:v>
      </x:c>
    </x:row>
    <x:row r="637" ht="42" customHeight="1">
      <x:c r="A637" s="6" t="str">
        <x:v>https://digitecme.com/ar/brands/volvo-service-dubai/transmission-repair</x:v>
      </x:c>
      <x:c r="B637" s="6" t="str"/>
      <x:c r="C637" s="6" t="str"/>
      <x:c r="D637" s="6" t="str">
        <x:v>brand-service</x:v>
      </x:c>
      <x:c r="E637" s="6" t="str">
        <x:v>Retain differentiated role</x:v>
      </x:c>
      <x:c r="F637" s="6" t="str">
        <x:v>Local source render; live version unverified</x:v>
      </x:c>
      <x:c r="G637" s="6" t="str">
        <x:v>إصلاح ناقل الحركة Volvo في دبي | ديجي-تك</x:v>
      </x:c>
      <x:c r="H637" s="6" t="str">
        <x:v>إصلاح ناقل الحركة Volvo في دبي | ديجي-تك</x:v>
      </x:c>
      <x:c r="I637" s="6" t="str">
        <x:v>إصلاح ناقل الحركة Volvo في دبي</x:v>
      </x:c>
      <x:c r="J637" s="6" t="str">
        <x:v>إصلاح ناقل الحركة Volvo في دبي</x:v>
      </x:c>
      <x:c r="K637" s="6" t="str">
        <x:v>إصلاح ناقل الحركة متخصص لسيارات Volvo في دبي مع تشخيص متقدم وقطع مناسبة وتسعير واضح لدى مركز ديجي-تك.</x:v>
      </x:c>
      <x:c r="L637" s="6" t="str">
        <x:v>Retain pending evidence; no specific content edit justified by this export.</x:v>
      </x:c>
      <x:c r="M637" s="6" t="str">
        <x:v>Retain; inspect relevant context before adding links</x:v>
      </x:c>
      <x:c r="N637" s="6" t="str">
        <x:v>Unconfirmed — no query/page pairing</x:v>
      </x:c>
      <x:c r="O637" s="6" t="str">
        <x:v>Retain established booking / WhatsApp / call path; live behaviour untested</x:v>
      </x:c>
      <x:c r="P637" s="6" t="str">
        <x:v>Retain canonical and indexation policy pending a live check.</x:v>
      </x:c>
      <x:c r="Q637" s="6" t="str">
        <x:v>Proposed; no website change made</x:v>
      </x:c>
      <x:c r="R637" s="14"/>
      <x:c r="S637" s="14"/>
      <x:c r="T637" s="15"/>
      <x:c r="U637" s="16"/>
      <x:c r="V637" s="6" t="str">
        <x:v>https://digitecme.com/ar/brands/volvo-service-dubai/transmission-repair</x:v>
      </x:c>
      <x:c r="W637" s="6" t="str">
        <x:v>Noindex directive</x:v>
      </x:c>
      <x:c r="X637" s="6" t="n">
        <x:v>16</x:v>
      </x:c>
      <x:c r="Y637" s="6" t="str">
        <x:v>إصلاح ناقل الحركة Volvo في دبي | ديجي-تك</x:v>
      </x:c>
      <x:c r="Z637" s="6" t="str"/>
      <x:c r="AA637" s="6" t="str">
        <x:v>No / not compared</x:v>
      </x:c>
    </x:row>
    <x:row r="638" ht="42" customHeight="1">
      <x:c r="A638" s="6" t="str">
        <x:v>https://digitecme.com/ar/faq</x:v>
      </x:c>
      <x:c r="B638" s="6" t="str"/>
      <x:c r="C638" s="6" t="str"/>
      <x:c r="D638" s="6" t="str">
        <x:v>faq</x:v>
      </x:c>
      <x:c r="E638" s="6" t="str">
        <x:v>Retain differentiated role</x:v>
      </x:c>
      <x:c r="F638" s="6" t="str">
        <x:v>Local source render; live version unverified</x:v>
      </x:c>
      <x:c r="G638" s="6" t="str">
        <x:v>الأسئلة الشائعة | مركز ديجي-تك دبي</x:v>
      </x:c>
      <x:c r="H638" s="6" t="str">
        <x:v>الأسئلة الشائعة | مركز ديجي-تك دبي</x:v>
      </x:c>
      <x:c r="I638" s="6" t="str">
        <x:v>الأسئلة الشائعة</x:v>
      </x:c>
      <x:c r="J638" s="6" t="str">
        <x:v>الأسئلة الشائعة</x:v>
      </x:c>
      <x:c r="K638" s="6" t="str">
        <x:v>إجابات عن صيانة وإصلاح السيارات الفاخرة والتشخيص والبرمجة وتطوير الأداء وحجز المواعيد لدى ديجي-تك في دبي.</x:v>
      </x:c>
      <x:c r="L638" s="6" t="str">
        <x:v>Retain pending evidence; no specific content edit justified by this export.</x:v>
      </x:c>
      <x:c r="M638" s="6" t="str">
        <x:v>Retain; inspect relevant context before adding links</x:v>
      </x:c>
      <x:c r="N638" s="6" t="str">
        <x:v>Unconfirmed — no query/page pairing</x:v>
      </x:c>
      <x:c r="O638" s="6" t="str">
        <x:v>Retain established booking / WhatsApp / call path; live behaviour untested</x:v>
      </x:c>
      <x:c r="P638" s="6" t="str">
        <x:v>Retain canonical and indexation policy pending a live check.</x:v>
      </x:c>
      <x:c r="Q638" s="6" t="str">
        <x:v>Proposed; no website change made</x:v>
      </x:c>
      <x:c r="R638" s="14" t="n">
        <x:v>0</x:v>
      </x:c>
      <x:c r="S638" s="14" t="n">
        <x:v>2</x:v>
      </x:c>
      <x:c r="T638" s="15" t="n">
        <x:v>0</x:v>
      </x:c>
      <x:c r="U638" s="16" t="n">
        <x:v>16</x:v>
      </x:c>
      <x:c r="V638" s="6" t="str">
        <x:v>https://digitecme.com/ar/faq</x:v>
      </x:c>
      <x:c r="W638" s="6" t="str">
        <x:v>Indexable directive</x:v>
      </x:c>
      <x:c r="X638" s="6" t="n">
        <x:v>669</x:v>
      </x:c>
      <x:c r="Y638" s="6" t="str">
        <x:v>الأسئلة الشائعة | مركز ديجي-تك دبي</x:v>
      </x:c>
      <x:c r="Z638" s="6" t="str"/>
      <x:c r="AA638" s="6" t="str">
        <x:v>No / not compared</x:v>
      </x:c>
    </x:row>
    <x:row r="639" ht="42" customHeight="1">
      <x:c r="A639" s="6" t="str">
        <x:v>https://digitecme.com/ar/services</x:v>
      </x:c>
      <x:c r="B639" s="6" t="str"/>
      <x:c r="C639" s="6" t="str"/>
      <x:c r="D639" s="6" t="str">
        <x:v>services-hub</x:v>
      </x:c>
      <x:c r="E639" s="6" t="str">
        <x:v>Retain differentiated role</x:v>
      </x:c>
      <x:c r="F639" s="6" t="str">
        <x:v>Local source render; live version unverified</x:v>
      </x:c>
      <x:c r="G639" s="6" t="str">
        <x:v>خدمات صيانة وإصلاح السيارات في دبي | ديجي-تك</x:v>
      </x:c>
      <x:c r="H639" s="6" t="str">
        <x:v>خدمات صيانة وإصلاح السيارات في دبي | ديجي-تك</x:v>
      </x:c>
      <x:c r="I639" s="6" t="str">
        <x:v>خدماتنا</x:v>
      </x:c>
      <x:c r="J639" s="6" t="str">
        <x:v>خدماتنا</x:v>
      </x:c>
      <x:c r="K639" s="6" t="str">
        <x:v>اكتشف خدمات ديجي-تك لصيانة وإصلاح السيارات في دبي، من الميكانيكا والتشخيص إلى كهرباء السيارات والتكييف والهيكل وحماية الطلاء.</x:v>
      </x:c>
      <x:c r="L639" s="6" t="str">
        <x:v>Retain pending evidence; no specific content edit justified by this export.</x:v>
      </x:c>
      <x:c r="M639" s="6" t="str">
        <x:v>Retain; inspect relevant context before adding links</x:v>
      </x:c>
      <x:c r="N639" s="6" t="str">
        <x:v>Unconfirmed — no query/page pairing</x:v>
      </x:c>
      <x:c r="O639" s="6" t="str">
        <x:v>Retain established booking / WhatsApp / call path; live behaviour untested</x:v>
      </x:c>
      <x:c r="P639" s="6" t="str">
        <x:v>Retain canonical and indexation policy pending a live check.</x:v>
      </x:c>
      <x:c r="Q639" s="6" t="str">
        <x:v>Proposed; no website change made</x:v>
      </x:c>
      <x:c r="R639" s="14" t="n">
        <x:v>0</x:v>
      </x:c>
      <x:c r="S639" s="14" t="n">
        <x:v>6</x:v>
      </x:c>
      <x:c r="T639" s="15" t="n">
        <x:v>0</x:v>
      </x:c>
      <x:c r="U639" s="16" t="n">
        <x:v>14.33</x:v>
      </x:c>
      <x:c r="V639" s="6" t="str">
        <x:v>https://digitecme.com/ar/services</x:v>
      </x:c>
      <x:c r="W639" s="6" t="str">
        <x:v>Indexable directive</x:v>
      </x:c>
      <x:c r="X639" s="6" t="n">
        <x:v>670</x:v>
      </x:c>
      <x:c r="Y639" s="6" t="str">
        <x:v>خدمات صيانة وإصلاح السيارات في دبي | ديجي-تك</x:v>
      </x:c>
      <x:c r="Z639" s="6" t="str"/>
      <x:c r="AA639" s="6" t="str">
        <x:v>No / not compared</x:v>
      </x:c>
    </x:row>
    <x:row r="640" ht="57" customHeight="1">
      <x:c r="A640" s="6" t="str">
        <x:v>https://digitecme.com/ar/services/auto-electrical-repair-dubai</x:v>
      </x:c>
      <x:c r="B640" s="6" t="str"/>
      <x:c r="C640" s="6" t="str"/>
      <x:c r="D640" s="6" t="str">
        <x:v>service</x:v>
      </x:c>
      <x:c r="E640" s="6" t="str">
        <x:v>Retain differentiated role</x:v>
      </x:c>
      <x:c r="F640" s="6" t="str">
        <x:v>Local source render; live version unverified</x:v>
      </x:c>
      <x:c r="G640" s="6" t="str">
        <x:v>إصلاح كهرباء السيارات | مركز ديجي-تك دبي</x:v>
      </x:c>
      <x:c r="H640" s="6" t="str">
        <x:v>إصلاح كهرباء السيارات | مركز ديجي-تك دبي</x:v>
      </x:c>
      <x:c r="I640" s="6" t="str">
        <x:v>إصلاح كهرباء السيارات</x:v>
      </x:c>
      <x:c r="J640" s="6" t="str">
        <x:v>إصلاح كهرباء السيارات</x:v>
      </x:c>
      <x:c r="K640" s="6" t="str">
        <x:v>تشخيص وإصلاح أنظمة الطاقة والحساسات والوحدات الإلكترونية. فحص متقدم وقطع بالمواصفات المناسبة وتسعير واضح من مركز ديجي-تك في القوز، دبي. احجز موعدك الآن.</x:v>
      </x:c>
      <x:c r="L640" s="6" t="str">
        <x:v>Retain pending evidence; no specific content edit justified by this export.</x:v>
      </x:c>
      <x:c r="M640" s="6" t="str">
        <x:v>Retain; inspect relevant context before adding links</x:v>
      </x:c>
      <x:c r="N640" s="6" t="str">
        <x:v>Unconfirmed — no query/page pairing</x:v>
      </x:c>
      <x:c r="O640" s="6" t="str">
        <x:v>Retain established booking / WhatsApp / call path; live behaviour untested</x:v>
      </x:c>
      <x:c r="P640" s="6" t="str">
        <x:v>Retain canonical and indexation policy pending a live check.</x:v>
      </x:c>
      <x:c r="Q640" s="6" t="str">
        <x:v>Proposed; no website change made</x:v>
      </x:c>
      <x:c r="R640" s="14" t="n">
        <x:v>0</x:v>
      </x:c>
      <x:c r="S640" s="14" t="n">
        <x:v>20</x:v>
      </x:c>
      <x:c r="T640" s="15" t="n">
        <x:v>0</x:v>
      </x:c>
      <x:c r="U640" s="16" t="n">
        <x:v>9.5</x:v>
      </x:c>
      <x:c r="V640" s="6" t="str">
        <x:v>https://digitecme.com/ar/services/auto-electrical-repair-dubai</x:v>
      </x:c>
      <x:c r="W640" s="6" t="str">
        <x:v>Indexable directive</x:v>
      </x:c>
      <x:c r="X640" s="6" t="n">
        <x:v>26</x:v>
      </x:c>
      <x:c r="Y640" s="6" t="str">
        <x:v>إصلاح كهرباء السيارات | مركز ديجي-تك دبي</x:v>
      </x:c>
      <x:c r="Z640" s="6" t="str"/>
      <x:c r="AA640" s="6" t="str">
        <x:v>No / not compared</x:v>
      </x:c>
    </x:row>
    <x:row r="641" ht="42" customHeight="1">
      <x:c r="A641" s="6" t="str">
        <x:v>https://digitecme.com/ar/services/battery-replacement-dubai</x:v>
      </x:c>
      <x:c r="B641" s="6" t="str">
        <x:v>خدمة تبديل بطارية السيارة دبي</x:v>
      </x:c>
      <x:c r="C641" s="6" t="str">
        <x:v>All vehicles: Battery service (Arabic)</x:v>
      </x:c>
      <x:c r="D641" s="6" t="str">
        <x:v>service</x:v>
      </x:c>
      <x:c r="E641" s="6" t="str">
        <x:v>Primary owner for assigned intent</x:v>
      </x:c>
      <x:c r="F641" s="6" t="str">
        <x:v>Local source render; live version unverified</x:v>
      </x:c>
      <x:c r="G641" s="6" t="str">
        <x:v>تبديل بطارية السيارة في دبي | مركز ديجي-تك دبي</x:v>
      </x:c>
      <x:c r="H641" s="6" t="str">
        <x:v>تبديل بطارية السيارة في دبي | مركز ديجي-تك دبي</x:v>
      </x:c>
      <x:c r="I641" s="6" t="str">
        <x:v>تبديل بطارية السيارة في دبي</x:v>
      </x:c>
      <x:c r="J641" s="6" t="str">
        <x:v>تبديل بطارية السيارة في دبي</x:v>
      </x:c>
      <x:c r="K641" s="6" t="str">
        <x:v>فحص واستبدال وبرمجة بطاريات السيارات الحديثة. فحص متقدم وقطع بالمواصفات المناسبة وتسعير واضح من مركز ديجي-تك في القوز، دبي. احجز موعدك الآن.</x:v>
      </x:c>
      <x:c r="L641" s="6" t="str">
        <x:v>Retain pending evidence; no specific content edit justified by this export.</x:v>
      </x:c>
      <x:c r="M641" s="6" t="str">
        <x:v>Retain; inspect relevant context before adding links</x:v>
      </x:c>
      <x:c r="N641" s="6" t="str">
        <x:v>Unconfirmed — no query/page pairing</x:v>
      </x:c>
      <x:c r="O641" s="6" t="str">
        <x:v>Retain established booking / WhatsApp / call path; live behaviour untested</x:v>
      </x:c>
      <x:c r="P641" s="6" t="str">
        <x:v>Retain canonical and indexation policy pending a live check.</x:v>
      </x:c>
      <x:c r="Q641" s="6" t="str">
        <x:v>Proposed; no website change made</x:v>
      </x:c>
      <x:c r="R641" s="14" t="n">
        <x:v>0</x:v>
      </x:c>
      <x:c r="S641" s="14" t="n">
        <x:v>65</x:v>
      </x:c>
      <x:c r="T641" s="15" t="n">
        <x:v>0</x:v>
      </x:c>
      <x:c r="U641" s="16" t="n">
        <x:v>9.74</x:v>
      </x:c>
      <x:c r="V641" s="6" t="str">
        <x:v>https://digitecme.com/ar/services/battery-replacement-dubai</x:v>
      </x:c>
      <x:c r="W641" s="6" t="str">
        <x:v>Indexable directive</x:v>
      </x:c>
      <x:c r="X641" s="6" t="n">
        <x:v>6</x:v>
      </x:c>
      <x:c r="Y641" s="6" t="str">
        <x:v>تبديل بطارية السيارة في دبي | مركز ديجي-تك دبي</x:v>
      </x:c>
      <x:c r="Z641" s="6" t="str"/>
      <x:c r="AA641" s="6" t="str">
        <x:v>No / not compared</x:v>
      </x:c>
    </x:row>
    <x:row r="642" ht="42" customHeight="1">
      <x:c r="A642" s="6" t="str">
        <x:v>https://digitecme.com/ar/services/brake-repair-dubai</x:v>
      </x:c>
      <x:c r="B642" s="6" t="str">
        <x:v>تصليح فرامل السيارة في دبي</x:v>
      </x:c>
      <x:c r="C642" s="6" t="str">
        <x:v>All vehicles: Brake repair (Arabic)</x:v>
      </x:c>
      <x:c r="D642" s="6" t="str">
        <x:v>service</x:v>
      </x:c>
      <x:c r="E642" s="6" t="str">
        <x:v>Primary owner for assigned intent</x:v>
      </x:c>
      <x:c r="F642" s="6" t="str">
        <x:v>Local source render; live version unverified</x:v>
      </x:c>
      <x:c r="G642" s="6" t="str">
        <x:v>إصلاح الفرامل في دبي | مركز ديجي-تك دبي</x:v>
      </x:c>
      <x:c r="H642" s="6" t="str">
        <x:v>إصلاح الفرامل في دبي | مركز ديجي-تك دبي</x:v>
      </x:c>
      <x:c r="I642" s="6" t="str">
        <x:v>إصلاح الفرامل في دبي</x:v>
      </x:c>
      <x:c r="J642" s="6" t="str">
        <x:v>إصلاح الفرامل في دبي</x:v>
      </x:c>
      <x:c r="K642" s="6" t="str">
        <x:v>فحمات وأقراص وكليبرات وتشخيص نظام ABS. فحص متقدم وقطع بالمواصفات المناسبة وتسعير واضح من مركز ديجي-تك في القوز، دبي. احجز موعدك الآن.</x:v>
      </x:c>
      <x:c r="L642" s="6" t="str">
        <x:v>Retain pending evidence; no specific content edit justified by this export.</x:v>
      </x:c>
      <x:c r="M642" s="6" t="str">
        <x:v>Retain; inspect relevant context before adding links</x:v>
      </x:c>
      <x:c r="N642" s="6" t="str">
        <x:v>Unconfirmed — no query/page pairing</x:v>
      </x:c>
      <x:c r="O642" s="6" t="str">
        <x:v>Retain established booking / WhatsApp / call path; live behaviour untested</x:v>
      </x:c>
      <x:c r="P642" s="6" t="str">
        <x:v>Retain canonical and indexation policy pending a live check.</x:v>
      </x:c>
      <x:c r="Q642" s="6" t="str">
        <x:v>Proposed; no website change made</x:v>
      </x:c>
      <x:c r="R642" s="14"/>
      <x:c r="S642" s="14"/>
      <x:c r="T642" s="15"/>
      <x:c r="U642" s="16"/>
      <x:c r="V642" s="6" t="str">
        <x:v>https://digitecme.com/ar/services/brake-repair-dubai</x:v>
      </x:c>
      <x:c r="W642" s="6" t="str">
        <x:v>Indexable directive</x:v>
      </x:c>
      <x:c r="X642" s="6" t="n">
        <x:v>669</x:v>
      </x:c>
      <x:c r="Y642" s="6" t="str">
        <x:v>إصلاح الفرامل في دبي | مركز ديجي-تك دبي</x:v>
      </x:c>
      <x:c r="Z642" s="6" t="str"/>
      <x:c r="AA642" s="6" t="str">
        <x:v>No / not compared</x:v>
      </x:c>
    </x:row>
    <x:row r="643" ht="42" customHeight="1">
      <x:c r="A643" s="6" t="str">
        <x:v>https://digitecme.com/ar/services/car-ac-repair-dubai</x:v>
      </x:c>
      <x:c r="B643" s="6" t="str"/>
      <x:c r="C643" s="6" t="str"/>
      <x:c r="D643" s="6" t="str">
        <x:v>service</x:v>
      </x:c>
      <x:c r="E643" s="6" t="str">
        <x:v>Retain differentiated role</x:v>
      </x:c>
      <x:c r="F643" s="6" t="str">
        <x:v>Local source render; live version unverified</x:v>
      </x:c>
      <x:c r="G643" s="6" t="str">
        <x:v>إصلاح تكييف السيارات في دبي | مركز ديجي-تك دبي</x:v>
      </x:c>
      <x:c r="H643" s="6" t="str">
        <x:v>إصلاح تكييف السيارات في دبي | مركز ديجي-تك دبي</x:v>
      </x:c>
      <x:c r="I643" s="6" t="str">
        <x:v>إصلاح تكييف السيارات في دبي</x:v>
      </x:c>
      <x:c r="J643" s="6" t="str">
        <x:v>إصلاح تكييف السيارات في دبي</x:v>
      </x:c>
      <x:c r="K643" s="6" t="str">
        <x:v>تشخيص التكييف وتعبئة الغاز وإصلاح الضاغط. فحص متقدم وقطع بالمواصفات المناسبة وتسعير واضح من مركز ديجي-تك في القوز، دبي. احجز موعدك الآن.</x:v>
      </x:c>
      <x:c r="L643" s="6" t="str">
        <x:v>Retain pending evidence; no specific content edit justified by this export.</x:v>
      </x:c>
      <x:c r="M643" s="6" t="str">
        <x:v>Retain; inspect relevant context before adding links</x:v>
      </x:c>
      <x:c r="N643" s="6" t="str">
        <x:v>Unconfirmed — no query/page pairing</x:v>
      </x:c>
      <x:c r="O643" s="6" t="str">
        <x:v>Retain established booking / WhatsApp / call path; live behaviour untested</x:v>
      </x:c>
      <x:c r="P643" s="6" t="str">
        <x:v>Retain canonical and indexation policy pending a live check.</x:v>
      </x:c>
      <x:c r="Q643" s="6" t="str">
        <x:v>Proposed; no website change made</x:v>
      </x:c>
      <x:c r="R643" s="14" t="n">
        <x:v>0</x:v>
      </x:c>
      <x:c r="S643" s="14" t="n">
        <x:v>16</x:v>
      </x:c>
      <x:c r="T643" s="15" t="n">
        <x:v>0</x:v>
      </x:c>
      <x:c r="U643" s="16" t="n">
        <x:v>13.88</x:v>
      </x:c>
      <x:c r="V643" s="6" t="str">
        <x:v>https://digitecme.com/ar/services/car-ac-repair-dubai</x:v>
      </x:c>
      <x:c r="W643" s="6" t="str">
        <x:v>Indexable directive</x:v>
      </x:c>
      <x:c r="X643" s="6" t="n">
        <x:v>42</x:v>
      </x:c>
      <x:c r="Y643" s="6" t="str">
        <x:v>إصلاح تكييف السيارات في دبي | مركز ديجي-تك دبي</x:v>
      </x:c>
      <x:c r="Z643" s="6" t="str"/>
      <x:c r="AA643" s="6" t="str">
        <x:v>No / not compared</x:v>
      </x:c>
    </x:row>
    <x:row r="644" ht="57" customHeight="1">
      <x:c r="A644" s="6" t="str">
        <x:v>https://digitecme.com/ar/services/car-body-repair-dubai</x:v>
      </x:c>
      <x:c r="B644" s="6" t="str"/>
      <x:c r="C644" s="6" t="str"/>
      <x:c r="D644" s="6" t="str">
        <x:v>service</x:v>
      </x:c>
      <x:c r="E644" s="6" t="str">
        <x:v>Retain differentiated role</x:v>
      </x:c>
      <x:c r="F644" s="6" t="str">
        <x:v>Local source render; live version unverified</x:v>
      </x:c>
      <x:c r="G644" s="6" t="str">
        <x:v>إصلاح هيكل السيارة | مركز ديجي-تك دبي</x:v>
      </x:c>
      <x:c r="H644" s="6" t="str">
        <x:v>إصلاح هيكل السيارة | مركز ديجي-تك دبي</x:v>
      </x:c>
      <x:c r="I644" s="6" t="str">
        <x:v>إصلاح هيكل السيارة</x:v>
      </x:c>
      <x:c r="J644" s="6" t="str">
        <x:v>إصلاح هيكل السيارة</x:v>
      </x:c>
      <x:c r="K644" s="6" t="str">
        <x:v>إصلاح دقيق للانبعاجات والخدوش والأضرار الهيكلية. فحص متقدم وقطع بالمواصفات المناسبة وتسعير واضح من مركز ديجي-تك في القوز، دبي. احجز موعدك الآن.</x:v>
      </x:c>
      <x:c r="L644" s="6" t="str">
        <x:v>Retain pending evidence; no specific content edit justified by this export.</x:v>
      </x:c>
      <x:c r="M644" s="6" t="str">
        <x:v>Retain; inspect relevant context before adding links</x:v>
      </x:c>
      <x:c r="N644" s="6" t="str">
        <x:v>Unconfirmed — no query/page pairing</x:v>
      </x:c>
      <x:c r="O644" s="6" t="str">
        <x:v>Retain established booking / WhatsApp / call path; live behaviour untested</x:v>
      </x:c>
      <x:c r="P644" s="6" t="str">
        <x:v>Retain canonical and indexation policy pending a live check.</x:v>
      </x:c>
      <x:c r="Q644" s="6" t="str">
        <x:v>Proposed; no website change made</x:v>
      </x:c>
      <x:c r="R644" s="14"/>
      <x:c r="S644" s="14"/>
      <x:c r="T644" s="15"/>
      <x:c r="U644" s="16"/>
      <x:c r="V644" s="6" t="str">
        <x:v>https://digitecme.com/ar/services/car-body-repair-dubai</x:v>
      </x:c>
      <x:c r="W644" s="6" t="str">
        <x:v>Indexable directive</x:v>
      </x:c>
      <x:c r="X644" s="6" t="n">
        <x:v>8</x:v>
      </x:c>
      <x:c r="Y644" s="6" t="str">
        <x:v>إصلاح هيكل السيارة | مركز ديجي-تك دبي</x:v>
      </x:c>
      <x:c r="Z644" s="6" t="str"/>
      <x:c r="AA644" s="6" t="str">
        <x:v>No / not compared</x:v>
      </x:c>
    </x:row>
    <x:row r="645" ht="57" customHeight="1">
      <x:c r="A645" s="6" t="str">
        <x:v>https://digitecme.com/ar/services/car-diagnostics-dubai</x:v>
      </x:c>
      <x:c r="B645" s="6" t="str"/>
      <x:c r="C645" s="6" t="str"/>
      <x:c r="D645" s="6" t="str">
        <x:v>service</x:v>
      </x:c>
      <x:c r="E645" s="6" t="str">
        <x:v>Retain differentiated role</x:v>
      </x:c>
      <x:c r="F645" s="6" t="str">
        <x:v>Local source render; live version unverified</x:v>
      </x:c>
      <x:c r="G645" s="6" t="str">
        <x:v>برمجة وتشخيص السيارات | مركز ديجي-تك دبي</x:v>
      </x:c>
      <x:c r="H645" s="6" t="str">
        <x:v>برمجة وتشخيص السيارات | مركز ديجي-تك دبي</x:v>
      </x:c>
      <x:c r="I645" s="6" t="str">
        <x:v>برمجة وتشخيص السيارات</x:v>
      </x:c>
      <x:c r="J645" s="6" t="str">
        <x:v>برمجة وتشخيص السيارات</x:v>
      </x:c>
      <x:c r="K645" s="6" t="str">
        <x:v>برمجة وحدات التحكم وإعادة الضبط والفحص الرقمي الكامل. فحص متقدم وقطع بالمواصفات المناسبة وتسعير واضح من مركز ديجي-تك في القوز، دبي. احجز موعدك الآن.</x:v>
      </x:c>
      <x:c r="L645" s="6" t="str">
        <x:v>Retain pending evidence; no specific content edit justified by this export.</x:v>
      </x:c>
      <x:c r="M645" s="6" t="str">
        <x:v>Retain; inspect relevant context before adding links</x:v>
      </x:c>
      <x:c r="N645" s="6" t="str">
        <x:v>Unconfirmed — no query/page pairing</x:v>
      </x:c>
      <x:c r="O645" s="6" t="str">
        <x:v>Retain established booking / WhatsApp / call path; live behaviour untested</x:v>
      </x:c>
      <x:c r="P645" s="6" t="str">
        <x:v>Retain canonical and indexation policy pending a live check.</x:v>
      </x:c>
      <x:c r="Q645" s="6" t="str">
        <x:v>Proposed; no website change made</x:v>
      </x:c>
      <x:c r="R645" s="14"/>
      <x:c r="S645" s="14"/>
      <x:c r="T645" s="15"/>
      <x:c r="U645" s="16"/>
      <x:c r="V645" s="6" t="str">
        <x:v>https://digitecme.com/ar/services/car-diagnostics-dubai</x:v>
      </x:c>
      <x:c r="W645" s="6" t="str">
        <x:v>Indexable directive</x:v>
      </x:c>
      <x:c r="X645" s="6" t="n">
        <x:v>669</x:v>
      </x:c>
      <x:c r="Y645" s="6" t="str">
        <x:v>برمجة وتشخيص السيارات | مركز ديجي-تك دبي</x:v>
      </x:c>
      <x:c r="Z645" s="6" t="str"/>
      <x:c r="AA645" s="6" t="str">
        <x:v>No / not compared</x:v>
      </x:c>
    </x:row>
    <x:row r="646" ht="57" customHeight="1">
      <x:c r="A646" s="6" t="str">
        <x:v>https://digitecme.com/ar/services/car-garage-dubai</x:v>
      </x:c>
      <x:c r="B646" s="6" t="str">
        <x:v>كراج سيارات دبي</x:v>
      </x:c>
      <x:c r="C646" s="6" t="str">
        <x:v>All vehicles: General garage and repair (Arabic)</x:v>
      </x:c>
      <x:c r="D646" s="6" t="str">
        <x:v>service</x:v>
      </x:c>
      <x:c r="E646" s="6" t="str">
        <x:v>Primary owner for assigned intent</x:v>
      </x:c>
      <x:c r="F646" s="6" t="str">
        <x:v>Local source render; live version unverified</x:v>
      </x:c>
      <x:c r="G646" s="6" t="str">
        <x:v>كراج سيارات في دبي | مركز ديجي-تك</x:v>
      </x:c>
      <x:c r="H646" s="6" t="str">
        <x:v>كراج سيارات في دبي | مركز ديجي-تك</x:v>
      </x:c>
      <x:c r="I646" s="6" t="str">
        <x:v>كراج سيارات في دبي</x:v>
      </x:c>
      <x:c r="J646" s="6" t="str">
        <x:v>كراج سيارات في دبي</x:v>
      </x:c>
      <x:c r="K646" s="6" t="str">
        <x:v>يوفر مركز ديجي-تك خدمات متكاملة للسيارات في دبي تشمل الصيانة والتشخيص والإصلاحات الميكانيكية والكهربائية والعناية بالأداء. احجز فحصاً لدى مركز ديجي-تك في القوز.</x:v>
      </x:c>
      <x:c r="L646" s="6" t="str">
        <x:v>Retain pending evidence; no specific content edit justified by this export.</x:v>
      </x:c>
      <x:c r="M646" s="6" t="str">
        <x:v>Retain; inspect relevant context before adding links</x:v>
      </x:c>
      <x:c r="N646" s="6" t="str">
        <x:v>Unconfirmed — no query/page pairing</x:v>
      </x:c>
      <x:c r="O646" s="6" t="str">
        <x:v>Retain established booking / WhatsApp / call path; live behaviour untested</x:v>
      </x:c>
      <x:c r="P646" s="6" t="str">
        <x:v>Retain canonical and indexation policy pending a live check.</x:v>
      </x:c>
      <x:c r="Q646" s="6" t="str">
        <x:v>Proposed; no website change made</x:v>
      </x:c>
      <x:c r="R646" s="14" t="n">
        <x:v>0</x:v>
      </x:c>
      <x:c r="S646" s="14" t="n">
        <x:v>36</x:v>
      </x:c>
      <x:c r="T646" s="15" t="n">
        <x:v>0</x:v>
      </x:c>
      <x:c r="U646" s="16" t="n">
        <x:v>9.92</x:v>
      </x:c>
      <x:c r="V646" s="6" t="str">
        <x:v>https://digitecme.com/ar/services/car-garage-dubai</x:v>
      </x:c>
      <x:c r="W646" s="6" t="str">
        <x:v>Indexable directive</x:v>
      </x:c>
      <x:c r="X646" s="6" t="n">
        <x:v>4</x:v>
      </x:c>
      <x:c r="Y646" s="6" t="str">
        <x:v>كراج سيارات في دبي | مركز ديجي-تك</x:v>
      </x:c>
      <x:c r="Z646" s="6" t="str"/>
      <x:c r="AA646" s="6" t="str">
        <x:v>No / not compared</x:v>
      </x:c>
    </x:row>
    <x:row r="647" ht="42" customHeight="1">
      <x:c r="A647" s="6" t="str">
        <x:v>https://digitecme.com/ar/services/car-service-dubai</x:v>
      </x:c>
      <x:c r="B647" s="6" t="str"/>
      <x:c r="C647" s="6" t="str"/>
      <x:c r="D647" s="6" t="str">
        <x:v>service</x:v>
      </x:c>
      <x:c r="E647" s="6" t="str">
        <x:v>Retain differentiated role</x:v>
      </x:c>
      <x:c r="F647" s="6" t="str">
        <x:v>Local source render; live version unverified</x:v>
      </x:c>
      <x:c r="G647" s="6" t="str">
        <x:v>صيانة السيارات في دبي | مركز ديجي-تك دبي</x:v>
      </x:c>
      <x:c r="H647" s="6" t="str">
        <x:v>صيانة السيارات في دبي | مركز ديجي-تك دبي</x:v>
      </x:c>
      <x:c r="I647" s="6" t="str">
        <x:v>صيانة السيارات في دبي</x:v>
      </x:c>
      <x:c r="J647" s="6" t="str">
        <x:v>صيانة السيارات في دبي</x:v>
      </x:c>
      <x:c r="K647" s="6" t="str">
        <x:v>صيانة دورية وفق جداول الشركة المصنّعة. فحص متقدم وقطع بالمواصفات المناسبة وتسعير واضح من مركز ديجي-تك في القوز، دبي. احجز موعدك الآن.</x:v>
      </x:c>
      <x:c r="L647" s="6" t="str">
        <x:v>Retain pending evidence; no specific content edit justified by this export.</x:v>
      </x:c>
      <x:c r="M647" s="6" t="str">
        <x:v>Retain; inspect relevant context before adding links</x:v>
      </x:c>
      <x:c r="N647" s="6" t="str">
        <x:v>Unconfirmed — no query/page pairing</x:v>
      </x:c>
      <x:c r="O647" s="6" t="str">
        <x:v>Retain established booking / WhatsApp / call path; live behaviour untested</x:v>
      </x:c>
      <x:c r="P647" s="6" t="str">
        <x:v>Retain canonical and indexation policy pending a live check.</x:v>
      </x:c>
      <x:c r="Q647" s="6" t="str">
        <x:v>Proposed; no website change made</x:v>
      </x:c>
      <x:c r="R647" s="14" t="n">
        <x:v>0</x:v>
      </x:c>
      <x:c r="S647" s="14" t="n">
        <x:v>7</x:v>
      </x:c>
      <x:c r="T647" s="15" t="n">
        <x:v>0</x:v>
      </x:c>
      <x:c r="U647" s="16" t="n">
        <x:v>23.71</x:v>
      </x:c>
      <x:c r="V647" s="6" t="str">
        <x:v>https://digitecme.com/ar/services/car-service-dubai</x:v>
      </x:c>
      <x:c r="W647" s="6" t="str">
        <x:v>Indexable directive</x:v>
      </x:c>
      <x:c r="X647" s="6" t="n">
        <x:v>5</x:v>
      </x:c>
      <x:c r="Y647" s="6" t="str">
        <x:v>صيانة السيارات في دبي | مركز ديجي-تك دبي</x:v>
      </x:c>
      <x:c r="Z647" s="6" t="str"/>
      <x:c r="AA647" s="6" t="str">
        <x:v>No / not compared</x:v>
      </x:c>
    </x:row>
    <x:row r="648" ht="42" customHeight="1">
      <x:c r="A648" s="6" t="str">
        <x:v>https://digitecme.com/ar/services/ceramic-coating</x:v>
      </x:c>
      <x:c r="B648" s="6" t="str"/>
      <x:c r="C648" s="6" t="str"/>
      <x:c r="D648" s="6" t="str">
        <x:v>service</x:v>
      </x:c>
      <x:c r="E648" s="6" t="str">
        <x:v>Retain differentiated role</x:v>
      </x:c>
      <x:c r="F648" s="6" t="str">
        <x:v>Local source render; live version unverified</x:v>
      </x:c>
      <x:c r="G648" s="6" t="str">
        <x:v>الطلاء السيراميكي | مركز ديجي-تك دبي</x:v>
      </x:c>
      <x:c r="H648" s="6" t="str">
        <x:v>الطلاء السيراميكي | مركز ديجي-تك دبي</x:v>
      </x:c>
      <x:c r="I648" s="6" t="str">
        <x:v>الطلاء السيراميكي</x:v>
      </x:c>
      <x:c r="J648" s="6" t="str">
        <x:v>الطلاء السيراميكي</x:v>
      </x:c>
      <x:c r="K648" s="6" t="str">
        <x:v>لمعان دائم وحماية نانوية سهلة العناية. فحص متقدم وقطع بالمواصفات المناسبة وتسعير واضح من مركز ديجي-تك في القوز، دبي. احجز موعدك الآن.</x:v>
      </x:c>
      <x:c r="L648" s="6" t="str">
        <x:v>Retain pending evidence; no specific content edit justified by this export.</x:v>
      </x:c>
      <x:c r="M648" s="6" t="str">
        <x:v>Retain; inspect relevant context before adding links</x:v>
      </x:c>
      <x:c r="N648" s="6" t="str">
        <x:v>Unconfirmed — no query/page pairing</x:v>
      </x:c>
      <x:c r="O648" s="6" t="str">
        <x:v>Retain established booking / WhatsApp / call path; live behaviour untested</x:v>
      </x:c>
      <x:c r="P648" s="6" t="str">
        <x:v>Retain canonical and indexation policy pending a live check.</x:v>
      </x:c>
      <x:c r="Q648" s="6" t="str">
        <x:v>Proposed; no website change made</x:v>
      </x:c>
      <x:c r="R648" s="14"/>
      <x:c r="S648" s="14"/>
      <x:c r="T648" s="15"/>
      <x:c r="U648" s="16"/>
      <x:c r="V648" s="6" t="str">
        <x:v>https://digitecme.com/ar/services/ceramic-coating</x:v>
      </x:c>
      <x:c r="W648" s="6" t="str">
        <x:v>Indexable directive</x:v>
      </x:c>
      <x:c r="X648" s="6" t="n">
        <x:v>8</x:v>
      </x:c>
      <x:c r="Y648" s="6" t="str">
        <x:v>الطلاء السيراميكي | مركز ديجي-تك دبي</x:v>
      </x:c>
      <x:c r="Z648" s="6" t="str"/>
      <x:c r="AA648" s="6" t="str">
        <x:v>No / not compared</x:v>
      </x:c>
    </x:row>
    <x:row r="649" ht="42" customHeight="1">
      <x:c r="A649" s="6" t="str">
        <x:v>https://digitecme.com/ar/services/exhaust-repair-dubai</x:v>
      </x:c>
      <x:c r="B649" s="6" t="str"/>
      <x:c r="C649" s="6" t="str"/>
      <x:c r="D649" s="6" t="str">
        <x:v>service</x:v>
      </x:c>
      <x:c r="E649" s="6" t="str">
        <x:v>Retain differentiated role</x:v>
      </x:c>
      <x:c r="F649" s="6" t="str">
        <x:v>Local source render; live version unverified</x:v>
      </x:c>
      <x:c r="G649" s="6" t="str">
        <x:v>إصلاح نظام العادم في دبي | مركز ديجي-تك دبي</x:v>
      </x:c>
      <x:c r="H649" s="6" t="str">
        <x:v>إصلاح نظام العادم في دبي | مركز ديجي-تك دبي</x:v>
      </x:c>
      <x:c r="I649" s="6" t="str">
        <x:v>إصلاح نظام العادم في دبي</x:v>
      </x:c>
      <x:c r="J649" s="6" t="str">
        <x:v>إصلاح نظام العادم في دبي</x:v>
      </x:c>
      <x:c r="K649" s="6" t="str">
        <x:v>فحص وإصلاح العادم والكاتاليزر وأنظمة الصوت. فحص متقدم وقطع بالمواصفات المناسبة وتسعير واضح من مركز ديجي-تك في القوز، دبي. احجز موعدك الآن.</x:v>
      </x:c>
      <x:c r="L649" s="6" t="str">
        <x:v>Retain pending evidence; no specific content edit justified by this export.</x:v>
      </x:c>
      <x:c r="M649" s="6" t="str">
        <x:v>Retain; inspect relevant context before adding links</x:v>
      </x:c>
      <x:c r="N649" s="6" t="str">
        <x:v>Unconfirmed — no query/page pairing</x:v>
      </x:c>
      <x:c r="O649" s="6" t="str">
        <x:v>Retain established booking / WhatsApp / call path; live behaviour untested</x:v>
      </x:c>
      <x:c r="P649" s="6" t="str">
        <x:v>Retain canonical and indexation policy pending a live check.</x:v>
      </x:c>
      <x:c r="Q649" s="6" t="str">
        <x:v>Proposed; no website change made</x:v>
      </x:c>
      <x:c r="R649" s="14" t="n">
        <x:v>0</x:v>
      </x:c>
      <x:c r="S649" s="14" t="n">
        <x:v>1</x:v>
      </x:c>
      <x:c r="T649" s="15" t="n">
        <x:v>0</x:v>
      </x:c>
      <x:c r="U649" s="16" t="n">
        <x:v>1</x:v>
      </x:c>
      <x:c r="V649" s="6" t="str">
        <x:v>https://digitecme.com/ar/services/exhaust-repair-dubai</x:v>
      </x:c>
      <x:c r="W649" s="6" t="str">
        <x:v>Indexable directive</x:v>
      </x:c>
      <x:c r="X649" s="6" t="n">
        <x:v>5</x:v>
      </x:c>
      <x:c r="Y649" s="6" t="str">
        <x:v>إصلاح نظام العادم في دبي | مركز ديجي-تك دبي</x:v>
      </x:c>
      <x:c r="Z649" s="6" t="str"/>
      <x:c r="AA649" s="6" t="str">
        <x:v>No / not compared</x:v>
      </x:c>
    </x:row>
    <x:row r="650" ht="42" customHeight="1">
      <x:c r="A650" s="6" t="str">
        <x:v>https://digitecme.com/ar/services/fuel-system-repair-dubai</x:v>
      </x:c>
      <x:c r="B650" s="6" t="str"/>
      <x:c r="C650" s="6" t="str"/>
      <x:c r="D650" s="6" t="str">
        <x:v>service</x:v>
      </x:c>
      <x:c r="E650" s="6" t="str">
        <x:v>Retain differentiated role</x:v>
      </x:c>
      <x:c r="F650" s="6" t="str">
        <x:v>Local source render; live version unverified</x:v>
      </x:c>
      <x:c r="G650" s="6" t="str">
        <x:v>إصلاح نظام الوقود | مركز ديجي-تك دبي</x:v>
      </x:c>
      <x:c r="H650" s="6" t="str">
        <x:v>إصلاح نظام الوقود | مركز ديجي-تك دبي</x:v>
      </x:c>
      <x:c r="I650" s="6" t="str">
        <x:v>إصلاح نظام الوقود</x:v>
      </x:c>
      <x:c r="J650" s="6" t="str">
        <x:v>إصلاح نظام الوقود</x:v>
      </x:c>
      <x:c r="K650" s="6" t="str">
        <x:v>استعادة ضغط الوقود وتدفقه وكفاءة الاحتراق. فحص متقدم وقطع بالمواصفات المناسبة وتسعير واضح من مركز ديجي-تك في القوز، دبي. احجز موعدك الآن.</x:v>
      </x:c>
      <x:c r="L650" s="6" t="str">
        <x:v>Retain pending evidence; no specific content edit justified by this export.</x:v>
      </x:c>
      <x:c r="M650" s="6" t="str">
        <x:v>Retain; inspect relevant context before adding links</x:v>
      </x:c>
      <x:c r="N650" s="6" t="str">
        <x:v>Unconfirmed — no query/page pairing</x:v>
      </x:c>
      <x:c r="O650" s="6" t="str">
        <x:v>Retain established booking / WhatsApp / call path; live behaviour untested</x:v>
      </x:c>
      <x:c r="P650" s="6" t="str">
        <x:v>Retain canonical and indexation policy pending a live check.</x:v>
      </x:c>
      <x:c r="Q650" s="6" t="str">
        <x:v>Proposed; no website change made</x:v>
      </x:c>
      <x:c r="R650" s="14"/>
      <x:c r="S650" s="14"/>
      <x:c r="T650" s="15"/>
      <x:c r="U650" s="16"/>
      <x:c r="V650" s="6" t="str">
        <x:v>https://digitecme.com/ar/services/fuel-system-repair-dubai</x:v>
      </x:c>
      <x:c r="W650" s="6" t="str">
        <x:v>Indexable directive</x:v>
      </x:c>
      <x:c r="X650" s="6" t="n">
        <x:v>7</x:v>
      </x:c>
      <x:c r="Y650" s="6" t="str">
        <x:v>إصلاح نظام الوقود | مركز ديجي-تك دبي</x:v>
      </x:c>
      <x:c r="Z650" s="6" t="str"/>
      <x:c r="AA650" s="6" t="str">
        <x:v>No / not compared</x:v>
      </x:c>
    </x:row>
    <x:row r="651" ht="57" customHeight="1">
      <x:c r="A651" s="6" t="str">
        <x:v>https://digitecme.com/ar/services/garage-near-me-dubai</x:v>
      </x:c>
      <x:c r="B651" s="6" t="str"/>
      <x:c r="C651" s="6" t="str"/>
      <x:c r="D651" s="6" t="str">
        <x:v>service</x:v>
      </x:c>
      <x:c r="E651" s="6" t="str">
        <x:v>Retain differentiated role</x:v>
      </x:c>
      <x:c r="F651" s="6" t="str">
        <x:v>Local source render; live version unverified</x:v>
      </x:c>
      <x:c r="G651" s="6" t="str">
        <x:v>ورشة سيارات قريبة مني في دبي | مركز ديجي-تك</x:v>
      </x:c>
      <x:c r="H651" s="6" t="str">
        <x:v>ورشة سيارات قريبة مني في دبي | مركز ديجي-تك</x:v>
      </x:c>
      <x:c r="I651" s="6" t="str">
        <x:v>ورشة سيارات قريبة مني في دبي</x:v>
      </x:c>
      <x:c r="J651" s="6" t="str">
        <x:v>ورشة سيارات قريبة مني في دبي</x:v>
      </x:c>
      <x:c r="K651" s="6" t="str">
        <x:v>إذا كنت تبحث عن ورشة سيارات قريبة منك في دبي، يقدم مركز ديجي-تك في القوز خدمات الفحص والتشخيص والصيانة والإصلاح للسيارات الفاخرة واليومية. احجز فحصاً لدى مركز ديجي-تك في القوز.</x:v>
      </x:c>
      <x:c r="L651" s="6" t="str">
        <x:v>Retain pending evidence; no specific content edit justified by this export.</x:v>
      </x:c>
      <x:c r="M651" s="6" t="str">
        <x:v>Retain; inspect relevant context before adding links</x:v>
      </x:c>
      <x:c r="N651" s="6" t="str">
        <x:v>Unconfirmed — no query/page pairing</x:v>
      </x:c>
      <x:c r="O651" s="6" t="str">
        <x:v>Retain established booking / WhatsApp / call path; live behaviour untested</x:v>
      </x:c>
      <x:c r="P651" s="6" t="str">
        <x:v>Retain canonical and indexation policy pending a live check.</x:v>
      </x:c>
      <x:c r="Q651" s="6" t="str">
        <x:v>Proposed; no website change made</x:v>
      </x:c>
      <x:c r="R651" s="14" t="n">
        <x:v>0</x:v>
      </x:c>
      <x:c r="S651" s="14" t="n">
        <x:v>6</x:v>
      </x:c>
      <x:c r="T651" s="15" t="n">
        <x:v>0</x:v>
      </x:c>
      <x:c r="U651" s="16" t="n">
        <x:v>7</x:v>
      </x:c>
      <x:c r="V651" s="6" t="str">
        <x:v>https://digitecme.com/ar/services/garage-near-me-dubai</x:v>
      </x:c>
      <x:c r="W651" s="6" t="str">
        <x:v>Indexable directive</x:v>
      </x:c>
      <x:c r="X651" s="6" t="n">
        <x:v>4</x:v>
      </x:c>
      <x:c r="Y651" s="6" t="str">
        <x:v>ورشة سيارات قريبة مني في دبي | مركز ديجي-تك</x:v>
      </x:c>
      <x:c r="Z651" s="6" t="str"/>
      <x:c r="AA651" s="6" t="str">
        <x:v>No / not compared</x:v>
      </x:c>
    </x:row>
    <x:row r="652" ht="57" customHeight="1">
      <x:c r="A652" s="6" t="str">
        <x:v>https://digitecme.com/ar/services/mechanical-repair-dubai</x:v>
      </x:c>
      <x:c r="B652" s="6" t="str"/>
      <x:c r="C652" s="6" t="str"/>
      <x:c r="D652" s="6" t="str">
        <x:v>service</x:v>
      </x:c>
      <x:c r="E652" s="6" t="str">
        <x:v>Retain differentiated role</x:v>
      </x:c>
      <x:c r="F652" s="6" t="str">
        <x:v>Local source render; live version unverified</x:v>
      </x:c>
      <x:c r="G652" s="6" t="str">
        <x:v>الإصلاح الميكانيكي في دبي | مركز ديجي-تك دبي</x:v>
      </x:c>
      <x:c r="H652" s="6" t="str">
        <x:v>الإصلاح الميكانيكي في دبي | مركز ديجي-تك دبي</x:v>
      </x:c>
      <x:c r="I652" s="6" t="str">
        <x:v>الإصلاح الميكانيكي في دبي</x:v>
      </x:c>
      <x:c r="J652" s="6" t="str">
        <x:v>الإصلاح الميكانيكي في دبي</x:v>
      </x:c>
      <x:c r="K652" s="6" t="str">
        <x:v>إصلاح المحرك ومجموعة نقل الحركة على أيدي متخصصين. فحص متقدم وقطع بالمواصفات المناسبة وتسعير واضح من مركز ديجي-تك في القوز، دبي. احجز موعدك الآن.</x:v>
      </x:c>
      <x:c r="L652" s="6" t="str">
        <x:v>Retain pending evidence; no specific content edit justified by this export.</x:v>
      </x:c>
      <x:c r="M652" s="6" t="str">
        <x:v>Retain; inspect relevant context before adding links</x:v>
      </x:c>
      <x:c r="N652" s="6" t="str">
        <x:v>Unconfirmed — no query/page pairing</x:v>
      </x:c>
      <x:c r="O652" s="6" t="str">
        <x:v>Retain established booking / WhatsApp / call path; live behaviour untested</x:v>
      </x:c>
      <x:c r="P652" s="6" t="str">
        <x:v>Retain canonical and indexation policy pending a live check.</x:v>
      </x:c>
      <x:c r="Q652" s="6" t="str">
        <x:v>Proposed; no website change made</x:v>
      </x:c>
      <x:c r="R652" s="14" t="n">
        <x:v>0</x:v>
      </x:c>
      <x:c r="S652" s="14" t="n">
        <x:v>7</x:v>
      </x:c>
      <x:c r="T652" s="15" t="n">
        <x:v>0</x:v>
      </x:c>
      <x:c r="U652" s="16" t="n">
        <x:v>4.43</x:v>
      </x:c>
      <x:c r="V652" s="6" t="str">
        <x:v>https://digitecme.com/ar/services/mechanical-repair-dubai</x:v>
      </x:c>
      <x:c r="W652" s="6" t="str">
        <x:v>Indexable directive</x:v>
      </x:c>
      <x:c r="X652" s="6" t="n">
        <x:v>79</x:v>
      </x:c>
      <x:c r="Y652" s="6" t="str">
        <x:v>الإصلاح الميكانيكي في دبي | مركز ديجي-تك دبي</x:v>
      </x:c>
      <x:c r="Z652" s="6" t="str"/>
      <x:c r="AA652" s="6" t="str">
        <x:v>No / not compared</x:v>
      </x:c>
    </x:row>
    <x:row r="653" ht="42" customHeight="1">
      <x:c r="A653" s="6" t="str">
        <x:v>https://digitecme.com/ar/services/mercedes-ac-repair-dubai</x:v>
      </x:c>
      <x:c r="B653" s="6" t="str"/>
      <x:c r="C653" s="6" t="str"/>
      <x:c r="D653" s="6" t="str">
        <x:v>service</x:v>
      </x:c>
      <x:c r="E653" s="6" t="str">
        <x:v>Retain differentiated role</x:v>
      </x:c>
      <x:c r="F653" s="6" t="str">
        <x:v>Local source render; live version unverified</x:v>
      </x:c>
      <x:c r="G653" s="6" t="str">
        <x:v>إصلاح التكييف Mercedes-Benz في دبي | ديجي-تك</x:v>
      </x:c>
      <x:c r="H653" s="6" t="str">
        <x:v>إصلاح التكييف Mercedes-Benz في دبي | ديجي-تك</x:v>
      </x:c>
      <x:c r="I653" s="6" t="str">
        <x:v>إصلاح التكييف Mercedes-Benz في دبي</x:v>
      </x:c>
      <x:c r="J653" s="6" t="str">
        <x:v>إصلاح التكييف Mercedes-Benz في دبي</x:v>
      </x:c>
      <x:c r="K653" s="6" t="str">
        <x:v>إصلاح التكييف متخصص لسيارات Mercedes-Benz في دبي مع تشخيص متقدم وقطع مناسبة وتسعير واضح لدى مركز ديجي-تك.</x:v>
      </x:c>
      <x:c r="L653" s="6" t="str">
        <x:v>Retain pending evidence; no specific content edit justified by this export.</x:v>
      </x:c>
      <x:c r="M653" s="6" t="str">
        <x:v>Retain; inspect relevant context before adding links</x:v>
      </x:c>
      <x:c r="N653" s="6" t="str">
        <x:v>Unconfirmed — no query/page pairing</x:v>
      </x:c>
      <x:c r="O653" s="6" t="str">
        <x:v>Retain established booking / WhatsApp / call path; live behaviour untested</x:v>
      </x:c>
      <x:c r="P653" s="6" t="str">
        <x:v>Retain canonical and indexation policy pending a live check.</x:v>
      </x:c>
      <x:c r="Q653" s="6" t="str">
        <x:v>Proposed; no website change made</x:v>
      </x:c>
      <x:c r="R653" s="14" t="n">
        <x:v>0</x:v>
      </x:c>
      <x:c r="S653" s="14" t="n">
        <x:v>1</x:v>
      </x:c>
      <x:c r="T653" s="15" t="n">
        <x:v>0</x:v>
      </x:c>
      <x:c r="U653" s="16" t="n">
        <x:v>6</x:v>
      </x:c>
      <x:c r="V653" s="6" t="str">
        <x:v>https://digitecme.com/ar/services/mercedes-ac-repair-dubai</x:v>
      </x:c>
      <x:c r="W653" s="6" t="str">
        <x:v>Indexable directive</x:v>
      </x:c>
      <x:c r="X653" s="6" t="n">
        <x:v>17</x:v>
      </x:c>
      <x:c r="Y653" s="6" t="str">
        <x:v>إصلاح التكييف Mercedes-Benz في دبي | ديجي-تك</x:v>
      </x:c>
      <x:c r="Z653" s="6" t="str"/>
      <x:c r="AA653" s="6" t="str">
        <x:v>No / not compared</x:v>
      </x:c>
    </x:row>
    <x:row r="654" ht="42" customHeight="1">
      <x:c r="A654" s="6" t="str">
        <x:v>https://digitecme.com/ar/services/mercedes-battery-replacement-dubai</x:v>
      </x:c>
      <x:c r="B654" s="6" t="str"/>
      <x:c r="C654" s="6" t="str"/>
      <x:c r="D654" s="6" t="str">
        <x:v>service</x:v>
      </x:c>
      <x:c r="E654" s="6" t="str">
        <x:v>Retain differentiated role</x:v>
      </x:c>
      <x:c r="F654" s="6" t="str">
        <x:v>Local source render; live version unverified</x:v>
      </x:c>
      <x:c r="G654" s="6" t="str">
        <x:v>تبديل البطارية Mercedes-Benz في دبي | ديجي-تك</x:v>
      </x:c>
      <x:c r="H654" s="6" t="str">
        <x:v>تبديل البطارية Mercedes-Benz في دبي | ديجي-تك</x:v>
      </x:c>
      <x:c r="I654" s="6" t="str">
        <x:v>تبديل البطارية Mercedes-Benz في دبي</x:v>
      </x:c>
      <x:c r="J654" s="6" t="str">
        <x:v>تبديل البطارية Mercedes-Benz في دبي</x:v>
      </x:c>
      <x:c r="K654" s="6" t="str">
        <x:v>تبديل البطارية متخصص لسيارات Mercedes-Benz في دبي مع تشخيص متقدم وقطع مناسبة وتسعير واضح لدى مركز ديجي-تك.</x:v>
      </x:c>
      <x:c r="L654" s="6" t="str">
        <x:v>Retain pending evidence; no specific content edit justified by this export.</x:v>
      </x:c>
      <x:c r="M654" s="6" t="str">
        <x:v>Retain; inspect relevant context before adding links</x:v>
      </x:c>
      <x:c r="N654" s="6" t="str">
        <x:v>Unconfirmed — no query/page pairing</x:v>
      </x:c>
      <x:c r="O654" s="6" t="str">
        <x:v>Retain established booking / WhatsApp / call path; live behaviour untested</x:v>
      </x:c>
      <x:c r="P654" s="6" t="str">
        <x:v>Retain canonical and indexation policy pending a live check.</x:v>
      </x:c>
      <x:c r="Q654" s="6" t="str">
        <x:v>Proposed; no website change made</x:v>
      </x:c>
      <x:c r="R654" s="14" t="n">
        <x:v>0</x:v>
      </x:c>
      <x:c r="S654" s="14" t="n">
        <x:v>5</x:v>
      </x:c>
      <x:c r="T654" s="15" t="n">
        <x:v>0</x:v>
      </x:c>
      <x:c r="U654" s="16" t="n">
        <x:v>6.6</x:v>
      </x:c>
      <x:c r="V654" s="6" t="str">
        <x:v>https://digitecme.com/ar/services/mercedes-battery-replacement-dubai</x:v>
      </x:c>
      <x:c r="W654" s="6" t="str">
        <x:v>Indexable directive</x:v>
      </x:c>
      <x:c r="X654" s="6" t="n">
        <x:v>17</x:v>
      </x:c>
      <x:c r="Y654" s="6" t="str">
        <x:v>تبديل البطارية Mercedes-Benz في دبي | ديجي-تك</x:v>
      </x:c>
      <x:c r="Z654" s="6" t="str"/>
      <x:c r="AA654" s="6" t="str">
        <x:v>No / not compared</x:v>
      </x:c>
    </x:row>
    <x:row r="655" ht="42" customHeight="1">
      <x:c r="A655" s="6" t="str">
        <x:v>https://digitecme.com/ar/services/mercedes-body-repair-dubai</x:v>
      </x:c>
      <x:c r="B655" s="6" t="str"/>
      <x:c r="C655" s="6" t="str"/>
      <x:c r="D655" s="6" t="str">
        <x:v>service</x:v>
      </x:c>
      <x:c r="E655" s="6" t="str">
        <x:v>Retain differentiated role</x:v>
      </x:c>
      <x:c r="F655" s="6" t="str">
        <x:v>Local source render; live version unverified</x:v>
      </x:c>
      <x:c r="G655" s="6" t="str">
        <x:v>إصلاح الهيكل Mercedes-Benz في دبي | ديجي-تك</x:v>
      </x:c>
      <x:c r="H655" s="6" t="str">
        <x:v>إصلاح الهيكل Mercedes-Benz في دبي | ديجي-تك</x:v>
      </x:c>
      <x:c r="I655" s="6" t="str">
        <x:v>إصلاح الهيكل Mercedes-Benz في دبي</x:v>
      </x:c>
      <x:c r="J655" s="6" t="str">
        <x:v>إصلاح الهيكل Mercedes-Benz في دبي</x:v>
      </x:c>
      <x:c r="K655" s="6" t="str">
        <x:v>إصلاح الهيكل متخصص لسيارات Mercedes-Benz في دبي مع تشخيص متقدم وقطع مناسبة وتسعير واضح لدى مركز ديجي-تك.</x:v>
      </x:c>
      <x:c r="L655" s="6" t="str">
        <x:v>Retain pending evidence; no specific content edit justified by this export.</x:v>
      </x:c>
      <x:c r="M655" s="6" t="str">
        <x:v>Retain; inspect relevant context before adding links</x:v>
      </x:c>
      <x:c r="N655" s="6" t="str">
        <x:v>Unconfirmed — no query/page pairing</x:v>
      </x:c>
      <x:c r="O655" s="6" t="str">
        <x:v>Retain established booking / WhatsApp / call path; live behaviour untested</x:v>
      </x:c>
      <x:c r="P655" s="6" t="str">
        <x:v>Retain canonical and indexation policy pending a live check.</x:v>
      </x:c>
      <x:c r="Q655" s="6" t="str">
        <x:v>Proposed; no website change made</x:v>
      </x:c>
      <x:c r="R655" s="14"/>
      <x:c r="S655" s="14"/>
      <x:c r="T655" s="15"/>
      <x:c r="U655" s="16"/>
      <x:c r="V655" s="6" t="str">
        <x:v>https://digitecme.com/ar/services/mercedes-body-repair-dubai</x:v>
      </x:c>
      <x:c r="W655" s="6" t="str">
        <x:v>Indexable directive</x:v>
      </x:c>
      <x:c r="X655" s="6" t="n">
        <x:v>17</x:v>
      </x:c>
      <x:c r="Y655" s="6" t="str">
        <x:v>إصلاح الهيكل Mercedes-Benz في دبي | ديجي-تك</x:v>
      </x:c>
      <x:c r="Z655" s="6" t="str"/>
      <x:c r="AA655" s="6" t="str">
        <x:v>No / not compared</x:v>
      </x:c>
    </x:row>
    <x:row r="656" ht="42" customHeight="1">
      <x:c r="A656" s="6" t="str">
        <x:v>https://digitecme.com/ar/services/mercedes-brake-repair-dubai</x:v>
      </x:c>
      <x:c r="B656" s="6" t="str"/>
      <x:c r="C656" s="6" t="str"/>
      <x:c r="D656" s="6" t="str">
        <x:v>service</x:v>
      </x:c>
      <x:c r="E656" s="6" t="str">
        <x:v>Retain differentiated role</x:v>
      </x:c>
      <x:c r="F656" s="6" t="str">
        <x:v>Local source render; live version unverified</x:v>
      </x:c>
      <x:c r="G656" s="6" t="str">
        <x:v>إصلاح الفرامل Mercedes-Benz في دبي | ديجي-تك</x:v>
      </x:c>
      <x:c r="H656" s="6" t="str">
        <x:v>إصلاح الفرامل Mercedes-Benz في دبي | ديجي-تك</x:v>
      </x:c>
      <x:c r="I656" s="6" t="str">
        <x:v>إصلاح الفرامل Mercedes-Benz في دبي</x:v>
      </x:c>
      <x:c r="J656" s="6" t="str">
        <x:v>إصلاح الفرامل Mercedes-Benz في دبي</x:v>
      </x:c>
      <x:c r="K656" s="6" t="str">
        <x:v>إصلاح الفرامل متخصص لسيارات Mercedes-Benz في دبي مع تشخيص متقدم وقطع مناسبة وتسعير واضح لدى مركز ديجي-تك.</x:v>
      </x:c>
      <x:c r="L656" s="6" t="str">
        <x:v>Retain pending evidence; no specific content edit justified by this export.</x:v>
      </x:c>
      <x:c r="M656" s="6" t="str">
        <x:v>Retain; inspect relevant context before adding links</x:v>
      </x:c>
      <x:c r="N656" s="6" t="str">
        <x:v>Unconfirmed — no query/page pairing</x:v>
      </x:c>
      <x:c r="O656" s="6" t="str">
        <x:v>Retain established booking / WhatsApp / call path; live behaviour untested</x:v>
      </x:c>
      <x:c r="P656" s="6" t="str">
        <x:v>Retain canonical and indexation policy pending a live check.</x:v>
      </x:c>
      <x:c r="Q656" s="6" t="str">
        <x:v>Proposed; no website change made</x:v>
      </x:c>
      <x:c r="R656" s="14" t="n">
        <x:v>0</x:v>
      </x:c>
      <x:c r="S656" s="14" t="n">
        <x:v>1</x:v>
      </x:c>
      <x:c r="T656" s="15" t="n">
        <x:v>0</x:v>
      </x:c>
      <x:c r="U656" s="16" t="n">
        <x:v>10</x:v>
      </x:c>
      <x:c r="V656" s="6" t="str">
        <x:v>https://digitecme.com/ar/services/mercedes-brake-repair-dubai</x:v>
      </x:c>
      <x:c r="W656" s="6" t="str">
        <x:v>Indexable directive</x:v>
      </x:c>
      <x:c r="X656" s="6" t="n">
        <x:v>18</x:v>
      </x:c>
      <x:c r="Y656" s="6" t="str">
        <x:v>إصلاح الفرامل Mercedes-Benz في دبي | ديجي-تك</x:v>
      </x:c>
      <x:c r="Z656" s="6" t="str"/>
      <x:c r="AA656" s="6" t="str">
        <x:v>No / not compared</x:v>
      </x:c>
    </x:row>
    <x:row r="657" ht="42" customHeight="1">
      <x:c r="A657" s="6" t="str">
        <x:v>https://digitecme.com/ar/services/mercedes-diagnostics-dubai</x:v>
      </x:c>
      <x:c r="B657" s="6" t="str"/>
      <x:c r="C657" s="6" t="str"/>
      <x:c r="D657" s="6" t="str">
        <x:v>service</x:v>
      </x:c>
      <x:c r="E657" s="6" t="str">
        <x:v>Retain differentiated role</x:v>
      </x:c>
      <x:c r="F657" s="6" t="str">
        <x:v>Local source render; live version unverified</x:v>
      </x:c>
      <x:c r="G657" s="6" t="str">
        <x:v>تشخيص المحرك Mercedes-Benz في دبي | ديجي-تك</x:v>
      </x:c>
      <x:c r="H657" s="6" t="str">
        <x:v>تشخيص المحرك Mercedes-Benz في دبي | ديجي-تك</x:v>
      </x:c>
      <x:c r="I657" s="6" t="str">
        <x:v>تشخيص المحرك Mercedes-Benz في دبي</x:v>
      </x:c>
      <x:c r="J657" s="6" t="str">
        <x:v>تشخيص المحرك Mercedes-Benz في دبي</x:v>
      </x:c>
      <x:c r="K657" s="6" t="str">
        <x:v>تشخيص المحرك متخصص لسيارات Mercedes-Benz في دبي مع تشخيص متقدم وقطع مناسبة وتسعير واضح لدى مركز ديجي-تك.</x:v>
      </x:c>
      <x:c r="L657" s="6" t="str">
        <x:v>Retain pending evidence; no specific content edit justified by this export.</x:v>
      </x:c>
      <x:c r="M657" s="6" t="str">
        <x:v>Retain; inspect relevant context before adding links</x:v>
      </x:c>
      <x:c r="N657" s="6" t="str">
        <x:v>Unconfirmed — no query/page pairing</x:v>
      </x:c>
      <x:c r="O657" s="6" t="str">
        <x:v>Retain established booking / WhatsApp / call path; live behaviour untested</x:v>
      </x:c>
      <x:c r="P657" s="6" t="str">
        <x:v>Retain canonical and indexation policy pending a live check.</x:v>
      </x:c>
      <x:c r="Q657" s="6" t="str">
        <x:v>Proposed; no website change made</x:v>
      </x:c>
      <x:c r="R657" s="14"/>
      <x:c r="S657" s="14"/>
      <x:c r="T657" s="15"/>
      <x:c r="U657" s="16"/>
      <x:c r="V657" s="6" t="str">
        <x:v>https://digitecme.com/ar/services/mercedes-diagnostics-dubai</x:v>
      </x:c>
      <x:c r="W657" s="6" t="str">
        <x:v>Indexable directive</x:v>
      </x:c>
      <x:c r="X657" s="6" t="n">
        <x:v>18</x:v>
      </x:c>
      <x:c r="Y657" s="6" t="str">
        <x:v>تشخيص المحرك Mercedes-Benz في دبي | ديجي-تك</x:v>
      </x:c>
      <x:c r="Z657" s="6" t="str"/>
      <x:c r="AA657" s="6" t="str">
        <x:v>No / not compared</x:v>
      </x:c>
    </x:row>
    <x:row r="658" ht="42" customHeight="1">
      <x:c r="A658" s="6" t="str">
        <x:v>https://digitecme.com/ar/services/mercedes-electrical-repair-dubai</x:v>
      </x:c>
      <x:c r="B658" s="6" t="str"/>
      <x:c r="C658" s="6" t="str"/>
      <x:c r="D658" s="6" t="str">
        <x:v>service</x:v>
      </x:c>
      <x:c r="E658" s="6" t="str">
        <x:v>Retain differentiated role</x:v>
      </x:c>
      <x:c r="F658" s="6" t="str">
        <x:v>Local source render; live version unverified</x:v>
      </x:c>
      <x:c r="G658" s="6" t="str">
        <x:v>إصلاح الكهرباء Mercedes-Benz في دبي | ديجي-تك</x:v>
      </x:c>
      <x:c r="H658" s="6" t="str">
        <x:v>إصلاح الكهرباء Mercedes-Benz في دبي | ديجي-تك</x:v>
      </x:c>
      <x:c r="I658" s="6" t="str">
        <x:v>إصلاح الكهرباء Mercedes-Benz في دبي</x:v>
      </x:c>
      <x:c r="J658" s="6" t="str">
        <x:v>إصلاح الكهرباء Mercedes-Benz في دبي</x:v>
      </x:c>
      <x:c r="K658" s="6" t="str">
        <x:v>إصلاح الكهرباء متخصص لسيارات Mercedes-Benz في دبي مع تشخيص متقدم وقطع مناسبة وتسعير واضح لدى مركز ديجي-تك.</x:v>
      </x:c>
      <x:c r="L658" s="6" t="str">
        <x:v>Retain pending evidence; no specific content edit justified by this export.</x:v>
      </x:c>
      <x:c r="M658" s="6" t="str">
        <x:v>Retain; inspect relevant context before adding links</x:v>
      </x:c>
      <x:c r="N658" s="6" t="str">
        <x:v>Unconfirmed — no query/page pairing</x:v>
      </x:c>
      <x:c r="O658" s="6" t="str">
        <x:v>Retain established booking / WhatsApp / call path; live behaviour untested</x:v>
      </x:c>
      <x:c r="P658" s="6" t="str">
        <x:v>Retain canonical and indexation policy pending a live check.</x:v>
      </x:c>
      <x:c r="Q658" s="6" t="str">
        <x:v>Proposed; no website change made</x:v>
      </x:c>
      <x:c r="R658" s="14" t="n">
        <x:v>0</x:v>
      </x:c>
      <x:c r="S658" s="14" t="n">
        <x:v>2</x:v>
      </x:c>
      <x:c r="T658" s="15" t="n">
        <x:v>0</x:v>
      </x:c>
      <x:c r="U658" s="16" t="n">
        <x:v>3</x:v>
      </x:c>
      <x:c r="V658" s="6" t="str">
        <x:v>https://digitecme.com/ar/services/mercedes-electrical-repair-dubai</x:v>
      </x:c>
      <x:c r="W658" s="6" t="str">
        <x:v>Indexable directive</x:v>
      </x:c>
      <x:c r="X658" s="6" t="n">
        <x:v>18</x:v>
      </x:c>
      <x:c r="Y658" s="6" t="str">
        <x:v>إصلاح الكهرباء Mercedes-Benz في دبي | ديجي-تك</x:v>
      </x:c>
      <x:c r="Z658" s="6" t="str"/>
      <x:c r="AA658" s="6" t="str">
        <x:v>No / not compared</x:v>
      </x:c>
    </x:row>
    <x:row r="659" ht="42" customHeight="1">
      <x:c r="A659" s="6" t="str">
        <x:v>https://digitecme.com/ar/services/mercedes-exhaust-repair-dubai</x:v>
      </x:c>
      <x:c r="B659" s="6" t="str"/>
      <x:c r="C659" s="6" t="str"/>
      <x:c r="D659" s="6" t="str">
        <x:v>service</x:v>
      </x:c>
      <x:c r="E659" s="6" t="str">
        <x:v>Retain differentiated role</x:v>
      </x:c>
      <x:c r="F659" s="6" t="str">
        <x:v>Local source render; live version unverified</x:v>
      </x:c>
      <x:c r="G659" s="6" t="str">
        <x:v>إصلاح العادم Mercedes-Benz في دبي | ديجي-تك</x:v>
      </x:c>
      <x:c r="H659" s="6" t="str">
        <x:v>إصلاح العادم Mercedes-Benz في دبي | ديجي-تك</x:v>
      </x:c>
      <x:c r="I659" s="6" t="str">
        <x:v>إصلاح العادم Mercedes-Benz في دبي</x:v>
      </x:c>
      <x:c r="J659" s="6" t="str">
        <x:v>إصلاح العادم Mercedes-Benz في دبي</x:v>
      </x:c>
      <x:c r="K659" s="6" t="str">
        <x:v>إصلاح العادم متخصص لسيارات Mercedes-Benz في دبي مع تشخيص متقدم وقطع مناسبة وتسعير واضح لدى مركز ديجي-تك.</x:v>
      </x:c>
      <x:c r="L659" s="6" t="str">
        <x:v>Retain pending evidence; no specific content edit justified by this export.</x:v>
      </x:c>
      <x:c r="M659" s="6" t="str">
        <x:v>Retain; inspect relevant context before adding links</x:v>
      </x:c>
      <x:c r="N659" s="6" t="str">
        <x:v>Unconfirmed — no query/page pairing</x:v>
      </x:c>
      <x:c r="O659" s="6" t="str">
        <x:v>Retain established booking / WhatsApp / call path; live behaviour untested</x:v>
      </x:c>
      <x:c r="P659" s="6" t="str">
        <x:v>Retain canonical and indexation policy pending a live check.</x:v>
      </x:c>
      <x:c r="Q659" s="6" t="str">
        <x:v>Proposed; no website change made</x:v>
      </x:c>
      <x:c r="R659" s="14"/>
      <x:c r="S659" s="14"/>
      <x:c r="T659" s="15"/>
      <x:c r="U659" s="16"/>
      <x:c r="V659" s="6" t="str">
        <x:v>https://digitecme.com/ar/services/mercedes-exhaust-repair-dubai</x:v>
      </x:c>
      <x:c r="W659" s="6" t="str">
        <x:v>Indexable directive</x:v>
      </x:c>
      <x:c r="X659" s="6" t="n">
        <x:v>17</x:v>
      </x:c>
      <x:c r="Y659" s="6" t="str">
        <x:v>إصلاح العادم Mercedes-Benz في دبي | ديجي-تك</x:v>
      </x:c>
      <x:c r="Z659" s="6" t="str"/>
      <x:c r="AA659" s="6" t="str">
        <x:v>No / not compared</x:v>
      </x:c>
    </x:row>
    <x:row r="660" ht="42" customHeight="1">
      <x:c r="A660" s="6" t="str">
        <x:v>https://digitecme.com/ar/services/mercedes-fuel-system-repair-dubai</x:v>
      </x:c>
      <x:c r="B660" s="6" t="str"/>
      <x:c r="C660" s="6" t="str"/>
      <x:c r="D660" s="6" t="str">
        <x:v>service</x:v>
      </x:c>
      <x:c r="E660" s="6" t="str">
        <x:v>Retain differentiated role</x:v>
      </x:c>
      <x:c r="F660" s="6" t="str">
        <x:v>Local source render; live version unverified</x:v>
      </x:c>
      <x:c r="G660" s="6" t="str">
        <x:v>إصلاح نظام الوقود Mercedes-Benz في دبي | ديجي-تك</x:v>
      </x:c>
      <x:c r="H660" s="6" t="str">
        <x:v>إصلاح نظام الوقود Mercedes-Benz في دبي | ديجي-تك</x:v>
      </x:c>
      <x:c r="I660" s="6" t="str">
        <x:v>إصلاح نظام الوقود Mercedes-Benz في دبي</x:v>
      </x:c>
      <x:c r="J660" s="6" t="str">
        <x:v>إصلاح نظام الوقود Mercedes-Benz في دبي</x:v>
      </x:c>
      <x:c r="K660" s="6" t="str">
        <x:v>إصلاح نظام الوقود متخصص لسيارات Mercedes-Benz في دبي مع تشخيص متقدم وقطع مناسبة وتسعير واضح لدى مركز ديجي-تك.</x:v>
      </x:c>
      <x:c r="L660" s="6" t="str">
        <x:v>Retain pending evidence; no specific content edit justified by this export.</x:v>
      </x:c>
      <x:c r="M660" s="6" t="str">
        <x:v>Retain; inspect relevant context before adding links</x:v>
      </x:c>
      <x:c r="N660" s="6" t="str">
        <x:v>Unconfirmed — no query/page pairing</x:v>
      </x:c>
      <x:c r="O660" s="6" t="str">
        <x:v>Retain established booking / WhatsApp / call path; live behaviour untested</x:v>
      </x:c>
      <x:c r="P660" s="6" t="str">
        <x:v>Retain canonical and indexation policy pending a live check.</x:v>
      </x:c>
      <x:c r="Q660" s="6" t="str">
        <x:v>Proposed; no website change made</x:v>
      </x:c>
      <x:c r="R660" s="14"/>
      <x:c r="S660" s="14"/>
      <x:c r="T660" s="15"/>
      <x:c r="U660" s="16"/>
      <x:c r="V660" s="6" t="str">
        <x:v>https://digitecme.com/ar/services/mercedes-fuel-system-repair-dubai</x:v>
      </x:c>
      <x:c r="W660" s="6" t="str">
        <x:v>Indexable directive</x:v>
      </x:c>
      <x:c r="X660" s="6" t="n">
        <x:v>17</x:v>
      </x:c>
      <x:c r="Y660" s="6" t="str">
        <x:v>إصلاح نظام الوقود Mercedes-Benz في دبي | ديجي-تك</x:v>
      </x:c>
      <x:c r="Z660" s="6" t="str"/>
      <x:c r="AA660" s="6" t="str">
        <x:v>No / not compared</x:v>
      </x:c>
    </x:row>
    <x:row r="661" ht="42" customHeight="1">
      <x:c r="A661" s="6" t="str">
        <x:v>https://digitecme.com/ar/services/mercedes-mechanical-repair-dubai</x:v>
      </x:c>
      <x:c r="B661" s="6" t="str"/>
      <x:c r="C661" s="6" t="str"/>
      <x:c r="D661" s="6" t="str">
        <x:v>service</x:v>
      </x:c>
      <x:c r="E661" s="6" t="str">
        <x:v>Retain differentiated role</x:v>
      </x:c>
      <x:c r="F661" s="6" t="str">
        <x:v>Local source render; live version unverified</x:v>
      </x:c>
      <x:c r="G661" s="6" t="str">
        <x:v>الإصلاح الميكانيكي Mercedes-Benz في دبي | ديجي-تك</x:v>
      </x:c>
      <x:c r="H661" s="6" t="str">
        <x:v>الإصلاح الميكانيكي Mercedes-Benz في دبي | ديجي-تك</x:v>
      </x:c>
      <x:c r="I661" s="6" t="str">
        <x:v>الإصلاح الميكانيكي Mercedes-Benz في دبي</x:v>
      </x:c>
      <x:c r="J661" s="6" t="str">
        <x:v>الإصلاح الميكانيكي Mercedes-Benz في دبي</x:v>
      </x:c>
      <x:c r="K661" s="6" t="str">
        <x:v>الإصلاح الميكانيكي متخصص لسيارات Mercedes-Benz في دبي مع تشخيص متقدم وقطع مناسبة وتسعير واضح لدى مركز ديجي-تك.</x:v>
      </x:c>
      <x:c r="L661" s="6" t="str">
        <x:v>Retain pending evidence; no specific content edit justified by this export.</x:v>
      </x:c>
      <x:c r="M661" s="6" t="str">
        <x:v>Retain; inspect relevant context before adding links</x:v>
      </x:c>
      <x:c r="N661" s="6" t="str">
        <x:v>Unconfirmed — no query/page pairing</x:v>
      </x:c>
      <x:c r="O661" s="6" t="str">
        <x:v>Retain established booking / WhatsApp / call path; live behaviour untested</x:v>
      </x:c>
      <x:c r="P661" s="6" t="str">
        <x:v>Retain canonical and indexation policy pending a live check.</x:v>
      </x:c>
      <x:c r="Q661" s="6" t="str">
        <x:v>Proposed; no website change made</x:v>
      </x:c>
      <x:c r="R661" s="14" t="n">
        <x:v>0</x:v>
      </x:c>
      <x:c r="S661" s="14" t="n">
        <x:v>3</x:v>
      </x:c>
      <x:c r="T661" s="15" t="n">
        <x:v>0</x:v>
      </x:c>
      <x:c r="U661" s="16" t="n">
        <x:v>9</x:v>
      </x:c>
      <x:c r="V661" s="6" t="str">
        <x:v>https://digitecme.com/ar/services/mercedes-mechanical-repair-dubai</x:v>
      </x:c>
      <x:c r="W661" s="6" t="str">
        <x:v>Indexable directive</x:v>
      </x:c>
      <x:c r="X661" s="6" t="n">
        <x:v>18</x:v>
      </x:c>
      <x:c r="Y661" s="6" t="str">
        <x:v>الإصلاح الميكانيكي Mercedes-Benz في دبي | ديجي-تك</x:v>
      </x:c>
      <x:c r="Z661" s="6" t="str"/>
      <x:c r="AA661" s="6" t="str">
        <x:v>No / not compared</x:v>
      </x:c>
    </x:row>
    <x:row r="662" ht="42" customHeight="1">
      <x:c r="A662" s="6" t="str">
        <x:v>https://digitecme.com/ar/services/mercedes-oil-change-dubai</x:v>
      </x:c>
      <x:c r="B662" s="6" t="str"/>
      <x:c r="C662" s="6" t="str"/>
      <x:c r="D662" s="6" t="str">
        <x:v>service</x:v>
      </x:c>
      <x:c r="E662" s="6" t="str">
        <x:v>Retain differentiated role</x:v>
      </x:c>
      <x:c r="F662" s="6" t="str">
        <x:v>Local source render; live version unverified</x:v>
      </x:c>
      <x:c r="G662" s="6" t="str">
        <x:v>تغيير الزيت Mercedes-Benz في دبي | ديجي-تك</x:v>
      </x:c>
      <x:c r="H662" s="6" t="str">
        <x:v>تغيير الزيت Mercedes-Benz في دبي | ديجي-تك</x:v>
      </x:c>
      <x:c r="I662" s="6" t="str">
        <x:v>تغيير الزيت Mercedes-Benz في دبي</x:v>
      </x:c>
      <x:c r="J662" s="6" t="str">
        <x:v>تغيير الزيت Mercedes-Benz في دبي</x:v>
      </x:c>
      <x:c r="K662" s="6" t="str">
        <x:v>تغيير الزيت متخصص لسيارات Mercedes-Benz في دبي مع تشخيص متقدم وقطع مناسبة وتسعير واضح لدى مركز ديجي-تك.</x:v>
      </x:c>
      <x:c r="L662" s="6" t="str">
        <x:v>Retain pending evidence; no specific content edit justified by this export.</x:v>
      </x:c>
      <x:c r="M662" s="6" t="str">
        <x:v>Retain; inspect relevant context before adding links</x:v>
      </x:c>
      <x:c r="N662" s="6" t="str">
        <x:v>Unconfirmed — no query/page pairing</x:v>
      </x:c>
      <x:c r="O662" s="6" t="str">
        <x:v>Retain established booking / WhatsApp / call path; live behaviour untested</x:v>
      </x:c>
      <x:c r="P662" s="6" t="str">
        <x:v>Retain canonical and indexation policy pending a live check.</x:v>
      </x:c>
      <x:c r="Q662" s="6" t="str">
        <x:v>Proposed; no website change made</x:v>
      </x:c>
      <x:c r="R662" s="14" t="n">
        <x:v>0</x:v>
      </x:c>
      <x:c r="S662" s="14" t="n">
        <x:v>5</x:v>
      </x:c>
      <x:c r="T662" s="15" t="n">
        <x:v>0</x:v>
      </x:c>
      <x:c r="U662" s="16" t="n">
        <x:v>6</x:v>
      </x:c>
      <x:c r="V662" s="6" t="str">
        <x:v>https://digitecme.com/ar/services/mercedes-oil-change-dubai</x:v>
      </x:c>
      <x:c r="W662" s="6" t="str">
        <x:v>Indexable directive</x:v>
      </x:c>
      <x:c r="X662" s="6" t="n">
        <x:v>22</x:v>
      </x:c>
      <x:c r="Y662" s="6" t="str">
        <x:v>تغيير الزيت Mercedes-Benz في دبي | ديجي-تك</x:v>
      </x:c>
      <x:c r="Z662" s="6" t="str"/>
      <x:c r="AA662" s="6" t="str">
        <x:v>No / not compared</x:v>
      </x:c>
    </x:row>
    <x:row r="663" ht="42" customHeight="1">
      <x:c r="A663" s="6" t="str">
        <x:v>https://digitecme.com/ar/services/mercedes-repair-dubai</x:v>
      </x:c>
      <x:c r="B663" s="6" t="str"/>
      <x:c r="C663" s="6" t="str"/>
      <x:c r="D663" s="6" t="str">
        <x:v>Historical URL</x:v>
      </x:c>
      <x:c r="E663" s="6" t="str">
        <x:v>Verify historical URL</x:v>
      </x:c>
      <x:c r="F663" s="6" t="str">
        <x:v>Historical GSC URL; current page unverified</x:v>
      </x:c>
      <x:c r="G663" s="6" t="str">
        <x:v>Not verified</x:v>
      </x:c>
      <x:c r="H663" s="6" t="str">
        <x:v>Not verified</x:v>
      </x:c>
      <x:c r="I663" s="6" t="str">
        <x:v>Not verified</x:v>
      </x:c>
      <x:c r="J663" s="6" t="str">
        <x:v>Not verified</x:v>
      </x:c>
      <x:c r="K663" s="6" t="str">
        <x:v>Not verified</x:v>
      </x:c>
      <x:c r="L663" s="6" t="str">
        <x:v>Verify current HTTP response, canonical destination and URL history before changing or consolidating.</x:v>
      </x:c>
      <x:c r="M663" s="6" t="str">
        <x:v>Retain; inspect relevant context before adding links</x:v>
      </x:c>
      <x:c r="N663" s="6" t="str">
        <x:v>Unconfirmed — no query/page pairing</x:v>
      </x:c>
      <x:c r="O663" s="6" t="str">
        <x:v>Retain established booking / WhatsApp / call path; live behaviour untested</x:v>
      </x:c>
      <x:c r="P663" s="6" t="str">
        <x:v>Inspect live routing and canonical; do not infer a redirect from the URL shape.</x:v>
      </x:c>
      <x:c r="Q663" s="6" t="str">
        <x:v>Proposed; no website change made</x:v>
      </x:c>
      <x:c r="R663" s="14" t="n">
        <x:v>0</x:v>
      </x:c>
      <x:c r="S663" s="14" t="n">
        <x:v>13</x:v>
      </x:c>
      <x:c r="T663" s="15" t="n">
        <x:v>0</x:v>
      </x:c>
      <x:c r="U663" s="16" t="n">
        <x:v>8.77</x:v>
      </x:c>
      <x:c r="V663" s="6" t="str">
        <x:v>Not verified</x:v>
      </x:c>
      <x:c r="W663" s="6" t="str">
        <x:v>Not verified</x:v>
      </x:c>
      <x:c r="X663" s="6"/>
      <x:c r="Y663" s="6" t="str"/>
      <x:c r="Z663" s="6" t="str"/>
      <x:c r="AA663" s="6" t="str">
        <x:v>No / not compared</x:v>
      </x:c>
    </x:row>
    <x:row r="664" ht="42" customHeight="1">
      <x:c r="A664" s="6" t="str">
        <x:v>https://digitecme.com/ar/services/mercedes-steering-repair-dubai</x:v>
      </x:c>
      <x:c r="B664" s="6" t="str"/>
      <x:c r="C664" s="6" t="str"/>
      <x:c r="D664" s="6" t="str">
        <x:v>service</x:v>
      </x:c>
      <x:c r="E664" s="6" t="str">
        <x:v>Retain differentiated role</x:v>
      </x:c>
      <x:c r="F664" s="6" t="str">
        <x:v>Local source render; live version unverified</x:v>
      </x:c>
      <x:c r="G664" s="6" t="str">
        <x:v>إصلاح نظام التوجيه Mercedes-Benz في دبي | ديجي-تك</x:v>
      </x:c>
      <x:c r="H664" s="6" t="str">
        <x:v>إصلاح نظام التوجيه Mercedes-Benz في دبي | ديجي-تك</x:v>
      </x:c>
      <x:c r="I664" s="6" t="str">
        <x:v>إصلاح نظام التوجيه Mercedes-Benz في دبي</x:v>
      </x:c>
      <x:c r="J664" s="6" t="str">
        <x:v>إصلاح نظام التوجيه Mercedes-Benz في دبي</x:v>
      </x:c>
      <x:c r="K664" s="6" t="str">
        <x:v>إصلاح نظام التوجيه متخصص لسيارات Mercedes-Benz في دبي مع تشخيص متقدم وقطع مناسبة وتسعير واضح لدى مركز ديجي-تك.</x:v>
      </x:c>
      <x:c r="L664" s="6" t="str">
        <x:v>Retain pending evidence; no specific content edit justified by this export.</x:v>
      </x:c>
      <x:c r="M664" s="6" t="str">
        <x:v>Retain; inspect relevant context before adding links</x:v>
      </x:c>
      <x:c r="N664" s="6" t="str">
        <x:v>Unconfirmed — no query/page pairing</x:v>
      </x:c>
      <x:c r="O664" s="6" t="str">
        <x:v>Retain established booking / WhatsApp / call path; live behaviour untested</x:v>
      </x:c>
      <x:c r="P664" s="6" t="str">
        <x:v>Retain canonical and indexation policy pending a live check.</x:v>
      </x:c>
      <x:c r="Q664" s="6" t="str">
        <x:v>Proposed; no website change made</x:v>
      </x:c>
      <x:c r="R664" s="14"/>
      <x:c r="S664" s="14"/>
      <x:c r="T664" s="15"/>
      <x:c r="U664" s="16"/>
      <x:c r="V664" s="6" t="str">
        <x:v>https://digitecme.com/ar/services/mercedes-steering-repair-dubai</x:v>
      </x:c>
      <x:c r="W664" s="6" t="str">
        <x:v>Indexable directive</x:v>
      </x:c>
      <x:c r="X664" s="6" t="n">
        <x:v>17</x:v>
      </x:c>
      <x:c r="Y664" s="6" t="str">
        <x:v>إصلاح نظام التوجيه Mercedes-Benz في دبي | ديجي-تك</x:v>
      </x:c>
      <x:c r="Z664" s="6" t="str"/>
      <x:c r="AA664" s="6" t="str">
        <x:v>No / not compared</x:v>
      </x:c>
    </x:row>
    <x:row r="665" ht="42" customHeight="1">
      <x:c r="A665" s="6" t="str">
        <x:v>https://digitecme.com/ar/services/mercedes-suspension-repair-dubai</x:v>
      </x:c>
      <x:c r="B665" s="6" t="str"/>
      <x:c r="C665" s="6" t="str"/>
      <x:c r="D665" s="6" t="str">
        <x:v>service</x:v>
      </x:c>
      <x:c r="E665" s="6" t="str">
        <x:v>Retain differentiated role</x:v>
      </x:c>
      <x:c r="F665" s="6" t="str">
        <x:v>Local source render; live version unverified</x:v>
      </x:c>
      <x:c r="G665" s="6" t="str">
        <x:v>إصلاح التعليق Mercedes-Benz في دبي | ديجي-تك</x:v>
      </x:c>
      <x:c r="H665" s="6" t="str">
        <x:v>إصلاح التعليق Mercedes-Benz في دبي | ديجي-تك</x:v>
      </x:c>
      <x:c r="I665" s="6" t="str">
        <x:v>إصلاح التعليق Mercedes-Benz في دبي</x:v>
      </x:c>
      <x:c r="J665" s="6" t="str">
        <x:v>إصلاح التعليق Mercedes-Benz في دبي</x:v>
      </x:c>
      <x:c r="K665" s="6" t="str">
        <x:v>إصلاح التعليق متخصص لسيارات Mercedes-Benz في دبي مع تشخيص متقدم وقطع مناسبة وتسعير واضح لدى مركز ديجي-تك.</x:v>
      </x:c>
      <x:c r="L665" s="6" t="str">
        <x:v>Retain pending evidence; no specific content edit justified by this export.</x:v>
      </x:c>
      <x:c r="M665" s="6" t="str">
        <x:v>Retain; inspect relevant context before adding links</x:v>
      </x:c>
      <x:c r="N665" s="6" t="str">
        <x:v>Unconfirmed — no query/page pairing</x:v>
      </x:c>
      <x:c r="O665" s="6" t="str">
        <x:v>Retain established booking / WhatsApp / call path; live behaviour untested</x:v>
      </x:c>
      <x:c r="P665" s="6" t="str">
        <x:v>Retain canonical and indexation policy pending a live check.</x:v>
      </x:c>
      <x:c r="Q665" s="6" t="str">
        <x:v>Proposed; no website change made</x:v>
      </x:c>
      <x:c r="R665" s="14" t="n">
        <x:v>0</x:v>
      </x:c>
      <x:c r="S665" s="14" t="n">
        <x:v>1</x:v>
      </x:c>
      <x:c r="T665" s="15" t="n">
        <x:v>0</x:v>
      </x:c>
      <x:c r="U665" s="16" t="n">
        <x:v>39</x:v>
      </x:c>
      <x:c r="V665" s="6" t="str">
        <x:v>https://digitecme.com/ar/services/mercedes-suspension-repair-dubai</x:v>
      </x:c>
      <x:c r="W665" s="6" t="str">
        <x:v>Indexable directive</x:v>
      </x:c>
      <x:c r="X665" s="6" t="n">
        <x:v>18</x:v>
      </x:c>
      <x:c r="Y665" s="6" t="str">
        <x:v>إصلاح التعليق Mercedes-Benz في دبي | ديجي-تك</x:v>
      </x:c>
      <x:c r="Z665" s="6" t="str"/>
      <x:c r="AA665" s="6" t="str">
        <x:v>No / not compared</x:v>
      </x:c>
    </x:row>
    <x:row r="666" ht="42" customHeight="1">
      <x:c r="A666" s="6" t="str">
        <x:v>https://digitecme.com/ar/services/mercedes-tire-repair-dubai</x:v>
      </x:c>
      <x:c r="B666" s="6" t="str"/>
      <x:c r="C666" s="6" t="str"/>
      <x:c r="D666" s="6" t="str">
        <x:v>service</x:v>
      </x:c>
      <x:c r="E666" s="6" t="str">
        <x:v>Retain differentiated role</x:v>
      </x:c>
      <x:c r="F666" s="6" t="str">
        <x:v>Local source render; live version unverified</x:v>
      </x:c>
      <x:c r="G666" s="6" t="str">
        <x:v>إصلاح الإطارات Mercedes-Benz في دبي | ديجي-تك</x:v>
      </x:c>
      <x:c r="H666" s="6" t="str">
        <x:v>إصلاح الإطارات Mercedes-Benz في دبي | ديجي-تك</x:v>
      </x:c>
      <x:c r="I666" s="6" t="str">
        <x:v>إصلاح الإطارات Mercedes-Benz في دبي</x:v>
      </x:c>
      <x:c r="J666" s="6" t="str">
        <x:v>إصلاح الإطارات Mercedes-Benz في دبي</x:v>
      </x:c>
      <x:c r="K666" s="6" t="str">
        <x:v>إصلاح الإطارات متخصص لسيارات Mercedes-Benz في دبي مع تشخيص متقدم وقطع مناسبة وتسعير واضح لدى مركز ديجي-تك.</x:v>
      </x:c>
      <x:c r="L666" s="6" t="str">
        <x:v>Retain pending evidence; no specific content edit justified by this export.</x:v>
      </x:c>
      <x:c r="M666" s="6" t="str">
        <x:v>Retain; inspect relevant context before adding links</x:v>
      </x:c>
      <x:c r="N666" s="6" t="str">
        <x:v>Unconfirmed — no query/page pairing</x:v>
      </x:c>
      <x:c r="O666" s="6" t="str">
        <x:v>Retain established booking / WhatsApp / call path; live behaviour untested</x:v>
      </x:c>
      <x:c r="P666" s="6" t="str">
        <x:v>Retain canonical and indexation policy pending a live check.</x:v>
      </x:c>
      <x:c r="Q666" s="6" t="str">
        <x:v>Proposed; no website change made</x:v>
      </x:c>
      <x:c r="R666" s="14" t="n">
        <x:v>0</x:v>
      </x:c>
      <x:c r="S666" s="14" t="n">
        <x:v>1</x:v>
      </x:c>
      <x:c r="T666" s="15" t="n">
        <x:v>0</x:v>
      </x:c>
      <x:c r="U666" s="16" t="n">
        <x:v>3</x:v>
      </x:c>
      <x:c r="V666" s="6" t="str">
        <x:v>https://digitecme.com/ar/services/mercedes-tire-repair-dubai</x:v>
      </x:c>
      <x:c r="W666" s="6" t="str">
        <x:v>Indexable directive</x:v>
      </x:c>
      <x:c r="X666" s="6" t="n">
        <x:v>17</x:v>
      </x:c>
      <x:c r="Y666" s="6" t="str">
        <x:v>إصلاح الإطارات Mercedes-Benz في دبي | ديجي-تك</x:v>
      </x:c>
      <x:c r="Z666" s="6" t="str"/>
      <x:c r="AA666" s="6" t="str">
        <x:v>No / not compared</x:v>
      </x:c>
    </x:row>
    <x:row r="667" ht="42" customHeight="1">
      <x:c r="A667" s="6" t="str">
        <x:v>https://digitecme.com/ar/services/mercedes-transmission-repair-dubai</x:v>
      </x:c>
      <x:c r="B667" s="6" t="str"/>
      <x:c r="C667" s="6" t="str"/>
      <x:c r="D667" s="6" t="str">
        <x:v>service</x:v>
      </x:c>
      <x:c r="E667" s="6" t="str">
        <x:v>Retain differentiated role</x:v>
      </x:c>
      <x:c r="F667" s="6" t="str">
        <x:v>Local source render; live version unverified</x:v>
      </x:c>
      <x:c r="G667" s="6" t="str">
        <x:v>إصلاح ناقل الحركة Mercedes-Benz في دبي | ديجي-تك</x:v>
      </x:c>
      <x:c r="H667" s="6" t="str">
        <x:v>إصلاح ناقل الحركة Mercedes-Benz في دبي | ديجي-تك</x:v>
      </x:c>
      <x:c r="I667" s="6" t="str">
        <x:v>إصلاح ناقل الحركة Mercedes-Benz في دبي</x:v>
      </x:c>
      <x:c r="J667" s="6" t="str">
        <x:v>إصلاح ناقل الحركة Mercedes-Benz في دبي</x:v>
      </x:c>
      <x:c r="K667" s="6" t="str">
        <x:v>إصلاح ناقل الحركة متخصص لسيارات Mercedes-Benz في دبي مع تشخيص متقدم وقطع مناسبة وتسعير واضح لدى مركز ديجي-تك.</x:v>
      </x:c>
      <x:c r="L667" s="6" t="str">
        <x:v>Retain pending evidence; no specific content edit justified by this export.</x:v>
      </x:c>
      <x:c r="M667" s="6" t="str">
        <x:v>Retain; inspect relevant context before adding links</x:v>
      </x:c>
      <x:c r="N667" s="6" t="str">
        <x:v>Unconfirmed — no query/page pairing</x:v>
      </x:c>
      <x:c r="O667" s="6" t="str">
        <x:v>Retain established booking / WhatsApp / call path; live behaviour untested</x:v>
      </x:c>
      <x:c r="P667" s="6" t="str">
        <x:v>Retain canonical and indexation policy pending a live check.</x:v>
      </x:c>
      <x:c r="Q667" s="6" t="str">
        <x:v>Proposed; no website change made</x:v>
      </x:c>
      <x:c r="R667" s="14"/>
      <x:c r="S667" s="14"/>
      <x:c r="T667" s="15"/>
      <x:c r="U667" s="16"/>
      <x:c r="V667" s="6" t="str">
        <x:v>https://digitecme.com/ar/services/mercedes-transmission-repair-dubai</x:v>
      </x:c>
      <x:c r="W667" s="6" t="str">
        <x:v>Indexable directive</x:v>
      </x:c>
      <x:c r="X667" s="6" t="n">
        <x:v>18</x:v>
      </x:c>
      <x:c r="Y667" s="6" t="str">
        <x:v>إصلاح ناقل الحركة Mercedes-Benz في دبي | ديجي-تك</x:v>
      </x:c>
      <x:c r="Z667" s="6" t="str"/>
      <x:c r="AA667" s="6" t="str">
        <x:v>No / not compared</x:v>
      </x:c>
    </x:row>
    <x:row r="668" ht="57" customHeight="1">
      <x:c r="A668" s="6" t="str">
        <x:v>https://digitecme.com/ar/services/oil-change-dubai</x:v>
      </x:c>
      <x:c r="B668" s="6" t="str">
        <x:v>تغيير زيت السيارة في دبي</x:v>
      </x:c>
      <x:c r="C668" s="6" t="str">
        <x:v>All vehicles: Oil change (Arabic)</x:v>
      </x:c>
      <x:c r="D668" s="6" t="str">
        <x:v>service</x:v>
      </x:c>
      <x:c r="E668" s="6" t="str">
        <x:v>Primary owner for assigned intent</x:v>
      </x:c>
      <x:c r="F668" s="6" t="str">
        <x:v>Local source render; live version unverified</x:v>
      </x:c>
      <x:c r="G668" s="6" t="str">
        <x:v>تغيير زيت السيارة في دبي | مركز ديجي-تك دبي</x:v>
      </x:c>
      <x:c r="H668" s="6" t="str">
        <x:v>تغيير زيت السيارة في دبي | مركز ديجي-تك دبي</x:v>
      </x:c>
      <x:c r="I668" s="6" t="str">
        <x:v>تغيير زيت السيارة في دبي</x:v>
      </x:c>
      <x:c r="J668" s="6" t="str">
        <x:v>تغيير زيت السيارة في دبي</x:v>
      </x:c>
      <x:c r="K668" s="6" t="str">
        <x:v>زيوت وفلاتر عالية الجودة مع فحص أساسي للسيارة. فحص متقدم وقطع بالمواصفات المناسبة وتسعير واضح من مركز ديجي-تك في القوز، دبي. احجز موعدك الآن.</x:v>
      </x:c>
      <x:c r="L668" s="6" t="str">
        <x:v>Retain pending evidence; no specific content edit justified by this export.</x:v>
      </x:c>
      <x:c r="M668" s="6" t="str">
        <x:v>Retain; inspect relevant context before adding links</x:v>
      </x:c>
      <x:c r="N668" s="6" t="str">
        <x:v>Unconfirmed — no query/page pairing</x:v>
      </x:c>
      <x:c r="O668" s="6" t="str">
        <x:v>Retain established booking / WhatsApp / call path; live behaviour untested</x:v>
      </x:c>
      <x:c r="P668" s="6" t="str">
        <x:v>Retain canonical and indexation policy pending a live check.</x:v>
      </x:c>
      <x:c r="Q668" s="6" t="str">
        <x:v>Proposed; no website change made</x:v>
      </x:c>
      <x:c r="R668" s="14" t="n">
        <x:v>0</x:v>
      </x:c>
      <x:c r="S668" s="14" t="n">
        <x:v>35</x:v>
      </x:c>
      <x:c r="T668" s="15" t="n">
        <x:v>0</x:v>
      </x:c>
      <x:c r="U668" s="16" t="n">
        <x:v>10.23</x:v>
      </x:c>
      <x:c r="V668" s="6" t="str">
        <x:v>https://digitecme.com/ar/services/oil-change-dubai</x:v>
      </x:c>
      <x:c r="W668" s="6" t="str">
        <x:v>Indexable directive</x:v>
      </x:c>
      <x:c r="X668" s="6" t="n">
        <x:v>669</x:v>
      </x:c>
      <x:c r="Y668" s="6" t="str">
        <x:v>تغيير زيت السيارة في دبي | مركز ديجي-تك دبي</x:v>
      </x:c>
      <x:c r="Z668" s="6" t="str"/>
      <x:c r="AA668" s="6" t="str">
        <x:v>No / not compared</x:v>
      </x:c>
    </x:row>
    <x:row r="669" ht="57" customHeight="1">
      <x:c r="A669" s="6" t="str">
        <x:v>https://digitecme.com/ar/services/paint-protection-dubai</x:v>
      </x:c>
      <x:c r="B669" s="6" t="str"/>
      <x:c r="C669" s="6" t="str"/>
      <x:c r="D669" s="6" t="str">
        <x:v>service</x:v>
      </x:c>
      <x:c r="E669" s="6" t="str">
        <x:v>Retain differentiated role</x:v>
      </x:c>
      <x:c r="F669" s="6" t="str">
        <x:v>Local source render; live version unverified</x:v>
      </x:c>
      <x:c r="G669" s="6" t="str">
        <x:v>حماية طلاء السيارة | مركز ديجي-تك دبي</x:v>
      </x:c>
      <x:c r="H669" s="6" t="str">
        <x:v>حماية طلاء السيارة | مركز ديجي-تك دبي</x:v>
      </x:c>
      <x:c r="I669" s="6" t="str">
        <x:v>حماية طلاء السيارة</x:v>
      </x:c>
      <x:c r="J669" s="6" t="str">
        <x:v>حماية طلاء السيارة</x:v>
      </x:c>
      <x:c r="K669" s="6" t="str">
        <x:v>طلاء سيراميك وأفلام حماية للحفاظ على مظهر السيارة. فحص متقدم وقطع بالمواصفات المناسبة وتسعير واضح من مركز ديجي-تك في القوز، دبي. احجز موعدك الآن.</x:v>
      </x:c>
      <x:c r="L669" s="6" t="str">
        <x:v>Retain pending evidence; no specific content edit justified by this export.</x:v>
      </x:c>
      <x:c r="M669" s="6" t="str">
        <x:v>Retain; inspect relevant context before adding links</x:v>
      </x:c>
      <x:c r="N669" s="6" t="str">
        <x:v>Unconfirmed — no query/page pairing</x:v>
      </x:c>
      <x:c r="O669" s="6" t="str">
        <x:v>Retain established booking / WhatsApp / call path; live behaviour untested</x:v>
      </x:c>
      <x:c r="P669" s="6" t="str">
        <x:v>Retain canonical and indexation policy pending a live check.</x:v>
      </x:c>
      <x:c r="Q669" s="6" t="str">
        <x:v>Proposed; no website change made</x:v>
      </x:c>
      <x:c r="R669" s="14" t="n">
        <x:v>0</x:v>
      </x:c>
      <x:c r="S669" s="14" t="n">
        <x:v>8</x:v>
      </x:c>
      <x:c r="T669" s="15" t="n">
        <x:v>0</x:v>
      </x:c>
      <x:c r="U669" s="16" t="n">
        <x:v>12.88</x:v>
      </x:c>
      <x:c r="V669" s="6" t="str">
        <x:v>https://digitecme.com/ar/services/paint-protection-dubai</x:v>
      </x:c>
      <x:c r="W669" s="6" t="str">
        <x:v>Indexable directive</x:v>
      </x:c>
      <x:c r="X669" s="6" t="n">
        <x:v>16</x:v>
      </x:c>
      <x:c r="Y669" s="6" t="str">
        <x:v>حماية طلاء السيارة | مركز ديجي-تك دبي</x:v>
      </x:c>
      <x:c r="Z669" s="6" t="str"/>
      <x:c r="AA669" s="6" t="str">
        <x:v>No / not compared</x:v>
      </x:c>
    </x:row>
    <x:row r="670" ht="42" customHeight="1">
      <x:c r="A670" s="6" t="str">
        <x:v>https://digitecme.com/ar/services/paint-protection-film</x:v>
      </x:c>
      <x:c r="B670" s="6" t="str"/>
      <x:c r="C670" s="6" t="str"/>
      <x:c r="D670" s="6" t="str">
        <x:v>service</x:v>
      </x:c>
      <x:c r="E670" s="6" t="str">
        <x:v>Retain differentiated role</x:v>
      </x:c>
      <x:c r="F670" s="6" t="str">
        <x:v>Local source render; live version unverified</x:v>
      </x:c>
      <x:c r="G670" s="6" t="str">
        <x:v>فيلم حماية الطلاء PPF | مركز ديجي-تك دبي</x:v>
      </x:c>
      <x:c r="H670" s="6" t="str">
        <x:v>فيلم حماية الطلاء PPF | مركز ديجي-تك دبي</x:v>
      </x:c>
      <x:c r="I670" s="6" t="str">
        <x:v>فيلم حماية الطلاء PPF</x:v>
      </x:c>
      <x:c r="J670" s="6" t="str">
        <x:v>فيلم حماية الطلاء PPF</x:v>
      </x:c>
      <x:c r="K670" s="6" t="str">
        <x:v>حماية شفافة ذاتية المعالجة لطلاء سيارتك. فحص متقدم وقطع بالمواصفات المناسبة وتسعير واضح من مركز ديجي-تك في القوز، دبي. احجز موعدك الآن.</x:v>
      </x:c>
      <x:c r="L670" s="6" t="str">
        <x:v>Retain pending evidence; no specific content edit justified by this export.</x:v>
      </x:c>
      <x:c r="M670" s="6" t="str">
        <x:v>Retain; inspect relevant context before adding links</x:v>
      </x:c>
      <x:c r="N670" s="6" t="str">
        <x:v>Unconfirmed — no query/page pairing</x:v>
      </x:c>
      <x:c r="O670" s="6" t="str">
        <x:v>Retain established booking / WhatsApp / call path; live behaviour untested</x:v>
      </x:c>
      <x:c r="P670" s="6" t="str">
        <x:v>Retain canonical and indexation policy pending a live check.</x:v>
      </x:c>
      <x:c r="Q670" s="6" t="str">
        <x:v>Proposed; no website change made</x:v>
      </x:c>
      <x:c r="R670" s="14" t="n">
        <x:v>0</x:v>
      </x:c>
      <x:c r="S670" s="14" t="n">
        <x:v>7</x:v>
      </x:c>
      <x:c r="T670" s="15" t="n">
        <x:v>0</x:v>
      </x:c>
      <x:c r="U670" s="16" t="n">
        <x:v>9.57</x:v>
      </x:c>
      <x:c r="V670" s="6" t="str">
        <x:v>https://digitecme.com/ar/services/paint-protection-film</x:v>
      </x:c>
      <x:c r="W670" s="6" t="str">
        <x:v>Indexable directive</x:v>
      </x:c>
      <x:c r="X670" s="6" t="n">
        <x:v>8</x:v>
      </x:c>
      <x:c r="Y670" s="6" t="str">
        <x:v>فيلم حماية الطلاء PPF | مركز ديجي-تك دبي</x:v>
      </x:c>
      <x:c r="Z670" s="6" t="str"/>
      <x:c r="AA670" s="6" t="str">
        <x:v>No / not compared</x:v>
      </x:c>
    </x:row>
    <x:row r="671" ht="57" customHeight="1">
      <x:c r="A671" s="6" t="str">
        <x:v>https://digitecme.com/ar/services/roadside-assistance-dubai</x:v>
      </x:c>
      <x:c r="B671" s="6" t="str"/>
      <x:c r="C671" s="6" t="str"/>
      <x:c r="D671" s="6" t="str">
        <x:v>service</x:v>
      </x:c>
      <x:c r="E671" s="6" t="str">
        <x:v>Retain differentiated role</x:v>
      </x:c>
      <x:c r="F671" s="6" t="str">
        <x:v>Local source render; live version unverified</x:v>
      </x:c>
      <x:c r="G671" s="6" t="str">
        <x:v>المساعدة على الطريق في دبي | مركز ديجي-تك</x:v>
      </x:c>
      <x:c r="H671" s="6" t="str">
        <x:v>المساعدة على الطريق في دبي | مركز ديجي-تك</x:v>
      </x:c>
      <x:c r="I671" s="6" t="str">
        <x:v>المساعدة على الطريق في دبي</x:v>
      </x:c>
      <x:c r="J671" s="6" t="str">
        <x:v>المساعدة على الطريق في دبي</x:v>
      </x:c>
      <x:c r="K671" s="6" t="str">
        <x:v>نساعدك على تقييم الخطوة التالية وتنسيق نقل السيارة إلى ورشتنا في القوز عند الحاجة، ثم إجراء فحص لتحديد سبب العطل. احجز فحصاً لدى مركز ديجي-تك في القوز.</x:v>
      </x:c>
      <x:c r="L671" s="6" t="str">
        <x:v>Retain pending evidence; no specific content edit justified by this export.</x:v>
      </x:c>
      <x:c r="M671" s="6" t="str">
        <x:v>Retain; inspect relevant context before adding links</x:v>
      </x:c>
      <x:c r="N671" s="6" t="str">
        <x:v>Unconfirmed — no query/page pairing</x:v>
      </x:c>
      <x:c r="O671" s="6" t="str">
        <x:v>Retain established booking / WhatsApp / call path; live behaviour untested</x:v>
      </x:c>
      <x:c r="P671" s="6" t="str">
        <x:v>Retain canonical and indexation policy pending a live check.</x:v>
      </x:c>
      <x:c r="Q671" s="6" t="str">
        <x:v>Proposed; no website change made</x:v>
      </x:c>
      <x:c r="R671" s="14" t="n">
        <x:v>0</x:v>
      </x:c>
      <x:c r="S671" s="14" t="n">
        <x:v>13</x:v>
      </x:c>
      <x:c r="T671" s="15" t="n">
        <x:v>0</x:v>
      </x:c>
      <x:c r="U671" s="16" t="n">
        <x:v>53.62</x:v>
      </x:c>
      <x:c r="V671" s="6" t="str">
        <x:v>https://digitecme.com/ar/services/roadside-assistance-dubai</x:v>
      </x:c>
      <x:c r="W671" s="6" t="str">
        <x:v>Indexable directive</x:v>
      </x:c>
      <x:c r="X671" s="6" t="n">
        <x:v>4</x:v>
      </x:c>
      <x:c r="Y671" s="6" t="str">
        <x:v>المساعدة على الطريق في دبي | مركز ديجي-تك</x:v>
      </x:c>
      <x:c r="Z671" s="6" t="str"/>
      <x:c r="AA671" s="6" t="str">
        <x:v>No / not compared</x:v>
      </x:c>
    </x:row>
    <x:row r="672" ht="57" customHeight="1">
      <x:c r="A672" s="6" t="str">
        <x:v>https://digitecme.com/ar/services/soft-close-door-repair-dubai</x:v>
      </x:c>
      <x:c r="B672" s="6" t="str"/>
      <x:c r="C672" s="6" t="str"/>
      <x:c r="D672" s="6" t="str">
        <x:v>service</x:v>
      </x:c>
      <x:c r="E672" s="6" t="str">
        <x:v>Retain differentiated role</x:v>
      </x:c>
      <x:c r="F672" s="6" t="str">
        <x:v>Local source render; live version unverified</x:v>
      </x:c>
      <x:c r="G672" s="6" t="str">
        <x:v>تركيب وإصلاح الأبواب ذات الإغلاق الناعم | مركز ديجي-تك دبي</x:v>
      </x:c>
      <x:c r="H672" s="6" t="str">
        <x:v>تركيب وإصلاح الأبواب ذات الإغلاق الناعم | مركز ديجي-تك دبي</x:v>
      </x:c>
      <x:c r="I672" s="6" t="str">
        <x:v>تركيب وإصلاح الأبواب ذات الإغلاق الناعم</x:v>
      </x:c>
      <x:c r="J672" s="6" t="str">
        <x:v>تركيب وإصلاح الأبواب ذات الإغلاق الناعم</x:v>
      </x:c>
      <x:c r="K672" s="6" t="str">
        <x:v>تركيب وتحديث وإصلاح نظام الإغلاق الناعم لجميع السيارات، ومنها ROX. فحص متقدم وقطع بالمواصفات المناسبة وتسعير واضح من مركز ديجي-تك في القوز، دبي. احجز موعدك الآن.</x:v>
      </x:c>
      <x:c r="L672" s="6" t="str">
        <x:v>Retain pending evidence; no specific content edit justified by this export.</x:v>
      </x:c>
      <x:c r="M672" s="6" t="str">
        <x:v>Retain; inspect relevant context before adding links</x:v>
      </x:c>
      <x:c r="N672" s="6" t="str">
        <x:v>Unconfirmed — no query/page pairing</x:v>
      </x:c>
      <x:c r="O672" s="6" t="str">
        <x:v>Retain established booking / WhatsApp / call path; live behaviour untested</x:v>
      </x:c>
      <x:c r="P672" s="6" t="str">
        <x:v>Retain canonical and indexation policy pending a live check.</x:v>
      </x:c>
      <x:c r="Q672" s="6" t="str">
        <x:v>Proposed; no website change made</x:v>
      </x:c>
      <x:c r="R672" s="14"/>
      <x:c r="S672" s="14"/>
      <x:c r="T672" s="15"/>
      <x:c r="U672" s="16"/>
      <x:c r="V672" s="6" t="str">
        <x:v>https://digitecme.com/ar/services/soft-close-door-repair-dubai</x:v>
      </x:c>
      <x:c r="W672" s="6" t="str">
        <x:v>Indexable directive</x:v>
      </x:c>
      <x:c r="X672" s="6" t="n">
        <x:v>7</x:v>
      </x:c>
      <x:c r="Y672" s="6" t="str">
        <x:v>تركيب وإصلاح الأبواب ذات الإغلاق الناعم | مركز ديجي-تك دبي</x:v>
      </x:c>
      <x:c r="Z672" s="6" t="str"/>
      <x:c r="AA672" s="6" t="str">
        <x:v>No / not compared</x:v>
      </x:c>
    </x:row>
    <x:row r="673" ht="57" customHeight="1">
      <x:c r="A673" s="6" t="str">
        <x:v>https://digitecme.com/ar/services/steering-repair-dubai</x:v>
      </x:c>
      <x:c r="B673" s="6" t="str"/>
      <x:c r="C673" s="6" t="str"/>
      <x:c r="D673" s="6" t="str">
        <x:v>service</x:v>
      </x:c>
      <x:c r="E673" s="6" t="str">
        <x:v>Retain differentiated role</x:v>
      </x:c>
      <x:c r="F673" s="6" t="str">
        <x:v>Local source render; live version unverified</x:v>
      </x:c>
      <x:c r="G673" s="6" t="str">
        <x:v>إصلاح نظام التوجيه في دبي | مركز ديجي-تك دبي</x:v>
      </x:c>
      <x:c r="H673" s="6" t="str">
        <x:v>إصلاح نظام التوجيه في دبي | مركز ديجي-تك دبي</x:v>
      </x:c>
      <x:c r="I673" s="6" t="str">
        <x:v>إصلاح نظام التوجيه في دبي</x:v>
      </x:c>
      <x:c r="J673" s="6" t="str">
        <x:v>إصلاح نظام التوجيه في دبي</x:v>
      </x:c>
      <x:c r="K673" s="6" t="str">
        <x:v>إصلاح الدركسون الهيدروليكي وعلبة التوجيه والأنظمة الكهربائية. فحص متقدم وقطع بالمواصفات المناسبة وتسعير واضح من مركز ديجي-تك في القوز، دبي. احجز موعدك الآن.</x:v>
      </x:c>
      <x:c r="L673" s="6" t="str">
        <x:v>Retain pending evidence; no specific content edit justified by this export.</x:v>
      </x:c>
      <x:c r="M673" s="6" t="str">
        <x:v>Retain; inspect relevant context before adding links</x:v>
      </x:c>
      <x:c r="N673" s="6" t="str">
        <x:v>Unconfirmed — no query/page pairing</x:v>
      </x:c>
      <x:c r="O673" s="6" t="str">
        <x:v>Retain established booking / WhatsApp / call path; live behaviour untested</x:v>
      </x:c>
      <x:c r="P673" s="6" t="str">
        <x:v>Retain canonical and indexation policy pending a live check.</x:v>
      </x:c>
      <x:c r="Q673" s="6" t="str">
        <x:v>Proposed; no website change made</x:v>
      </x:c>
      <x:c r="R673" s="14" t="n">
        <x:v>0</x:v>
      </x:c>
      <x:c r="S673" s="14" t="n">
        <x:v>5</x:v>
      </x:c>
      <x:c r="T673" s="15" t="n">
        <x:v>0</x:v>
      </x:c>
      <x:c r="U673" s="16" t="n">
        <x:v>4.4</x:v>
      </x:c>
      <x:c r="V673" s="6" t="str">
        <x:v>https://digitecme.com/ar/services/steering-repair-dubai</x:v>
      </x:c>
      <x:c r="W673" s="6" t="str">
        <x:v>Indexable directive</x:v>
      </x:c>
      <x:c r="X673" s="6" t="n">
        <x:v>8</x:v>
      </x:c>
      <x:c r="Y673" s="6" t="str">
        <x:v>إصلاح نظام التوجيه في دبي | مركز ديجي-تك دبي</x:v>
      </x:c>
      <x:c r="Z673" s="6" t="str"/>
      <x:c r="AA673" s="6" t="str">
        <x:v>No / not compared</x:v>
      </x:c>
    </x:row>
    <x:row r="674" ht="57" customHeight="1">
      <x:c r="A674" s="6" t="str">
        <x:v>https://digitecme.com/ar/services/suspension-repair-dubai</x:v>
      </x:c>
      <x:c r="B674" s="6" t="str">
        <x:v>تصليح تعليق السيارة في دبي</x:v>
      </x:c>
      <x:c r="C674" s="6" t="str">
        <x:v>All vehicles: Suspension repair (Arabic)</x:v>
      </x:c>
      <x:c r="D674" s="6" t="str">
        <x:v>service</x:v>
      </x:c>
      <x:c r="E674" s="6" t="str">
        <x:v>Primary owner for assigned intent</x:v>
      </x:c>
      <x:c r="F674" s="6" t="str">
        <x:v>Local source render; live version unverified</x:v>
      </x:c>
      <x:c r="G674" s="6" t="str">
        <x:v>إصلاح نظام التعليق في دبي | مركز ديجي-تك دبي</x:v>
      </x:c>
      <x:c r="H674" s="6" t="str">
        <x:v>إصلاح نظام التعليق في دبي | مركز ديجي-تك دبي</x:v>
      </x:c>
      <x:c r="I674" s="6" t="str">
        <x:v>إصلاح نظام التعليق في دبي</x:v>
      </x:c>
      <x:c r="J674" s="6" t="str">
        <x:v>إصلاح نظام التعليق في دبي</x:v>
      </x:c>
      <x:c r="K674" s="6" t="str">
        <x:v>إصلاح التعليق التقليدي والهوائي للسيارات الفاخرة. فحص متقدم وقطع بالمواصفات المناسبة وتسعير واضح من مركز ديجي-تك في القوز، دبي. احجز موعدك الآن.</x:v>
      </x:c>
      <x:c r="L674" s="6" t="str">
        <x:v>Retain pending evidence; no specific content edit justified by this export.</x:v>
      </x:c>
      <x:c r="M674" s="6" t="str">
        <x:v>Retain; inspect relevant context before adding links</x:v>
      </x:c>
      <x:c r="N674" s="6" t="str">
        <x:v>Unconfirmed — no query/page pairing</x:v>
      </x:c>
      <x:c r="O674" s="6" t="str">
        <x:v>Retain established booking / WhatsApp / call path; live behaviour untested</x:v>
      </x:c>
      <x:c r="P674" s="6" t="str">
        <x:v>Retain canonical and indexation policy pending a live check.</x:v>
      </x:c>
      <x:c r="Q674" s="6" t="str">
        <x:v>Proposed; no website change made</x:v>
      </x:c>
      <x:c r="R674" s="14" t="n">
        <x:v>0</x:v>
      </x:c>
      <x:c r="S674" s="14" t="n">
        <x:v>16</x:v>
      </x:c>
      <x:c r="T674" s="15" t="n">
        <x:v>0</x:v>
      </x:c>
      <x:c r="U674" s="16" t="n">
        <x:v>14.38</x:v>
      </x:c>
      <x:c r="V674" s="6" t="str">
        <x:v>https://digitecme.com/ar/services/suspension-repair-dubai</x:v>
      </x:c>
      <x:c r="W674" s="6" t="str">
        <x:v>Indexable directive</x:v>
      </x:c>
      <x:c r="X674" s="6" t="n">
        <x:v>44</x:v>
      </x:c>
      <x:c r="Y674" s="6" t="str">
        <x:v>إصلاح نظام التعليق في دبي | مركز ديجي-تك دبي</x:v>
      </x:c>
      <x:c r="Z674" s="6" t="str"/>
      <x:c r="AA674" s="6" t="str">
        <x:v>No / not compared</x:v>
      </x:c>
    </x:row>
    <x:row r="675" ht="57" customHeight="1">
      <x:c r="A675" s="6" t="str">
        <x:v>https://digitecme.com/ar/services/tire-repair-dubai</x:v>
      </x:c>
      <x:c r="B675" s="6" t="str"/>
      <x:c r="C675" s="6" t="str"/>
      <x:c r="D675" s="6" t="str">
        <x:v>service</x:v>
      </x:c>
      <x:c r="E675" s="6" t="str">
        <x:v>Retain differentiated role</x:v>
      </x:c>
      <x:c r="F675" s="6" t="str">
        <x:v>Local source render; live version unverified</x:v>
      </x:c>
      <x:c r="G675" s="6" t="str">
        <x:v>إصلاح الإطارات في دبي | مركز ديجي-تك دبي</x:v>
      </x:c>
      <x:c r="H675" s="6" t="str">
        <x:v>إصلاح الإطارات في دبي | مركز ديجي-تك دبي</x:v>
      </x:c>
      <x:c r="I675" s="6" t="str">
        <x:v>إصلاح الإطارات في دبي</x:v>
      </x:c>
      <x:c r="J675" s="6" t="str">
        <x:v>إصلاح الإطارات في دبي</x:v>
      </x:c>
      <x:c r="K675" s="6" t="str">
        <x:v>إصلاح الثقوب وتبديل الإطارات وضبط زوايا العجلات. فحص متقدم وقطع بالمواصفات المناسبة وتسعير واضح من مركز ديجي-تك في القوز، دبي. احجز موعدك الآن.</x:v>
      </x:c>
      <x:c r="L675" s="6" t="str">
        <x:v>Retain pending evidence; no specific content edit justified by this export.</x:v>
      </x:c>
      <x:c r="M675" s="6" t="str">
        <x:v>Retain; inspect relevant context before adding links</x:v>
      </x:c>
      <x:c r="N675" s="6" t="str">
        <x:v>Unconfirmed — no query/page pairing</x:v>
      </x:c>
      <x:c r="O675" s="6" t="str">
        <x:v>Retain established booking / WhatsApp / call path; live behaviour untested</x:v>
      </x:c>
      <x:c r="P675" s="6" t="str">
        <x:v>Retain canonical and indexation policy pending a live check.</x:v>
      </x:c>
      <x:c r="Q675" s="6" t="str">
        <x:v>Proposed; no website change made</x:v>
      </x:c>
      <x:c r="R675" s="14" t="n">
        <x:v>0</x:v>
      </x:c>
      <x:c r="S675" s="14" t="n">
        <x:v>5</x:v>
      </x:c>
      <x:c r="T675" s="15" t="n">
        <x:v>0</x:v>
      </x:c>
      <x:c r="U675" s="16" t="n">
        <x:v>4.6</x:v>
      </x:c>
      <x:c r="V675" s="6" t="str">
        <x:v>https://digitecme.com/ar/services/tire-repair-dubai</x:v>
      </x:c>
      <x:c r="W675" s="6" t="str">
        <x:v>Indexable directive</x:v>
      </x:c>
      <x:c r="X675" s="6" t="n">
        <x:v>5</x:v>
      </x:c>
      <x:c r="Y675" s="6" t="str">
        <x:v>إصلاح الإطارات في دبي | مركز ديجي-تك دبي</x:v>
      </x:c>
      <x:c r="Z675" s="6" t="str"/>
      <x:c r="AA675" s="6" t="str">
        <x:v>No / not compared</x:v>
      </x:c>
    </x:row>
    <x:row r="676" ht="57" customHeight="1">
      <x:c r="A676" s="6" t="str">
        <x:v>https://digitecme.com/ar/services/transmission-repair-dubai</x:v>
      </x:c>
      <x:c r="B676" s="6" t="str"/>
      <x:c r="C676" s="6" t="str"/>
      <x:c r="D676" s="6" t="str">
        <x:v>service</x:v>
      </x:c>
      <x:c r="E676" s="6" t="str">
        <x:v>Retain differentiated role</x:v>
      </x:c>
      <x:c r="F676" s="6" t="str">
        <x:v>Local source render; live version unverified</x:v>
      </x:c>
      <x:c r="G676" s="6" t="str">
        <x:v>إصلاح ناقل الحركة في دبي | مركز ديجي-تك دبي</x:v>
      </x:c>
      <x:c r="H676" s="6" t="str">
        <x:v>إصلاح ناقل الحركة في دبي | مركز ديجي-تك دبي</x:v>
      </x:c>
      <x:c r="I676" s="6" t="str">
        <x:v>إصلاح ناقل الحركة في دبي</x:v>
      </x:c>
      <x:c r="J676" s="6" t="str">
        <x:v>إصلاح ناقل الحركة في دبي</x:v>
      </x:c>
      <x:c r="K676" s="6" t="str">
        <x:v>تشخيص وإصلاح الجير الأوتوماتيكي وأنظمة نقل الحركة. فحص متقدم وقطع بالمواصفات المناسبة وتسعير واضح من مركز ديجي-تك في القوز، دبي. احجز موعدك الآن.</x:v>
      </x:c>
      <x:c r="L676" s="6" t="str">
        <x:v>Retain pending evidence; no specific content edit justified by this export.</x:v>
      </x:c>
      <x:c r="M676" s="6" t="str">
        <x:v>Retain; inspect relevant context before adding links</x:v>
      </x:c>
      <x:c r="N676" s="6" t="str">
        <x:v>Unconfirmed — no query/page pairing</x:v>
      </x:c>
      <x:c r="O676" s="6" t="str">
        <x:v>Retain established booking / WhatsApp / call path; live behaviour untested</x:v>
      </x:c>
      <x:c r="P676" s="6" t="str">
        <x:v>Retain canonical and indexation policy pending a live check.</x:v>
      </x:c>
      <x:c r="Q676" s="6" t="str">
        <x:v>Proposed; no website change made</x:v>
      </x:c>
      <x:c r="R676" s="14" t="n">
        <x:v>0</x:v>
      </x:c>
      <x:c r="S676" s="14" t="n">
        <x:v>6</x:v>
      </x:c>
      <x:c r="T676" s="15" t="n">
        <x:v>0</x:v>
      </x:c>
      <x:c r="U676" s="16" t="n">
        <x:v>4.5</x:v>
      </x:c>
      <x:c r="V676" s="6" t="str">
        <x:v>https://digitecme.com/ar/services/transmission-repair-dubai</x:v>
      </x:c>
      <x:c r="W676" s="6" t="str">
        <x:v>Indexable directive</x:v>
      </x:c>
      <x:c r="X676" s="6" t="n">
        <x:v>669</x:v>
      </x:c>
      <x:c r="Y676" s="6" t="str">
        <x:v>إصلاح ناقل الحركة في دبي | مركز ديجي-تك دبي</x:v>
      </x:c>
      <x:c r="Z676" s="6" t="str"/>
      <x:c r="AA676" s="6" t="str">
        <x:v>No / not compared</x:v>
      </x:c>
    </x:row>
    <x:row r="677" ht="42" customHeight="1">
      <x:c r="A677" s="6" t="str">
        <x:v>https://digitecme.com/ar/sitemap</x:v>
      </x:c>
      <x:c r="B677" s="6" t="str"/>
      <x:c r="C677" s="6" t="str"/>
      <x:c r="D677" s="6" t="str">
        <x:v>html-sitemap</x:v>
      </x:c>
      <x:c r="E677" s="6" t="str">
        <x:v>Retain differentiated role</x:v>
      </x:c>
      <x:c r="F677" s="6" t="str">
        <x:v>Local source render; live version unverified</x:v>
      </x:c>
      <x:c r="G677" s="6" t="str">
        <x:v>خريطة الموقع | ديجي-تك بيرفورمانس دبي</x:v>
      </x:c>
      <x:c r="H677" s="6" t="str">
        <x:v>خريطة الموقع | ديجي-تك بيرفورمانس دبي</x:v>
      </x:c>
      <x:c r="I677" s="6" t="str">
        <x:v>خريطة الموقع</x:v>
      </x:c>
      <x:c r="J677" s="6" t="str">
        <x:v>خريطة الموقع</x:v>
      </x:c>
      <x:c r="K677" s="6" t="str">
        <x:v>تصفح خدمات ديجي-تك وصفحات العلامات المتخصصة وأدلة الورشة ومعلومات موقعنا في دبي.</x:v>
      </x:c>
      <x:c r="L677" s="6" t="str">
        <x:v>Retain pending evidence; no specific content edit justified by this export.</x:v>
      </x:c>
      <x:c r="M677" s="6" t="str">
        <x:v>Retain; inspect relevant context before adding links</x:v>
      </x:c>
      <x:c r="N677" s="6" t="str">
        <x:v>Unconfirmed — no query/page pairing</x:v>
      </x:c>
      <x:c r="O677" s="6" t="str">
        <x:v>Retain established booking / WhatsApp / call path; live behaviour untested</x:v>
      </x:c>
      <x:c r="P677" s="6" t="str">
        <x:v>Retain canonical and indexation policy pending a live check.</x:v>
      </x:c>
      <x:c r="Q677" s="6" t="str">
        <x:v>Proposed; no website change made</x:v>
      </x:c>
      <x:c r="R677" s="14"/>
      <x:c r="S677" s="14"/>
      <x:c r="T677" s="15"/>
      <x:c r="U677" s="16"/>
      <x:c r="V677" s="6" t="str">
        <x:v>https://digitecme.com/ar/sitemap</x:v>
      </x:c>
      <x:c r="W677" s="6" t="str">
        <x:v>Indexable directive</x:v>
      </x:c>
      <x:c r="X677" s="6" t="n">
        <x:v>669</x:v>
      </x:c>
      <x:c r="Y677" s="6" t="str">
        <x:v>خريطة الموقع | ديجي-تك بيرفورمانس دبي</x:v>
      </x:c>
      <x:c r="Z677" s="6" t="str"/>
      <x:c r="AA677" s="6" t="str">
        <x:v>No / not compared</x:v>
      </x:c>
    </x:row>
    <x:row r="678" ht="42" customHeight="1">
      <x:c r="A678" s="6" t="str">
        <x:v>https://digitecme.com/ar/tuning</x:v>
      </x:c>
      <x:c r="B678" s="6" t="str"/>
      <x:c r="C678" s="6" t="str"/>
      <x:c r="D678" s="6" t="str">
        <x:v>tuning</x:v>
      </x:c>
      <x:c r="E678" s="6" t="str">
        <x:v>Retain differentiated role</x:v>
      </x:c>
      <x:c r="F678" s="6" t="str">
        <x:v>Local source render; live version unverified</x:v>
      </x:c>
      <x:c r="G678" s="6" t="str">
        <x:v>برمجة وتطوير أداء السيارات في دبي | ديجي-تك</x:v>
      </x:c>
      <x:c r="H678" s="6" t="str">
        <x:v>برمجة وتطوير أداء السيارات في دبي | ديجي-تك</x:v>
      </x:c>
      <x:c r="I678" s="6" t="str">
        <x:v>GAD Motors لتطوير الأداء</x:v>
      </x:c>
      <x:c r="J678" s="6" t="str">
        <x:v>GAD Motors لتطوير الأداء</x:v>
      </x:c>
      <x:c r="K678" s="6" t="str">
        <x:v>برمجة ECU ومشاريع تطوير أداء مرتبطة بحالة السيارة والوقود والاستخدام والقطع الداعمة لدى ديجي-تك في القوز، دبي.</x:v>
      </x:c>
      <x:c r="L678" s="6" t="str">
        <x:v>Retain pending evidence; no specific content edit justified by this export.</x:v>
      </x:c>
      <x:c r="M678" s="6" t="str">
        <x:v>Retain; inspect relevant context before adding links</x:v>
      </x:c>
      <x:c r="N678" s="6" t="str">
        <x:v>Unconfirmed — no query/page pairing</x:v>
      </x:c>
      <x:c r="O678" s="6" t="str">
        <x:v>Retain established booking / WhatsApp / call path; live behaviour untested</x:v>
      </x:c>
      <x:c r="P678" s="6" t="str">
        <x:v>Retain canonical and indexation policy pending a live check.</x:v>
      </x:c>
      <x:c r="Q678" s="6" t="str">
        <x:v>Proposed; no website change made</x:v>
      </x:c>
      <x:c r="R678" s="14" t="n">
        <x:v>0</x:v>
      </x:c>
      <x:c r="S678" s="14" t="n">
        <x:v>3</x:v>
      </x:c>
      <x:c r="T678" s="15" t="n">
        <x:v>0</x:v>
      </x:c>
      <x:c r="U678" s="16" t="n">
        <x:v>12.33</x:v>
      </x:c>
      <x:c r="V678" s="6" t="str">
        <x:v>https://digitecme.com/ar/tuning</x:v>
      </x:c>
      <x:c r="W678" s="6" t="str">
        <x:v>Indexable directive</x:v>
      </x:c>
      <x:c r="X678" s="6" t="n">
        <x:v>669</x:v>
      </x:c>
      <x:c r="Y678" s="6" t="str">
        <x:v>برمجة وتطوير أداء السيارات في دبي | ديجي-تك</x:v>
      </x:c>
      <x:c r="Z678" s="6" t="str"/>
      <x:c r="AA678" s="6" t="str">
        <x:v>No / not compared</x:v>
      </x:c>
    </x:row>
    <x:row r="679" ht="42" customHeight="1">
      <x:c r="A679" s="6" t="str">
        <x:v>https://digitecme.com/ar/vrx</x:v>
      </x:c>
      <x:c r="B679" s="6" t="str"/>
      <x:c r="C679" s="6" t="str"/>
      <x:c r="D679" s="6" t="str">
        <x:v>vrx</x:v>
      </x:c>
      <x:c r="E679" s="6" t="str">
        <x:v>Retain differentiated role</x:v>
      </x:c>
      <x:c r="F679" s="6" t="str">
        <x:v>Local source render; live version unverified</x:v>
      </x:c>
      <x:c r="G679" s="6" t="str">
        <x:v>استشارة Mercedes V-Class VRX في دبي | ديجي-تك</x:v>
      </x:c>
      <x:c r="H679" s="6" t="str">
        <x:v>استشارة Mercedes V-Class VRX في دبي | ديجي-تك</x:v>
      </x:c>
      <x:c r="I679" s="6" t="str">
        <x:v>Mercedes V-Class VRX Consultation</x:v>
      </x:c>
      <x:c r="J679" s="6" t="str">
        <x:v>Mercedes V-Class VRX Consultation</x:v>
      </x:c>
      <x:c r="K679" s="6" t="str">
        <x:v>احجز فحصاً واستشارة خاصة بسيارة Mercedes V-Class لمشروع VRX لدى ديجي-تك في القوز بدبي. يُحدد نطاق العمل بعد مراجعة السيارة والطلب.</x:v>
      </x:c>
      <x:c r="L679" s="6" t="str">
        <x:v>Retain pending evidence; no specific content edit justified by this export.</x:v>
      </x:c>
      <x:c r="M679" s="6" t="str">
        <x:v>Retain; inspect relevant context before adding links</x:v>
      </x:c>
      <x:c r="N679" s="6" t="str">
        <x:v>Unconfirmed — no query/page pairing</x:v>
      </x:c>
      <x:c r="O679" s="6" t="str">
        <x:v>Retain established booking / WhatsApp / call path; live behaviour untested</x:v>
      </x:c>
      <x:c r="P679" s="6" t="str">
        <x:v>Retain canonical and indexation policy pending a live check.</x:v>
      </x:c>
      <x:c r="Q679" s="6" t="str">
        <x:v>Proposed; no website change made</x:v>
      </x:c>
      <x:c r="R679" s="14" t="n">
        <x:v>0</x:v>
      </x:c>
      <x:c r="S679" s="14" t="n">
        <x:v>5</x:v>
      </x:c>
      <x:c r="T679" s="15" t="n">
        <x:v>0</x:v>
      </x:c>
      <x:c r="U679" s="16" t="n">
        <x:v>6.4</x:v>
      </x:c>
      <x:c r="V679" s="6" t="str">
        <x:v>https://digitecme.com/ar/vrx</x:v>
      </x:c>
      <x:c r="W679" s="6" t="str">
        <x:v>Indexable directive</x:v>
      </x:c>
      <x:c r="X679" s="6" t="n">
        <x:v>669</x:v>
      </x:c>
      <x:c r="Y679" s="6" t="str">
        <x:v>استشارة Mercedes V-Class VRX في دبي | ديجي-تك</x:v>
      </x:c>
      <x:c r="Z679" s="6" t="str"/>
      <x:c r="AA679" s="6" t="str">
        <x:v>No / not compared</x:v>
      </x:c>
    </x:row>
    <x:row r="680" ht="42" customHeight="1">
      <x:c r="A680" s="6" t="str">
        <x:v>https://digitecme.com/best-audi-workshop-dubai</x:v>
      </x:c>
      <x:c r="B680" s="6" t="str"/>
      <x:c r="C680" s="6" t="str"/>
      <x:c r="D680" s="6" t="str">
        <x:v>workshop-guide</x:v>
      </x:c>
      <x:c r="E680" s="6" t="str">
        <x:v>Retain differentiated role</x:v>
      </x:c>
      <x:c r="F680" s="6" t="str">
        <x:v>Local source render; live version unverified</x:v>
      </x:c>
      <x:c r="G680" s="6" t="str">
        <x:v>Audi Service &amp; Repair Workshop Dubai | Digi-Tec</x:v>
      </x:c>
      <x:c r="H680" s="6" t="str">
        <x:v>Audi Service &amp; Repair Workshop Dubai | Digi-Tec</x:v>
      </x:c>
      <x:c r="I680" s="6" t="str">
        <x:v>Audi Service &amp; Repair Workshop in Dubai</x:v>
      </x:c>
      <x:c r="J680" s="6" t="str">
        <x:v>Audi Service &amp; Repair Workshop in Dubai</x:v>
      </x:c>
      <x:c r="K680" s="6" t="str">
        <x:v>Independent Audi inspection, maintenance and repair for A, Q, S, RS and R8 models in Al Quoz, Dubai. Digi-Tec was established in 2002.</x:v>
      </x:c>
      <x:c r="L680" s="6" t="str">
        <x:v>Retain pending evidence; no specific content edit justified by this export.</x:v>
      </x:c>
      <x:c r="M680" s="6" t="str">
        <x:v>Retain; inspect relevant context before adding links</x:v>
      </x:c>
      <x:c r="N680" s="6" t="str">
        <x:v>Unconfirmed — no query/page pairing</x:v>
      </x:c>
      <x:c r="O680" s="6" t="str">
        <x:v>Retain established booking / WhatsApp / call path; live behaviour untested</x:v>
      </x:c>
      <x:c r="P680" s="6" t="str">
        <x:v>Retain canonical and indexation policy pending a live check.</x:v>
      </x:c>
      <x:c r="Q680" s="6" t="str">
        <x:v>Proposed; no website change made</x:v>
      </x:c>
      <x:c r="R680" s="14" t="n">
        <x:v>1</x:v>
      </x:c>
      <x:c r="S680" s="14" t="n">
        <x:v>113</x:v>
      </x:c>
      <x:c r="T680" s="15" t="n">
        <x:v>0.0088</x:v>
      </x:c>
      <x:c r="U680" s="16" t="n">
        <x:v>15.66</x:v>
      </x:c>
      <x:c r="V680" s="6" t="str">
        <x:v>https://digitecme.com/best-audi-workshop-dubai</x:v>
      </x:c>
      <x:c r="W680" s="6" t="str">
        <x:v>Indexable directive</x:v>
      </x:c>
      <x:c r="X680" s="6" t="n">
        <x:v>11</x:v>
      </x:c>
      <x:c r="Y680" s="6" t="str">
        <x:v>Audi Service &amp; Repair Workshop Dubai | Digi-Tec</x:v>
      </x:c>
      <x:c r="Z680" s="6" t="str"/>
      <x:c r="AA680" s="6" t="str">
        <x:v>No / not compared</x:v>
      </x:c>
    </x:row>
    <x:row r="681" ht="57" customHeight="1">
      <x:c r="A681" s="6" t="str">
        <x:v>https://digitecme.com/best-bmw-workshop-dubai</x:v>
      </x:c>
      <x:c r="B681" s="6" t="str"/>
      <x:c r="C681" s="6" t="str"/>
      <x:c r="D681" s="6" t="str">
        <x:v>workshop-guide</x:v>
      </x:c>
      <x:c r="E681" s="6" t="str">
        <x:v>Retain differentiated role</x:v>
      </x:c>
      <x:c r="F681" s="6" t="str">
        <x:v>Local source render; live version unverified</x:v>
      </x:c>
      <x:c r="G681" s="6" t="str">
        <x:v>BMW Service &amp; Repair Workshop Dubai | Digi-Tec</x:v>
      </x:c>
      <x:c r="H681" s="6" t="str">
        <x:v>BMW Service &amp; Repair Workshop Dubai | Digi-Tec</x:v>
      </x:c>
      <x:c r="I681" s="6" t="str">
        <x:v>BMW Service &amp; Repair Workshop in Dubai</x:v>
      </x:c>
      <x:c r="J681" s="6" t="str">
        <x:v>BMW Service &amp; Repair Workshop in Dubai</x:v>
      </x:c>
      <x:c r="K681" s="6" t="str">
        <x:v>Independent BMW inspection, maintenance and repair for models including 3 Series, 5 Series, X5 and BMW M in Al Quoz, Dubai. Established in 2002.</x:v>
      </x:c>
      <x:c r="L681" s="6" t="str">
        <x:v>Retain pending evidence; no specific content edit justified by this export.</x:v>
      </x:c>
      <x:c r="M681" s="6" t="str">
        <x:v>Retain; inspect relevant context before adding links</x:v>
      </x:c>
      <x:c r="N681" s="6" t="str">
        <x:v>Unconfirmed — no query/page pairing</x:v>
      </x:c>
      <x:c r="O681" s="6" t="str">
        <x:v>Retain established booking / WhatsApp / call path; live behaviour untested</x:v>
      </x:c>
      <x:c r="P681" s="6" t="str">
        <x:v>Retain canonical and indexation policy pending a live check.</x:v>
      </x:c>
      <x:c r="Q681" s="6" t="str">
        <x:v>Proposed; no website change made</x:v>
      </x:c>
      <x:c r="R681" s="14" t="n">
        <x:v>3</x:v>
      </x:c>
      <x:c r="S681" s="14" t="n">
        <x:v>751</x:v>
      </x:c>
      <x:c r="T681" s="15" t="n">
        <x:v>0.004</x:v>
      </x:c>
      <x:c r="U681" s="16" t="n">
        <x:v>24.73</x:v>
      </x:c>
      <x:c r="V681" s="6" t="str">
        <x:v>https://digitecme.com/best-bmw-workshop-dubai</x:v>
      </x:c>
      <x:c r="W681" s="6" t="str">
        <x:v>Indexable directive</x:v>
      </x:c>
      <x:c r="X681" s="6" t="n">
        <x:v>10</x:v>
      </x:c>
      <x:c r="Y681" s="6" t="str">
        <x:v>BMW Service &amp; Repair Workshop Dubai | Digi-Tec</x:v>
      </x:c>
      <x:c r="Z681" s="6" t="str"/>
      <x:c r="AA681" s="6" t="str">
        <x:v>No / not compared</x:v>
      </x:c>
    </x:row>
    <x:row r="682" ht="42" customHeight="1">
      <x:c r="A682" s="6" t="str">
        <x:v>https://digitecme.com/best-car-workshop-dubai</x:v>
      </x:c>
      <x:c r="B682" s="6" t="str"/>
      <x:c r="C682" s="6" t="str"/>
      <x:c r="D682" s="6" t="str">
        <x:v>workshop-guide</x:v>
      </x:c>
      <x:c r="E682" s="6" t="str">
        <x:v>Retain differentiated role</x:v>
      </x:c>
      <x:c r="F682" s="6" t="str">
        <x:v>Local source render; live version unverified</x:v>
      </x:c>
      <x:c r="G682" s="6" t="str">
        <x:v>European &amp; Luxury Car Workshop Dubai | Digi-Tec</x:v>
      </x:c>
      <x:c r="H682" s="6" t="str">
        <x:v>European &amp; Luxury Car Workshop Dubai | Digi-Tec</x:v>
      </x:c>
      <x:c r="I682" s="6" t="str">
        <x:v>Independent European &amp; Luxury Car Workshop in Dubai</x:v>
      </x:c>
      <x:c r="J682" s="6" t="str">
        <x:v>Independent European &amp; Luxury Car Workshop in Dubai</x:v>
      </x:c>
      <x:c r="K682" s="6" t="str">
        <x:v>Independent European and luxury car inspection, service and repair in Al Quoz, Dubai. Digi-Tec Performance Center was established in 2002.</x:v>
      </x:c>
      <x:c r="L682" s="6" t="str">
        <x:v>Retain pending evidence; no specific content edit justified by this export.</x:v>
      </x:c>
      <x:c r="M682" s="6" t="str">
        <x:v>Retain; inspect relevant context before adding links</x:v>
      </x:c>
      <x:c r="N682" s="6" t="str">
        <x:v>Unconfirmed — no query/page pairing</x:v>
      </x:c>
      <x:c r="O682" s="6" t="str">
        <x:v>Retain established booking / WhatsApp / call path; live behaviour untested</x:v>
      </x:c>
      <x:c r="P682" s="6" t="str">
        <x:v>Retain canonical and indexation policy pending a live check.</x:v>
      </x:c>
      <x:c r="Q682" s="6" t="str">
        <x:v>Proposed; no website change made</x:v>
      </x:c>
      <x:c r="R682" s="14" t="n">
        <x:v>0</x:v>
      </x:c>
      <x:c r="S682" s="14" t="n">
        <x:v>69</x:v>
      </x:c>
      <x:c r="T682" s="15" t="n">
        <x:v>0</x:v>
      </x:c>
      <x:c r="U682" s="16" t="n">
        <x:v>44.14</x:v>
      </x:c>
      <x:c r="V682" s="6" t="str">
        <x:v>https://digitecme.com/best-car-workshop-dubai</x:v>
      </x:c>
      <x:c r="W682" s="6" t="str">
        <x:v>Indexable directive</x:v>
      </x:c>
      <x:c r="X682" s="6" t="n">
        <x:v>10</x:v>
      </x:c>
      <x:c r="Y682" s="6" t="str">
        <x:v>European &amp; Luxury Car Workshop Dubai | Digi-Tec</x:v>
      </x:c>
      <x:c r="Z682" s="6" t="str"/>
      <x:c r="AA682" s="6" t="str">
        <x:v>No / not compared</x:v>
      </x:c>
    </x:row>
    <x:row r="683" ht="57" customHeight="1">
      <x:c r="A683" s="6" t="str">
        <x:v>https://digitecme.com/best-ferrari-workshop-dubai</x:v>
      </x:c>
      <x:c r="B683" s="6" t="str"/>
      <x:c r="C683" s="6" t="str"/>
      <x:c r="D683" s="6" t="str">
        <x:v>workshop-guide</x:v>
      </x:c>
      <x:c r="E683" s="6" t="str">
        <x:v>Retain differentiated role</x:v>
      </x:c>
      <x:c r="F683" s="6" t="str">
        <x:v>Local source render; live version unverified</x:v>
      </x:c>
      <x:c r="G683" s="6" t="str">
        <x:v>Choosing a Ferrari Workshop Dubai | Owner Checklist</x:v>
      </x:c>
      <x:c r="H683" s="6" t="str">
        <x:v>Choosing a Ferrari Workshop Dubai | Owner Checklist</x:v>
      </x:c>
      <x:c r="I683" s="6" t="str">
        <x:v>How to Choose an Independent Ferrari Workshop in Dubai</x:v>
      </x:c>
      <x:c r="J683" s="6" t="str">
        <x:v>How to Choose an Independent Ferrari Workshop in Dubai</x:v>
      </x:c>
      <x:c r="K683" s="6" t="str">
        <x:v>A practical checklist for choosing an independent Ferrari workshop in Dubai: model-specific diagnostics, documented findings, parts clarity and repair approval.</x:v>
      </x:c>
      <x:c r="L683" s="6" t="str">
        <x:v>Retain pending evidence; no specific content edit justified by this export.</x:v>
      </x:c>
      <x:c r="M683" s="6" t="str">
        <x:v>Retain; inspect relevant context before adding links</x:v>
      </x:c>
      <x:c r="N683" s="6" t="str">
        <x:v>Unconfirmed — no query/page pairing</x:v>
      </x:c>
      <x:c r="O683" s="6" t="str">
        <x:v>Retain established booking / WhatsApp / call path; live behaviour untested</x:v>
      </x:c>
      <x:c r="P683" s="6" t="str">
        <x:v>Retain canonical and indexation policy pending a live check.</x:v>
      </x:c>
      <x:c r="Q683" s="6" t="str">
        <x:v>Proposed; no website change made</x:v>
      </x:c>
      <x:c r="R683" s="14" t="n">
        <x:v>2</x:v>
      </x:c>
      <x:c r="S683" s="14" t="n">
        <x:v>399</x:v>
      </x:c>
      <x:c r="T683" s="15" t="n">
        <x:v>0.005</x:v>
      </x:c>
      <x:c r="U683" s="16" t="n">
        <x:v>44.28</x:v>
      </x:c>
      <x:c r="V683" s="6" t="str">
        <x:v>https://digitecme.com/best-ferrari-workshop-dubai</x:v>
      </x:c>
      <x:c r="W683" s="6" t="str">
        <x:v>Indexable directive</x:v>
      </x:c>
      <x:c r="X683" s="6" t="n">
        <x:v>10</x:v>
      </x:c>
      <x:c r="Y683" s="6" t="str">
        <x:v>Choosing a Ferrari Workshop Dubai | Owner Checklist</x:v>
      </x:c>
      <x:c r="Z683" s="6" t="str"/>
      <x:c r="AA683" s="6" t="str">
        <x:v>No / not compared</x:v>
      </x:c>
    </x:row>
    <x:row r="684" ht="57" customHeight="1">
      <x:c r="A684" s="6" t="str">
        <x:v>https://digitecme.com/best-lamborghini-workshop-dubai</x:v>
      </x:c>
      <x:c r="B684" s="6" t="str"/>
      <x:c r="C684" s="6" t="str"/>
      <x:c r="D684" s="6" t="str">
        <x:v>workshop-guide</x:v>
      </x:c>
      <x:c r="E684" s="6" t="str">
        <x:v>Retain differentiated role</x:v>
      </x:c>
      <x:c r="F684" s="6" t="str">
        <x:v>Local source render; live version unverified</x:v>
      </x:c>
      <x:c r="G684" s="6" t="str">
        <x:v>Choosing a Lamborghini Workshop Dubai | Owner Checklist</x:v>
      </x:c>
      <x:c r="H684" s="6" t="str">
        <x:v>Choosing a Lamborghini Workshop Dubai | Owner Checklist</x:v>
      </x:c>
      <x:c r="I684" s="6" t="str">
        <x:v>How to Choose an Independent Lamborghini Workshop in Dubai</x:v>
      </x:c>
      <x:c r="J684" s="6" t="str">
        <x:v>How to Choose an Independent Lamborghini Workshop in Dubai</x:v>
      </x:c>
      <x:c r="K684" s="6" t="str">
        <x:v>Compare independent Lamborghini workshops in Dubai by model-specific assessment, diagnostic scope, estimate clarity, parts options and approval process.</x:v>
      </x:c>
      <x:c r="L684" s="6" t="str">
        <x:v>Retain pending evidence; no specific content edit justified by this export.</x:v>
      </x:c>
      <x:c r="M684" s="6" t="str">
        <x:v>Retain; inspect relevant context before adding links</x:v>
      </x:c>
      <x:c r="N684" s="6" t="str">
        <x:v>Unconfirmed — no query/page pairing</x:v>
      </x:c>
      <x:c r="O684" s="6" t="str">
        <x:v>Retain established booking / WhatsApp / call path; live behaviour untested</x:v>
      </x:c>
      <x:c r="P684" s="6" t="str">
        <x:v>Retain canonical and indexation policy pending a live check.</x:v>
      </x:c>
      <x:c r="Q684" s="6" t="str">
        <x:v>Proposed; no website change made</x:v>
      </x:c>
      <x:c r="R684" s="14" t="n">
        <x:v>1</x:v>
      </x:c>
      <x:c r="S684" s="14" t="n">
        <x:v>434</x:v>
      </x:c>
      <x:c r="T684" s="15" t="n">
        <x:v>0.0023</x:v>
      </x:c>
      <x:c r="U684" s="16" t="n">
        <x:v>21.01</x:v>
      </x:c>
      <x:c r="V684" s="6" t="str">
        <x:v>https://digitecme.com/best-lamborghini-workshop-dubai</x:v>
      </x:c>
      <x:c r="W684" s="6" t="str">
        <x:v>Indexable directive</x:v>
      </x:c>
      <x:c r="X684" s="6" t="n">
        <x:v>11</x:v>
      </x:c>
      <x:c r="Y684" s="6" t="str">
        <x:v>Choosing a Lamborghini Workshop Dubai | Owner Checklist</x:v>
      </x:c>
      <x:c r="Z684" s="6" t="str"/>
      <x:c r="AA684" s="6" t="str">
        <x:v>No / not compared</x:v>
      </x:c>
    </x:row>
    <x:row r="685" ht="42" customHeight="1">
      <x:c r="A685" s="6" t="str">
        <x:v>https://digitecme.com/best-mercedes-workshop-dubai</x:v>
      </x:c>
      <x:c r="B685" s="6" t="str"/>
      <x:c r="C685" s="6" t="str"/>
      <x:c r="D685" s="6" t="str">
        <x:v>Historical URL</x:v>
      </x:c>
      <x:c r="E685" s="6" t="str">
        <x:v>Verify historical URL</x:v>
      </x:c>
      <x:c r="F685" s="6" t="str">
        <x:v>Historical GSC URL; current page unverified</x:v>
      </x:c>
      <x:c r="G685" s="6" t="str">
        <x:v>Not verified</x:v>
      </x:c>
      <x:c r="H685" s="6" t="str">
        <x:v>Not verified</x:v>
      </x:c>
      <x:c r="I685" s="6" t="str">
        <x:v>Not verified</x:v>
      </x:c>
      <x:c r="J685" s="6" t="str">
        <x:v>Not verified</x:v>
      </x:c>
      <x:c r="K685" s="6" t="str">
        <x:v>Not verified</x:v>
      </x:c>
      <x:c r="L685" s="6" t="str">
        <x:v>Verify current HTTP response, canonical destination and URL history before changing or consolidating.</x:v>
      </x:c>
      <x:c r="M685" s="6" t="str">
        <x:v>Retain; inspect relevant context before adding links</x:v>
      </x:c>
      <x:c r="N685" s="6" t="str">
        <x:v>Unconfirmed — no query/page pairing</x:v>
      </x:c>
      <x:c r="O685" s="6" t="str">
        <x:v>Retain established booking / WhatsApp / call path; live behaviour untested</x:v>
      </x:c>
      <x:c r="P685" s="6" t="str">
        <x:v>Inspect live routing and canonical; do not infer a redirect from the URL shape.</x:v>
      </x:c>
      <x:c r="Q685" s="6" t="str">
        <x:v>Proposed; no website change made</x:v>
      </x:c>
      <x:c r="R685" s="14" t="n">
        <x:v>3</x:v>
      </x:c>
      <x:c r="S685" s="14" t="n">
        <x:v>186</x:v>
      </x:c>
      <x:c r="T685" s="15" t="n">
        <x:v>0.0161</x:v>
      </x:c>
      <x:c r="U685" s="16" t="n">
        <x:v>12.05</x:v>
      </x:c>
      <x:c r="V685" s="6" t="str">
        <x:v>Not verified</x:v>
      </x:c>
      <x:c r="W685" s="6" t="str">
        <x:v>Not verified</x:v>
      </x:c>
      <x:c r="X685" s="6"/>
      <x:c r="Y685" s="6" t="str"/>
      <x:c r="Z685" s="6" t="str"/>
      <x:c r="AA685" s="6" t="str">
        <x:v>No / not compared</x:v>
      </x:c>
    </x:row>
    <x:row r="686" ht="57" customHeight="1">
      <x:c r="A686" s="6" t="str">
        <x:v>https://digitecme.com/best-porsche-workshop-dubai</x:v>
      </x:c>
      <x:c r="B686" s="6" t="str"/>
      <x:c r="C686" s="6" t="str"/>
      <x:c r="D686" s="6" t="str">
        <x:v>workshop-guide</x:v>
      </x:c>
      <x:c r="E686" s="6" t="str">
        <x:v>Retain differentiated role</x:v>
      </x:c>
      <x:c r="F686" s="6" t="str">
        <x:v>Local source render; live version unverified</x:v>
      </x:c>
      <x:c r="G686" s="6" t="str">
        <x:v>Porsche Service &amp; Repair Workshop Dubai | Digi-Tec</x:v>
      </x:c>
      <x:c r="H686" s="6" t="str">
        <x:v>Porsche Service &amp; Repair Workshop Dubai | Digi-Tec</x:v>
      </x:c>
      <x:c r="I686" s="6" t="str">
        <x:v>Porsche Service &amp; Repair Workshop in Dubai</x:v>
      </x:c>
      <x:c r="J686" s="6" t="str">
        <x:v>Porsche Service &amp; Repair Workshop in Dubai</x:v>
      </x:c>
      <x:c r="K686" s="6" t="str">
        <x:v>Independent Porsche inspection, maintenance and repair for 911, Cayenne, Panamera, Macan and other models in Al Quoz, Dubai. Established in 2002.</x:v>
      </x:c>
      <x:c r="L686" s="6" t="str">
        <x:v>Retain pending evidence; no specific content edit justified by this export.</x:v>
      </x:c>
      <x:c r="M686" s="6" t="str">
        <x:v>Retain; inspect relevant context before adding links</x:v>
      </x:c>
      <x:c r="N686" s="6" t="str">
        <x:v>Unconfirmed — no query/page pairing</x:v>
      </x:c>
      <x:c r="O686" s="6" t="str">
        <x:v>Retain established booking / WhatsApp / call path; live behaviour untested</x:v>
      </x:c>
      <x:c r="P686" s="6" t="str">
        <x:v>Retain canonical and indexation policy pending a live check.</x:v>
      </x:c>
      <x:c r="Q686" s="6" t="str">
        <x:v>Proposed; no website change made</x:v>
      </x:c>
      <x:c r="R686" s="14" t="n">
        <x:v>0</x:v>
      </x:c>
      <x:c r="S686" s="14" t="n">
        <x:v>768</x:v>
      </x:c>
      <x:c r="T686" s="15" t="n">
        <x:v>0</x:v>
      </x:c>
      <x:c r="U686" s="16" t="n">
        <x:v>55.58</x:v>
      </x:c>
      <x:c r="V686" s="6" t="str">
        <x:v>https://digitecme.com/best-porsche-workshop-dubai</x:v>
      </x:c>
      <x:c r="W686" s="6" t="str">
        <x:v>Indexable directive</x:v>
      </x:c>
      <x:c r="X686" s="6" t="n">
        <x:v>10</x:v>
      </x:c>
      <x:c r="Y686" s="6" t="str">
        <x:v>Porsche Service &amp; Repair Workshop Dubai | Digi-Tec</x:v>
      </x:c>
      <x:c r="Z686" s="6" t="str"/>
      <x:c r="AA686" s="6" t="str">
        <x:v>No / not compared</x:v>
      </x:c>
    </x:row>
    <x:row r="687" ht="57" customHeight="1">
      <x:c r="A687" s="6" t="str">
        <x:v>https://digitecme.com/best-range-rover-workshop-dubai</x:v>
      </x:c>
      <x:c r="B687" s="6" t="str"/>
      <x:c r="C687" s="6" t="str"/>
      <x:c r="D687" s="6" t="str">
        <x:v>workshop-guide</x:v>
      </x:c>
      <x:c r="E687" s="6" t="str">
        <x:v>Retain differentiated role</x:v>
      </x:c>
      <x:c r="F687" s="6" t="str">
        <x:v>Local source render; live version unverified</x:v>
      </x:c>
      <x:c r="G687" s="6" t="str">
        <x:v>Range Rover Service &amp; Repair Workshop Dubai | Digi-Tec</x:v>
      </x:c>
      <x:c r="H687" s="6" t="str">
        <x:v>Range Rover Service &amp; Repair Workshop Dubai | Digi-Tec</x:v>
      </x:c>
      <x:c r="I687" s="6" t="str">
        <x:v>Range Rover Service &amp; Repair Workshop in Dubai</x:v>
      </x:c>
      <x:c r="J687" s="6" t="str">
        <x:v>Range Rover Service &amp; Repair Workshop in Dubai</x:v>
      </x:c>
      <x:c r="K687" s="6" t="str">
        <x:v>Compare a specialist Range Rover workshop in Dubai for Vogue, Sport, Velar and Evoque. JLR diagnostics, air suspension expertise and service in Al Quoz.</x:v>
      </x:c>
      <x:c r="L687" s="6" t="str">
        <x:v>Retain pending evidence; no specific content edit justified by this export.</x:v>
      </x:c>
      <x:c r="M687" s="6" t="str">
        <x:v>Retain; inspect relevant context before adding links</x:v>
      </x:c>
      <x:c r="N687" s="6" t="str">
        <x:v>Unconfirmed — no query/page pairing</x:v>
      </x:c>
      <x:c r="O687" s="6" t="str">
        <x:v>Retain established booking / WhatsApp / call path; live behaviour untested</x:v>
      </x:c>
      <x:c r="P687" s="6" t="str">
        <x:v>Retain canonical and indexation policy pending a live check.</x:v>
      </x:c>
      <x:c r="Q687" s="6" t="str">
        <x:v>Proposed; no website change made</x:v>
      </x:c>
      <x:c r="R687" s="14" t="n">
        <x:v>1</x:v>
      </x:c>
      <x:c r="S687" s="14" t="n">
        <x:v>140</x:v>
      </x:c>
      <x:c r="T687" s="15" t="n">
        <x:v>0.0070999999999999995</x:v>
      </x:c>
      <x:c r="U687" s="16" t="n">
        <x:v>53.4</x:v>
      </x:c>
      <x:c r="V687" s="6" t="str">
        <x:v>https://digitecme.com/best-range-rover-workshop-dubai</x:v>
      </x:c>
      <x:c r="W687" s="6" t="str">
        <x:v>Indexable directive</x:v>
      </x:c>
      <x:c r="X687" s="6" t="n">
        <x:v>11</x:v>
      </x:c>
      <x:c r="Y687" s="6" t="str">
        <x:v>Range Rover Service &amp; Repair Workshop Dubai | Digi-Tec</x:v>
      </x:c>
      <x:c r="Z687" s="6" t="str"/>
      <x:c r="AA687" s="6" t="str">
        <x:v>No / not compared</x:v>
      </x:c>
    </x:row>
    <x:row r="688" ht="42" customHeight="1">
      <x:c r="A688" s="6" t="str">
        <x:v>https://digitecme.com/blog</x:v>
      </x:c>
      <x:c r="B688" s="6" t="str"/>
      <x:c r="C688" s="6" t="str"/>
      <x:c r="D688" s="6" t="str">
        <x:v>blog-hub</x:v>
      </x:c>
      <x:c r="E688" s="6" t="str">
        <x:v>Retain differentiated role</x:v>
      </x:c>
      <x:c r="F688" s="6" t="str">
        <x:v>Local source render; live version unverified</x:v>
      </x:c>
      <x:c r="G688" s="6" t="str">
        <x:v>Automotive Blog Dubai | Digitec Performance Center</x:v>
      </x:c>
      <x:c r="H688" s="6" t="str">
        <x:v>Automotive Blog Dubai | Digitec Performance Center</x:v>
      </x:c>
      <x:c r="I688" s="6" t="str">
        <x:v>The Digitec Journal</x:v>
      </x:c>
      <x:c r="J688" s="6" t="str">
        <x:v>The Digitec Journal</x:v>
      </x:c>
      <x:c r="K688" s="6" t="str">
        <x:v>Expert insights on Mercedes service, GAD tuning, ceramic coating, and luxury car care in Dubai from Digitec Performance Center.</x:v>
      </x:c>
      <x:c r="L688" s="6" t="str">
        <x:v>Retain pending evidence; no specific content edit justified by this export.</x:v>
      </x:c>
      <x:c r="M688" s="6" t="str">
        <x:v>Retain; inspect relevant context before adding links</x:v>
      </x:c>
      <x:c r="N688" s="6" t="str">
        <x:v>Unconfirmed — no query/page pairing</x:v>
      </x:c>
      <x:c r="O688" s="6" t="str">
        <x:v>Retain established booking / WhatsApp / call path; live behaviour untested</x:v>
      </x:c>
      <x:c r="P688" s="6" t="str">
        <x:v>Retain canonical and indexation policy pending a live check.</x:v>
      </x:c>
      <x:c r="Q688" s="6" t="str">
        <x:v>Proposed; no website change made</x:v>
      </x:c>
      <x:c r="R688" s="14" t="n">
        <x:v>0</x:v>
      </x:c>
      <x:c r="S688" s="14" t="n">
        <x:v>74</x:v>
      </x:c>
      <x:c r="T688" s="15" t="n">
        <x:v>0</x:v>
      </x:c>
      <x:c r="U688" s="16" t="n">
        <x:v>18.41</x:v>
      </x:c>
      <x:c r="V688" s="6" t="str">
        <x:v>https://digitecme.com/blog</x:v>
      </x:c>
      <x:c r="W688" s="6" t="str">
        <x:v>Indexable directive</x:v>
      </x:c>
      <x:c r="X688" s="6" t="n">
        <x:v>771</x:v>
      </x:c>
      <x:c r="Y688" s="6" t="str">
        <x:v>Automotive Blog Dubai | Digitec Performance Center</x:v>
      </x:c>
      <x:c r="Z688" s="6" t="str"/>
      <x:c r="AA688" s="6" t="str">
        <x:v>No / not compared</x:v>
      </x:c>
    </x:row>
    <x:row r="689" ht="57" customHeight="1">
      <x:c r="A689" s="6" t="str">
        <x:v>https://digitecme.com/blog/air-suspension-repair-dubai-guide</x:v>
      </x:c>
      <x:c r="B689" s="6" t="str"/>
      <x:c r="C689" s="6" t="str"/>
      <x:c r="D689" s="6" t="str">
        <x:v>article</x:v>
      </x:c>
      <x:c r="E689" s="6" t="str">
        <x:v>Retain differentiated role</x:v>
      </x:c>
      <x:c r="F689" s="6" t="str">
        <x:v>Local source render; live version unverified</x:v>
      </x:c>
      <x:c r="G689" s="6" t="str">
        <x:v>Air Suspension Repair Dubai | Diagnosis, Leaks and Compressors</x:v>
      </x:c>
      <x:c r="H689" s="6" t="str">
        <x:v>Air Suspension Repair Dubai | Diagnosis, Leaks and Compressors</x:v>
      </x:c>
      <x:c r="I689" s="6" t="str">
        <x:v>Air Suspension Repair in Dubai: Diagnosis Before Replacement</x:v>
      </x:c>
      <x:c r="J689" s="6" t="str">
        <x:v>Air Suspension Repair in Dubai: Diagnosis Before Replacement</x:v>
      </x:c>
      <x:c r="K689" s="6" t="str">
        <x:v>Air suspension repair in Dubai explained: why springs leak in UAE heat, how faults are diagnosed with live data, and when a compressor or valve block is the real cause.</x:v>
      </x:c>
      <x:c r="L689" s="6" t="str">
        <x:v>Retain pending evidence; no specific content edit justified by this export.</x:v>
      </x:c>
      <x:c r="M689" s="6" t="str">
        <x:v>Retain; inspect relevant context before adding links</x:v>
      </x:c>
      <x:c r="N689" s="6" t="str">
        <x:v>Unconfirmed — no query/page pairing</x:v>
      </x:c>
      <x:c r="O689" s="6" t="str">
        <x:v>Retain established booking / WhatsApp / call path; live behaviour untested</x:v>
      </x:c>
      <x:c r="P689" s="6" t="str">
        <x:v>Retain canonical and indexation policy pending a live check.</x:v>
      </x:c>
      <x:c r="Q689" s="6" t="str">
        <x:v>Proposed; no website change made</x:v>
      </x:c>
      <x:c r="R689" s="14" t="n">
        <x:v>0</x:v>
      </x:c>
      <x:c r="S689" s="14" t="n">
        <x:v>19</x:v>
      </x:c>
      <x:c r="T689" s="15" t="n">
        <x:v>0</x:v>
      </x:c>
      <x:c r="U689" s="16" t="n">
        <x:v>9.84</x:v>
      </x:c>
      <x:c r="V689" s="6" t="str">
        <x:v>https://digitecme.com/blog/air-suspension-repair-dubai-guide</x:v>
      </x:c>
      <x:c r="W689" s="6" t="str">
        <x:v>Indexable directive</x:v>
      </x:c>
      <x:c r="X689" s="6" t="n">
        <x:v>4</x:v>
      </x:c>
      <x:c r="Y689" s="6" t="str">
        <x:v>Air Suspension Repair Dubai | Diagnosis, Leaks and Compressors</x:v>
      </x:c>
      <x:c r="Z689" s="6" t="str"/>
      <x:c r="AA689" s="6" t="str">
        <x:v>No / not compared</x:v>
      </x:c>
    </x:row>
    <x:row r="690" ht="57" customHeight="1">
      <x:c r="A690" s="6" t="str">
        <x:v>https://digitecme.com/blog/alfa-romeo-best-workshop-dubai</x:v>
      </x:c>
      <x:c r="B690" s="6" t="str"/>
      <x:c r="C690" s="6" t="str"/>
      <x:c r="D690" s="6" t="str">
        <x:v>article</x:v>
      </x:c>
      <x:c r="E690" s="6" t="str">
        <x:v>Retain differentiated role</x:v>
      </x:c>
      <x:c r="F690" s="6" t="str">
        <x:v>Local source render; live version unverified</x:v>
      </x:c>
      <x:c r="G690" s="6" t="str">
        <x:v>Alfa Romeo Workshop Selection Guide Dubai | DIGI-TEC</x:v>
      </x:c>
      <x:c r="H690" s="6" t="str">
        <x:v>Alfa Romeo Workshop Selection Guide Dubai | DIGI-TEC</x:v>
      </x:c>
      <x:c r="I690" s="6" t="str">
        <x:v>Choosing a Alfa Romeo Workshop in Dubai: Owner Guide</x:v>
      </x:c>
      <x:c r="J690" s="6" t="str">
        <x:v>Choosing a Alfa Romeo Workshop in Dubai: Owner Guide</x:v>
      </x:c>
      <x:c r="K690" s="6" t="str">
        <x:v>Alfa Romeo workshop in Dubai for diagnostics, maintenance and repair. Visit DIGI-TEC in Al Quoz for clear inspections, practical guidance and booking support.</x:v>
      </x:c>
      <x:c r="L690" s="6" t="str">
        <x:v>Retain pending evidence; no specific content edit justified by this export.</x:v>
      </x:c>
      <x:c r="M690" s="6" t="str">
        <x:v>Retain; inspect relevant context before adding links</x:v>
      </x:c>
      <x:c r="N690" s="6" t="str">
        <x:v>Unconfirmed — no query/page pairing</x:v>
      </x:c>
      <x:c r="O690" s="6" t="str">
        <x:v>Retain established booking / WhatsApp / call path; live behaviour untested</x:v>
      </x:c>
      <x:c r="P690" s="6" t="str">
        <x:v>Retain canonical and indexation policy pending a live check.</x:v>
      </x:c>
      <x:c r="Q690" s="6" t="str">
        <x:v>Proposed; no website change made</x:v>
      </x:c>
      <x:c r="R690" s="14" t="n">
        <x:v>0</x:v>
      </x:c>
      <x:c r="S690" s="14" t="n">
        <x:v>23</x:v>
      </x:c>
      <x:c r="T690" s="15" t="n">
        <x:v>0</x:v>
      </x:c>
      <x:c r="U690" s="16" t="n">
        <x:v>7.61</x:v>
      </x:c>
      <x:c r="V690" s="6" t="str">
        <x:v>https://digitecme.com/blog/alfa-romeo-best-workshop-dubai</x:v>
      </x:c>
      <x:c r="W690" s="6" t="str">
        <x:v>Indexable directive</x:v>
      </x:c>
      <x:c r="X690" s="6" t="n">
        <x:v>4</x:v>
      </x:c>
      <x:c r="Y690" s="6" t="str">
        <x:v>Alfa Romeo Workshop Selection Guide Dubai | DIGI-TEC</x:v>
      </x:c>
      <x:c r="Z690" s="6" t="str"/>
      <x:c r="AA690" s="6" t="str">
        <x:v>No / not compared</x:v>
      </x:c>
    </x:row>
    <x:row r="691" ht="57" customHeight="1">
      <x:c r="A691" s="6" t="str">
        <x:v>https://digitecme.com/blog/aston-martin-best-workshop-dubai</x:v>
      </x:c>
      <x:c r="B691" s="6" t="str"/>
      <x:c r="C691" s="6" t="str"/>
      <x:c r="D691" s="6" t="str">
        <x:v>article</x:v>
      </x:c>
      <x:c r="E691" s="6" t="str">
        <x:v>Retain differentiated role</x:v>
      </x:c>
      <x:c r="F691" s="6" t="str">
        <x:v>Local source render; live version unverified</x:v>
      </x:c>
      <x:c r="G691" s="6" t="str">
        <x:v>Choosing an Aston Martin Workshop Dubai | DIGI-TEC</x:v>
      </x:c>
      <x:c r="H691" s="6" t="str">
        <x:v>Choosing an Aston Martin Workshop Dubai | DIGI-TEC</x:v>
      </x:c>
      <x:c r="I691" s="6" t="str">
        <x:v>Choosing an Aston Martin Workshop in Dubai: Owner Guide</x:v>
      </x:c>
      <x:c r="J691" s="6" t="str">
        <x:v>Choosing an Aston Martin Workshop in Dubai: Owner Guide</x:v>
      </x:c>
      <x:c r="K691" s="6" t="str">
        <x:v>Compare Aston Martin workshops by diagnostic scope, model knowledge, written estimates and location. Prepare a useful enquiry before approving work.</x:v>
      </x:c>
      <x:c r="L691" s="6" t="str">
        <x:v>Retain pending evidence; no specific content edit justified by this export.</x:v>
      </x:c>
      <x:c r="M691" s="6" t="str">
        <x:v>Retain; inspect relevant context before adding links</x:v>
      </x:c>
      <x:c r="N691" s="6" t="str">
        <x:v>Unconfirmed — no query/page pairing</x:v>
      </x:c>
      <x:c r="O691" s="6" t="str">
        <x:v>Retain established booking / WhatsApp / call path; live behaviour untested</x:v>
      </x:c>
      <x:c r="P691" s="6" t="str">
        <x:v>Retain canonical and indexation policy pending a live check.</x:v>
      </x:c>
      <x:c r="Q691" s="6" t="str">
        <x:v>Proposed; no website change made</x:v>
      </x:c>
      <x:c r="R691" s="14" t="n">
        <x:v>0</x:v>
      </x:c>
      <x:c r="S691" s="14" t="n">
        <x:v>20</x:v>
      </x:c>
      <x:c r="T691" s="15" t="n">
        <x:v>0</x:v>
      </x:c>
      <x:c r="U691" s="16" t="n">
        <x:v>7.05</x:v>
      </x:c>
      <x:c r="V691" s="6" t="str">
        <x:v>https://digitecme.com/blog/aston-martin-best-workshop-dubai</x:v>
      </x:c>
      <x:c r="W691" s="6" t="str">
        <x:v>Indexable directive</x:v>
      </x:c>
      <x:c r="X691" s="6" t="n">
        <x:v>5</x:v>
      </x:c>
      <x:c r="Y691" s="6" t="str">
        <x:v>Choosing an Aston Martin Workshop Dubai | DIGI-TEC</x:v>
      </x:c>
      <x:c r="Z691" s="6" t="str"/>
      <x:c r="AA691" s="6" t="str">
        <x:v>No / not compared</x:v>
      </x:c>
    </x:row>
    <x:row r="692" ht="42" customHeight="1">
      <x:c r="A692" s="6" t="str">
        <x:v>https://digitecme.com/blog/aston-martin-db11-service-dubai-guide</x:v>
      </x:c>
      <x:c r="B692" s="6" t="str"/>
      <x:c r="C692" s="6" t="str"/>
      <x:c r="D692" s="6" t="str">
        <x:v>article</x:v>
      </x:c>
      <x:c r="E692" s="6" t="str">
        <x:v>Retain differentiated role</x:v>
      </x:c>
      <x:c r="F692" s="6" t="str">
        <x:v>Local source render; live version unverified</x:v>
      </x:c>
      <x:c r="G692" s="6" t="str">
        <x:v>Aston Martin DB11 Service Dubai | Maintenance Guide</x:v>
      </x:c>
      <x:c r="H692" s="6" t="str">
        <x:v>Aston Martin DB11 Service Dubai | Maintenance Guide</x:v>
      </x:c>
      <x:c r="I692" s="6" t="str">
        <x:v>Aston Martin DB11 Service in Dubai: Owner Guide</x:v>
      </x:c>
      <x:c r="J692" s="6" t="str">
        <x:v>Aston Martin DB11 Service in Dubai: Owner Guide</x:v>
      </x:c>
      <x:c r="K692" s="6" t="str">
        <x:v>Aston Martin DB11 service in Dubai: oil specification, cooling, brakes, gearbox fluid, electronics and diagnostics explained for owners.</x:v>
      </x:c>
      <x:c r="L692" s="6" t="str">
        <x:v>Retain pending evidence; no specific content edit justified by this export.</x:v>
      </x:c>
      <x:c r="M692" s="6" t="str">
        <x:v>Retain; inspect relevant context before adding links</x:v>
      </x:c>
      <x:c r="N692" s="6" t="str">
        <x:v>Unconfirmed — no query/page pairing</x:v>
      </x:c>
      <x:c r="O692" s="6" t="str">
        <x:v>Retain established booking / WhatsApp / call path; live behaviour untested</x:v>
      </x:c>
      <x:c r="P692" s="6" t="str">
        <x:v>Retain canonical and indexation policy pending a live check.</x:v>
      </x:c>
      <x:c r="Q692" s="6" t="str">
        <x:v>Proposed; no website change made</x:v>
      </x:c>
      <x:c r="R692" s="14" t="n">
        <x:v>0</x:v>
      </x:c>
      <x:c r="S692" s="14" t="n">
        <x:v>8</x:v>
      </x:c>
      <x:c r="T692" s="15" t="n">
        <x:v>0</x:v>
      </x:c>
      <x:c r="U692" s="16" t="n">
        <x:v>5.62</x:v>
      </x:c>
      <x:c r="V692" s="6" t="str">
        <x:v>https://digitecme.com/blog/aston-martin-db11-service-dubai-guide</x:v>
      </x:c>
      <x:c r="W692" s="6" t="str">
        <x:v>Indexable directive</x:v>
      </x:c>
      <x:c r="X692" s="6" t="n">
        <x:v>6</x:v>
      </x:c>
      <x:c r="Y692" s="6" t="str">
        <x:v>Aston Martin DB11 Service Dubai | Maintenance Guide</x:v>
      </x:c>
      <x:c r="Z692" s="6" t="str"/>
      <x:c r="AA692" s="6" t="str">
        <x:v>No / not compared</x:v>
      </x:c>
    </x:row>
    <x:row r="693" ht="57" customHeight="1">
      <x:c r="A693" s="6" t="str">
        <x:v>https://digitecme.com/blog/audi-maintenance-guide-dubai</x:v>
      </x:c>
      <x:c r="B693" s="6" t="str"/>
      <x:c r="C693" s="6" t="str"/>
      <x:c r="D693" s="6" t="str">
        <x:v>article</x:v>
      </x:c>
      <x:c r="E693" s="6" t="str">
        <x:v>Retain differentiated role</x:v>
      </x:c>
      <x:c r="F693" s="6" t="str">
        <x:v>Local source render; live version unverified</x:v>
      </x:c>
      <x:c r="G693" s="6" t="str">
        <x:v>Audi Maintenance Dubai | DIGI-TEC</x:v>
      </x:c>
      <x:c r="H693" s="6" t="str">
        <x:v>Audi Maintenance Dubai | DIGI-TEC</x:v>
      </x:c>
      <x:c r="I693" s="6" t="str">
        <x:v>Audi Maintenance Guide for Dubai Owners</x:v>
      </x:c>
      <x:c r="J693" s="6" t="str">
        <x:v>Audi Maintenance Guide for Dubai Owners</x:v>
      </x:c>
      <x:c r="K693" s="6" t="str">
        <x:v>Audi workshop in Dubai for diagnostics, maintenance and repair. Visit DIGI-TEC in Al Quoz for clear inspections, practical guidance and booking support.</x:v>
      </x:c>
      <x:c r="L693" s="6" t="str">
        <x:v>Retain pending evidence; no specific content edit justified by this export.</x:v>
      </x:c>
      <x:c r="M693" s="6" t="str">
        <x:v>Retain; inspect relevant context before adding links</x:v>
      </x:c>
      <x:c r="N693" s="6" t="str">
        <x:v>Unconfirmed — no query/page pairing</x:v>
      </x:c>
      <x:c r="O693" s="6" t="str">
        <x:v>Retain established booking / WhatsApp / call path; live behaviour untested</x:v>
      </x:c>
      <x:c r="P693" s="6" t="str">
        <x:v>Retain canonical and indexation policy pending a live check.</x:v>
      </x:c>
      <x:c r="Q693" s="6" t="str">
        <x:v>Proposed; no website change made</x:v>
      </x:c>
      <x:c r="R693" s="14" t="n">
        <x:v>1</x:v>
      </x:c>
      <x:c r="S693" s="14" t="n">
        <x:v>70</x:v>
      </x:c>
      <x:c r="T693" s="15" t="n">
        <x:v>0.0143</x:v>
      </x:c>
      <x:c r="U693" s="16" t="n">
        <x:v>12</x:v>
      </x:c>
      <x:c r="V693" s="6" t="str">
        <x:v>https://digitecme.com/blog/audi-maintenance-guide-dubai</x:v>
      </x:c>
      <x:c r="W693" s="6" t="str">
        <x:v>Indexable directive</x:v>
      </x:c>
      <x:c r="X693" s="6" t="n">
        <x:v>5</x:v>
      </x:c>
      <x:c r="Y693" s="6" t="str">
        <x:v>Audi Maintenance Dubai | DIGI-TEC</x:v>
      </x:c>
      <x:c r="Z693" s="6" t="str"/>
      <x:c r="AA693" s="6" t="str">
        <x:v>No / not compared</x:v>
      </x:c>
    </x:row>
    <x:row r="694" ht="57" customHeight="1">
      <x:c r="A694" s="6" t="str">
        <x:v>https://digitecme.com/blog/audi-q7-service-dubai-guide</x:v>
      </x:c>
      <x:c r="B694" s="6" t="str"/>
      <x:c r="C694" s="6" t="str"/>
      <x:c r="D694" s="6" t="str">
        <x:v>article</x:v>
      </x:c>
      <x:c r="E694" s="6" t="str">
        <x:v>Retain differentiated role</x:v>
      </x:c>
      <x:c r="F694" s="6" t="str">
        <x:v>Local source render; live version unverified</x:v>
      </x:c>
      <x:c r="G694" s="6" t="str">
        <x:v>Audi Q7 Service Dubai | Maintenance and Repair Guide</x:v>
      </x:c>
      <x:c r="H694" s="6" t="str">
        <x:v>Audi Q7 Service Dubai | Maintenance and Repair Guide</x:v>
      </x:c>
      <x:c r="I694" s="6" t="str">
        <x:v>Audi Q7 Service in Dubai: Owner Maintenance Guide</x:v>
      </x:c>
      <x:c r="J694" s="6" t="str">
        <x:v>Audi Q7 Service in Dubai: Owner Maintenance Guide</x:v>
      </x:c>
      <x:c r="K694" s="6" t="str">
        <x:v>Audi Q7 service in Dubai: oil specification, air suspension, gearbox and transfer case fluid, cooling, brakes and ODIS diagnostics explained.</x:v>
      </x:c>
      <x:c r="L694" s="6" t="str">
        <x:v>Retain pending evidence; no specific content edit justified by this export.</x:v>
      </x:c>
      <x:c r="M694" s="6" t="str">
        <x:v>Retain; inspect relevant context before adding links</x:v>
      </x:c>
      <x:c r="N694" s="6" t="str">
        <x:v>Unconfirmed — no query/page pairing</x:v>
      </x:c>
      <x:c r="O694" s="6" t="str">
        <x:v>Retain established booking / WhatsApp / call path; live behaviour untested</x:v>
      </x:c>
      <x:c r="P694" s="6" t="str">
        <x:v>Retain canonical and indexation policy pending a live check.</x:v>
      </x:c>
      <x:c r="Q694" s="6" t="str">
        <x:v>Proposed; no website change made</x:v>
      </x:c>
      <x:c r="R694" s="14" t="n">
        <x:v>0</x:v>
      </x:c>
      <x:c r="S694" s="14" t="n">
        <x:v>9</x:v>
      </x:c>
      <x:c r="T694" s="15" t="n">
        <x:v>0</x:v>
      </x:c>
      <x:c r="U694" s="16" t="n">
        <x:v>18.22</x:v>
      </x:c>
      <x:c r="V694" s="6" t="str">
        <x:v>https://digitecme.com/blog/audi-q7-service-dubai-guide</x:v>
      </x:c>
      <x:c r="W694" s="6" t="str">
        <x:v>Indexable directive</x:v>
      </x:c>
      <x:c r="X694" s="6" t="n">
        <x:v>4</x:v>
      </x:c>
      <x:c r="Y694" s="6" t="str">
        <x:v>Audi Q7 Service Dubai | Maintenance and Repair Guide</x:v>
      </x:c>
      <x:c r="Z694" s="6" t="str"/>
      <x:c r="AA694" s="6" t="str">
        <x:v>No / not compared</x:v>
      </x:c>
    </x:row>
    <x:row r="695" ht="57" customHeight="1">
      <x:c r="A695" s="6" t="str">
        <x:v>https://digitecme.com/blog/audi-rs-service-dubai-guide</x:v>
      </x:c>
      <x:c r="B695" s="6" t="str"/>
      <x:c r="C695" s="6" t="str"/>
      <x:c r="D695" s="6" t="str">
        <x:v>article</x:v>
      </x:c>
      <x:c r="E695" s="6" t="str">
        <x:v>Retain differentiated role</x:v>
      </x:c>
      <x:c r="F695" s="6" t="str">
        <x:v>Local source render; live version unverified</x:v>
      </x:c>
      <x:c r="G695" s="6" t="str">
        <x:v>Audi RS Service Dubai | RS6, RS7, RSQ8 Maintenance Guide</x:v>
      </x:c>
      <x:c r="H695" s="6" t="str">
        <x:v>Audi RS Service Dubai | RS6, RS7, RSQ8 Maintenance Guide</x:v>
      </x:c>
      <x:c r="I695" s="6" t="str">
        <x:v>Audi RS Service in Dubai: Maintenance for RS and S Models</x:v>
      </x:c>
      <x:c r="J695" s="6" t="str">
        <x:v>Audi RS Service in Dubai: Maintenance for RS and S Models</x:v>
      </x:c>
      <x:c r="K695" s="6" t="str">
        <x:v>Audi RS service in Dubai explained: oil specification, quattro driveline fluids, DSG and tiptronic service, cooling, brakes and ODIS diagnostics for RS6, RS7 and RSQ8.</x:v>
      </x:c>
      <x:c r="L695" s="6" t="str">
        <x:v>Retain pending evidence; no specific content edit justified by this export.</x:v>
      </x:c>
      <x:c r="M695" s="6" t="str">
        <x:v>Retain; inspect relevant context before adding links</x:v>
      </x:c>
      <x:c r="N695" s="6" t="str">
        <x:v>Unconfirmed — no query/page pairing</x:v>
      </x:c>
      <x:c r="O695" s="6" t="str">
        <x:v>Retain established booking / WhatsApp / call path; live behaviour untested</x:v>
      </x:c>
      <x:c r="P695" s="6" t="str">
        <x:v>Retain canonical and indexation policy pending a live check.</x:v>
      </x:c>
      <x:c r="Q695" s="6" t="str">
        <x:v>Proposed; no website change made</x:v>
      </x:c>
      <x:c r="R695" s="14" t="n">
        <x:v>0</x:v>
      </x:c>
      <x:c r="S695" s="14" t="n">
        <x:v>9</x:v>
      </x:c>
      <x:c r="T695" s="15" t="n">
        <x:v>0</x:v>
      </x:c>
      <x:c r="U695" s="16" t="n">
        <x:v>6.33</x:v>
      </x:c>
      <x:c r="V695" s="6" t="str">
        <x:v>https://digitecme.com/blog/audi-rs-service-dubai-guide</x:v>
      </x:c>
      <x:c r="W695" s="6" t="str">
        <x:v>Indexable directive</x:v>
      </x:c>
      <x:c r="X695" s="6" t="n">
        <x:v>4</x:v>
      </x:c>
      <x:c r="Y695" s="6" t="str">
        <x:v>Audi RS Service Dubai | RS6, RS7, RSQ8 Maintenance Guide</x:v>
      </x:c>
      <x:c r="Z695" s="6" t="str"/>
      <x:c r="AA695" s="6" t="str">
        <x:v>No / not compared</x:v>
      </x:c>
    </x:row>
    <x:row r="696" ht="57" customHeight="1">
      <x:c r="A696" s="6" t="str">
        <x:v>https://digitecme.com/blog/bentley-best-workshop-dubai</x:v>
      </x:c>
      <x:c r="B696" s="6" t="str"/>
      <x:c r="C696" s="6" t="str"/>
      <x:c r="D696" s="6" t="str">
        <x:v>article</x:v>
      </x:c>
      <x:c r="E696" s="6" t="str">
        <x:v>Retain differentiated role</x:v>
      </x:c>
      <x:c r="F696" s="6" t="str">
        <x:v>Local source render; live version unverified</x:v>
      </x:c>
      <x:c r="G696" s="6" t="str">
        <x:v>Bentley Workshop Selection Guide Dubai | DIGI-TEC</x:v>
      </x:c>
      <x:c r="H696" s="6" t="str">
        <x:v>Bentley Workshop Selection Guide Dubai | DIGI-TEC</x:v>
      </x:c>
      <x:c r="I696" s="6" t="str">
        <x:v>Choosing a Bentley Workshop in Dubai: Owner Guide</x:v>
      </x:c>
      <x:c r="J696" s="6" t="str">
        <x:v>Choosing a Bentley Workshop in Dubai: Owner Guide</x:v>
      </x:c>
      <x:c r="K696" s="6" t="str">
        <x:v>Bentley workshop in Dubai for diagnostics, maintenance and repair. Visit DIGI-TEC in Al Quoz for clear inspections, practical guidance and booking support.</x:v>
      </x:c>
      <x:c r="L696" s="6" t="str">
        <x:v>Retain pending evidence; no specific content edit justified by this export.</x:v>
      </x:c>
      <x:c r="M696" s="6" t="str">
        <x:v>Retain; inspect relevant context before adding links</x:v>
      </x:c>
      <x:c r="N696" s="6" t="str">
        <x:v>Unconfirmed — no query/page pairing</x:v>
      </x:c>
      <x:c r="O696" s="6" t="str">
        <x:v>Retain established booking / WhatsApp / call path; live behaviour untested</x:v>
      </x:c>
      <x:c r="P696" s="6" t="str">
        <x:v>Retain canonical and indexation policy pending a live check.</x:v>
      </x:c>
      <x:c r="Q696" s="6" t="str">
        <x:v>Proposed; no website change made</x:v>
      </x:c>
      <x:c r="R696" s="14" t="n">
        <x:v>0</x:v>
      </x:c>
      <x:c r="S696" s="14" t="n">
        <x:v>46</x:v>
      </x:c>
      <x:c r="T696" s="15" t="n">
        <x:v>0</x:v>
      </x:c>
      <x:c r="U696" s="16" t="n">
        <x:v>6.85</x:v>
      </x:c>
      <x:c r="V696" s="6" t="str">
        <x:v>https://digitecme.com/blog/bentley-best-workshop-dubai</x:v>
      </x:c>
      <x:c r="W696" s="6" t="str">
        <x:v>Indexable directive</x:v>
      </x:c>
      <x:c r="X696" s="6" t="n">
        <x:v>5</x:v>
      </x:c>
      <x:c r="Y696" s="6" t="str">
        <x:v>Bentley Workshop Selection Guide Dubai | DIGI-TEC</x:v>
      </x:c>
      <x:c r="Z696" s="6" t="str"/>
      <x:c r="AA696" s="6" t="str">
        <x:v>No / not compared</x:v>
      </x:c>
    </x:row>
    <x:row r="697" ht="57" customHeight="1">
      <x:c r="A697" s="6" t="str">
        <x:v>https://digitecme.com/blog/bentley-continental-gt-service-dubai-guide</x:v>
      </x:c>
      <x:c r="B697" s="6" t="str"/>
      <x:c r="C697" s="6" t="str"/>
      <x:c r="D697" s="6" t="str">
        <x:v>article</x:v>
      </x:c>
      <x:c r="E697" s="6" t="str">
        <x:v>Retain differentiated role</x:v>
      </x:c>
      <x:c r="F697" s="6" t="str">
        <x:v>Local source render; live version unverified</x:v>
      </x:c>
      <x:c r="G697" s="6" t="str">
        <x:v>Bentley Continental GT Service Dubai | Maintenance Guide</x:v>
      </x:c>
      <x:c r="H697" s="6" t="str">
        <x:v>Bentley Continental GT Service Dubai | Maintenance Guide</x:v>
      </x:c>
      <x:c r="I697" s="6" t="str">
        <x:v>Bentley Continental GT Service in Dubai: Owner Guide</x:v>
      </x:c>
      <x:c r="J697" s="6" t="str">
        <x:v>Bentley Continental GT Service in Dubai: Owner Guide</x:v>
      </x:c>
      <x:c r="K697" s="6" t="str">
        <x:v>Bentley Continental GT maintenance in Dubai: vehicle-specific service planning, suspension, cooling, brakes, gearbox and diagnostic concerns explained for owners.</x:v>
      </x:c>
      <x:c r="L697" s="6" t="str">
        <x:v>Retain pending evidence; no specific content edit justified by this export.</x:v>
      </x:c>
      <x:c r="M697" s="6" t="str">
        <x:v>Retain; inspect relevant context before adding links</x:v>
      </x:c>
      <x:c r="N697" s="6" t="str">
        <x:v>Unconfirmed — no query/page pairing</x:v>
      </x:c>
      <x:c r="O697" s="6" t="str">
        <x:v>Retain established booking / WhatsApp / call path; live behaviour untested</x:v>
      </x:c>
      <x:c r="P697" s="6" t="str">
        <x:v>Retain canonical and indexation policy pending a live check.</x:v>
      </x:c>
      <x:c r="Q697" s="6" t="str">
        <x:v>Proposed; no website change made</x:v>
      </x:c>
      <x:c r="R697" s="14" t="n">
        <x:v>0</x:v>
      </x:c>
      <x:c r="S697" s="14" t="n">
        <x:v>22</x:v>
      </x:c>
      <x:c r="T697" s="15" t="n">
        <x:v>0</x:v>
      </x:c>
      <x:c r="U697" s="16" t="n">
        <x:v>8.09</x:v>
      </x:c>
      <x:c r="V697" s="6" t="str">
        <x:v>https://digitecme.com/blog/bentley-continental-gt-service-dubai-guide</x:v>
      </x:c>
      <x:c r="W697" s="6" t="str">
        <x:v>Indexable directive</x:v>
      </x:c>
      <x:c r="X697" s="6" t="n">
        <x:v>5</x:v>
      </x:c>
      <x:c r="Y697" s="6" t="str">
        <x:v>Bentley Continental GT Service Dubai | Maintenance Guide</x:v>
      </x:c>
      <x:c r="Z697" s="6" t="str"/>
      <x:c r="AA697" s="6" t="str">
        <x:v>No / not compared</x:v>
      </x:c>
    </x:row>
    <x:row r="698" ht="57" customHeight="1">
      <x:c r="A698" s="6" t="str">
        <x:v>https://digitecme.com/blog/best-car-workshop-dubai</x:v>
      </x:c>
      <x:c r="B698" s="6" t="str"/>
      <x:c r="C698" s="6" t="str"/>
      <x:c r="D698" s="6" t="str">
        <x:v>article</x:v>
      </x:c>
      <x:c r="E698" s="6" t="str">
        <x:v>Retain differentiated role</x:v>
      </x:c>
      <x:c r="F698" s="6" t="str">
        <x:v>Local source render; live version unverified</x:v>
      </x:c>
      <x:c r="G698" s="6" t="str">
        <x:v>How to Choose a Car Workshop in Dubai | 2026 Owner Guide</x:v>
      </x:c>
      <x:c r="H698" s="6" t="str">
        <x:v>How to Choose a Car Workshop in Dubai | 2026 Owner Guide</x:v>
      </x:c>
      <x:c r="I698" s="6" t="str">
        <x:v>How to Choose a Car Workshop in Dubai (2026 Guide)</x:v>
      </x:c>
      <x:c r="J698" s="6" t="str">
        <x:v>How to Choose a Car Workshop in Dubai (2026 Guide)</x:v>
      </x:c>
      <x:c r="K698" s="6" t="str">
        <x:v>A practical 2026 guide to choosing a car workshop in Dubai, including the questions to ask about diagnostics, parts, estimates, and aftercare.</x:v>
      </x:c>
      <x:c r="L698" s="6" t="str">
        <x:v>Retain pending evidence; no specific content edit justified by this export.</x:v>
      </x:c>
      <x:c r="M698" s="6" t="str">
        <x:v>Retain; inspect relevant context before adding links</x:v>
      </x:c>
      <x:c r="N698" s="6" t="str">
        <x:v>Unconfirmed — no query/page pairing</x:v>
      </x:c>
      <x:c r="O698" s="6" t="str">
        <x:v>Retain established booking / WhatsApp / call path; live behaviour untested</x:v>
      </x:c>
      <x:c r="P698" s="6" t="str">
        <x:v>Retain canonical and indexation policy pending a live check.</x:v>
      </x:c>
      <x:c r="Q698" s="6" t="str">
        <x:v>Proposed; no website change made</x:v>
      </x:c>
      <x:c r="R698" s="14" t="n">
        <x:v>3</x:v>
      </x:c>
      <x:c r="S698" s="14" t="n">
        <x:v>1901</x:v>
      </x:c>
      <x:c r="T698" s="15" t="n">
        <x:v>0.0016</x:v>
      </x:c>
      <x:c r="U698" s="16" t="n">
        <x:v>26.41</x:v>
      </x:c>
      <x:c r="V698" s="6" t="str">
        <x:v>https://digitecme.com/blog/best-car-workshop-dubai</x:v>
      </x:c>
      <x:c r="W698" s="6" t="str">
        <x:v>Indexable directive</x:v>
      </x:c>
      <x:c r="X698" s="6" t="n">
        <x:v>4</x:v>
      </x:c>
      <x:c r="Y698" s="6" t="str">
        <x:v>How to Choose a Car Workshop in Dubai | 2026 Owner Guide</x:v>
      </x:c>
      <x:c r="Z698" s="6" t="str"/>
      <x:c r="AA698" s="6" t="str">
        <x:v>No / not compared</x:v>
      </x:c>
    </x:row>
    <x:row r="699" ht="57" customHeight="1">
      <x:c r="A699" s="6" t="str">
        <x:v>https://digitecme.com/blog/best-defender-workshop-dubai</x:v>
      </x:c>
      <x:c r="B699" s="6" t="str"/>
      <x:c r="C699" s="6" t="str"/>
      <x:c r="D699" s="6" t="str">
        <x:v>article</x:v>
      </x:c>
      <x:c r="E699" s="6" t="str">
        <x:v>Retain differentiated role</x:v>
      </x:c>
      <x:c r="F699" s="6" t="str">
        <x:v>Local source render; live version unverified</x:v>
      </x:c>
      <x:c r="G699" s="6" t="str">
        <x:v>Defender Accident Repair Dubai | Real Workshop Case</x:v>
      </x:c>
      <x:c r="H699" s="6" t="str">
        <x:v>Defender Accident Repair Dubai | Real Workshop Case</x:v>
      </x:c>
      <x:c r="I699" s="6" t="str">
        <x:v>Defender Accident Repair in Dubai: A Real Workshop Case Study</x:v>
      </x:c>
      <x:c r="J699" s="6" t="str">
        <x:v>Defender Accident Repair in Dubai: A Real Workshop Case Study</x:v>
      </x:c>
      <x:c r="K699" s="6" t="str">
        <x:v>Looking for a Defender workshop in Dubai? See how Digi-Tec approaches accident repair, diagnostics, bodywork and final checks for Land Rover Defender owners.</x:v>
      </x:c>
      <x:c r="L699" s="6" t="str">
        <x:v>Retain pending evidence; no specific content edit justified by this export.</x:v>
      </x:c>
      <x:c r="M699" s="6" t="str">
        <x:v>Retain; inspect relevant context before adding links</x:v>
      </x:c>
      <x:c r="N699" s="6" t="str">
        <x:v>Unconfirmed — no query/page pairing</x:v>
      </x:c>
      <x:c r="O699" s="6" t="str">
        <x:v>Retain established booking / WhatsApp / call path; live behaviour untested</x:v>
      </x:c>
      <x:c r="P699" s="6" t="str">
        <x:v>Retain canonical and indexation policy pending a live check.</x:v>
      </x:c>
      <x:c r="Q699" s="6" t="str">
        <x:v>Proposed; no website change made</x:v>
      </x:c>
      <x:c r="R699" s="14" t="n">
        <x:v>0</x:v>
      </x:c>
      <x:c r="S699" s="14" t="n">
        <x:v>5</x:v>
      </x:c>
      <x:c r="T699" s="15" t="n">
        <x:v>0</x:v>
      </x:c>
      <x:c r="U699" s="16" t="n">
        <x:v>5.8</x:v>
      </x:c>
      <x:c r="V699" s="6" t="str">
        <x:v>https://digitecme.com/blog/best-defender-workshop-dubai</x:v>
      </x:c>
      <x:c r="W699" s="6" t="str">
        <x:v>Indexable directive</x:v>
      </x:c>
      <x:c r="X699" s="6" t="n">
        <x:v>4</x:v>
      </x:c>
      <x:c r="Y699" s="6" t="str">
        <x:v>Defender Accident Repair Dubai | Real Workshop Case</x:v>
      </x:c>
      <x:c r="Z699" s="6" t="str"/>
      <x:c r="AA699" s="6" t="str">
        <x:v>No / not compared</x:v>
      </x:c>
    </x:row>
    <x:row r="700" ht="57" customHeight="1">
      <x:c r="A700" s="6" t="str">
        <x:v>https://digitecme.com/blog/best-oil-change-dubai-mercedes</x:v>
      </x:c>
      <x:c r="B700" s="6" t="str"/>
      <x:c r="C700" s="6" t="str"/>
      <x:c r="D700" s="6" t="str">
        <x:v>article</x:v>
      </x:c>
      <x:c r="E700" s="6" t="str">
        <x:v>Retain differentiated role</x:v>
      </x:c>
      <x:c r="F700" s="6" t="str">
        <x:v>Local source render; live version unverified</x:v>
      </x:c>
      <x:c r="G700" s="6" t="str">
        <x:v>Best Oil Change in Dubai for Mercedes | Mercedes Service Guide</x:v>
      </x:c>
      <x:c r="H700" s="6" t="str">
        <x:v>Best Oil Change in Dubai for Mercedes | Mercedes Service Guide</x:v>
      </x:c>
      <x:c r="I700" s="6" t="str">
        <x:v>Best Oil Change in Dubai for Mercedes: What Your Car Actually Needs</x:v>
      </x:c>
      <x:c r="J700" s="6" t="str">
        <x:v>Best Oil Change in Dubai for Mercedes: What Your Car Actually Needs</x:v>
      </x:c>
      <x:c r="K700" s="6" t="str">
        <x:v>Looking for the best oil change in Dubai for your Mercedes? Learn which oil specification, filter, checks and service records matter for reliable Mercedes maintenance.</x:v>
      </x:c>
      <x:c r="L700" s="6" t="str">
        <x:v>Retain pending evidence; no specific content edit justified by this export.</x:v>
      </x:c>
      <x:c r="M700" s="6" t="str">
        <x:v>Retain; inspect relevant context before adding links</x:v>
      </x:c>
      <x:c r="N700" s="6" t="str">
        <x:v>Unconfirmed — no query/page pairing</x:v>
      </x:c>
      <x:c r="O700" s="6" t="str">
        <x:v>Retain established booking / WhatsApp / call path; live behaviour untested</x:v>
      </x:c>
      <x:c r="P700" s="6" t="str">
        <x:v>Retain canonical and indexation policy pending a live check.</x:v>
      </x:c>
      <x:c r="Q700" s="6" t="str">
        <x:v>Proposed; no website change made</x:v>
      </x:c>
      <x:c r="R700" s="14" t="n">
        <x:v>0</x:v>
      </x:c>
      <x:c r="S700" s="14" t="n">
        <x:v>64</x:v>
      </x:c>
      <x:c r="T700" s="15" t="n">
        <x:v>0</x:v>
      </x:c>
      <x:c r="U700" s="16" t="n">
        <x:v>9.52</x:v>
      </x:c>
      <x:c r="V700" s="6" t="str">
        <x:v>https://digitecme.com/blog/best-oil-change-dubai-mercedes</x:v>
      </x:c>
      <x:c r="W700" s="6" t="str">
        <x:v>Indexable directive</x:v>
      </x:c>
      <x:c r="X700" s="6" t="n">
        <x:v>47</x:v>
      </x:c>
      <x:c r="Y700" s="6" t="str">
        <x:v>Best Oil Change in Dubai for Mercedes | Mercedes Service Guide</x:v>
      </x:c>
      <x:c r="Z700" s="6" t="str"/>
      <x:c r="AA700" s="6" t="str">
        <x:v>No / not compared</x:v>
      </x:c>
    </x:row>
    <x:row r="701" ht="57" customHeight="1">
      <x:c r="A701" s="6" t="str">
        <x:v>https://digitecme.com/blog/bmw-m-service-dubai-guide</x:v>
      </x:c>
      <x:c r="B701" s="6" t="str"/>
      <x:c r="C701" s="6" t="str"/>
      <x:c r="D701" s="6" t="str">
        <x:v>article</x:v>
      </x:c>
      <x:c r="E701" s="6" t="str">
        <x:v>Retain differentiated role</x:v>
      </x:c>
      <x:c r="F701" s="6" t="str">
        <x:v>Local source render; live version unverified</x:v>
      </x:c>
      <x:c r="G701" s="6" t="str">
        <x:v>BMW M Service Dubai | M2, M3, M4, M5 Maintenance Guide</x:v>
      </x:c>
      <x:c r="H701" s="6" t="str">
        <x:v>BMW M Service Dubai | M2, M3, M4, M5 Maintenance Guide</x:v>
      </x:c>
      <x:c r="I701" s="6" t="str">
        <x:v>BMW M Service in Dubai: What an M Car Actually Needs</x:v>
      </x:c>
      <x:c r="J701" s="6" t="str">
        <x:v>BMW M Service in Dubai: What an M Car Actually Needs</x:v>
      </x:c>
      <x:c r="K701" s="6" t="str">
        <x:v>What BMW M service in Dubai should include: oil specification, cooling, brakes, DCT and gearbox fluid, differential care and ISTA+ diagnostics for M2, M3, M4, M5 and X5 M.</x:v>
      </x:c>
      <x:c r="L701" s="6" t="str">
        <x:v>Retain pending evidence; no specific content edit justified by this export.</x:v>
      </x:c>
      <x:c r="M701" s="6" t="str">
        <x:v>Retain; inspect relevant context before adding links</x:v>
      </x:c>
      <x:c r="N701" s="6" t="str">
        <x:v>Unconfirmed — no query/page pairing</x:v>
      </x:c>
      <x:c r="O701" s="6" t="str">
        <x:v>Retain established booking / WhatsApp / call path; live behaviour untested</x:v>
      </x:c>
      <x:c r="P701" s="6" t="str">
        <x:v>Retain canonical and indexation policy pending a live check.</x:v>
      </x:c>
      <x:c r="Q701" s="6" t="str">
        <x:v>Proposed; no website change made</x:v>
      </x:c>
      <x:c r="R701" s="14" t="n">
        <x:v>0</x:v>
      </x:c>
      <x:c r="S701" s="14" t="n">
        <x:v>13</x:v>
      </x:c>
      <x:c r="T701" s="15" t="n">
        <x:v>0</x:v>
      </x:c>
      <x:c r="U701" s="16" t="n">
        <x:v>6.38</x:v>
      </x:c>
      <x:c r="V701" s="6" t="str">
        <x:v>https://digitecme.com/blog/bmw-m-service-dubai-guide</x:v>
      </x:c>
      <x:c r="W701" s="6" t="str">
        <x:v>Indexable directive</x:v>
      </x:c>
      <x:c r="X701" s="6" t="n">
        <x:v>4</x:v>
      </x:c>
      <x:c r="Y701" s="6" t="str">
        <x:v>BMW M Service Dubai | M2, M3, M4, M5 Maintenance Guide</x:v>
      </x:c>
      <x:c r="Z701" s="6" t="str"/>
      <x:c r="AA701" s="6" t="str">
        <x:v>No / not compared</x:v>
      </x:c>
    </x:row>
    <x:row r="702" ht="57" customHeight="1">
      <x:c r="A702" s="6" t="str">
        <x:v>https://digitecme.com/blog/bmw-maintenance-guide-dubai</x:v>
      </x:c>
      <x:c r="B702" s="6" t="str"/>
      <x:c r="C702" s="6" t="str"/>
      <x:c r="D702" s="6" t="str">
        <x:v>article</x:v>
      </x:c>
      <x:c r="E702" s="6" t="str">
        <x:v>Retain differentiated role</x:v>
      </x:c>
      <x:c r="F702" s="6" t="str">
        <x:v>Local source render; live version unverified</x:v>
      </x:c>
      <x:c r="G702" s="6" t="str">
        <x:v>BMW Maintenance Dubai | DIGI-TEC</x:v>
      </x:c>
      <x:c r="H702" s="6" t="str">
        <x:v>BMW Maintenance Dubai | DIGI-TEC</x:v>
      </x:c>
      <x:c r="I702" s="6" t="str">
        <x:v>BMW Maintenance Guide for Dubai Owners</x:v>
      </x:c>
      <x:c r="J702" s="6" t="str">
        <x:v>BMW Maintenance Guide for Dubai Owners</x:v>
      </x:c>
      <x:c r="K702" s="6" t="str">
        <x:v>BMW workshop in Dubai for diagnostics, maintenance and repair. Visit DIGI-TEC in Al Quoz for clear inspections, practical guidance and booking support.</x:v>
      </x:c>
      <x:c r="L702" s="6" t="str">
        <x:v>Retain pending evidence; no specific content edit justified by this export.</x:v>
      </x:c>
      <x:c r="M702" s="6" t="str">
        <x:v>Retain; inspect relevant context before adding links</x:v>
      </x:c>
      <x:c r="N702" s="6" t="str">
        <x:v>Unconfirmed — no query/page pairing</x:v>
      </x:c>
      <x:c r="O702" s="6" t="str">
        <x:v>Retain established booking / WhatsApp / call path; live behaviour untested</x:v>
      </x:c>
      <x:c r="P702" s="6" t="str">
        <x:v>Retain canonical and indexation policy pending a live check.</x:v>
      </x:c>
      <x:c r="Q702" s="6" t="str">
        <x:v>Proposed; no website change made</x:v>
      </x:c>
      <x:c r="R702" s="14" t="n">
        <x:v>0</x:v>
      </x:c>
      <x:c r="S702" s="14" t="n">
        <x:v>26</x:v>
      </x:c>
      <x:c r="T702" s="15" t="n">
        <x:v>0</x:v>
      </x:c>
      <x:c r="U702" s="16" t="n">
        <x:v>14.19</x:v>
      </x:c>
      <x:c r="V702" s="6" t="str">
        <x:v>https://digitecme.com/blog/bmw-maintenance-guide-dubai</x:v>
      </x:c>
      <x:c r="W702" s="6" t="str">
        <x:v>Indexable directive</x:v>
      </x:c>
      <x:c r="X702" s="6" t="n">
        <x:v>6</x:v>
      </x:c>
      <x:c r="Y702" s="6" t="str">
        <x:v>BMW Maintenance Dubai | DIGI-TEC</x:v>
      </x:c>
      <x:c r="Z702" s="6" t="str"/>
      <x:c r="AA702" s="6" t="str">
        <x:v>No / not compared</x:v>
      </x:c>
    </x:row>
    <x:row r="703" ht="57" customHeight="1">
      <x:c r="A703" s="6" t="str">
        <x:v>https://digitecme.com/blog/bmw-x5-service-dubai-guide</x:v>
      </x:c>
      <x:c r="B703" s="6" t="str"/>
      <x:c r="C703" s="6" t="str"/>
      <x:c r="D703" s="6" t="str">
        <x:v>article</x:v>
      </x:c>
      <x:c r="E703" s="6" t="str">
        <x:v>Retain differentiated role</x:v>
      </x:c>
      <x:c r="F703" s="6" t="str">
        <x:v>Local source render; live version unverified</x:v>
      </x:c>
      <x:c r="G703" s="6" t="str">
        <x:v>BMW X5 Service Dubai | Maintenance and Repair Guide</x:v>
      </x:c>
      <x:c r="H703" s="6" t="str">
        <x:v>BMW X5 Service Dubai | Maintenance and Repair Guide</x:v>
      </x:c>
      <x:c r="I703" s="6" t="str">
        <x:v>BMW X5 Service in Dubai: Maintenance Guide for Owners</x:v>
      </x:c>
      <x:c r="J703" s="6" t="str">
        <x:v>BMW X5 Service in Dubai: Maintenance Guide for Owners</x:v>
      </x:c>
      <x:c r="K703" s="6" t="str">
        <x:v>BMW X5 service in Dubai: oil intervals, cooling, air suspension, transfer case, brakes and ISTA+ diagnostics explained for G05 and F15 owners.</x:v>
      </x:c>
      <x:c r="L703" s="6" t="str">
        <x:v>Retain pending evidence; no specific content edit justified by this export.</x:v>
      </x:c>
      <x:c r="M703" s="6" t="str">
        <x:v>Retain; inspect relevant context before adding links</x:v>
      </x:c>
      <x:c r="N703" s="6" t="str">
        <x:v>Unconfirmed — no query/page pairing</x:v>
      </x:c>
      <x:c r="O703" s="6" t="str">
        <x:v>Retain established booking / WhatsApp / call path; live behaviour untested</x:v>
      </x:c>
      <x:c r="P703" s="6" t="str">
        <x:v>Retain canonical and indexation policy pending a live check.</x:v>
      </x:c>
      <x:c r="Q703" s="6" t="str">
        <x:v>Proposed; no website change made</x:v>
      </x:c>
      <x:c r="R703" s="14"/>
      <x:c r="S703" s="14"/>
      <x:c r="T703" s="15"/>
      <x:c r="U703" s="16"/>
      <x:c r="V703" s="6" t="str">
        <x:v>https://digitecme.com/blog/bmw-x5-service-dubai-guide</x:v>
      </x:c>
      <x:c r="W703" s="6" t="str">
        <x:v>Indexable directive</x:v>
      </x:c>
      <x:c r="X703" s="6" t="n">
        <x:v>4</x:v>
      </x:c>
      <x:c r="Y703" s="6" t="str">
        <x:v>BMW X5 Service Dubai | Maintenance and Repair Guide</x:v>
      </x:c>
      <x:c r="Z703" s="6" t="str"/>
      <x:c r="AA703" s="6" t="str">
        <x:v>No / not compared</x:v>
      </x:c>
    </x:row>
    <x:row r="704" ht="42" customHeight="1">
      <x:c r="A704" s="6" t="str">
        <x:v>https://digitecme.com/blog/brake-repair-dubai</x:v>
      </x:c>
      <x:c r="B704" s="6" t="str"/>
      <x:c r="C704" s="6" t="str"/>
      <x:c r="D704" s="6" t="str">
        <x:v>article</x:v>
      </x:c>
      <x:c r="E704" s="6" t="str">
        <x:v>Retain differentiated role</x:v>
      </x:c>
      <x:c r="F704" s="6" t="str">
        <x:v>Local source render; live version unverified</x:v>
      </x:c>
      <x:c r="G704" s="6" t="str">
        <x:v>Why Brakes Wear Faster in Dubai | Warning Signs &amp; Workshop Guide</x:v>
      </x:c>
      <x:c r="H704" s="6" t="str">
        <x:v>Why Brakes Wear Faster in Dubai | Warning Signs &amp; Workshop Guide</x:v>
      </x:c>
      <x:c r="I704" s="6" t="str">
        <x:v>Brake Repair in Dubai: Why Brakes Wear Faster in UAE Heat</x:v>
      </x:c>
      <x:c r="J704" s="6" t="str">
        <x:v>Brake Repair in Dubai: Why Brakes Wear Faster in UAE Heat</x:v>
      </x:c>
      <x:c r="K704" s="6" t="str">
        <x:v>Learn why brakes wear faster in Dubai, the warning signs to act on, and what a thorough brake inspection should cover.</x:v>
      </x:c>
      <x:c r="L704" s="6" t="str">
        <x:v>Retain pending evidence; no specific content edit justified by this export.</x:v>
      </x:c>
      <x:c r="M704" s="6" t="str">
        <x:v>Retain; inspect relevant context before adding links</x:v>
      </x:c>
      <x:c r="N704" s="6" t="str">
        <x:v>Unconfirmed — no query/page pairing</x:v>
      </x:c>
      <x:c r="O704" s="6" t="str">
        <x:v>Retain established booking / WhatsApp / call path; live behaviour untested</x:v>
      </x:c>
      <x:c r="P704" s="6" t="str">
        <x:v>Retain canonical and indexation policy pending a live check.</x:v>
      </x:c>
      <x:c r="Q704" s="6" t="str">
        <x:v>Proposed; no website change made</x:v>
      </x:c>
      <x:c r="R704" s="14" t="n">
        <x:v>0</x:v>
      </x:c>
      <x:c r="S704" s="14" t="n">
        <x:v>8</x:v>
      </x:c>
      <x:c r="T704" s="15" t="n">
        <x:v>0</x:v>
      </x:c>
      <x:c r="U704" s="16" t="n">
        <x:v>5.12</x:v>
      </x:c>
      <x:c r="V704" s="6" t="str">
        <x:v>https://digitecme.com/blog/brake-repair-dubai</x:v>
      </x:c>
      <x:c r="W704" s="6" t="str">
        <x:v>Indexable directive</x:v>
      </x:c>
      <x:c r="X704" s="6" t="n">
        <x:v>5</x:v>
      </x:c>
      <x:c r="Y704" s="6" t="str">
        <x:v>Why Brakes Wear Faster in Dubai | Warning Signs &amp; Workshop Guide</x:v>
      </x:c>
      <x:c r="Z704" s="6" t="str"/>
      <x:c r="AA704" s="6" t="str">
        <x:v>No / not compared</x:v>
      </x:c>
    </x:row>
    <x:row r="705" ht="57" customHeight="1">
      <x:c r="A705" s="6" t="str">
        <x:v>https://digitecme.com/blog/cadillac-best-workshop-dubai</x:v>
      </x:c>
      <x:c r="B705" s="6" t="str"/>
      <x:c r="C705" s="6" t="str"/>
      <x:c r="D705" s="6" t="str">
        <x:v>article</x:v>
      </x:c>
      <x:c r="E705" s="6" t="str">
        <x:v>Retain differentiated role</x:v>
      </x:c>
      <x:c r="F705" s="6" t="str">
        <x:v>Local source render; live version unverified</x:v>
      </x:c>
      <x:c r="G705" s="6" t="str">
        <x:v>Cadillac Workshop Selection Guide Dubai | DIGI-TEC</x:v>
      </x:c>
      <x:c r="H705" s="6" t="str">
        <x:v>Cadillac Workshop Selection Guide Dubai | DIGI-TEC</x:v>
      </x:c>
      <x:c r="I705" s="6" t="str">
        <x:v>Choosing a Cadillac Workshop in Dubai: Owner Guide</x:v>
      </x:c>
      <x:c r="J705" s="6" t="str">
        <x:v>Choosing a Cadillac Workshop in Dubai: Owner Guide</x:v>
      </x:c>
      <x:c r="K705" s="6" t="str">
        <x:v>Cadillac workshop in Dubai for diagnostics, maintenance and repair. Visit DIGI-TEC in Al Quoz for clear inspections, practical guidance and booking support.</x:v>
      </x:c>
      <x:c r="L705" s="6" t="str">
        <x:v>Retain pending evidence; no specific content edit justified by this export.</x:v>
      </x:c>
      <x:c r="M705" s="6" t="str">
        <x:v>Retain; inspect relevant context before adding links</x:v>
      </x:c>
      <x:c r="N705" s="6" t="str">
        <x:v>Unconfirmed — no query/page pairing</x:v>
      </x:c>
      <x:c r="O705" s="6" t="str">
        <x:v>Retain established booking / WhatsApp / call path; live behaviour untested</x:v>
      </x:c>
      <x:c r="P705" s="6" t="str">
        <x:v>Retain canonical and indexation policy pending a live check.</x:v>
      </x:c>
      <x:c r="Q705" s="6" t="str">
        <x:v>Proposed; no website change made</x:v>
      </x:c>
      <x:c r="R705" s="14"/>
      <x:c r="S705" s="14"/>
      <x:c r="T705" s="15"/>
      <x:c r="U705" s="16"/>
      <x:c r="V705" s="6" t="str">
        <x:v>https://digitecme.com/blog/cadillac-best-workshop-dubai</x:v>
      </x:c>
      <x:c r="W705" s="6" t="str">
        <x:v>Indexable directive</x:v>
      </x:c>
      <x:c r="X705" s="6" t="n">
        <x:v>4</x:v>
      </x:c>
      <x:c r="Y705" s="6" t="str">
        <x:v>Cadillac Workshop Selection Guide Dubai | DIGI-TEC</x:v>
      </x:c>
      <x:c r="Z705" s="6" t="str"/>
      <x:c r="AA705" s="6" t="str">
        <x:v>No / not compared</x:v>
      </x:c>
    </x:row>
    <x:row r="706" ht="57" customHeight="1">
      <x:c r="A706" s="6" t="str">
        <x:v>https://digitecme.com/blog/car-ac-not-cold-dubai-causes</x:v>
      </x:c>
      <x:c r="B706" s="6" t="str"/>
      <x:c r="C706" s="6" t="str"/>
      <x:c r="D706" s="6" t="str">
        <x:v>article</x:v>
      </x:c>
      <x:c r="E706" s="6" t="str">
        <x:v>Retain differentiated role</x:v>
      </x:c>
      <x:c r="F706" s="6" t="str">
        <x:v>Local source render; live version unverified</x:v>
      </x:c>
      <x:c r="G706" s="6" t="str">
        <x:v>Car AC Not Cold in Dubai | Causes, Checks and Repair Guide</x:v>
      </x:c>
      <x:c r="H706" s="6" t="str">
        <x:v>Car AC Not Cold in Dubai | Causes, Checks and Repair Guide</x:v>
      </x:c>
      <x:c r="I706" s="6" t="str">
        <x:v>Car AC Not Cold in Dubai: Causes and What to Check First</x:v>
      </x:c>
      <x:c r="J706" s="6" t="str">
        <x:v>Car AC Not Cold in Dubai: Causes and What to Check First</x:v>
      </x:c>
      <x:c r="K706" s="6" t="str">
        <x:v>Why your car AC is not cold in Dubai: refrigerant loss, condenser fouling, compressor faults, blend door issues and how a workshop diagnoses each one.</x:v>
      </x:c>
      <x:c r="L706" s="6" t="str">
        <x:v>Retain pending evidence; no specific content edit justified by this export.</x:v>
      </x:c>
      <x:c r="M706" s="6" t="str">
        <x:v>Retain; inspect relevant context before adding links</x:v>
      </x:c>
      <x:c r="N706" s="6" t="str">
        <x:v>Unconfirmed — no query/page pairing</x:v>
      </x:c>
      <x:c r="O706" s="6" t="str">
        <x:v>Retain established booking / WhatsApp / call path; live behaviour untested</x:v>
      </x:c>
      <x:c r="P706" s="6" t="str">
        <x:v>Retain canonical and indexation policy pending a live check.</x:v>
      </x:c>
      <x:c r="Q706" s="6" t="str">
        <x:v>Proposed; no website change made</x:v>
      </x:c>
      <x:c r="R706" s="14" t="n">
        <x:v>0</x:v>
      </x:c>
      <x:c r="S706" s="14" t="n">
        <x:v>7</x:v>
      </x:c>
      <x:c r="T706" s="15" t="n">
        <x:v>0</x:v>
      </x:c>
      <x:c r="U706" s="16" t="n">
        <x:v>7.29</x:v>
      </x:c>
      <x:c r="V706" s="6" t="str">
        <x:v>https://digitecme.com/blog/car-ac-not-cold-dubai-causes</x:v>
      </x:c>
      <x:c r="W706" s="6" t="str">
        <x:v>Indexable directive</x:v>
      </x:c>
      <x:c r="X706" s="6" t="n">
        <x:v>4</x:v>
      </x:c>
      <x:c r="Y706" s="6" t="str">
        <x:v>Car AC Not Cold in Dubai | Causes, Checks and Repair Guide</x:v>
      </x:c>
      <x:c r="Z706" s="6" t="str"/>
      <x:c r="AA706" s="6" t="str">
        <x:v>No / not compared</x:v>
      </x:c>
    </x:row>
    <x:row r="707" ht="42" customHeight="1">
      <x:c r="A707" s="6" t="str">
        <x:v>https://digitecme.com/blog/car-ac-repair-dubai</x:v>
      </x:c>
      <x:c r="B707" s="6" t="str"/>
      <x:c r="C707" s="6" t="str"/>
      <x:c r="D707" s="6" t="str">
        <x:v>article</x:v>
      </x:c>
      <x:c r="E707" s="6" t="str">
        <x:v>Retain differentiated role</x:v>
      </x:c>
      <x:c r="F707" s="6" t="str">
        <x:v>Local source render; live version unverified</x:v>
      </x:c>
      <x:c r="G707" s="6" t="str">
        <x:v>Why Your Car AC Stops Cooling in Dubai | Workshop Diagnosis Guide</x:v>
      </x:c>
      <x:c r="H707" s="6" t="str">
        <x:v>Why Your Car AC Stops Cooling in Dubai | Workshop Diagnosis Guide</x:v>
      </x:c>
      <x:c r="I707" s="6" t="str">
        <x:v>Car AC Repair in Dubai: Why Your AC Stops Cooling and What Actually Fixes It</x:v>
      </x:c>
      <x:c r="J707" s="6" t="str">
        <x:v>Car AC Repair in Dubai: Why Your AC Stops Cooling and What Actually Fixes It</x:v>
      </x:c>
      <x:c r="K707" s="6" t="str">
        <x:v>Why does a car AC stop cooling in Dubai? Learn the common causes, warning signs, and what a proper workshop diagnosis should include.</x:v>
      </x:c>
      <x:c r="L707" s="6" t="str">
        <x:v>Retain pending evidence; no specific content edit justified by this export.</x:v>
      </x:c>
      <x:c r="M707" s="6" t="str">
        <x:v>Retain; inspect relevant context before adding links</x:v>
      </x:c>
      <x:c r="N707" s="6" t="str">
        <x:v>Unconfirmed — no query/page pairing</x:v>
      </x:c>
      <x:c r="O707" s="6" t="str">
        <x:v>Retain established booking / WhatsApp / call path; live behaviour untested</x:v>
      </x:c>
      <x:c r="P707" s="6" t="str">
        <x:v>Retain canonical and indexation policy pending a live check.</x:v>
      </x:c>
      <x:c r="Q707" s="6" t="str">
        <x:v>Proposed; no website change made</x:v>
      </x:c>
      <x:c r="R707" s="14"/>
      <x:c r="S707" s="14"/>
      <x:c r="T707" s="15"/>
      <x:c r="U707" s="16"/>
      <x:c r="V707" s="6" t="str">
        <x:v>https://digitecme.com/blog/car-ac-repair-dubai</x:v>
      </x:c>
      <x:c r="W707" s="6" t="str">
        <x:v>Indexable directive</x:v>
      </x:c>
      <x:c r="X707" s="6" t="n">
        <x:v>7</x:v>
      </x:c>
      <x:c r="Y707" s="6" t="str">
        <x:v>Why Your Car AC Stops Cooling in Dubai | Workshop Diagnosis Guide</x:v>
      </x:c>
      <x:c r="Z707" s="6" t="str"/>
      <x:c r="AA707" s="6" t="str">
        <x:v>No / not compared</x:v>
      </x:c>
    </x:row>
    <x:row r="708" ht="57" customHeight="1">
      <x:c r="A708" s="6" t="str">
        <x:v>https://digitecme.com/blog/car-battery-life-dubai-heat</x:v>
      </x:c>
      <x:c r="B708" s="6" t="str">
        <x:v>car battery life in uae</x:v>
      </x:c>
      <x:c r="C708" s="6" t="str">
        <x:v>Information: Battery life</x:v>
      </x:c>
      <x:c r="D708" s="6" t="str">
        <x:v>article</x:v>
      </x:c>
      <x:c r="E708" s="6" t="str">
        <x:v>Primary owner for assigned intent</x:v>
      </x:c>
      <x:c r="F708" s="6" t="str">
        <x:v>Local source render; live version unverified</x:v>
      </x:c>
      <x:c r="G708" s="6" t="str">
        <x:v>Car Battery Life Dubai | Why Batteries Fail in UAE Heat</x:v>
      </x:c>
      <x:c r="H708" s="6" t="str">
        <x:v>Car Battery Life Dubai | Why Batteries Fail in UAE Heat</x:v>
      </x:c>
      <x:c r="I708" s="6" t="str">
        <x:v>Car Battery Life in Dubai: Why Heat Kills Batteries</x:v>
      </x:c>
      <x:c r="J708" s="6" t="str">
        <x:v>Car Battery Life in Dubai: Why Heat Kills Batteries</x:v>
      </x:c>
      <x:c r="K708" s="6" t="str">
        <x:v>Why car batteries fail early in Dubai, how long they really last, the warning signs, and why modern cars need battery registration after replacement.</x:v>
      </x:c>
      <x:c r="L708" s="6" t="str">
        <x:v>Retain pending evidence; no specific content edit justified by this export.</x:v>
      </x:c>
      <x:c r="M708" s="6" t="str">
        <x:v>Retain; inspect relevant context before adding links</x:v>
      </x:c>
      <x:c r="N708" s="6" t="str">
        <x:v>Unconfirmed — no query/page pairing</x:v>
      </x:c>
      <x:c r="O708" s="6" t="str">
        <x:v>Retain established booking / WhatsApp / call path; live behaviour untested</x:v>
      </x:c>
      <x:c r="P708" s="6" t="str">
        <x:v>Retain canonical and indexation policy pending a live check.</x:v>
      </x:c>
      <x:c r="Q708" s="6" t="str">
        <x:v>Proposed; no website change made</x:v>
      </x:c>
      <x:c r="R708" s="14" t="n">
        <x:v>1</x:v>
      </x:c>
      <x:c r="S708" s="14" t="n">
        <x:v>52</x:v>
      </x:c>
      <x:c r="T708" s="15" t="n">
        <x:v>0.0192</x:v>
      </x:c>
      <x:c r="U708" s="16" t="n">
        <x:v>8.12</x:v>
      </x:c>
      <x:c r="V708" s="6" t="str">
        <x:v>https://digitecme.com/blog/car-battery-life-dubai-heat</x:v>
      </x:c>
      <x:c r="W708" s="6" t="str">
        <x:v>Indexable directive</x:v>
      </x:c>
      <x:c r="X708" s="6" t="n">
        <x:v>4</x:v>
      </x:c>
      <x:c r="Y708" s="6" t="str">
        <x:v>Car Battery Life Dubai | Why Batteries Fail in UAE Heat</x:v>
      </x:c>
      <x:c r="Z708" s="6" t="str"/>
      <x:c r="AA708" s="6" t="str">
        <x:v>No / not compared</x:v>
      </x:c>
    </x:row>
    <x:row r="709" ht="42" customHeight="1">
      <x:c r="A709" s="6" t="str">
        <x:v>https://digitecme.com/blog/car-battery-replacement-dubai</x:v>
      </x:c>
      <x:c r="B709" s="6" t="str"/>
      <x:c r="C709" s="6" t="str"/>
      <x:c r="D709" s="6" t="str">
        <x:v>article</x:v>
      </x:c>
      <x:c r="E709" s="6" t="str">
        <x:v>Retain differentiated role</x:v>
      </x:c>
      <x:c r="F709" s="6" t="str">
        <x:v>Local source render; live version unverified</x:v>
      </x:c>
      <x:c r="G709" s="6" t="str">
        <x:v>Why Car Batteries Fail Faster in Dubai Heat | Owner Guide</x:v>
      </x:c>
      <x:c r="H709" s="6" t="str">
        <x:v>Why Car Batteries Fail Faster in Dubai Heat | Owner Guide</x:v>
      </x:c>
      <x:c r="I709" s="6" t="str">
        <x:v>Car Battery Replacement in Dubai: Why Heat Kills Batteries Faster</x:v>
      </x:c>
      <x:c r="J709" s="6" t="str">
        <x:v>Car Battery Replacement in Dubai: Why Heat Kills Batteries Faster</x:v>
      </x:c>
      <x:c r="K709" s="6" t="str">
        <x:v>Learn why Dubai heat shortens car battery life, the warning signs of failure, and when to arrange a professional battery test.</x:v>
      </x:c>
      <x:c r="L709" s="6" t="str">
        <x:v>Retain pending evidence; no specific content edit justified by this export.</x:v>
      </x:c>
      <x:c r="M709" s="6" t="str">
        <x:v>Retain; inspect relevant context before adding links</x:v>
      </x:c>
      <x:c r="N709" s="6" t="str">
        <x:v>Unconfirmed — no query/page pairing</x:v>
      </x:c>
      <x:c r="O709" s="6" t="str">
        <x:v>Retain established booking / WhatsApp / call path; live behaviour untested</x:v>
      </x:c>
      <x:c r="P709" s="6" t="str">
        <x:v>Retain canonical and indexation policy pending a live check.</x:v>
      </x:c>
      <x:c r="Q709" s="6" t="str">
        <x:v>Proposed; no website change made</x:v>
      </x:c>
      <x:c r="R709" s="14" t="n">
        <x:v>0</x:v>
      </x:c>
      <x:c r="S709" s="14" t="n">
        <x:v>123</x:v>
      </x:c>
      <x:c r="T709" s="15" t="n">
        <x:v>0</x:v>
      </x:c>
      <x:c r="U709" s="16" t="n">
        <x:v>11.13</x:v>
      </x:c>
      <x:c r="V709" s="6" t="str">
        <x:v>https://digitecme.com/blog/car-battery-replacement-dubai</x:v>
      </x:c>
      <x:c r="W709" s="6" t="str">
        <x:v>Indexable directive</x:v>
      </x:c>
      <x:c r="X709" s="6" t="n">
        <x:v>5</x:v>
      </x:c>
      <x:c r="Y709" s="6" t="str">
        <x:v>Why Car Batteries Fail Faster in Dubai Heat | Owner Guide</x:v>
      </x:c>
      <x:c r="Z709" s="6" t="str"/>
      <x:c r="AA709" s="6" t="str">
        <x:v>No / not compared</x:v>
      </x:c>
    </x:row>
    <x:row r="710" ht="57" customHeight="1">
      <x:c r="A710" s="6" t="str">
        <x:v>https://digitecme.com/blog/car-service-cost-dubai-luxury-brands</x:v>
      </x:c>
      <x:c r="B710" s="6" t="str"/>
      <x:c r="C710" s="6" t="str"/>
      <x:c r="D710" s="6" t="str">
        <x:v>article</x:v>
      </x:c>
      <x:c r="E710" s="6" t="str">
        <x:v>Retain differentiated role</x:v>
      </x:c>
      <x:c r="F710" s="6" t="str">
        <x:v>Local source render; live version unverified</x:v>
      </x:c>
      <x:c r="G710" s="6" t="str">
        <x:v>Car Service Cost in Dubai | What Drives Luxury Car Quotes</x:v>
      </x:c>
      <x:c r="H710" s="6" t="str">
        <x:v>Car Service Cost in Dubai | What Drives Luxury Car Quotes</x:v>
      </x:c>
      <x:c r="I710" s="6" t="str">
        <x:v>What Drives Car Service Cost in Dubai for Luxury Brands</x:v>
      </x:c>
      <x:c r="J710" s="6" t="str">
        <x:v>What Drives Car Service Cost in Dubai for Luxury Brands</x:v>
      </x:c>
      <x:c r="K710" s="6" t="str">
        <x:v>Understand what drives car service cost in Dubai for luxury and German brands, how to read an estimate, and the questions to ask before approving any repair.</x:v>
      </x:c>
      <x:c r="L710" s="6" t="str">
        <x:v>Retain pending evidence; no specific content edit justified by this export.</x:v>
      </x:c>
      <x:c r="M710" s="6" t="str">
        <x:v>Retain; inspect relevant context before adding links</x:v>
      </x:c>
      <x:c r="N710" s="6" t="str">
        <x:v>Unconfirmed — no query/page pairing</x:v>
      </x:c>
      <x:c r="O710" s="6" t="str">
        <x:v>Retain established booking / WhatsApp / call path; live behaviour untested</x:v>
      </x:c>
      <x:c r="P710" s="6" t="str">
        <x:v>Retain canonical and indexation policy pending a live check.</x:v>
      </x:c>
      <x:c r="Q710" s="6" t="str">
        <x:v>Proposed; no website change made</x:v>
      </x:c>
      <x:c r="R710" s="14" t="n">
        <x:v>0</x:v>
      </x:c>
      <x:c r="S710" s="14" t="n">
        <x:v>112</x:v>
      </x:c>
      <x:c r="T710" s="15" t="n">
        <x:v>0</x:v>
      </x:c>
      <x:c r="U710" s="16" t="n">
        <x:v>4.04</x:v>
      </x:c>
      <x:c r="V710" s="6" t="str">
        <x:v>https://digitecme.com/blog/car-service-cost-dubai-luxury-brands</x:v>
      </x:c>
      <x:c r="W710" s="6" t="str">
        <x:v>Indexable directive</x:v>
      </x:c>
      <x:c r="X710" s="6" t="n">
        <x:v>4</x:v>
      </x:c>
      <x:c r="Y710" s="6" t="str">
        <x:v>Car Service Cost in Dubai | What Drives Luxury Car Quotes</x:v>
      </x:c>
      <x:c r="Z710" s="6" t="str"/>
      <x:c r="AA710" s="6" t="str">
        <x:v>No / not compared</x:v>
      </x:c>
    </x:row>
    <x:row r="711" ht="57" customHeight="1">
      <x:c r="A711" s="6" t="str">
        <x:v>https://digitecme.com/blog/car-service-interval-dubai-heat</x:v>
      </x:c>
      <x:c r="B711" s="6" t="str"/>
      <x:c r="C711" s="6" t="str"/>
      <x:c r="D711" s="6" t="str">
        <x:v>article</x:v>
      </x:c>
      <x:c r="E711" s="6" t="str">
        <x:v>Retain differentiated role</x:v>
      </x:c>
      <x:c r="F711" s="6" t="str">
        <x:v>Local source render; live version unverified</x:v>
      </x:c>
      <x:c r="G711" s="6" t="str">
        <x:v>Car Service Interval Dubai | How Often to Service in UAE Heat</x:v>
      </x:c>
      <x:c r="H711" s="6" t="str">
        <x:v>Car Service Interval Dubai | How Often to Service in UAE Heat</x:v>
      </x:c>
      <x:c r="I711" s="6" t="str">
        <x:v>Car Service Intervals in Dubai: Why Heat Changes the Rules</x:v>
      </x:c>
      <x:c r="J711" s="6" t="str">
        <x:v>Car Service Intervals in Dubai: Why Heat Changes the Rules</x:v>
      </x:c>
      <x:c r="K711" s="6" t="str">
        <x:v>How often you should service your car in Dubai, why UAE heat shortens fluid life, and when time based servicing beats distance based schedules.</x:v>
      </x:c>
      <x:c r="L711" s="6" t="str">
        <x:v>Retain pending evidence; no specific content edit justified by this export.</x:v>
      </x:c>
      <x:c r="M711" s="6" t="str">
        <x:v>Retain; inspect relevant context before adding links</x:v>
      </x:c>
      <x:c r="N711" s="6" t="str">
        <x:v>Unconfirmed — no query/page pairing</x:v>
      </x:c>
      <x:c r="O711" s="6" t="str">
        <x:v>Retain established booking / WhatsApp / call path; live behaviour untested</x:v>
      </x:c>
      <x:c r="P711" s="6" t="str">
        <x:v>Retain canonical and indexation policy pending a live check.</x:v>
      </x:c>
      <x:c r="Q711" s="6" t="str">
        <x:v>Proposed; no website change made</x:v>
      </x:c>
      <x:c r="R711" s="14" t="n">
        <x:v>0</x:v>
      </x:c>
      <x:c r="S711" s="14" t="n">
        <x:v>8</x:v>
      </x:c>
      <x:c r="T711" s="15" t="n">
        <x:v>0</x:v>
      </x:c>
      <x:c r="U711" s="16" t="n">
        <x:v>7</x:v>
      </x:c>
      <x:c r="V711" s="6" t="str">
        <x:v>https://digitecme.com/blog/car-service-interval-dubai-heat</x:v>
      </x:c>
      <x:c r="W711" s="6" t="str">
        <x:v>Indexable directive</x:v>
      </x:c>
      <x:c r="X711" s="6" t="n">
        <x:v>4</x:v>
      </x:c>
      <x:c r="Y711" s="6" t="str">
        <x:v>Car Service Interval Dubai | How Often to Service in UAE Heat</x:v>
      </x:c>
      <x:c r="Z711" s="6" t="str"/>
      <x:c r="AA711" s="6" t="str">
        <x:v>No / not compared</x:v>
      </x:c>
    </x:row>
    <x:row r="712" ht="57" customHeight="1">
      <x:c r="A712" s="6" t="str">
        <x:v>https://digitecme.com/blog/ceramic-coating-vs-ppf-dubai</x:v>
      </x:c>
      <x:c r="B712" s="6" t="str"/>
      <x:c r="C712" s="6" t="str"/>
      <x:c r="D712" s="6" t="str">
        <x:v>article</x:v>
      </x:c>
      <x:c r="E712" s="6" t="str">
        <x:v>Retain differentiated role</x:v>
      </x:c>
      <x:c r="F712" s="6" t="str">
        <x:v>Local source render; live version unverified</x:v>
      </x:c>
      <x:c r="G712" s="6" t="str">
        <x:v>Ceramic Coating vs PPF Dubai | Which Protection Is Right?</x:v>
      </x:c>
      <x:c r="H712" s="6" t="str">
        <x:v>Ceramic Coating vs PPF Dubai | Which Protection Is Right?</x:v>
      </x:c>
      <x:c r="I712" s="6" t="str">
        <x:v>Ceramic Coating or PPF in Dubai: Which Should You Choose?</x:v>
      </x:c>
      <x:c r="J712" s="6" t="str">
        <x:v>Ceramic Coating or PPF in Dubai: Which Should You Choose?</x:v>
      </x:c>
      <x:c r="K712" s="6" t="str">
        <x:v>Ceramic coating or paint protection film in Dubai: what each product actually does, how UAE sun and sand affect paint, and how to decide between them.</x:v>
      </x:c>
      <x:c r="L712" s="6" t="str">
        <x:v>Retain pending evidence; no specific content edit justified by this export.</x:v>
      </x:c>
      <x:c r="M712" s="6" t="str">
        <x:v>Retain; inspect relevant context before adding links</x:v>
      </x:c>
      <x:c r="N712" s="6" t="str">
        <x:v>Unconfirmed — no query/page pairing</x:v>
      </x:c>
      <x:c r="O712" s="6" t="str">
        <x:v>Retain established booking / WhatsApp / call path; live behaviour untested</x:v>
      </x:c>
      <x:c r="P712" s="6" t="str">
        <x:v>Retain canonical and indexation policy pending a live check.</x:v>
      </x:c>
      <x:c r="Q712" s="6" t="str">
        <x:v>Proposed; no website change made</x:v>
      </x:c>
      <x:c r="R712" s="14" t="n">
        <x:v>0</x:v>
      </x:c>
      <x:c r="S712" s="14" t="n">
        <x:v>17</x:v>
      </x:c>
      <x:c r="T712" s="15" t="n">
        <x:v>0</x:v>
      </x:c>
      <x:c r="U712" s="16" t="n">
        <x:v>22.47</x:v>
      </x:c>
      <x:c r="V712" s="6" t="str">
        <x:v>https://digitecme.com/blog/ceramic-coating-vs-ppf-dubai</x:v>
      </x:c>
      <x:c r="W712" s="6" t="str">
        <x:v>Indexable directive</x:v>
      </x:c>
      <x:c r="X712" s="6" t="n">
        <x:v>6</x:v>
      </x:c>
      <x:c r="Y712" s="6" t="str">
        <x:v>Ceramic Coating vs PPF Dubai | Which Protection Is Right?</x:v>
      </x:c>
      <x:c r="Z712" s="6" t="str"/>
      <x:c r="AA712" s="6" t="str">
        <x:v>No / not compared</x:v>
      </x:c>
    </x:row>
    <x:row r="713" ht="57" customHeight="1">
      <x:c r="A713" s="6" t="str">
        <x:v>https://digitecme.com/blog/check-engine-light-dubai-guide</x:v>
      </x:c>
      <x:c r="B713" s="6" t="str"/>
      <x:c r="C713" s="6" t="str"/>
      <x:c r="D713" s="6" t="str">
        <x:v>article</x:v>
      </x:c>
      <x:c r="E713" s="6" t="str">
        <x:v>Retain differentiated role</x:v>
      </x:c>
      <x:c r="F713" s="6" t="str">
        <x:v>Local source render; live version unverified</x:v>
      </x:c>
      <x:c r="G713" s="6" t="str">
        <x:v>Check Engine Light Dubai | Causes and Diagnostic Guide</x:v>
      </x:c>
      <x:c r="H713" s="6" t="str">
        <x:v>Check Engine Light Dubai | Causes and Diagnostic Guide</x:v>
      </x:c>
      <x:c r="I713" s="6" t="str">
        <x:v>Check Engine Light in Dubai: What It Means and What to Do</x:v>
      </x:c>
      <x:c r="J713" s="6" t="str">
        <x:v>Check Engine Light in Dubai: What It Means and What to Do</x:v>
      </x:c>
      <x:c r="K713" s="6" t="str">
        <x:v>What a check engine light means, when it is safe to drive, why code readers are not a diagnosis, and how proper fault finding works in a Dubai workshop.</x:v>
      </x:c>
      <x:c r="L713" s="6" t="str">
        <x:v>Retain pending evidence; no specific content edit justified by this export.</x:v>
      </x:c>
      <x:c r="M713" s="6" t="str">
        <x:v>Retain; inspect relevant context before adding links</x:v>
      </x:c>
      <x:c r="N713" s="6" t="str">
        <x:v>Unconfirmed — no query/page pairing</x:v>
      </x:c>
      <x:c r="O713" s="6" t="str">
        <x:v>Retain established booking / WhatsApp / call path; live behaviour untested</x:v>
      </x:c>
      <x:c r="P713" s="6" t="str">
        <x:v>Retain canonical and indexation policy pending a live check.</x:v>
      </x:c>
      <x:c r="Q713" s="6" t="str">
        <x:v>Proposed; no website change made</x:v>
      </x:c>
      <x:c r="R713" s="14" t="n">
        <x:v>0</x:v>
      </x:c>
      <x:c r="S713" s="14" t="n">
        <x:v>2</x:v>
      </x:c>
      <x:c r="T713" s="15" t="n">
        <x:v>0</x:v>
      </x:c>
      <x:c r="U713" s="16" t="n">
        <x:v>6.5</x:v>
      </x:c>
      <x:c r="V713" s="6" t="str">
        <x:v>https://digitecme.com/blog/check-engine-light-dubai-guide</x:v>
      </x:c>
      <x:c r="W713" s="6" t="str">
        <x:v>Indexable directive</x:v>
      </x:c>
      <x:c r="X713" s="6" t="n">
        <x:v>4</x:v>
      </x:c>
      <x:c r="Y713" s="6" t="str">
        <x:v>Check Engine Light Dubai | Causes and Diagnostic Guide</x:v>
      </x:c>
      <x:c r="Z713" s="6" t="str"/>
      <x:c r="AA713" s="6" t="str">
        <x:v>No / not compared</x:v>
      </x:c>
    </x:row>
    <x:row r="714" ht="57" customHeight="1">
      <x:c r="A714" s="6" t="str">
        <x:v>https://digitecme.com/blog/chevrolet-best-workshop-dubai</x:v>
      </x:c>
      <x:c r="B714" s="6" t="str"/>
      <x:c r="C714" s="6" t="str"/>
      <x:c r="D714" s="6" t="str">
        <x:v>article</x:v>
      </x:c>
      <x:c r="E714" s="6" t="str">
        <x:v>Retain differentiated role</x:v>
      </x:c>
      <x:c r="F714" s="6" t="str">
        <x:v>Local source render; live version unverified</x:v>
      </x:c>
      <x:c r="G714" s="6" t="str">
        <x:v>Chevrolet Workshop Selection Guide Dubai | DIGI-TEC</x:v>
      </x:c>
      <x:c r="H714" s="6" t="str">
        <x:v>Chevrolet Workshop Selection Guide Dubai | DIGI-TEC</x:v>
      </x:c>
      <x:c r="I714" s="6" t="str">
        <x:v>Choosing a Chevrolet Workshop in Dubai: Owner Guide</x:v>
      </x:c>
      <x:c r="J714" s="6" t="str">
        <x:v>Choosing a Chevrolet Workshop in Dubai: Owner Guide</x:v>
      </x:c>
      <x:c r="K714" s="6" t="str">
        <x:v>Chevrolet workshop in Dubai for diagnostics, maintenance and repair. Visit DIGI-TEC in Al Quoz for clear inspections, practical guidance and booking support.</x:v>
      </x:c>
      <x:c r="L714" s="6" t="str">
        <x:v>Retain pending evidence; no specific content edit justified by this export.</x:v>
      </x:c>
      <x:c r="M714" s="6" t="str">
        <x:v>Retain; inspect relevant context before adding links</x:v>
      </x:c>
      <x:c r="N714" s="6" t="str">
        <x:v>Unconfirmed — no query/page pairing</x:v>
      </x:c>
      <x:c r="O714" s="6" t="str">
        <x:v>Retain established booking / WhatsApp / call path; live behaviour untested</x:v>
      </x:c>
      <x:c r="P714" s="6" t="str">
        <x:v>Retain canonical and indexation policy pending a live check.</x:v>
      </x:c>
      <x:c r="Q714" s="6" t="str">
        <x:v>Proposed; no website change made</x:v>
      </x:c>
      <x:c r="R714" s="14" t="n">
        <x:v>0</x:v>
      </x:c>
      <x:c r="S714" s="14" t="n">
        <x:v>107</x:v>
      </x:c>
      <x:c r="T714" s="15" t="n">
        <x:v>0</x:v>
      </x:c>
      <x:c r="U714" s="16" t="n">
        <x:v>11.37</x:v>
      </x:c>
      <x:c r="V714" s="6" t="str">
        <x:v>https://digitecme.com/blog/chevrolet-best-workshop-dubai</x:v>
      </x:c>
      <x:c r="W714" s="6" t="str">
        <x:v>Indexable directive</x:v>
      </x:c>
      <x:c r="X714" s="6" t="n">
        <x:v>4</x:v>
      </x:c>
      <x:c r="Y714" s="6" t="str">
        <x:v>Chevrolet Workshop Selection Guide Dubai | DIGI-TEC</x:v>
      </x:c>
      <x:c r="Z714" s="6" t="str"/>
      <x:c r="AA714" s="6" t="str">
        <x:v>No / not compared</x:v>
      </x:c>
    </x:row>
    <x:row r="715" ht="57" customHeight="1">
      <x:c r="A715" s="6" t="str">
        <x:v>https://digitecme.com/blog/dealer-vs-independent-workshop-dubai</x:v>
      </x:c>
      <x:c r="B715" s="6" t="str"/>
      <x:c r="C715" s="6" t="str"/>
      <x:c r="D715" s="6" t="str">
        <x:v>article</x:v>
      </x:c>
      <x:c r="E715" s="6" t="str">
        <x:v>Retain differentiated role</x:v>
      </x:c>
      <x:c r="F715" s="6" t="str">
        <x:v>Local source render; live version unverified</x:v>
      </x:c>
      <x:c r="G715" s="6" t="str">
        <x:v>Dealer vs Independent Workshop Dubai | Owner Comparison</x:v>
      </x:c>
      <x:c r="H715" s="6" t="str">
        <x:v>Dealer vs Independent Workshop Dubai | Owner Comparison</x:v>
      </x:c>
      <x:c r="I715" s="6" t="str">
        <x:v>Dealer or Independent Workshop in Dubai: How to Choose</x:v>
      </x:c>
      <x:c r="J715" s="6" t="str">
        <x:v>Dealer or Independent Workshop in Dubai: How to Choose</x:v>
      </x:c>
      <x:c r="K715" s="6" t="str">
        <x:v>Compare main dealer service with a specialist independent workshop in Dubai: diagnostics, genuine parts, warranty, service records, turnaround and communication.</x:v>
      </x:c>
      <x:c r="L715" s="6" t="str">
        <x:v>Retain pending evidence; no specific content edit justified by this export.</x:v>
      </x:c>
      <x:c r="M715" s="6" t="str">
        <x:v>Retain; inspect relevant context before adding links</x:v>
      </x:c>
      <x:c r="N715" s="6" t="str">
        <x:v>Unconfirmed — no query/page pairing</x:v>
      </x:c>
      <x:c r="O715" s="6" t="str">
        <x:v>Retain established booking / WhatsApp / call path; live behaviour untested</x:v>
      </x:c>
      <x:c r="P715" s="6" t="str">
        <x:v>Retain canonical and indexation policy pending a live check.</x:v>
      </x:c>
      <x:c r="Q715" s="6" t="str">
        <x:v>Proposed; no website change made</x:v>
      </x:c>
      <x:c r="R715" s="14" t="n">
        <x:v>0</x:v>
      </x:c>
      <x:c r="S715" s="14" t="n">
        <x:v>22</x:v>
      </x:c>
      <x:c r="T715" s="15" t="n">
        <x:v>0</x:v>
      </x:c>
      <x:c r="U715" s="16" t="n">
        <x:v>7.45</x:v>
      </x:c>
      <x:c r="V715" s="6" t="str">
        <x:v>https://digitecme.com/blog/dealer-vs-independent-workshop-dubai</x:v>
      </x:c>
      <x:c r="W715" s="6" t="str">
        <x:v>Indexable directive</x:v>
      </x:c>
      <x:c r="X715" s="6" t="n">
        <x:v>4</x:v>
      </x:c>
      <x:c r="Y715" s="6" t="str">
        <x:v>Dealer vs Independent Workshop Dubai | Owner Comparison</x:v>
      </x:c>
      <x:c r="Z715" s="6" t="str"/>
      <x:c r="AA715" s="6" t="str">
        <x:v>No / not compared</x:v>
      </x:c>
    </x:row>
    <x:row r="716" ht="57" customHeight="1">
      <x:c r="A716" s="6" t="str">
        <x:v>https://digitecme.com/blog/defender-service-dubai-guide</x:v>
      </x:c>
      <x:c r="B716" s="6" t="str"/>
      <x:c r="C716" s="6" t="str"/>
      <x:c r="D716" s="6" t="str">
        <x:v>article</x:v>
      </x:c>
      <x:c r="E716" s="6" t="str">
        <x:v>Retain differentiated role</x:v>
      </x:c>
      <x:c r="F716" s="6" t="str">
        <x:v>Local source render; live version unverified</x:v>
      </x:c>
      <x:c r="G716" s="6" t="str">
        <x:v>Defender Service Dubai | Land Rover Defender Maintenance Guide</x:v>
      </x:c>
      <x:c r="H716" s="6" t="str">
        <x:v>Defender Service Dubai | Land Rover Defender Maintenance Guide</x:v>
      </x:c>
      <x:c r="I716" s="6" t="str">
        <x:v>Land Rover Defender Service in Dubai: Owner Guide</x:v>
      </x:c>
      <x:c r="J716" s="6" t="str">
        <x:v>Land Rover Defender Service in Dubai: Owner Guide</x:v>
      </x:c>
      <x:c r="K716" s="6" t="str">
        <x:v>Land Rover Defender service in Dubai: oil intervals, air suspension, cooling, desert use checks, brakes and diagnostics for the new Defender range.</x:v>
      </x:c>
      <x:c r="L716" s="6" t="str">
        <x:v>Retain pending evidence; no specific content edit justified by this export.</x:v>
      </x:c>
      <x:c r="M716" s="6" t="str">
        <x:v>Retain; inspect relevant context before adding links</x:v>
      </x:c>
      <x:c r="N716" s="6" t="str">
        <x:v>Unconfirmed — no query/page pairing</x:v>
      </x:c>
      <x:c r="O716" s="6" t="str">
        <x:v>Retain established booking / WhatsApp / call path; live behaviour untested</x:v>
      </x:c>
      <x:c r="P716" s="6" t="str">
        <x:v>Retain canonical and indexation policy pending a live check.</x:v>
      </x:c>
      <x:c r="Q716" s="6" t="str">
        <x:v>Proposed; no website change made</x:v>
      </x:c>
      <x:c r="R716" s="14" t="n">
        <x:v>0</x:v>
      </x:c>
      <x:c r="S716" s="14" t="n">
        <x:v>7</x:v>
      </x:c>
      <x:c r="T716" s="15" t="n">
        <x:v>0</x:v>
      </x:c>
      <x:c r="U716" s="16" t="n">
        <x:v>13.57</x:v>
      </x:c>
      <x:c r="V716" s="6" t="str">
        <x:v>https://digitecme.com/blog/defender-service-dubai-guide</x:v>
      </x:c>
      <x:c r="W716" s="6" t="str">
        <x:v>Indexable directive</x:v>
      </x:c>
      <x:c r="X716" s="6" t="n">
        <x:v>4</x:v>
      </x:c>
      <x:c r="Y716" s="6" t="str">
        <x:v>Defender Service Dubai | Land Rover Defender Maintenance Guide</x:v>
      </x:c>
      <x:c r="Z716" s="6" t="str"/>
      <x:c r="AA716" s="6" t="str">
        <x:v>No / not compared</x:v>
      </x:c>
    </x:row>
    <x:row r="717" ht="57" customHeight="1">
      <x:c r="A717" s="6" t="str">
        <x:v>https://digitecme.com/blog/ecu-remap-safe-dubai-guide</x:v>
      </x:c>
      <x:c r="B717" s="6" t="str"/>
      <x:c r="C717" s="6" t="str"/>
      <x:c r="D717" s="6" t="str">
        <x:v>article</x:v>
      </x:c>
      <x:c r="E717" s="6" t="str">
        <x:v>Retain differentiated role</x:v>
      </x:c>
      <x:c r="F717" s="6" t="str">
        <x:v>Local source render; live version unverified</x:v>
      </x:c>
      <x:c r="G717" s="6" t="str">
        <x:v>ECU Remap Dubai | Is Tuning Safe for Your Car?</x:v>
      </x:c>
      <x:c r="H717" s="6" t="str">
        <x:v>ECU Remap Dubai | Is Tuning Safe for Your Car?</x:v>
      </x:c>
      <x:c r="I717" s="6" t="str">
        <x:v>Is ECU Remapping Safe in Dubai? An Honest Guide</x:v>
      </x:c>
      <x:c r="J717" s="6" t="str">
        <x:v>Is ECU Remapping Safe in Dubai? An Honest Guide</x:v>
      </x:c>
      <x:c r="K717" s="6" t="str">
        <x:v>Is ECU remapping safe in Dubai? How professional tuning is developed, what hardware supporting mods matter, cooling in UAE heat and what to ask before booking.</x:v>
      </x:c>
      <x:c r="L717" s="6" t="str">
        <x:v>Retain pending evidence; no specific content edit justified by this export.</x:v>
      </x:c>
      <x:c r="M717" s="6" t="str">
        <x:v>Retain; inspect relevant context before adding links</x:v>
      </x:c>
      <x:c r="N717" s="6" t="str">
        <x:v>Unconfirmed — no query/page pairing</x:v>
      </x:c>
      <x:c r="O717" s="6" t="str">
        <x:v>Retain established booking / WhatsApp / call path; live behaviour untested</x:v>
      </x:c>
      <x:c r="P717" s="6" t="str">
        <x:v>Retain canonical and indexation policy pending a live check.</x:v>
      </x:c>
      <x:c r="Q717" s="6" t="str">
        <x:v>Proposed; no website change made</x:v>
      </x:c>
      <x:c r="R717" s="14" t="n">
        <x:v>0</x:v>
      </x:c>
      <x:c r="S717" s="14" t="n">
        <x:v>89</x:v>
      </x:c>
      <x:c r="T717" s="15" t="n">
        <x:v>0</x:v>
      </x:c>
      <x:c r="U717" s="16" t="n">
        <x:v>9.06</x:v>
      </x:c>
      <x:c r="V717" s="6" t="str">
        <x:v>https://digitecme.com/blog/ecu-remap-safe-dubai-guide</x:v>
      </x:c>
      <x:c r="W717" s="6" t="str">
        <x:v>Indexable directive</x:v>
      </x:c>
      <x:c r="X717" s="6" t="n">
        <x:v>4</x:v>
      </x:c>
      <x:c r="Y717" s="6" t="str">
        <x:v>ECU Remap Dubai | Is Tuning Safe for Your Car?</x:v>
      </x:c>
      <x:c r="Z717" s="6" t="str"/>
      <x:c r="AA717" s="6" t="str">
        <x:v>No / not compared</x:v>
      </x:c>
    </x:row>
    <x:row r="718" ht="42" customHeight="1">
      <x:c r="A718" s="6" t="str">
        <x:v>https://digitecme.com/blog/engine-overheating-dubai</x:v>
      </x:c>
      <x:c r="B718" s="6" t="str"/>
      <x:c r="C718" s="6" t="str"/>
      <x:c r="D718" s="6" t="str">
        <x:v>Historical URL</x:v>
      </x:c>
      <x:c r="E718" s="6" t="str">
        <x:v>Verify historical URL</x:v>
      </x:c>
      <x:c r="F718" s="6" t="str">
        <x:v>Historical GSC URL; current page unverified</x:v>
      </x:c>
      <x:c r="G718" s="6" t="str">
        <x:v>Not verified</x:v>
      </x:c>
      <x:c r="H718" s="6" t="str">
        <x:v>Not verified</x:v>
      </x:c>
      <x:c r="I718" s="6" t="str">
        <x:v>Not verified</x:v>
      </x:c>
      <x:c r="J718" s="6" t="str">
        <x:v>Not verified</x:v>
      </x:c>
      <x:c r="K718" s="6" t="str">
        <x:v>Not verified</x:v>
      </x:c>
      <x:c r="L718" s="6" t="str">
        <x:v>Verify current HTTP response, canonical destination and URL history before changing or consolidating.</x:v>
      </x:c>
      <x:c r="M718" s="6" t="str">
        <x:v>Retain; inspect relevant context before adding links</x:v>
      </x:c>
      <x:c r="N718" s="6" t="str">
        <x:v>Unconfirmed — no query/page pairing</x:v>
      </x:c>
      <x:c r="O718" s="6" t="str">
        <x:v>Retain established booking / WhatsApp / call path; live behaviour untested</x:v>
      </x:c>
      <x:c r="P718" s="6" t="str">
        <x:v>Inspect live routing and canonical; do not infer a redirect from the URL shape.</x:v>
      </x:c>
      <x:c r="Q718" s="6" t="str">
        <x:v>Proposed; no website change made</x:v>
      </x:c>
      <x:c r="R718" s="14" t="n">
        <x:v>0</x:v>
      </x:c>
      <x:c r="S718" s="14" t="n">
        <x:v>1</x:v>
      </x:c>
      <x:c r="T718" s="15" t="n">
        <x:v>0</x:v>
      </x:c>
      <x:c r="U718" s="16" t="n">
        <x:v>1</x:v>
      </x:c>
      <x:c r="V718" s="6" t="str">
        <x:v>Not verified</x:v>
      </x:c>
      <x:c r="W718" s="6" t="str">
        <x:v>Not verified</x:v>
      </x:c>
      <x:c r="X718" s="6"/>
      <x:c r="Y718" s="6" t="str"/>
      <x:c r="Z718" s="6" t="str"/>
      <x:c r="AA718" s="6" t="str">
        <x:v>No / not compared</x:v>
      </x:c>
    </x:row>
    <x:row r="719" ht="57" customHeight="1">
      <x:c r="A719" s="6" t="str">
        <x:v>https://digitecme.com/blog/engine-overheating-dubai-what-to-do</x:v>
      </x:c>
      <x:c r="B719" s="6" t="str"/>
      <x:c r="C719" s="6" t="str"/>
      <x:c r="D719" s="6" t="str">
        <x:v>article</x:v>
      </x:c>
      <x:c r="E719" s="6" t="str">
        <x:v>Retain differentiated role</x:v>
      </x:c>
      <x:c r="F719" s="6" t="str">
        <x:v>Local source render; live version unverified</x:v>
      </x:c>
      <x:c r="G719" s="6" t="str">
        <x:v>Engine Overheating Dubai | Causes and What to Do Immediately</x:v>
      </x:c>
      <x:c r="H719" s="6" t="str">
        <x:v>Engine Overheating Dubai | Causes and What to Do Immediately</x:v>
      </x:c>
      <x:c r="I719" s="6" t="str">
        <x:v>Engine Overheating in Dubai: What to Do and Why It Happens</x:v>
      </x:c>
      <x:c r="J719" s="6" t="str">
        <x:v>Engine Overheating in Dubai: What to Do and Why It Happens</x:v>
      </x:c>
      <x:c r="K719" s="6" t="str">
        <x:v>What to do if your engine overheats in Dubai, the most common causes in UAE heat, and how a workshop diagnoses cooling system faults properly.</x:v>
      </x:c>
      <x:c r="L719" s="6" t="str">
        <x:v>Retain pending evidence; no specific content edit justified by this export.</x:v>
      </x:c>
      <x:c r="M719" s="6" t="str">
        <x:v>Retain; inspect relevant context before adding links</x:v>
      </x:c>
      <x:c r="N719" s="6" t="str">
        <x:v>Unconfirmed — no query/page pairing</x:v>
      </x:c>
      <x:c r="O719" s="6" t="str">
        <x:v>Retain established booking / WhatsApp / call path; live behaviour untested</x:v>
      </x:c>
      <x:c r="P719" s="6" t="str">
        <x:v>Retain canonical and indexation policy pending a live check.</x:v>
      </x:c>
      <x:c r="Q719" s="6" t="str">
        <x:v>Proposed; no website change made</x:v>
      </x:c>
      <x:c r="R719" s="14" t="n">
        <x:v>0</x:v>
      </x:c>
      <x:c r="S719" s="14" t="n">
        <x:v>9</x:v>
      </x:c>
      <x:c r="T719" s="15" t="n">
        <x:v>0</x:v>
      </x:c>
      <x:c r="U719" s="16" t="n">
        <x:v>5.89</x:v>
      </x:c>
      <x:c r="V719" s="6" t="str">
        <x:v>https://digitecme.com/blog/engine-overheating-dubai-what-to-do</x:v>
      </x:c>
      <x:c r="W719" s="6" t="str">
        <x:v>Indexable directive</x:v>
      </x:c>
      <x:c r="X719" s="6" t="n">
        <x:v>4</x:v>
      </x:c>
      <x:c r="Y719" s="6" t="str">
        <x:v>Engine Overheating Dubai | Causes and What to Do Immediately</x:v>
      </x:c>
      <x:c r="Z719" s="6" t="str"/>
      <x:c r="AA719" s="6" t="str">
        <x:v>No / not compared</x:v>
      </x:c>
    </x:row>
    <x:row r="720" ht="42" customHeight="1">
      <x:c r="A720" s="6" t="str">
        <x:v>https://digitecme.com/blog/ferrari-488-service-dubai-guide</x:v>
      </x:c>
      <x:c r="B720" s="6" t="str"/>
      <x:c r="C720" s="6" t="str"/>
      <x:c r="D720" s="6" t="str">
        <x:v>article</x:v>
      </x:c>
      <x:c r="E720" s="6" t="str">
        <x:v>Retain differentiated role</x:v>
      </x:c>
      <x:c r="F720" s="6" t="str">
        <x:v>Local source render; live version unverified</x:v>
      </x:c>
      <x:c r="G720" s="6" t="str">
        <x:v>Ferrari 488 Service Dubai | Maintenance and Inspection Guide</x:v>
      </x:c>
      <x:c r="H720" s="6" t="str">
        <x:v>Ferrari 488 Service Dubai | Maintenance and Inspection Guide</x:v>
      </x:c>
      <x:c r="I720" s="6" t="str">
        <x:v>Ferrari 488 Service in Dubai: Owner Maintenance Guide</x:v>
      </x:c>
      <x:c r="J720" s="6" t="str">
        <x:v>Ferrari 488 Service in Dubai: Owner Maintenance Guide</x:v>
      </x:c>
      <x:c r="K720" s="6" t="str">
        <x:v>Ferrari 488 owner guide for Dubai: service planning, vehicle-specific fluids, cooling, brakes, supported DCT data and storage care.</x:v>
      </x:c>
      <x:c r="L720" s="6" t="str">
        <x:v>Retain pending evidence; no specific content edit justified by this export.</x:v>
      </x:c>
      <x:c r="M720" s="6" t="str">
        <x:v>Retain; inspect relevant context before adding links</x:v>
      </x:c>
      <x:c r="N720" s="6" t="str">
        <x:v>Unconfirmed — no query/page pairing</x:v>
      </x:c>
      <x:c r="O720" s="6" t="str">
        <x:v>Retain established booking / WhatsApp / call path; live behaviour untested</x:v>
      </x:c>
      <x:c r="P720" s="6" t="str">
        <x:v>Retain canonical and indexation policy pending a live check.</x:v>
      </x:c>
      <x:c r="Q720" s="6" t="str">
        <x:v>Proposed; no website change made</x:v>
      </x:c>
      <x:c r="R720" s="14" t="n">
        <x:v>0</x:v>
      </x:c>
      <x:c r="S720" s="14" t="n">
        <x:v>25</x:v>
      </x:c>
      <x:c r="T720" s="15" t="n">
        <x:v>0</x:v>
      </x:c>
      <x:c r="U720" s="16" t="n">
        <x:v>9.52</x:v>
      </x:c>
      <x:c r="V720" s="6" t="str">
        <x:v>https://digitecme.com/blog/ferrari-488-service-dubai-guide</x:v>
      </x:c>
      <x:c r="W720" s="6" t="str">
        <x:v>Indexable directive</x:v>
      </x:c>
      <x:c r="X720" s="6" t="n">
        <x:v>7</x:v>
      </x:c>
      <x:c r="Y720" s="6" t="str">
        <x:v>Ferrari 488 Service Dubai | Maintenance and Inspection Guide</x:v>
      </x:c>
      <x:c r="Z720" s="6" t="str"/>
      <x:c r="AA720" s="6" t="str">
        <x:v>No / not compared</x:v>
      </x:c>
    </x:row>
    <x:row r="721" ht="57" customHeight="1">
      <x:c r="A721" s="6" t="str">
        <x:v>https://digitecme.com/blog/ferrari-maintenance-guide-dubai</x:v>
      </x:c>
      <x:c r="B721" s="6" t="str"/>
      <x:c r="C721" s="6" t="str"/>
      <x:c r="D721" s="6" t="str">
        <x:v>article</x:v>
      </x:c>
      <x:c r="E721" s="6" t="str">
        <x:v>Retain differentiated role</x:v>
      </x:c>
      <x:c r="F721" s="6" t="str">
        <x:v>Local source render; live version unverified</x:v>
      </x:c>
      <x:c r="G721" s="6" t="str">
        <x:v>Ferrari Maintenance Dubai | Ownership &amp; Service Guide</x:v>
      </x:c>
      <x:c r="H721" s="6" t="str">
        <x:v>Ferrari Maintenance Dubai | Ownership &amp; Service Guide</x:v>
      </x:c>
      <x:c r="I721" s="6" t="str">
        <x:v>Ferrari Maintenance in Dubai: Ownership &amp; Service Guide</x:v>
      </x:c>
      <x:c r="J721" s="6" t="str">
        <x:v>Ferrari Maintenance in Dubai: Ownership &amp; Service Guide</x:v>
      </x:c>
      <x:c r="K721" s="6" t="str">
        <x:v>Plan Ferrari maintenance in Dubai with a model-aware guide to service timing, warning signs, storage and essential checks for UAE heat and performance use.</x:v>
      </x:c>
      <x:c r="L721" s="6" t="str">
        <x:v>Retain pending evidence; no specific content edit justified by this export.</x:v>
      </x:c>
      <x:c r="M721" s="6" t="str">
        <x:v>Retain; inspect relevant context before adding links</x:v>
      </x:c>
      <x:c r="N721" s="6" t="str">
        <x:v>Unconfirmed — no query/page pairing</x:v>
      </x:c>
      <x:c r="O721" s="6" t="str">
        <x:v>Retain established booking / WhatsApp / call path; live behaviour untested</x:v>
      </x:c>
      <x:c r="P721" s="6" t="str">
        <x:v>Retain canonical and indexation policy pending a live check.</x:v>
      </x:c>
      <x:c r="Q721" s="6" t="str">
        <x:v>Proposed; no website change made</x:v>
      </x:c>
      <x:c r="R721" s="14" t="n">
        <x:v>0</x:v>
      </x:c>
      <x:c r="S721" s="14" t="n">
        <x:v>197</x:v>
      </x:c>
      <x:c r="T721" s="15" t="n">
        <x:v>0</x:v>
      </x:c>
      <x:c r="U721" s="16" t="n">
        <x:v>9.41</x:v>
      </x:c>
      <x:c r="V721" s="6" t="str">
        <x:v>https://digitecme.com/blog/ferrari-maintenance-guide-dubai</x:v>
      </x:c>
      <x:c r="W721" s="6" t="str">
        <x:v>Indexable directive</x:v>
      </x:c>
      <x:c r="X721" s="6" t="n">
        <x:v>19</x:v>
      </x:c>
      <x:c r="Y721" s="6" t="str">
        <x:v>Ferrari Maintenance Dubai | Ownership &amp; Service Guide</x:v>
      </x:c>
      <x:c r="Z721" s="6" t="str"/>
      <x:c r="AA721" s="6" t="str">
        <x:v>No / not compared</x:v>
      </x:c>
    </x:row>
    <x:row r="722" ht="57" customHeight="1">
      <x:c r="A722" s="6" t="str">
        <x:v>https://digitecme.com/blog/ford-best-workshop-dubai</x:v>
      </x:c>
      <x:c r="B722" s="6" t="str"/>
      <x:c r="C722" s="6" t="str"/>
      <x:c r="D722" s="6" t="str">
        <x:v>article</x:v>
      </x:c>
      <x:c r="E722" s="6" t="str">
        <x:v>Retain differentiated role</x:v>
      </x:c>
      <x:c r="F722" s="6" t="str">
        <x:v>Local source render; live version unverified</x:v>
      </x:c>
      <x:c r="G722" s="6" t="str">
        <x:v>Ford Workshop Selection Guide Dubai | DIGI-TEC</x:v>
      </x:c>
      <x:c r="H722" s="6" t="str">
        <x:v>Ford Workshop Selection Guide Dubai | DIGI-TEC</x:v>
      </x:c>
      <x:c r="I722" s="6" t="str">
        <x:v>Choosing a Ford Workshop in Dubai: Owner Guide</x:v>
      </x:c>
      <x:c r="J722" s="6" t="str">
        <x:v>Choosing a Ford Workshop in Dubai: Owner Guide</x:v>
      </x:c>
      <x:c r="K722" s="6" t="str">
        <x:v>Ford workshop in Dubai for diagnostics, maintenance and repair. Visit DIGI-TEC in Al Quoz for clear inspections, practical guidance and booking support.</x:v>
      </x:c>
      <x:c r="L722" s="6" t="str">
        <x:v>Retain pending evidence; no specific content edit justified by this export.</x:v>
      </x:c>
      <x:c r="M722" s="6" t="str">
        <x:v>Retain; inspect relevant context before adding links</x:v>
      </x:c>
      <x:c r="N722" s="6" t="str">
        <x:v>Unconfirmed — no query/page pairing</x:v>
      </x:c>
      <x:c r="O722" s="6" t="str">
        <x:v>Retain established booking / WhatsApp / call path; live behaviour untested</x:v>
      </x:c>
      <x:c r="P722" s="6" t="str">
        <x:v>Retain canonical and indexation policy pending a live check.</x:v>
      </x:c>
      <x:c r="Q722" s="6" t="str">
        <x:v>Proposed; no website change made</x:v>
      </x:c>
      <x:c r="R722" s="14" t="n">
        <x:v>0</x:v>
      </x:c>
      <x:c r="S722" s="14" t="n">
        <x:v>53</x:v>
      </x:c>
      <x:c r="T722" s="15" t="n">
        <x:v>0</x:v>
      </x:c>
      <x:c r="U722" s="16" t="n">
        <x:v>10.04</x:v>
      </x:c>
      <x:c r="V722" s="6" t="str">
        <x:v>https://digitecme.com/blog/ford-best-workshop-dubai</x:v>
      </x:c>
      <x:c r="W722" s="6" t="str">
        <x:v>Indexable directive</x:v>
      </x:c>
      <x:c r="X722" s="6" t="n">
        <x:v>4</x:v>
      </x:c>
      <x:c r="Y722" s="6" t="str">
        <x:v>Ford Workshop Selection Guide Dubai | DIGI-TEC</x:v>
      </x:c>
      <x:c r="Z722" s="6" t="str"/>
      <x:c r="AA722" s="6" t="str">
        <x:v>No / not compared</x:v>
      </x:c>
    </x:row>
    <x:row r="723" ht="57" customHeight="1">
      <x:c r="A723" s="6" t="str">
        <x:v>https://digitecme.com/blog/g63-to-brabus-g800-conversion-dubai</x:v>
      </x:c>
      <x:c r="B723" s="6" t="str"/>
      <x:c r="C723" s="6" t="str"/>
      <x:c r="D723" s="6" t="str">
        <x:v>article</x:v>
      </x:c>
      <x:c r="E723" s="6" t="str">
        <x:v>Retain differentiated role</x:v>
      </x:c>
      <x:c r="F723" s="6" t="str">
        <x:v>Local source render; live version unverified</x:v>
      </x:c>
      <x:c r="G723" s="6" t="str">
        <x:v>G63 to BRABUS G 800 Conversion Dubai | Before &amp; After</x:v>
      </x:c>
      <x:c r="H723" s="6" t="str">
        <x:v>G63 to BRABUS G 800 Conversion Dubai | Before &amp; After</x:v>
      </x:c>
      <x:c r="I723" s="6" t="str">
        <x:v>G63 to BRABUS G 800-Style Conversion in Dubai: Before &amp; After</x:v>
      </x:c>
      <x:c r="J723" s="6" t="str">
        <x:v>G63 to BRABUS G 800-Style Conversion in Dubai: Before &amp; After</x:v>
      </x:c>
      <x:c r="K723" s="6" t="str">
        <x:v>See a real Mercedes-AMG G63 to BRABUS G 800-style conversion in Dubai. Before-and-after photos, bodywork, fitment, wiring and final quality checks at Digi-Tec.</x:v>
      </x:c>
      <x:c r="L723" s="6" t="str">
        <x:v>Retain pending evidence; no specific content edit justified by this export.</x:v>
      </x:c>
      <x:c r="M723" s="6" t="str">
        <x:v>Retain; inspect relevant context before adding links</x:v>
      </x:c>
      <x:c r="N723" s="6" t="str">
        <x:v>Unconfirmed — no query/page pairing</x:v>
      </x:c>
      <x:c r="O723" s="6" t="str">
        <x:v>Retain established booking / WhatsApp / call path; live behaviour untested</x:v>
      </x:c>
      <x:c r="P723" s="6" t="str">
        <x:v>Retain canonical and indexation policy pending a live check.</x:v>
      </x:c>
      <x:c r="Q723" s="6" t="str">
        <x:v>Proposed; no website change made</x:v>
      </x:c>
      <x:c r="R723" s="14" t="n">
        <x:v>0</x:v>
      </x:c>
      <x:c r="S723" s="14" t="n">
        <x:v>3</x:v>
      </x:c>
      <x:c r="T723" s="15" t="n">
        <x:v>0</x:v>
      </x:c>
      <x:c r="U723" s="16" t="n">
        <x:v>17.67</x:v>
      </x:c>
      <x:c r="V723" s="6" t="str">
        <x:v>https://digitecme.com/blog/g63-to-brabus-g800-conversion-dubai</x:v>
      </x:c>
      <x:c r="W723" s="6" t="str">
        <x:v>Indexable directive</x:v>
      </x:c>
      <x:c r="X723" s="6" t="n">
        <x:v>6</x:v>
      </x:c>
      <x:c r="Y723" s="6" t="str">
        <x:v>G63 to BRABUS G 800 Conversion Dubai | Before &amp; After</x:v>
      </x:c>
      <x:c r="Z723" s="6" t="str"/>
      <x:c r="AA723" s="6" t="str">
        <x:v>No / not compared</x:v>
      </x:c>
    </x:row>
    <x:row r="724" ht="57" customHeight="1">
      <x:c r="A724" s="6" t="str">
        <x:v>https://digitecme.com/blog/gad-tuning-explained</x:v>
      </x:c>
      <x:c r="B724" s="6" t="str"/>
      <x:c r="C724" s="6" t="str"/>
      <x:c r="D724" s="6" t="str">
        <x:v>article</x:v>
      </x:c>
      <x:c r="E724" s="6" t="str">
        <x:v>Retain differentiated role</x:v>
      </x:c>
      <x:c r="F724" s="6" t="str">
        <x:v>Local source render; live version unverified</x:v>
      </x:c>
      <x:c r="G724" s="6" t="str">
        <x:v>GAD Tuning Explained | Digitec Performance Center Dubai</x:v>
      </x:c>
      <x:c r="H724" s="6" t="str">
        <x:v>GAD Tuning Explained | Digitec Performance Center Dubai</x:v>
      </x:c>
      <x:c r="I724" s="6" t="str">
        <x:v>GAD Tuning: Questions to Ask Before an ECU Project</x:v>
      </x:c>
      <x:c r="J724" s="6" t="str">
        <x:v>GAD Tuning: Questions to Ask Before an ECU Project</x:v>
      </x:c>
      <x:c r="K724" s="6" t="str">
        <x:v>Questions to ask before a GAD tuning project in Dubai, including vehicle health, calibration scope, supporting hardware, fuel, cooling and post-installation checks.</x:v>
      </x:c>
      <x:c r="L724" s="6" t="str">
        <x:v>Retain pending evidence; no specific content edit justified by this export.</x:v>
      </x:c>
      <x:c r="M724" s="6" t="str">
        <x:v>Retain; inspect relevant context before adding links</x:v>
      </x:c>
      <x:c r="N724" s="6" t="str">
        <x:v>Unconfirmed — no query/page pairing</x:v>
      </x:c>
      <x:c r="O724" s="6" t="str">
        <x:v>Retain established booking / WhatsApp / call path; live behaviour untested</x:v>
      </x:c>
      <x:c r="P724" s="6" t="str">
        <x:v>Retain canonical and indexation policy pending a live check.</x:v>
      </x:c>
      <x:c r="Q724" s="6" t="str">
        <x:v>Proposed; no website change made</x:v>
      </x:c>
      <x:c r="R724" s="14" t="n">
        <x:v>4</x:v>
      </x:c>
      <x:c r="S724" s="14" t="n">
        <x:v>675</x:v>
      </x:c>
      <x:c r="T724" s="15" t="n">
        <x:v>0.0059</x:v>
      </x:c>
      <x:c r="U724" s="16" t="n">
        <x:v>8.43</x:v>
      </x:c>
      <x:c r="V724" s="6" t="str">
        <x:v>https://digitecme.com/blog/gad-tuning-explained</x:v>
      </x:c>
      <x:c r="W724" s="6" t="str">
        <x:v>Indexable directive</x:v>
      </x:c>
      <x:c r="X724" s="6" t="n">
        <x:v>4</x:v>
      </x:c>
      <x:c r="Y724" s="6" t="str">
        <x:v>GAD Tuning Explained | Digitec Performance Center Dubai</x:v>
      </x:c>
      <x:c r="Z724" s="6" t="str"/>
      <x:c r="AA724" s="6" t="str">
        <x:v>No / not compared</x:v>
      </x:c>
    </x:row>
    <x:row r="725" ht="57" customHeight="1">
      <x:c r="A725" s="6" t="str">
        <x:v>https://digitecme.com/blog/how-much-is-my-mercedes-worth-dubai</x:v>
      </x:c>
      <x:c r="B725" s="6" t="str"/>
      <x:c r="C725" s="6" t="str"/>
      <x:c r="D725" s="6" t="str">
        <x:v>article</x:v>
      </x:c>
      <x:c r="E725" s="6" t="str">
        <x:v>Retain differentiated role</x:v>
      </x:c>
      <x:c r="F725" s="6" t="str">
        <x:v>Local source render; live version unverified</x:v>
      </x:c>
      <x:c r="G725" s="6" t="str">
        <x:v>How Much Is My Mercedes Worth in Dubai? | Valuation &amp; Sale Help</x:v>
      </x:c>
      <x:c r="H725" s="6" t="str">
        <x:v>How Much Is My Mercedes Worth in Dubai? | Valuation &amp; Sale Help</x:v>
      </x:c>
      <x:c r="I725" s="6" t="str">
        <x:v>How Much Is My Mercedes Worth in Dubai?</x:v>
      </x:c>
      <x:c r="J725" s="6" t="str">
        <x:v>How Much Is My Mercedes Worth in Dubai?</x:v>
      </x:c>
      <x:c r="K725" s="6" t="str">
        <x:v>Find out what your Mercedes is worth in Dubai. Digi-Tec can inspect, value, prepare, market and help sell your Mercedes with a clear, informed process.</x:v>
      </x:c>
      <x:c r="L725" s="6" t="str">
        <x:v>Retain pending evidence; no specific content edit justified by this export.</x:v>
      </x:c>
      <x:c r="M725" s="6" t="str">
        <x:v>Retain; inspect relevant context before adding links</x:v>
      </x:c>
      <x:c r="N725" s="6" t="str">
        <x:v>Unconfirmed — no query/page pairing</x:v>
      </x:c>
      <x:c r="O725" s="6" t="str">
        <x:v>Retain established booking / WhatsApp / call path; live behaviour untested</x:v>
      </x:c>
      <x:c r="P725" s="6" t="str">
        <x:v>Retain canonical and indexation policy pending a live check.</x:v>
      </x:c>
      <x:c r="Q725" s="6" t="str">
        <x:v>Proposed; no website change made</x:v>
      </x:c>
      <x:c r="R725" s="14"/>
      <x:c r="S725" s="14"/>
      <x:c r="T725" s="15"/>
      <x:c r="U725" s="16"/>
      <x:c r="V725" s="6" t="str">
        <x:v>https://digitecme.com/blog/how-much-is-my-mercedes-worth-dubai</x:v>
      </x:c>
      <x:c r="W725" s="6" t="str">
        <x:v>Indexable directive</x:v>
      </x:c>
      <x:c r="X725" s="6" t="n">
        <x:v>47</x:v>
      </x:c>
      <x:c r="Y725" s="6" t="str">
        <x:v>How Much Is My Mercedes Worth in Dubai? | Valuation &amp; Sale Help</x:v>
      </x:c>
      <x:c r="Z725" s="6" t="str"/>
      <x:c r="AA725" s="6" t="str">
        <x:v>No / not compared</x:v>
      </x:c>
    </x:row>
    <x:row r="726" ht="57" customHeight="1">
      <x:c r="A726" s="6" t="str">
        <x:v>https://digitecme.com/blog/jaguar-best-workshop-dubai</x:v>
      </x:c>
      <x:c r="B726" s="6" t="str"/>
      <x:c r="C726" s="6" t="str"/>
      <x:c r="D726" s="6" t="str">
        <x:v>article</x:v>
      </x:c>
      <x:c r="E726" s="6" t="str">
        <x:v>Retain differentiated role</x:v>
      </x:c>
      <x:c r="F726" s="6" t="str">
        <x:v>Local source render; live version unverified</x:v>
      </x:c>
      <x:c r="G726" s="6" t="str">
        <x:v>Jaguar Workshop Selection Guide Dubai | DIGI-TEC</x:v>
      </x:c>
      <x:c r="H726" s="6" t="str">
        <x:v>Jaguar Workshop Selection Guide Dubai | DIGI-TEC</x:v>
      </x:c>
      <x:c r="I726" s="6" t="str">
        <x:v>Choosing a Jaguar Workshop in Dubai: Owner Guide</x:v>
      </x:c>
      <x:c r="J726" s="6" t="str">
        <x:v>Choosing a Jaguar Workshop in Dubai: Owner Guide</x:v>
      </x:c>
      <x:c r="K726" s="6" t="str">
        <x:v>Jaguar workshop in Dubai for diagnostics, maintenance and repair. Visit DIGI-TEC in Al Quoz for clear inspections, practical guidance and booking support.</x:v>
      </x:c>
      <x:c r="L726" s="6" t="str">
        <x:v>Retain pending evidence; no specific content edit justified by this export.</x:v>
      </x:c>
      <x:c r="M726" s="6" t="str">
        <x:v>Retain; inspect relevant context before adding links</x:v>
      </x:c>
      <x:c r="N726" s="6" t="str">
        <x:v>Unconfirmed — no query/page pairing</x:v>
      </x:c>
      <x:c r="O726" s="6" t="str">
        <x:v>Retain established booking / WhatsApp / call path; live behaviour untested</x:v>
      </x:c>
      <x:c r="P726" s="6" t="str">
        <x:v>Retain canonical and indexation policy pending a live check.</x:v>
      </x:c>
      <x:c r="Q726" s="6" t="str">
        <x:v>Proposed; no website change made</x:v>
      </x:c>
      <x:c r="R726" s="14" t="n">
        <x:v>0</x:v>
      </x:c>
      <x:c r="S726" s="14" t="n">
        <x:v>52</x:v>
      </x:c>
      <x:c r="T726" s="15" t="n">
        <x:v>0</x:v>
      </x:c>
      <x:c r="U726" s="16" t="n">
        <x:v>17.6</x:v>
      </x:c>
      <x:c r="V726" s="6" t="str">
        <x:v>https://digitecme.com/blog/jaguar-best-workshop-dubai</x:v>
      </x:c>
      <x:c r="W726" s="6" t="str">
        <x:v>Indexable directive</x:v>
      </x:c>
      <x:c r="X726" s="6" t="n">
        <x:v>4</x:v>
      </x:c>
      <x:c r="Y726" s="6" t="str">
        <x:v>Jaguar Workshop Selection Guide Dubai | DIGI-TEC</x:v>
      </x:c>
      <x:c r="Z726" s="6" t="str"/>
      <x:c r="AA726" s="6" t="str">
        <x:v>No / not compared</x:v>
      </x:c>
    </x:row>
    <x:row r="727" ht="57" customHeight="1">
      <x:c r="A727" s="6" t="str">
        <x:v>https://digitecme.com/blog/lamborghini-maintenance-guide-dubai</x:v>
      </x:c>
      <x:c r="B727" s="6" t="str"/>
      <x:c r="C727" s="6" t="str"/>
      <x:c r="D727" s="6" t="str">
        <x:v>article</x:v>
      </x:c>
      <x:c r="E727" s="6" t="str">
        <x:v>Retain differentiated role</x:v>
      </x:c>
      <x:c r="F727" s="6" t="str">
        <x:v>Local source render; live version unverified</x:v>
      </x:c>
      <x:c r="G727" s="6" t="str">
        <x:v>Lamborghini Maintenance Dubai | Owner Service Guide</x:v>
      </x:c>
      <x:c r="H727" s="6" t="str">
        <x:v>Lamborghini Maintenance Dubai | Owner Service Guide</x:v>
      </x:c>
      <x:c r="I727" s="6" t="str">
        <x:v>Lamborghini Maintenance Guide for Dubai Owners</x:v>
      </x:c>
      <x:c r="J727" s="6" t="str">
        <x:v>Lamborghini Maintenance Guide for Dubai Owners</x:v>
      </x:c>
      <x:c r="K727" s="6" t="str">
        <x:v>Plan Lamborghini maintenance in Dubai using model-specific service information, vehicle history, inspection findings and clear workshop scope.</x:v>
      </x:c>
      <x:c r="L727" s="6" t="str">
        <x:v>Retain pending evidence; no specific content edit justified by this export.</x:v>
      </x:c>
      <x:c r="M727" s="6" t="str">
        <x:v>Retain; inspect relevant context before adding links</x:v>
      </x:c>
      <x:c r="N727" s="6" t="str">
        <x:v>Unconfirmed — no query/page pairing</x:v>
      </x:c>
      <x:c r="O727" s="6" t="str">
        <x:v>Retain established booking / WhatsApp / call path; live behaviour untested</x:v>
      </x:c>
      <x:c r="P727" s="6" t="str">
        <x:v>Retain canonical and indexation policy pending a live check.</x:v>
      </x:c>
      <x:c r="Q727" s="6" t="str">
        <x:v>Proposed; no website change made</x:v>
      </x:c>
      <x:c r="R727" s="14" t="n">
        <x:v>0</x:v>
      </x:c>
      <x:c r="S727" s="14" t="n">
        <x:v>57</x:v>
      </x:c>
      <x:c r="T727" s="15" t="n">
        <x:v>0</x:v>
      </x:c>
      <x:c r="U727" s="16" t="n">
        <x:v>16.14</x:v>
      </x:c>
      <x:c r="V727" s="6" t="str">
        <x:v>https://digitecme.com/blog/lamborghini-maintenance-guide-dubai</x:v>
      </x:c>
      <x:c r="W727" s="6" t="str">
        <x:v>Indexable directive</x:v>
      </x:c>
      <x:c r="X727" s="6" t="n">
        <x:v>5</x:v>
      </x:c>
      <x:c r="Y727" s="6" t="str">
        <x:v>Lamborghini Maintenance Dubai | Owner Service Guide</x:v>
      </x:c>
      <x:c r="Z727" s="6" t="str"/>
      <x:c r="AA727" s="6" t="str">
        <x:v>No / not compared</x:v>
      </x:c>
    </x:row>
    <x:row r="728" ht="42" customHeight="1">
      <x:c r="A728" s="6" t="str">
        <x:v>https://digitecme.com/blog/lamborghini-urus-service-dubai-guide</x:v>
      </x:c>
      <x:c r="B728" s="6" t="str"/>
      <x:c r="C728" s="6" t="str"/>
      <x:c r="D728" s="6" t="str">
        <x:v>article</x:v>
      </x:c>
      <x:c r="E728" s="6" t="str">
        <x:v>Retain differentiated role</x:v>
      </x:c>
      <x:c r="F728" s="6" t="str">
        <x:v>Local source render; live version unverified</x:v>
      </x:c>
      <x:c r="G728" s="6" t="str">
        <x:v>Lamborghini Urus Service Dubai | Maintenance and Repair Guide</x:v>
      </x:c>
      <x:c r="H728" s="6" t="str">
        <x:v>Lamborghini Urus Service Dubai | Maintenance and Repair Guide</x:v>
      </x:c>
      <x:c r="I728" s="6" t="str">
        <x:v>Lamborghini Urus Service in Dubai: Owner Guide</x:v>
      </x:c>
      <x:c r="J728" s="6" t="str">
        <x:v>Lamborghini Urus Service in Dubai: Owner Guide</x:v>
      </x:c>
      <x:c r="K728" s="6" t="str">
        <x:v>Lamborghini Urus service guide for Dubai: model-specific maintenance, eight-speed automatic, brakes, cooling and suspension considerations.</x:v>
      </x:c>
      <x:c r="L728" s="6" t="str">
        <x:v>Retain pending evidence; no specific content edit justified by this export.</x:v>
      </x:c>
      <x:c r="M728" s="6" t="str">
        <x:v>Retain; inspect relevant context before adding links</x:v>
      </x:c>
      <x:c r="N728" s="6" t="str">
        <x:v>Unconfirmed — no query/page pairing</x:v>
      </x:c>
      <x:c r="O728" s="6" t="str">
        <x:v>Retain established booking / WhatsApp / call path; live behaviour untested</x:v>
      </x:c>
      <x:c r="P728" s="6" t="str">
        <x:v>Retain canonical and indexation policy pending a live check.</x:v>
      </x:c>
      <x:c r="Q728" s="6" t="str">
        <x:v>Proposed; no website change made</x:v>
      </x:c>
      <x:c r="R728" s="14" t="n">
        <x:v>0</x:v>
      </x:c>
      <x:c r="S728" s="14" t="n">
        <x:v>20</x:v>
      </x:c>
      <x:c r="T728" s="15" t="n">
        <x:v>0</x:v>
      </x:c>
      <x:c r="U728" s="16" t="n">
        <x:v>5.4</x:v>
      </x:c>
      <x:c r="V728" s="6" t="str">
        <x:v>https://digitecme.com/blog/lamborghini-urus-service-dubai-guide</x:v>
      </x:c>
      <x:c r="W728" s="6" t="str">
        <x:v>Indexable directive</x:v>
      </x:c>
      <x:c r="X728" s="6" t="n">
        <x:v>5</x:v>
      </x:c>
      <x:c r="Y728" s="6" t="str">
        <x:v>Lamborghini Urus Service Dubai | Maintenance and Repair Guide</x:v>
      </x:c>
      <x:c r="Z728" s="6" t="str"/>
      <x:c r="AA728" s="6" t="str">
        <x:v>No / not compared</x:v>
      </x:c>
    </x:row>
    <x:row r="729" ht="57" customHeight="1">
      <x:c r="A729" s="6" t="str">
        <x:v>https://digitecme.com/blog/land-rover-best-workshop-dubai</x:v>
      </x:c>
      <x:c r="B729" s="6" t="str"/>
      <x:c r="C729" s="6" t="str"/>
      <x:c r="D729" s="6" t="str">
        <x:v>article</x:v>
      </x:c>
      <x:c r="E729" s="6" t="str">
        <x:v>Retain differentiated role</x:v>
      </x:c>
      <x:c r="F729" s="6" t="str">
        <x:v>Local source render; live version unverified</x:v>
      </x:c>
      <x:c r="G729" s="6" t="str">
        <x:v>Land Rover Workshop Selection Guide Dubai | DIGI-TEC</x:v>
      </x:c>
      <x:c r="H729" s="6" t="str">
        <x:v>Land Rover Workshop Selection Guide Dubai | DIGI-TEC</x:v>
      </x:c>
      <x:c r="I729" s="6" t="str">
        <x:v>Choosing a Land Rover Workshop in Dubai: Owner Guide</x:v>
      </x:c>
      <x:c r="J729" s="6" t="str">
        <x:v>Choosing a Land Rover Workshop in Dubai: Owner Guide</x:v>
      </x:c>
      <x:c r="K729" s="6" t="str">
        <x:v>Land Rover workshop in Dubai for diagnostics, maintenance and repair. Visit DIGI-TEC in Al Quoz for clear inspections, practical guidance and booking support.</x:v>
      </x:c>
      <x:c r="L729" s="6" t="str">
        <x:v>Retain pending evidence; no specific content edit justified by this export.</x:v>
      </x:c>
      <x:c r="M729" s="6" t="str">
        <x:v>Retain; inspect relevant context before adding links</x:v>
      </x:c>
      <x:c r="N729" s="6" t="str">
        <x:v>Unconfirmed — no query/page pairing</x:v>
      </x:c>
      <x:c r="O729" s="6" t="str">
        <x:v>Retain established booking / WhatsApp / call path; live behaviour untested</x:v>
      </x:c>
      <x:c r="P729" s="6" t="str">
        <x:v>Retain canonical and indexation policy pending a live check.</x:v>
      </x:c>
      <x:c r="Q729" s="6" t="str">
        <x:v>Proposed; no website change made</x:v>
      </x:c>
      <x:c r="R729" s="14" t="n">
        <x:v>0</x:v>
      </x:c>
      <x:c r="S729" s="14" t="n">
        <x:v>22</x:v>
      </x:c>
      <x:c r="T729" s="15" t="n">
        <x:v>0</x:v>
      </x:c>
      <x:c r="U729" s="16" t="n">
        <x:v>7.68</x:v>
      </x:c>
      <x:c r="V729" s="6" t="str">
        <x:v>https://digitecme.com/blog/land-rover-best-workshop-dubai</x:v>
      </x:c>
      <x:c r="W729" s="6" t="str">
        <x:v>Indexable directive</x:v>
      </x:c>
      <x:c r="X729" s="6" t="n">
        <x:v>4</x:v>
      </x:c>
      <x:c r="Y729" s="6" t="str">
        <x:v>Land Rover Workshop Selection Guide Dubai | DIGI-TEC</x:v>
      </x:c>
      <x:c r="Z729" s="6" t="str"/>
      <x:c r="AA729" s="6" t="str">
        <x:v>No / not compared</x:v>
      </x:c>
    </x:row>
    <x:row r="730" ht="57" customHeight="1">
      <x:c r="A730" s="6" t="str">
        <x:v>https://digitecme.com/blog/lexus-best-workshop-dubai</x:v>
      </x:c>
      <x:c r="B730" s="6" t="str"/>
      <x:c r="C730" s="6" t="str"/>
      <x:c r="D730" s="6" t="str">
        <x:v>article</x:v>
      </x:c>
      <x:c r="E730" s="6" t="str">
        <x:v>Retain differentiated role</x:v>
      </x:c>
      <x:c r="F730" s="6" t="str">
        <x:v>Local source render; live version unverified</x:v>
      </x:c>
      <x:c r="G730" s="6" t="str">
        <x:v>Lexus Workshop Selection Guide Dubai | DIGI-TEC</x:v>
      </x:c>
      <x:c r="H730" s="6" t="str">
        <x:v>Lexus Workshop Selection Guide Dubai | DIGI-TEC</x:v>
      </x:c>
      <x:c r="I730" s="6" t="str">
        <x:v>Choosing a Lexus Workshop in Dubai: Owner Guide</x:v>
      </x:c>
      <x:c r="J730" s="6" t="str">
        <x:v>Choosing a Lexus Workshop in Dubai: Owner Guide</x:v>
      </x:c>
      <x:c r="K730" s="6" t="str">
        <x:v>Lexus workshop in Dubai for diagnostics, maintenance and repair. Visit DIGI-TEC in Al Quoz for clear inspections, practical guidance and booking support.</x:v>
      </x:c>
      <x:c r="L730" s="6" t="str">
        <x:v>Retain pending evidence; no specific content edit justified by this export.</x:v>
      </x:c>
      <x:c r="M730" s="6" t="str">
        <x:v>Retain; inspect relevant context before adding links</x:v>
      </x:c>
      <x:c r="N730" s="6" t="str">
        <x:v>Unconfirmed — no query/page pairing</x:v>
      </x:c>
      <x:c r="O730" s="6" t="str">
        <x:v>Retain established booking / WhatsApp / call path; live behaviour untested</x:v>
      </x:c>
      <x:c r="P730" s="6" t="str">
        <x:v>Retain canonical and indexation policy pending a live check.</x:v>
      </x:c>
      <x:c r="Q730" s="6" t="str">
        <x:v>Proposed; no website change made</x:v>
      </x:c>
      <x:c r="R730" s="14" t="n">
        <x:v>0</x:v>
      </x:c>
      <x:c r="S730" s="14" t="n">
        <x:v>49</x:v>
      </x:c>
      <x:c r="T730" s="15" t="n">
        <x:v>0</x:v>
      </x:c>
      <x:c r="U730" s="16" t="n">
        <x:v>10.98</x:v>
      </x:c>
      <x:c r="V730" s="6" t="str">
        <x:v>https://digitecme.com/blog/lexus-best-workshop-dubai</x:v>
      </x:c>
      <x:c r="W730" s="6" t="str">
        <x:v>Indexable directive</x:v>
      </x:c>
      <x:c r="X730" s="6" t="n">
        <x:v>4</x:v>
      </x:c>
      <x:c r="Y730" s="6" t="str">
        <x:v>Lexus Workshop Selection Guide Dubai | DIGI-TEC</x:v>
      </x:c>
      <x:c r="Z730" s="6" t="str"/>
      <x:c r="AA730" s="6" t="str">
        <x:v>No / not compared</x:v>
      </x:c>
    </x:row>
    <x:row r="731" ht="57" customHeight="1">
      <x:c r="A731" s="6" t="str">
        <x:v>https://digitecme.com/blog/maserati-best-workshop-dubai</x:v>
      </x:c>
      <x:c r="B731" s="6" t="str"/>
      <x:c r="C731" s="6" t="str"/>
      <x:c r="D731" s="6" t="str">
        <x:v>article</x:v>
      </x:c>
      <x:c r="E731" s="6" t="str">
        <x:v>Retain differentiated role</x:v>
      </x:c>
      <x:c r="F731" s="6" t="str">
        <x:v>Local source render; live version unverified</x:v>
      </x:c>
      <x:c r="G731" s="6" t="str">
        <x:v>Maserati Workshop Selection Guide Dubai | DIGI-TEC</x:v>
      </x:c>
      <x:c r="H731" s="6" t="str">
        <x:v>Maserati Workshop Selection Guide Dubai | DIGI-TEC</x:v>
      </x:c>
      <x:c r="I731" s="6" t="str">
        <x:v>Choosing a Maserati Workshop in Dubai: Owner Guide</x:v>
      </x:c>
      <x:c r="J731" s="6" t="str">
        <x:v>Choosing a Maserati Workshop in Dubai: Owner Guide</x:v>
      </x:c>
      <x:c r="K731" s="6" t="str">
        <x:v>Maserati workshop in Dubai for diagnostics, maintenance and repair. Visit DIGI-TEC in Al Quoz for clear inspections, practical guidance and booking support.</x:v>
      </x:c>
      <x:c r="L731" s="6" t="str">
        <x:v>Retain pending evidence; no specific content edit justified by this export.</x:v>
      </x:c>
      <x:c r="M731" s="6" t="str">
        <x:v>Retain; inspect relevant context before adding links</x:v>
      </x:c>
      <x:c r="N731" s="6" t="str">
        <x:v>Unconfirmed — no query/page pairing</x:v>
      </x:c>
      <x:c r="O731" s="6" t="str">
        <x:v>Retain established booking / WhatsApp / call path; live behaviour untested</x:v>
      </x:c>
      <x:c r="P731" s="6" t="str">
        <x:v>Retain canonical and indexation policy pending a live check.</x:v>
      </x:c>
      <x:c r="Q731" s="6" t="str">
        <x:v>Proposed; no website change made</x:v>
      </x:c>
      <x:c r="R731" s="14" t="n">
        <x:v>0</x:v>
      </x:c>
      <x:c r="S731" s="14" t="n">
        <x:v>76</x:v>
      </x:c>
      <x:c r="T731" s="15" t="n">
        <x:v>0</x:v>
      </x:c>
      <x:c r="U731" s="16" t="n">
        <x:v>9.95</x:v>
      </x:c>
      <x:c r="V731" s="6" t="str">
        <x:v>https://digitecme.com/blog/maserati-best-workshop-dubai</x:v>
      </x:c>
      <x:c r="W731" s="6" t="str">
        <x:v>Indexable directive</x:v>
      </x:c>
      <x:c r="X731" s="6" t="n">
        <x:v>4</x:v>
      </x:c>
      <x:c r="Y731" s="6" t="str">
        <x:v>Maserati Workshop Selection Guide Dubai | DIGI-TEC</x:v>
      </x:c>
      <x:c r="Z731" s="6" t="str"/>
      <x:c r="AA731" s="6" t="str">
        <x:v>No / not compared</x:v>
      </x:c>
    </x:row>
    <x:row r="732" ht="57" customHeight="1">
      <x:c r="A732" s="6" t="str">
        <x:v>https://digitecme.com/blog/maybach-best-workshop-dubai</x:v>
      </x:c>
      <x:c r="B732" s="6" t="str"/>
      <x:c r="C732" s="6" t="str"/>
      <x:c r="D732" s="6" t="str">
        <x:v>article</x:v>
      </x:c>
      <x:c r="E732" s="6" t="str">
        <x:v>Retain differentiated role</x:v>
      </x:c>
      <x:c r="F732" s="6" t="str">
        <x:v>Local source render; live version unverified</x:v>
      </x:c>
      <x:c r="G732" s="6" t="str">
        <x:v>Maybach Workshop Selection Guide Dubai | DIGI-TEC</x:v>
      </x:c>
      <x:c r="H732" s="6" t="str">
        <x:v>Maybach Workshop Selection Guide Dubai | DIGI-TEC</x:v>
      </x:c>
      <x:c r="I732" s="6" t="str">
        <x:v>Choosing a Maybach Workshop in Dubai: Owner Guide</x:v>
      </x:c>
      <x:c r="J732" s="6" t="str">
        <x:v>Choosing a Maybach Workshop in Dubai: Owner Guide</x:v>
      </x:c>
      <x:c r="K732" s="6" t="str">
        <x:v>Maybach workshop in Dubai for diagnostics, maintenance and repair. Visit DIGI-TEC in Al Quoz for clear inspections, practical guidance and booking support.</x:v>
      </x:c>
      <x:c r="L732" s="6" t="str">
        <x:v>Retain pending evidence; no specific content edit justified by this export.</x:v>
      </x:c>
      <x:c r="M732" s="6" t="str">
        <x:v>Retain; inspect relevant context before adding links</x:v>
      </x:c>
      <x:c r="N732" s="6" t="str">
        <x:v>Unconfirmed — no query/page pairing</x:v>
      </x:c>
      <x:c r="O732" s="6" t="str">
        <x:v>Retain established booking / WhatsApp / call path; live behaviour untested</x:v>
      </x:c>
      <x:c r="P732" s="6" t="str">
        <x:v>Retain canonical and indexation policy pending a live check.</x:v>
      </x:c>
      <x:c r="Q732" s="6" t="str">
        <x:v>Proposed; no website change made</x:v>
      </x:c>
      <x:c r="R732" s="14" t="n">
        <x:v>0</x:v>
      </x:c>
      <x:c r="S732" s="14" t="n">
        <x:v>12</x:v>
      </x:c>
      <x:c r="T732" s="15" t="n">
        <x:v>0</x:v>
      </x:c>
      <x:c r="U732" s="16" t="n">
        <x:v>10.08</x:v>
      </x:c>
      <x:c r="V732" s="6" t="str">
        <x:v>https://digitecme.com/blog/maybach-best-workshop-dubai</x:v>
      </x:c>
      <x:c r="W732" s="6" t="str">
        <x:v>Indexable directive</x:v>
      </x:c>
      <x:c r="X732" s="6" t="n">
        <x:v>26</x:v>
      </x:c>
      <x:c r="Y732" s="6" t="str">
        <x:v>Maybach Workshop Selection Guide Dubai | DIGI-TEC</x:v>
      </x:c>
      <x:c r="Z732" s="6" t="str"/>
      <x:c r="AA732" s="6" t="str">
        <x:v>No / not compared</x:v>
      </x:c>
    </x:row>
    <x:row r="733" ht="57" customHeight="1">
      <x:c r="A733" s="6" t="str">
        <x:v>https://digitecme.com/blog/maybach-s580-service-dubai-guide</x:v>
      </x:c>
      <x:c r="B733" s="6" t="str"/>
      <x:c r="C733" s="6" t="str"/>
      <x:c r="D733" s="6" t="str">
        <x:v>article</x:v>
      </x:c>
      <x:c r="E733" s="6" t="str">
        <x:v>Retain differentiated role</x:v>
      </x:c>
      <x:c r="F733" s="6" t="str">
        <x:v>Local source render; live version unverified</x:v>
      </x:c>
      <x:c r="G733" s="6" t="str">
        <x:v>Maybach Service Dubai | Mercedes-Maybach Maintenance Guide</x:v>
      </x:c>
      <x:c r="H733" s="6" t="str">
        <x:v>Maybach Service Dubai | Mercedes-Maybach Maintenance Guide</x:v>
      </x:c>
      <x:c r="I733" s="6" t="str">
        <x:v>Mercedes-Maybach Service in Dubai: Owner Guide</x:v>
      </x:c>
      <x:c r="J733" s="6" t="str">
        <x:v>Mercedes-Maybach Service in Dubai: Owner Guide</x:v>
      </x:c>
      <x:c r="K733" s="6" t="str">
        <x:v>Mercedes-Maybach service in Dubai: AIRMATIC and E-ACTIVE suspension, cooling, rear cabin electronics, brakes and XENTRY diagnostics explained.</x:v>
      </x:c>
      <x:c r="L733" s="6" t="str">
        <x:v>Retain pending evidence; no specific content edit justified by this export.</x:v>
      </x:c>
      <x:c r="M733" s="6" t="str">
        <x:v>Retain; inspect relevant context before adding links</x:v>
      </x:c>
      <x:c r="N733" s="6" t="str">
        <x:v>Unconfirmed — no query/page pairing</x:v>
      </x:c>
      <x:c r="O733" s="6" t="str">
        <x:v>Retain established booking / WhatsApp / call path; live behaviour untested</x:v>
      </x:c>
      <x:c r="P733" s="6" t="str">
        <x:v>Retain canonical and indexation policy pending a live check.</x:v>
      </x:c>
      <x:c r="Q733" s="6" t="str">
        <x:v>Proposed; no website change made</x:v>
      </x:c>
      <x:c r="R733" s="14" t="n">
        <x:v>0</x:v>
      </x:c>
      <x:c r="S733" s="14" t="n">
        <x:v>22</x:v>
      </x:c>
      <x:c r="T733" s="15" t="n">
        <x:v>0</x:v>
      </x:c>
      <x:c r="U733" s="16" t="n">
        <x:v>8.59</x:v>
      </x:c>
      <x:c r="V733" s="6" t="str">
        <x:v>https://digitecme.com/blog/maybach-s580-service-dubai-guide</x:v>
      </x:c>
      <x:c r="W733" s="6" t="str">
        <x:v>Indexable directive</x:v>
      </x:c>
      <x:c r="X733" s="6" t="n">
        <x:v>4</x:v>
      </x:c>
      <x:c r="Y733" s="6" t="str">
        <x:v>Maybach Service Dubai | Mercedes-Maybach Maintenance Guide</x:v>
      </x:c>
      <x:c r="Z733" s="6" t="str"/>
      <x:c r="AA733" s="6" t="str">
        <x:v>No / not compared</x:v>
      </x:c>
    </x:row>
    <x:row r="734" ht="42" customHeight="1">
      <x:c r="A734" s="6" t="str">
        <x:v>https://digitecme.com/blog/mclaren-720s-service-dubai-guide</x:v>
      </x:c>
      <x:c r="B734" s="6" t="str"/>
      <x:c r="C734" s="6" t="str"/>
      <x:c r="D734" s="6" t="str">
        <x:v>article</x:v>
      </x:c>
      <x:c r="E734" s="6" t="str">
        <x:v>Retain differentiated role</x:v>
      </x:c>
      <x:c r="F734" s="6" t="str">
        <x:v>Local source render; live version unverified</x:v>
      </x:c>
      <x:c r="G734" s="6" t="str">
        <x:v>McLaren 720S Service Dubai | Maintenance and Inspection Guide</x:v>
      </x:c>
      <x:c r="H734" s="6" t="str">
        <x:v>McLaren 720S Service Dubai | Maintenance and Inspection Guide</x:v>
      </x:c>
      <x:c r="I734" s="6" t="str">
        <x:v>McLaren 720S Service in Dubai: Owner Maintenance Guide</x:v>
      </x:c>
      <x:c r="J734" s="6" t="str">
        <x:v>McLaren 720S Service in Dubai: Owner Maintenance Guide</x:v>
      </x:c>
      <x:c r="K734" s="6" t="str">
        <x:v>McLaren 720S service in Dubai: annual service scope, hydraulic suspension, cooling, brakes, tyres and diagnostics explained for owners.</x:v>
      </x:c>
      <x:c r="L734" s="6" t="str">
        <x:v>Retain pending evidence; no specific content edit justified by this export.</x:v>
      </x:c>
      <x:c r="M734" s="6" t="str">
        <x:v>Retain; inspect relevant context before adding links</x:v>
      </x:c>
      <x:c r="N734" s="6" t="str">
        <x:v>Unconfirmed — no query/page pairing</x:v>
      </x:c>
      <x:c r="O734" s="6" t="str">
        <x:v>Retain established booking / WhatsApp / call path; live behaviour untested</x:v>
      </x:c>
      <x:c r="P734" s="6" t="str">
        <x:v>Retain canonical and indexation policy pending a live check.</x:v>
      </x:c>
      <x:c r="Q734" s="6" t="str">
        <x:v>Proposed; no website change made</x:v>
      </x:c>
      <x:c r="R734" s="14" t="n">
        <x:v>0</x:v>
      </x:c>
      <x:c r="S734" s="14" t="n">
        <x:v>1</x:v>
      </x:c>
      <x:c r="T734" s="15" t="n">
        <x:v>0</x:v>
      </x:c>
      <x:c r="U734" s="16" t="n">
        <x:v>12</x:v>
      </x:c>
      <x:c r="V734" s="6" t="str">
        <x:v>https://digitecme.com/blog/mclaren-720s-service-dubai-guide</x:v>
      </x:c>
      <x:c r="W734" s="6" t="str">
        <x:v>Indexable directive</x:v>
      </x:c>
      <x:c r="X734" s="6" t="n">
        <x:v>4</x:v>
      </x:c>
      <x:c r="Y734" s="6" t="str">
        <x:v>McLaren 720S Service Dubai | Maintenance and Inspection Guide</x:v>
      </x:c>
      <x:c r="Z734" s="6" t="str"/>
      <x:c r="AA734" s="6" t="str">
        <x:v>No / not compared</x:v>
      </x:c>
    </x:row>
    <x:row r="735" ht="57" customHeight="1">
      <x:c r="A735" s="6" t="str">
        <x:v>https://digitecme.com/blog/mclaren-best-workshop-dubai</x:v>
      </x:c>
      <x:c r="B735" s="6" t="str"/>
      <x:c r="C735" s="6" t="str"/>
      <x:c r="D735" s="6" t="str">
        <x:v>article</x:v>
      </x:c>
      <x:c r="E735" s="6" t="str">
        <x:v>Retain differentiated role</x:v>
      </x:c>
      <x:c r="F735" s="6" t="str">
        <x:v>Local source render; live version unverified</x:v>
      </x:c>
      <x:c r="G735" s="6" t="str">
        <x:v>Choosing a McLaren Workshop Dubai | Owner Guide</x:v>
      </x:c>
      <x:c r="H735" s="6" t="str">
        <x:v>Choosing a McLaren Workshop Dubai | Owner Guide</x:v>
      </x:c>
      <x:c r="I735" s="6" t="str">
        <x:v>Choosing a McLaren Workshop in Dubai: Owner Guide</x:v>
      </x:c>
      <x:c r="J735" s="6" t="str">
        <x:v>Choosing a McLaren Workshop in Dubai: Owner Guide</x:v>
      </x:c>
      <x:c r="K735" s="6" t="str">
        <x:v>Compare a McLaren workshop in Dubai by inspection process, vehicle-specific capability, estimate clarity and location. Continue to DIGI-TEC’s McLaren service hub.</x:v>
      </x:c>
      <x:c r="L735" s="6" t="str">
        <x:v>Retain pending evidence; no specific content edit justified by this export.</x:v>
      </x:c>
      <x:c r="M735" s="6" t="str">
        <x:v>Retain; inspect relevant context before adding links</x:v>
      </x:c>
      <x:c r="N735" s="6" t="str">
        <x:v>Unconfirmed — no query/page pairing</x:v>
      </x:c>
      <x:c r="O735" s="6" t="str">
        <x:v>Retain established booking / WhatsApp / call path; live behaviour untested</x:v>
      </x:c>
      <x:c r="P735" s="6" t="str">
        <x:v>Retain canonical and indexation policy pending a live check.</x:v>
      </x:c>
      <x:c r="Q735" s="6" t="str">
        <x:v>Proposed; no website change made</x:v>
      </x:c>
      <x:c r="R735" s="14" t="n">
        <x:v>1</x:v>
      </x:c>
      <x:c r="S735" s="14" t="n">
        <x:v>70</x:v>
      </x:c>
      <x:c r="T735" s="15" t="n">
        <x:v>0.0143</x:v>
      </x:c>
      <x:c r="U735" s="16" t="n">
        <x:v>14.79</x:v>
      </x:c>
      <x:c r="V735" s="6" t="str">
        <x:v>https://digitecme.com/blog/mclaren-best-workshop-dubai</x:v>
      </x:c>
      <x:c r="W735" s="6" t="str">
        <x:v>Indexable directive</x:v>
      </x:c>
      <x:c r="X735" s="6" t="n">
        <x:v>5</x:v>
      </x:c>
      <x:c r="Y735" s="6" t="str">
        <x:v>Choosing a McLaren Workshop Dubai | Owner Guide</x:v>
      </x:c>
      <x:c r="Z735" s="6" t="str"/>
      <x:c r="AA735" s="6" t="str">
        <x:v>No / not compared</x:v>
      </x:c>
    </x:row>
    <x:row r="736" ht="57" customHeight="1">
      <x:c r="A736" s="6" t="str">
        <x:v>https://digitecme.com/blog/mercedes-amg-gt-black-series-1300hp-build-dubai</x:v>
      </x:c>
      <x:c r="B736" s="6" t="str"/>
      <x:c r="C736" s="6" t="str"/>
      <x:c r="D736" s="6" t="str">
        <x:v>article</x:v>
      </x:c>
      <x:c r="E736" s="6" t="str">
        <x:v>Retain differentiated role</x:v>
      </x:c>
      <x:c r="F736" s="6" t="str">
        <x:v>Local source render; live version unverified</x:v>
      </x:c>
      <x:c r="G736" s="6" t="str">
        <x:v>GT Black Series 1300 HP Build Dubai | Digi-Tec</x:v>
      </x:c>
      <x:c r="H736" s="6" t="str">
        <x:v>GT Black Series 1300 HP Build Dubai | Digi-Tec</x:v>
      </x:c>
      <x:c r="I736" s="6" t="str">
        <x:v>Mercedes-AMG GT Black Series: 730 HP to 1,300 HP Custom Build</x:v>
      </x:c>
      <x:c r="J736" s="6" t="str">
        <x:v>Mercedes-AMG GT Black Series: 730 HP to 1,300 HP Custom Build</x:v>
      </x:c>
      <x:c r="K736" s="6" t="str">
        <x:v>See Digi-Tec’s Mercedes-AMG GT Black Series transformation in Dubai: a full custom build developed from 730 hp to a 1,300 hp project specification with ECU calibration.</x:v>
      </x:c>
      <x:c r="L736" s="6" t="str">
        <x:v>Retain pending evidence; no specific content edit justified by this export.</x:v>
      </x:c>
      <x:c r="M736" s="6" t="str">
        <x:v>Retain; inspect relevant context before adding links</x:v>
      </x:c>
      <x:c r="N736" s="6" t="str">
        <x:v>Unconfirmed — no query/page pairing</x:v>
      </x:c>
      <x:c r="O736" s="6" t="str">
        <x:v>Retain established booking / WhatsApp / call path; live behaviour untested</x:v>
      </x:c>
      <x:c r="P736" s="6" t="str">
        <x:v>Retain canonical and indexation policy pending a live check.</x:v>
      </x:c>
      <x:c r="Q736" s="6" t="str">
        <x:v>Proposed; no website change made</x:v>
      </x:c>
      <x:c r="R736" s="14" t="n">
        <x:v>0</x:v>
      </x:c>
      <x:c r="S736" s="14" t="n">
        <x:v>3</x:v>
      </x:c>
      <x:c r="T736" s="15" t="n">
        <x:v>0</x:v>
      </x:c>
      <x:c r="U736" s="16" t="n">
        <x:v>21</x:v>
      </x:c>
      <x:c r="V736" s="6" t="str">
        <x:v>https://digitecme.com/blog/mercedes-amg-gt-black-series-1300hp-build-dubai</x:v>
      </x:c>
      <x:c r="W736" s="6" t="str">
        <x:v>Indexable directive</x:v>
      </x:c>
      <x:c r="X736" s="6" t="n">
        <x:v>4</x:v>
      </x:c>
      <x:c r="Y736" s="6" t="str">
        <x:v>GT Black Series 1300 HP Build Dubai | Digi-Tec</x:v>
      </x:c>
      <x:c r="Z736" s="6" t="str"/>
      <x:c r="AA736" s="6" t="str">
        <x:v>No / not compared</x:v>
      </x:c>
    </x:row>
    <x:row r="737" ht="57" customHeight="1">
      <x:c r="A737" s="6" t="str">
        <x:v>https://digitecme.com/blog/mercedes-amg-gt-tuning-dubai</x:v>
      </x:c>
      <x:c r="B737" s="6" t="str"/>
      <x:c r="C737" s="6" t="str"/>
      <x:c r="D737" s="6" t="str">
        <x:v>article</x:v>
      </x:c>
      <x:c r="E737" s="6" t="str">
        <x:v>Retain differentiated role</x:v>
      </x:c>
      <x:c r="F737" s="6" t="str">
        <x:v>Local source render; live version unverified</x:v>
      </x:c>
      <x:c r="G737" s="6" t="str">
        <x:v>Mercedes AMG GT Tuning Dubai | Vehicle-Specific Guide</x:v>
      </x:c>
      <x:c r="H737" s="6" t="str">
        <x:v>Mercedes AMG GT Tuning Dubai | Vehicle-Specific Guide</x:v>
      </x:c>
      <x:c r="I737" s="6" t="str">
        <x:v>Mercedes-AMG GT Tuning in Dubai: A Complete Upgrade Guide</x:v>
      </x:c>
      <x:c r="J737" s="6" t="str">
        <x:v>Mercedes-AMG GT Tuning in Dubai: A Complete Upgrade Guide</x:v>
      </x:c>
      <x:c r="K737" s="6" t="str">
        <x:v>A complete Mercedes-AMG GT tuning guide for Dubai: ECU calibration, downpipes, intercooling, turbo upgrades and the supporting work the M178 V8 needs in UAE heat.</x:v>
      </x:c>
      <x:c r="L737" s="6" t="str">
        <x:v>Retain pending evidence; no specific content edit justified by this export.</x:v>
      </x:c>
      <x:c r="M737" s="6" t="str">
        <x:v>Retain; inspect relevant context before adding links</x:v>
      </x:c>
      <x:c r="N737" s="6" t="str">
        <x:v>Unconfirmed — no query/page pairing</x:v>
      </x:c>
      <x:c r="O737" s="6" t="str">
        <x:v>Retain established booking / WhatsApp / call path; live behaviour untested</x:v>
      </x:c>
      <x:c r="P737" s="6" t="str">
        <x:v>Retain canonical and indexation policy pending a live check.</x:v>
      </x:c>
      <x:c r="Q737" s="6" t="str">
        <x:v>Proposed; no website change made</x:v>
      </x:c>
      <x:c r="R737" s="14" t="n">
        <x:v>0</x:v>
      </x:c>
      <x:c r="S737" s="14" t="n">
        <x:v>35</x:v>
      </x:c>
      <x:c r="T737" s="15" t="n">
        <x:v>0</x:v>
      </x:c>
      <x:c r="U737" s="16" t="n">
        <x:v>12.77</x:v>
      </x:c>
      <x:c r="V737" s="6" t="str">
        <x:v>https://digitecme.com/blog/mercedes-amg-gt-tuning-dubai</x:v>
      </x:c>
      <x:c r="W737" s="6" t="str">
        <x:v>Indexable directive</x:v>
      </x:c>
      <x:c r="X737" s="6" t="n">
        <x:v>4</x:v>
      </x:c>
      <x:c r="Y737" s="6" t="str">
        <x:v>Mercedes AMG GT Tuning Dubai | Vehicle-Specific Guide</x:v>
      </x:c>
      <x:c r="Z737" s="6" t="str"/>
      <x:c r="AA737" s="6" t="str">
        <x:v>No / not compared</x:v>
      </x:c>
    </x:row>
    <x:row r="738" ht="57" customHeight="1">
      <x:c r="A738" s="6" t="str">
        <x:v>https://digitecme.com/blog/mercedes-benz-maintenance-guide-dubai</x:v>
      </x:c>
      <x:c r="B738" s="6" t="str"/>
      <x:c r="C738" s="6" t="str"/>
      <x:c r="D738" s="6" t="str">
        <x:v>article</x:v>
      </x:c>
      <x:c r="E738" s="6" t="str">
        <x:v>Retain differentiated role</x:v>
      </x:c>
      <x:c r="F738" s="6" t="str">
        <x:v>Local source render; live version unverified</x:v>
      </x:c>
      <x:c r="G738" s="6" t="str">
        <x:v>Mercedes-Benz Maintenance Dubai | DIGI-TEC</x:v>
      </x:c>
      <x:c r="H738" s="6" t="str">
        <x:v>Mercedes-Benz Maintenance Dubai | DIGI-TEC</x:v>
      </x:c>
      <x:c r="I738" s="6" t="str">
        <x:v>Mercedes-Benz Maintenance Guide for Dubai Owners</x:v>
      </x:c>
      <x:c r="J738" s="6" t="str">
        <x:v>Mercedes-Benz Maintenance Guide for Dubai Owners</x:v>
      </x:c>
      <x:c r="K738" s="6" t="str">
        <x:v>Mercedes-Benz workshop in Dubai for diagnostics, maintenance and repair. Visit DIGI-TEC in Al Quoz for clear inspections, practical guidance and booking support.</x:v>
      </x:c>
      <x:c r="L738" s="6" t="str">
        <x:v>Retain pending evidence; no specific content edit justified by this export.</x:v>
      </x:c>
      <x:c r="M738" s="6" t="str">
        <x:v>Retain; inspect relevant context before adding links</x:v>
      </x:c>
      <x:c r="N738" s="6" t="str">
        <x:v>Unconfirmed — no query/page pairing</x:v>
      </x:c>
      <x:c r="O738" s="6" t="str">
        <x:v>Retain established booking / WhatsApp / call path; live behaviour untested</x:v>
      </x:c>
      <x:c r="P738" s="6" t="str">
        <x:v>Retain canonical and indexation policy pending a live check.</x:v>
      </x:c>
      <x:c r="Q738" s="6" t="str">
        <x:v>Proposed; no website change made</x:v>
      </x:c>
      <x:c r="R738" s="14" t="n">
        <x:v>0</x:v>
      </x:c>
      <x:c r="S738" s="14" t="n">
        <x:v>43</x:v>
      </x:c>
      <x:c r="T738" s="15" t="n">
        <x:v>0</x:v>
      </x:c>
      <x:c r="U738" s="16" t="n">
        <x:v>9.88</x:v>
      </x:c>
      <x:c r="V738" s="6" t="str">
        <x:v>https://digitecme.com/blog/mercedes-benz-maintenance-guide-dubai</x:v>
      </x:c>
      <x:c r="W738" s="6" t="str">
        <x:v>Indexable directive</x:v>
      </x:c>
      <x:c r="X738" s="6" t="n">
        <x:v>26</x:v>
      </x:c>
      <x:c r="Y738" s="6" t="str">
        <x:v>Mercedes-Benz Maintenance Dubai | DIGI-TEC</x:v>
      </x:c>
      <x:c r="Z738" s="6" t="str"/>
      <x:c r="AA738" s="6" t="str">
        <x:v>No / not compared</x:v>
      </x:c>
    </x:row>
    <x:row r="739" ht="57" customHeight="1">
      <x:c r="A739" s="6" t="str">
        <x:v>https://digitecme.com/blog/mercedes-c-class-service-dubai-guide</x:v>
      </x:c>
      <x:c r="B739" s="6" t="str"/>
      <x:c r="C739" s="6" t="str"/>
      <x:c r="D739" s="6" t="str">
        <x:v>service</x:v>
      </x:c>
      <x:c r="E739" s="6" t="str">
        <x:v>Retain differentiated role</x:v>
      </x:c>
      <x:c r="F739" s="6" t="str">
        <x:v>Local source render; live version unverified</x:v>
      </x:c>
      <x:c r="G739" s="6" t="str">
        <x:v>Mercedes C-Class Service &amp; Repair Dubai | Digi-Tec</x:v>
      </x:c>
      <x:c r="H739" s="6" t="str">
        <x:v>Mercedes C-Class Service &amp; Repair Dubai | Digi-Tec</x:v>
      </x:c>
      <x:c r="I739" s="6" t="str">
        <x:v>Mercedes C-Class Service &amp; Repair Dubai</x:v>
      </x:c>
      <x:c r="J739" s="6" t="str">
        <x:v>Mercedes C-Class Service &amp; Repair Dubai</x:v>
      </x:c>
      <x:c r="K739" s="6" t="str">
        <x:v>Mercedes C-Class service and repair in Dubai for W204, W205 and W206 models, covering 7G/9G transmissions, cooling, AC, suspension and diagnostics.</x:v>
      </x:c>
      <x:c r="L739" s="6" t="str">
        <x:v>Retain pending evidence; no specific content edit justified by this export.</x:v>
      </x:c>
      <x:c r="M739" s="6" t="str">
        <x:v>Retain; inspect relevant context before adding links</x:v>
      </x:c>
      <x:c r="N739" s="6" t="str">
        <x:v>Unconfirmed — no query/page pairing</x:v>
      </x:c>
      <x:c r="O739" s="6" t="str">
        <x:v>Retain established booking / WhatsApp / call path; live behaviour untested</x:v>
      </x:c>
      <x:c r="P739" s="6" t="str">
        <x:v>Retain canonical and indexation policy pending a live check.</x:v>
      </x:c>
      <x:c r="Q739" s="6" t="str">
        <x:v>Proposed; no website change made</x:v>
      </x:c>
      <x:c r="R739" s="14" t="n">
        <x:v>0</x:v>
      </x:c>
      <x:c r="S739" s="14" t="n">
        <x:v>8</x:v>
      </x:c>
      <x:c r="T739" s="15" t="n">
        <x:v>0</x:v>
      </x:c>
      <x:c r="U739" s="16" t="n">
        <x:v>14.5</x:v>
      </x:c>
      <x:c r="V739" s="6" t="str">
        <x:v>https://digitecme.com/blog/mercedes-c-class-service-dubai-guide</x:v>
      </x:c>
      <x:c r="W739" s="6" t="str">
        <x:v>Indexable directive</x:v>
      </x:c>
      <x:c r="X739" s="6" t="n">
        <x:v>14</x:v>
      </x:c>
      <x:c r="Y739" s="6" t="str">
        <x:v>Mercedes C-Class Service &amp; Repair Dubai | Digi-Tec</x:v>
      </x:c>
      <x:c r="Z739" s="6" t="str"/>
      <x:c r="AA739" s="6" t="str">
        <x:v>No / not compared</x:v>
      </x:c>
    </x:row>
    <x:row r="740" ht="57" customHeight="1">
      <x:c r="A740" s="6" t="str">
        <x:v>https://digitecme.com/blog/mercedes-e-class-service-dubai-guide</x:v>
      </x:c>
      <x:c r="B740" s="6" t="str"/>
      <x:c r="C740" s="6" t="str"/>
      <x:c r="D740" s="6" t="str">
        <x:v>service</x:v>
      </x:c>
      <x:c r="E740" s="6" t="str">
        <x:v>Retain differentiated role</x:v>
      </x:c>
      <x:c r="F740" s="6" t="str">
        <x:v>Local source render; live version unverified</x:v>
      </x:c>
      <x:c r="G740" s="6" t="str">
        <x:v>Mercedes E-Class Service &amp; Repair Dubai | Digi-Tec</x:v>
      </x:c>
      <x:c r="H740" s="6" t="str">
        <x:v>Mercedes E-Class Service &amp; Repair Dubai | Digi-Tec</x:v>
      </x:c>
      <x:c r="I740" s="6" t="str">
        <x:v>Mercedes E-Class Service &amp; Repair Dubai</x:v>
      </x:c>
      <x:c r="J740" s="6" t="str">
        <x:v>Mercedes E-Class Service &amp; Repair Dubai</x:v>
      </x:c>
      <x:c r="K740" s="6" t="str">
        <x:v>Mercedes E-Class service and repair in Dubai for W212, W213 and W214, including 7G/9G transmissions, suspension, 48V systems, AC and diagnostics.</x:v>
      </x:c>
      <x:c r="L740" s="6" t="str">
        <x:v>Retain pending evidence; no specific content edit justified by this export.</x:v>
      </x:c>
      <x:c r="M740" s="6" t="str">
        <x:v>Retain; inspect relevant context before adding links</x:v>
      </x:c>
      <x:c r="N740" s="6" t="str">
        <x:v>Unconfirmed — no query/page pairing</x:v>
      </x:c>
      <x:c r="O740" s="6" t="str">
        <x:v>Retain established booking / WhatsApp / call path; live behaviour untested</x:v>
      </x:c>
      <x:c r="P740" s="6" t="str">
        <x:v>Retain canonical and indexation policy pending a live check.</x:v>
      </x:c>
      <x:c r="Q740" s="6" t="str">
        <x:v>Proposed; no website change made</x:v>
      </x:c>
      <x:c r="R740" s="14" t="n">
        <x:v>0</x:v>
      </x:c>
      <x:c r="S740" s="14" t="n">
        <x:v>3</x:v>
      </x:c>
      <x:c r="T740" s="15" t="n">
        <x:v>0</x:v>
      </x:c>
      <x:c r="U740" s="16" t="n">
        <x:v>23.67</x:v>
      </x:c>
      <x:c r="V740" s="6" t="str">
        <x:v>https://digitecme.com/blog/mercedes-e-class-service-dubai-guide</x:v>
      </x:c>
      <x:c r="W740" s="6" t="str">
        <x:v>Indexable directive</x:v>
      </x:c>
      <x:c r="X740" s="6" t="n">
        <x:v>18</x:v>
      </x:c>
      <x:c r="Y740" s="6" t="str">
        <x:v>Mercedes E-Class Service &amp; Repair Dubai | Digi-Tec</x:v>
      </x:c>
      <x:c r="Z740" s="6" t="str"/>
      <x:c r="AA740" s="6" t="str">
        <x:v>No / not compared</x:v>
      </x:c>
    </x:row>
    <x:row r="741" ht="42" customHeight="1">
      <x:c r="A741" s="6" t="str">
        <x:v>https://digitecme.com/blog/mercedes-g63-service-dubai-guide</x:v>
      </x:c>
      <x:c r="B741" s="6" t="str"/>
      <x:c r="C741" s="6" t="str"/>
      <x:c r="D741" s="6" t="str">
        <x:v>service</x:v>
      </x:c>
      <x:c r="E741" s="6" t="str">
        <x:v>Retain differentiated role</x:v>
      </x:c>
      <x:c r="F741" s="6" t="str">
        <x:v>Local source render; live version unverified</x:v>
      </x:c>
      <x:c r="G741" s="6" t="str">
        <x:v>Mercedes-AMG G63 Service &amp; Repair Dubai | Digi-Tec</x:v>
      </x:c>
      <x:c r="H741" s="6" t="str">
        <x:v>Mercedes-AMG G63 Service &amp; Repair Dubai | Digi-Tec</x:v>
      </x:c>
      <x:c r="I741" s="6" t="str">
        <x:v>Mercedes-AMG G63 Service &amp; Repair Dubai</x:v>
      </x:c>
      <x:c r="J741" s="6" t="str">
        <x:v>Mercedes-AMG G63 Service &amp; Repair Dubai</x:v>
      </x:c>
      <x:c r="K741" s="6" t="str">
        <x:v>G63 service and repair in Dubai for M157 and M177 V8s, AMG transmissions, cooling, brakes, differential locks and G-Class diagnostics.</x:v>
      </x:c>
      <x:c r="L741" s="6" t="str">
        <x:v>Retain pending evidence; no specific content edit justified by this export.</x:v>
      </x:c>
      <x:c r="M741" s="6" t="str">
        <x:v>Retain; inspect relevant context before adding links</x:v>
      </x:c>
      <x:c r="N741" s="6" t="str">
        <x:v>Unconfirmed — no query/page pairing</x:v>
      </x:c>
      <x:c r="O741" s="6" t="str">
        <x:v>Retain established booking / WhatsApp / call path; live behaviour untested</x:v>
      </x:c>
      <x:c r="P741" s="6" t="str">
        <x:v>Retain canonical and indexation policy pending a live check.</x:v>
      </x:c>
      <x:c r="Q741" s="6" t="str">
        <x:v>Proposed; no website change made</x:v>
      </x:c>
      <x:c r="R741" s="14" t="n">
        <x:v>1</x:v>
      </x:c>
      <x:c r="S741" s="14" t="n">
        <x:v>68</x:v>
      </x:c>
      <x:c r="T741" s="15" t="n">
        <x:v>0.0147</x:v>
      </x:c>
      <x:c r="U741" s="16" t="n">
        <x:v>5</x:v>
      </x:c>
      <x:c r="V741" s="6" t="str">
        <x:v>https://digitecme.com/blog/mercedes-g63-service-dubai-guide</x:v>
      </x:c>
      <x:c r="W741" s="6" t="str">
        <x:v>Indexable directive</x:v>
      </x:c>
      <x:c r="X741" s="6" t="n">
        <x:v>14</x:v>
      </x:c>
      <x:c r="Y741" s="6" t="str">
        <x:v>Mercedes-AMG G63 Service &amp; Repair Dubai | Digi-Tec</x:v>
      </x:c>
      <x:c r="Z741" s="6" t="str"/>
      <x:c r="AA741" s="6" t="str">
        <x:v>No / not compared</x:v>
      </x:c>
    </x:row>
    <x:row r="742" ht="57" customHeight="1">
      <x:c r="A742" s="6" t="str">
        <x:v>https://digitecme.com/blog/mercedes-repair-dubai-complete-guide</x:v>
      </x:c>
      <x:c r="B742" s="6" t="str"/>
      <x:c r="C742" s="6" t="str"/>
      <x:c r="D742" s="6" t="str">
        <x:v>article</x:v>
      </x:c>
      <x:c r="E742" s="6" t="str">
        <x:v>Retain differentiated role</x:v>
      </x:c>
      <x:c r="F742" s="6" t="str">
        <x:v>Local source render; live version unverified</x:v>
      </x:c>
      <x:c r="G742" s="6" t="str">
        <x:v>Common Mercedes Problems Dubai | 2026 Owner Guide</x:v>
      </x:c>
      <x:c r="H742" s="6" t="str">
        <x:v>Common Mercedes Problems Dubai | 2026 Owner Guide</x:v>
      </x:c>
      <x:c r="I742" s="6" t="str">
        <x:v>Common Mercedes Problems in Dubai: 2026 Owner Guide</x:v>
      </x:c>
      <x:c r="J742" s="6" t="str">
        <x:v>Common Mercedes Problems in Dubai: 2026 Owner Guide</x:v>
      </x:c>
      <x:c r="K742" s="6" t="str">
        <x:v>Common Mercedes problems in Dubai: AIRMATIC faults, cooling, AC, batteries and warning signs. Learn what to check and when diagnostics are needed in Dubai.</x:v>
      </x:c>
      <x:c r="L742" s="6" t="str">
        <x:v>Retain pending evidence; no specific content edit justified by this export.</x:v>
      </x:c>
      <x:c r="M742" s="6" t="str">
        <x:v>Retain; inspect relevant context before adding links</x:v>
      </x:c>
      <x:c r="N742" s="6" t="str">
        <x:v>Unconfirmed — no query/page pairing</x:v>
      </x:c>
      <x:c r="O742" s="6" t="str">
        <x:v>Retain established booking / WhatsApp / call path; live behaviour untested</x:v>
      </x:c>
      <x:c r="P742" s="6" t="str">
        <x:v>Retain canonical and indexation policy pending a live check.</x:v>
      </x:c>
      <x:c r="Q742" s="6" t="str">
        <x:v>Proposed; no website change made</x:v>
      </x:c>
      <x:c r="R742" s="14"/>
      <x:c r="S742" s="14"/>
      <x:c r="T742" s="15"/>
      <x:c r="U742" s="16"/>
      <x:c r="V742" s="6" t="str">
        <x:v>https://digitecme.com/blog/mercedes-repair-dubai-complete-guide</x:v>
      </x:c>
      <x:c r="W742" s="6" t="str">
        <x:v>Indexable directive</x:v>
      </x:c>
      <x:c r="X742" s="6" t="n">
        <x:v>4</x:v>
      </x:c>
      <x:c r="Y742" s="6" t="str">
        <x:v>Common Mercedes Problems Dubai | 2026 Owner Guide</x:v>
      </x:c>
      <x:c r="Z742" s="6" t="str"/>
      <x:c r="AA742" s="6" t="str">
        <x:v>No / not compared</x:v>
      </x:c>
    </x:row>
    <x:row r="743" ht="42" customHeight="1">
      <x:c r="A743" s="6" t="str">
        <x:v>https://digitecme.com/blog/mercedes-s-class-service-dubai-guide</x:v>
      </x:c>
      <x:c r="B743" s="6" t="str"/>
      <x:c r="C743" s="6" t="str"/>
      <x:c r="D743" s="6" t="str">
        <x:v>service</x:v>
      </x:c>
      <x:c r="E743" s="6" t="str">
        <x:v>Retain differentiated role</x:v>
      </x:c>
      <x:c r="F743" s="6" t="str">
        <x:v>Local source render; live version unverified</x:v>
      </x:c>
      <x:c r="G743" s="6" t="str">
        <x:v>Mercedes S-Class Service &amp; Repair Dubai | Digi-Tec</x:v>
      </x:c>
      <x:c r="H743" s="6" t="str">
        <x:v>Mercedes S-Class Service &amp; Repair Dubai | Digi-Tec</x:v>
      </x:c>
      <x:c r="I743" s="6" t="str">
        <x:v>Mercedes S-Class Service &amp; Repair Dubai</x:v>
      </x:c>
      <x:c r="J743" s="6" t="str">
        <x:v>Mercedes S-Class Service &amp; Repair Dubai</x:v>
      </x:c>
      <x:c r="K743" s="6" t="str">
        <x:v>Mercedes S-Class service and repair in Dubai for W221, W222 and W223, covering AIRMATIC, ABC, E-ACTIVE BODY CONTROL, 9G and electronics.</x:v>
      </x:c>
      <x:c r="L743" s="6" t="str">
        <x:v>Retain pending evidence; no specific content edit justified by this export.</x:v>
      </x:c>
      <x:c r="M743" s="6" t="str">
        <x:v>Retain; inspect relevant context before adding links</x:v>
      </x:c>
      <x:c r="N743" s="6" t="str">
        <x:v>Unconfirmed — no query/page pairing</x:v>
      </x:c>
      <x:c r="O743" s="6" t="str">
        <x:v>Retain established booking / WhatsApp / call path; live behaviour untested</x:v>
      </x:c>
      <x:c r="P743" s="6" t="str">
        <x:v>Retain canonical and indexation policy pending a live check.</x:v>
      </x:c>
      <x:c r="Q743" s="6" t="str">
        <x:v>Proposed; no website change made</x:v>
      </x:c>
      <x:c r="R743" s="14"/>
      <x:c r="S743" s="14"/>
      <x:c r="T743" s="15"/>
      <x:c r="U743" s="16"/>
      <x:c r="V743" s="6" t="str">
        <x:v>https://digitecme.com/blog/mercedes-s-class-service-dubai-guide</x:v>
      </x:c>
      <x:c r="W743" s="6" t="str">
        <x:v>Indexable directive</x:v>
      </x:c>
      <x:c r="X743" s="6" t="n">
        <x:v>16</x:v>
      </x:c>
      <x:c r="Y743" s="6" t="str">
        <x:v>Mercedes S-Class Service &amp; Repair Dubai | Digi-Tec</x:v>
      </x:c>
      <x:c r="Z743" s="6" t="str"/>
      <x:c r="AA743" s="6" t="str">
        <x:v>No / not compared</x:v>
      </x:c>
    </x:row>
    <x:row r="744" ht="57" customHeight="1">
      <x:c r="A744" s="6" t="str">
        <x:v>https://digitecme.com/blog/mercedes-service-cost-dubai-guide</x:v>
      </x:c>
      <x:c r="B744" s="6" t="str"/>
      <x:c r="C744" s="6" t="str"/>
      <x:c r="D744" s="6" t="str">
        <x:v>article</x:v>
      </x:c>
      <x:c r="E744" s="6" t="str">
        <x:v>Retain differentiated role</x:v>
      </x:c>
      <x:c r="F744" s="6" t="str">
        <x:v>Local source render; live version unverified</x:v>
      </x:c>
      <x:c r="G744" s="6" t="str">
        <x:v>Mercedes Service Dubai | Intervals, Scope and Cost Factors</x:v>
      </x:c>
      <x:c r="H744" s="6" t="str">
        <x:v>Mercedes Service Dubai | Intervals, Scope and Cost Factors</x:v>
      </x:c>
      <x:c r="I744" s="6" t="str">
        <x:v>Mercedes Service in Dubai: Scope, Intervals and What Affects Cost</x:v>
      </x:c>
      <x:c r="J744" s="6" t="str">
        <x:v>Mercedes Service in Dubai: Scope, Intervals and What Affects Cost</x:v>
      </x:c>
      <x:c r="K744" s="6" t="str">
        <x:v>A Mercedes service guide for Dubai owners: what Service A and Service B include, the extra checks Dubai heat demands, and what drives the final cost.</x:v>
      </x:c>
      <x:c r="L744" s="6" t="str">
        <x:v>Retain pending evidence; no specific content edit justified by this export.</x:v>
      </x:c>
      <x:c r="M744" s="6" t="str">
        <x:v>Retain; inspect relevant context before adding links</x:v>
      </x:c>
      <x:c r="N744" s="6" t="str">
        <x:v>Unconfirmed — no query/page pairing</x:v>
      </x:c>
      <x:c r="O744" s="6" t="str">
        <x:v>Retain established booking / WhatsApp / call path; live behaviour untested</x:v>
      </x:c>
      <x:c r="P744" s="6" t="str">
        <x:v>Retain canonical and indexation policy pending a live check.</x:v>
      </x:c>
      <x:c r="Q744" s="6" t="str">
        <x:v>Proposed; no website change made</x:v>
      </x:c>
      <x:c r="R744" s="14" t="n">
        <x:v>0</x:v>
      </x:c>
      <x:c r="S744" s="14" t="n">
        <x:v>35</x:v>
      </x:c>
      <x:c r="T744" s="15" t="n">
        <x:v>0</x:v>
      </x:c>
      <x:c r="U744" s="16" t="n">
        <x:v>12.49</x:v>
      </x:c>
      <x:c r="V744" s="6" t="str">
        <x:v>https://digitecme.com/blog/mercedes-service-cost-dubai-guide</x:v>
      </x:c>
      <x:c r="W744" s="6" t="str">
        <x:v>Indexable directive</x:v>
      </x:c>
      <x:c r="X744" s="6" t="n">
        <x:v>4</x:v>
      </x:c>
      <x:c r="Y744" s="6" t="str">
        <x:v>Mercedes Service Dubai | Intervals, Scope and Cost Factors</x:v>
      </x:c>
      <x:c r="Z744" s="6" t="str"/>
      <x:c r="AA744" s="6" t="str">
        <x:v>No / not compared</x:v>
      </x:c>
    </x:row>
    <x:row r="745" ht="57" customHeight="1">
      <x:c r="A745" s="6" t="str">
        <x:v>https://digitecme.com/blog/mercedes-service-intervals-dubai-heat</x:v>
      </x:c>
      <x:c r="B745" s="6" t="str"/>
      <x:c r="C745" s="6" t="str"/>
      <x:c r="D745" s="6" t="str">
        <x:v>article</x:v>
      </x:c>
      <x:c r="E745" s="6" t="str">
        <x:v>Retain differentiated role</x:v>
      </x:c>
      <x:c r="F745" s="6" t="str">
        <x:v>Local source render; live version unverified</x:v>
      </x:c>
      <x:c r="G745" s="6" t="str">
        <x:v>Mercedes Service Intervals Dubai | Digitec Performance</x:v>
      </x:c>
      <x:c r="H745" s="6" t="str">
        <x:v>Mercedes Service Intervals Dubai | Digitec Performance</x:v>
      </x:c>
      <x:c r="I745" s="6" t="str">
        <x:v>Mercedes Service Intervals in Dubai Heat: What You Need to Know</x:v>
      </x:c>
      <x:c r="J745" s="6" t="str">
        <x:v>Mercedes Service Intervals in Dubai Heat: What You Need to Know</x:v>
      </x:c>
      <x:c r="K745" s="6" t="str">
        <x:v>Learn the right Mercedes service interval for Dubai heat. Expert advice on oil, coolant, and brake intervals from Digitec Performance Center.</x:v>
      </x:c>
      <x:c r="L745" s="6" t="str">
        <x:v>Retain pending evidence; no specific content edit justified by this export.</x:v>
      </x:c>
      <x:c r="M745" s="6" t="str">
        <x:v>Retain; inspect relevant context before adding links</x:v>
      </x:c>
      <x:c r="N745" s="6" t="str">
        <x:v>Unconfirmed — no query/page pairing</x:v>
      </x:c>
      <x:c r="O745" s="6" t="str">
        <x:v>Retain established booking / WhatsApp / call path; live behaviour untested</x:v>
      </x:c>
      <x:c r="P745" s="6" t="str">
        <x:v>Retain canonical and indexation policy pending a live check.</x:v>
      </x:c>
      <x:c r="Q745" s="6" t="str">
        <x:v>Proposed; no website change made</x:v>
      </x:c>
      <x:c r="R745" s="14" t="n">
        <x:v>1</x:v>
      </x:c>
      <x:c r="S745" s="14" t="n">
        <x:v>74</x:v>
      </x:c>
      <x:c r="T745" s="15" t="n">
        <x:v>0.013500000000000002</x:v>
      </x:c>
      <x:c r="U745" s="16" t="n">
        <x:v>3.89</x:v>
      </x:c>
      <x:c r="V745" s="6" t="str">
        <x:v>https://digitecme.com/blog/mercedes-service-intervals-dubai-heat</x:v>
      </x:c>
      <x:c r="W745" s="6" t="str">
        <x:v>Indexable directive</x:v>
      </x:c>
      <x:c r="X745" s="6" t="n">
        <x:v>4</x:v>
      </x:c>
      <x:c r="Y745" s="6" t="str">
        <x:v>Mercedes Service Intervals Dubai | Digitec Performance</x:v>
      </x:c>
      <x:c r="Z745" s="6" t="str"/>
      <x:c r="AA745" s="6" t="str">
        <x:v>No / not compared</x:v>
      </x:c>
    </x:row>
    <x:row r="746" ht="57" customHeight="1">
      <x:c r="A746" s="6" t="str">
        <x:v>https://digitecme.com/blog/mini-best-workshop-dubai</x:v>
      </x:c>
      <x:c r="B746" s="6" t="str"/>
      <x:c r="C746" s="6" t="str"/>
      <x:c r="D746" s="6" t="str">
        <x:v>article</x:v>
      </x:c>
      <x:c r="E746" s="6" t="str">
        <x:v>Retain differentiated role</x:v>
      </x:c>
      <x:c r="F746" s="6" t="str">
        <x:v>Local source render; live version unverified</x:v>
      </x:c>
      <x:c r="G746" s="6" t="str">
        <x:v>MINI Workshop Selection Guide Dubai | DIGI-TEC</x:v>
      </x:c>
      <x:c r="H746" s="6" t="str">
        <x:v>MINI Workshop Selection Guide Dubai | DIGI-TEC</x:v>
      </x:c>
      <x:c r="I746" s="6" t="str">
        <x:v>Choosing a MINI Workshop in Dubai: Owner Guide</x:v>
      </x:c>
      <x:c r="J746" s="6" t="str">
        <x:v>Choosing a MINI Workshop in Dubai: Owner Guide</x:v>
      </x:c>
      <x:c r="K746" s="6" t="str">
        <x:v>MINI workshop in Dubai for diagnostics, maintenance and repair. Visit DIGI-TEC in Al Quoz for clear inspections, practical guidance and booking support.</x:v>
      </x:c>
      <x:c r="L746" s="6" t="str">
        <x:v>Retain pending evidence; no specific content edit justified by this export.</x:v>
      </x:c>
      <x:c r="M746" s="6" t="str">
        <x:v>Retain; inspect relevant context before adding links</x:v>
      </x:c>
      <x:c r="N746" s="6" t="str">
        <x:v>Unconfirmed — no query/page pairing</x:v>
      </x:c>
      <x:c r="O746" s="6" t="str">
        <x:v>Retain established booking / WhatsApp / call path; live behaviour untested</x:v>
      </x:c>
      <x:c r="P746" s="6" t="str">
        <x:v>Retain canonical and indexation policy pending a live check.</x:v>
      </x:c>
      <x:c r="Q746" s="6" t="str">
        <x:v>Proposed; no website change made</x:v>
      </x:c>
      <x:c r="R746" s="14" t="n">
        <x:v>1</x:v>
      </x:c>
      <x:c r="S746" s="14" t="n">
        <x:v>71</x:v>
      </x:c>
      <x:c r="T746" s="15" t="n">
        <x:v>0.0141</x:v>
      </x:c>
      <x:c r="U746" s="16" t="n">
        <x:v>16.25</x:v>
      </x:c>
      <x:c r="V746" s="6" t="str">
        <x:v>https://digitecme.com/blog/mini-best-workshop-dubai</x:v>
      </x:c>
      <x:c r="W746" s="6" t="str">
        <x:v>Indexable directive</x:v>
      </x:c>
      <x:c r="X746" s="6" t="n">
        <x:v>4</x:v>
      </x:c>
      <x:c r="Y746" s="6" t="str">
        <x:v>MINI Workshop Selection Guide Dubai | DIGI-TEC</x:v>
      </x:c>
      <x:c r="Z746" s="6" t="str"/>
      <x:c r="AA746" s="6" t="str">
        <x:v>No / not compared</x:v>
      </x:c>
    </x:row>
    <x:row r="747" ht="57" customHeight="1">
      <x:c r="A747" s="6" t="str">
        <x:v>https://digitecme.com/blog/nissan-best-workshop-dubai</x:v>
      </x:c>
      <x:c r="B747" s="6" t="str"/>
      <x:c r="C747" s="6" t="str"/>
      <x:c r="D747" s="6" t="str">
        <x:v>article</x:v>
      </x:c>
      <x:c r="E747" s="6" t="str">
        <x:v>Retain differentiated role</x:v>
      </x:c>
      <x:c r="F747" s="6" t="str">
        <x:v>Local source render; live version unverified</x:v>
      </x:c>
      <x:c r="G747" s="6" t="str">
        <x:v>Nissan Workshop Selection Guide Dubai | DIGI-TEC</x:v>
      </x:c>
      <x:c r="H747" s="6" t="str">
        <x:v>Nissan Workshop Selection Guide Dubai | DIGI-TEC</x:v>
      </x:c>
      <x:c r="I747" s="6" t="str">
        <x:v>Choosing a Nissan Workshop in Dubai: Owner Guide</x:v>
      </x:c>
      <x:c r="J747" s="6" t="str">
        <x:v>Choosing a Nissan Workshop in Dubai: Owner Guide</x:v>
      </x:c>
      <x:c r="K747" s="6" t="str">
        <x:v>Nissan workshop in Dubai for diagnostics, maintenance and repair. Visit DIGI-TEC in Al Quoz for clear inspections, practical guidance and booking support.</x:v>
      </x:c>
      <x:c r="L747" s="6" t="str">
        <x:v>Retain pending evidence; no specific content edit justified by this export.</x:v>
      </x:c>
      <x:c r="M747" s="6" t="str">
        <x:v>Retain; inspect relevant context before adding links</x:v>
      </x:c>
      <x:c r="N747" s="6" t="str">
        <x:v>Unconfirmed — no query/page pairing</x:v>
      </x:c>
      <x:c r="O747" s="6" t="str">
        <x:v>Retain established booking / WhatsApp / call path; live behaviour untested</x:v>
      </x:c>
      <x:c r="P747" s="6" t="str">
        <x:v>Retain canonical and indexation policy pending a live check.</x:v>
      </x:c>
      <x:c r="Q747" s="6" t="str">
        <x:v>Proposed; no website change made</x:v>
      </x:c>
      <x:c r="R747" s="14" t="n">
        <x:v>0</x:v>
      </x:c>
      <x:c r="S747" s="14" t="n">
        <x:v>15</x:v>
      </x:c>
      <x:c r="T747" s="15" t="n">
        <x:v>0</x:v>
      </x:c>
      <x:c r="U747" s="16" t="n">
        <x:v>54.2</x:v>
      </x:c>
      <x:c r="V747" s="6" t="str">
        <x:v>https://digitecme.com/blog/nissan-best-workshop-dubai</x:v>
      </x:c>
      <x:c r="W747" s="6" t="str">
        <x:v>Indexable directive</x:v>
      </x:c>
      <x:c r="X747" s="6" t="n">
        <x:v>4</x:v>
      </x:c>
      <x:c r="Y747" s="6" t="str">
        <x:v>Nissan Workshop Selection Guide Dubai | DIGI-TEC</x:v>
      </x:c>
      <x:c r="Z747" s="6" t="str"/>
      <x:c r="AA747" s="6" t="str">
        <x:v>No / not compared</x:v>
      </x:c>
    </x:row>
    <x:row r="748" ht="57" customHeight="1">
      <x:c r="A748" s="6" t="str">
        <x:v>https://digitecme.com/blog/oil-specification-guide-dubai-luxury</x:v>
      </x:c>
      <x:c r="B748" s="6" t="str"/>
      <x:c r="C748" s="6" t="str"/>
      <x:c r="D748" s="6" t="str">
        <x:v>article</x:v>
      </x:c>
      <x:c r="E748" s="6" t="str">
        <x:v>Retain differentiated role</x:v>
      </x:c>
      <x:c r="F748" s="6" t="str">
        <x:v>Local source render; live version unverified</x:v>
      </x:c>
      <x:c r="G748" s="6" t="str">
        <x:v>Engine Oil Specification Dubai | Choosing the Right Oil</x:v>
      </x:c>
      <x:c r="H748" s="6" t="str">
        <x:v>Engine Oil Specification Dubai | Choosing the Right Oil</x:v>
      </x:c>
      <x:c r="I748" s="6" t="str">
        <x:v>Engine Oil Specifications in Dubai: Choosing Correctly</x:v>
      </x:c>
      <x:c r="J748" s="6" t="str">
        <x:v>Engine Oil Specifications in Dubai: Choosing Correctly</x:v>
      </x:c>
      <x:c r="K748" s="6" t="str">
        <x:v>How to choose the correct engine oil in Dubai: why manufacturer approvals matter more than viscosity, what heat changes, and what a workshop should record.</x:v>
      </x:c>
      <x:c r="L748" s="6" t="str">
        <x:v>Retain pending evidence; no specific content edit justified by this export.</x:v>
      </x:c>
      <x:c r="M748" s="6" t="str">
        <x:v>Retain; inspect relevant context before adding links</x:v>
      </x:c>
      <x:c r="N748" s="6" t="str">
        <x:v>Unconfirmed — no query/page pairing</x:v>
      </x:c>
      <x:c r="O748" s="6" t="str">
        <x:v>Retain established booking / WhatsApp / call path; live behaviour untested</x:v>
      </x:c>
      <x:c r="P748" s="6" t="str">
        <x:v>Retain canonical and indexation policy pending a live check.</x:v>
      </x:c>
      <x:c r="Q748" s="6" t="str">
        <x:v>Proposed; no website change made</x:v>
      </x:c>
      <x:c r="R748" s="14" t="n">
        <x:v>0</x:v>
      </x:c>
      <x:c r="S748" s="14" t="n">
        <x:v>2</x:v>
      </x:c>
      <x:c r="T748" s="15" t="n">
        <x:v>0</x:v>
      </x:c>
      <x:c r="U748" s="16" t="n">
        <x:v>52</x:v>
      </x:c>
      <x:c r="V748" s="6" t="str">
        <x:v>https://digitecme.com/blog/oil-specification-guide-dubai-luxury</x:v>
      </x:c>
      <x:c r="W748" s="6" t="str">
        <x:v>Indexable directive</x:v>
      </x:c>
      <x:c r="X748" s="6" t="n">
        <x:v>4</x:v>
      </x:c>
      <x:c r="Y748" s="6" t="str">
        <x:v>Engine Oil Specification Dubai | Choosing the Right Oil</x:v>
      </x:c>
      <x:c r="Z748" s="6" t="str"/>
      <x:c r="AA748" s="6" t="str">
        <x:v>No / not compared</x:v>
      </x:c>
    </x:row>
    <x:row r="749" ht="42" customHeight="1">
      <x:c r="A749" s="6" t="str">
        <x:v>https://digitecme.com/blog/porsche-911-service-dubai-guide</x:v>
      </x:c>
      <x:c r="B749" s="6" t="str">
        <x:v>porsche targa service dubai</x:v>
      </x:c>
      <x:c r="C749" s="6" t="str">
        <x:v>porsche: 911 service and model variants</x:v>
      </x:c>
      <x:c r="D749" s="6" t="str">
        <x:v>article</x:v>
      </x:c>
      <x:c r="E749" s="6" t="str">
        <x:v>Primary owner for assigned intent</x:v>
      </x:c>
      <x:c r="F749" s="6" t="str">
        <x:v>Local source render; live version unverified</x:v>
      </x:c>
      <x:c r="G749" s="6" t="str">
        <x:v>Porsche 911 Service &amp; Repair Dubai | Digi-Tec</x:v>
      </x:c>
      <x:c r="H749" s="6" t="str">
        <x:v>Porsche 911 Service &amp; Repair Dubai | Digi-Tec</x:v>
      </x:c>
      <x:c r="I749" s="6" t="str">
        <x:v>Porsche 911 Service &amp; Repair Dubai</x:v>
      </x:c>
      <x:c r="J749" s="6" t="str">
        <x:v>Porsche 911 Service &amp; Repair Dubai</x:v>
      </x:c>
      <x:c r="K749" s="6" t="str">
        <x:v>Porsche 911 service and repair in Dubai for 997, 991 and 992 generations, including PDK, cooling, PASM, brakes and diagnostics.</x:v>
      </x:c>
      <x:c r="L749" s="6" t="str">
        <x:v>Retain pending evidence; no specific content edit justified by this export.</x:v>
      </x:c>
      <x:c r="M749" s="6" t="str">
        <x:v>Retain; inspect relevant context before adding links</x:v>
      </x:c>
      <x:c r="N749" s="6" t="str">
        <x:v>Unconfirmed — no query/page pairing</x:v>
      </x:c>
      <x:c r="O749" s="6" t="str">
        <x:v>Retain established booking / WhatsApp / call path; live behaviour untested</x:v>
      </x:c>
      <x:c r="P749" s="6" t="str">
        <x:v>Retain canonical and indexation policy pending a live check.</x:v>
      </x:c>
      <x:c r="Q749" s="6" t="str">
        <x:v>Proposed; no website change made</x:v>
      </x:c>
      <x:c r="R749" s="14" t="n">
        <x:v>0</x:v>
      </x:c>
      <x:c r="S749" s="14" t="n">
        <x:v>18</x:v>
      </x:c>
      <x:c r="T749" s="15" t="n">
        <x:v>0</x:v>
      </x:c>
      <x:c r="U749" s="16" t="n">
        <x:v>8.11</x:v>
      </x:c>
      <x:c r="V749" s="6" t="str">
        <x:v>https://digitecme.com/blog/porsche-911-service-dubai-guide</x:v>
      </x:c>
      <x:c r="W749" s="6" t="str">
        <x:v>Indexable directive</x:v>
      </x:c>
      <x:c r="X749" s="6" t="n">
        <x:v>47</x:v>
      </x:c>
      <x:c r="Y749" s="6" t="str">
        <x:v>Porsche 911 Service &amp; Repair Dubai | Digi-Tec</x:v>
      </x:c>
      <x:c r="Z749" s="6" t="str"/>
      <x:c r="AA749" s="6" t="str">
        <x:v>No / not compared</x:v>
      </x:c>
    </x:row>
    <x:row r="750" ht="42" customHeight="1">
      <x:c r="A750" s="6" t="str">
        <x:v>https://digitecme.com/blog/porsche-cayenne-service-dubai-guide</x:v>
      </x:c>
      <x:c r="B750" s="6" t="str"/>
      <x:c r="C750" s="6" t="str"/>
      <x:c r="D750" s="6" t="str">
        <x:v>article</x:v>
      </x:c>
      <x:c r="E750" s="6" t="str">
        <x:v>Retain differentiated role</x:v>
      </x:c>
      <x:c r="F750" s="6" t="str">
        <x:v>Local source render; live version unverified</x:v>
      </x:c>
      <x:c r="G750" s="6" t="str">
        <x:v>Porsche Cayenne Service &amp; Repair Dubai | Digi-Tec</x:v>
      </x:c>
      <x:c r="H750" s="6" t="str">
        <x:v>Porsche Cayenne Service &amp; Repair Dubai | Digi-Tec</x:v>
      </x:c>
      <x:c r="I750" s="6" t="str">
        <x:v>Porsche Cayenne Service &amp; Repair Dubai</x:v>
      </x:c>
      <x:c r="J750" s="6" t="str">
        <x:v>Porsche Cayenne Service &amp; Repair Dubai</x:v>
      </x:c>
      <x:c r="K750" s="6" t="str">
        <x:v>Porsche Cayenne service and repair in Dubai for engine, Tiptronic, air suspension, PDCC, cooling, brakes and electrical diagnosis.</x:v>
      </x:c>
      <x:c r="L750" s="6" t="str">
        <x:v>Retain pending evidence; no specific content edit justified by this export.</x:v>
      </x:c>
      <x:c r="M750" s="6" t="str">
        <x:v>Retain; inspect relevant context before adding links</x:v>
      </x:c>
      <x:c r="N750" s="6" t="str">
        <x:v>Unconfirmed — no query/page pairing</x:v>
      </x:c>
      <x:c r="O750" s="6" t="str">
        <x:v>Retain established booking / WhatsApp / call path; live behaviour untested</x:v>
      </x:c>
      <x:c r="P750" s="6" t="str">
        <x:v>Retain canonical and indexation policy pending a live check.</x:v>
      </x:c>
      <x:c r="Q750" s="6" t="str">
        <x:v>Proposed; no website change made</x:v>
      </x:c>
      <x:c r="R750" s="14" t="n">
        <x:v>0</x:v>
      </x:c>
      <x:c r="S750" s="14" t="n">
        <x:v>16</x:v>
      </x:c>
      <x:c r="T750" s="15" t="n">
        <x:v>0</x:v>
      </x:c>
      <x:c r="U750" s="16" t="n">
        <x:v>6.75</x:v>
      </x:c>
      <x:c r="V750" s="6" t="str">
        <x:v>https://digitecme.com/blog/porsche-cayenne-service-dubai-guide</x:v>
      </x:c>
      <x:c r="W750" s="6" t="str">
        <x:v>Indexable directive</x:v>
      </x:c>
      <x:c r="X750" s="6" t="n">
        <x:v>41</x:v>
      </x:c>
      <x:c r="Y750" s="6" t="str">
        <x:v>Porsche Cayenne Service &amp; Repair Dubai | Digi-Tec</x:v>
      </x:c>
      <x:c r="Z750" s="6" t="str"/>
      <x:c r="AA750" s="6" t="str">
        <x:v>No / not compared</x:v>
      </x:c>
    </x:row>
    <x:row r="751" ht="57" customHeight="1">
      <x:c r="A751" s="6" t="str">
        <x:v>https://digitecme.com/blog/porsche-maintenance-guide-dubai</x:v>
      </x:c>
      <x:c r="B751" s="6" t="str"/>
      <x:c r="C751" s="6" t="str"/>
      <x:c r="D751" s="6" t="str">
        <x:v>article</x:v>
      </x:c>
      <x:c r="E751" s="6" t="str">
        <x:v>Retain differentiated role</x:v>
      </x:c>
      <x:c r="F751" s="6" t="str">
        <x:v>Local source render; live version unverified</x:v>
      </x:c>
      <x:c r="G751" s="6" t="str">
        <x:v>Porsche Maintenance Guide for Dubai Owners | Digi-Tec</x:v>
      </x:c>
      <x:c r="H751" s="6" t="str">
        <x:v>Porsche Maintenance Guide for Dubai Owners | Digi-Tec</x:v>
      </x:c>
      <x:c r="I751" s="6" t="str">
        <x:v>Porsche Maintenance &amp; Ownership Guides</x:v>
      </x:c>
      <x:c r="J751" s="6" t="str">
        <x:v>Porsche Maintenance &amp; Ownership Guides</x:v>
      </x:c>
      <x:c r="K751" s="6" t="str">
        <x:v>Porsche maintenance and ownership knowledge centre for Dubai: service intervals, heat, batteries, brakes, tyres, buying used and model guides.</x:v>
      </x:c>
      <x:c r="L751" s="6" t="str">
        <x:v>Retain pending evidence; no specific content edit justified by this export.</x:v>
      </x:c>
      <x:c r="M751" s="6" t="str">
        <x:v>Retain; inspect relevant context before adding links</x:v>
      </x:c>
      <x:c r="N751" s="6" t="str">
        <x:v>Unconfirmed — no query/page pairing</x:v>
      </x:c>
      <x:c r="O751" s="6" t="str">
        <x:v>Retain established booking / WhatsApp / call path; live behaviour untested</x:v>
      </x:c>
      <x:c r="P751" s="6" t="str">
        <x:v>Retain canonical and indexation policy pending a live check.</x:v>
      </x:c>
      <x:c r="Q751" s="6" t="str">
        <x:v>Proposed; no website change made</x:v>
      </x:c>
      <x:c r="R751" s="14" t="n">
        <x:v>0</x:v>
      </x:c>
      <x:c r="S751" s="14" t="n">
        <x:v>111</x:v>
      </x:c>
      <x:c r="T751" s="15" t="n">
        <x:v>0</x:v>
      </x:c>
      <x:c r="U751" s="16" t="n">
        <x:v>9.06</x:v>
      </x:c>
      <x:c r="V751" s="6" t="str">
        <x:v>https://digitecme.com/blog/porsche-maintenance-guide-dubai</x:v>
      </x:c>
      <x:c r="W751" s="6" t="str">
        <x:v>Indexable directive</x:v>
      </x:c>
      <x:c r="X751" s="6" t="n">
        <x:v>50</x:v>
      </x:c>
      <x:c r="Y751" s="6" t="str">
        <x:v>Porsche Maintenance Guide for Dubai Owners | Digi-Tec</x:v>
      </x:c>
      <x:c r="Z751" s="6" t="str"/>
      <x:c r="AA751" s="6" t="str">
        <x:v>No / not compared</x:v>
      </x:c>
    </x:row>
    <x:row r="752" ht="42" customHeight="1">
      <x:c r="A752" s="6" t="str">
        <x:v>https://digitecme.com/blog/porsche-panamera-service-dubai-guide</x:v>
      </x:c>
      <x:c r="B752" s="6" t="str">
        <x:v>porsche panamera repair dubai</x:v>
      </x:c>
      <x:c r="C752" s="6" t="str">
        <x:v>porsche: Panamera service</x:v>
      </x:c>
      <x:c r="D752" s="6" t="str">
        <x:v>article</x:v>
      </x:c>
      <x:c r="E752" s="6" t="str">
        <x:v>Primary owner for assigned intent</x:v>
      </x:c>
      <x:c r="F752" s="6" t="str">
        <x:v>Local source render; live version unverified</x:v>
      </x:c>
      <x:c r="G752" s="6" t="str">
        <x:v>Porsche Panamera Service &amp; Repair Dubai | Digi-Tec</x:v>
      </x:c>
      <x:c r="H752" s="6" t="str">
        <x:v>Porsche Panamera Service &amp; Repair Dubai | Digi-Tec</x:v>
      </x:c>
      <x:c r="I752" s="6" t="str">
        <x:v>Porsche Panamera Service &amp; Repair Dubai</x:v>
      </x:c>
      <x:c r="J752" s="6" t="str">
        <x:v>Porsche Panamera Service &amp; Repair Dubai</x:v>
      </x:c>
      <x:c r="K752" s="6" t="str">
        <x:v>Porsche Panamera service and repair in Dubai for PDK, engines, hybrid systems, air suspension, PASM, cooling, brakes and diagnostics.</x:v>
      </x:c>
      <x:c r="L752" s="6" t="str">
        <x:v>Retain pending evidence; no specific content edit justified by this export.</x:v>
      </x:c>
      <x:c r="M752" s="6" t="str">
        <x:v>Retain; inspect relevant context before adding links</x:v>
      </x:c>
      <x:c r="N752" s="6" t="str">
        <x:v>Unconfirmed — no query/page pairing</x:v>
      </x:c>
      <x:c r="O752" s="6" t="str">
        <x:v>Retain established booking / WhatsApp / call path; live behaviour untested</x:v>
      </x:c>
      <x:c r="P752" s="6" t="str">
        <x:v>Retain canonical and indexation policy pending a live check.</x:v>
      </x:c>
      <x:c r="Q752" s="6" t="str">
        <x:v>Proposed; no website change made</x:v>
      </x:c>
      <x:c r="R752" s="14" t="n">
        <x:v>0</x:v>
      </x:c>
      <x:c r="S752" s="14" t="n">
        <x:v>17</x:v>
      </x:c>
      <x:c r="T752" s="15" t="n">
        <x:v>0</x:v>
      </x:c>
      <x:c r="U752" s="16" t="n">
        <x:v>15.12</x:v>
      </x:c>
      <x:c r="V752" s="6" t="str">
        <x:v>https://digitecme.com/blog/porsche-panamera-service-dubai-guide</x:v>
      </x:c>
      <x:c r="W752" s="6" t="str">
        <x:v>Indexable directive</x:v>
      </x:c>
      <x:c r="X752" s="6" t="n">
        <x:v>43</x:v>
      </x:c>
      <x:c r="Y752" s="6" t="str">
        <x:v>Porsche Panamera Service &amp; Repair Dubai | Digi-Tec</x:v>
      </x:c>
      <x:c r="Z752" s="6" t="str"/>
      <x:c r="AA752" s="6" t="str">
        <x:v>No / not compared</x:v>
      </x:c>
    </x:row>
    <x:row r="753" ht="57" customHeight="1">
      <x:c r="A753" s="6" t="str">
        <x:v>https://digitecme.com/blog/pre-purchase-inspection-dubai-guide</x:v>
      </x:c>
      <x:c r="B753" s="6" t="str"/>
      <x:c r="C753" s="6" t="str"/>
      <x:c r="D753" s="6" t="str">
        <x:v>article</x:v>
      </x:c>
      <x:c r="E753" s="6" t="str">
        <x:v>Retain differentiated role</x:v>
      </x:c>
      <x:c r="F753" s="6" t="str">
        <x:v>Local source render; live version unverified</x:v>
      </x:c>
      <x:c r="G753" s="6" t="str">
        <x:v>Pre-Purchase Inspection Dubai | Used Luxury Car Check Guide</x:v>
      </x:c>
      <x:c r="H753" s="6" t="str">
        <x:v>Pre-Purchase Inspection Dubai | Used Luxury Car Check Guide</x:v>
      </x:c>
      <x:c r="I753" s="6" t="str">
        <x:v>Pre-Purchase Inspection in Dubai: What It Should Cover</x:v>
      </x:c>
      <x:c r="J753" s="6" t="str">
        <x:v>Pre-Purchase Inspection in Dubai: What It Should Cover</x:v>
      </x:c>
      <x:c r="K753" s="6" t="str">
        <x:v>What a pre-purchase inspection in Dubai should cover before you buy a used luxury car: diagnostics, accident evidence, fluids, suspension, brakes and service history.</x:v>
      </x:c>
      <x:c r="L753" s="6" t="str">
        <x:v>Retain pending evidence; no specific content edit justified by this export.</x:v>
      </x:c>
      <x:c r="M753" s="6" t="str">
        <x:v>Retain; inspect relevant context before adding links</x:v>
      </x:c>
      <x:c r="N753" s="6" t="str">
        <x:v>Unconfirmed — no query/page pairing</x:v>
      </x:c>
      <x:c r="O753" s="6" t="str">
        <x:v>Retain established booking / WhatsApp / call path; live behaviour untested</x:v>
      </x:c>
      <x:c r="P753" s="6" t="str">
        <x:v>Retain canonical and indexation policy pending a live check.</x:v>
      </x:c>
      <x:c r="Q753" s="6" t="str">
        <x:v>Proposed; no website change made</x:v>
      </x:c>
      <x:c r="R753" s="14" t="n">
        <x:v>0</x:v>
      </x:c>
      <x:c r="S753" s="14" t="n">
        <x:v>14</x:v>
      </x:c>
      <x:c r="T753" s="15" t="n">
        <x:v>0</x:v>
      </x:c>
      <x:c r="U753" s="16" t="n">
        <x:v>9.14</x:v>
      </x:c>
      <x:c r="V753" s="6" t="str">
        <x:v>https://digitecme.com/blog/pre-purchase-inspection-dubai-guide</x:v>
      </x:c>
      <x:c r="W753" s="6" t="str">
        <x:v>Indexable directive</x:v>
      </x:c>
      <x:c r="X753" s="6" t="n">
        <x:v>4</x:v>
      </x:c>
      <x:c r="Y753" s="6" t="str">
        <x:v>Pre-Purchase Inspection Dubai | Used Luxury Car Check Guide</x:v>
      </x:c>
      <x:c r="Z753" s="6" t="str"/>
      <x:c r="AA753" s="6" t="str">
        <x:v>No / not compared</x:v>
      </x:c>
    </x:row>
    <x:row r="754" ht="42" customHeight="1">
      <x:c r="A754" s="6" t="str">
        <x:v>https://digitecme.com/blog/range-rover-land-rover-air-suspension-problems-dubai</x:v>
      </x:c>
      <x:c r="B754" s="6" t="str"/>
      <x:c r="C754" s="6" t="str"/>
      <x:c r="D754" s="6" t="str">
        <x:v>article</x:v>
      </x:c>
      <x:c r="E754" s="6" t="str">
        <x:v>Retain differentiated role</x:v>
      </x:c>
      <x:c r="F754" s="6" t="str">
        <x:v>Local source render; live version unverified</x:v>
      </x:c>
      <x:c r="G754" s="6" t="str">
        <x:v>Range Rover Air Suspension Problems Dubai | Digi-Tec</x:v>
      </x:c>
      <x:c r="H754" s="6" t="str">
        <x:v>Range Rover Air Suspension Problems Dubai | Digi-Tec</x:v>
      </x:c>
      <x:c r="I754" s="6" t="str">
        <x:v>Range Rover &amp; Land Rover Air Suspension Problems in Dubai</x:v>
      </x:c>
      <x:c r="J754" s="6" t="str">
        <x:v>Range Rover &amp; Land Rover Air Suspension Problems in Dubai</x:v>
      </x:c>
      <x:c r="K754" s="6" t="str">
        <x:v>Range Rover leaning to one side or showing Suspension Fault? Learn common air suspension faults, warning signs and repair steps in Dubai.</x:v>
      </x:c>
      <x:c r="L754" s="6" t="str">
        <x:v>Retain pending evidence; no specific content edit justified by this export.</x:v>
      </x:c>
      <x:c r="M754" s="6" t="str">
        <x:v>Retain; inspect relevant context before adding links</x:v>
      </x:c>
      <x:c r="N754" s="6" t="str">
        <x:v>Unconfirmed — no query/page pairing</x:v>
      </x:c>
      <x:c r="O754" s="6" t="str">
        <x:v>Retain established booking / WhatsApp / call path; live behaviour untested</x:v>
      </x:c>
      <x:c r="P754" s="6" t="str">
        <x:v>Retain canonical and indexation policy pending a live check.</x:v>
      </x:c>
      <x:c r="Q754" s="6" t="str">
        <x:v>Proposed; no website change made</x:v>
      </x:c>
      <x:c r="R754" s="14" t="n">
        <x:v>0</x:v>
      </x:c>
      <x:c r="S754" s="14" t="n">
        <x:v>107</x:v>
      </x:c>
      <x:c r="T754" s="15" t="n">
        <x:v>0</x:v>
      </x:c>
      <x:c r="U754" s="16" t="n">
        <x:v>11.98</x:v>
      </x:c>
      <x:c r="V754" s="6" t="str">
        <x:v>https://digitecme.com/blog/range-rover-land-rover-air-suspension-problems-dubai</x:v>
      </x:c>
      <x:c r="W754" s="6" t="str">
        <x:v>Indexable directive</x:v>
      </x:c>
      <x:c r="X754" s="6" t="n">
        <x:v>4</x:v>
      </x:c>
      <x:c r="Y754" s="6" t="str">
        <x:v>Range Rover Air Suspension Problems Dubai | Digi-Tec</x:v>
      </x:c>
      <x:c r="Z754" s="6" t="str"/>
      <x:c r="AA754" s="6" t="str">
        <x:v>No / not compared</x:v>
      </x:c>
    </x:row>
    <x:row r="755" ht="57" customHeight="1">
      <x:c r="A755" s="6" t="str">
        <x:v>https://digitecme.com/blog/range-rover-maintenance-guide-dubai</x:v>
      </x:c>
      <x:c r="B755" s="6" t="str"/>
      <x:c r="C755" s="6" t="str"/>
      <x:c r="D755" s="6" t="str">
        <x:v>article</x:v>
      </x:c>
      <x:c r="E755" s="6" t="str">
        <x:v>Retain differentiated role</x:v>
      </x:c>
      <x:c r="F755" s="6" t="str">
        <x:v>Local source render; live version unverified</x:v>
      </x:c>
      <x:c r="G755" s="6" t="str">
        <x:v>Range Rover Maintenance Dubai | DIGI-TEC</x:v>
      </x:c>
      <x:c r="H755" s="6" t="str">
        <x:v>Range Rover Maintenance Dubai | DIGI-TEC</x:v>
      </x:c>
      <x:c r="I755" s="6" t="str">
        <x:v>Range Rover Maintenance Guide for Dubai Owners</x:v>
      </x:c>
      <x:c r="J755" s="6" t="str">
        <x:v>Range Rover Maintenance Guide for Dubai Owners</x:v>
      </x:c>
      <x:c r="K755" s="6" t="str">
        <x:v>Range Rover workshop in Dubai for diagnostics, maintenance and repair. Visit DIGI-TEC in Al Quoz for clear inspections, practical guidance and booking support.</x:v>
      </x:c>
      <x:c r="L755" s="6" t="str">
        <x:v>Retain pending evidence; no specific content edit justified by this export.</x:v>
      </x:c>
      <x:c r="M755" s="6" t="str">
        <x:v>Retain; inspect relevant context before adding links</x:v>
      </x:c>
      <x:c r="N755" s="6" t="str">
        <x:v>Unconfirmed — no query/page pairing</x:v>
      </x:c>
      <x:c r="O755" s="6" t="str">
        <x:v>Retain established booking / WhatsApp / call path; live behaviour untested</x:v>
      </x:c>
      <x:c r="P755" s="6" t="str">
        <x:v>Retain canonical and indexation policy pending a live check.</x:v>
      </x:c>
      <x:c r="Q755" s="6" t="str">
        <x:v>Proposed; no website change made</x:v>
      </x:c>
      <x:c r="R755" s="14" t="n">
        <x:v>0</x:v>
      </x:c>
      <x:c r="S755" s="14" t="n">
        <x:v>13</x:v>
      </x:c>
      <x:c r="T755" s="15" t="n">
        <x:v>0</x:v>
      </x:c>
      <x:c r="U755" s="16" t="n">
        <x:v>10.46</x:v>
      </x:c>
      <x:c r="V755" s="6" t="str">
        <x:v>https://digitecme.com/blog/range-rover-maintenance-guide-dubai</x:v>
      </x:c>
      <x:c r="W755" s="6" t="str">
        <x:v>Indexable directive</x:v>
      </x:c>
      <x:c r="X755" s="6" t="n">
        <x:v>4</x:v>
      </x:c>
      <x:c r="Y755" s="6" t="str">
        <x:v>Range Rover Maintenance Dubai | DIGI-TEC</x:v>
      </x:c>
      <x:c r="Z755" s="6" t="str"/>
      <x:c r="AA755" s="6" t="str">
        <x:v>No / not compared</x:v>
      </x:c>
    </x:row>
    <x:row r="756" ht="57" customHeight="1">
      <x:c r="A756" s="6" t="str">
        <x:v>https://digitecme.com/blog/range-rover-sport-service-dubai-guide</x:v>
      </x:c>
      <x:c r="B756" s="6" t="str"/>
      <x:c r="C756" s="6" t="str"/>
      <x:c r="D756" s="6" t="str">
        <x:v>article</x:v>
      </x:c>
      <x:c r="E756" s="6" t="str">
        <x:v>Retain differentiated role</x:v>
      </x:c>
      <x:c r="F756" s="6" t="str">
        <x:v>Local source render; live version unverified</x:v>
      </x:c>
      <x:c r="G756" s="6" t="str">
        <x:v>Range Rover Sport Service Dubai | JLR Specialist Guide</x:v>
      </x:c>
      <x:c r="H756" s="6" t="str">
        <x:v>Range Rover Sport Service Dubai | JLR Specialist Guide</x:v>
      </x:c>
      <x:c r="I756" s="6" t="str">
        <x:v>Range Rover Sport Service in Dubai: What to Watch</x:v>
      </x:c>
      <x:c r="J756" s="6" t="str">
        <x:v>Range Rover Sport Service in Dubai: What to Watch</x:v>
      </x:c>
      <x:c r="K756" s="6" t="str">
        <x:v>A Range Rover Sport service guide for Dubai: air suspension, cooling, electrical modules, drivetrain fluids and the checks that prevent roadside failures.</x:v>
      </x:c>
      <x:c r="L756" s="6" t="str">
        <x:v>Retain pending evidence; no specific content edit justified by this export.</x:v>
      </x:c>
      <x:c r="M756" s="6" t="str">
        <x:v>Retain; inspect relevant context before adding links</x:v>
      </x:c>
      <x:c r="N756" s="6" t="str">
        <x:v>Unconfirmed — no query/page pairing</x:v>
      </x:c>
      <x:c r="O756" s="6" t="str">
        <x:v>Retain established booking / WhatsApp / call path; live behaviour untested</x:v>
      </x:c>
      <x:c r="P756" s="6" t="str">
        <x:v>Retain canonical and indexation policy pending a live check.</x:v>
      </x:c>
      <x:c r="Q756" s="6" t="str">
        <x:v>Proposed; no website change made</x:v>
      </x:c>
      <x:c r="R756" s="14" t="n">
        <x:v>0</x:v>
      </x:c>
      <x:c r="S756" s="14" t="n">
        <x:v>2</x:v>
      </x:c>
      <x:c r="T756" s="15" t="n">
        <x:v>0</x:v>
      </x:c>
      <x:c r="U756" s="16" t="n">
        <x:v>66.5</x:v>
      </x:c>
      <x:c r="V756" s="6" t="str">
        <x:v>https://digitecme.com/blog/range-rover-sport-service-dubai-guide</x:v>
      </x:c>
      <x:c r="W756" s="6" t="str">
        <x:v>Indexable directive</x:v>
      </x:c>
      <x:c r="X756" s="6" t="n">
        <x:v>4</x:v>
      </x:c>
      <x:c r="Y756" s="6" t="str">
        <x:v>Range Rover Sport Service Dubai | JLR Specialist Guide</x:v>
      </x:c>
      <x:c r="Z756" s="6" t="str"/>
      <x:c r="AA756" s="6" t="str">
        <x:v>No / not compared</x:v>
      </x:c>
    </x:row>
    <x:row r="757" ht="57" customHeight="1">
      <x:c r="A757" s="6" t="str">
        <x:v>https://digitecme.com/blog/range-rover-vogue-service-dubai-guide</x:v>
      </x:c>
      <x:c r="B757" s="6" t="str"/>
      <x:c r="C757" s="6" t="str"/>
      <x:c r="D757" s="6" t="str">
        <x:v>article</x:v>
      </x:c>
      <x:c r="E757" s="6" t="str">
        <x:v>Retain differentiated role</x:v>
      </x:c>
      <x:c r="F757" s="6" t="str">
        <x:v>Local source render; live version unverified</x:v>
      </x:c>
      <x:c r="G757" s="6" t="str">
        <x:v>Range Rover Vogue Service Dubai | Maintenance and Repair Guide</x:v>
      </x:c>
      <x:c r="H757" s="6" t="str">
        <x:v>Range Rover Vogue Service Dubai | Maintenance and Repair Guide</x:v>
      </x:c>
      <x:c r="I757" s="6" t="str">
        <x:v>Range Rover Vogue Service in Dubai: Owner Guide</x:v>
      </x:c>
      <x:c r="J757" s="6" t="str">
        <x:v>Range Rover Vogue Service in Dubai: Owner Guide</x:v>
      </x:c>
      <x:c r="K757" s="6" t="str">
        <x:v>Range Rover Vogue service in Dubai: air suspension, cooling, electrical modules, brakes, fluid intervals and manufacturer level diagnostics explained.</x:v>
      </x:c>
      <x:c r="L757" s="6" t="str">
        <x:v>Retain pending evidence; no specific content edit justified by this export.</x:v>
      </x:c>
      <x:c r="M757" s="6" t="str">
        <x:v>Retain; inspect relevant context before adding links</x:v>
      </x:c>
      <x:c r="N757" s="6" t="str">
        <x:v>Unconfirmed — no query/page pairing</x:v>
      </x:c>
      <x:c r="O757" s="6" t="str">
        <x:v>Retain established booking / WhatsApp / call path; live behaviour untested</x:v>
      </x:c>
      <x:c r="P757" s="6" t="str">
        <x:v>Retain canonical and indexation policy pending a live check.</x:v>
      </x:c>
      <x:c r="Q757" s="6" t="str">
        <x:v>Proposed; no website change made</x:v>
      </x:c>
      <x:c r="R757" s="14" t="n">
        <x:v>0</x:v>
      </x:c>
      <x:c r="S757" s="14" t="n">
        <x:v>1</x:v>
      </x:c>
      <x:c r="T757" s="15" t="n">
        <x:v>0</x:v>
      </x:c>
      <x:c r="U757" s="16" t="n">
        <x:v>6</x:v>
      </x:c>
      <x:c r="V757" s="6" t="str">
        <x:v>https://digitecme.com/blog/range-rover-vogue-service-dubai-guide</x:v>
      </x:c>
      <x:c r="W757" s="6" t="str">
        <x:v>Indexable directive</x:v>
      </x:c>
      <x:c r="X757" s="6" t="n">
        <x:v>4</x:v>
      </x:c>
      <x:c r="Y757" s="6" t="str">
        <x:v>Range Rover Vogue Service Dubai | Maintenance and Repair Guide</x:v>
      </x:c>
      <x:c r="Z757" s="6" t="str"/>
      <x:c r="AA757" s="6" t="str">
        <x:v>No / not compared</x:v>
      </x:c>
    </x:row>
    <x:row r="758" ht="42" customHeight="1">
      <x:c r="A758" s="6" t="str">
        <x:v>https://digitecme.com/blog/rolls-royce-best-workshop-dubai</x:v>
      </x:c>
      <x:c r="B758" s="6" t="str"/>
      <x:c r="C758" s="6" t="str"/>
      <x:c r="D758" s="6" t="str">
        <x:v>article</x:v>
      </x:c>
      <x:c r="E758" s="6" t="str">
        <x:v>Retain differentiated role</x:v>
      </x:c>
      <x:c r="F758" s="6" t="str">
        <x:v>Local source render; live version unverified</x:v>
      </x:c>
      <x:c r="G758" s="6" t="str">
        <x:v>Rolls-Royce Workshop Selection Guide Dubai | DIGI-TEC</x:v>
      </x:c>
      <x:c r="H758" s="6" t="str">
        <x:v>Rolls-Royce Workshop Selection Guide Dubai | DIGI-TEC</x:v>
      </x:c>
      <x:c r="I758" s="6" t="str">
        <x:v>Choosing a Rolls-Royce Workshop in Dubai: Owner Guide</x:v>
      </x:c>
      <x:c r="J758" s="6" t="str">
        <x:v>Choosing a Rolls-Royce Workshop in Dubai: Owner Guide</x:v>
      </x:c>
      <x:c r="K758" s="6" t="str">
        <x:v>Compare Rolls-Royce workshops in Dubai by assessment process, diagnostic scope, parts, estimates and vehicle-specific repair capability.</x:v>
      </x:c>
      <x:c r="L758" s="6" t="str">
        <x:v>Retain pending evidence; no specific content edit justified by this export.</x:v>
      </x:c>
      <x:c r="M758" s="6" t="str">
        <x:v>Retain; inspect relevant context before adding links</x:v>
      </x:c>
      <x:c r="N758" s="6" t="str">
        <x:v>Unconfirmed — no query/page pairing</x:v>
      </x:c>
      <x:c r="O758" s="6" t="str">
        <x:v>Retain established booking / WhatsApp / call path; live behaviour untested</x:v>
      </x:c>
      <x:c r="P758" s="6" t="str">
        <x:v>Retain canonical and indexation policy pending a live check.</x:v>
      </x:c>
      <x:c r="Q758" s="6" t="str">
        <x:v>Proposed; no website change made</x:v>
      </x:c>
      <x:c r="R758" s="14" t="n">
        <x:v>0</x:v>
      </x:c>
      <x:c r="S758" s="14" t="n">
        <x:v>14</x:v>
      </x:c>
      <x:c r="T758" s="15" t="n">
        <x:v>0</x:v>
      </x:c>
      <x:c r="U758" s="16" t="n">
        <x:v>7.93</x:v>
      </x:c>
      <x:c r="V758" s="6" t="str">
        <x:v>https://digitecme.com/blog/rolls-royce-best-workshop-dubai</x:v>
      </x:c>
      <x:c r="W758" s="6" t="str">
        <x:v>Indexable directive</x:v>
      </x:c>
      <x:c r="X758" s="6" t="n">
        <x:v>19</x:v>
      </x:c>
      <x:c r="Y758" s="6" t="str">
        <x:v>Rolls-Royce Workshop Selection Guide Dubai | DIGI-TEC</x:v>
      </x:c>
      <x:c r="Z758" s="6" t="str"/>
      <x:c r="AA758" s="6" t="str">
        <x:v>No / not compared</x:v>
      </x:c>
    </x:row>
    <x:row r="759" ht="42" customHeight="1">
      <x:c r="A759" s="6" t="str">
        <x:v>https://digitecme.com/blog/rolls-royce-ghost-service-dubai-guide</x:v>
      </x:c>
      <x:c r="B759" s="6" t="str"/>
      <x:c r="C759" s="6" t="str"/>
      <x:c r="D759" s="6" t="str">
        <x:v>article</x:v>
      </x:c>
      <x:c r="E759" s="6" t="str">
        <x:v>Retain differentiated role</x:v>
      </x:c>
      <x:c r="F759" s="6" t="str">
        <x:v>Local source render; live version unverified</x:v>
      </x:c>
      <x:c r="G759" s="6" t="str">
        <x:v>Rolls-Royce Ghost Service Dubai | Maintenance and Repair Guide</x:v>
      </x:c>
      <x:c r="H759" s="6" t="str">
        <x:v>Rolls-Royce Ghost Service Dubai | Maintenance and Repair Guide</x:v>
      </x:c>
      <x:c r="I759" s="6" t="str">
        <x:v>Rolls-Royce Ghost Service in Dubai: Owner Guide</x:v>
      </x:c>
      <x:c r="J759" s="6" t="str">
        <x:v>Rolls-Royce Ghost Service in Dubai: Owner Guide</x:v>
      </x:c>
      <x:c r="K759" s="6" t="str">
        <x:v>Rolls-Royce Ghost service in Dubai: maintenance planning, suspension, cooling, battery, brakes and diagnostic concerns explained for owners.</x:v>
      </x:c>
      <x:c r="L759" s="6" t="str">
        <x:v>Retain pending evidence; no specific content edit justified by this export.</x:v>
      </x:c>
      <x:c r="M759" s="6" t="str">
        <x:v>Retain; inspect relevant context before adding links</x:v>
      </x:c>
      <x:c r="N759" s="6" t="str">
        <x:v>Unconfirmed — no query/page pairing</x:v>
      </x:c>
      <x:c r="O759" s="6" t="str">
        <x:v>Retain established booking / WhatsApp / call path; live behaviour untested</x:v>
      </x:c>
      <x:c r="P759" s="6" t="str">
        <x:v>Retain canonical and indexation policy pending a live check.</x:v>
      </x:c>
      <x:c r="Q759" s="6" t="str">
        <x:v>Proposed; no website change made</x:v>
      </x:c>
      <x:c r="R759" s="14" t="n">
        <x:v>0</x:v>
      </x:c>
      <x:c r="S759" s="14" t="n">
        <x:v>21</x:v>
      </x:c>
      <x:c r="T759" s="15" t="n">
        <x:v>0</x:v>
      </x:c>
      <x:c r="U759" s="16" t="n">
        <x:v>4.38</x:v>
      </x:c>
      <x:c r="V759" s="6" t="str">
        <x:v>https://digitecme.com/blog/rolls-royce-ghost-service-dubai-guide</x:v>
      </x:c>
      <x:c r="W759" s="6" t="str">
        <x:v>Indexable directive</x:v>
      </x:c>
      <x:c r="X759" s="6" t="n">
        <x:v>19</x:v>
      </x:c>
      <x:c r="Y759" s="6" t="str">
        <x:v>Rolls-Royce Ghost Service Dubai | Maintenance and Repair Guide</x:v>
      </x:c>
      <x:c r="Z759" s="6" t="str"/>
      <x:c r="AA759" s="6" t="str">
        <x:v>No / not compared</x:v>
      </x:c>
    </x:row>
    <x:row r="760" ht="57" customHeight="1">
      <x:c r="A760" s="6" t="str">
        <x:v>https://digitecme.com/blog/summer-car-preparation-dubai-checklist</x:v>
      </x:c>
      <x:c r="B760" s="6" t="str"/>
      <x:c r="C760" s="6" t="str"/>
      <x:c r="D760" s="6" t="str">
        <x:v>article</x:v>
      </x:c>
      <x:c r="E760" s="6" t="str">
        <x:v>Retain differentiated role</x:v>
      </x:c>
      <x:c r="F760" s="6" t="str">
        <x:v>Local source render; live version unverified</x:v>
      </x:c>
      <x:c r="G760" s="6" t="str">
        <x:v>Summer Car Check Dubai | Preparation Checklist Before Heat</x:v>
      </x:c>
      <x:c r="H760" s="6" t="str">
        <x:v>Summer Car Check Dubai | Preparation Checklist Before Heat</x:v>
      </x:c>
      <x:c r="I760" s="6" t="str">
        <x:v>Summer Car Preparation in Dubai: A Practical Checklist</x:v>
      </x:c>
      <x:c r="J760" s="6" t="str">
        <x:v>Summer Car Preparation in Dubai: A Practical Checklist</x:v>
      </x:c>
      <x:c r="K760" s="6" t="str">
        <x:v>A practical summer car preparation checklist for Dubai: cooling, AC, battery, tyres, fluids and the checks that prevent breakdowns in peak heat.</x:v>
      </x:c>
      <x:c r="L760" s="6" t="str">
        <x:v>Retain pending evidence; no specific content edit justified by this export.</x:v>
      </x:c>
      <x:c r="M760" s="6" t="str">
        <x:v>Retain; inspect relevant context before adding links</x:v>
      </x:c>
      <x:c r="N760" s="6" t="str">
        <x:v>Unconfirmed — no query/page pairing</x:v>
      </x:c>
      <x:c r="O760" s="6" t="str">
        <x:v>Retain established booking / WhatsApp / call path; live behaviour untested</x:v>
      </x:c>
      <x:c r="P760" s="6" t="str">
        <x:v>Retain canonical and indexation policy pending a live check.</x:v>
      </x:c>
      <x:c r="Q760" s="6" t="str">
        <x:v>Proposed; no website change made</x:v>
      </x:c>
      <x:c r="R760" s="14" t="n">
        <x:v>0</x:v>
      </x:c>
      <x:c r="S760" s="14" t="n">
        <x:v>3</x:v>
      </x:c>
      <x:c r="T760" s="15" t="n">
        <x:v>0</x:v>
      </x:c>
      <x:c r="U760" s="16" t="n">
        <x:v>3.33</x:v>
      </x:c>
      <x:c r="V760" s="6" t="str">
        <x:v>https://digitecme.com/blog/summer-car-preparation-dubai-checklist</x:v>
      </x:c>
      <x:c r="W760" s="6" t="str">
        <x:v>Indexable directive</x:v>
      </x:c>
      <x:c r="X760" s="6" t="n">
        <x:v>4</x:v>
      </x:c>
      <x:c r="Y760" s="6" t="str">
        <x:v>Summer Car Check Dubai | Preparation Checklist Before Heat</x:v>
      </x:c>
      <x:c r="Z760" s="6" t="str"/>
      <x:c r="AA760" s="6" t="str">
        <x:v>No / not compared</x:v>
      </x:c>
    </x:row>
    <x:row r="761" ht="57" customHeight="1">
      <x:c r="A761" s="6" t="str">
        <x:v>https://digitecme.com/blog/toyota-best-workshop-dubai</x:v>
      </x:c>
      <x:c r="B761" s="6" t="str"/>
      <x:c r="C761" s="6" t="str"/>
      <x:c r="D761" s="6" t="str">
        <x:v>article</x:v>
      </x:c>
      <x:c r="E761" s="6" t="str">
        <x:v>Retain differentiated role</x:v>
      </x:c>
      <x:c r="F761" s="6" t="str">
        <x:v>Local source render; live version unverified</x:v>
      </x:c>
      <x:c r="G761" s="6" t="str">
        <x:v>Toyota Workshop Selection Guide Dubai | DIGI-TEC</x:v>
      </x:c>
      <x:c r="H761" s="6" t="str">
        <x:v>Toyota Workshop Selection Guide Dubai | DIGI-TEC</x:v>
      </x:c>
      <x:c r="I761" s="6" t="str">
        <x:v>Choosing a Toyota Workshop in Dubai: Owner Guide</x:v>
      </x:c>
      <x:c r="J761" s="6" t="str">
        <x:v>Choosing a Toyota Workshop in Dubai: Owner Guide</x:v>
      </x:c>
      <x:c r="K761" s="6" t="str">
        <x:v>Toyota workshop in Dubai for diagnostics, maintenance and repair. Visit DIGI-TEC in Al Quoz for clear inspections, practical guidance and booking support.</x:v>
      </x:c>
      <x:c r="L761" s="6" t="str">
        <x:v>Retain pending evidence; no specific content edit justified by this export.</x:v>
      </x:c>
      <x:c r="M761" s="6" t="str">
        <x:v>Retain; inspect relevant context before adding links</x:v>
      </x:c>
      <x:c r="N761" s="6" t="str">
        <x:v>Unconfirmed — no query/page pairing</x:v>
      </x:c>
      <x:c r="O761" s="6" t="str">
        <x:v>Retain established booking / WhatsApp / call path; live behaviour untested</x:v>
      </x:c>
      <x:c r="P761" s="6" t="str">
        <x:v>Retain canonical and indexation policy pending a live check.</x:v>
      </x:c>
      <x:c r="Q761" s="6" t="str">
        <x:v>Proposed; no website change made</x:v>
      </x:c>
      <x:c r="R761" s="14" t="n">
        <x:v>0</x:v>
      </x:c>
      <x:c r="S761" s="14" t="n">
        <x:v>75</x:v>
      </x:c>
      <x:c r="T761" s="15" t="n">
        <x:v>0</x:v>
      </x:c>
      <x:c r="U761" s="16" t="n">
        <x:v>7.51</x:v>
      </x:c>
      <x:c r="V761" s="6" t="str">
        <x:v>https://digitecme.com/blog/toyota-best-workshop-dubai</x:v>
      </x:c>
      <x:c r="W761" s="6" t="str">
        <x:v>Indexable directive</x:v>
      </x:c>
      <x:c r="X761" s="6" t="n">
        <x:v>4</x:v>
      </x:c>
      <x:c r="Y761" s="6" t="str">
        <x:v>Toyota Workshop Selection Guide Dubai | DIGI-TEC</x:v>
      </x:c>
      <x:c r="Z761" s="6" t="str"/>
      <x:c r="AA761" s="6" t="str">
        <x:v>No / not compared</x:v>
      </x:c>
    </x:row>
    <x:row r="762" ht="57" customHeight="1">
      <x:c r="A762" s="6" t="str">
        <x:v>https://digitecme.com/blog/transmission-service-7g-9g-dubai</x:v>
      </x:c>
      <x:c r="B762" s="6" t="str"/>
      <x:c r="C762" s="6" t="str"/>
      <x:c r="D762" s="6" t="str">
        <x:v>article</x:v>
      </x:c>
      <x:c r="E762" s="6" t="str">
        <x:v>Retain differentiated role</x:v>
      </x:c>
      <x:c r="F762" s="6" t="str">
        <x:v>Local source render; live version unverified</x:v>
      </x:c>
      <x:c r="G762" s="6" t="str">
        <x:v>Automatic Transmission Service Dubai | Fluid, Filter and Repair</x:v>
      </x:c>
      <x:c r="H762" s="6" t="str">
        <x:v>Automatic Transmission Service Dubai | Fluid, Filter and Repair</x:v>
      </x:c>
      <x:c r="I762" s="6" t="str">
        <x:v>Automatic Transmission Service in Dubai: 7G, 9G and ZF</x:v>
      </x:c>
      <x:c r="J762" s="6" t="str">
        <x:v>Automatic Transmission Service in Dubai: 7G, 9G and ZF</x:v>
      </x:c>
      <x:c r="K762" s="6" t="str">
        <x:v>Automatic transmission service in Dubai explained: when fluid should be changed, what a proper service includes, and the symptoms that need diagnosis first.</x:v>
      </x:c>
      <x:c r="L762" s="6" t="str">
        <x:v>Retain pending evidence; no specific content edit justified by this export.</x:v>
      </x:c>
      <x:c r="M762" s="6" t="str">
        <x:v>Retain; inspect relevant context before adding links</x:v>
      </x:c>
      <x:c r="N762" s="6" t="str">
        <x:v>Unconfirmed — no query/page pairing</x:v>
      </x:c>
      <x:c r="O762" s="6" t="str">
        <x:v>Retain established booking / WhatsApp / call path; live behaviour untested</x:v>
      </x:c>
      <x:c r="P762" s="6" t="str">
        <x:v>Retain canonical and indexation policy pending a live check.</x:v>
      </x:c>
      <x:c r="Q762" s="6" t="str">
        <x:v>Proposed; no website change made</x:v>
      </x:c>
      <x:c r="R762" s="14" t="n">
        <x:v>0</x:v>
      </x:c>
      <x:c r="S762" s="14" t="n">
        <x:v>5</x:v>
      </x:c>
      <x:c r="T762" s="15" t="n">
        <x:v>0</x:v>
      </x:c>
      <x:c r="U762" s="16" t="n">
        <x:v>7.4</x:v>
      </x:c>
      <x:c r="V762" s="6" t="str">
        <x:v>https://digitecme.com/blog/transmission-service-7g-9g-dubai</x:v>
      </x:c>
      <x:c r="W762" s="6" t="str">
        <x:v>Indexable directive</x:v>
      </x:c>
      <x:c r="X762" s="6" t="n">
        <x:v>4</x:v>
      </x:c>
      <x:c r="Y762" s="6" t="str">
        <x:v>Automatic Transmission Service Dubai | Fluid, Filter and Repair</x:v>
      </x:c>
      <x:c r="Z762" s="6" t="str"/>
      <x:c r="AA762" s="6" t="str">
        <x:v>No / not compared</x:v>
      </x:c>
    </x:row>
    <x:row r="763" ht="57" customHeight="1">
      <x:c r="A763" s="6" t="str">
        <x:v>https://digitecme.com/blog/volkswagen-best-workshop-dubai</x:v>
      </x:c>
      <x:c r="B763" s="6" t="str"/>
      <x:c r="C763" s="6" t="str"/>
      <x:c r="D763" s="6" t="str">
        <x:v>article</x:v>
      </x:c>
      <x:c r="E763" s="6" t="str">
        <x:v>Retain differentiated role</x:v>
      </x:c>
      <x:c r="F763" s="6" t="str">
        <x:v>Local source render; live version unverified</x:v>
      </x:c>
      <x:c r="G763" s="6" t="str">
        <x:v>Volkswagen Workshop Selection Guide Dubai | DIGI-TEC</x:v>
      </x:c>
      <x:c r="H763" s="6" t="str">
        <x:v>Volkswagen Workshop Selection Guide Dubai | DIGI-TEC</x:v>
      </x:c>
      <x:c r="I763" s="6" t="str">
        <x:v>Choosing a Volkswagen Workshop in Dubai: Owner Guide</x:v>
      </x:c>
      <x:c r="J763" s="6" t="str">
        <x:v>Choosing a Volkswagen Workshop in Dubai: Owner Guide</x:v>
      </x:c>
      <x:c r="K763" s="6" t="str">
        <x:v>Volkswagen workshop in Dubai for diagnostics, maintenance and repair. Visit DIGI-TEC in Al Quoz for clear inspections, practical guidance and booking support.</x:v>
      </x:c>
      <x:c r="L763" s="6" t="str">
        <x:v>Retain pending evidence; no specific content edit justified by this export.</x:v>
      </x:c>
      <x:c r="M763" s="6" t="str">
        <x:v>Retain; inspect relevant context before adding links</x:v>
      </x:c>
      <x:c r="N763" s="6" t="str">
        <x:v>Unconfirmed — no query/page pairing</x:v>
      </x:c>
      <x:c r="O763" s="6" t="str">
        <x:v>Retain established booking / WhatsApp / call path; live behaviour untested</x:v>
      </x:c>
      <x:c r="P763" s="6" t="str">
        <x:v>Retain canonical and indexation policy pending a live check.</x:v>
      </x:c>
      <x:c r="Q763" s="6" t="str">
        <x:v>Proposed; no website change made</x:v>
      </x:c>
      <x:c r="R763" s="14" t="n">
        <x:v>0</x:v>
      </x:c>
      <x:c r="S763" s="14" t="n">
        <x:v>75</x:v>
      </x:c>
      <x:c r="T763" s="15" t="n">
        <x:v>0</x:v>
      </x:c>
      <x:c r="U763" s="16" t="n">
        <x:v>10.61</x:v>
      </x:c>
      <x:c r="V763" s="6" t="str">
        <x:v>https://digitecme.com/blog/volkswagen-best-workshop-dubai</x:v>
      </x:c>
      <x:c r="W763" s="6" t="str">
        <x:v>Indexable directive</x:v>
      </x:c>
      <x:c r="X763" s="6" t="n">
        <x:v>4</x:v>
      </x:c>
      <x:c r="Y763" s="6" t="str">
        <x:v>Volkswagen Workshop Selection Guide Dubai | DIGI-TEC</x:v>
      </x:c>
      <x:c r="Z763" s="6" t="str"/>
      <x:c r="AA763" s="6" t="str">
        <x:v>No / not compared</x:v>
      </x:c>
    </x:row>
    <x:row r="764" ht="42" customHeight="1">
      <x:c r="A764" s="6" t="str">
        <x:v>https://digitecme.com/blog/why-ceramic-coating-matters-uae</x:v>
      </x:c>
      <x:c r="B764" s="6" t="str"/>
      <x:c r="C764" s="6" t="str"/>
      <x:c r="D764" s="6" t="str">
        <x:v>article</x:v>
      </x:c>
      <x:c r="E764" s="6" t="str">
        <x:v>Retain differentiated role</x:v>
      </x:c>
      <x:c r="F764" s="6" t="str">
        <x:v>Local source render; live version unverified</x:v>
      </x:c>
      <x:c r="G764" s="6" t="str">
        <x:v>Ceramic Coating in the UAE: Benefits &amp; Preparation | DIGI-TEC</x:v>
      </x:c>
      <x:c r="H764" s="6" t="str">
        <x:v>Ceramic Coating in the UAE: Benefits &amp; Preparation | DIGI-TEC</x:v>
      </x:c>
      <x:c r="I764" s="6" t="str">
        <x:v>Why Ceramic Coating Matters in the UAE</x:v>
      </x:c>
      <x:c r="J764" s="6" t="str">
        <x:v>Why Ceramic Coating Matters in the UAE</x:v>
      </x:c>
      <x:c r="K764" s="6" t="str">
        <x:v>Understand ceramic coating benefits, paint preparation and how coating differs from PPF for vehicle care in the UAE.</x:v>
      </x:c>
      <x:c r="L764" s="6" t="str">
        <x:v>Retain pending evidence; no specific content edit justified by this export.</x:v>
      </x:c>
      <x:c r="M764" s="6" t="str">
        <x:v>Retain; inspect relevant context before adding links</x:v>
      </x:c>
      <x:c r="N764" s="6" t="str">
        <x:v>Unconfirmed — no query/page pairing</x:v>
      </x:c>
      <x:c r="O764" s="6" t="str">
        <x:v>Retain established booking / WhatsApp / call path; live behaviour untested</x:v>
      </x:c>
      <x:c r="P764" s="6" t="str">
        <x:v>Retain canonical and indexation policy pending a live check.</x:v>
      </x:c>
      <x:c r="Q764" s="6" t="str">
        <x:v>Proposed; no website change made</x:v>
      </x:c>
      <x:c r="R764" s="14" t="n">
        <x:v>0</x:v>
      </x:c>
      <x:c r="S764" s="14" t="n">
        <x:v>3</x:v>
      </x:c>
      <x:c r="T764" s="15" t="n">
        <x:v>0</x:v>
      </x:c>
      <x:c r="U764" s="16" t="n">
        <x:v>7.67</x:v>
      </x:c>
      <x:c r="V764" s="6" t="str">
        <x:v>https://digitecme.com/blog/why-ceramic-coating-matters-uae</x:v>
      </x:c>
      <x:c r="W764" s="6" t="str">
        <x:v>Indexable directive</x:v>
      </x:c>
      <x:c r="X764" s="6" t="n">
        <x:v>4</x:v>
      </x:c>
      <x:c r="Y764" s="6" t="str">
        <x:v>Ceramic Coating in the UAE: Benefits &amp; Preparation | DIGI-TEC</x:v>
      </x:c>
      <x:c r="Z764" s="6" t="str"/>
      <x:c r="AA764" s="6" t="str">
        <x:v>No / not compared</x:v>
      </x:c>
    </x:row>
    <x:row r="765" ht="42" customHeight="1">
      <x:c r="A765" s="6" t="str">
        <x:v>https://digitecme.com/brands</x:v>
      </x:c>
      <x:c r="B765" s="6" t="str"/>
      <x:c r="C765" s="6" t="str"/>
      <x:c r="D765" s="6" t="str">
        <x:v>brands-hub</x:v>
      </x:c>
      <x:c r="E765" s="6" t="str">
        <x:v>Retain differentiated role</x:v>
      </x:c>
      <x:c r="F765" s="6" t="str">
        <x:v>Local source render; live version unverified</x:v>
      </x:c>
      <x:c r="G765" s="6" t="str">
        <x:v>Luxury Car Brands We Service | DIGI-TEC Dubai</x:v>
      </x:c>
      <x:c r="H765" s="6" t="str">
        <x:v>Luxury Car Brands We Service | DIGI-TEC Dubai</x:v>
      </x:c>
      <x:c r="I765" s="6" t="str">
        <x:v>Luxury &amp; Performance Car Brands</x:v>
      </x:c>
      <x:c r="J765" s="6" t="str">
        <x:v>Luxury &amp; Performance Car Brands</x:v>
      </x:c>
      <x:c r="K765" s="6" t="str">
        <x:v>Explore the luxury and performance car brands serviced at DIGI-TEC Performance Center in Al Quoz, Dubai.</x:v>
      </x:c>
      <x:c r="L765" s="6" t="str">
        <x:v>Retain pending evidence; no specific content edit justified by this export.</x:v>
      </x:c>
      <x:c r="M765" s="6" t="str">
        <x:v>Retain; inspect relevant context before adding links</x:v>
      </x:c>
      <x:c r="N765" s="6" t="str">
        <x:v>Unconfirmed — no query/page pairing</x:v>
      </x:c>
      <x:c r="O765" s="6" t="str">
        <x:v>Retain established booking / WhatsApp / call path; live behaviour untested</x:v>
      </x:c>
      <x:c r="P765" s="6" t="str">
        <x:v>Retain canonical and indexation policy pending a live check.</x:v>
      </x:c>
      <x:c r="Q765" s="6" t="str">
        <x:v>Proposed; no website change made</x:v>
      </x:c>
      <x:c r="R765" s="14" t="n">
        <x:v>0</x:v>
      </x:c>
      <x:c r="S765" s="14" t="n">
        <x:v>1</x:v>
      </x:c>
      <x:c r="T765" s="15" t="n">
        <x:v>0</x:v>
      </x:c>
      <x:c r="U765" s="16" t="n">
        <x:v>2</x:v>
      </x:c>
      <x:c r="V765" s="6" t="str">
        <x:v>https://digitecme.com/brands</x:v>
      </x:c>
      <x:c r="W765" s="6" t="str">
        <x:v>Indexable directive</x:v>
      </x:c>
      <x:c r="X765" s="6" t="n">
        <x:v>771</x:v>
      </x:c>
      <x:c r="Y765" s="6" t="str">
        <x:v>Luxury Car Brands We Service | DIGI-TEC Dubai</x:v>
      </x:c>
      <x:c r="Z765" s="6" t="str"/>
      <x:c r="AA765" s="6" t="str">
        <x:v>No / not compared</x:v>
      </x:c>
    </x:row>
    <x:row r="766" ht="42" customHeight="1">
      <x:c r="A766" s="6" t="str">
        <x:v>https://digitecme.com/brands/abarth-service-dubai</x:v>
      </x:c>
      <x:c r="B766" s="6" t="str"/>
      <x:c r="C766" s="6" t="str"/>
      <x:c r="D766" s="6" t="str">
        <x:v>brand</x:v>
      </x:c>
      <x:c r="E766" s="6" t="str">
        <x:v>Retain differentiated role</x:v>
      </x:c>
      <x:c r="F766" s="6" t="str">
        <x:v>Local source render; live version unverified</x:v>
      </x:c>
      <x:c r="G766" s="6" t="str">
        <x:v>Abarth Repair Dubai | Digi-Tec</x:v>
      </x:c>
      <x:c r="H766" s="6" t="str">
        <x:v>Abarth Repair Dubai | Digi-Tec</x:v>
      </x:c>
      <x:c r="I766" s="6" t="str">
        <x:v>Abarth Repair &amp; Service Dubai</x:v>
      </x:c>
      <x:c r="J766" s="6" t="str">
        <x:v>Abarth Repair &amp; Service Dubai</x:v>
      </x:c>
      <x:c r="K766" s="6" t="str">
        <x:v>Specialist Abarth repair and service in Dubai: diagnostics, maintenance, brakes, transmission, suspension and AC at Digi-Tec, Al Quoz.</x:v>
      </x:c>
      <x:c r="L766" s="6" t="str">
        <x:v>Retain pending evidence; no specific content edit justified by this export.</x:v>
      </x:c>
      <x:c r="M766" s="6" t="str">
        <x:v>Retain; inspect relevant context before adding links</x:v>
      </x:c>
      <x:c r="N766" s="6" t="str">
        <x:v>Unconfirmed — no query/page pairing</x:v>
      </x:c>
      <x:c r="O766" s="6" t="str">
        <x:v>Retain established booking / WhatsApp / call path; live behaviour untested</x:v>
      </x:c>
      <x:c r="P766" s="6" t="str">
        <x:v>Retain canonical and indexation policy pending a live check.</x:v>
      </x:c>
      <x:c r="Q766" s="6" t="str">
        <x:v>Proposed; no website change made</x:v>
      </x:c>
      <x:c r="R766" s="14" t="n">
        <x:v>0</x:v>
      </x:c>
      <x:c r="S766" s="14" t="n">
        <x:v>6</x:v>
      </x:c>
      <x:c r="T766" s="15" t="n">
        <x:v>0</x:v>
      </x:c>
      <x:c r="U766" s="16" t="n">
        <x:v>13.33</x:v>
      </x:c>
      <x:c r="V766" s="6" t="str">
        <x:v>https://digitecme.com/brands/abarth-service-dubai</x:v>
      </x:c>
      <x:c r="W766" s="6" t="str">
        <x:v>Indexable directive</x:v>
      </x:c>
      <x:c r="X766" s="6" t="n">
        <x:v>28</x:v>
      </x:c>
      <x:c r="Y766" s="6" t="str">
        <x:v>Abarth Repair Dubai | Digi-Tec</x:v>
      </x:c>
      <x:c r="Z766" s="6" t="str"/>
      <x:c r="AA766" s="6" t="str">
        <x:v>No / not compared</x:v>
      </x:c>
    </x:row>
    <x:row r="767" ht="42" customHeight="1">
      <x:c r="A767" s="6" t="str">
        <x:v>https://digitecme.com/brands/abarth-service-dubai/ac-repair</x:v>
      </x:c>
      <x:c r="B767" s="6" t="str"/>
      <x:c r="C767" s="6" t="str"/>
      <x:c r="D767" s="6" t="str">
        <x:v>brand-service</x:v>
      </x:c>
      <x:c r="E767" s="6" t="str">
        <x:v>Retain differentiated role</x:v>
      </x:c>
      <x:c r="F767" s="6" t="str">
        <x:v>Local source render; live version unverified</x:v>
      </x:c>
      <x:c r="G767" s="6" t="str">
        <x:v>Abarth AC Repair Dubai | Digi-Tec</x:v>
      </x:c>
      <x:c r="H767" s="6" t="str">
        <x:v>Abarth AC Repair Dubai | Digi-Tec</x:v>
      </x:c>
      <x:c r="I767" s="6" t="str">
        <x:v>Abarth AC Repair Dubai</x:v>
      </x:c>
      <x:c r="J767" s="6" t="str">
        <x:v>Abarth AC Repair Dubai</x:v>
      </x:c>
      <x:c r="K767" s="6" t="str">
        <x:v>Abarth ac repair in Dubai with model-specific inspection, confirmed parts options and a clear quote at Digi-Tec, Al Quoz.</x:v>
      </x:c>
      <x:c r="L767" s="6" t="str">
        <x:v>Retain pending evidence; no specific content edit justified by this export.</x:v>
      </x:c>
      <x:c r="M767" s="6" t="str">
        <x:v>Retain; inspect relevant context before adding links</x:v>
      </x:c>
      <x:c r="N767" s="6" t="str">
        <x:v>Unconfirmed — no query/page pairing</x:v>
      </x:c>
      <x:c r="O767" s="6" t="str">
        <x:v>Retain established booking / WhatsApp / call path; live behaviour untested</x:v>
      </x:c>
      <x:c r="P767" s="6" t="str">
        <x:v>Retain canonical and indexation policy pending a live check.</x:v>
      </x:c>
      <x:c r="Q767" s="6" t="str">
        <x:v>Proposed; no website change made</x:v>
      </x:c>
      <x:c r="R767" s="14" t="n">
        <x:v>1</x:v>
      </x:c>
      <x:c r="S767" s="14" t="n">
        <x:v>2</x:v>
      </x:c>
      <x:c r="T767" s="15" t="n">
        <x:v>0.5</x:v>
      </x:c>
      <x:c r="U767" s="16" t="n">
        <x:v>2.5</x:v>
      </x:c>
      <x:c r="V767" s="6" t="str">
        <x:v>https://digitecme.com/brands/abarth-service-dubai/ac-repair</x:v>
      </x:c>
      <x:c r="W767" s="6" t="str">
        <x:v>Indexable directive</x:v>
      </x:c>
      <x:c r="X767" s="6" t="n">
        <x:v>8</x:v>
      </x:c>
      <x:c r="Y767" s="6" t="str">
        <x:v>Abarth AC Repair Dubai | Digi-Tec</x:v>
      </x:c>
      <x:c r="Z767" s="6" t="str"/>
      <x:c r="AA767" s="6" t="str">
        <x:v>No / not compared</x:v>
      </x:c>
    </x:row>
    <x:row r="768" ht="42" customHeight="1">
      <x:c r="A768" s="6" t="str">
        <x:v>https://digitecme.com/brands/abarth-service-dubai/brake-repair</x:v>
      </x:c>
      <x:c r="B768" s="6" t="str"/>
      <x:c r="C768" s="6" t="str"/>
      <x:c r="D768" s="6" t="str">
        <x:v>brand-service</x:v>
      </x:c>
      <x:c r="E768" s="6" t="str">
        <x:v>Retain differentiated role</x:v>
      </x:c>
      <x:c r="F768" s="6" t="str">
        <x:v>Local source render; live version unverified</x:v>
      </x:c>
      <x:c r="G768" s="6" t="str">
        <x:v>Abarth Brake Repair Dubai | Digi-Tec</x:v>
      </x:c>
      <x:c r="H768" s="6" t="str">
        <x:v>Abarth Brake Repair Dubai | Digi-Tec</x:v>
      </x:c>
      <x:c r="I768" s="6" t="str">
        <x:v>Abarth Brake Repair Dubai</x:v>
      </x:c>
      <x:c r="J768" s="6" t="str">
        <x:v>Abarth Brake Repair Dubai</x:v>
      </x:c>
      <x:c r="K768" s="6" t="str">
        <x:v>Abarth brake repair in Dubai with model-specific inspection, confirmed parts options and a clear quote at Digi-Tec, Al Quoz.</x:v>
      </x:c>
      <x:c r="L768" s="6" t="str">
        <x:v>Retain pending evidence; no specific content edit justified by this export.</x:v>
      </x:c>
      <x:c r="M768" s="6" t="str">
        <x:v>Retain; inspect relevant context before adding links</x:v>
      </x:c>
      <x:c r="N768" s="6" t="str">
        <x:v>Unconfirmed — no query/page pairing</x:v>
      </x:c>
      <x:c r="O768" s="6" t="str">
        <x:v>Retain established booking / WhatsApp / call path; live behaviour untested</x:v>
      </x:c>
      <x:c r="P768" s="6" t="str">
        <x:v>Retain canonical and indexation policy pending a live check.</x:v>
      </x:c>
      <x:c r="Q768" s="6" t="str">
        <x:v>Proposed; no website change made</x:v>
      </x:c>
      <x:c r="R768" s="14" t="n">
        <x:v>0</x:v>
      </x:c>
      <x:c r="S768" s="14" t="n">
        <x:v>1</x:v>
      </x:c>
      <x:c r="T768" s="15" t="n">
        <x:v>0</x:v>
      </x:c>
      <x:c r="U768" s="16" t="n">
        <x:v>5</x:v>
      </x:c>
      <x:c r="V768" s="6" t="str">
        <x:v>https://digitecme.com/brands/abarth-service-dubai/brake-repair</x:v>
      </x:c>
      <x:c r="W768" s="6" t="str">
        <x:v>Indexable directive</x:v>
      </x:c>
      <x:c r="X768" s="6" t="n">
        <x:v>8</x:v>
      </x:c>
      <x:c r="Y768" s="6" t="str">
        <x:v>Abarth Brake Repair Dubai | Digi-Tec</x:v>
      </x:c>
      <x:c r="Z768" s="6" t="str"/>
      <x:c r="AA768" s="6" t="str">
        <x:v>No / not compared</x:v>
      </x:c>
    </x:row>
    <x:row r="769" ht="42" customHeight="1">
      <x:c r="A769" s="6" t="str">
        <x:v>https://digitecme.com/brands/abarth-service-dubai/engine-diagnostics</x:v>
      </x:c>
      <x:c r="B769" s="6" t="str"/>
      <x:c r="C769" s="6" t="str"/>
      <x:c r="D769" s="6" t="str">
        <x:v>brand-service</x:v>
      </x:c>
      <x:c r="E769" s="6" t="str">
        <x:v>Retain differentiated role</x:v>
      </x:c>
      <x:c r="F769" s="6" t="str">
        <x:v>Local source render; live version unverified</x:v>
      </x:c>
      <x:c r="G769" s="6" t="str">
        <x:v>Abarth Engine Diagnostics Dubai | Digi-Tec</x:v>
      </x:c>
      <x:c r="H769" s="6" t="str">
        <x:v>Abarth Engine Diagnostics Dubai | Digi-Tec</x:v>
      </x:c>
      <x:c r="I769" s="6" t="str">
        <x:v>Abarth Engine Diagnostics Dubai</x:v>
      </x:c>
      <x:c r="J769" s="6" t="str">
        <x:v>Abarth Engine Diagnostics Dubai</x:v>
      </x:c>
      <x:c r="K769" s="6" t="str">
        <x:v>Abarth engine diagnostics in Dubai with model-specific inspection, confirmed parts options and a clear quote at Digi-Tec, Al Quoz.</x:v>
      </x:c>
      <x:c r="L769" s="6" t="str">
        <x:v>Retain pending evidence; no specific content edit justified by this export.</x:v>
      </x:c>
      <x:c r="M769" s="6" t="str">
        <x:v>Retain; inspect relevant context before adding links</x:v>
      </x:c>
      <x:c r="N769" s="6" t="str">
        <x:v>Unconfirmed — no query/page pairing</x:v>
      </x:c>
      <x:c r="O769" s="6" t="str">
        <x:v>Retain established booking / WhatsApp / call path; live behaviour untested</x:v>
      </x:c>
      <x:c r="P769" s="6" t="str">
        <x:v>Retain canonical and indexation policy pending a live check.</x:v>
      </x:c>
      <x:c r="Q769" s="6" t="str">
        <x:v>Proposed; no website change made</x:v>
      </x:c>
      <x:c r="R769" s="14"/>
      <x:c r="S769" s="14"/>
      <x:c r="T769" s="15"/>
      <x:c r="U769" s="16"/>
      <x:c r="V769" s="6" t="str">
        <x:v>https://digitecme.com/brands/abarth-service-dubai/engine-diagnostics</x:v>
      </x:c>
      <x:c r="W769" s="6" t="str">
        <x:v>Indexable directive</x:v>
      </x:c>
      <x:c r="X769" s="6" t="n">
        <x:v>8</x:v>
      </x:c>
      <x:c r="Y769" s="6" t="str">
        <x:v>Abarth Engine Diagnostics Dubai | Digi-Tec</x:v>
      </x:c>
      <x:c r="Z769" s="6" t="str"/>
      <x:c r="AA769" s="6" t="str">
        <x:v>No / not compared</x:v>
      </x:c>
    </x:row>
    <x:row r="770" ht="42" customHeight="1">
      <x:c r="A770" s="6" t="str">
        <x:v>https://digitecme.com/brands/abarth-service-dubai/oil-change</x:v>
      </x:c>
      <x:c r="B770" s="6" t="str"/>
      <x:c r="C770" s="6" t="str"/>
      <x:c r="D770" s="6" t="str">
        <x:v>brand-service</x:v>
      </x:c>
      <x:c r="E770" s="6" t="str">
        <x:v>Retain differentiated role</x:v>
      </x:c>
      <x:c r="F770" s="6" t="str">
        <x:v>Local source render; live version unverified</x:v>
      </x:c>
      <x:c r="G770" s="6" t="str">
        <x:v>Abarth Oil Change Dubai | Digi-Tec</x:v>
      </x:c>
      <x:c r="H770" s="6" t="str">
        <x:v>Abarth Oil Change Dubai | Digi-Tec</x:v>
      </x:c>
      <x:c r="I770" s="6" t="str">
        <x:v>Abarth Oil Change Dubai</x:v>
      </x:c>
      <x:c r="J770" s="6" t="str">
        <x:v>Abarth Oil Change Dubai</x:v>
      </x:c>
      <x:c r="K770" s="6" t="str">
        <x:v>Abarth oil change in Dubai with model-specific inspection, confirmed parts options and a clear quote at Digi-Tec, Al Quoz.</x:v>
      </x:c>
      <x:c r="L770" s="6" t="str">
        <x:v>Retain pending evidence; no specific content edit justified by this export.</x:v>
      </x:c>
      <x:c r="M770" s="6" t="str">
        <x:v>Retain; inspect relevant context before adding links</x:v>
      </x:c>
      <x:c r="N770" s="6" t="str">
        <x:v>Unconfirmed — no query/page pairing</x:v>
      </x:c>
      <x:c r="O770" s="6" t="str">
        <x:v>Retain established booking / WhatsApp / call path; live behaviour untested</x:v>
      </x:c>
      <x:c r="P770" s="6" t="str">
        <x:v>Retain canonical and indexation policy pending a live check.</x:v>
      </x:c>
      <x:c r="Q770" s="6" t="str">
        <x:v>Proposed; no website change made</x:v>
      </x:c>
      <x:c r="R770" s="14"/>
      <x:c r="S770" s="14"/>
      <x:c r="T770" s="15"/>
      <x:c r="U770" s="16"/>
      <x:c r="V770" s="6" t="str">
        <x:v>https://digitecme.com/brands/abarth-service-dubai/oil-change</x:v>
      </x:c>
      <x:c r="W770" s="6" t="str">
        <x:v>Indexable directive</x:v>
      </x:c>
      <x:c r="X770" s="6" t="n">
        <x:v>8</x:v>
      </x:c>
      <x:c r="Y770" s="6" t="str">
        <x:v>Abarth Oil Change Dubai | Digi-Tec</x:v>
      </x:c>
      <x:c r="Z770" s="6" t="str"/>
      <x:c r="AA770" s="6" t="str">
        <x:v>No / not compared</x:v>
      </x:c>
    </x:row>
    <x:row r="771" ht="42" customHeight="1">
      <x:c r="A771" s="6" t="str">
        <x:v>https://digitecme.com/brands/abarth-service-dubai/suspension-repair</x:v>
      </x:c>
      <x:c r="B771" s="6" t="str"/>
      <x:c r="C771" s="6" t="str"/>
      <x:c r="D771" s="6" t="str">
        <x:v>brand-service</x:v>
      </x:c>
      <x:c r="E771" s="6" t="str">
        <x:v>Retain differentiated role</x:v>
      </x:c>
      <x:c r="F771" s="6" t="str">
        <x:v>Local source render; live version unverified</x:v>
      </x:c>
      <x:c r="G771" s="6" t="str">
        <x:v>Abarth Suspension Repair Dubai | Digi-Tec</x:v>
      </x:c>
      <x:c r="H771" s="6" t="str">
        <x:v>Abarth Suspension Repair Dubai | Digi-Tec</x:v>
      </x:c>
      <x:c r="I771" s="6" t="str">
        <x:v>Abarth Suspension Repair Dubai</x:v>
      </x:c>
      <x:c r="J771" s="6" t="str">
        <x:v>Abarth Suspension Repair Dubai</x:v>
      </x:c>
      <x:c r="K771" s="6" t="str">
        <x:v>Abarth suspension repair in Dubai with model-specific inspection, confirmed parts options and a clear quote at Digi-Tec, Al Quoz.</x:v>
      </x:c>
      <x:c r="L771" s="6" t="str">
        <x:v>Retain pending evidence; no specific content edit justified by this export.</x:v>
      </x:c>
      <x:c r="M771" s="6" t="str">
        <x:v>Retain; inspect relevant context before adding links</x:v>
      </x:c>
      <x:c r="N771" s="6" t="str">
        <x:v>Unconfirmed — no query/page pairing</x:v>
      </x:c>
      <x:c r="O771" s="6" t="str">
        <x:v>Retain established booking / WhatsApp / call path; live behaviour untested</x:v>
      </x:c>
      <x:c r="P771" s="6" t="str">
        <x:v>Retain canonical and indexation policy pending a live check.</x:v>
      </x:c>
      <x:c r="Q771" s="6" t="str">
        <x:v>Proposed; no website change made</x:v>
      </x:c>
      <x:c r="R771" s="14" t="n">
        <x:v>0</x:v>
      </x:c>
      <x:c r="S771" s="14" t="n">
        <x:v>1</x:v>
      </x:c>
      <x:c r="T771" s="15" t="n">
        <x:v>0</x:v>
      </x:c>
      <x:c r="U771" s="16" t="n">
        <x:v>8</x:v>
      </x:c>
      <x:c r="V771" s="6" t="str">
        <x:v>https://digitecme.com/brands/abarth-service-dubai/suspension-repair</x:v>
      </x:c>
      <x:c r="W771" s="6" t="str">
        <x:v>Noindex directive</x:v>
      </x:c>
      <x:c r="X771" s="6" t="n">
        <x:v>8</x:v>
      </x:c>
      <x:c r="Y771" s="6" t="str">
        <x:v>Abarth Suspension Repair Dubai | Digi-Tec</x:v>
      </x:c>
      <x:c r="Z771" s="6" t="str"/>
      <x:c r="AA771" s="6" t="str">
        <x:v>No / not compared</x:v>
      </x:c>
    </x:row>
    <x:row r="772" ht="42" customHeight="1">
      <x:c r="A772" s="6" t="str">
        <x:v>https://digitecme.com/brands/abarth-service-dubai/transmission-repair</x:v>
      </x:c>
      <x:c r="B772" s="6" t="str"/>
      <x:c r="C772" s="6" t="str"/>
      <x:c r="D772" s="6" t="str">
        <x:v>brand-service</x:v>
      </x:c>
      <x:c r="E772" s="6" t="str">
        <x:v>Retain differentiated role</x:v>
      </x:c>
      <x:c r="F772" s="6" t="str">
        <x:v>Local source render; live version unverified</x:v>
      </x:c>
      <x:c r="G772" s="6" t="str">
        <x:v>Abarth Transmission Repair Dubai | Digi-Tec</x:v>
      </x:c>
      <x:c r="H772" s="6" t="str">
        <x:v>Abarth Transmission Repair Dubai | Digi-Tec</x:v>
      </x:c>
      <x:c r="I772" s="6" t="str">
        <x:v>Abarth Transmission Repair Dubai</x:v>
      </x:c>
      <x:c r="J772" s="6" t="str">
        <x:v>Abarth Transmission Repair Dubai</x:v>
      </x:c>
      <x:c r="K772" s="6" t="str">
        <x:v>Abarth transmission repair in Dubai with model-specific inspection, confirmed parts options and a clear quote at Digi-Tec, Al Quoz.</x:v>
      </x:c>
      <x:c r="L772" s="6" t="str">
        <x:v>Retain pending evidence; no specific content edit justified by this export.</x:v>
      </x:c>
      <x:c r="M772" s="6" t="str">
        <x:v>Retain; inspect relevant context before adding links</x:v>
      </x:c>
      <x:c r="N772" s="6" t="str">
        <x:v>Unconfirmed — no query/page pairing</x:v>
      </x:c>
      <x:c r="O772" s="6" t="str">
        <x:v>Retain established booking / WhatsApp / call path; live behaviour untested</x:v>
      </x:c>
      <x:c r="P772" s="6" t="str">
        <x:v>Retain canonical and indexation policy pending a live check.</x:v>
      </x:c>
      <x:c r="Q772" s="6" t="str">
        <x:v>Proposed; no website change made</x:v>
      </x:c>
      <x:c r="R772" s="14" t="n">
        <x:v>1</x:v>
      </x:c>
      <x:c r="S772" s="14" t="n">
        <x:v>1</x:v>
      </x:c>
      <x:c r="T772" s="15" t="n">
        <x:v>1</x:v>
      </x:c>
      <x:c r="U772" s="16" t="n">
        <x:v>2</x:v>
      </x:c>
      <x:c r="V772" s="6" t="str">
        <x:v>https://digitecme.com/brands/abarth-service-dubai/transmission-repair</x:v>
      </x:c>
      <x:c r="W772" s="6" t="str">
        <x:v>Noindex directive</x:v>
      </x:c>
      <x:c r="X772" s="6" t="n">
        <x:v>8</x:v>
      </x:c>
      <x:c r="Y772" s="6" t="str">
        <x:v>Abarth Transmission Repair Dubai | Digi-Tec</x:v>
      </x:c>
      <x:c r="Z772" s="6" t="str"/>
      <x:c r="AA772" s="6" t="str">
        <x:v>No / not compared</x:v>
      </x:c>
    </x:row>
    <x:row r="773" ht="42" customHeight="1">
      <x:c r="A773" s="6" t="str">
        <x:v>https://digitecme.com/brands/alfa-romeo-service-dubai</x:v>
      </x:c>
      <x:c r="B773" s="6" t="str"/>
      <x:c r="C773" s="6" t="str"/>
      <x:c r="D773" s="6" t="str">
        <x:v>brand</x:v>
      </x:c>
      <x:c r="E773" s="6" t="str">
        <x:v>Retain differentiated role</x:v>
      </x:c>
      <x:c r="F773" s="6" t="str">
        <x:v>Local source render; live version unverified</x:v>
      </x:c>
      <x:c r="G773" s="6" t="str">
        <x:v>Alfa Romeo Repair Dubai | Digi-Tec</x:v>
      </x:c>
      <x:c r="H773" s="6" t="str">
        <x:v>Alfa Romeo Repair Dubai | Digi-Tec</x:v>
      </x:c>
      <x:c r="I773" s="6" t="str">
        <x:v>Alfa Romeo Repair &amp; Service Dubai</x:v>
      </x:c>
      <x:c r="J773" s="6" t="str">
        <x:v>Alfa Romeo Repair &amp; Service Dubai</x:v>
      </x:c>
      <x:c r="K773" s="6" t="str">
        <x:v>Specialist Alfa Romeo repair and service in Dubai: diagnostics, maintenance, brakes, transmission, suspension and AC at Digi-Tec, Al Quoz.</x:v>
      </x:c>
      <x:c r="L773" s="6" t="str">
        <x:v>Retain pending evidence; no specific content edit justified by this export.</x:v>
      </x:c>
      <x:c r="M773" s="6" t="str">
        <x:v>Retain; inspect relevant context before adding links</x:v>
      </x:c>
      <x:c r="N773" s="6" t="str">
        <x:v>Unconfirmed — no query/page pairing</x:v>
      </x:c>
      <x:c r="O773" s="6" t="str">
        <x:v>Retain established booking / WhatsApp / call path; live behaviour untested</x:v>
      </x:c>
      <x:c r="P773" s="6" t="str">
        <x:v>Retain canonical and indexation policy pending a live check.</x:v>
      </x:c>
      <x:c r="Q773" s="6" t="str">
        <x:v>Proposed; no website change made</x:v>
      </x:c>
      <x:c r="R773" s="14" t="n">
        <x:v>0</x:v>
      </x:c>
      <x:c r="S773" s="14" t="n">
        <x:v>16</x:v>
      </x:c>
      <x:c r="T773" s="15" t="n">
        <x:v>0</x:v>
      </x:c>
      <x:c r="U773" s="16" t="n">
        <x:v>20.62</x:v>
      </x:c>
      <x:c r="V773" s="6" t="str">
        <x:v>https://digitecme.com/brands/alfa-romeo-service-dubai</x:v>
      </x:c>
      <x:c r="W773" s="6" t="str">
        <x:v>Indexable directive</x:v>
      </x:c>
      <x:c r="X773" s="6" t="n">
        <x:v>28</x:v>
      </x:c>
      <x:c r="Y773" s="6" t="str">
        <x:v>Alfa Romeo Repair Dubai | Digi-Tec</x:v>
      </x:c>
      <x:c r="Z773" s="6" t="str"/>
      <x:c r="AA773" s="6" t="str">
        <x:v>No / not compared</x:v>
      </x:c>
    </x:row>
    <x:row r="774" ht="42" customHeight="1">
      <x:c r="A774" s="6" t="str">
        <x:v>https://digitecme.com/brands/alfa-romeo-service-dubai/ac-repair</x:v>
      </x:c>
      <x:c r="B774" s="6" t="str"/>
      <x:c r="C774" s="6" t="str"/>
      <x:c r="D774" s="6" t="str">
        <x:v>brand-service</x:v>
      </x:c>
      <x:c r="E774" s="6" t="str">
        <x:v>Retain differentiated role</x:v>
      </x:c>
      <x:c r="F774" s="6" t="str">
        <x:v>Local source render; live version unverified</x:v>
      </x:c>
      <x:c r="G774" s="6" t="str">
        <x:v>Alfa Romeo AC Repair Dubai | Digi-Tec</x:v>
      </x:c>
      <x:c r="H774" s="6" t="str">
        <x:v>Alfa Romeo AC Repair Dubai | Digi-Tec</x:v>
      </x:c>
      <x:c r="I774" s="6" t="str">
        <x:v>Alfa Romeo AC Repair Dubai</x:v>
      </x:c>
      <x:c r="J774" s="6" t="str">
        <x:v>Alfa Romeo AC Repair Dubai</x:v>
      </x:c>
      <x:c r="K774" s="6" t="str">
        <x:v>Alfa Romeo ac repair in Dubai with model-specific inspection, confirmed parts options and a clear quote at Digi-Tec, Al Quoz.</x:v>
      </x:c>
      <x:c r="L774" s="6" t="str">
        <x:v>Retain pending evidence; no specific content edit justified by this export.</x:v>
      </x:c>
      <x:c r="M774" s="6" t="str">
        <x:v>Retain; inspect relevant context before adding links</x:v>
      </x:c>
      <x:c r="N774" s="6" t="str">
        <x:v>Unconfirmed — no query/page pairing</x:v>
      </x:c>
      <x:c r="O774" s="6" t="str">
        <x:v>Retain established booking / WhatsApp / call path; live behaviour untested</x:v>
      </x:c>
      <x:c r="P774" s="6" t="str">
        <x:v>Retain canonical and indexation policy pending a live check.</x:v>
      </x:c>
      <x:c r="Q774" s="6" t="str">
        <x:v>Proposed; no website change made</x:v>
      </x:c>
      <x:c r="R774" s="14" t="n">
        <x:v>0</x:v>
      </x:c>
      <x:c r="S774" s="14" t="n">
        <x:v>2</x:v>
      </x:c>
      <x:c r="T774" s="15" t="n">
        <x:v>0</x:v>
      </x:c>
      <x:c r="U774" s="16" t="n">
        <x:v>4.5</x:v>
      </x:c>
      <x:c r="V774" s="6" t="str">
        <x:v>https://digitecme.com/brands/alfa-romeo-service-dubai/ac-repair</x:v>
      </x:c>
      <x:c r="W774" s="6" t="str">
        <x:v>Indexable directive</x:v>
      </x:c>
      <x:c r="X774" s="6" t="n">
        <x:v>8</x:v>
      </x:c>
      <x:c r="Y774" s="6" t="str">
        <x:v>Alfa Romeo AC Repair Dubai | Digi-Tec</x:v>
      </x:c>
      <x:c r="Z774" s="6" t="str"/>
      <x:c r="AA774" s="6" t="str">
        <x:v>No / not compared</x:v>
      </x:c>
    </x:row>
    <x:row r="775" ht="42" customHeight="1">
      <x:c r="A775" s="6" t="str">
        <x:v>https://digitecme.com/brands/alfa-romeo-service-dubai/brake-repair</x:v>
      </x:c>
      <x:c r="B775" s="6" t="str"/>
      <x:c r="C775" s="6" t="str"/>
      <x:c r="D775" s="6" t="str">
        <x:v>brand-service</x:v>
      </x:c>
      <x:c r="E775" s="6" t="str">
        <x:v>Retain differentiated role</x:v>
      </x:c>
      <x:c r="F775" s="6" t="str">
        <x:v>Local source render; live version unverified</x:v>
      </x:c>
      <x:c r="G775" s="6" t="str">
        <x:v>Alfa Romeo Brake Repair Dubai | Digi-Tec</x:v>
      </x:c>
      <x:c r="H775" s="6" t="str">
        <x:v>Alfa Romeo Brake Repair Dubai | Digi-Tec</x:v>
      </x:c>
      <x:c r="I775" s="6" t="str">
        <x:v>Alfa Romeo Brake Repair Dubai</x:v>
      </x:c>
      <x:c r="J775" s="6" t="str">
        <x:v>Alfa Romeo Brake Repair Dubai</x:v>
      </x:c>
      <x:c r="K775" s="6" t="str">
        <x:v>Alfa Romeo brake repair in Dubai with model-specific inspection, confirmed parts options and a clear quote at Digi-Tec, Al Quoz.</x:v>
      </x:c>
      <x:c r="L775" s="6" t="str">
        <x:v>Retain pending evidence; no specific content edit justified by this export.</x:v>
      </x:c>
      <x:c r="M775" s="6" t="str">
        <x:v>Retain; inspect relevant context before adding links</x:v>
      </x:c>
      <x:c r="N775" s="6" t="str">
        <x:v>Unconfirmed — no query/page pairing</x:v>
      </x:c>
      <x:c r="O775" s="6" t="str">
        <x:v>Retain established booking / WhatsApp / call path; live behaviour untested</x:v>
      </x:c>
      <x:c r="P775" s="6" t="str">
        <x:v>Retain canonical and indexation policy pending a live check.</x:v>
      </x:c>
      <x:c r="Q775" s="6" t="str">
        <x:v>Proposed; no website change made</x:v>
      </x:c>
      <x:c r="R775" s="14" t="n">
        <x:v>0</x:v>
      </x:c>
      <x:c r="S775" s="14" t="n">
        <x:v>1</x:v>
      </x:c>
      <x:c r="T775" s="15" t="n">
        <x:v>0</x:v>
      </x:c>
      <x:c r="U775" s="16" t="n">
        <x:v>85</x:v>
      </x:c>
      <x:c r="V775" s="6" t="str">
        <x:v>https://digitecme.com/brands/alfa-romeo-service-dubai/brake-repair</x:v>
      </x:c>
      <x:c r="W775" s="6" t="str">
        <x:v>Indexable directive</x:v>
      </x:c>
      <x:c r="X775" s="6" t="n">
        <x:v>8</x:v>
      </x:c>
      <x:c r="Y775" s="6" t="str">
        <x:v>Alfa Romeo Brake Repair Dubai | Digi-Tec</x:v>
      </x:c>
      <x:c r="Z775" s="6" t="str"/>
      <x:c r="AA775" s="6" t="str">
        <x:v>No / not compared</x:v>
      </x:c>
    </x:row>
    <x:row r="776" ht="42" customHeight="1">
      <x:c r="A776" s="6" t="str">
        <x:v>https://digitecme.com/brands/alfa-romeo-service-dubai/engine-diagnostics</x:v>
      </x:c>
      <x:c r="B776" s="6" t="str"/>
      <x:c r="C776" s="6" t="str"/>
      <x:c r="D776" s="6" t="str">
        <x:v>brand-service</x:v>
      </x:c>
      <x:c r="E776" s="6" t="str">
        <x:v>Retain differentiated role</x:v>
      </x:c>
      <x:c r="F776" s="6" t="str">
        <x:v>Local source render; live version unverified</x:v>
      </x:c>
      <x:c r="G776" s="6" t="str">
        <x:v>Alfa Romeo Engine Diagnostics Dubai | Digi-Tec</x:v>
      </x:c>
      <x:c r="H776" s="6" t="str">
        <x:v>Alfa Romeo Engine Diagnostics Dubai | Digi-Tec</x:v>
      </x:c>
      <x:c r="I776" s="6" t="str">
        <x:v>Alfa Romeo Engine Diagnostics Dubai</x:v>
      </x:c>
      <x:c r="J776" s="6" t="str">
        <x:v>Alfa Romeo Engine Diagnostics Dubai</x:v>
      </x:c>
      <x:c r="K776" s="6" t="str">
        <x:v>Alfa Romeo engine diagnostics in Dubai with model-specific inspection, confirmed parts options and a clear quote at Digi-Tec, Al Quoz.</x:v>
      </x:c>
      <x:c r="L776" s="6" t="str">
        <x:v>Retain pending evidence; no specific content edit justified by this export.</x:v>
      </x:c>
      <x:c r="M776" s="6" t="str">
        <x:v>Retain; inspect relevant context before adding links</x:v>
      </x:c>
      <x:c r="N776" s="6" t="str">
        <x:v>Unconfirmed — no query/page pairing</x:v>
      </x:c>
      <x:c r="O776" s="6" t="str">
        <x:v>Retain established booking / WhatsApp / call path; live behaviour untested</x:v>
      </x:c>
      <x:c r="P776" s="6" t="str">
        <x:v>Retain canonical and indexation policy pending a live check.</x:v>
      </x:c>
      <x:c r="Q776" s="6" t="str">
        <x:v>Proposed; no website change made</x:v>
      </x:c>
      <x:c r="R776" s="14" t="n">
        <x:v>0</x:v>
      </x:c>
      <x:c r="S776" s="14" t="n">
        <x:v>12</x:v>
      </x:c>
      <x:c r="T776" s="15" t="n">
        <x:v>0</x:v>
      </x:c>
      <x:c r="U776" s="16" t="n">
        <x:v>25.92</x:v>
      </x:c>
      <x:c r="V776" s="6" t="str">
        <x:v>https://digitecme.com/brands/alfa-romeo-service-dubai/engine-diagnostics</x:v>
      </x:c>
      <x:c r="W776" s="6" t="str">
        <x:v>Indexable directive</x:v>
      </x:c>
      <x:c r="X776" s="6" t="n">
        <x:v>8</x:v>
      </x:c>
      <x:c r="Y776" s="6" t="str">
        <x:v>Alfa Romeo Engine Diagnostics Dubai | Digi-Tec</x:v>
      </x:c>
      <x:c r="Z776" s="6" t="str"/>
      <x:c r="AA776" s="6" t="str">
        <x:v>No / not compared</x:v>
      </x:c>
    </x:row>
    <x:row r="777" ht="42" customHeight="1">
      <x:c r="A777" s="6" t="str">
        <x:v>https://digitecme.com/brands/alfa-romeo-service-dubai/oil-change</x:v>
      </x:c>
      <x:c r="B777" s="6" t="str"/>
      <x:c r="C777" s="6" t="str"/>
      <x:c r="D777" s="6" t="str">
        <x:v>brand-service</x:v>
      </x:c>
      <x:c r="E777" s="6" t="str">
        <x:v>Retain differentiated role</x:v>
      </x:c>
      <x:c r="F777" s="6" t="str">
        <x:v>Local source render; live version unverified</x:v>
      </x:c>
      <x:c r="G777" s="6" t="str">
        <x:v>Alfa Romeo Oil Change Dubai | Digi-Tec</x:v>
      </x:c>
      <x:c r="H777" s="6" t="str">
        <x:v>Alfa Romeo Oil Change Dubai | Digi-Tec</x:v>
      </x:c>
      <x:c r="I777" s="6" t="str">
        <x:v>Alfa Romeo Oil Change Dubai</x:v>
      </x:c>
      <x:c r="J777" s="6" t="str">
        <x:v>Alfa Romeo Oil Change Dubai</x:v>
      </x:c>
      <x:c r="K777" s="6" t="str">
        <x:v>Alfa Romeo oil change in Dubai with model-specific inspection, confirmed parts options and a clear quote at Digi-Tec, Al Quoz.</x:v>
      </x:c>
      <x:c r="L777" s="6" t="str">
        <x:v>Retain pending evidence; no specific content edit justified by this export.</x:v>
      </x:c>
      <x:c r="M777" s="6" t="str">
        <x:v>Retain; inspect relevant context before adding links</x:v>
      </x:c>
      <x:c r="N777" s="6" t="str">
        <x:v>Unconfirmed — no query/page pairing</x:v>
      </x:c>
      <x:c r="O777" s="6" t="str">
        <x:v>Retain established booking / WhatsApp / call path; live behaviour untested</x:v>
      </x:c>
      <x:c r="P777" s="6" t="str">
        <x:v>Retain canonical and indexation policy pending a live check.</x:v>
      </x:c>
      <x:c r="Q777" s="6" t="str">
        <x:v>Proposed; no website change made</x:v>
      </x:c>
      <x:c r="R777" s="14" t="n">
        <x:v>0</x:v>
      </x:c>
      <x:c r="S777" s="14" t="n">
        <x:v>2</x:v>
      </x:c>
      <x:c r="T777" s="15" t="n">
        <x:v>0</x:v>
      </x:c>
      <x:c r="U777" s="16" t="n">
        <x:v>5.5</x:v>
      </x:c>
      <x:c r="V777" s="6" t="str">
        <x:v>https://digitecme.com/brands/alfa-romeo-service-dubai/oil-change</x:v>
      </x:c>
      <x:c r="W777" s="6" t="str">
        <x:v>Indexable directive</x:v>
      </x:c>
      <x:c r="X777" s="6" t="n">
        <x:v>8</x:v>
      </x:c>
      <x:c r="Y777" s="6" t="str">
        <x:v>Alfa Romeo Oil Change Dubai | Digi-Tec</x:v>
      </x:c>
      <x:c r="Z777" s="6" t="str"/>
      <x:c r="AA777" s="6" t="str">
        <x:v>No / not compared</x:v>
      </x:c>
    </x:row>
    <x:row r="778" ht="42" customHeight="1">
      <x:c r="A778" s="6" t="str">
        <x:v>https://digitecme.com/brands/alfa-romeo-service-dubai/suspension-repair</x:v>
      </x:c>
      <x:c r="B778" s="6" t="str"/>
      <x:c r="C778" s="6" t="str"/>
      <x:c r="D778" s="6" t="str">
        <x:v>brand-service</x:v>
      </x:c>
      <x:c r="E778" s="6" t="str">
        <x:v>Retain differentiated role</x:v>
      </x:c>
      <x:c r="F778" s="6" t="str">
        <x:v>Local source render; live version unverified</x:v>
      </x:c>
      <x:c r="G778" s="6" t="str">
        <x:v>Alfa Romeo Suspension Repair Dubai | Digi-Tec</x:v>
      </x:c>
      <x:c r="H778" s="6" t="str">
        <x:v>Alfa Romeo Suspension Repair Dubai | Digi-Tec</x:v>
      </x:c>
      <x:c r="I778" s="6" t="str">
        <x:v>Alfa Romeo Suspension Repair Dubai</x:v>
      </x:c>
      <x:c r="J778" s="6" t="str">
        <x:v>Alfa Romeo Suspension Repair Dubai</x:v>
      </x:c>
      <x:c r="K778" s="6" t="str">
        <x:v>Alfa Romeo suspension repair in Dubai with model-specific inspection, confirmed parts options and a clear quote at Digi-Tec, Al Quoz.</x:v>
      </x:c>
      <x:c r="L778" s="6" t="str">
        <x:v>Retain pending evidence; no specific content edit justified by this export.</x:v>
      </x:c>
      <x:c r="M778" s="6" t="str">
        <x:v>Retain; inspect relevant context before adding links</x:v>
      </x:c>
      <x:c r="N778" s="6" t="str">
        <x:v>Unconfirmed — no query/page pairing</x:v>
      </x:c>
      <x:c r="O778" s="6" t="str">
        <x:v>Retain established booking / WhatsApp / call path; live behaviour untested</x:v>
      </x:c>
      <x:c r="P778" s="6" t="str">
        <x:v>Retain canonical and indexation policy pending a live check.</x:v>
      </x:c>
      <x:c r="Q778" s="6" t="str">
        <x:v>Proposed; no website change made</x:v>
      </x:c>
      <x:c r="R778" s="14" t="n">
        <x:v>0</x:v>
      </x:c>
      <x:c r="S778" s="14" t="n">
        <x:v>1</x:v>
      </x:c>
      <x:c r="T778" s="15" t="n">
        <x:v>0</x:v>
      </x:c>
      <x:c r="U778" s="16" t="n">
        <x:v>9</x:v>
      </x:c>
      <x:c r="V778" s="6" t="str">
        <x:v>https://digitecme.com/brands/alfa-romeo-service-dubai/suspension-repair</x:v>
      </x:c>
      <x:c r="W778" s="6" t="str">
        <x:v>Noindex directive</x:v>
      </x:c>
      <x:c r="X778" s="6" t="n">
        <x:v>8</x:v>
      </x:c>
      <x:c r="Y778" s="6" t="str">
        <x:v>Alfa Romeo Suspension Repair Dubai | Digi-Tec</x:v>
      </x:c>
      <x:c r="Z778" s="6" t="str"/>
      <x:c r="AA778" s="6" t="str">
        <x:v>No / not compared</x:v>
      </x:c>
    </x:row>
    <x:row r="779" ht="42" customHeight="1">
      <x:c r="A779" s="6" t="str">
        <x:v>https://digitecme.com/brands/alfa-romeo-service-dubai/transmission-repair</x:v>
      </x:c>
      <x:c r="B779" s="6" t="str"/>
      <x:c r="C779" s="6" t="str"/>
      <x:c r="D779" s="6" t="str">
        <x:v>brand-service</x:v>
      </x:c>
      <x:c r="E779" s="6" t="str">
        <x:v>Retain differentiated role</x:v>
      </x:c>
      <x:c r="F779" s="6" t="str">
        <x:v>Local source render; live version unverified</x:v>
      </x:c>
      <x:c r="G779" s="6" t="str">
        <x:v>Alfa Romeo Transmission Repair Dubai | Digi-Tec</x:v>
      </x:c>
      <x:c r="H779" s="6" t="str">
        <x:v>Alfa Romeo Transmission Repair Dubai | Digi-Tec</x:v>
      </x:c>
      <x:c r="I779" s="6" t="str">
        <x:v>Alfa Romeo Transmission Repair Dubai</x:v>
      </x:c>
      <x:c r="J779" s="6" t="str">
        <x:v>Alfa Romeo Transmission Repair Dubai</x:v>
      </x:c>
      <x:c r="K779" s="6" t="str">
        <x:v>Alfa Romeo transmission repair in Dubai with model-specific inspection, confirmed parts options and a clear quote at Digi-Tec, Al Quoz.</x:v>
      </x:c>
      <x:c r="L779" s="6" t="str">
        <x:v>Retain pending evidence; no specific content edit justified by this export.</x:v>
      </x:c>
      <x:c r="M779" s="6" t="str">
        <x:v>Retain; inspect relevant context before adding links</x:v>
      </x:c>
      <x:c r="N779" s="6" t="str">
        <x:v>Unconfirmed — no query/page pairing</x:v>
      </x:c>
      <x:c r="O779" s="6" t="str">
        <x:v>Retain established booking / WhatsApp / call path; live behaviour untested</x:v>
      </x:c>
      <x:c r="P779" s="6" t="str">
        <x:v>Retain canonical and indexation policy pending a live check.</x:v>
      </x:c>
      <x:c r="Q779" s="6" t="str">
        <x:v>Proposed; no website change made</x:v>
      </x:c>
      <x:c r="R779" s="14" t="n">
        <x:v>0</x:v>
      </x:c>
      <x:c r="S779" s="14" t="n">
        <x:v>3</x:v>
      </x:c>
      <x:c r="T779" s="15" t="n">
        <x:v>0</x:v>
      </x:c>
      <x:c r="U779" s="16" t="n">
        <x:v>43</x:v>
      </x:c>
      <x:c r="V779" s="6" t="str">
        <x:v>https://digitecme.com/brands/alfa-romeo-service-dubai/transmission-repair</x:v>
      </x:c>
      <x:c r="W779" s="6" t="str">
        <x:v>Noindex directive</x:v>
      </x:c>
      <x:c r="X779" s="6" t="n">
        <x:v>8</x:v>
      </x:c>
      <x:c r="Y779" s="6" t="str">
        <x:v>Alfa Romeo Transmission Repair Dubai | Digi-Tec</x:v>
      </x:c>
      <x:c r="Z779" s="6" t="str"/>
      <x:c r="AA779" s="6" t="str">
        <x:v>No / not compared</x:v>
      </x:c>
    </x:row>
    <x:row r="780" ht="57" customHeight="1">
      <x:c r="A780" s="6" t="str">
        <x:v>https://digitecme.com/brands/aston-martin-service-dubai</x:v>
      </x:c>
      <x:c r="B780" s="6" t="str">
        <x:v>aston martin repair dubai</x:v>
      </x:c>
      <x:c r="C780" s="6" t="str">
        <x:v>aston-martin: Service and repair; aston-martin: Service and repair (outside Dubai)</x:v>
      </x:c>
      <x:c r="D780" s="6" t="str">
        <x:v>brand</x:v>
      </x:c>
      <x:c r="E780" s="6" t="str">
        <x:v>Primary owner for assigned intent</x:v>
      </x:c>
      <x:c r="F780" s="6" t="str">
        <x:v>Local source render; live version unverified</x:v>
      </x:c>
      <x:c r="G780" s="6" t="str">
        <x:v>Aston Martin Service &amp; Repair Dubai | DIGI-TEC</x:v>
      </x:c>
      <x:c r="H780" s="6" t="str">
        <x:v>Aston Martin Service &amp; Repair Dubai | DIGI-TEC</x:v>
      </x:c>
      <x:c r="I780" s="6" t="str">
        <x:v>Aston Martin Service &amp; Repair Dubai</x:v>
      </x:c>
      <x:c r="J780" s="6" t="str">
        <x:v>Aston Martin Service &amp; Repair Dubai</x:v>
      </x:c>
      <x:c r="K780" s="6" t="str">
        <x:v>Independent Aston Martin service and repair in Al Quoz, Dubai. Contact DIGI-TEC for maintenance, diagnostics and a vehicle-specific service estimate.</x:v>
      </x:c>
      <x:c r="L780" s="6" t="str">
        <x:v>Retain pending evidence; no specific content edit justified by this export.</x:v>
      </x:c>
      <x:c r="M780" s="6" t="str">
        <x:v>Retain; inspect relevant context before adding links</x:v>
      </x:c>
      <x:c r="N780" s="6" t="str">
        <x:v>Unconfirmed — no query/page pairing</x:v>
      </x:c>
      <x:c r="O780" s="6" t="str">
        <x:v>Retain established booking / WhatsApp / call path; live behaviour untested</x:v>
      </x:c>
      <x:c r="P780" s="6" t="str">
        <x:v>Retain canonical and indexation policy pending a live check.</x:v>
      </x:c>
      <x:c r="Q780" s="6" t="str">
        <x:v>Proposed; no website change made</x:v>
      </x:c>
      <x:c r="R780" s="14" t="n">
        <x:v>4</x:v>
      </x:c>
      <x:c r="S780" s="14" t="n">
        <x:v>1224</x:v>
      </x:c>
      <x:c r="T780" s="15" t="n">
        <x:v>0.0033</x:v>
      </x:c>
      <x:c r="U780" s="16" t="n">
        <x:v>19.23</x:v>
      </x:c>
      <x:c r="V780" s="6" t="str">
        <x:v>https://digitecme.com/brands/aston-martin-service-dubai</x:v>
      </x:c>
      <x:c r="W780" s="6" t="str">
        <x:v>Indexable directive</x:v>
      </x:c>
      <x:c r="X780" s="6" t="n">
        <x:v>58</x:v>
      </x:c>
      <x:c r="Y780" s="6" t="str">
        <x:v>Aston Martin Service &amp; Repair Dubai | DIGI-TEC</x:v>
      </x:c>
      <x:c r="Z780" s="6" t="str"/>
      <x:c r="AA780" s="6" t="str">
        <x:v>No / not compared</x:v>
      </x:c>
    </x:row>
    <x:row r="781" ht="42" customHeight="1">
      <x:c r="A781" s="6" t="str">
        <x:v>https://digitecme.com/brands/aston-martin-service-dubai/ac-repair</x:v>
      </x:c>
      <x:c r="B781" s="6" t="str"/>
      <x:c r="C781" s="6" t="str"/>
      <x:c r="D781" s="6" t="str">
        <x:v>brand-service</x:v>
      </x:c>
      <x:c r="E781" s="6" t="str">
        <x:v>Retain differentiated role</x:v>
      </x:c>
      <x:c r="F781" s="6" t="str">
        <x:v>Local source render; live version unverified</x:v>
      </x:c>
      <x:c r="G781" s="6" t="str">
        <x:v>Aston Martin AC Repair Dubai | DIGI-TEC</x:v>
      </x:c>
      <x:c r="H781" s="6" t="str">
        <x:v>Aston Martin AC Repair Dubai | DIGI-TEC</x:v>
      </x:c>
      <x:c r="I781" s="6" t="str">
        <x:v>Aston Martin AC Repair Dubai</x:v>
      </x:c>
      <x:c r="J781" s="6" t="str">
        <x:v>Aston Martin AC Repair Dubai</x:v>
      </x:c>
      <x:c r="K781" s="6" t="str">
        <x:v>Aston Martin ac and cabin cooling in Al Quoz, Dubai. Discuss symptoms, inspection findings and a vehicle-specific estimate with DIGI-TEC.</x:v>
      </x:c>
      <x:c r="L781" s="6" t="str">
        <x:v>Retain pending evidence; no specific content edit justified by this export.</x:v>
      </x:c>
      <x:c r="M781" s="6" t="str">
        <x:v>Retain; inspect relevant context before adding links</x:v>
      </x:c>
      <x:c r="N781" s="6" t="str">
        <x:v>Unconfirmed — no query/page pairing</x:v>
      </x:c>
      <x:c r="O781" s="6" t="str">
        <x:v>Retain established booking / WhatsApp / call path; live behaviour untested</x:v>
      </x:c>
      <x:c r="P781" s="6" t="str">
        <x:v>Retain canonical and indexation policy pending a live check.</x:v>
      </x:c>
      <x:c r="Q781" s="6" t="str">
        <x:v>Proposed; no website change made</x:v>
      </x:c>
      <x:c r="R781" s="14" t="n">
        <x:v>0</x:v>
      </x:c>
      <x:c r="S781" s="14" t="n">
        <x:v>4</x:v>
      </x:c>
      <x:c r="T781" s="15" t="n">
        <x:v>0</x:v>
      </x:c>
      <x:c r="U781" s="16" t="n">
        <x:v>14.5</x:v>
      </x:c>
      <x:c r="V781" s="6" t="str">
        <x:v>https://digitecme.com/brands/aston-martin-service-dubai/ac-repair</x:v>
      </x:c>
      <x:c r="W781" s="6" t="str">
        <x:v>Indexable directive</x:v>
      </x:c>
      <x:c r="X781" s="6" t="n">
        <x:v>16</x:v>
      </x:c>
      <x:c r="Y781" s="6" t="str">
        <x:v>Aston Martin AC Repair Dubai | DIGI-TEC</x:v>
      </x:c>
      <x:c r="Z781" s="6" t="str"/>
      <x:c r="AA781" s="6" t="str">
        <x:v>No / not compared</x:v>
      </x:c>
    </x:row>
    <x:row r="782" ht="57" customHeight="1">
      <x:c r="A782" s="6" t="str">
        <x:v>https://digitecme.com/brands/aston-martin-service-dubai/battery-replacement</x:v>
      </x:c>
      <x:c r="B782" s="6" t="str"/>
      <x:c r="C782" s="6" t="str"/>
      <x:c r="D782" s="6" t="str">
        <x:v>brand-service</x:v>
      </x:c>
      <x:c r="E782" s="6" t="str">
        <x:v>Retain differentiated role</x:v>
      </x:c>
      <x:c r="F782" s="6" t="str">
        <x:v>Local source render; live version unverified</x:v>
      </x:c>
      <x:c r="G782" s="6" t="str">
        <x:v>Aston Martin Battery Replacement Dubai | DIGI-TEC</x:v>
      </x:c>
      <x:c r="H782" s="6" t="str">
        <x:v>Aston Martin Battery Replacement Dubai | DIGI-TEC</x:v>
      </x:c>
      <x:c r="I782" s="6" t="str">
        <x:v>Aston Martin Battery Replacement Dubai</x:v>
      </x:c>
      <x:c r="J782" s="6" t="str">
        <x:v>Aston Martin Battery Replacement Dubai</x:v>
      </x:c>
      <x:c r="K782" s="6" t="str">
        <x:v>Aston Martin battery and starting concerns in Al Quoz, Dubai. Discuss symptoms, inspection findings and a vehicle-specific estimate with DIGI-TEC.</x:v>
      </x:c>
      <x:c r="L782" s="6" t="str">
        <x:v>Retain pending evidence; no specific content edit justified by this export.</x:v>
      </x:c>
      <x:c r="M782" s="6" t="str">
        <x:v>Retain; inspect relevant context before adding links</x:v>
      </x:c>
      <x:c r="N782" s="6" t="str">
        <x:v>Unconfirmed — no query/page pairing</x:v>
      </x:c>
      <x:c r="O782" s="6" t="str">
        <x:v>Retain established booking / WhatsApp / call path; live behaviour untested</x:v>
      </x:c>
      <x:c r="P782" s="6" t="str">
        <x:v>Retain canonical and indexation policy pending a live check.</x:v>
      </x:c>
      <x:c r="Q782" s="6" t="str">
        <x:v>Proposed; no website change made</x:v>
      </x:c>
      <x:c r="R782" s="14" t="n">
        <x:v>0</x:v>
      </x:c>
      <x:c r="S782" s="14" t="n">
        <x:v>5</x:v>
      </x:c>
      <x:c r="T782" s="15" t="n">
        <x:v>0</x:v>
      </x:c>
      <x:c r="U782" s="16" t="n">
        <x:v>20</x:v>
      </x:c>
      <x:c r="V782" s="6" t="str">
        <x:v>https://digitecme.com/brands/aston-martin-service-dubai/battery-replacement</x:v>
      </x:c>
      <x:c r="W782" s="6" t="str">
        <x:v>Indexable directive</x:v>
      </x:c>
      <x:c r="X782" s="6" t="n">
        <x:v>16</x:v>
      </x:c>
      <x:c r="Y782" s="6" t="str">
        <x:v>Aston Martin Battery Replacement Dubai | DIGI-TEC</x:v>
      </x:c>
      <x:c r="Z782" s="6" t="str"/>
      <x:c r="AA782" s="6" t="str">
        <x:v>No / not compared</x:v>
      </x:c>
    </x:row>
    <x:row r="783" ht="42" customHeight="1">
      <x:c r="A783" s="6" t="str">
        <x:v>https://digitecme.com/brands/aston-martin-service-dubai/body-repair</x:v>
      </x:c>
      <x:c r="B783" s="6" t="str"/>
      <x:c r="C783" s="6" t="str"/>
      <x:c r="D783" s="6" t="str">
        <x:v>brand-service</x:v>
      </x:c>
      <x:c r="E783" s="6" t="str">
        <x:v>Retain differentiated role</x:v>
      </x:c>
      <x:c r="F783" s="6" t="str">
        <x:v>Local source render; live version unverified</x:v>
      </x:c>
      <x:c r="G783" s="6" t="str">
        <x:v>Aston Martin Body Repair Dubai | DIGI-TEC</x:v>
      </x:c>
      <x:c r="H783" s="6" t="str">
        <x:v>Aston Martin Body Repair Dubai | DIGI-TEC</x:v>
      </x:c>
      <x:c r="I783" s="6" t="str">
        <x:v>Aston Martin Body Repair Dubai</x:v>
      </x:c>
      <x:c r="J783" s="6" t="str">
        <x:v>Aston Martin Body Repair Dubai</x:v>
      </x:c>
      <x:c r="K783" s="6" t="str">
        <x:v>Aston Martin bodywork enquiries in Al Quoz, Dubai. Discuss symptoms, inspection findings and a vehicle-specific estimate with DIGI-TEC.</x:v>
      </x:c>
      <x:c r="L783" s="6" t="str">
        <x:v>Retain pending evidence; no specific content edit justified by this export.</x:v>
      </x:c>
      <x:c r="M783" s="6" t="str">
        <x:v>Retain; inspect relevant context before adding links</x:v>
      </x:c>
      <x:c r="N783" s="6" t="str">
        <x:v>Unconfirmed — no query/page pairing</x:v>
      </x:c>
      <x:c r="O783" s="6" t="str">
        <x:v>Retain established booking / WhatsApp / call path; live behaviour untested</x:v>
      </x:c>
      <x:c r="P783" s="6" t="str">
        <x:v>Retain canonical and indexation policy pending a live check.</x:v>
      </x:c>
      <x:c r="Q783" s="6" t="str">
        <x:v>Proposed; no website change made</x:v>
      </x:c>
      <x:c r="R783" s="14" t="n">
        <x:v>0</x:v>
      </x:c>
      <x:c r="S783" s="14" t="n">
        <x:v>8</x:v>
      </x:c>
      <x:c r="T783" s="15" t="n">
        <x:v>0</x:v>
      </x:c>
      <x:c r="U783" s="16" t="n">
        <x:v>15.38</x:v>
      </x:c>
      <x:c r="V783" s="6" t="str">
        <x:v>https://digitecme.com/brands/aston-martin-service-dubai/body-repair</x:v>
      </x:c>
      <x:c r="W783" s="6" t="str">
        <x:v>Indexable directive</x:v>
      </x:c>
      <x:c r="X783" s="6" t="n">
        <x:v>16</x:v>
      </x:c>
      <x:c r="Y783" s="6" t="str">
        <x:v>Aston Martin Body Repair Dubai | DIGI-TEC</x:v>
      </x:c>
      <x:c r="Z783" s="6" t="str"/>
      <x:c r="AA783" s="6" t="str">
        <x:v>No / not compared</x:v>
      </x:c>
    </x:row>
    <x:row r="784" ht="57" customHeight="1">
      <x:c r="A784" s="6" t="str">
        <x:v>https://digitecme.com/brands/aston-martin-service-dubai/brake-repair</x:v>
      </x:c>
      <x:c r="B784" s="6" t="str">
        <x:v>aston martin brake repair dubai</x:v>
      </x:c>
      <x:c r="C784" s="6" t="str">
        <x:v>aston-martin: Brake repair</x:v>
      </x:c>
      <x:c r="D784" s="6" t="str">
        <x:v>brand-service</x:v>
      </x:c>
      <x:c r="E784" s="6" t="str">
        <x:v>Primary owner for assigned intent</x:v>
      </x:c>
      <x:c r="F784" s="6" t="str">
        <x:v>Live HTML checked 9 Sep 2026</x:v>
      </x:c>
      <x:c r="G784" s="6" t="str">
        <x:v>Aston Martin Brake Repair Dubai | DIGI-TEC</x:v>
      </x:c>
      <x:c r="H784" s="6" t="str">
        <x:v>Aston Martin Brake Repair Dubai | DIGI-TEC</x:v>
      </x:c>
      <x:c r="I784" s="6" t="str">
        <x:v>Aston Martin Brake Repair Dubai</x:v>
      </x:c>
      <x:c r="J784" s="6" t="str">
        <x:v>Aston Martin Brake Repair Dubai</x:v>
      </x:c>
      <x:c r="K784" s="6" t="str">
        <x:v>Aston Martin brake inspection and repair in Al Quoz, Dubai. Discuss symptoms, inspection findings and a vehicle-specific estimate with DIGI-TEC.</x:v>
      </x:c>
      <x:c r="L784" s="6" t="str">
        <x:v>Retain the already specific title, H1 and current model-aware copy. Add a clear service-specific enquiry label. Expand repair choices only with workshop evidence.</x:v>
      </x:c>
      <x:c r="M784" s="6" t="str">
        <x:v>Retain existing links</x:v>
      </x:c>
      <x:c r="N784" s="6" t="str">
        <x:v>Unconfirmed — no query/page pairing</x:v>
      </x:c>
      <x:c r="O784" s="6" t="str">
        <x:v>Request an Aston Martin Brake Inspection</x:v>
      </x:c>
      <x:c r="P784" s="6" t="str">
        <x:v>Retain; verify against production before release</x:v>
      </x:c>
      <x:c r="Q784" s="6" t="str">
        <x:v>Proposed; no website change made</x:v>
      </x:c>
      <x:c r="R784" s="14" t="n">
        <x:v>0</x:v>
      </x:c>
      <x:c r="S784" s="14" t="n">
        <x:v>10</x:v>
      </x:c>
      <x:c r="T784" s="15" t="n">
        <x:v>0</x:v>
      </x:c>
      <x:c r="U784" s="16" t="n">
        <x:v>33.6</x:v>
      </x:c>
      <x:c r="V784" s="6" t="str">
        <x:v>https://digitecme.com/brands/aston-martin-service-dubai/brake-repair</x:v>
      </x:c>
      <x:c r="W784" s="6" t="str">
        <x:v>Indexable directive</x:v>
      </x:c>
      <x:c r="X784" s="6" t="n">
        <x:v>17</x:v>
      </x:c>
      <x:c r="Y784" s="6" t="str">
        <x:v>Aston Martin Brake Repair Dubai | DIGI-TEC</x:v>
      </x:c>
      <x:c r="Z784" s="6" t="str">
        <x:v>Aston Martin Brake Repair Dubai | DIGI-TEC</x:v>
      </x:c>
      <x:c r="AA784" s="6" t="str">
        <x:v>No / not compared</x:v>
      </x:c>
    </x:row>
    <x:row r="785" ht="57" customHeight="1">
      <x:c r="A785" s="6" t="str">
        <x:v>https://digitecme.com/brands/aston-martin-service-dubai/electrical-repair</x:v>
      </x:c>
      <x:c r="B785" s="6" t="str"/>
      <x:c r="C785" s="6" t="str"/>
      <x:c r="D785" s="6" t="str">
        <x:v>brand-service</x:v>
      </x:c>
      <x:c r="E785" s="6" t="str">
        <x:v>Retain differentiated role</x:v>
      </x:c>
      <x:c r="F785" s="6" t="str">
        <x:v>Local source render; live version unverified</x:v>
      </x:c>
      <x:c r="G785" s="6" t="str">
        <x:v>Aston Martin Electrical Repair Dubai | DIGI-TEC</x:v>
      </x:c>
      <x:c r="H785" s="6" t="str">
        <x:v>Aston Martin Electrical Repair Dubai | DIGI-TEC</x:v>
      </x:c>
      <x:c r="I785" s="6" t="str">
        <x:v>Aston Martin Electrical Repair Dubai</x:v>
      </x:c>
      <x:c r="J785" s="6" t="str">
        <x:v>Aston Martin Electrical Repair Dubai</x:v>
      </x:c>
      <x:c r="K785" s="6" t="str">
        <x:v>Aston Martin electrical fault assessment in Al Quoz, Dubai. Discuss symptoms, inspection findings and a vehicle-specific estimate with DIGI-TEC.</x:v>
      </x:c>
      <x:c r="L785" s="6" t="str">
        <x:v>Retain pending evidence; no specific content edit justified by this export.</x:v>
      </x:c>
      <x:c r="M785" s="6" t="str">
        <x:v>Retain; inspect relevant context before adding links</x:v>
      </x:c>
      <x:c r="N785" s="6" t="str">
        <x:v>Unconfirmed — no query/page pairing</x:v>
      </x:c>
      <x:c r="O785" s="6" t="str">
        <x:v>Retain established booking / WhatsApp / call path; live behaviour untested</x:v>
      </x:c>
      <x:c r="P785" s="6" t="str">
        <x:v>Retain canonical and indexation policy pending a live check.</x:v>
      </x:c>
      <x:c r="Q785" s="6" t="str">
        <x:v>Proposed; no website change made</x:v>
      </x:c>
      <x:c r="R785" s="14"/>
      <x:c r="S785" s="14"/>
      <x:c r="T785" s="15"/>
      <x:c r="U785" s="16"/>
      <x:c r="V785" s="6" t="str">
        <x:v>https://digitecme.com/brands/aston-martin-service-dubai/electrical-repair</x:v>
      </x:c>
      <x:c r="W785" s="6" t="str">
        <x:v>Indexable directive</x:v>
      </x:c>
      <x:c r="X785" s="6" t="n">
        <x:v>16</x:v>
      </x:c>
      <x:c r="Y785" s="6" t="str">
        <x:v>Aston Martin Electrical Repair Dubai | DIGI-TEC</x:v>
      </x:c>
      <x:c r="Z785" s="6" t="str"/>
      <x:c r="AA785" s="6" t="str">
        <x:v>No / not compared</x:v>
      </x:c>
    </x:row>
    <x:row r="786" ht="42" customHeight="1">
      <x:c r="A786" s="6" t="str">
        <x:v>https://digitecme.com/brands/aston-martin-service-dubai/engine-diagnostics</x:v>
      </x:c>
      <x:c r="B786" s="6" t="str"/>
      <x:c r="C786" s="6" t="str"/>
      <x:c r="D786" s="6" t="str">
        <x:v>brand-service</x:v>
      </x:c>
      <x:c r="E786" s="6" t="str">
        <x:v>Retain differentiated role</x:v>
      </x:c>
      <x:c r="F786" s="6" t="str">
        <x:v>Local source render; live version unverified</x:v>
      </x:c>
      <x:c r="G786" s="6" t="str">
        <x:v>Aston Martin Engine Diagnostics Dubai | DIGI-TEC</x:v>
      </x:c>
      <x:c r="H786" s="6" t="str">
        <x:v>Aston Martin Engine Diagnostics Dubai | DIGI-TEC</x:v>
      </x:c>
      <x:c r="I786" s="6" t="str">
        <x:v>Aston Martin Engine Diagnostics Dubai</x:v>
      </x:c>
      <x:c r="J786" s="6" t="str">
        <x:v>Aston Martin Engine Diagnostics Dubai</x:v>
      </x:c>
      <x:c r="K786" s="6" t="str">
        <x:v>Aston Martin engine diagnostics in Al Quoz, Dubai. Discuss symptoms, inspection findings and a vehicle-specific estimate with DIGI-TEC.</x:v>
      </x:c>
      <x:c r="L786" s="6" t="str">
        <x:v>Retain pending evidence; no specific content edit justified by this export.</x:v>
      </x:c>
      <x:c r="M786" s="6" t="str">
        <x:v>Retain; inspect relevant context before adding links</x:v>
      </x:c>
      <x:c r="N786" s="6" t="str">
        <x:v>Unconfirmed — no query/page pairing</x:v>
      </x:c>
      <x:c r="O786" s="6" t="str">
        <x:v>Retain established booking / WhatsApp / call path; live behaviour untested</x:v>
      </x:c>
      <x:c r="P786" s="6" t="str">
        <x:v>Retain canonical and indexation policy pending a live check.</x:v>
      </x:c>
      <x:c r="Q786" s="6" t="str">
        <x:v>Proposed; no website change made</x:v>
      </x:c>
      <x:c r="R786" s="14"/>
      <x:c r="S786" s="14"/>
      <x:c r="T786" s="15"/>
      <x:c r="U786" s="16"/>
      <x:c r="V786" s="6" t="str">
        <x:v>https://digitecme.com/brands/aston-martin-service-dubai/engine-diagnostics</x:v>
      </x:c>
      <x:c r="W786" s="6" t="str">
        <x:v>Indexable directive</x:v>
      </x:c>
      <x:c r="X786" s="6" t="n">
        <x:v>16</x:v>
      </x:c>
      <x:c r="Y786" s="6" t="str">
        <x:v>Aston Martin Engine Diagnostics Dubai | DIGI-TEC</x:v>
      </x:c>
      <x:c r="Z786" s="6" t="str"/>
      <x:c r="AA786" s="6" t="str">
        <x:v>No / not compared</x:v>
      </x:c>
    </x:row>
    <x:row r="787" ht="42" customHeight="1">
      <x:c r="A787" s="6" t="str">
        <x:v>https://digitecme.com/brands/aston-martin-service-dubai/exhaust-repair</x:v>
      </x:c>
      <x:c r="B787" s="6" t="str"/>
      <x:c r="C787" s="6" t="str"/>
      <x:c r="D787" s="6" t="str">
        <x:v>brand-service</x:v>
      </x:c>
      <x:c r="E787" s="6" t="str">
        <x:v>Retain differentiated role</x:v>
      </x:c>
      <x:c r="F787" s="6" t="str">
        <x:v>Local source render; live version unverified</x:v>
      </x:c>
      <x:c r="G787" s="6" t="str">
        <x:v>Aston Martin Exhaust Repair Dubai | DIGI-TEC</x:v>
      </x:c>
      <x:c r="H787" s="6" t="str">
        <x:v>Aston Martin Exhaust Repair Dubai | DIGI-TEC</x:v>
      </x:c>
      <x:c r="I787" s="6" t="str">
        <x:v>Aston Martin Exhaust Repair Dubai</x:v>
      </x:c>
      <x:c r="J787" s="6" t="str">
        <x:v>Aston Martin Exhaust Repair Dubai</x:v>
      </x:c>
      <x:c r="K787" s="6" t="str">
        <x:v>Aston Martin exhaust assessment in Al Quoz, Dubai. Discuss symptoms, inspection findings and a vehicle-specific estimate with DIGI-TEC.</x:v>
      </x:c>
      <x:c r="L787" s="6" t="str">
        <x:v>Retain pending evidence; no specific content edit justified by this export.</x:v>
      </x:c>
      <x:c r="M787" s="6" t="str">
        <x:v>Retain; inspect relevant context before adding links</x:v>
      </x:c>
      <x:c r="N787" s="6" t="str">
        <x:v>Unconfirmed — no query/page pairing</x:v>
      </x:c>
      <x:c r="O787" s="6" t="str">
        <x:v>Retain established booking / WhatsApp / call path; live behaviour untested</x:v>
      </x:c>
      <x:c r="P787" s="6" t="str">
        <x:v>Retain canonical and indexation policy pending a live check.</x:v>
      </x:c>
      <x:c r="Q787" s="6" t="str">
        <x:v>Proposed; no website change made</x:v>
      </x:c>
      <x:c r="R787" s="14" t="n">
        <x:v>0</x:v>
      </x:c>
      <x:c r="S787" s="14" t="n">
        <x:v>3</x:v>
      </x:c>
      <x:c r="T787" s="15" t="n">
        <x:v>0</x:v>
      </x:c>
      <x:c r="U787" s="16" t="n">
        <x:v>18</x:v>
      </x:c>
      <x:c r="V787" s="6" t="str">
        <x:v>https://digitecme.com/brands/aston-martin-service-dubai/exhaust-repair</x:v>
      </x:c>
      <x:c r="W787" s="6" t="str">
        <x:v>Indexable directive</x:v>
      </x:c>
      <x:c r="X787" s="6" t="n">
        <x:v>16</x:v>
      </x:c>
      <x:c r="Y787" s="6" t="str">
        <x:v>Aston Martin Exhaust Repair Dubai | DIGI-TEC</x:v>
      </x:c>
      <x:c r="Z787" s="6" t="str"/>
      <x:c r="AA787" s="6" t="str">
        <x:v>No / not compared</x:v>
      </x:c>
    </x:row>
    <x:row r="788" ht="42" customHeight="1">
      <x:c r="A788" s="6" t="str">
        <x:v>https://digitecme.com/brands/aston-martin-service-dubai/fuel-system-repair</x:v>
      </x:c>
      <x:c r="B788" s="6" t="str"/>
      <x:c r="C788" s="6" t="str"/>
      <x:c r="D788" s="6" t="str">
        <x:v>brand-service</x:v>
      </x:c>
      <x:c r="E788" s="6" t="str">
        <x:v>Retain differentiated role</x:v>
      </x:c>
      <x:c r="F788" s="6" t="str">
        <x:v>Local source render; live version unverified</x:v>
      </x:c>
      <x:c r="G788" s="6" t="str">
        <x:v>Aston Martin Fuel System Repair Dubai | DIGI-TEC</x:v>
      </x:c>
      <x:c r="H788" s="6" t="str">
        <x:v>Aston Martin Fuel System Repair Dubai | DIGI-TEC</x:v>
      </x:c>
      <x:c r="I788" s="6" t="str">
        <x:v>Aston Martin Fuel System Repair Dubai</x:v>
      </x:c>
      <x:c r="J788" s="6" t="str">
        <x:v>Aston Martin Fuel System Repair Dubai</x:v>
      </x:c>
      <x:c r="K788" s="6" t="str">
        <x:v>Aston Martin fuel-system assessment in Al Quoz, Dubai. Discuss symptoms, inspection findings and a vehicle-specific estimate with DIGI-TEC.</x:v>
      </x:c>
      <x:c r="L788" s="6" t="str">
        <x:v>Retain pending evidence; no specific content edit justified by this export.</x:v>
      </x:c>
      <x:c r="M788" s="6" t="str">
        <x:v>Retain; inspect relevant context before adding links</x:v>
      </x:c>
      <x:c r="N788" s="6" t="str">
        <x:v>Unconfirmed — no query/page pairing</x:v>
      </x:c>
      <x:c r="O788" s="6" t="str">
        <x:v>Retain established booking / WhatsApp / call path; live behaviour untested</x:v>
      </x:c>
      <x:c r="P788" s="6" t="str">
        <x:v>Retain canonical and indexation policy pending a live check.</x:v>
      </x:c>
      <x:c r="Q788" s="6" t="str">
        <x:v>Proposed; no website change made</x:v>
      </x:c>
      <x:c r="R788" s="14"/>
      <x:c r="S788" s="14"/>
      <x:c r="T788" s="15"/>
      <x:c r="U788" s="16"/>
      <x:c r="V788" s="6" t="str">
        <x:v>https://digitecme.com/brands/aston-martin-service-dubai/fuel-system-repair</x:v>
      </x:c>
      <x:c r="W788" s="6" t="str">
        <x:v>Indexable directive</x:v>
      </x:c>
      <x:c r="X788" s="6" t="n">
        <x:v>16</x:v>
      </x:c>
      <x:c r="Y788" s="6" t="str">
        <x:v>Aston Martin Fuel System Repair Dubai | DIGI-TEC</x:v>
      </x:c>
      <x:c r="Z788" s="6" t="str"/>
      <x:c r="AA788" s="6" t="str">
        <x:v>No / not compared</x:v>
      </x:c>
    </x:row>
    <x:row r="789" ht="57" customHeight="1">
      <x:c r="A789" s="6" t="str">
        <x:v>https://digitecme.com/brands/aston-martin-service-dubai/mechanical-repair</x:v>
      </x:c>
      <x:c r="B789" s="6" t="str">
        <x:v>aston martin engine repair dubai</x:v>
      </x:c>
      <x:c r="C789" s="6" t="str">
        <x:v>aston-martin: Engine and mechanical repair; aston-martin: Engine and mechanical repair (outside Dubai)</x:v>
      </x:c>
      <x:c r="D789" s="6" t="str">
        <x:v>brand-service</x:v>
      </x:c>
      <x:c r="E789" s="6" t="str">
        <x:v>Primary owner for assigned intent</x:v>
      </x:c>
      <x:c r="F789" s="6" t="str">
        <x:v>Local source render; live version unverified</x:v>
      </x:c>
      <x:c r="G789" s="6" t="str">
        <x:v>Aston Martin Engine &amp; Mechanical Repair Dubai | DIGI-TEC</x:v>
      </x:c>
      <x:c r="H789" s="6" t="str">
        <x:v>Aston Martin Engine &amp; Mechanical Repair Dubai | DIGI-TEC</x:v>
      </x:c>
      <x:c r="I789" s="6" t="str">
        <x:v>Aston Martin Engine &amp; Mechanical Repair Dubai</x:v>
      </x:c>
      <x:c r="J789" s="6" t="str">
        <x:v>Aston Martin Engine &amp; Mechanical Repair Dubai</x:v>
      </x:c>
      <x:c r="K789" s="6" t="str">
        <x:v>Aston Martin engine and mechanical repair in Al Quoz, Dubai. Discuss symptoms, inspection findings and a vehicle-specific estimate with DIGI-TEC.</x:v>
      </x:c>
      <x:c r="L789" s="6" t="str">
        <x:v>Retain pending evidence; no specific content edit justified by this export.</x:v>
      </x:c>
      <x:c r="M789" s="6" t="str">
        <x:v>Retain; inspect relevant context before adding links</x:v>
      </x:c>
      <x:c r="N789" s="6" t="str">
        <x:v>Unconfirmed — no query/page pairing</x:v>
      </x:c>
      <x:c r="O789" s="6" t="str">
        <x:v>Retain established booking / WhatsApp / call path; live behaviour untested</x:v>
      </x:c>
      <x:c r="P789" s="6" t="str">
        <x:v>Retain canonical and indexation policy pending a live check.</x:v>
      </x:c>
      <x:c r="Q789" s="6" t="str">
        <x:v>Proposed; no website change made</x:v>
      </x:c>
      <x:c r="R789" s="14" t="n">
        <x:v>0</x:v>
      </x:c>
      <x:c r="S789" s="14" t="n">
        <x:v>27</x:v>
      </x:c>
      <x:c r="T789" s="15" t="n">
        <x:v>0</x:v>
      </x:c>
      <x:c r="U789" s="16" t="n">
        <x:v>68.93</x:v>
      </x:c>
      <x:c r="V789" s="6" t="str">
        <x:v>https://digitecme.com/brands/aston-martin-service-dubai/mechanical-repair</x:v>
      </x:c>
      <x:c r="W789" s="6" t="str">
        <x:v>Indexable directive</x:v>
      </x:c>
      <x:c r="X789" s="6" t="n">
        <x:v>16</x:v>
      </x:c>
      <x:c r="Y789" s="6" t="str">
        <x:v>Aston Martin Engine &amp; Mechanical Repair Dubai | DIGI-TEC</x:v>
      </x:c>
      <x:c r="Z789" s="6" t="str"/>
      <x:c r="AA789" s="6" t="str">
        <x:v>No / not compared</x:v>
      </x:c>
    </x:row>
    <x:row r="790" ht="57" customHeight="1">
      <x:c r="A790" s="6" t="str">
        <x:v>https://digitecme.com/brands/aston-martin-service-dubai/oil-change</x:v>
      </x:c>
      <x:c r="B790" s="6" t="str">
        <x:v>aston martin oil change dubai</x:v>
      </x:c>
      <x:c r="C790" s="6" t="str">
        <x:v>aston-martin: Oil change</x:v>
      </x:c>
      <x:c r="D790" s="6" t="str">
        <x:v>brand-service</x:v>
      </x:c>
      <x:c r="E790" s="6" t="str">
        <x:v>Primary owner for assigned intent</x:v>
      </x:c>
      <x:c r="F790" s="6" t="str">
        <x:v>Local source render; live version unverified</x:v>
      </x:c>
      <x:c r="G790" s="6" t="str">
        <x:v>Aston Martin Oil Change Dubai | DIGI-TEC</x:v>
      </x:c>
      <x:c r="H790" s="6" t="str">
        <x:v>Aston Martin Oil Change Dubai | DIGI-TEC</x:v>
      </x:c>
      <x:c r="I790" s="6" t="str">
        <x:v>Aston Martin Oil Change Dubai</x:v>
      </x:c>
      <x:c r="J790" s="6" t="str">
        <x:v>Aston Martin Oil Change Dubai</x:v>
      </x:c>
      <x:c r="K790" s="6" t="str">
        <x:v>Aston Martin maintenance and oil servicing in Al Quoz, Dubai. Discuss symptoms, inspection findings and a vehicle-specific estimate with DIGI-TEC.</x:v>
      </x:c>
      <x:c r="L790" s="6" t="str">
        <x:v>Retain pending evidence; no specific content edit justified by this export.</x:v>
      </x:c>
      <x:c r="M790" s="6" t="str">
        <x:v>Retain; inspect relevant context before adding links</x:v>
      </x:c>
      <x:c r="N790" s="6" t="str">
        <x:v>Unconfirmed — no query/page pairing</x:v>
      </x:c>
      <x:c r="O790" s="6" t="str">
        <x:v>Retain established booking / WhatsApp / call path; live behaviour untested</x:v>
      </x:c>
      <x:c r="P790" s="6" t="str">
        <x:v>Retain canonical and indexation policy pending a live check.</x:v>
      </x:c>
      <x:c r="Q790" s="6" t="str">
        <x:v>Proposed; no website change made</x:v>
      </x:c>
      <x:c r="R790" s="14" t="n">
        <x:v>0</x:v>
      </x:c>
      <x:c r="S790" s="14" t="n">
        <x:v>29</x:v>
      </x:c>
      <x:c r="T790" s="15" t="n">
        <x:v>0</x:v>
      </x:c>
      <x:c r="U790" s="16" t="n">
        <x:v>11.76</x:v>
      </x:c>
      <x:c r="V790" s="6" t="str">
        <x:v>https://digitecme.com/brands/aston-martin-service-dubai/oil-change</x:v>
      </x:c>
      <x:c r="W790" s="6" t="str">
        <x:v>Indexable directive</x:v>
      </x:c>
      <x:c r="X790" s="6" t="n">
        <x:v>16</x:v>
      </x:c>
      <x:c r="Y790" s="6" t="str">
        <x:v>Aston Martin Oil Change Dubai | DIGI-TEC</x:v>
      </x:c>
      <x:c r="Z790" s="6" t="str"/>
      <x:c r="AA790" s="6" t="str">
        <x:v>No / not compared</x:v>
      </x:c>
    </x:row>
    <x:row r="791" ht="42" customHeight="1">
      <x:c r="A791" s="6" t="str">
        <x:v>https://digitecme.com/brands/aston-martin-service-dubai/steering-repair</x:v>
      </x:c>
      <x:c r="B791" s="6" t="str"/>
      <x:c r="C791" s="6" t="str"/>
      <x:c r="D791" s="6" t="str">
        <x:v>brand-service</x:v>
      </x:c>
      <x:c r="E791" s="6" t="str">
        <x:v>Retain differentiated role</x:v>
      </x:c>
      <x:c r="F791" s="6" t="str">
        <x:v>Local source render; live version unverified</x:v>
      </x:c>
      <x:c r="G791" s="6" t="str">
        <x:v>Aston Martin Steering Repair Dubai | DIGI-TEC</x:v>
      </x:c>
      <x:c r="H791" s="6" t="str">
        <x:v>Aston Martin Steering Repair Dubai | DIGI-TEC</x:v>
      </x:c>
      <x:c r="I791" s="6" t="str">
        <x:v>Aston Martin Steering Repair Dubai</x:v>
      </x:c>
      <x:c r="J791" s="6" t="str">
        <x:v>Aston Martin Steering Repair Dubai</x:v>
      </x:c>
      <x:c r="K791" s="6" t="str">
        <x:v>Aston Martin steering assessment in Al Quoz, Dubai. Discuss symptoms, inspection findings and a vehicle-specific estimate with DIGI-TEC.</x:v>
      </x:c>
      <x:c r="L791" s="6" t="str">
        <x:v>Retain pending evidence; no specific content edit justified by this export.</x:v>
      </x:c>
      <x:c r="M791" s="6" t="str">
        <x:v>Retain; inspect relevant context before adding links</x:v>
      </x:c>
      <x:c r="N791" s="6" t="str">
        <x:v>Unconfirmed — no query/page pairing</x:v>
      </x:c>
      <x:c r="O791" s="6" t="str">
        <x:v>Retain established booking / WhatsApp / call path; live behaviour untested</x:v>
      </x:c>
      <x:c r="P791" s="6" t="str">
        <x:v>Retain canonical and indexation policy pending a live check.</x:v>
      </x:c>
      <x:c r="Q791" s="6" t="str">
        <x:v>Proposed; no website change made</x:v>
      </x:c>
      <x:c r="R791" s="14" t="n">
        <x:v>0</x:v>
      </x:c>
      <x:c r="S791" s="14" t="n">
        <x:v>3</x:v>
      </x:c>
      <x:c r="T791" s="15" t="n">
        <x:v>0</x:v>
      </x:c>
      <x:c r="U791" s="16" t="n">
        <x:v>27.33</x:v>
      </x:c>
      <x:c r="V791" s="6" t="str">
        <x:v>https://digitecme.com/brands/aston-martin-service-dubai/steering-repair</x:v>
      </x:c>
      <x:c r="W791" s="6" t="str">
        <x:v>Indexable directive</x:v>
      </x:c>
      <x:c r="X791" s="6" t="n">
        <x:v>16</x:v>
      </x:c>
      <x:c r="Y791" s="6" t="str">
        <x:v>Aston Martin Steering Repair Dubai | DIGI-TEC</x:v>
      </x:c>
      <x:c r="Z791" s="6" t="str"/>
      <x:c r="AA791" s="6" t="str">
        <x:v>No / not compared</x:v>
      </x:c>
    </x:row>
    <x:row r="792" ht="57" customHeight="1">
      <x:c r="A792" s="6" t="str">
        <x:v>https://digitecme.com/brands/aston-martin-service-dubai/suspension-repair</x:v>
      </x:c>
      <x:c r="B792" s="6" t="str"/>
      <x:c r="C792" s="6" t="str"/>
      <x:c r="D792" s="6" t="str">
        <x:v>brand-service</x:v>
      </x:c>
      <x:c r="E792" s="6" t="str">
        <x:v>Retain differentiated role</x:v>
      </x:c>
      <x:c r="F792" s="6" t="str">
        <x:v>Local source render; live version unverified</x:v>
      </x:c>
      <x:c r="G792" s="6" t="str">
        <x:v>Aston Martin Suspension Repair Dubai | DIGI-TEC</x:v>
      </x:c>
      <x:c r="H792" s="6" t="str">
        <x:v>Aston Martin Suspension Repair Dubai | DIGI-TEC</x:v>
      </x:c>
      <x:c r="I792" s="6" t="str">
        <x:v>Aston Martin Suspension Repair Dubai</x:v>
      </x:c>
      <x:c r="J792" s="6" t="str">
        <x:v>Aston Martin Suspension Repair Dubai</x:v>
      </x:c>
      <x:c r="K792" s="6" t="str">
        <x:v>Aston Martin suspension and ride quality in Al Quoz, Dubai. Discuss symptoms, inspection findings and a vehicle-specific estimate with DIGI-TEC.</x:v>
      </x:c>
      <x:c r="L792" s="6" t="str">
        <x:v>Retain pending evidence; no specific content edit justified by this export.</x:v>
      </x:c>
      <x:c r="M792" s="6" t="str">
        <x:v>Retain; inspect relevant context before adding links</x:v>
      </x:c>
      <x:c r="N792" s="6" t="str">
        <x:v>Unconfirmed — no query/page pairing</x:v>
      </x:c>
      <x:c r="O792" s="6" t="str">
        <x:v>Retain established booking / WhatsApp / call path; live behaviour untested</x:v>
      </x:c>
      <x:c r="P792" s="6" t="str">
        <x:v>Retain canonical and indexation policy pending a live check.</x:v>
      </x:c>
      <x:c r="Q792" s="6" t="str">
        <x:v>Proposed; no website change made</x:v>
      </x:c>
      <x:c r="R792" s="14" t="n">
        <x:v>0</x:v>
      </x:c>
      <x:c r="S792" s="14" t="n">
        <x:v>7</x:v>
      </x:c>
      <x:c r="T792" s="15" t="n">
        <x:v>0</x:v>
      </x:c>
      <x:c r="U792" s="16" t="n">
        <x:v>7.43</x:v>
      </x:c>
      <x:c r="V792" s="6" t="str">
        <x:v>https://digitecme.com/brands/aston-martin-service-dubai/suspension-repair</x:v>
      </x:c>
      <x:c r="W792" s="6" t="str">
        <x:v>Indexable directive</x:v>
      </x:c>
      <x:c r="X792" s="6" t="n">
        <x:v>16</x:v>
      </x:c>
      <x:c r="Y792" s="6" t="str">
        <x:v>Aston Martin Suspension Repair Dubai | DIGI-TEC</x:v>
      </x:c>
      <x:c r="Z792" s="6" t="str"/>
      <x:c r="AA792" s="6" t="str">
        <x:v>No / not compared</x:v>
      </x:c>
    </x:row>
    <x:row r="793" ht="42" customHeight="1">
      <x:c r="A793" s="6" t="str">
        <x:v>https://digitecme.com/brands/aston-martin-service-dubai/tire-repair</x:v>
      </x:c>
      <x:c r="B793" s="6" t="str"/>
      <x:c r="C793" s="6" t="str"/>
      <x:c r="D793" s="6" t="str">
        <x:v>brand-service</x:v>
      </x:c>
      <x:c r="E793" s="6" t="str">
        <x:v>Retain differentiated role</x:v>
      </x:c>
      <x:c r="F793" s="6" t="str">
        <x:v>Local source render; live version unverified</x:v>
      </x:c>
      <x:c r="G793" s="6" t="str">
        <x:v>Aston Martin Tyre Repair Dubai | DIGI-TEC</x:v>
      </x:c>
      <x:c r="H793" s="6" t="str">
        <x:v>Aston Martin Tyre Repair Dubai | DIGI-TEC</x:v>
      </x:c>
      <x:c r="I793" s="6" t="str">
        <x:v>Aston Martin Tyre Repair Dubai</x:v>
      </x:c>
      <x:c r="J793" s="6" t="str">
        <x:v>Aston Martin Tyre Repair Dubai</x:v>
      </x:c>
      <x:c r="K793" s="6" t="str">
        <x:v>Aston Martin tyre inspection in Al Quoz, Dubai. Discuss symptoms, inspection findings and a vehicle-specific estimate with DIGI-TEC.</x:v>
      </x:c>
      <x:c r="L793" s="6" t="str">
        <x:v>Retain pending evidence; no specific content edit justified by this export.</x:v>
      </x:c>
      <x:c r="M793" s="6" t="str">
        <x:v>Retain; inspect relevant context before adding links</x:v>
      </x:c>
      <x:c r="N793" s="6" t="str">
        <x:v>Unconfirmed — no query/page pairing</x:v>
      </x:c>
      <x:c r="O793" s="6" t="str">
        <x:v>Retain established booking / WhatsApp / call path; live behaviour untested</x:v>
      </x:c>
      <x:c r="P793" s="6" t="str">
        <x:v>Retain canonical and indexation policy pending a live check.</x:v>
      </x:c>
      <x:c r="Q793" s="6" t="str">
        <x:v>Proposed; no website change made</x:v>
      </x:c>
      <x:c r="R793" s="14" t="n">
        <x:v>0</x:v>
      </x:c>
      <x:c r="S793" s="14" t="n">
        <x:v>9</x:v>
      </x:c>
      <x:c r="T793" s="15" t="n">
        <x:v>0</x:v>
      </x:c>
      <x:c r="U793" s="16" t="n">
        <x:v>43.78</x:v>
      </x:c>
      <x:c r="V793" s="6" t="str">
        <x:v>https://digitecme.com/brands/aston-martin-service-dubai/tire-repair</x:v>
      </x:c>
      <x:c r="W793" s="6" t="str">
        <x:v>Indexable directive</x:v>
      </x:c>
      <x:c r="X793" s="6" t="n">
        <x:v>16</x:v>
      </x:c>
      <x:c r="Y793" s="6" t="str">
        <x:v>Aston Martin Tyre Repair Dubai | DIGI-TEC</x:v>
      </x:c>
      <x:c r="Z793" s="6" t="str"/>
      <x:c r="AA793" s="6" t="str">
        <x:v>No / not compared</x:v>
      </x:c>
    </x:row>
    <x:row r="794" ht="57" customHeight="1">
      <x:c r="A794" s="6" t="str">
        <x:v>https://digitecme.com/brands/aston-martin-service-dubai/transmission-repair</x:v>
      </x:c>
      <x:c r="B794" s="6" t="str">
        <x:v>aston martin transmission repair dubai</x:v>
      </x:c>
      <x:c r="C794" s="6" t="str">
        <x:v>aston-martin: Transmission and gearbox repair</x:v>
      </x:c>
      <x:c r="D794" s="6" t="str">
        <x:v>brand-service</x:v>
      </x:c>
      <x:c r="E794" s="6" t="str">
        <x:v>Primary owner for assigned intent</x:v>
      </x:c>
      <x:c r="F794" s="6" t="str">
        <x:v>Live HTML checked 9 Sep 2026</x:v>
      </x:c>
      <x:c r="G794" s="6" t="str">
        <x:v>Aston Martin Transmission Repair Dubai | DIGI-TEC</x:v>
      </x:c>
      <x:c r="H794" s="6" t="str">
        <x:v>Aston Martin Transmission Repair Dubai | DIGI-TEC</x:v>
      </x:c>
      <x:c r="I794" s="6" t="str">
        <x:v>Aston Martin Transmission Repair Dubai</x:v>
      </x:c>
      <x:c r="J794" s="6" t="str">
        <x:v>Aston Martin Transmission Repair Dubai</x:v>
      </x:c>
      <x:c r="K794" s="6" t="str">
        <x:v>Aston Martin transmission and gearbox services in Al Quoz, Dubai. Discuss symptoms, inspection findings and a vehicle-specific estimate with DIGI-TEC.</x:v>
      </x:c>
      <x:c r="L794" s="6" t="str">
        <x:v>Retain the already specific title, H1 and current model-aware copy. Add a clear service-specific enquiry label. Expand repair choices only with workshop evidence.</x:v>
      </x:c>
      <x:c r="M794" s="6" t="str">
        <x:v>Retain existing links</x:v>
      </x:c>
      <x:c r="N794" s="6" t="str">
        <x:v>Unconfirmed — no query/page pairing</x:v>
      </x:c>
      <x:c r="O794" s="6" t="str">
        <x:v>Request an Aston Martin Transmission Inspection</x:v>
      </x:c>
      <x:c r="P794" s="6" t="str">
        <x:v>Retain; verify against production before release</x:v>
      </x:c>
      <x:c r="Q794" s="6" t="str">
        <x:v>Proposed; no website change made</x:v>
      </x:c>
      <x:c r="R794" s="14" t="n">
        <x:v>0</x:v>
      </x:c>
      <x:c r="S794" s="14" t="n">
        <x:v>25</x:v>
      </x:c>
      <x:c r="T794" s="15" t="n">
        <x:v>0</x:v>
      </x:c>
      <x:c r="U794" s="16" t="n">
        <x:v>12.76</x:v>
      </x:c>
      <x:c r="V794" s="6" t="str">
        <x:v>https://digitecme.com/brands/aston-martin-service-dubai/transmission-repair</x:v>
      </x:c>
      <x:c r="W794" s="6" t="str">
        <x:v>Indexable directive</x:v>
      </x:c>
      <x:c r="X794" s="6" t="n">
        <x:v>17</x:v>
      </x:c>
      <x:c r="Y794" s="6" t="str">
        <x:v>Aston Martin Transmission Repair Dubai | DIGI-TEC</x:v>
      </x:c>
      <x:c r="Z794" s="6" t="str">
        <x:v>Aston Martin Transmission Repair Dubai | DIGI-TEC</x:v>
      </x:c>
      <x:c r="AA794" s="6" t="str">
        <x:v>No / not compared</x:v>
      </x:c>
    </x:row>
    <x:row r="795" ht="57" customHeight="1">
      <x:c r="A795" s="6" t="str">
        <x:v>https://digitecme.com/brands/audi-service-dubai</x:v>
      </x:c>
      <x:c r="B795" s="6" t="str">
        <x:v>audi specialist dubai</x:v>
      </x:c>
      <x:c r="C795" s="6" t="str">
        <x:v>audi: Service and repair (English)</x:v>
      </x:c>
      <x:c r="D795" s="6" t="str">
        <x:v>brand</x:v>
      </x:c>
      <x:c r="E795" s="6" t="str">
        <x:v>Primary owner for assigned intent</x:v>
      </x:c>
      <x:c r="F795" s="6" t="str">
        <x:v>Local source render; live version unverified</x:v>
      </x:c>
      <x:c r="G795" s="6" t="str">
        <x:v>Audi Service &amp; Repair Dubai | Independent Audi Workshop | DIGI-TEC</x:v>
      </x:c>
      <x:c r="H795" s="6" t="str">
        <x:v>Audi Service &amp; Repair Dubai | Independent Audi Workshop | DIGI-TEC</x:v>
      </x:c>
      <x:c r="I795" s="6" t="str">
        <x:v>Audi Service &amp; Repair Dubai</x:v>
      </x:c>
      <x:c r="J795" s="6" t="str">
        <x:v>Audi Service &amp; Repair Dubai</x:v>
      </x:c>
      <x:c r="K795" s="6" t="str">
        <x:v>Audi service, repair, diagnostics and maintenance in Al Quoz, Dubai. Discuss engine, transmission, brakes, AC, suspension and battery concerns with DIGI-TEC.</x:v>
      </x:c>
      <x:c r="L795" s="6" t="str">
        <x:v>Retain pending evidence; no specific content edit justified by this export.</x:v>
      </x:c>
      <x:c r="M795" s="6" t="str">
        <x:v>Retain; inspect relevant context before adding links</x:v>
      </x:c>
      <x:c r="N795" s="6" t="str">
        <x:v>Unconfirmed — no query/page pairing</x:v>
      </x:c>
      <x:c r="O795" s="6" t="str">
        <x:v>Retain established booking / WhatsApp / call path; live behaviour untested</x:v>
      </x:c>
      <x:c r="P795" s="6" t="str">
        <x:v>Retain canonical and indexation policy pending a live check.</x:v>
      </x:c>
      <x:c r="Q795" s="6" t="str">
        <x:v>Proposed; no website change made</x:v>
      </x:c>
      <x:c r="R795" s="14" t="n">
        <x:v>0</x:v>
      </x:c>
      <x:c r="S795" s="14" t="n">
        <x:v>543</x:v>
      </x:c>
      <x:c r="T795" s="15" t="n">
        <x:v>0</x:v>
      </x:c>
      <x:c r="U795" s="16" t="n">
        <x:v>25.62</x:v>
      </x:c>
      <x:c r="V795" s="6" t="str">
        <x:v>https://digitecme.com/brands/audi-service-dubai</x:v>
      </x:c>
      <x:c r="W795" s="6" t="str">
        <x:v>Indexable directive</x:v>
      </x:c>
      <x:c r="X795" s="6" t="n">
        <x:v>92</x:v>
      </x:c>
      <x:c r="Y795" s="6" t="str">
        <x:v>Audi Service &amp; Repair Dubai | Independent Audi Workshop | DIGI-TEC</x:v>
      </x:c>
      <x:c r="Z795" s="6" t="str"/>
      <x:c r="AA795" s="6" t="str">
        <x:v>No / not compared</x:v>
      </x:c>
    </x:row>
    <x:row r="796" ht="57" customHeight="1">
      <x:c r="A796" s="6" t="str">
        <x:v>https://digitecme.com/brands/audi-service-dubai/a4</x:v>
      </x:c>
      <x:c r="B796" s="6" t="str"/>
      <x:c r="C796" s="6" t="str"/>
      <x:c r="D796" s="6" t="str">
        <x:v>service</x:v>
      </x:c>
      <x:c r="E796" s="6" t="str">
        <x:v>Retain differentiated role</x:v>
      </x:c>
      <x:c r="F796" s="6" t="str">
        <x:v>Local source render; live version unverified</x:v>
      </x:c>
      <x:c r="G796" s="6" t="str">
        <x:v>Audi A4 Service &amp; Repair Dubai | Digi-Tec</x:v>
      </x:c>
      <x:c r="H796" s="6" t="str">
        <x:v>Audi A4 Service &amp; Repair Dubai | Digi-Tec</x:v>
      </x:c>
      <x:c r="I796" s="6" t="str">
        <x:v>Audi A4 Service &amp; Repair Dubai</x:v>
      </x:c>
      <x:c r="J796" s="6" t="str">
        <x:v>Audi A4 Service &amp; Repair Dubai</x:v>
      </x:c>
      <x:c r="K796" s="6" t="str">
        <x:v>Audi A4 service and repair in Dubai for B8 and B9 models: EA888 cooling and PCV checks, S tronic, quattro, suspension, AC, brakes and diagnostics.</x:v>
      </x:c>
      <x:c r="L796" s="6" t="str">
        <x:v>Retain pending evidence; no specific content edit justified by this export.</x:v>
      </x:c>
      <x:c r="M796" s="6" t="str">
        <x:v>Retain; inspect relevant context before adding links</x:v>
      </x:c>
      <x:c r="N796" s="6" t="str">
        <x:v>Unconfirmed — no query/page pairing</x:v>
      </x:c>
      <x:c r="O796" s="6" t="str">
        <x:v>Retain established booking / WhatsApp / call path; live behaviour untested</x:v>
      </x:c>
      <x:c r="P796" s="6" t="str">
        <x:v>Retain canonical and indexation policy pending a live check.</x:v>
      </x:c>
      <x:c r="Q796" s="6" t="str">
        <x:v>Proposed; no website change made</x:v>
      </x:c>
      <x:c r="R796" s="14"/>
      <x:c r="S796" s="14"/>
      <x:c r="T796" s="15"/>
      <x:c r="U796" s="16"/>
      <x:c r="V796" s="6" t="str">
        <x:v>https://digitecme.com/brands/audi-service-dubai/a4</x:v>
      </x:c>
      <x:c r="W796" s="6" t="str">
        <x:v>Indexable directive</x:v>
      </x:c>
      <x:c r="X796" s="6" t="n">
        <x:v>4</x:v>
      </x:c>
      <x:c r="Y796" s="6" t="str">
        <x:v>Audi A4 Service &amp; Repair Dubai | Digi-Tec</x:v>
      </x:c>
      <x:c r="Z796" s="6" t="str"/>
      <x:c r="AA796" s="6" t="str">
        <x:v>No / not compared</x:v>
      </x:c>
    </x:row>
    <x:row r="797" ht="57" customHeight="1">
      <x:c r="A797" s="6" t="str">
        <x:v>https://digitecme.com/brands/audi-service-dubai/a6</x:v>
      </x:c>
      <x:c r="B797" s="6" t="str"/>
      <x:c r="C797" s="6" t="str"/>
      <x:c r="D797" s="6" t="str">
        <x:v>service</x:v>
      </x:c>
      <x:c r="E797" s="6" t="str">
        <x:v>Retain differentiated role</x:v>
      </x:c>
      <x:c r="F797" s="6" t="str">
        <x:v>Local source render; live version unverified</x:v>
      </x:c>
      <x:c r="G797" s="6" t="str">
        <x:v>Audi A6 Service &amp; Repair Dubai | Digi-Tec</x:v>
      </x:c>
      <x:c r="H797" s="6" t="str">
        <x:v>Audi A6 Service &amp; Repair Dubai | Digi-Tec</x:v>
      </x:c>
      <x:c r="I797" s="6" t="str">
        <x:v>Audi A6 Service &amp; Repair Dubai</x:v>
      </x:c>
      <x:c r="J797" s="6" t="str">
        <x:v>Audi A6 Service &amp; Repair Dubai</x:v>
      </x:c>
      <x:c r="K797" s="6" t="str">
        <x:v>Audi A6 service and repair in Dubai for C7 and C8 models: EA888 or V6 systems, S tronic and quattro, 48-volt diagnostics, suspension, AC and cooling.</x:v>
      </x:c>
      <x:c r="L797" s="6" t="str">
        <x:v>Retain pending evidence; no specific content edit justified by this export.</x:v>
      </x:c>
      <x:c r="M797" s="6" t="str">
        <x:v>Retain; inspect relevant context before adding links</x:v>
      </x:c>
      <x:c r="N797" s="6" t="str">
        <x:v>Unconfirmed — no query/page pairing</x:v>
      </x:c>
      <x:c r="O797" s="6" t="str">
        <x:v>Retain established booking / WhatsApp / call path; live behaviour untested</x:v>
      </x:c>
      <x:c r="P797" s="6" t="str">
        <x:v>Retain canonical and indexation policy pending a live check.</x:v>
      </x:c>
      <x:c r="Q797" s="6" t="str">
        <x:v>Proposed; no website change made</x:v>
      </x:c>
      <x:c r="R797" s="14"/>
      <x:c r="S797" s="14"/>
      <x:c r="T797" s="15"/>
      <x:c r="U797" s="16"/>
      <x:c r="V797" s="6" t="str">
        <x:v>https://digitecme.com/brands/audi-service-dubai/a6</x:v>
      </x:c>
      <x:c r="W797" s="6" t="str">
        <x:v>Indexable directive</x:v>
      </x:c>
      <x:c r="X797" s="6" t="n">
        <x:v>4</x:v>
      </x:c>
      <x:c r="Y797" s="6" t="str">
        <x:v>Audi A6 Service &amp; Repair Dubai | Digi-Tec</x:v>
      </x:c>
      <x:c r="Z797" s="6" t="str"/>
      <x:c r="AA797" s="6" t="str">
        <x:v>No / not compared</x:v>
      </x:c>
    </x:row>
    <x:row r="798" ht="42" customHeight="1">
      <x:c r="A798" s="6" t="str">
        <x:v>https://digitecme.com/brands/audi-service-dubai/ac-repair</x:v>
      </x:c>
      <x:c r="B798" s="6" t="str"/>
      <x:c r="C798" s="6" t="str"/>
      <x:c r="D798" s="6" t="str">
        <x:v>brand-service</x:v>
      </x:c>
      <x:c r="E798" s="6" t="str">
        <x:v>Retain differentiated role</x:v>
      </x:c>
      <x:c r="F798" s="6" t="str">
        <x:v>Local source render; live version unverified</x:v>
      </x:c>
      <x:c r="G798" s="6" t="str">
        <x:v>Audi AC Repair Dubai | Digi-Tec</x:v>
      </x:c>
      <x:c r="H798" s="6" t="str">
        <x:v>Audi AC Repair Dubai | Digi-Tec</x:v>
      </x:c>
      <x:c r="I798" s="6" t="str">
        <x:v>Audi AC Repair Dubai</x:v>
      </x:c>
      <x:c r="J798" s="6" t="str">
        <x:v>Audi AC Repair Dubai</x:v>
      </x:c>
      <x:c r="K798" s="6" t="str">
        <x:v>Audi ac repair in Dubai with model-specific inspection, confirmed parts options and a clear quote at Digi-Tec, Al Quoz.</x:v>
      </x:c>
      <x:c r="L798" s="6" t="str">
        <x:v>Retain pending evidence; no specific content edit justified by this export.</x:v>
      </x:c>
      <x:c r="M798" s="6" t="str">
        <x:v>Retain; inspect relevant context before adding links</x:v>
      </x:c>
      <x:c r="N798" s="6" t="str">
        <x:v>Unconfirmed — no query/page pairing</x:v>
      </x:c>
      <x:c r="O798" s="6" t="str">
        <x:v>Retain established booking / WhatsApp / call path; live behaviour untested</x:v>
      </x:c>
      <x:c r="P798" s="6" t="str">
        <x:v>Retain canonical and indexation policy pending a live check.</x:v>
      </x:c>
      <x:c r="Q798" s="6" t="str">
        <x:v>Proposed; no website change made</x:v>
      </x:c>
      <x:c r="R798" s="14" t="n">
        <x:v>0</x:v>
      </x:c>
      <x:c r="S798" s="14" t="n">
        <x:v>27</x:v>
      </x:c>
      <x:c r="T798" s="15" t="n">
        <x:v>0</x:v>
      </x:c>
      <x:c r="U798" s="16" t="n">
        <x:v>27.3</x:v>
      </x:c>
      <x:c r="V798" s="6" t="str">
        <x:v>https://digitecme.com/brands/audi-service-dubai/ac-repair</x:v>
      </x:c>
      <x:c r="W798" s="6" t="str">
        <x:v>Indexable directive</x:v>
      </x:c>
      <x:c r="X798" s="6" t="n">
        <x:v>24</x:v>
      </x:c>
      <x:c r="Y798" s="6" t="str">
        <x:v>Audi AC Repair Dubai | Digi-Tec</x:v>
      </x:c>
      <x:c r="Z798" s="6" t="str"/>
      <x:c r="AA798" s="6" t="str">
        <x:v>No / not compared</x:v>
      </x:c>
    </x:row>
    <x:row r="799" ht="42" customHeight="1">
      <x:c r="A799" s="6" t="str">
        <x:v>https://digitecme.com/brands/audi-service-dubai/battery-replacement</x:v>
      </x:c>
      <x:c r="B799" s="6" t="str">
        <x:v>audi battery replacement dubai</x:v>
      </x:c>
      <x:c r="C799" s="6" t="str">
        <x:v>audi: Battery service</x:v>
      </x:c>
      <x:c r="D799" s="6" t="str">
        <x:v>brand-service</x:v>
      </x:c>
      <x:c r="E799" s="6" t="str">
        <x:v>Primary owner for assigned intent</x:v>
      </x:c>
      <x:c r="F799" s="6" t="str">
        <x:v>Local source render; live version unverified</x:v>
      </x:c>
      <x:c r="G799" s="6" t="str">
        <x:v>Audi Battery Replacement Dubai | Digi-Tec</x:v>
      </x:c>
      <x:c r="H799" s="6" t="str">
        <x:v>Audi Battery Replacement Dubai | Digi-Tec</x:v>
      </x:c>
      <x:c r="I799" s="6" t="str">
        <x:v>Audi Battery Replacement Dubai</x:v>
      </x:c>
      <x:c r="J799" s="6" t="str">
        <x:v>Audi Battery Replacement Dubai</x:v>
      </x:c>
      <x:c r="K799" s="6" t="str">
        <x:v>Audi battery replacement in Dubai with model-specific inspection, confirmed parts options and a clear quote at Digi-Tec, Al Quoz.</x:v>
      </x:c>
      <x:c r="L799" s="6" t="str">
        <x:v>Retain pending evidence; no specific content edit justified by this export.</x:v>
      </x:c>
      <x:c r="M799" s="6" t="str">
        <x:v>Retain; inspect relevant context before adding links</x:v>
      </x:c>
      <x:c r="N799" s="6" t="str">
        <x:v>Unconfirmed — no query/page pairing</x:v>
      </x:c>
      <x:c r="O799" s="6" t="str">
        <x:v>Retain established booking / WhatsApp / call path; live behaviour untested</x:v>
      </x:c>
      <x:c r="P799" s="6" t="str">
        <x:v>Retain canonical and indexation policy pending a live check.</x:v>
      </x:c>
      <x:c r="Q799" s="6" t="str">
        <x:v>Proposed; no website change made</x:v>
      </x:c>
      <x:c r="R799" s="14" t="n">
        <x:v>0</x:v>
      </x:c>
      <x:c r="S799" s="14" t="n">
        <x:v>73</x:v>
      </x:c>
      <x:c r="T799" s="15" t="n">
        <x:v>0</x:v>
      </x:c>
      <x:c r="U799" s="16" t="n">
        <x:v>19.12</x:v>
      </x:c>
      <x:c r="V799" s="6" t="str">
        <x:v>https://digitecme.com/brands/audi-service-dubai/battery-replacement</x:v>
      </x:c>
      <x:c r="W799" s="6" t="str">
        <x:v>Indexable directive</x:v>
      </x:c>
      <x:c r="X799" s="6" t="n">
        <x:v>16</x:v>
      </x:c>
      <x:c r="Y799" s="6" t="str">
        <x:v>Audi Battery Replacement Dubai | Digi-Tec</x:v>
      </x:c>
      <x:c r="Z799" s="6" t="str"/>
      <x:c r="AA799" s="6" t="str">
        <x:v>No / not compared</x:v>
      </x:c>
    </x:row>
    <x:row r="800" ht="42" customHeight="1">
      <x:c r="A800" s="6" t="str">
        <x:v>https://digitecme.com/brands/audi-service-dubai/body-repair</x:v>
      </x:c>
      <x:c r="B800" s="6" t="str">
        <x:v>audi body shop dubai</x:v>
      </x:c>
      <x:c r="C800" s="6" t="str">
        <x:v>audi: Body repair</x:v>
      </x:c>
      <x:c r="D800" s="6" t="str">
        <x:v>brand-service</x:v>
      </x:c>
      <x:c r="E800" s="6" t="str">
        <x:v>Primary owner for assigned intent</x:v>
      </x:c>
      <x:c r="F800" s="6" t="str">
        <x:v>Local source render; live version unverified</x:v>
      </x:c>
      <x:c r="G800" s="6" t="str">
        <x:v>Audi Body Repair Dubai | Digi-Tec</x:v>
      </x:c>
      <x:c r="H800" s="6" t="str">
        <x:v>Audi Body Repair Dubai | Digi-Tec</x:v>
      </x:c>
      <x:c r="I800" s="6" t="str">
        <x:v>Audi Body Repair Dubai</x:v>
      </x:c>
      <x:c r="J800" s="6" t="str">
        <x:v>Audi Body Repair Dubai</x:v>
      </x:c>
      <x:c r="K800" s="6" t="str">
        <x:v>Audi body repair in Dubai with model-specific inspection, confirmed parts options and a clear quote at Digi-Tec, Al Quoz.</x:v>
      </x:c>
      <x:c r="L800" s="6" t="str">
        <x:v>Retain pending evidence; no specific content edit justified by this export.</x:v>
      </x:c>
      <x:c r="M800" s="6" t="str">
        <x:v>Retain; inspect relevant context before adding links</x:v>
      </x:c>
      <x:c r="N800" s="6" t="str">
        <x:v>Unconfirmed — no query/page pairing</x:v>
      </x:c>
      <x:c r="O800" s="6" t="str">
        <x:v>Retain established booking / WhatsApp / call path; live behaviour untested</x:v>
      </x:c>
      <x:c r="P800" s="6" t="str">
        <x:v>Retain canonical and indexation policy pending a live check.</x:v>
      </x:c>
      <x:c r="Q800" s="6" t="str">
        <x:v>Proposed; no website change made</x:v>
      </x:c>
      <x:c r="R800" s="14" t="n">
        <x:v>0</x:v>
      </x:c>
      <x:c r="S800" s="14" t="n">
        <x:v>70</x:v>
      </x:c>
      <x:c r="T800" s="15" t="n">
        <x:v>0</x:v>
      </x:c>
      <x:c r="U800" s="16" t="n">
        <x:v>10.14</x:v>
      </x:c>
      <x:c r="V800" s="6" t="str">
        <x:v>https://digitecme.com/brands/audi-service-dubai/body-repair</x:v>
      </x:c>
      <x:c r="W800" s="6" t="str">
        <x:v>Indexable directive</x:v>
      </x:c>
      <x:c r="X800" s="6" t="n">
        <x:v>16</x:v>
      </x:c>
      <x:c r="Y800" s="6" t="str">
        <x:v>Audi Body Repair Dubai | Digi-Tec</x:v>
      </x:c>
      <x:c r="Z800" s="6" t="str"/>
      <x:c r="AA800" s="6" t="str">
        <x:v>No / not compared</x:v>
      </x:c>
    </x:row>
    <x:row r="801" ht="42" customHeight="1">
      <x:c r="A801" s="6" t="str">
        <x:v>https://digitecme.com/brands/audi-service-dubai/brake-repair</x:v>
      </x:c>
      <x:c r="B801" s="6" t="str">
        <x:v>audi brake repair dubai</x:v>
      </x:c>
      <x:c r="C801" s="6" t="str">
        <x:v>audi: Brake repair</x:v>
      </x:c>
      <x:c r="D801" s="6" t="str">
        <x:v>brand-service</x:v>
      </x:c>
      <x:c r="E801" s="6" t="str">
        <x:v>Primary owner for assigned intent</x:v>
      </x:c>
      <x:c r="F801" s="6" t="str">
        <x:v>Local source render; live version unverified</x:v>
      </x:c>
      <x:c r="G801" s="6" t="str">
        <x:v>Audi Brake Repair Dubai | Digi-Tec</x:v>
      </x:c>
      <x:c r="H801" s="6" t="str">
        <x:v>Audi Brake Repair Dubai | Digi-Tec</x:v>
      </x:c>
      <x:c r="I801" s="6" t="str">
        <x:v>Audi Brake Repair Dubai</x:v>
      </x:c>
      <x:c r="J801" s="6" t="str">
        <x:v>Audi Brake Repair Dubai</x:v>
      </x:c>
      <x:c r="K801" s="6" t="str">
        <x:v>Audi brake repair in Dubai with model-specific inspection, confirmed parts options and a clear quote at Digi-Tec, Al Quoz.</x:v>
      </x:c>
      <x:c r="L801" s="6" t="str">
        <x:v>Retain pending evidence; no specific content edit justified by this export.</x:v>
      </x:c>
      <x:c r="M801" s="6" t="str">
        <x:v>Retain; inspect relevant context before adding links</x:v>
      </x:c>
      <x:c r="N801" s="6" t="str">
        <x:v>Unconfirmed — no query/page pairing</x:v>
      </x:c>
      <x:c r="O801" s="6" t="str">
        <x:v>Retain established booking / WhatsApp / call path; live behaviour untested</x:v>
      </x:c>
      <x:c r="P801" s="6" t="str">
        <x:v>Retain canonical and indexation policy pending a live check.</x:v>
      </x:c>
      <x:c r="Q801" s="6" t="str">
        <x:v>Proposed; no website change made</x:v>
      </x:c>
      <x:c r="R801" s="14" t="n">
        <x:v>0</x:v>
      </x:c>
      <x:c r="S801" s="14" t="n">
        <x:v>11</x:v>
      </x:c>
      <x:c r="T801" s="15" t="n">
        <x:v>0</x:v>
      </x:c>
      <x:c r="U801" s="16" t="n">
        <x:v>34.73</x:v>
      </x:c>
      <x:c r="V801" s="6" t="str">
        <x:v>https://digitecme.com/brands/audi-service-dubai/brake-repair</x:v>
      </x:c>
      <x:c r="W801" s="6" t="str">
        <x:v>Indexable directive</x:v>
      </x:c>
      <x:c r="X801" s="6" t="n">
        <x:v>16</x:v>
      </x:c>
      <x:c r="Y801" s="6" t="str">
        <x:v>Audi Brake Repair Dubai | Digi-Tec</x:v>
      </x:c>
      <x:c r="Z801" s="6" t="str"/>
      <x:c r="AA801" s="6" t="str">
        <x:v>No / not compared</x:v>
      </x:c>
    </x:row>
    <x:row r="802" ht="42" customHeight="1">
      <x:c r="A802" s="6" t="str">
        <x:v>https://digitecme.com/brands/audi-service-dubai/electrical-repair</x:v>
      </x:c>
      <x:c r="B802" s="6" t="str"/>
      <x:c r="C802" s="6" t="str"/>
      <x:c r="D802" s="6" t="str">
        <x:v>brand-service</x:v>
      </x:c>
      <x:c r="E802" s="6" t="str">
        <x:v>Retain differentiated role</x:v>
      </x:c>
      <x:c r="F802" s="6" t="str">
        <x:v>Local source render; live version unverified</x:v>
      </x:c>
      <x:c r="G802" s="6" t="str">
        <x:v>Audi Electrical Repair Dubai | Digi-Tec</x:v>
      </x:c>
      <x:c r="H802" s="6" t="str">
        <x:v>Audi Electrical Repair Dubai | Digi-Tec</x:v>
      </x:c>
      <x:c r="I802" s="6" t="str">
        <x:v>Audi Electrical Repair Dubai</x:v>
      </x:c>
      <x:c r="J802" s="6" t="str">
        <x:v>Audi Electrical Repair Dubai</x:v>
      </x:c>
      <x:c r="K802" s="6" t="str">
        <x:v>Audi electrical repair in Dubai with model-specific inspection, confirmed parts options and a clear quote at Digi-Tec, Al Quoz.</x:v>
      </x:c>
      <x:c r="L802" s="6" t="str">
        <x:v>Retain pending evidence; no specific content edit justified by this export.</x:v>
      </x:c>
      <x:c r="M802" s="6" t="str">
        <x:v>Retain; inspect relevant context before adding links</x:v>
      </x:c>
      <x:c r="N802" s="6" t="str">
        <x:v>Unconfirmed — no query/page pairing</x:v>
      </x:c>
      <x:c r="O802" s="6" t="str">
        <x:v>Retain established booking / WhatsApp / call path; live behaviour untested</x:v>
      </x:c>
      <x:c r="P802" s="6" t="str">
        <x:v>Retain canonical and indexation policy pending a live check.</x:v>
      </x:c>
      <x:c r="Q802" s="6" t="str">
        <x:v>Proposed; no website change made</x:v>
      </x:c>
      <x:c r="R802" s="14"/>
      <x:c r="S802" s="14"/>
      <x:c r="T802" s="15"/>
      <x:c r="U802" s="16"/>
      <x:c r="V802" s="6" t="str">
        <x:v>https://digitecme.com/brands/audi-service-dubai/electrical-repair</x:v>
      </x:c>
      <x:c r="W802" s="6" t="str">
        <x:v>Indexable directive</x:v>
      </x:c>
      <x:c r="X802" s="6" t="n">
        <x:v>16</x:v>
      </x:c>
      <x:c r="Y802" s="6" t="str">
        <x:v>Audi Electrical Repair Dubai | Digi-Tec</x:v>
      </x:c>
      <x:c r="Z802" s="6" t="str"/>
      <x:c r="AA802" s="6" t="str">
        <x:v>No / not compared</x:v>
      </x:c>
    </x:row>
    <x:row r="803" ht="42" customHeight="1">
      <x:c r="A803" s="6" t="str">
        <x:v>https://digitecme.com/brands/audi-service-dubai/engine-diagnostics</x:v>
      </x:c>
      <x:c r="B803" s="6" t="str">
        <x:v>audi engine diagnostics</x:v>
      </x:c>
      <x:c r="C803" s="6" t="str">
        <x:v>audi: Diagnostics and supported coding</x:v>
      </x:c>
      <x:c r="D803" s="6" t="str">
        <x:v>brand-service</x:v>
      </x:c>
      <x:c r="E803" s="6" t="str">
        <x:v>Primary owner for assigned intent</x:v>
      </x:c>
      <x:c r="F803" s="6" t="str">
        <x:v>Local source render; live version unverified</x:v>
      </x:c>
      <x:c r="G803" s="6" t="str">
        <x:v>Audi Engine Diagnostics Dubai | Digi-Tec</x:v>
      </x:c>
      <x:c r="H803" s="6" t="str">
        <x:v>Audi Engine Diagnostics Dubai | Digi-Tec</x:v>
      </x:c>
      <x:c r="I803" s="6" t="str">
        <x:v>Audi Engine Diagnostics Dubai</x:v>
      </x:c>
      <x:c r="J803" s="6" t="str">
        <x:v>Audi Engine Diagnostics Dubai</x:v>
      </x:c>
      <x:c r="K803" s="6" t="str">
        <x:v>Audi engine diagnostics in Dubai with model-specific inspection, confirmed parts options and a clear quote at Digi-Tec, Al Quoz.</x:v>
      </x:c>
      <x:c r="L803" s="6" t="str">
        <x:v>Retain pending evidence; no specific content edit justified by this export.</x:v>
      </x:c>
      <x:c r="M803" s="6" t="str">
        <x:v>Retain; inspect relevant context before adding links</x:v>
      </x:c>
      <x:c r="N803" s="6" t="str">
        <x:v>Unconfirmed — no query/page pairing</x:v>
      </x:c>
      <x:c r="O803" s="6" t="str">
        <x:v>Retain established booking / WhatsApp / call path; live behaviour untested</x:v>
      </x:c>
      <x:c r="P803" s="6" t="str">
        <x:v>Retain canonical and indexation policy pending a live check.</x:v>
      </x:c>
      <x:c r="Q803" s="6" t="str">
        <x:v>Proposed; no website change made</x:v>
      </x:c>
      <x:c r="R803" s="14" t="n">
        <x:v>0</x:v>
      </x:c>
      <x:c r="S803" s="14" t="n">
        <x:v>24</x:v>
      </x:c>
      <x:c r="T803" s="15" t="n">
        <x:v>0</x:v>
      </x:c>
      <x:c r="U803" s="16" t="n">
        <x:v>23.21</x:v>
      </x:c>
      <x:c r="V803" s="6" t="str">
        <x:v>https://digitecme.com/brands/audi-service-dubai/engine-diagnostics</x:v>
      </x:c>
      <x:c r="W803" s="6" t="str">
        <x:v>Indexable directive</x:v>
      </x:c>
      <x:c r="X803" s="6" t="n">
        <x:v>24</x:v>
      </x:c>
      <x:c r="Y803" s="6" t="str">
        <x:v>Audi Engine Diagnostics Dubai | Digi-Tec</x:v>
      </x:c>
      <x:c r="Z803" s="6" t="str"/>
      <x:c r="AA803" s="6" t="str">
        <x:v>No / not compared</x:v>
      </x:c>
    </x:row>
    <x:row r="804" ht="42" customHeight="1">
      <x:c r="A804" s="6" t="str">
        <x:v>https://digitecme.com/brands/audi-service-dubai/exhaust-repair</x:v>
      </x:c>
      <x:c r="B804" s="6" t="str"/>
      <x:c r="C804" s="6" t="str"/>
      <x:c r="D804" s="6" t="str">
        <x:v>brand-service</x:v>
      </x:c>
      <x:c r="E804" s="6" t="str">
        <x:v>Retain differentiated role</x:v>
      </x:c>
      <x:c r="F804" s="6" t="str">
        <x:v>Local source render; live version unverified</x:v>
      </x:c>
      <x:c r="G804" s="6" t="str">
        <x:v>Audi Exhaust Repair Dubai | Digi-Tec</x:v>
      </x:c>
      <x:c r="H804" s="6" t="str">
        <x:v>Audi Exhaust Repair Dubai | Digi-Tec</x:v>
      </x:c>
      <x:c r="I804" s="6" t="str">
        <x:v>Audi Exhaust Repair Dubai</x:v>
      </x:c>
      <x:c r="J804" s="6" t="str">
        <x:v>Audi Exhaust Repair Dubai</x:v>
      </x:c>
      <x:c r="K804" s="6" t="str">
        <x:v>Audi exhaust repair in Dubai with model-specific inspection, confirmed parts options and a clear quote at Digi-Tec, Al Quoz.</x:v>
      </x:c>
      <x:c r="L804" s="6" t="str">
        <x:v>Retain pending evidence; no specific content edit justified by this export.</x:v>
      </x:c>
      <x:c r="M804" s="6" t="str">
        <x:v>Retain; inspect relevant context before adding links</x:v>
      </x:c>
      <x:c r="N804" s="6" t="str">
        <x:v>Unconfirmed — no query/page pairing</x:v>
      </x:c>
      <x:c r="O804" s="6" t="str">
        <x:v>Retain established booking / WhatsApp / call path; live behaviour untested</x:v>
      </x:c>
      <x:c r="P804" s="6" t="str">
        <x:v>Retain canonical and indexation policy pending a live check.</x:v>
      </x:c>
      <x:c r="Q804" s="6" t="str">
        <x:v>Proposed; no website change made</x:v>
      </x:c>
      <x:c r="R804" s="14"/>
      <x:c r="S804" s="14"/>
      <x:c r="T804" s="15"/>
      <x:c r="U804" s="16"/>
      <x:c r="V804" s="6" t="str">
        <x:v>https://digitecme.com/brands/audi-service-dubai/exhaust-repair</x:v>
      </x:c>
      <x:c r="W804" s="6" t="str">
        <x:v>Indexable directive</x:v>
      </x:c>
      <x:c r="X804" s="6" t="n">
        <x:v>16</x:v>
      </x:c>
      <x:c r="Y804" s="6" t="str">
        <x:v>Audi Exhaust Repair Dubai | Digi-Tec</x:v>
      </x:c>
      <x:c r="Z804" s="6" t="str"/>
      <x:c r="AA804" s="6" t="str">
        <x:v>No / not compared</x:v>
      </x:c>
    </x:row>
    <x:row r="805" ht="42" customHeight="1">
      <x:c r="A805" s="6" t="str">
        <x:v>https://digitecme.com/brands/audi-service-dubai/fuel-system-repair</x:v>
      </x:c>
      <x:c r="B805" s="6" t="str"/>
      <x:c r="C805" s="6" t="str"/>
      <x:c r="D805" s="6" t="str">
        <x:v>brand-service</x:v>
      </x:c>
      <x:c r="E805" s="6" t="str">
        <x:v>Retain differentiated role</x:v>
      </x:c>
      <x:c r="F805" s="6" t="str">
        <x:v>Local source render; live version unverified</x:v>
      </x:c>
      <x:c r="G805" s="6" t="str">
        <x:v>Audi Fuel System Repair Dubai | Digi-Tec</x:v>
      </x:c>
      <x:c r="H805" s="6" t="str">
        <x:v>Audi Fuel System Repair Dubai | Digi-Tec</x:v>
      </x:c>
      <x:c r="I805" s="6" t="str">
        <x:v>Audi Fuel System Repair Dubai</x:v>
      </x:c>
      <x:c r="J805" s="6" t="str">
        <x:v>Audi Fuel System Repair Dubai</x:v>
      </x:c>
      <x:c r="K805" s="6" t="str">
        <x:v>Audi fuel system repair in Dubai with model-specific inspection, confirmed parts options and a clear quote at Digi-Tec, Al Quoz.</x:v>
      </x:c>
      <x:c r="L805" s="6" t="str">
        <x:v>Retain pending evidence; no specific content edit justified by this export.</x:v>
      </x:c>
      <x:c r="M805" s="6" t="str">
        <x:v>Retain; inspect relevant context before adding links</x:v>
      </x:c>
      <x:c r="N805" s="6" t="str">
        <x:v>Unconfirmed — no query/page pairing</x:v>
      </x:c>
      <x:c r="O805" s="6" t="str">
        <x:v>Retain established booking / WhatsApp / call path; live behaviour untested</x:v>
      </x:c>
      <x:c r="P805" s="6" t="str">
        <x:v>Retain canonical and indexation policy pending a live check.</x:v>
      </x:c>
      <x:c r="Q805" s="6" t="str">
        <x:v>Proposed; no website change made</x:v>
      </x:c>
      <x:c r="R805" s="14"/>
      <x:c r="S805" s="14"/>
      <x:c r="T805" s="15"/>
      <x:c r="U805" s="16"/>
      <x:c r="V805" s="6" t="str">
        <x:v>https://digitecme.com/brands/audi-service-dubai/fuel-system-repair</x:v>
      </x:c>
      <x:c r="W805" s="6" t="str">
        <x:v>Indexable directive</x:v>
      </x:c>
      <x:c r="X805" s="6" t="n">
        <x:v>16</x:v>
      </x:c>
      <x:c r="Y805" s="6" t="str">
        <x:v>Audi Fuel System Repair Dubai | Digi-Tec</x:v>
      </x:c>
      <x:c r="Z805" s="6" t="str"/>
      <x:c r="AA805" s="6" t="str">
        <x:v>No / not compared</x:v>
      </x:c>
    </x:row>
    <x:row r="806" ht="42" customHeight="1">
      <x:c r="A806" s="6" t="str">
        <x:v>https://digitecme.com/brands/audi-service-dubai/mechanical-repair</x:v>
      </x:c>
      <x:c r="B806" s="6" t="str">
        <x:v>audi engine repair dubai</x:v>
      </x:c>
      <x:c r="C806" s="6" t="str">
        <x:v>audi: Engine and mechanical repair</x:v>
      </x:c>
      <x:c r="D806" s="6" t="str">
        <x:v>brand-service</x:v>
      </x:c>
      <x:c r="E806" s="6" t="str">
        <x:v>Primary owner for assigned intent</x:v>
      </x:c>
      <x:c r="F806" s="6" t="str">
        <x:v>Local source render; live version unverified</x:v>
      </x:c>
      <x:c r="G806" s="6" t="str">
        <x:v>Audi Mechanical Repair Dubai | Digi-Tec</x:v>
      </x:c>
      <x:c r="H806" s="6" t="str">
        <x:v>Audi Mechanical Repair Dubai | Digi-Tec</x:v>
      </x:c>
      <x:c r="I806" s="6" t="str">
        <x:v>Audi Mechanical Repair Dubai</x:v>
      </x:c>
      <x:c r="J806" s="6" t="str">
        <x:v>Audi Mechanical Repair Dubai</x:v>
      </x:c>
      <x:c r="K806" s="6" t="str">
        <x:v>Audi mechanical repair in Dubai with model-specific inspection, confirmed parts options and a clear quote at Digi-Tec, Al Quoz.</x:v>
      </x:c>
      <x:c r="L806" s="6" t="str">
        <x:v>Retain pending evidence; no specific content edit justified by this export.</x:v>
      </x:c>
      <x:c r="M806" s="6" t="str">
        <x:v>Retain; inspect relevant context before adding links</x:v>
      </x:c>
      <x:c r="N806" s="6" t="str">
        <x:v>Unconfirmed — no query/page pairing</x:v>
      </x:c>
      <x:c r="O806" s="6" t="str">
        <x:v>Retain established booking / WhatsApp / call path; live behaviour untested</x:v>
      </x:c>
      <x:c r="P806" s="6" t="str">
        <x:v>Retain canonical and indexation policy pending a live check.</x:v>
      </x:c>
      <x:c r="Q806" s="6" t="str">
        <x:v>Proposed; no website change made</x:v>
      </x:c>
      <x:c r="R806" s="14" t="n">
        <x:v>0</x:v>
      </x:c>
      <x:c r="S806" s="14" t="n">
        <x:v>7</x:v>
      </x:c>
      <x:c r="T806" s="15" t="n">
        <x:v>0</x:v>
      </x:c>
      <x:c r="U806" s="16" t="n">
        <x:v>18</x:v>
      </x:c>
      <x:c r="V806" s="6" t="str">
        <x:v>https://digitecme.com/brands/audi-service-dubai/mechanical-repair</x:v>
      </x:c>
      <x:c r="W806" s="6" t="str">
        <x:v>Indexable directive</x:v>
      </x:c>
      <x:c r="X806" s="6" t="n">
        <x:v>16</x:v>
      </x:c>
      <x:c r="Y806" s="6" t="str">
        <x:v>Audi Mechanical Repair Dubai | Digi-Tec</x:v>
      </x:c>
      <x:c r="Z806" s="6" t="str"/>
      <x:c r="AA806" s="6" t="str">
        <x:v>No / not compared</x:v>
      </x:c>
    </x:row>
    <x:row r="807" ht="42" customHeight="1">
      <x:c r="A807" s="6" t="str">
        <x:v>https://digitecme.com/brands/audi-service-dubai/oil-change</x:v>
      </x:c>
      <x:c r="B807" s="6" t="str">
        <x:v>audi oil change dubai</x:v>
      </x:c>
      <x:c r="C807" s="6" t="str">
        <x:v>audi: Oil change</x:v>
      </x:c>
      <x:c r="D807" s="6" t="str">
        <x:v>brand-service</x:v>
      </x:c>
      <x:c r="E807" s="6" t="str">
        <x:v>Primary owner for assigned intent</x:v>
      </x:c>
      <x:c r="F807" s="6" t="str">
        <x:v>Local source render; live version unverified</x:v>
      </x:c>
      <x:c r="G807" s="6" t="str">
        <x:v>Audi Oil Change Dubai | Digi-Tec</x:v>
      </x:c>
      <x:c r="H807" s="6" t="str">
        <x:v>Audi Oil Change Dubai | Digi-Tec</x:v>
      </x:c>
      <x:c r="I807" s="6" t="str">
        <x:v>Audi Oil Change Dubai</x:v>
      </x:c>
      <x:c r="J807" s="6" t="str">
        <x:v>Audi Oil Change Dubai</x:v>
      </x:c>
      <x:c r="K807" s="6" t="str">
        <x:v>Audi oil change in Dubai with model-specific inspection, confirmed parts options and a clear quote at Digi-Tec, Al Quoz.</x:v>
      </x:c>
      <x:c r="L807" s="6" t="str">
        <x:v>Retain pending evidence; no specific content edit justified by this export.</x:v>
      </x:c>
      <x:c r="M807" s="6" t="str">
        <x:v>Retain; inspect relevant context before adding links</x:v>
      </x:c>
      <x:c r="N807" s="6" t="str">
        <x:v>Unconfirmed — no query/page pairing</x:v>
      </x:c>
      <x:c r="O807" s="6" t="str">
        <x:v>Retain established booking / WhatsApp / call path; live behaviour untested</x:v>
      </x:c>
      <x:c r="P807" s="6" t="str">
        <x:v>Retain canonical and indexation policy pending a live check.</x:v>
      </x:c>
      <x:c r="Q807" s="6" t="str">
        <x:v>Proposed; no website change made</x:v>
      </x:c>
      <x:c r="R807" s="14" t="n">
        <x:v>0</x:v>
      </x:c>
      <x:c r="S807" s="14" t="n">
        <x:v>24</x:v>
      </x:c>
      <x:c r="T807" s="15" t="n">
        <x:v>0</x:v>
      </x:c>
      <x:c r="U807" s="16" t="n">
        <x:v>14.38</x:v>
      </x:c>
      <x:c r="V807" s="6" t="str">
        <x:v>https://digitecme.com/brands/audi-service-dubai/oil-change</x:v>
      </x:c>
      <x:c r="W807" s="6" t="str">
        <x:v>Indexable directive</x:v>
      </x:c>
      <x:c r="X807" s="6" t="n">
        <x:v>16</x:v>
      </x:c>
      <x:c r="Y807" s="6" t="str">
        <x:v>Audi Oil Change Dubai | Digi-Tec</x:v>
      </x:c>
      <x:c r="Z807" s="6" t="str"/>
      <x:c r="AA807" s="6" t="str">
        <x:v>No / not compared</x:v>
      </x:c>
    </x:row>
    <x:row r="808" ht="57" customHeight="1">
      <x:c r="A808" s="6" t="str">
        <x:v>https://digitecme.com/brands/audi-service-dubai/q5</x:v>
      </x:c>
      <x:c r="B808" s="6" t="str"/>
      <x:c r="C808" s="6" t="str"/>
      <x:c r="D808" s="6" t="str">
        <x:v>service</x:v>
      </x:c>
      <x:c r="E808" s="6" t="str">
        <x:v>Retain differentiated role</x:v>
      </x:c>
      <x:c r="F808" s="6" t="str">
        <x:v>Local source render; live version unverified</x:v>
      </x:c>
      <x:c r="G808" s="6" t="str">
        <x:v>Audi Q5 Service &amp; Repair Dubai | Digi-Tec</x:v>
      </x:c>
      <x:c r="H808" s="6" t="str">
        <x:v>Audi Q5 Service &amp; Repair Dubai | Digi-Tec</x:v>
      </x:c>
      <x:c r="I808" s="6" t="str">
        <x:v>Audi Q5 Service &amp; Repair Dubai</x:v>
      </x:c>
      <x:c r="J808" s="6" t="str">
        <x:v>Audi Q5 Service &amp; Repair Dubai</x:v>
      </x:c>
      <x:c r="K808" s="6" t="str">
        <x:v>Audi Q5 service and repair in Dubai for 8R and FY models: EA888 and V6 systems, S tronic or tiptronic, quattro, cooling, AC, suspension and diagnostics.</x:v>
      </x:c>
      <x:c r="L808" s="6" t="str">
        <x:v>Retain pending evidence; no specific content edit justified by this export.</x:v>
      </x:c>
      <x:c r="M808" s="6" t="str">
        <x:v>Retain; inspect relevant context before adding links</x:v>
      </x:c>
      <x:c r="N808" s="6" t="str">
        <x:v>Unconfirmed — no query/page pairing</x:v>
      </x:c>
      <x:c r="O808" s="6" t="str">
        <x:v>Retain established booking / WhatsApp / call path; live behaviour untested</x:v>
      </x:c>
      <x:c r="P808" s="6" t="str">
        <x:v>Retain canonical and indexation policy pending a live check.</x:v>
      </x:c>
      <x:c r="Q808" s="6" t="str">
        <x:v>Proposed; no website change made</x:v>
      </x:c>
      <x:c r="R808" s="14"/>
      <x:c r="S808" s="14"/>
      <x:c r="T808" s="15"/>
      <x:c r="U808" s="16"/>
      <x:c r="V808" s="6" t="str">
        <x:v>https://digitecme.com/brands/audi-service-dubai/q5</x:v>
      </x:c>
      <x:c r="W808" s="6" t="str">
        <x:v>Indexable directive</x:v>
      </x:c>
      <x:c r="X808" s="6" t="n">
        <x:v>5</x:v>
      </x:c>
      <x:c r="Y808" s="6" t="str">
        <x:v>Audi Q5 Service &amp; Repair Dubai | Digi-Tec</x:v>
      </x:c>
      <x:c r="Z808" s="6" t="str"/>
      <x:c r="AA808" s="6" t="str">
        <x:v>No / not compared</x:v>
      </x:c>
    </x:row>
    <x:row r="809" ht="57" customHeight="1">
      <x:c r="A809" s="6" t="str">
        <x:v>https://digitecme.com/brands/audi-service-dubai/q7</x:v>
      </x:c>
      <x:c r="B809" s="6" t="str"/>
      <x:c r="C809" s="6" t="str"/>
      <x:c r="D809" s="6" t="str">
        <x:v>service</x:v>
      </x:c>
      <x:c r="E809" s="6" t="str">
        <x:v>Retain differentiated role</x:v>
      </x:c>
      <x:c r="F809" s="6" t="str">
        <x:v>Local source render; live version unverified</x:v>
      </x:c>
      <x:c r="G809" s="6" t="str">
        <x:v>Audi Q7 Service &amp; Repair Dubai | Digi-Tec</x:v>
      </x:c>
      <x:c r="H809" s="6" t="str">
        <x:v>Audi Q7 Service &amp; Repair Dubai | Digi-Tec</x:v>
      </x:c>
      <x:c r="I809" s="6" t="str">
        <x:v>Audi Q7 Service &amp; Repair Dubai</x:v>
      </x:c>
      <x:c r="J809" s="6" t="str">
        <x:v>Audi Q7 Service &amp; Repair Dubai</x:v>
      </x:c>
      <x:c r="K809" s="6" t="str">
        <x:v>Audi Q7 service and repair in Dubai for 4M, 4L, TFSI and TDI variants: diagnostics, quattro driveline, air suspension, cooling, brakes and AC.</x:v>
      </x:c>
      <x:c r="L809" s="6" t="str">
        <x:v>Retain pending evidence; no specific content edit justified by this export.</x:v>
      </x:c>
      <x:c r="M809" s="6" t="str">
        <x:v>Retain; inspect relevant context before adding links</x:v>
      </x:c>
      <x:c r="N809" s="6" t="str">
        <x:v>Unconfirmed — no query/page pairing</x:v>
      </x:c>
      <x:c r="O809" s="6" t="str">
        <x:v>Retain established booking / WhatsApp / call path; live behaviour untested</x:v>
      </x:c>
      <x:c r="P809" s="6" t="str">
        <x:v>Retain canonical and indexation policy pending a live check.</x:v>
      </x:c>
      <x:c r="Q809" s="6" t="str">
        <x:v>Proposed; no website change made</x:v>
      </x:c>
      <x:c r="R809" s="14"/>
      <x:c r="S809" s="14"/>
      <x:c r="T809" s="15"/>
      <x:c r="U809" s="16"/>
      <x:c r="V809" s="6" t="str">
        <x:v>https://digitecme.com/brands/audi-service-dubai/q7</x:v>
      </x:c>
      <x:c r="W809" s="6" t="str">
        <x:v>Indexable directive</x:v>
      </x:c>
      <x:c r="X809" s="6" t="n">
        <x:v>5</x:v>
      </x:c>
      <x:c r="Y809" s="6" t="str">
        <x:v>Audi Q7 Service &amp; Repair Dubai | Digi-Tec</x:v>
      </x:c>
      <x:c r="Z809" s="6" t="str"/>
      <x:c r="AA809" s="6" t="str">
        <x:v>No / not compared</x:v>
      </x:c>
    </x:row>
    <x:row r="810" ht="57" customHeight="1">
      <x:c r="A810" s="6" t="str">
        <x:v>https://digitecme.com/brands/audi-service-dubai/q8</x:v>
      </x:c>
      <x:c r="B810" s="6" t="str"/>
      <x:c r="C810" s="6" t="str"/>
      <x:c r="D810" s="6" t="str">
        <x:v>service</x:v>
      </x:c>
      <x:c r="E810" s="6" t="str">
        <x:v>Retain differentiated role</x:v>
      </x:c>
      <x:c r="F810" s="6" t="str">
        <x:v>Local source render; live version unverified</x:v>
      </x:c>
      <x:c r="G810" s="6" t="str">
        <x:v>Audi Q8 Service &amp; Repair Dubai | Digi-Tec</x:v>
      </x:c>
      <x:c r="H810" s="6" t="str">
        <x:v>Audi Q8 Service &amp; Repair Dubai | Digi-Tec</x:v>
      </x:c>
      <x:c r="I810" s="6" t="str">
        <x:v>Audi Q8 Service &amp; Repair Dubai</x:v>
      </x:c>
      <x:c r="J810" s="6" t="str">
        <x:v>Audi Q8 Service &amp; Repair Dubai</x:v>
      </x:c>
      <x:c r="K810" s="6" t="str">
        <x:v>Audi Q8 service and repair in Dubai for 55 TFSI and performance variants, including 48-volt, quattro, air suspension, cooling, brakes, AC and diagnostics.</x:v>
      </x:c>
      <x:c r="L810" s="6" t="str">
        <x:v>Retain pending evidence; no specific content edit justified by this export.</x:v>
      </x:c>
      <x:c r="M810" s="6" t="str">
        <x:v>Retain; inspect relevant context before adding links</x:v>
      </x:c>
      <x:c r="N810" s="6" t="str">
        <x:v>Unconfirmed — no query/page pairing</x:v>
      </x:c>
      <x:c r="O810" s="6" t="str">
        <x:v>Retain established booking / WhatsApp / call path; live behaviour untested</x:v>
      </x:c>
      <x:c r="P810" s="6" t="str">
        <x:v>Retain canonical and indexation policy pending a live check.</x:v>
      </x:c>
      <x:c r="Q810" s="6" t="str">
        <x:v>Proposed; no website change made</x:v>
      </x:c>
      <x:c r="R810" s="14"/>
      <x:c r="S810" s="14"/>
      <x:c r="T810" s="15"/>
      <x:c r="U810" s="16"/>
      <x:c r="V810" s="6" t="str">
        <x:v>https://digitecme.com/brands/audi-service-dubai/q8</x:v>
      </x:c>
      <x:c r="W810" s="6" t="str">
        <x:v>Indexable directive</x:v>
      </x:c>
      <x:c r="X810" s="6" t="n">
        <x:v>5</x:v>
      </x:c>
      <x:c r="Y810" s="6" t="str">
        <x:v>Audi Q8 Service &amp; Repair Dubai | Digi-Tec</x:v>
      </x:c>
      <x:c r="Z810" s="6" t="str"/>
      <x:c r="AA810" s="6" t="str">
        <x:v>No / not compared</x:v>
      </x:c>
    </x:row>
    <x:row r="811" ht="57" customHeight="1">
      <x:c r="A811" s="6" t="str">
        <x:v>https://digitecme.com/brands/audi-service-dubai/r8</x:v>
      </x:c>
      <x:c r="B811" s="6" t="str"/>
      <x:c r="C811" s="6" t="str"/>
      <x:c r="D811" s="6" t="str">
        <x:v>service</x:v>
      </x:c>
      <x:c r="E811" s="6" t="str">
        <x:v>Retain differentiated role</x:v>
      </x:c>
      <x:c r="F811" s="6" t="str">
        <x:v>Local source render; live version unverified</x:v>
      </x:c>
      <x:c r="G811" s="6" t="str">
        <x:v>Audi R8 Service &amp; Repair Dubai | Digi-Tec</x:v>
      </x:c>
      <x:c r="H811" s="6" t="str">
        <x:v>Audi R8 Service &amp; Repair Dubai | Digi-Tec</x:v>
      </x:c>
      <x:c r="I811" s="6" t="str">
        <x:v>Audi R8 Service &amp; Repair Dubai</x:v>
      </x:c>
      <x:c r="J811" s="6" t="str">
        <x:v>Audi R8 Service &amp; Repair Dubai</x:v>
      </x:c>
      <x:c r="K811" s="6" t="str">
        <x:v>Audi R8 service and repair enquiries in Dubai for V8 and V10 generations: R tronic or S tronic, quattro, cooling, brakes, suspension and diagnostics.</x:v>
      </x:c>
      <x:c r="L811" s="6" t="str">
        <x:v>Retain pending evidence; no specific content edit justified by this export.</x:v>
      </x:c>
      <x:c r="M811" s="6" t="str">
        <x:v>Retain; inspect relevant context before adding links</x:v>
      </x:c>
      <x:c r="N811" s="6" t="str">
        <x:v>Unconfirmed — no query/page pairing</x:v>
      </x:c>
      <x:c r="O811" s="6" t="str">
        <x:v>Retain established booking / WhatsApp / call path; live behaviour untested</x:v>
      </x:c>
      <x:c r="P811" s="6" t="str">
        <x:v>Retain canonical and indexation policy pending a live check.</x:v>
      </x:c>
      <x:c r="Q811" s="6" t="str">
        <x:v>Proposed; no website change made</x:v>
      </x:c>
      <x:c r="R811" s="14"/>
      <x:c r="S811" s="14"/>
      <x:c r="T811" s="15"/>
      <x:c r="U811" s="16"/>
      <x:c r="V811" s="6" t="str">
        <x:v>https://digitecme.com/brands/audi-service-dubai/r8</x:v>
      </x:c>
      <x:c r="W811" s="6" t="str">
        <x:v>Indexable directive</x:v>
      </x:c>
      <x:c r="X811" s="6" t="n">
        <x:v>5</x:v>
      </x:c>
      <x:c r="Y811" s="6" t="str">
        <x:v>Audi R8 Service &amp; Repair Dubai | Digi-Tec</x:v>
      </x:c>
      <x:c r="Z811" s="6" t="str"/>
      <x:c r="AA811" s="6" t="str">
        <x:v>No / not compared</x:v>
      </x:c>
    </x:row>
    <x:row r="812" ht="42" customHeight="1">
      <x:c r="A812" s="6" t="str">
        <x:v>https://digitecme.com/brands/audi-service-dubai/rs3</x:v>
      </x:c>
      <x:c r="B812" s="6" t="str"/>
      <x:c r="C812" s="6" t="str"/>
      <x:c r="D812" s="6" t="str">
        <x:v>service</x:v>
      </x:c>
      <x:c r="E812" s="6" t="str">
        <x:v>Retain differentiated role</x:v>
      </x:c>
      <x:c r="F812" s="6" t="str">
        <x:v>Local source render; live version unverified</x:v>
      </x:c>
      <x:c r="G812" s="6" t="str">
        <x:v>Audi RS3 Service &amp; Repair Dubai | Digi-Tec</x:v>
      </x:c>
      <x:c r="H812" s="6" t="str">
        <x:v>Audi RS3 Service &amp; Repair Dubai | Digi-Tec</x:v>
      </x:c>
      <x:c r="I812" s="6" t="str">
        <x:v>Audi RS3 Service &amp; Repair Dubai</x:v>
      </x:c>
      <x:c r="J812" s="6" t="str">
        <x:v>Audi RS3 Service &amp; Repair Dubai</x:v>
      </x:c>
      <x:c r="K812" s="6" t="str">
        <x:v>Audi RS3 service and repair in Dubai for 8V and 8Y: 2.5 TFSI, S tronic, quattro system, cooling, brakes, suspension and diagnostics.</x:v>
      </x:c>
      <x:c r="L812" s="6" t="str">
        <x:v>Retain pending evidence; no specific content edit justified by this export.</x:v>
      </x:c>
      <x:c r="M812" s="6" t="str">
        <x:v>Retain; inspect relevant context before adding links</x:v>
      </x:c>
      <x:c r="N812" s="6" t="str">
        <x:v>Unconfirmed — no query/page pairing</x:v>
      </x:c>
      <x:c r="O812" s="6" t="str">
        <x:v>Retain established booking / WhatsApp / call path; live behaviour untested</x:v>
      </x:c>
      <x:c r="P812" s="6" t="str">
        <x:v>Retain canonical and indexation policy pending a live check.</x:v>
      </x:c>
      <x:c r="Q812" s="6" t="str">
        <x:v>Proposed; no website change made</x:v>
      </x:c>
      <x:c r="R812" s="14"/>
      <x:c r="S812" s="14"/>
      <x:c r="T812" s="15"/>
      <x:c r="U812" s="16"/>
      <x:c r="V812" s="6" t="str">
        <x:v>https://digitecme.com/brands/audi-service-dubai/rs3</x:v>
      </x:c>
      <x:c r="W812" s="6" t="str">
        <x:v>Indexable directive</x:v>
      </x:c>
      <x:c r="X812" s="6" t="n">
        <x:v>5</x:v>
      </x:c>
      <x:c r="Y812" s="6" t="str">
        <x:v>Audi RS3 Service &amp; Repair Dubai | Digi-Tec</x:v>
      </x:c>
      <x:c r="Z812" s="6" t="str"/>
      <x:c r="AA812" s="6" t="str">
        <x:v>No / not compared</x:v>
      </x:c>
    </x:row>
    <x:row r="813" ht="57" customHeight="1">
      <x:c r="A813" s="6" t="str">
        <x:v>https://digitecme.com/brands/audi-service-dubai/rs6</x:v>
      </x:c>
      <x:c r="B813" s="6" t="str"/>
      <x:c r="C813" s="6" t="str"/>
      <x:c r="D813" s="6" t="str">
        <x:v>service</x:v>
      </x:c>
      <x:c r="E813" s="6" t="str">
        <x:v>Retain differentiated role</x:v>
      </x:c>
      <x:c r="F813" s="6" t="str">
        <x:v>Local source render; live version unverified</x:v>
      </x:c>
      <x:c r="G813" s="6" t="str">
        <x:v>Audi RS6 Service &amp; Repair Dubai | Digi-Tec</x:v>
      </x:c>
      <x:c r="H813" s="6" t="str">
        <x:v>Audi RS6 Service &amp; Repair Dubai | Digi-Tec</x:v>
      </x:c>
      <x:c r="I813" s="6" t="str">
        <x:v>Audi RS6 Service &amp; Repair Dubai</x:v>
      </x:c>
      <x:c r="J813" s="6" t="str">
        <x:v>Audi RS6 Service &amp; Repair Dubai</x:v>
      </x:c>
      <x:c r="K813" s="6" t="str">
        <x:v>Audi RS6 service and repair in Dubai for C7 and C8: 4.0 TFSI, tiptronic, quattro, dynamic ride or air suspension, cooling, brakes and diagnostics.</x:v>
      </x:c>
      <x:c r="L813" s="6" t="str">
        <x:v>Retain pending evidence; no specific content edit justified by this export.</x:v>
      </x:c>
      <x:c r="M813" s="6" t="str">
        <x:v>Retain; inspect relevant context before adding links</x:v>
      </x:c>
      <x:c r="N813" s="6" t="str">
        <x:v>Unconfirmed — no query/page pairing</x:v>
      </x:c>
      <x:c r="O813" s="6" t="str">
        <x:v>Retain established booking / WhatsApp / call path; live behaviour untested</x:v>
      </x:c>
      <x:c r="P813" s="6" t="str">
        <x:v>Retain canonical and indexation policy pending a live check.</x:v>
      </x:c>
      <x:c r="Q813" s="6" t="str">
        <x:v>Proposed; no website change made</x:v>
      </x:c>
      <x:c r="R813" s="14"/>
      <x:c r="S813" s="14"/>
      <x:c r="T813" s="15"/>
      <x:c r="U813" s="16"/>
      <x:c r="V813" s="6" t="str">
        <x:v>https://digitecme.com/brands/audi-service-dubai/rs6</x:v>
      </x:c>
      <x:c r="W813" s="6" t="str">
        <x:v>Indexable directive</x:v>
      </x:c>
      <x:c r="X813" s="6" t="n">
        <x:v>5</x:v>
      </x:c>
      <x:c r="Y813" s="6" t="str">
        <x:v>Audi RS6 Service &amp; Repair Dubai | Digi-Tec</x:v>
      </x:c>
      <x:c r="Z813" s="6" t="str"/>
      <x:c r="AA813" s="6" t="str">
        <x:v>No / not compared</x:v>
      </x:c>
    </x:row>
    <x:row r="814" ht="42" customHeight="1">
      <x:c r="A814" s="6" t="str">
        <x:v>https://digitecme.com/brands/audi-service-dubai/steering-repair</x:v>
      </x:c>
      <x:c r="B814" s="6" t="str"/>
      <x:c r="C814" s="6" t="str"/>
      <x:c r="D814" s="6" t="str">
        <x:v>brand-service</x:v>
      </x:c>
      <x:c r="E814" s="6" t="str">
        <x:v>Retain differentiated role</x:v>
      </x:c>
      <x:c r="F814" s="6" t="str">
        <x:v>Local source render; live version unverified</x:v>
      </x:c>
      <x:c r="G814" s="6" t="str">
        <x:v>Audi Steering Repair Dubai | Digi-Tec</x:v>
      </x:c>
      <x:c r="H814" s="6" t="str">
        <x:v>Audi Steering Repair Dubai | Digi-Tec</x:v>
      </x:c>
      <x:c r="I814" s="6" t="str">
        <x:v>Audi Steering Repair Dubai</x:v>
      </x:c>
      <x:c r="J814" s="6" t="str">
        <x:v>Audi Steering Repair Dubai</x:v>
      </x:c>
      <x:c r="K814" s="6" t="str">
        <x:v>Audi steering repair in Dubai with model-specific inspection, confirmed parts options and a clear quote at Digi-Tec, Al Quoz.</x:v>
      </x:c>
      <x:c r="L814" s="6" t="str">
        <x:v>Retain pending evidence; no specific content edit justified by this export.</x:v>
      </x:c>
      <x:c r="M814" s="6" t="str">
        <x:v>Retain; inspect relevant context before adding links</x:v>
      </x:c>
      <x:c r="N814" s="6" t="str">
        <x:v>Unconfirmed — no query/page pairing</x:v>
      </x:c>
      <x:c r="O814" s="6" t="str">
        <x:v>Retain established booking / WhatsApp / call path; live behaviour untested</x:v>
      </x:c>
      <x:c r="P814" s="6" t="str">
        <x:v>Retain canonical and indexation policy pending a live check.</x:v>
      </x:c>
      <x:c r="Q814" s="6" t="str">
        <x:v>Proposed; no website change made</x:v>
      </x:c>
      <x:c r="R814" s="14" t="n">
        <x:v>0</x:v>
      </x:c>
      <x:c r="S814" s="14" t="n">
        <x:v>1</x:v>
      </x:c>
      <x:c r="T814" s="15" t="n">
        <x:v>0</x:v>
      </x:c>
      <x:c r="U814" s="16" t="n">
        <x:v>12</x:v>
      </x:c>
      <x:c r="V814" s="6" t="str">
        <x:v>https://digitecme.com/brands/audi-service-dubai/steering-repair</x:v>
      </x:c>
      <x:c r="W814" s="6" t="str">
        <x:v>Indexable directive</x:v>
      </x:c>
      <x:c r="X814" s="6" t="n">
        <x:v>16</x:v>
      </x:c>
      <x:c r="Y814" s="6" t="str">
        <x:v>Audi Steering Repair Dubai | Digi-Tec</x:v>
      </x:c>
      <x:c r="Z814" s="6" t="str"/>
      <x:c r="AA814" s="6" t="str">
        <x:v>No / not compared</x:v>
      </x:c>
    </x:row>
    <x:row r="815" ht="42" customHeight="1">
      <x:c r="A815" s="6" t="str">
        <x:v>https://digitecme.com/brands/audi-service-dubai/suspension-repair</x:v>
      </x:c>
      <x:c r="B815" s="6" t="str">
        <x:v>audi suspension repair dubai</x:v>
      </x:c>
      <x:c r="C815" s="6" t="str">
        <x:v>audi: Suspension repair</x:v>
      </x:c>
      <x:c r="D815" s="6" t="str">
        <x:v>brand-service</x:v>
      </x:c>
      <x:c r="E815" s="6" t="str">
        <x:v>Primary owner for assigned intent</x:v>
      </x:c>
      <x:c r="F815" s="6" t="str">
        <x:v>Local source render; live version unverified</x:v>
      </x:c>
      <x:c r="G815" s="6" t="str">
        <x:v>Audi Suspension Repair Dubai | Digi-Tec</x:v>
      </x:c>
      <x:c r="H815" s="6" t="str">
        <x:v>Audi Suspension Repair Dubai | Digi-Tec</x:v>
      </x:c>
      <x:c r="I815" s="6" t="str">
        <x:v>Audi Suspension Repair Dubai</x:v>
      </x:c>
      <x:c r="J815" s="6" t="str">
        <x:v>Audi Suspension Repair Dubai</x:v>
      </x:c>
      <x:c r="K815" s="6" t="str">
        <x:v>Audi suspension repair in Dubai with model-specific inspection, confirmed parts options and a clear quote at Digi-Tec, Al Quoz.</x:v>
      </x:c>
      <x:c r="L815" s="6" t="str">
        <x:v>Retain pending evidence; no specific content edit justified by this export.</x:v>
      </x:c>
      <x:c r="M815" s="6" t="str">
        <x:v>Retain; inspect relevant context before adding links</x:v>
      </x:c>
      <x:c r="N815" s="6" t="str">
        <x:v>Unconfirmed — no query/page pairing</x:v>
      </x:c>
      <x:c r="O815" s="6" t="str">
        <x:v>Retain established booking / WhatsApp / call path; live behaviour untested</x:v>
      </x:c>
      <x:c r="P815" s="6" t="str">
        <x:v>Retain canonical and indexation policy pending a live check.</x:v>
      </x:c>
      <x:c r="Q815" s="6" t="str">
        <x:v>Proposed; no website change made</x:v>
      </x:c>
      <x:c r="R815" s="14"/>
      <x:c r="S815" s="14"/>
      <x:c r="T815" s="15"/>
      <x:c r="U815" s="16"/>
      <x:c r="V815" s="6" t="str">
        <x:v>https://digitecme.com/brands/audi-service-dubai/suspension-repair</x:v>
      </x:c>
      <x:c r="W815" s="6" t="str">
        <x:v>Indexable directive</x:v>
      </x:c>
      <x:c r="X815" s="6" t="n">
        <x:v>24</x:v>
      </x:c>
      <x:c r="Y815" s="6" t="str">
        <x:v>Audi Suspension Repair Dubai | Digi-Tec</x:v>
      </x:c>
      <x:c r="Z815" s="6" t="str"/>
      <x:c r="AA815" s="6" t="str">
        <x:v>No / not compared</x:v>
      </x:c>
    </x:row>
    <x:row r="816" ht="42" customHeight="1">
      <x:c r="A816" s="6" t="str">
        <x:v>https://digitecme.com/brands/audi-service-dubai/tire-repair</x:v>
      </x:c>
      <x:c r="B816" s="6" t="str"/>
      <x:c r="C816" s="6" t="str"/>
      <x:c r="D816" s="6" t="str">
        <x:v>brand-service</x:v>
      </x:c>
      <x:c r="E816" s="6" t="str">
        <x:v>Retain differentiated role</x:v>
      </x:c>
      <x:c r="F816" s="6" t="str">
        <x:v>Local source render; live version unverified</x:v>
      </x:c>
      <x:c r="G816" s="6" t="str">
        <x:v>Audi Tyre Repair Dubai | Digi-Tec</x:v>
      </x:c>
      <x:c r="H816" s="6" t="str">
        <x:v>Audi Tyre Repair Dubai | Digi-Tec</x:v>
      </x:c>
      <x:c r="I816" s="6" t="str">
        <x:v>Audi Tyre Repair Dubai</x:v>
      </x:c>
      <x:c r="J816" s="6" t="str">
        <x:v>Audi Tyre Repair Dubai</x:v>
      </x:c>
      <x:c r="K816" s="6" t="str">
        <x:v>Audi tyre repair in Dubai with model-specific inspection, confirmed parts options and a clear quote at Digi-Tec, Al Quoz.</x:v>
      </x:c>
      <x:c r="L816" s="6" t="str">
        <x:v>Retain pending evidence; no specific content edit justified by this export.</x:v>
      </x:c>
      <x:c r="M816" s="6" t="str">
        <x:v>Retain; inspect relevant context before adding links</x:v>
      </x:c>
      <x:c r="N816" s="6" t="str">
        <x:v>Unconfirmed — no query/page pairing</x:v>
      </x:c>
      <x:c r="O816" s="6" t="str">
        <x:v>Retain established booking / WhatsApp / call path; live behaviour untested</x:v>
      </x:c>
      <x:c r="P816" s="6" t="str">
        <x:v>Retain canonical and indexation policy pending a live check.</x:v>
      </x:c>
      <x:c r="Q816" s="6" t="str">
        <x:v>Proposed; no website change made</x:v>
      </x:c>
      <x:c r="R816" s="14" t="n">
        <x:v>0</x:v>
      </x:c>
      <x:c r="S816" s="14" t="n">
        <x:v>3</x:v>
      </x:c>
      <x:c r="T816" s="15" t="n">
        <x:v>0</x:v>
      </x:c>
      <x:c r="U816" s="16" t="n">
        <x:v>7.33</x:v>
      </x:c>
      <x:c r="V816" s="6" t="str">
        <x:v>https://digitecme.com/brands/audi-service-dubai/tire-repair</x:v>
      </x:c>
      <x:c r="W816" s="6" t="str">
        <x:v>Indexable directive</x:v>
      </x:c>
      <x:c r="X816" s="6" t="n">
        <x:v>16</x:v>
      </x:c>
      <x:c r="Y816" s="6" t="str">
        <x:v>Audi Tyre Repair Dubai | Digi-Tec</x:v>
      </x:c>
      <x:c r="Z816" s="6" t="str"/>
      <x:c r="AA816" s="6" t="str">
        <x:v>No / not compared</x:v>
      </x:c>
    </x:row>
    <x:row r="817" ht="42" customHeight="1">
      <x:c r="A817" s="6" t="str">
        <x:v>https://digitecme.com/brands/audi-service-dubai/transmission-repair</x:v>
      </x:c>
      <x:c r="B817" s="6" t="str">
        <x:v>audi transmission repair dubai</x:v>
      </x:c>
      <x:c r="C817" s="6" t="str">
        <x:v>audi: Transmission and gearbox repair; audi: Transmission and gearbox repair (outside Dubai)</x:v>
      </x:c>
      <x:c r="D817" s="6" t="str">
        <x:v>brand-service</x:v>
      </x:c>
      <x:c r="E817" s="6" t="str">
        <x:v>Primary owner for assigned intent</x:v>
      </x:c>
      <x:c r="F817" s="6" t="str">
        <x:v>Local source render; live version unverified</x:v>
      </x:c>
      <x:c r="G817" s="6" t="str">
        <x:v>Audi Transmission Repair Dubai | Digi-Tec</x:v>
      </x:c>
      <x:c r="H817" s="6" t="str">
        <x:v>Audi Transmission Repair Dubai | Digi-Tec</x:v>
      </x:c>
      <x:c r="I817" s="6" t="str">
        <x:v>Audi Transmission Repair Dubai</x:v>
      </x:c>
      <x:c r="J817" s="6" t="str">
        <x:v>Audi Transmission Repair Dubai</x:v>
      </x:c>
      <x:c r="K817" s="6" t="str">
        <x:v>Audi transmission repair in Dubai with model-specific inspection, confirmed parts options and a clear quote at Digi-Tec, Al Quoz.</x:v>
      </x:c>
      <x:c r="L817" s="6" t="str">
        <x:v>Retain pending evidence; no specific content edit justified by this export.</x:v>
      </x:c>
      <x:c r="M817" s="6" t="str">
        <x:v>Retain; inspect relevant context before adding links</x:v>
      </x:c>
      <x:c r="N817" s="6" t="str">
        <x:v>Unconfirmed — no query/page pairing</x:v>
      </x:c>
      <x:c r="O817" s="6" t="str">
        <x:v>Retain established booking / WhatsApp / call path; live behaviour untested</x:v>
      </x:c>
      <x:c r="P817" s="6" t="str">
        <x:v>Retain canonical and indexation policy pending a live check.</x:v>
      </x:c>
      <x:c r="Q817" s="6" t="str">
        <x:v>Proposed; no website change made</x:v>
      </x:c>
      <x:c r="R817" s="14" t="n">
        <x:v>0</x:v>
      </x:c>
      <x:c r="S817" s="14" t="n">
        <x:v>88</x:v>
      </x:c>
      <x:c r="T817" s="15" t="n">
        <x:v>0</x:v>
      </x:c>
      <x:c r="U817" s="16" t="n">
        <x:v>46.94</x:v>
      </x:c>
      <x:c r="V817" s="6" t="str">
        <x:v>https://digitecme.com/brands/audi-service-dubai/transmission-repair</x:v>
      </x:c>
      <x:c r="W817" s="6" t="str">
        <x:v>Indexable directive</x:v>
      </x:c>
      <x:c r="X817" s="6" t="n">
        <x:v>24</x:v>
      </x:c>
      <x:c r="Y817" s="6" t="str">
        <x:v>Audi Transmission Repair Dubai | Digi-Tec</x:v>
      </x:c>
      <x:c r="Z817" s="6" t="str"/>
      <x:c r="AA817" s="6" t="str">
        <x:v>No / not compared</x:v>
      </x:c>
    </x:row>
    <x:row r="818" ht="57" customHeight="1">
      <x:c r="A818" s="6" t="str">
        <x:v>https://digitecme.com/brands/bentley-service-dubai</x:v>
      </x:c>
      <x:c r="B818" s="6" t="str">
        <x:v>bentley service dubai</x:v>
      </x:c>
      <x:c r="C818" s="6" t="str">
        <x:v>bentley: Service and repair (English)</x:v>
      </x:c>
      <x:c r="D818" s="6" t="str">
        <x:v>brand</x:v>
      </x:c>
      <x:c r="E818" s="6" t="str">
        <x:v>Primary owner for assigned intent</x:v>
      </x:c>
      <x:c r="F818" s="6" t="str">
        <x:v>Local source render; live version unverified</x:v>
      </x:c>
      <x:c r="G818" s="6" t="str">
        <x:v>Bentley Service &amp; Repair Dubai | Independent Workshop | DIGI-TEC</x:v>
      </x:c>
      <x:c r="H818" s="6" t="str">
        <x:v>Bentley Service &amp; Repair Dubai | Independent Workshop | DIGI-TEC</x:v>
      </x:c>
      <x:c r="I818" s="6" t="str">
        <x:v>Bentley Service &amp; Repair Dubai</x:v>
      </x:c>
      <x:c r="J818" s="6" t="str">
        <x:v>Bentley Service &amp; Repair Dubai</x:v>
      </x:c>
      <x:c r="K818" s="6" t="str">
        <x:v>Independent Bentley service, repair, diagnostics and maintenance in Al Quoz, Dubai. Contact DIGI-TEC for a vehicle-specific inspection and estimate.</x:v>
      </x:c>
      <x:c r="L818" s="6" t="str">
        <x:v>Retain pending evidence; no specific content edit justified by this export.</x:v>
      </x:c>
      <x:c r="M818" s="6" t="str">
        <x:v>Retain; inspect relevant context before adding links</x:v>
      </x:c>
      <x:c r="N818" s="6" t="str">
        <x:v>Unconfirmed — no query/page pairing</x:v>
      </x:c>
      <x:c r="O818" s="6" t="str">
        <x:v>Retain established booking / WhatsApp / call path; live behaviour untested</x:v>
      </x:c>
      <x:c r="P818" s="6" t="str">
        <x:v>Retain canonical and indexation policy pending a live check.</x:v>
      </x:c>
      <x:c r="Q818" s="6" t="str">
        <x:v>Proposed; no website change made</x:v>
      </x:c>
      <x:c r="R818" s="14" t="n">
        <x:v>0</x:v>
      </x:c>
      <x:c r="S818" s="14" t="n">
        <x:v>816</x:v>
      </x:c>
      <x:c r="T818" s="15" t="n">
        <x:v>0</x:v>
      </x:c>
      <x:c r="U818" s="16" t="n">
        <x:v>50.44</x:v>
      </x:c>
      <x:c r="V818" s="6" t="str">
        <x:v>https://digitecme.com/brands/bentley-service-dubai</x:v>
      </x:c>
      <x:c r="W818" s="6" t="str">
        <x:v>Indexable directive</x:v>
      </x:c>
      <x:c r="X818" s="6" t="n">
        <x:v>84</x:v>
      </x:c>
      <x:c r="Y818" s="6" t="str">
        <x:v>Bentley Service &amp; Repair Dubai | Independent Workshop | DIGI-TEC</x:v>
      </x:c>
      <x:c r="Z818" s="6" t="str"/>
      <x:c r="AA818" s="6" t="str">
        <x:v>No / not compared</x:v>
      </x:c>
    </x:row>
    <x:row r="819" ht="57" customHeight="1">
      <x:c r="A819" s="6" t="str">
        <x:v>https://digitecme.com/brands/bentley-service-dubai/ac-repair</x:v>
      </x:c>
      <x:c r="B819" s="6" t="str"/>
      <x:c r="C819" s="6" t="str"/>
      <x:c r="D819" s="6" t="str">
        <x:v>brand-service</x:v>
      </x:c>
      <x:c r="E819" s="6" t="str">
        <x:v>Retain differentiated role</x:v>
      </x:c>
      <x:c r="F819" s="6" t="str">
        <x:v>Local source render; live version unverified</x:v>
      </x:c>
      <x:c r="G819" s="6" t="str">
        <x:v>Bentley AC Repair Dubai | DIGI-TEC</x:v>
      </x:c>
      <x:c r="H819" s="6" t="str">
        <x:v>Bentley AC Repair Dubai | DIGI-TEC</x:v>
      </x:c>
      <x:c r="I819" s="6" t="str">
        <x:v>Bentley AC Repair Dubai</x:v>
      </x:c>
      <x:c r="J819" s="6" t="str">
        <x:v>Bentley AC Repair Dubai</x:v>
      </x:c>
      <x:c r="K819" s="6" t="str">
        <x:v>Bentley air-conditioning assessment in Al Quoz, Dubai for weak cooling, leaks, airflow and compressor concerns. Refrigerant and repair scope are confirmed per vehicle.</x:v>
      </x:c>
      <x:c r="L819" s="6" t="str">
        <x:v>Retain pending evidence; no specific content edit justified by this export.</x:v>
      </x:c>
      <x:c r="M819" s="6" t="str">
        <x:v>Retain; inspect relevant context before adding links</x:v>
      </x:c>
      <x:c r="N819" s="6" t="str">
        <x:v>Unconfirmed — no query/page pairing</x:v>
      </x:c>
      <x:c r="O819" s="6" t="str">
        <x:v>Retain established booking / WhatsApp / call path; live behaviour untested</x:v>
      </x:c>
      <x:c r="P819" s="6" t="str">
        <x:v>Retain canonical and indexation policy pending a live check.</x:v>
      </x:c>
      <x:c r="Q819" s="6" t="str">
        <x:v>Proposed; no website change made</x:v>
      </x:c>
      <x:c r="R819" s="14" t="n">
        <x:v>1</x:v>
      </x:c>
      <x:c r="S819" s="14" t="n">
        <x:v>21</x:v>
      </x:c>
      <x:c r="T819" s="15" t="n">
        <x:v>0.047599999999999996</x:v>
      </x:c>
      <x:c r="U819" s="16" t="n">
        <x:v>12</x:v>
      </x:c>
      <x:c r="V819" s="6" t="str">
        <x:v>https://digitecme.com/brands/bentley-service-dubai/ac-repair</x:v>
      </x:c>
      <x:c r="W819" s="6" t="str">
        <x:v>Indexable directive</x:v>
      </x:c>
      <x:c r="X819" s="6" t="n">
        <x:v>16</x:v>
      </x:c>
      <x:c r="Y819" s="6" t="str">
        <x:v>Bentley AC Repair Dubai | DIGI-TEC</x:v>
      </x:c>
      <x:c r="Z819" s="6" t="str"/>
      <x:c r="AA819" s="6" t="str">
        <x:v>No / not compared</x:v>
      </x:c>
    </x:row>
    <x:row r="820" ht="42" customHeight="1">
      <x:c r="A820" s="6" t="str">
        <x:v>https://digitecme.com/brands/bentley-service-dubai/battery-replacement</x:v>
      </x:c>
      <x:c r="B820" s="6" t="str"/>
      <x:c r="C820" s="6" t="str"/>
      <x:c r="D820" s="6" t="str">
        <x:v>brand-service</x:v>
      </x:c>
      <x:c r="E820" s="6" t="str">
        <x:v>Retain differentiated role</x:v>
      </x:c>
      <x:c r="F820" s="6" t="str">
        <x:v>Local source render; live version unverified</x:v>
      </x:c>
      <x:c r="G820" s="6" t="str">
        <x:v>Bentley Battery Replacement Dubai | Digi-Tec</x:v>
      </x:c>
      <x:c r="H820" s="6" t="str">
        <x:v>Bentley Battery Replacement Dubai | Digi-Tec</x:v>
      </x:c>
      <x:c r="I820" s="6" t="str">
        <x:v>Bentley Battery Replacement Dubai</x:v>
      </x:c>
      <x:c r="J820" s="6" t="str">
        <x:v>Bentley Battery Replacement Dubai</x:v>
      </x:c>
      <x:c r="K820" s="6" t="str">
        <x:v>Bentley battery replacement in Dubai with model-specific inspection, confirmed parts options and a clear quote at Digi-Tec, Al Quoz.</x:v>
      </x:c>
      <x:c r="L820" s="6" t="str">
        <x:v>Retain pending evidence; no specific content edit justified by this export.</x:v>
      </x:c>
      <x:c r="M820" s="6" t="str">
        <x:v>Retain; inspect relevant context before adding links</x:v>
      </x:c>
      <x:c r="N820" s="6" t="str">
        <x:v>Unconfirmed — no query/page pairing</x:v>
      </x:c>
      <x:c r="O820" s="6" t="str">
        <x:v>Retain established booking / WhatsApp / call path; live behaviour untested</x:v>
      </x:c>
      <x:c r="P820" s="6" t="str">
        <x:v>Retain canonical and indexation policy pending a live check.</x:v>
      </x:c>
      <x:c r="Q820" s="6" t="str">
        <x:v>Proposed; no website change made</x:v>
      </x:c>
      <x:c r="R820" s="14" t="n">
        <x:v>0</x:v>
      </x:c>
      <x:c r="S820" s="14" t="n">
        <x:v>2</x:v>
      </x:c>
      <x:c r="T820" s="15" t="n">
        <x:v>0</x:v>
      </x:c>
      <x:c r="U820" s="16" t="n">
        <x:v>10</x:v>
      </x:c>
      <x:c r="V820" s="6" t="str">
        <x:v>https://digitecme.com/brands/bentley-service-dubai/battery-replacement</x:v>
      </x:c>
      <x:c r="W820" s="6" t="str">
        <x:v>Indexable directive</x:v>
      </x:c>
      <x:c r="X820" s="6" t="n">
        <x:v>16</x:v>
      </x:c>
      <x:c r="Y820" s="6" t="str">
        <x:v>Bentley Battery Replacement Dubai | Digi-Tec</x:v>
      </x:c>
      <x:c r="Z820" s="6" t="str"/>
      <x:c r="AA820" s="6" t="str">
        <x:v>No / not compared</x:v>
      </x:c>
    </x:row>
    <x:row r="821" ht="42" customHeight="1">
      <x:c r="A821" s="6" t="str">
        <x:v>https://digitecme.com/brands/bentley-service-dubai/body-repair</x:v>
      </x:c>
      <x:c r="B821" s="6" t="str"/>
      <x:c r="C821" s="6" t="str"/>
      <x:c r="D821" s="6" t="str">
        <x:v>brand-service</x:v>
      </x:c>
      <x:c r="E821" s="6" t="str">
        <x:v>Retain differentiated role</x:v>
      </x:c>
      <x:c r="F821" s="6" t="str">
        <x:v>Local source render; live version unverified</x:v>
      </x:c>
      <x:c r="G821" s="6" t="str">
        <x:v>Bentley Body Repair Dubai | Digi-Tec</x:v>
      </x:c>
      <x:c r="H821" s="6" t="str">
        <x:v>Bentley Body Repair Dubai | Digi-Tec</x:v>
      </x:c>
      <x:c r="I821" s="6" t="str">
        <x:v>Bentley Body Repair Dubai</x:v>
      </x:c>
      <x:c r="J821" s="6" t="str">
        <x:v>Bentley Body Repair Dubai</x:v>
      </x:c>
      <x:c r="K821" s="6" t="str">
        <x:v>Bentley body repair in Dubai with model-specific inspection, confirmed parts options and a clear quote at Digi-Tec, Al Quoz.</x:v>
      </x:c>
      <x:c r="L821" s="6" t="str">
        <x:v>Retain pending evidence; no specific content edit justified by this export.</x:v>
      </x:c>
      <x:c r="M821" s="6" t="str">
        <x:v>Retain; inspect relevant context before adding links</x:v>
      </x:c>
      <x:c r="N821" s="6" t="str">
        <x:v>Unconfirmed — no query/page pairing</x:v>
      </x:c>
      <x:c r="O821" s="6" t="str">
        <x:v>Retain established booking / WhatsApp / call path; live behaviour untested</x:v>
      </x:c>
      <x:c r="P821" s="6" t="str">
        <x:v>Retain canonical and indexation policy pending a live check.</x:v>
      </x:c>
      <x:c r="Q821" s="6" t="str">
        <x:v>Proposed; no website change made</x:v>
      </x:c>
      <x:c r="R821" s="14"/>
      <x:c r="S821" s="14"/>
      <x:c r="T821" s="15"/>
      <x:c r="U821" s="16"/>
      <x:c r="V821" s="6" t="str">
        <x:v>https://digitecme.com/brands/bentley-service-dubai/body-repair</x:v>
      </x:c>
      <x:c r="W821" s="6" t="str">
        <x:v>Indexable directive</x:v>
      </x:c>
      <x:c r="X821" s="6" t="n">
        <x:v>16</x:v>
      </x:c>
      <x:c r="Y821" s="6" t="str">
        <x:v>Bentley Body Repair Dubai | Digi-Tec</x:v>
      </x:c>
      <x:c r="Z821" s="6" t="str"/>
      <x:c r="AA821" s="6" t="str">
        <x:v>No / not compared</x:v>
      </x:c>
    </x:row>
    <x:row r="822" ht="42" customHeight="1">
      <x:c r="A822" s="6" t="str">
        <x:v>https://digitecme.com/brands/bentley-service-dubai/brake-repair</x:v>
      </x:c>
      <x:c r="B822" s="6" t="str"/>
      <x:c r="C822" s="6" t="str"/>
      <x:c r="D822" s="6" t="str">
        <x:v>brand-service</x:v>
      </x:c>
      <x:c r="E822" s="6" t="str">
        <x:v>Retain differentiated role</x:v>
      </x:c>
      <x:c r="F822" s="6" t="str">
        <x:v>Local source render; live version unverified</x:v>
      </x:c>
      <x:c r="G822" s="6" t="str">
        <x:v>Bentley Brake Repair Dubai | Digi-Tec</x:v>
      </x:c>
      <x:c r="H822" s="6" t="str">
        <x:v>Bentley Brake Repair Dubai | Digi-Tec</x:v>
      </x:c>
      <x:c r="I822" s="6" t="str">
        <x:v>Bentley Brake Repair Dubai</x:v>
      </x:c>
      <x:c r="J822" s="6" t="str">
        <x:v>Bentley Brake Repair Dubai</x:v>
      </x:c>
      <x:c r="K822" s="6" t="str">
        <x:v>Bentley brake repair in Dubai with model-specific inspection, confirmed parts options and a clear quote at Digi-Tec, Al Quoz.</x:v>
      </x:c>
      <x:c r="L822" s="6" t="str">
        <x:v>Retain pending evidence; no specific content edit justified by this export.</x:v>
      </x:c>
      <x:c r="M822" s="6" t="str">
        <x:v>Retain; inspect relevant context before adding links</x:v>
      </x:c>
      <x:c r="N822" s="6" t="str">
        <x:v>Unconfirmed — no query/page pairing</x:v>
      </x:c>
      <x:c r="O822" s="6" t="str">
        <x:v>Retain established booking / WhatsApp / call path; live behaviour untested</x:v>
      </x:c>
      <x:c r="P822" s="6" t="str">
        <x:v>Retain canonical and indexation policy pending a live check.</x:v>
      </x:c>
      <x:c r="Q822" s="6" t="str">
        <x:v>Proposed; no website change made</x:v>
      </x:c>
      <x:c r="R822" s="14" t="n">
        <x:v>0</x:v>
      </x:c>
      <x:c r="S822" s="14" t="n">
        <x:v>12</x:v>
      </x:c>
      <x:c r="T822" s="15" t="n">
        <x:v>0</x:v>
      </x:c>
      <x:c r="U822" s="16" t="n">
        <x:v>20.67</x:v>
      </x:c>
      <x:c r="V822" s="6" t="str">
        <x:v>https://digitecme.com/brands/bentley-service-dubai/brake-repair</x:v>
      </x:c>
      <x:c r="W822" s="6" t="str">
        <x:v>Indexable directive</x:v>
      </x:c>
      <x:c r="X822" s="6" t="n">
        <x:v>16</x:v>
      </x:c>
      <x:c r="Y822" s="6" t="str">
        <x:v>Bentley Brake Repair Dubai | Digi-Tec</x:v>
      </x:c>
      <x:c r="Z822" s="6" t="str"/>
      <x:c r="AA822" s="6" t="str">
        <x:v>No / not compared</x:v>
      </x:c>
    </x:row>
    <x:row r="823" ht="42" customHeight="1">
      <x:c r="A823" s="6" t="str">
        <x:v>https://digitecme.com/brands/bentley-service-dubai/electrical-repair</x:v>
      </x:c>
      <x:c r="B823" s="6" t="str"/>
      <x:c r="C823" s="6" t="str"/>
      <x:c r="D823" s="6" t="str">
        <x:v>brand-service</x:v>
      </x:c>
      <x:c r="E823" s="6" t="str">
        <x:v>Retain differentiated role</x:v>
      </x:c>
      <x:c r="F823" s="6" t="str">
        <x:v>Local source render; live version unverified</x:v>
      </x:c>
      <x:c r="G823" s="6" t="str">
        <x:v>Bentley Electrical Repair Dubai | Digi-Tec</x:v>
      </x:c>
      <x:c r="H823" s="6" t="str">
        <x:v>Bentley Electrical Repair Dubai | Digi-Tec</x:v>
      </x:c>
      <x:c r="I823" s="6" t="str">
        <x:v>Bentley Electrical Repair Dubai</x:v>
      </x:c>
      <x:c r="J823" s="6" t="str">
        <x:v>Bentley Electrical Repair Dubai</x:v>
      </x:c>
      <x:c r="K823" s="6" t="str">
        <x:v>Bentley electrical repair in Dubai with model-specific inspection, confirmed parts options and a clear quote at Digi-Tec, Al Quoz.</x:v>
      </x:c>
      <x:c r="L823" s="6" t="str">
        <x:v>Retain pending evidence; no specific content edit justified by this export.</x:v>
      </x:c>
      <x:c r="M823" s="6" t="str">
        <x:v>Retain; inspect relevant context before adding links</x:v>
      </x:c>
      <x:c r="N823" s="6" t="str">
        <x:v>Unconfirmed — no query/page pairing</x:v>
      </x:c>
      <x:c r="O823" s="6" t="str">
        <x:v>Retain established booking / WhatsApp / call path; live behaviour untested</x:v>
      </x:c>
      <x:c r="P823" s="6" t="str">
        <x:v>Retain canonical and indexation policy pending a live check.</x:v>
      </x:c>
      <x:c r="Q823" s="6" t="str">
        <x:v>Proposed; no website change made</x:v>
      </x:c>
      <x:c r="R823" s="14" t="n">
        <x:v>1</x:v>
      </x:c>
      <x:c r="S823" s="14" t="n">
        <x:v>11</x:v>
      </x:c>
      <x:c r="T823" s="15" t="n">
        <x:v>0.0909</x:v>
      </x:c>
      <x:c r="U823" s="16" t="n">
        <x:v>32</x:v>
      </x:c>
      <x:c r="V823" s="6" t="str">
        <x:v>https://digitecme.com/brands/bentley-service-dubai/electrical-repair</x:v>
      </x:c>
      <x:c r="W823" s="6" t="str">
        <x:v>Indexable directive</x:v>
      </x:c>
      <x:c r="X823" s="6" t="n">
        <x:v>16</x:v>
      </x:c>
      <x:c r="Y823" s="6" t="str">
        <x:v>Bentley Electrical Repair Dubai | Digi-Tec</x:v>
      </x:c>
      <x:c r="Z823" s="6" t="str"/>
      <x:c r="AA823" s="6" t="str">
        <x:v>No / not compared</x:v>
      </x:c>
    </x:row>
    <x:row r="824" ht="42" customHeight="1">
      <x:c r="A824" s="6" t="str">
        <x:v>https://digitecme.com/brands/bentley-service-dubai/engine-diagnostics</x:v>
      </x:c>
      <x:c r="B824" s="6" t="str"/>
      <x:c r="C824" s="6" t="str"/>
      <x:c r="D824" s="6" t="str">
        <x:v>brand-service</x:v>
      </x:c>
      <x:c r="E824" s="6" t="str">
        <x:v>Retain differentiated role</x:v>
      </x:c>
      <x:c r="F824" s="6" t="str">
        <x:v>Local source render; live version unverified</x:v>
      </x:c>
      <x:c r="G824" s="6" t="str">
        <x:v>Bentley Engine Diagnostics Dubai | Digi-Tec</x:v>
      </x:c>
      <x:c r="H824" s="6" t="str">
        <x:v>Bentley Engine Diagnostics Dubai | Digi-Tec</x:v>
      </x:c>
      <x:c r="I824" s="6" t="str">
        <x:v>Bentley Engine Diagnostics Dubai</x:v>
      </x:c>
      <x:c r="J824" s="6" t="str">
        <x:v>Bentley Engine Diagnostics Dubai</x:v>
      </x:c>
      <x:c r="K824" s="6" t="str">
        <x:v>Bentley engine diagnostics in Dubai with model-specific inspection, confirmed parts options and a clear quote at Digi-Tec, Al Quoz.</x:v>
      </x:c>
      <x:c r="L824" s="6" t="str">
        <x:v>Retain pending evidence; no specific content edit justified by this export.</x:v>
      </x:c>
      <x:c r="M824" s="6" t="str">
        <x:v>Retain; inspect relevant context before adding links</x:v>
      </x:c>
      <x:c r="N824" s="6" t="str">
        <x:v>Unconfirmed — no query/page pairing</x:v>
      </x:c>
      <x:c r="O824" s="6" t="str">
        <x:v>Retain established booking / WhatsApp / call path; live behaviour untested</x:v>
      </x:c>
      <x:c r="P824" s="6" t="str">
        <x:v>Retain canonical and indexation policy pending a live check.</x:v>
      </x:c>
      <x:c r="Q824" s="6" t="str">
        <x:v>Proposed; no website change made</x:v>
      </x:c>
      <x:c r="R824" s="14"/>
      <x:c r="S824" s="14"/>
      <x:c r="T824" s="15"/>
      <x:c r="U824" s="16"/>
      <x:c r="V824" s="6" t="str">
        <x:v>https://digitecme.com/brands/bentley-service-dubai/engine-diagnostics</x:v>
      </x:c>
      <x:c r="W824" s="6" t="str">
        <x:v>Indexable directive</x:v>
      </x:c>
      <x:c r="X824" s="6" t="n">
        <x:v>16</x:v>
      </x:c>
      <x:c r="Y824" s="6" t="str">
        <x:v>Bentley Engine Diagnostics Dubai | Digi-Tec</x:v>
      </x:c>
      <x:c r="Z824" s="6" t="str"/>
      <x:c r="AA824" s="6" t="str">
        <x:v>No / not compared</x:v>
      </x:c>
    </x:row>
    <x:row r="825" ht="42" customHeight="1">
      <x:c r="A825" s="6" t="str">
        <x:v>https://digitecme.com/brands/bentley-service-dubai/exhaust-repair</x:v>
      </x:c>
      <x:c r="B825" s="6" t="str"/>
      <x:c r="C825" s="6" t="str"/>
      <x:c r="D825" s="6" t="str">
        <x:v>brand-service</x:v>
      </x:c>
      <x:c r="E825" s="6" t="str">
        <x:v>Retain differentiated role</x:v>
      </x:c>
      <x:c r="F825" s="6" t="str">
        <x:v>Local source render; live version unverified</x:v>
      </x:c>
      <x:c r="G825" s="6" t="str">
        <x:v>Bentley Exhaust Repair Dubai | Digi-Tec</x:v>
      </x:c>
      <x:c r="H825" s="6" t="str">
        <x:v>Bentley Exhaust Repair Dubai | Digi-Tec</x:v>
      </x:c>
      <x:c r="I825" s="6" t="str">
        <x:v>Bentley Exhaust Repair Dubai</x:v>
      </x:c>
      <x:c r="J825" s="6" t="str">
        <x:v>Bentley Exhaust Repair Dubai</x:v>
      </x:c>
      <x:c r="K825" s="6" t="str">
        <x:v>Bentley exhaust repair in Dubai with model-specific inspection, confirmed parts options and a clear quote at Digi-Tec, Al Quoz.</x:v>
      </x:c>
      <x:c r="L825" s="6" t="str">
        <x:v>Retain pending evidence; no specific content edit justified by this export.</x:v>
      </x:c>
      <x:c r="M825" s="6" t="str">
        <x:v>Retain; inspect relevant context before adding links</x:v>
      </x:c>
      <x:c r="N825" s="6" t="str">
        <x:v>Unconfirmed — no query/page pairing</x:v>
      </x:c>
      <x:c r="O825" s="6" t="str">
        <x:v>Retain established booking / WhatsApp / call path; live behaviour untested</x:v>
      </x:c>
      <x:c r="P825" s="6" t="str">
        <x:v>Retain canonical and indexation policy pending a live check.</x:v>
      </x:c>
      <x:c r="Q825" s="6" t="str">
        <x:v>Proposed; no website change made</x:v>
      </x:c>
      <x:c r="R825" s="14" t="n">
        <x:v>0</x:v>
      </x:c>
      <x:c r="S825" s="14" t="n">
        <x:v>6</x:v>
      </x:c>
      <x:c r="T825" s="15" t="n">
        <x:v>0</x:v>
      </x:c>
      <x:c r="U825" s="16" t="n">
        <x:v>14.5</x:v>
      </x:c>
      <x:c r="V825" s="6" t="str">
        <x:v>https://digitecme.com/brands/bentley-service-dubai/exhaust-repair</x:v>
      </x:c>
      <x:c r="W825" s="6" t="str">
        <x:v>Indexable directive</x:v>
      </x:c>
      <x:c r="X825" s="6" t="n">
        <x:v>16</x:v>
      </x:c>
      <x:c r="Y825" s="6" t="str">
        <x:v>Bentley Exhaust Repair Dubai | Digi-Tec</x:v>
      </x:c>
      <x:c r="Z825" s="6" t="str"/>
      <x:c r="AA825" s="6" t="str">
        <x:v>No / not compared</x:v>
      </x:c>
    </x:row>
    <x:row r="826" ht="42" customHeight="1">
      <x:c r="A826" s="6" t="str">
        <x:v>https://digitecme.com/brands/bentley-service-dubai/fuel-system-repair</x:v>
      </x:c>
      <x:c r="B826" s="6" t="str"/>
      <x:c r="C826" s="6" t="str"/>
      <x:c r="D826" s="6" t="str">
        <x:v>brand-service</x:v>
      </x:c>
      <x:c r="E826" s="6" t="str">
        <x:v>Retain differentiated role</x:v>
      </x:c>
      <x:c r="F826" s="6" t="str">
        <x:v>Local source render; live version unverified</x:v>
      </x:c>
      <x:c r="G826" s="6" t="str">
        <x:v>Bentley Fuel System Repair Dubai | Digi-Tec</x:v>
      </x:c>
      <x:c r="H826" s="6" t="str">
        <x:v>Bentley Fuel System Repair Dubai | Digi-Tec</x:v>
      </x:c>
      <x:c r="I826" s="6" t="str">
        <x:v>Bentley Fuel System Repair Dubai</x:v>
      </x:c>
      <x:c r="J826" s="6" t="str">
        <x:v>Bentley Fuel System Repair Dubai</x:v>
      </x:c>
      <x:c r="K826" s="6" t="str">
        <x:v>Bentley fuel system repair in Dubai with model-specific inspection, confirmed parts options and a clear quote at Digi-Tec, Al Quoz.</x:v>
      </x:c>
      <x:c r="L826" s="6" t="str">
        <x:v>Retain pending evidence; no specific content edit justified by this export.</x:v>
      </x:c>
      <x:c r="M826" s="6" t="str">
        <x:v>Retain; inspect relevant context before adding links</x:v>
      </x:c>
      <x:c r="N826" s="6" t="str">
        <x:v>Unconfirmed — no query/page pairing</x:v>
      </x:c>
      <x:c r="O826" s="6" t="str">
        <x:v>Retain established booking / WhatsApp / call path; live behaviour untested</x:v>
      </x:c>
      <x:c r="P826" s="6" t="str">
        <x:v>Retain canonical and indexation policy pending a live check.</x:v>
      </x:c>
      <x:c r="Q826" s="6" t="str">
        <x:v>Proposed; no website change made</x:v>
      </x:c>
      <x:c r="R826" s="14"/>
      <x:c r="S826" s="14"/>
      <x:c r="T826" s="15"/>
      <x:c r="U826" s="16"/>
      <x:c r="V826" s="6" t="str">
        <x:v>https://digitecme.com/brands/bentley-service-dubai/fuel-system-repair</x:v>
      </x:c>
      <x:c r="W826" s="6" t="str">
        <x:v>Indexable directive</x:v>
      </x:c>
      <x:c r="X826" s="6" t="n">
        <x:v>16</x:v>
      </x:c>
      <x:c r="Y826" s="6" t="str">
        <x:v>Bentley Fuel System Repair Dubai | Digi-Tec</x:v>
      </x:c>
      <x:c r="Z826" s="6" t="str"/>
      <x:c r="AA826" s="6" t="str">
        <x:v>No / not compared</x:v>
      </x:c>
    </x:row>
    <x:row r="827" ht="42" customHeight="1">
      <x:c r="A827" s="6" t="str">
        <x:v>https://digitecme.com/brands/bentley-service-dubai/mechanical-repair</x:v>
      </x:c>
      <x:c r="B827" s="6" t="str"/>
      <x:c r="C827" s="6" t="str"/>
      <x:c r="D827" s="6" t="str">
        <x:v>brand-service</x:v>
      </x:c>
      <x:c r="E827" s="6" t="str">
        <x:v>Retain differentiated role</x:v>
      </x:c>
      <x:c r="F827" s="6" t="str">
        <x:v>Local source render; live version unverified</x:v>
      </x:c>
      <x:c r="G827" s="6" t="str">
        <x:v>Bentley Mechanical Repair Dubai | Digi-Tec</x:v>
      </x:c>
      <x:c r="H827" s="6" t="str">
        <x:v>Bentley Mechanical Repair Dubai | Digi-Tec</x:v>
      </x:c>
      <x:c r="I827" s="6" t="str">
        <x:v>Bentley Mechanical Repair Dubai</x:v>
      </x:c>
      <x:c r="J827" s="6" t="str">
        <x:v>Bentley Mechanical Repair Dubai</x:v>
      </x:c>
      <x:c r="K827" s="6" t="str">
        <x:v>Bentley mechanical repair in Dubai with model-specific inspection, confirmed parts options and a clear quote at Digi-Tec, Al Quoz.</x:v>
      </x:c>
      <x:c r="L827" s="6" t="str">
        <x:v>Retain pending evidence; no specific content edit justified by this export.</x:v>
      </x:c>
      <x:c r="M827" s="6" t="str">
        <x:v>Retain; inspect relevant context before adding links</x:v>
      </x:c>
      <x:c r="N827" s="6" t="str">
        <x:v>Unconfirmed — no query/page pairing</x:v>
      </x:c>
      <x:c r="O827" s="6" t="str">
        <x:v>Retain established booking / WhatsApp / call path; live behaviour untested</x:v>
      </x:c>
      <x:c r="P827" s="6" t="str">
        <x:v>Retain canonical and indexation policy pending a live check.</x:v>
      </x:c>
      <x:c r="Q827" s="6" t="str">
        <x:v>Proposed; no website change made</x:v>
      </x:c>
      <x:c r="R827" s="14" t="n">
        <x:v>0</x:v>
      </x:c>
      <x:c r="S827" s="14" t="n">
        <x:v>20</x:v>
      </x:c>
      <x:c r="T827" s="15" t="n">
        <x:v>0</x:v>
      </x:c>
      <x:c r="U827" s="16" t="n">
        <x:v>49.8</x:v>
      </x:c>
      <x:c r="V827" s="6" t="str">
        <x:v>https://digitecme.com/brands/bentley-service-dubai/mechanical-repair</x:v>
      </x:c>
      <x:c r="W827" s="6" t="str">
        <x:v>Indexable directive</x:v>
      </x:c>
      <x:c r="X827" s="6" t="n">
        <x:v>16</x:v>
      </x:c>
      <x:c r="Y827" s="6" t="str">
        <x:v>Bentley Mechanical Repair Dubai | Digi-Tec</x:v>
      </x:c>
      <x:c r="Z827" s="6" t="str"/>
      <x:c r="AA827" s="6" t="str">
        <x:v>No / not compared</x:v>
      </x:c>
    </x:row>
    <x:row r="828" ht="42" customHeight="1">
      <x:c r="A828" s="6" t="str">
        <x:v>https://digitecme.com/brands/bentley-service-dubai/oil-change</x:v>
      </x:c>
      <x:c r="B828" s="6" t="str"/>
      <x:c r="C828" s="6" t="str"/>
      <x:c r="D828" s="6" t="str">
        <x:v>brand-service</x:v>
      </x:c>
      <x:c r="E828" s="6" t="str">
        <x:v>Retain differentiated role</x:v>
      </x:c>
      <x:c r="F828" s="6" t="str">
        <x:v>Local source render; live version unverified</x:v>
      </x:c>
      <x:c r="G828" s="6" t="str">
        <x:v>Bentley Oil Change Dubai | Digi-Tec</x:v>
      </x:c>
      <x:c r="H828" s="6" t="str">
        <x:v>Bentley Oil Change Dubai | Digi-Tec</x:v>
      </x:c>
      <x:c r="I828" s="6" t="str">
        <x:v>Bentley Oil Change Dubai</x:v>
      </x:c>
      <x:c r="J828" s="6" t="str">
        <x:v>Bentley Oil Change Dubai</x:v>
      </x:c>
      <x:c r="K828" s="6" t="str">
        <x:v>Bentley oil change in Dubai with model-specific inspection, confirmed parts options and a clear quote at Digi-Tec, Al Quoz.</x:v>
      </x:c>
      <x:c r="L828" s="6" t="str">
        <x:v>Retain pending evidence; no specific content edit justified by this export.</x:v>
      </x:c>
      <x:c r="M828" s="6" t="str">
        <x:v>Retain; inspect relevant context before adding links</x:v>
      </x:c>
      <x:c r="N828" s="6" t="str">
        <x:v>Unconfirmed — no query/page pairing</x:v>
      </x:c>
      <x:c r="O828" s="6" t="str">
        <x:v>Retain established booking / WhatsApp / call path; live behaviour untested</x:v>
      </x:c>
      <x:c r="P828" s="6" t="str">
        <x:v>Retain canonical and indexation policy pending a live check.</x:v>
      </x:c>
      <x:c r="Q828" s="6" t="str">
        <x:v>Proposed; no website change made</x:v>
      </x:c>
      <x:c r="R828" s="14"/>
      <x:c r="S828" s="14"/>
      <x:c r="T828" s="15"/>
      <x:c r="U828" s="16"/>
      <x:c r="V828" s="6" t="str">
        <x:v>https://digitecme.com/brands/bentley-service-dubai/oil-change</x:v>
      </x:c>
      <x:c r="W828" s="6" t="str">
        <x:v>Indexable directive</x:v>
      </x:c>
      <x:c r="X828" s="6" t="n">
        <x:v>16</x:v>
      </x:c>
      <x:c r="Y828" s="6" t="str">
        <x:v>Bentley Oil Change Dubai | Digi-Tec</x:v>
      </x:c>
      <x:c r="Z828" s="6" t="str"/>
      <x:c r="AA828" s="6" t="str">
        <x:v>No / not compared</x:v>
      </x:c>
    </x:row>
    <x:row r="829" ht="42" customHeight="1">
      <x:c r="A829" s="6" t="str">
        <x:v>https://digitecme.com/brands/bentley-service-dubai/steering-repair</x:v>
      </x:c>
      <x:c r="B829" s="6" t="str"/>
      <x:c r="C829" s="6" t="str"/>
      <x:c r="D829" s="6" t="str">
        <x:v>brand-service</x:v>
      </x:c>
      <x:c r="E829" s="6" t="str">
        <x:v>Retain differentiated role</x:v>
      </x:c>
      <x:c r="F829" s="6" t="str">
        <x:v>Local source render; live version unverified</x:v>
      </x:c>
      <x:c r="G829" s="6" t="str">
        <x:v>Bentley Steering Repair Dubai | Digi-Tec</x:v>
      </x:c>
      <x:c r="H829" s="6" t="str">
        <x:v>Bentley Steering Repair Dubai | Digi-Tec</x:v>
      </x:c>
      <x:c r="I829" s="6" t="str">
        <x:v>Bentley Steering Repair Dubai</x:v>
      </x:c>
      <x:c r="J829" s="6" t="str">
        <x:v>Bentley Steering Repair Dubai</x:v>
      </x:c>
      <x:c r="K829" s="6" t="str">
        <x:v>Bentley steering repair in Dubai with model-specific inspection, confirmed parts options and a clear quote at Digi-Tec, Al Quoz.</x:v>
      </x:c>
      <x:c r="L829" s="6" t="str">
        <x:v>Retain pending evidence; no specific content edit justified by this export.</x:v>
      </x:c>
      <x:c r="M829" s="6" t="str">
        <x:v>Retain; inspect relevant context before adding links</x:v>
      </x:c>
      <x:c r="N829" s="6" t="str">
        <x:v>Unconfirmed — no query/page pairing</x:v>
      </x:c>
      <x:c r="O829" s="6" t="str">
        <x:v>Retain established booking / WhatsApp / call path; live behaviour untested</x:v>
      </x:c>
      <x:c r="P829" s="6" t="str">
        <x:v>Retain canonical and indexation policy pending a live check.</x:v>
      </x:c>
      <x:c r="Q829" s="6" t="str">
        <x:v>Proposed; no website change made</x:v>
      </x:c>
      <x:c r="R829" s="14"/>
      <x:c r="S829" s="14"/>
      <x:c r="T829" s="15"/>
      <x:c r="U829" s="16"/>
      <x:c r="V829" s="6" t="str">
        <x:v>https://digitecme.com/brands/bentley-service-dubai/steering-repair</x:v>
      </x:c>
      <x:c r="W829" s="6" t="str">
        <x:v>Indexable directive</x:v>
      </x:c>
      <x:c r="X829" s="6" t="n">
        <x:v>16</x:v>
      </x:c>
      <x:c r="Y829" s="6" t="str">
        <x:v>Bentley Steering Repair Dubai | Digi-Tec</x:v>
      </x:c>
      <x:c r="Z829" s="6" t="str"/>
      <x:c r="AA829" s="6" t="str">
        <x:v>No / not compared</x:v>
      </x:c>
    </x:row>
    <x:row r="830" ht="57" customHeight="1">
      <x:c r="A830" s="6" t="str">
        <x:v>https://digitecme.com/brands/bentley-service-dubai/suspension-repair</x:v>
      </x:c>
      <x:c r="B830" s="6" t="str">
        <x:v>bentley suspension repair dubai</x:v>
      </x:c>
      <x:c r="C830" s="6" t="str">
        <x:v>bentley: Suspension repair</x:v>
      </x:c>
      <x:c r="D830" s="6" t="str">
        <x:v>brand-service</x:v>
      </x:c>
      <x:c r="E830" s="6" t="str">
        <x:v>Primary owner for assigned intent</x:v>
      </x:c>
      <x:c r="F830" s="6" t="str">
        <x:v>Local source render; live version unverified</x:v>
      </x:c>
      <x:c r="G830" s="6" t="str">
        <x:v>Bentley Suspension Repair Dubai | DIGI-TEC</x:v>
      </x:c>
      <x:c r="H830" s="6" t="str">
        <x:v>Bentley Suspension Repair Dubai | DIGI-TEC</x:v>
      </x:c>
      <x:c r="I830" s="6" t="str">
        <x:v>Bentley Suspension Repair Dubai</x:v>
      </x:c>
      <x:c r="J830" s="6" t="str">
        <x:v>Bentley Suspension Repair Dubai</x:v>
      </x:c>
      <x:c r="K830" s="6" t="str">
        <x:v>Bentley suspension, ride-height and ride-quality assessment in Al Quoz, Dubai. Fitted air suspension, damping and 48-volt systems are identified first.</x:v>
      </x:c>
      <x:c r="L830" s="6" t="str">
        <x:v>Retain pending evidence; no specific content edit justified by this export.</x:v>
      </x:c>
      <x:c r="M830" s="6" t="str">
        <x:v>Retain; inspect relevant context before adding links</x:v>
      </x:c>
      <x:c r="N830" s="6" t="str">
        <x:v>Unconfirmed — no query/page pairing</x:v>
      </x:c>
      <x:c r="O830" s="6" t="str">
        <x:v>Retain established booking / WhatsApp / call path; live behaviour untested</x:v>
      </x:c>
      <x:c r="P830" s="6" t="str">
        <x:v>Retain canonical and indexation policy pending a live check.</x:v>
      </x:c>
      <x:c r="Q830" s="6" t="str">
        <x:v>Proposed; no website change made</x:v>
      </x:c>
      <x:c r="R830" s="14" t="n">
        <x:v>0</x:v>
      </x:c>
      <x:c r="S830" s="14" t="n">
        <x:v>34</x:v>
      </x:c>
      <x:c r="T830" s="15" t="n">
        <x:v>0</x:v>
      </x:c>
      <x:c r="U830" s="16" t="n">
        <x:v>15.65</x:v>
      </x:c>
      <x:c r="V830" s="6" t="str">
        <x:v>https://digitecme.com/brands/bentley-service-dubai/suspension-repair</x:v>
      </x:c>
      <x:c r="W830" s="6" t="str">
        <x:v>Indexable directive</x:v>
      </x:c>
      <x:c r="X830" s="6" t="n">
        <x:v>16</x:v>
      </x:c>
      <x:c r="Y830" s="6" t="str">
        <x:v>Bentley Suspension Repair Dubai | DIGI-TEC</x:v>
      </x:c>
      <x:c r="Z830" s="6" t="str"/>
      <x:c r="AA830" s="6" t="str">
        <x:v>No / not compared</x:v>
      </x:c>
    </x:row>
    <x:row r="831" ht="42" customHeight="1">
      <x:c r="A831" s="6" t="str">
        <x:v>https://digitecme.com/brands/bentley-service-dubai/tire-repair</x:v>
      </x:c>
      <x:c r="B831" s="6" t="str"/>
      <x:c r="C831" s="6" t="str"/>
      <x:c r="D831" s="6" t="str">
        <x:v>brand-service</x:v>
      </x:c>
      <x:c r="E831" s="6" t="str">
        <x:v>Retain differentiated role</x:v>
      </x:c>
      <x:c r="F831" s="6" t="str">
        <x:v>Local source render; live version unverified</x:v>
      </x:c>
      <x:c r="G831" s="6" t="str">
        <x:v>Bentley Tyre Repair Dubai | Digi-Tec</x:v>
      </x:c>
      <x:c r="H831" s="6" t="str">
        <x:v>Bentley Tyre Repair Dubai | Digi-Tec</x:v>
      </x:c>
      <x:c r="I831" s="6" t="str">
        <x:v>Bentley Tyre Repair Dubai</x:v>
      </x:c>
      <x:c r="J831" s="6" t="str">
        <x:v>Bentley Tyre Repair Dubai</x:v>
      </x:c>
      <x:c r="K831" s="6" t="str">
        <x:v>Bentley tyre repair in Dubai with model-specific inspection, confirmed parts options and a clear quote at Digi-Tec, Al Quoz.</x:v>
      </x:c>
      <x:c r="L831" s="6" t="str">
        <x:v>Retain pending evidence; no specific content edit justified by this export.</x:v>
      </x:c>
      <x:c r="M831" s="6" t="str">
        <x:v>Retain; inspect relevant context before adding links</x:v>
      </x:c>
      <x:c r="N831" s="6" t="str">
        <x:v>Unconfirmed — no query/page pairing</x:v>
      </x:c>
      <x:c r="O831" s="6" t="str">
        <x:v>Retain established booking / WhatsApp / call path; live behaviour untested</x:v>
      </x:c>
      <x:c r="P831" s="6" t="str">
        <x:v>Retain canonical and indexation policy pending a live check.</x:v>
      </x:c>
      <x:c r="Q831" s="6" t="str">
        <x:v>Proposed; no website change made</x:v>
      </x:c>
      <x:c r="R831" s="14"/>
      <x:c r="S831" s="14"/>
      <x:c r="T831" s="15"/>
      <x:c r="U831" s="16"/>
      <x:c r="V831" s="6" t="str">
        <x:v>https://digitecme.com/brands/bentley-service-dubai/tire-repair</x:v>
      </x:c>
      <x:c r="W831" s="6" t="str">
        <x:v>Indexable directive</x:v>
      </x:c>
      <x:c r="X831" s="6" t="n">
        <x:v>16</x:v>
      </x:c>
      <x:c r="Y831" s="6" t="str">
        <x:v>Bentley Tyre Repair Dubai | Digi-Tec</x:v>
      </x:c>
      <x:c r="Z831" s="6" t="str"/>
      <x:c r="AA831" s="6" t="str">
        <x:v>No / not compared</x:v>
      </x:c>
    </x:row>
    <x:row r="832" ht="57" customHeight="1">
      <x:c r="A832" s="6" t="str">
        <x:v>https://digitecme.com/brands/bentley-service-dubai/transmission-repair</x:v>
      </x:c>
      <x:c r="B832" s="6" t="str">
        <x:v>bentley transmission repair dubai</x:v>
      </x:c>
      <x:c r="C832" s="6" t="str">
        <x:v>bentley: Transmission and gearbox repair</x:v>
      </x:c>
      <x:c r="D832" s="6" t="str">
        <x:v>brand-service</x:v>
      </x:c>
      <x:c r="E832" s="6" t="str">
        <x:v>Primary owner for assigned intent</x:v>
      </x:c>
      <x:c r="F832" s="6" t="str">
        <x:v>Local source render; live version unverified</x:v>
      </x:c>
      <x:c r="G832" s="6" t="str">
        <x:v>Bentley Transmission Repair Dubai | DIGI-TEC</x:v>
      </x:c>
      <x:c r="H832" s="6" t="str">
        <x:v>Bentley Transmission Repair Dubai | DIGI-TEC</x:v>
      </x:c>
      <x:c r="I832" s="6" t="str">
        <x:v>Bentley Transmission Repair Dubai</x:v>
      </x:c>
      <x:c r="J832" s="6" t="str">
        <x:v>Bentley Transmission Repair Dubai</x:v>
      </x:c>
      <x:c r="K832" s="6" t="str">
        <x:v>Bentley gearbox and transmission assessment in Al Quoz, Dubai. Warning, leak, engagement and shift concerns are assessed for the exact vehicle.</x:v>
      </x:c>
      <x:c r="L832" s="6" t="str">
        <x:v>Retain pending evidence; no specific content edit justified by this export.</x:v>
      </x:c>
      <x:c r="M832" s="6" t="str">
        <x:v>Retain; inspect relevant context before adding links</x:v>
      </x:c>
      <x:c r="N832" s="6" t="str">
        <x:v>Unconfirmed — no query/page pairing</x:v>
      </x:c>
      <x:c r="O832" s="6" t="str">
        <x:v>Retain established booking / WhatsApp / call path; live behaviour untested</x:v>
      </x:c>
      <x:c r="P832" s="6" t="str">
        <x:v>Retain canonical and indexation policy pending a live check.</x:v>
      </x:c>
      <x:c r="Q832" s="6" t="str">
        <x:v>Proposed; no website change made</x:v>
      </x:c>
      <x:c r="R832" s="14" t="n">
        <x:v>0</x:v>
      </x:c>
      <x:c r="S832" s="14" t="n">
        <x:v>49</x:v>
      </x:c>
      <x:c r="T832" s="15" t="n">
        <x:v>0</x:v>
      </x:c>
      <x:c r="U832" s="16" t="n">
        <x:v>13.29</x:v>
      </x:c>
      <x:c r="V832" s="6" t="str">
        <x:v>https://digitecme.com/brands/bentley-service-dubai/transmission-repair</x:v>
      </x:c>
      <x:c r="W832" s="6" t="str">
        <x:v>Indexable directive</x:v>
      </x:c>
      <x:c r="X832" s="6" t="n">
        <x:v>16</x:v>
      </x:c>
      <x:c r="Y832" s="6" t="str">
        <x:v>Bentley Transmission Repair Dubai | DIGI-TEC</x:v>
      </x:c>
      <x:c r="Z832" s="6" t="str"/>
      <x:c r="AA832" s="6" t="str">
        <x:v>No / not compared</x:v>
      </x:c>
    </x:row>
    <x:row r="833" ht="57" customHeight="1">
      <x:c r="A833" s="6" t="str">
        <x:v>https://digitecme.com/brands/bmw-service-dubai</x:v>
      </x:c>
      <x:c r="B833" s="6" t="str">
        <x:v>bmw service dubai</x:v>
      </x:c>
      <x:c r="C833" s="6" t="str">
        <x:v>bmw: Service and repair (English); bmw: Service and repair (outside Dubai)</x:v>
      </x:c>
      <x:c r="D833" s="6" t="str">
        <x:v>brand</x:v>
      </x:c>
      <x:c r="E833" s="6" t="str">
        <x:v>Primary owner for assigned intent</x:v>
      </x:c>
      <x:c r="F833" s="6" t="str">
        <x:v>Live HTML checked 9 Sep 2026</x:v>
      </x:c>
      <x:c r="G833" s="6" t="str">
        <x:v>BMW Service &amp; Repair Dubai | Independent BMW Workshop | DIGI-TEC</x:v>
      </x:c>
      <x:c r="H833" s="6" t="str">
        <x:v>BMW Service &amp; Repair Dubai | DIGI-TEC</x:v>
      </x:c>
      <x:c r="I833" s="6" t="str">
        <x:v>BMW Service &amp; Repair Dubai</x:v>
      </x:c>
      <x:c r="J833" s="6" t="str">
        <x:v>BMW Service &amp; Repair Dubai</x:v>
      </x:c>
      <x:c r="K833" s="6" t="str">
        <x:v>BMW service, repair, diagnostics and maintenance in Al Quoz, Dubai. DIGI-TEC inspects BMW engine, transmission, brakes, AC, electrical and coding concerns. Book via WhatsApp.</x:v>
      </x:c>
      <x:c r="L833" s="6" t="str">
        <x:v>Keep the current service/repair hub and its useful CBS, symptoms and model content. Test a shorter title; keep the independent-workshop explanation in visible copy.</x:v>
      </x:c>
      <x:c r="M833" s="6" t="str">
        <x:v>Retain dedicated gearbox, diagnostics, brakes and engine links; strengthen them only where context is useful.</x:v>
      </x:c>
      <x:c r="N833" s="6" t="str">
        <x:v>Unconfirmed — no query/page pairing</x:v>
      </x:c>
      <x:c r="O833" s="6" t="str">
        <x:v>Book BMW Service</x:v>
      </x:c>
      <x:c r="P833" s="6" t="str">
        <x:v>Retain; verify against production before release</x:v>
      </x:c>
      <x:c r="Q833" s="6" t="str">
        <x:v>Proposed; no website change made</x:v>
      </x:c>
      <x:c r="R833" s="14" t="n">
        <x:v>7</x:v>
      </x:c>
      <x:c r="S833" s="14" t="n">
        <x:v>2319</x:v>
      </x:c>
      <x:c r="T833" s="15" t="n">
        <x:v>0.003</x:v>
      </x:c>
      <x:c r="U833" s="16" t="n">
        <x:v>20.62</x:v>
      </x:c>
      <x:c r="V833" s="6" t="str">
        <x:v>https://digitecme.com/brands/bmw-service-dubai</x:v>
      </x:c>
      <x:c r="W833" s="6" t="str">
        <x:v>Indexable directive</x:v>
      </x:c>
      <x:c r="X833" s="6" t="n">
        <x:v>94</x:v>
      </x:c>
      <x:c r="Y833" s="6" t="str">
        <x:v>BMW Service &amp; Repair Dubai | Independent BMW Workshop | DIGI-TEC</x:v>
      </x:c>
      <x:c r="Z833" s="6" t="str">
        <x:v>BMW Service &amp; Repair Dubai | Independent BMW Workshop | DIGI-TEC</x:v>
      </x:c>
      <x:c r="AA833" s="6" t="str">
        <x:v>No / not compared</x:v>
      </x:c>
    </x:row>
    <x:row r="834" ht="42" customHeight="1">
      <x:c r="A834" s="6" t="str">
        <x:v>https://digitecme.com/brands/bmw-service-dubai/3-series</x:v>
      </x:c>
      <x:c r="B834" s="6" t="str"/>
      <x:c r="C834" s="6" t="str"/>
      <x:c r="D834" s="6" t="str">
        <x:v>service</x:v>
      </x:c>
      <x:c r="E834" s="6" t="str">
        <x:v>Retain differentiated role</x:v>
      </x:c>
      <x:c r="F834" s="6" t="str">
        <x:v>Local source render; live version unverified</x:v>
      </x:c>
      <x:c r="G834" s="6" t="str">
        <x:v>BMW 3 Series Service &amp; Repair Dubai | Digi-Tec</x:v>
      </x:c>
      <x:c r="H834" s="6" t="str">
        <x:v>BMW 3 Series Service &amp; Repair Dubai | Digi-Tec</x:v>
      </x:c>
      <x:c r="I834" s="6" t="str">
        <x:v>BMW 3 Series Service &amp; Repair Dubai</x:v>
      </x:c>
      <x:c r="J834" s="6" t="str">
        <x:v>BMW 3 Series Service &amp; Repair Dubai</x:v>
      </x:c>
      <x:c r="K834" s="6" t="str">
        <x:v>BMW 3 Series service Dubai for E90, F30 and G20, including N20, N55, B48 and B58 engines, ZF 8HP, cooling, suspension and ISTA diagnostics.</x:v>
      </x:c>
      <x:c r="L834" s="6" t="str">
        <x:v>Retain pending evidence; no specific content edit justified by this export.</x:v>
      </x:c>
      <x:c r="M834" s="6" t="str">
        <x:v>Retain; inspect relevant context before adding links</x:v>
      </x:c>
      <x:c r="N834" s="6" t="str">
        <x:v>Unconfirmed — no query/page pairing</x:v>
      </x:c>
      <x:c r="O834" s="6" t="str">
        <x:v>Retain established booking / WhatsApp / call path; live behaviour untested</x:v>
      </x:c>
      <x:c r="P834" s="6" t="str">
        <x:v>Retain canonical and indexation policy pending a live check.</x:v>
      </x:c>
      <x:c r="Q834" s="6" t="str">
        <x:v>Proposed; no website change made</x:v>
      </x:c>
      <x:c r="R834" s="14"/>
      <x:c r="S834" s="14"/>
      <x:c r="T834" s="15"/>
      <x:c r="U834" s="16"/>
      <x:c r="V834" s="6" t="str">
        <x:v>https://digitecme.com/brands/bmw-service-dubai/3-series</x:v>
      </x:c>
      <x:c r="W834" s="6" t="str">
        <x:v>Indexable directive</x:v>
      </x:c>
      <x:c r="X834" s="6" t="n">
        <x:v>21</x:v>
      </x:c>
      <x:c r="Y834" s="6" t="str">
        <x:v>BMW 3 Series Service &amp; Repair Dubai | Digi-Tec</x:v>
      </x:c>
      <x:c r="Z834" s="6" t="str"/>
      <x:c r="AA834" s="6" t="str">
        <x:v>No / not compared</x:v>
      </x:c>
    </x:row>
    <x:row r="835" ht="42" customHeight="1">
      <x:c r="A835" s="6" t="str">
        <x:v>https://digitecme.com/brands/bmw-service-dubai/5-series</x:v>
      </x:c>
      <x:c r="B835" s="6" t="str"/>
      <x:c r="C835" s="6" t="str"/>
      <x:c r="D835" s="6" t="str">
        <x:v>service</x:v>
      </x:c>
      <x:c r="E835" s="6" t="str">
        <x:v>Retain differentiated role</x:v>
      </x:c>
      <x:c r="F835" s="6" t="str">
        <x:v>Local source render; live version unverified</x:v>
      </x:c>
      <x:c r="G835" s="6" t="str">
        <x:v>BMW 5 Series Service &amp; Repair Dubai | Digi-Tec</x:v>
      </x:c>
      <x:c r="H835" s="6" t="str">
        <x:v>BMW 5 Series Service &amp; Repair Dubai | Digi-Tec</x:v>
      </x:c>
      <x:c r="I835" s="6" t="str">
        <x:v>BMW 5 Series Service &amp; Repair Dubai</x:v>
      </x:c>
      <x:c r="J835" s="6" t="str">
        <x:v>BMW 5 Series Service &amp; Repair Dubai</x:v>
      </x:c>
      <x:c r="K835" s="6" t="str">
        <x:v>BMW 5 Series service Dubai for F10, G30 and G60: B48, B58, N55 and N63 engines, ZF transmissions, chassis electronics and diagnostics.</x:v>
      </x:c>
      <x:c r="L835" s="6" t="str">
        <x:v>Retain pending evidence; no specific content edit justified by this export.</x:v>
      </x:c>
      <x:c r="M835" s="6" t="str">
        <x:v>Retain; inspect relevant context before adding links</x:v>
      </x:c>
      <x:c r="N835" s="6" t="str">
        <x:v>Unconfirmed — no query/page pairing</x:v>
      </x:c>
      <x:c r="O835" s="6" t="str">
        <x:v>Retain established booking / WhatsApp / call path; live behaviour untested</x:v>
      </x:c>
      <x:c r="P835" s="6" t="str">
        <x:v>Retain canonical and indexation policy pending a live check.</x:v>
      </x:c>
      <x:c r="Q835" s="6" t="str">
        <x:v>Proposed; no website change made</x:v>
      </x:c>
      <x:c r="R835" s="14"/>
      <x:c r="S835" s="14"/>
      <x:c r="T835" s="15"/>
      <x:c r="U835" s="16"/>
      <x:c r="V835" s="6" t="str">
        <x:v>https://digitecme.com/brands/bmw-service-dubai/5-series</x:v>
      </x:c>
      <x:c r="W835" s="6" t="str">
        <x:v>Indexable directive</x:v>
      </x:c>
      <x:c r="X835" s="6" t="n">
        <x:v>8</x:v>
      </x:c>
      <x:c r="Y835" s="6" t="str">
        <x:v>BMW 5 Series Service &amp; Repair Dubai | Digi-Tec</x:v>
      </x:c>
      <x:c r="Z835" s="6" t="str"/>
      <x:c r="AA835" s="6" t="str">
        <x:v>No / not compared</x:v>
      </x:c>
    </x:row>
    <x:row r="836" ht="42" customHeight="1">
      <x:c r="A836" s="6" t="str">
        <x:v>https://digitecme.com/brands/bmw-service-dubai/ac-repair</x:v>
      </x:c>
      <x:c r="B836" s="6" t="str"/>
      <x:c r="C836" s="6" t="str"/>
      <x:c r="D836" s="6" t="str">
        <x:v>brand-service</x:v>
      </x:c>
      <x:c r="E836" s="6" t="str">
        <x:v>Retain differentiated role</x:v>
      </x:c>
      <x:c r="F836" s="6" t="str">
        <x:v>Local source render; live version unverified</x:v>
      </x:c>
      <x:c r="G836" s="6" t="str">
        <x:v>BMW AC Repair Dubai | Digi-Tec</x:v>
      </x:c>
      <x:c r="H836" s="6" t="str">
        <x:v>BMW AC Repair Dubai | Digi-Tec</x:v>
      </x:c>
      <x:c r="I836" s="6" t="str">
        <x:v>BMW AC Repair Dubai</x:v>
      </x:c>
      <x:c r="J836" s="6" t="str">
        <x:v>BMW AC Repair Dubai</x:v>
      </x:c>
      <x:c r="K836" s="6" t="str">
        <x:v>BMW ac repair in Dubai with model-specific inspection, confirmed parts options and a clear quote at Digi-Tec, Al Quoz.</x:v>
      </x:c>
      <x:c r="L836" s="6" t="str">
        <x:v>Retain pending evidence; no specific content edit justified by this export.</x:v>
      </x:c>
      <x:c r="M836" s="6" t="str">
        <x:v>Retain; inspect relevant context before adding links</x:v>
      </x:c>
      <x:c r="N836" s="6" t="str">
        <x:v>Unconfirmed — no query/page pairing</x:v>
      </x:c>
      <x:c r="O836" s="6" t="str">
        <x:v>Retain established booking / WhatsApp / call path; live behaviour untested</x:v>
      </x:c>
      <x:c r="P836" s="6" t="str">
        <x:v>Retain canonical and indexation policy pending a live check.</x:v>
      </x:c>
      <x:c r="Q836" s="6" t="str">
        <x:v>Proposed; no website change made</x:v>
      </x:c>
      <x:c r="R836" s="14" t="n">
        <x:v>0</x:v>
      </x:c>
      <x:c r="S836" s="14" t="n">
        <x:v>40</x:v>
      </x:c>
      <x:c r="T836" s="15" t="n">
        <x:v>0</x:v>
      </x:c>
      <x:c r="U836" s="16" t="n">
        <x:v>16.65</x:v>
      </x:c>
      <x:c r="V836" s="6" t="str">
        <x:v>https://digitecme.com/brands/bmw-service-dubai/ac-repair</x:v>
      </x:c>
      <x:c r="W836" s="6" t="str">
        <x:v>Indexable directive</x:v>
      </x:c>
      <x:c r="X836" s="6" t="n">
        <x:v>16</x:v>
      </x:c>
      <x:c r="Y836" s="6" t="str">
        <x:v>BMW AC Repair Dubai | Digi-Tec</x:v>
      </x:c>
      <x:c r="Z836" s="6" t="str"/>
      <x:c r="AA836" s="6" t="str">
        <x:v>No / not compared</x:v>
      </x:c>
    </x:row>
    <x:row r="837" ht="42" customHeight="1">
      <x:c r="A837" s="6" t="str">
        <x:v>https://digitecme.com/brands/bmw-service-dubai/battery-replacement</x:v>
      </x:c>
      <x:c r="B837" s="6" t="str">
        <x:v>bmw battery replacement dubai</x:v>
      </x:c>
      <x:c r="C837" s="6" t="str">
        <x:v>bmw: Battery service</x:v>
      </x:c>
      <x:c r="D837" s="6" t="str">
        <x:v>brand-service</x:v>
      </x:c>
      <x:c r="E837" s="6" t="str">
        <x:v>Primary owner for assigned intent</x:v>
      </x:c>
      <x:c r="F837" s="6" t="str">
        <x:v>Local source render; live version unverified</x:v>
      </x:c>
      <x:c r="G837" s="6" t="str">
        <x:v>BMW Battery Replacement Dubai | Digi-Tec</x:v>
      </x:c>
      <x:c r="H837" s="6" t="str">
        <x:v>BMW Battery Replacement Dubai | Digi-Tec</x:v>
      </x:c>
      <x:c r="I837" s="6" t="str">
        <x:v>BMW Battery Replacement Dubai</x:v>
      </x:c>
      <x:c r="J837" s="6" t="str">
        <x:v>BMW Battery Replacement Dubai</x:v>
      </x:c>
      <x:c r="K837" s="6" t="str">
        <x:v>BMW battery replacement in Dubai with model-specific inspection, confirmed parts options and a clear quote at Digi-Tec, Al Quoz.</x:v>
      </x:c>
      <x:c r="L837" s="6" t="str">
        <x:v>Retain pending evidence; no specific content edit justified by this export.</x:v>
      </x:c>
      <x:c r="M837" s="6" t="str">
        <x:v>Retain; inspect relevant context before adding links</x:v>
      </x:c>
      <x:c r="N837" s="6" t="str">
        <x:v>Unconfirmed — no query/page pairing</x:v>
      </x:c>
      <x:c r="O837" s="6" t="str">
        <x:v>Retain established booking / WhatsApp / call path; live behaviour untested</x:v>
      </x:c>
      <x:c r="P837" s="6" t="str">
        <x:v>Retain canonical and indexation policy pending a live check.</x:v>
      </x:c>
      <x:c r="Q837" s="6" t="str">
        <x:v>Proposed; no website change made</x:v>
      </x:c>
      <x:c r="R837" s="14" t="n">
        <x:v>0</x:v>
      </x:c>
      <x:c r="S837" s="14" t="n">
        <x:v>95</x:v>
      </x:c>
      <x:c r="T837" s="15" t="n">
        <x:v>0</x:v>
      </x:c>
      <x:c r="U837" s="16" t="n">
        <x:v>29.83</x:v>
      </x:c>
      <x:c r="V837" s="6" t="str">
        <x:v>https://digitecme.com/brands/bmw-service-dubai/battery-replacement</x:v>
      </x:c>
      <x:c r="W837" s="6" t="str">
        <x:v>Indexable directive</x:v>
      </x:c>
      <x:c r="X837" s="6" t="n">
        <x:v>16</x:v>
      </x:c>
      <x:c r="Y837" s="6" t="str">
        <x:v>BMW Battery Replacement Dubai | Digi-Tec</x:v>
      </x:c>
      <x:c r="Z837" s="6" t="str"/>
      <x:c r="AA837" s="6" t="str">
        <x:v>No / not compared</x:v>
      </x:c>
    </x:row>
    <x:row r="838" ht="42" customHeight="1">
      <x:c r="A838" s="6" t="str">
        <x:v>https://digitecme.com/brands/bmw-service-dubai/body-repair</x:v>
      </x:c>
      <x:c r="B838" s="6" t="str">
        <x:v>bmw body shop dubai</x:v>
      </x:c>
      <x:c r="C838" s="6" t="str">
        <x:v>bmw: Body repair</x:v>
      </x:c>
      <x:c r="D838" s="6" t="str">
        <x:v>brand-service</x:v>
      </x:c>
      <x:c r="E838" s="6" t="str">
        <x:v>Primary owner for assigned intent</x:v>
      </x:c>
      <x:c r="F838" s="6" t="str">
        <x:v>Local source render; live version unverified</x:v>
      </x:c>
      <x:c r="G838" s="6" t="str">
        <x:v>BMW Body Repair Dubai | Digi-Tec</x:v>
      </x:c>
      <x:c r="H838" s="6" t="str">
        <x:v>BMW Body Repair Dubai | Digi-Tec</x:v>
      </x:c>
      <x:c r="I838" s="6" t="str">
        <x:v>BMW Body Repair Dubai</x:v>
      </x:c>
      <x:c r="J838" s="6" t="str">
        <x:v>BMW Body Repair Dubai</x:v>
      </x:c>
      <x:c r="K838" s="6" t="str">
        <x:v>BMW body repair in Dubai with model-specific inspection, confirmed parts options and a clear quote at Digi-Tec, Al Quoz.</x:v>
      </x:c>
      <x:c r="L838" s="6" t="str">
        <x:v>Retain pending evidence; no specific content edit justified by this export.</x:v>
      </x:c>
      <x:c r="M838" s="6" t="str">
        <x:v>Retain; inspect relevant context before adding links</x:v>
      </x:c>
      <x:c r="N838" s="6" t="str">
        <x:v>Unconfirmed — no query/page pairing</x:v>
      </x:c>
      <x:c r="O838" s="6" t="str">
        <x:v>Retain established booking / WhatsApp / call path; live behaviour untested</x:v>
      </x:c>
      <x:c r="P838" s="6" t="str">
        <x:v>Retain canonical and indexation policy pending a live check.</x:v>
      </x:c>
      <x:c r="Q838" s="6" t="str">
        <x:v>Proposed; no website change made</x:v>
      </x:c>
      <x:c r="R838" s="14" t="n">
        <x:v>1</x:v>
      </x:c>
      <x:c r="S838" s="14" t="n">
        <x:v>53</x:v>
      </x:c>
      <x:c r="T838" s="15" t="n">
        <x:v>0.0189</x:v>
      </x:c>
      <x:c r="U838" s="16" t="n">
        <x:v>45.36</x:v>
      </x:c>
      <x:c r="V838" s="6" t="str">
        <x:v>https://digitecme.com/brands/bmw-service-dubai/body-repair</x:v>
      </x:c>
      <x:c r="W838" s="6" t="str">
        <x:v>Indexable directive</x:v>
      </x:c>
      <x:c r="X838" s="6" t="n">
        <x:v>16</x:v>
      </x:c>
      <x:c r="Y838" s="6" t="str">
        <x:v>BMW Body Repair Dubai | Digi-Tec</x:v>
      </x:c>
      <x:c r="Z838" s="6" t="str"/>
      <x:c r="AA838" s="6" t="str">
        <x:v>No / not compared</x:v>
      </x:c>
    </x:row>
    <x:row r="839" ht="42" customHeight="1">
      <x:c r="A839" s="6" t="str">
        <x:v>https://digitecme.com/brands/bmw-service-dubai/brake-repair</x:v>
      </x:c>
      <x:c r="B839" s="6" t="str">
        <x:v>bmw brake repair dubai</x:v>
      </x:c>
      <x:c r="C839" s="6" t="str">
        <x:v>bmw: Brake repair</x:v>
      </x:c>
      <x:c r="D839" s="6" t="str">
        <x:v>brand-service</x:v>
      </x:c>
      <x:c r="E839" s="6" t="str">
        <x:v>Primary owner for assigned intent</x:v>
      </x:c>
      <x:c r="F839" s="6" t="str">
        <x:v>Local source render; live version unverified</x:v>
      </x:c>
      <x:c r="G839" s="6" t="str">
        <x:v>BMW Brake Repair Dubai | Digi-Tec</x:v>
      </x:c>
      <x:c r="H839" s="6" t="str">
        <x:v>BMW Brake Repair Dubai | Digi-Tec</x:v>
      </x:c>
      <x:c r="I839" s="6" t="str">
        <x:v>BMW Brake Repair Dubai</x:v>
      </x:c>
      <x:c r="J839" s="6" t="str">
        <x:v>BMW Brake Repair Dubai</x:v>
      </x:c>
      <x:c r="K839" s="6" t="str">
        <x:v>BMW brake repair in Dubai with model-specific inspection, confirmed parts options and a clear quote at Digi-Tec, Al Quoz.</x:v>
      </x:c>
      <x:c r="L839" s="6" t="str">
        <x:v>Retain pending evidence; no specific content edit justified by this export.</x:v>
      </x:c>
      <x:c r="M839" s="6" t="str">
        <x:v>Retain; inspect relevant context before adding links</x:v>
      </x:c>
      <x:c r="N839" s="6" t="str">
        <x:v>Unconfirmed — no query/page pairing</x:v>
      </x:c>
      <x:c r="O839" s="6" t="str">
        <x:v>Retain established booking / WhatsApp / call path; live behaviour untested</x:v>
      </x:c>
      <x:c r="P839" s="6" t="str">
        <x:v>Retain canonical and indexation policy pending a live check.</x:v>
      </x:c>
      <x:c r="Q839" s="6" t="str">
        <x:v>Proposed; no website change made</x:v>
      </x:c>
      <x:c r="R839" s="14" t="n">
        <x:v>0</x:v>
      </x:c>
      <x:c r="S839" s="14" t="n">
        <x:v>19</x:v>
      </x:c>
      <x:c r="T839" s="15" t="n">
        <x:v>0</x:v>
      </x:c>
      <x:c r="U839" s="16" t="n">
        <x:v>29.53</x:v>
      </x:c>
      <x:c r="V839" s="6" t="str">
        <x:v>https://digitecme.com/brands/bmw-service-dubai/brake-repair</x:v>
      </x:c>
      <x:c r="W839" s="6" t="str">
        <x:v>Indexable directive</x:v>
      </x:c>
      <x:c r="X839" s="6" t="n">
        <x:v>18</x:v>
      </x:c>
      <x:c r="Y839" s="6" t="str">
        <x:v>BMW Brake Repair Dubai | Digi-Tec</x:v>
      </x:c>
      <x:c r="Z839" s="6" t="str"/>
      <x:c r="AA839" s="6" t="str">
        <x:v>No / not compared</x:v>
      </x:c>
    </x:row>
    <x:row r="840" ht="42" customHeight="1">
      <x:c r="A840" s="6" t="str">
        <x:v>https://digitecme.com/brands/bmw-service-dubai/electrical-repair</x:v>
      </x:c>
      <x:c r="B840" s="6" t="str">
        <x:v>bmw electrical repair</x:v>
      </x:c>
      <x:c r="C840" s="6" t="str">
        <x:v>bmw: Electrical repair</x:v>
      </x:c>
      <x:c r="D840" s="6" t="str">
        <x:v>brand-service</x:v>
      </x:c>
      <x:c r="E840" s="6" t="str">
        <x:v>Primary owner for assigned intent</x:v>
      </x:c>
      <x:c r="F840" s="6" t="str">
        <x:v>Local source render; live version unverified</x:v>
      </x:c>
      <x:c r="G840" s="6" t="str">
        <x:v>BMW Electrical Repair Dubai | Digi-Tec</x:v>
      </x:c>
      <x:c r="H840" s="6" t="str">
        <x:v>BMW Electrical Repair Dubai | Digi-Tec</x:v>
      </x:c>
      <x:c r="I840" s="6" t="str">
        <x:v>BMW Electrical Repair Dubai</x:v>
      </x:c>
      <x:c r="J840" s="6" t="str">
        <x:v>BMW Electrical Repair Dubai</x:v>
      </x:c>
      <x:c r="K840" s="6" t="str">
        <x:v>BMW electrical repair in Dubai with model-specific inspection, confirmed parts options and a clear quote at Digi-Tec, Al Quoz.</x:v>
      </x:c>
      <x:c r="L840" s="6" t="str">
        <x:v>Retain pending evidence; no specific content edit justified by this export.</x:v>
      </x:c>
      <x:c r="M840" s="6" t="str">
        <x:v>Retain; inspect relevant context before adding links</x:v>
      </x:c>
      <x:c r="N840" s="6" t="str">
        <x:v>Unconfirmed — no query/page pairing</x:v>
      </x:c>
      <x:c r="O840" s="6" t="str">
        <x:v>Retain established booking / WhatsApp / call path; live behaviour untested</x:v>
      </x:c>
      <x:c r="P840" s="6" t="str">
        <x:v>Retain canonical and indexation policy pending a live check.</x:v>
      </x:c>
      <x:c r="Q840" s="6" t="str">
        <x:v>Proposed; no website change made</x:v>
      </x:c>
      <x:c r="R840" s="14"/>
      <x:c r="S840" s="14"/>
      <x:c r="T840" s="15"/>
      <x:c r="U840" s="16"/>
      <x:c r="V840" s="6" t="str">
        <x:v>https://digitecme.com/brands/bmw-service-dubai/electrical-repair</x:v>
      </x:c>
      <x:c r="W840" s="6" t="str">
        <x:v>Indexable directive</x:v>
      </x:c>
      <x:c r="X840" s="6" t="n">
        <x:v>17</x:v>
      </x:c>
      <x:c r="Y840" s="6" t="str">
        <x:v>BMW Electrical Repair Dubai | Digi-Tec</x:v>
      </x:c>
      <x:c r="Z840" s="6" t="str"/>
      <x:c r="AA840" s="6" t="str">
        <x:v>No / not compared</x:v>
      </x:c>
    </x:row>
    <x:row r="841" ht="57" customHeight="1">
      <x:c r="A841" s="6" t="str">
        <x:v>https://digitecme.com/brands/bmw-service-dubai/engine-diagnostics</x:v>
      </x:c>
      <x:c r="B841" s="6" t="str">
        <x:v>bmw diagnostics dubai</x:v>
      </x:c>
      <x:c r="C841" s="6" t="str">
        <x:v>bmw: Diagnostics and supported coding; bmw: Diagnostics and supported coding (outside Dubai)</x:v>
      </x:c>
      <x:c r="D841" s="6" t="str">
        <x:v>brand-service</x:v>
      </x:c>
      <x:c r="E841" s="6" t="str">
        <x:v>Primary owner for assigned intent</x:v>
      </x:c>
      <x:c r="F841" s="6" t="str">
        <x:v>Live HTML checked 9 Sep 2026</x:v>
      </x:c>
      <x:c r="G841" s="6" t="str">
        <x:v>BMW Engine Diagnostics Dubai | Digi-Tec</x:v>
      </x:c>
      <x:c r="H841" s="6" t="str">
        <x:v>BMW Diagnostics &amp; Coding Dubai | DIGI-TEC</x:v>
      </x:c>
      <x:c r="I841" s="6" t="str">
        <x:v>BMW Engine Diagnostics Dubai</x:v>
      </x:c>
      <x:c r="J841" s="6" t="str">
        <x:v>BMW Diagnostics &amp; Supported Coding in Dubai</x:v>
      </x:c>
      <x:c r="K841" s="6" t="str">
        <x:v>BMW engine diagnostics in Dubai with model-specific inspection, confirmed parts options and a clear quote at Digi-Tec, Al Quoz.</x:v>
      </x:c>
      <x:c r="L841" s="6" t="str">
        <x:v>Separate fault finding, coding, programming and retrofit compatibility. Keep access qualified by vehicle; specify the information needed before booking. Correct the malformed models heading.</x:v>
      </x:c>
      <x:c r="M841" s="6" t="str">
        <x:v>Retain existing links</x:v>
      </x:c>
      <x:c r="N841" s="6" t="str">
        <x:v>Unconfirmed — no query/page pairing</x:v>
      </x:c>
      <x:c r="O841" s="6" t="str">
        <x:v>Book BMW Diagnostics</x:v>
      </x:c>
      <x:c r="P841" s="6" t="str">
        <x:v>Retain; verify against production before release</x:v>
      </x:c>
      <x:c r="Q841" s="6" t="str">
        <x:v>Proposed; no website change made</x:v>
      </x:c>
      <x:c r="R841" s="14" t="n">
        <x:v>0</x:v>
      </x:c>
      <x:c r="S841" s="14" t="n">
        <x:v>44</x:v>
      </x:c>
      <x:c r="T841" s="15" t="n">
        <x:v>0</x:v>
      </x:c>
      <x:c r="U841" s="16" t="n">
        <x:v>38.66</x:v>
      </x:c>
      <x:c r="V841" s="6" t="str">
        <x:v>https://digitecme.com/brands/bmw-service-dubai/engine-diagnostics</x:v>
      </x:c>
      <x:c r="W841" s="6" t="str">
        <x:v>Indexable directive</x:v>
      </x:c>
      <x:c r="X841" s="6" t="n">
        <x:v>23</x:v>
      </x:c>
      <x:c r="Y841" s="6" t="str">
        <x:v>BMW Engine Diagnostics Dubai | Digi-Tec</x:v>
      </x:c>
      <x:c r="Z841" s="6" t="str">
        <x:v>BMW Engine Diagnostics Dubai | Digi-Tec</x:v>
      </x:c>
      <x:c r="AA841" s="6" t="str">
        <x:v>No / not compared</x:v>
      </x:c>
    </x:row>
    <x:row r="842" ht="42" customHeight="1">
      <x:c r="A842" s="6" t="str">
        <x:v>https://digitecme.com/brands/bmw-service-dubai/exhaust-repair</x:v>
      </x:c>
      <x:c r="B842" s="6" t="str"/>
      <x:c r="C842" s="6" t="str"/>
      <x:c r="D842" s="6" t="str">
        <x:v>brand-service</x:v>
      </x:c>
      <x:c r="E842" s="6" t="str">
        <x:v>Retain differentiated role</x:v>
      </x:c>
      <x:c r="F842" s="6" t="str">
        <x:v>Local source render; live version unverified</x:v>
      </x:c>
      <x:c r="G842" s="6" t="str">
        <x:v>BMW Exhaust Repair Dubai | Digi-Tec</x:v>
      </x:c>
      <x:c r="H842" s="6" t="str">
        <x:v>BMW Exhaust Repair Dubai | Digi-Tec</x:v>
      </x:c>
      <x:c r="I842" s="6" t="str">
        <x:v>BMW Exhaust Repair Dubai</x:v>
      </x:c>
      <x:c r="J842" s="6" t="str">
        <x:v>BMW Exhaust Repair Dubai</x:v>
      </x:c>
      <x:c r="K842" s="6" t="str">
        <x:v>BMW exhaust repair in Dubai with model-specific inspection, confirmed parts options and a clear quote at Digi-Tec, Al Quoz.</x:v>
      </x:c>
      <x:c r="L842" s="6" t="str">
        <x:v>Retain pending evidence; no specific content edit justified by this export.</x:v>
      </x:c>
      <x:c r="M842" s="6" t="str">
        <x:v>Retain; inspect relevant context before adding links</x:v>
      </x:c>
      <x:c r="N842" s="6" t="str">
        <x:v>Unconfirmed — no query/page pairing</x:v>
      </x:c>
      <x:c r="O842" s="6" t="str">
        <x:v>Retain established booking / WhatsApp / call path; live behaviour untested</x:v>
      </x:c>
      <x:c r="P842" s="6" t="str">
        <x:v>Retain canonical and indexation policy pending a live check.</x:v>
      </x:c>
      <x:c r="Q842" s="6" t="str">
        <x:v>Proposed; no website change made</x:v>
      </x:c>
      <x:c r="R842" s="14"/>
      <x:c r="S842" s="14"/>
      <x:c r="T842" s="15"/>
      <x:c r="U842" s="16"/>
      <x:c r="V842" s="6" t="str">
        <x:v>https://digitecme.com/brands/bmw-service-dubai/exhaust-repair</x:v>
      </x:c>
      <x:c r="W842" s="6" t="str">
        <x:v>Indexable directive</x:v>
      </x:c>
      <x:c r="X842" s="6" t="n">
        <x:v>16</x:v>
      </x:c>
      <x:c r="Y842" s="6" t="str">
        <x:v>BMW Exhaust Repair Dubai | Digi-Tec</x:v>
      </x:c>
      <x:c r="Z842" s="6" t="str"/>
      <x:c r="AA842" s="6" t="str">
        <x:v>No / not compared</x:v>
      </x:c>
    </x:row>
    <x:row r="843" ht="42" customHeight="1">
      <x:c r="A843" s="6" t="str">
        <x:v>https://digitecme.com/brands/bmw-service-dubai/fuel-system-repair</x:v>
      </x:c>
      <x:c r="B843" s="6" t="str"/>
      <x:c r="C843" s="6" t="str"/>
      <x:c r="D843" s="6" t="str">
        <x:v>brand-service</x:v>
      </x:c>
      <x:c r="E843" s="6" t="str">
        <x:v>Retain differentiated role</x:v>
      </x:c>
      <x:c r="F843" s="6" t="str">
        <x:v>Local source render; live version unverified</x:v>
      </x:c>
      <x:c r="G843" s="6" t="str">
        <x:v>BMW Fuel System Repair Dubai | Digi-Tec</x:v>
      </x:c>
      <x:c r="H843" s="6" t="str">
        <x:v>BMW Fuel System Repair Dubai | Digi-Tec</x:v>
      </x:c>
      <x:c r="I843" s="6" t="str">
        <x:v>BMW Fuel System Repair Dubai</x:v>
      </x:c>
      <x:c r="J843" s="6" t="str">
        <x:v>BMW Fuel System Repair Dubai</x:v>
      </x:c>
      <x:c r="K843" s="6" t="str">
        <x:v>BMW fuel system repair in Dubai with model-specific inspection, confirmed parts options and a clear quote at Digi-Tec, Al Quoz.</x:v>
      </x:c>
      <x:c r="L843" s="6" t="str">
        <x:v>Retain pending evidence; no specific content edit justified by this export.</x:v>
      </x:c>
      <x:c r="M843" s="6" t="str">
        <x:v>Retain; inspect relevant context before adding links</x:v>
      </x:c>
      <x:c r="N843" s="6" t="str">
        <x:v>Unconfirmed — no query/page pairing</x:v>
      </x:c>
      <x:c r="O843" s="6" t="str">
        <x:v>Retain established booking / WhatsApp / call path; live behaviour untested</x:v>
      </x:c>
      <x:c r="P843" s="6" t="str">
        <x:v>Retain canonical and indexation policy pending a live check.</x:v>
      </x:c>
      <x:c r="Q843" s="6" t="str">
        <x:v>Proposed; no website change made</x:v>
      </x:c>
      <x:c r="R843" s="14" t="n">
        <x:v>0</x:v>
      </x:c>
      <x:c r="S843" s="14" t="n">
        <x:v>2</x:v>
      </x:c>
      <x:c r="T843" s="15" t="n">
        <x:v>0</x:v>
      </x:c>
      <x:c r="U843" s="16" t="n">
        <x:v>96.5</x:v>
      </x:c>
      <x:c r="V843" s="6" t="str">
        <x:v>https://digitecme.com/brands/bmw-service-dubai/fuel-system-repair</x:v>
      </x:c>
      <x:c r="W843" s="6" t="str">
        <x:v>Indexable directive</x:v>
      </x:c>
      <x:c r="X843" s="6" t="n">
        <x:v>16</x:v>
      </x:c>
      <x:c r="Y843" s="6" t="str">
        <x:v>BMW Fuel System Repair Dubai | Digi-Tec</x:v>
      </x:c>
      <x:c r="Z843" s="6" t="str"/>
      <x:c r="AA843" s="6" t="str">
        <x:v>No / not compared</x:v>
      </x:c>
    </x:row>
    <x:row r="844" ht="42" customHeight="1">
      <x:c r="A844" s="6" t="str">
        <x:v>https://digitecme.com/brands/bmw-service-dubai/m3</x:v>
      </x:c>
      <x:c r="B844" s="6" t="str"/>
      <x:c r="C844" s="6" t="str"/>
      <x:c r="D844" s="6" t="str">
        <x:v>service</x:v>
      </x:c>
      <x:c r="E844" s="6" t="str">
        <x:v>Retain differentiated role</x:v>
      </x:c>
      <x:c r="F844" s="6" t="str">
        <x:v>Local source render; live version unverified</x:v>
      </x:c>
      <x:c r="G844" s="6" t="str">
        <x:v>BMW M3 Service &amp; Repair Dubai | F80 &amp; G80 | Digi-Tec</x:v>
      </x:c>
      <x:c r="H844" s="6" t="str">
        <x:v>BMW M3 Service &amp; Repair Dubai | F80 &amp; G80 | Digi-Tec</x:v>
      </x:c>
      <x:c r="I844" s="6" t="str">
        <x:v>BMW M3 Service &amp; Repair Dubai</x:v>
      </x:c>
      <x:c r="J844" s="6" t="str">
        <x:v>BMW M3 Service &amp; Repair Dubai</x:v>
      </x:c>
      <x:c r="K844" s="6" t="str">
        <x:v>BMW M3 service Dubai for E90/E92, F80 S55 and G80 S58: M-DCT or ZF 8HP, cooling, M differential, brakes, suspension and diagnostics.</x:v>
      </x:c>
      <x:c r="L844" s="6" t="str">
        <x:v>Retain pending evidence; no specific content edit justified by this export.</x:v>
      </x:c>
      <x:c r="M844" s="6" t="str">
        <x:v>Retain; inspect relevant context before adding links</x:v>
      </x:c>
      <x:c r="N844" s="6" t="str">
        <x:v>Unconfirmed — no query/page pairing</x:v>
      </x:c>
      <x:c r="O844" s="6" t="str">
        <x:v>Retain established booking / WhatsApp / call path; live behaviour untested</x:v>
      </x:c>
      <x:c r="P844" s="6" t="str">
        <x:v>Retain canonical and indexation policy pending a live check.</x:v>
      </x:c>
      <x:c r="Q844" s="6" t="str">
        <x:v>Proposed; no website change made</x:v>
      </x:c>
      <x:c r="R844" s="14"/>
      <x:c r="S844" s="14"/>
      <x:c r="T844" s="15"/>
      <x:c r="U844" s="16"/>
      <x:c r="V844" s="6" t="str">
        <x:v>https://digitecme.com/brands/bmw-service-dubai/m3</x:v>
      </x:c>
      <x:c r="W844" s="6" t="str">
        <x:v>Indexable directive</x:v>
      </x:c>
      <x:c r="X844" s="6" t="n">
        <x:v>19</x:v>
      </x:c>
      <x:c r="Y844" s="6" t="str">
        <x:v>BMW M3 Service &amp; Repair Dubai | F80 &amp; G80 | Digi-Tec</x:v>
      </x:c>
      <x:c r="Z844" s="6" t="str"/>
      <x:c r="AA844" s="6" t="str">
        <x:v>No / not compared</x:v>
      </x:c>
    </x:row>
    <x:row r="845" ht="42" customHeight="1">
      <x:c r="A845" s="6" t="str">
        <x:v>https://digitecme.com/brands/bmw-service-dubai/m4</x:v>
      </x:c>
      <x:c r="B845" s="6" t="str"/>
      <x:c r="C845" s="6" t="str"/>
      <x:c r="D845" s="6" t="str">
        <x:v>service</x:v>
      </x:c>
      <x:c r="E845" s="6" t="str">
        <x:v>Retain differentiated role</x:v>
      </x:c>
      <x:c r="F845" s="6" t="str">
        <x:v>Local source render; live version unverified</x:v>
      </x:c>
      <x:c r="G845" s="6" t="str">
        <x:v>BMW M4 Service &amp; Repair Dubai | F82 &amp; G82 | Digi-Tec</x:v>
      </x:c>
      <x:c r="H845" s="6" t="str">
        <x:v>BMW M4 Service &amp; Repair Dubai | F82 &amp; G82 | Digi-Tec</x:v>
      </x:c>
      <x:c r="I845" s="6" t="str">
        <x:v>BMW M4 Service &amp; Repair Dubai</x:v>
      </x:c>
      <x:c r="J845" s="6" t="str">
        <x:v>BMW M4 Service &amp; Repair Dubai</x:v>
      </x:c>
      <x:c r="K845" s="6" t="str">
        <x:v>BMW M4 service Dubai for F82/F83 S55 and G82/G83 S58: M-DCT or ZF 8HP, cooling, brakes, differential, suspension and ISTA diagnostics.</x:v>
      </x:c>
      <x:c r="L845" s="6" t="str">
        <x:v>Retain pending evidence; no specific content edit justified by this export.</x:v>
      </x:c>
      <x:c r="M845" s="6" t="str">
        <x:v>Retain; inspect relevant context before adding links</x:v>
      </x:c>
      <x:c r="N845" s="6" t="str">
        <x:v>Unconfirmed — no query/page pairing</x:v>
      </x:c>
      <x:c r="O845" s="6" t="str">
        <x:v>Retain established booking / WhatsApp / call path; live behaviour untested</x:v>
      </x:c>
      <x:c r="P845" s="6" t="str">
        <x:v>Retain canonical and indexation policy pending a live check.</x:v>
      </x:c>
      <x:c r="Q845" s="6" t="str">
        <x:v>Proposed; no website change made</x:v>
      </x:c>
      <x:c r="R845" s="14"/>
      <x:c r="S845" s="14"/>
      <x:c r="T845" s="15"/>
      <x:c r="U845" s="16"/>
      <x:c r="V845" s="6" t="str">
        <x:v>https://digitecme.com/brands/bmw-service-dubai/m4</x:v>
      </x:c>
      <x:c r="W845" s="6" t="str">
        <x:v>Indexable directive</x:v>
      </x:c>
      <x:c r="X845" s="6" t="n">
        <x:v>2</x:v>
      </x:c>
      <x:c r="Y845" s="6" t="str">
        <x:v>BMW M4 Service &amp; Repair Dubai | F82 &amp; G82 | Digi-Tec</x:v>
      </x:c>
      <x:c r="Z845" s="6" t="str"/>
      <x:c r="AA845" s="6" t="str">
        <x:v>No / not compared</x:v>
      </x:c>
    </x:row>
    <x:row r="846" ht="42" customHeight="1">
      <x:c r="A846" s="6" t="str">
        <x:v>https://digitecme.com/brands/bmw-service-dubai/m5</x:v>
      </x:c>
      <x:c r="B846" s="6" t="str"/>
      <x:c r="C846" s="6" t="str"/>
      <x:c r="D846" s="6" t="str">
        <x:v>service</x:v>
      </x:c>
      <x:c r="E846" s="6" t="str">
        <x:v>Retain differentiated role</x:v>
      </x:c>
      <x:c r="F846" s="6" t="str">
        <x:v>Local source render; live version unverified</x:v>
      </x:c>
      <x:c r="G846" s="6" t="str">
        <x:v>BMW M5 Service &amp; Repair Dubai | F10 &amp; F90 | Digi-Tec</x:v>
      </x:c>
      <x:c r="H846" s="6" t="str">
        <x:v>BMW M5 Service &amp; Repair Dubai | F10 &amp; F90 | Digi-Tec</x:v>
      </x:c>
      <x:c r="I846" s="6" t="str">
        <x:v>BMW M5 Service &amp; Repair Dubai</x:v>
      </x:c>
      <x:c r="J846" s="6" t="str">
        <x:v>BMW M5 Service &amp; Repair Dubai</x:v>
      </x:c>
      <x:c r="K846" s="6" t="str">
        <x:v>BMW M5 service Dubai for F10 and F90 S63 V8 models: M-DCT or ZF 8HP, cooling, M xDrive, differential, brakes and diagnostics.</x:v>
      </x:c>
      <x:c r="L846" s="6" t="str">
        <x:v>Retain pending evidence; no specific content edit justified by this export.</x:v>
      </x:c>
      <x:c r="M846" s="6" t="str">
        <x:v>Retain; inspect relevant context before adding links</x:v>
      </x:c>
      <x:c r="N846" s="6" t="str">
        <x:v>Unconfirmed — no query/page pairing</x:v>
      </x:c>
      <x:c r="O846" s="6" t="str">
        <x:v>Retain established booking / WhatsApp / call path; live behaviour untested</x:v>
      </x:c>
      <x:c r="P846" s="6" t="str">
        <x:v>Retain canonical and indexation policy pending a live check.</x:v>
      </x:c>
      <x:c r="Q846" s="6" t="str">
        <x:v>Proposed; no website change made</x:v>
      </x:c>
      <x:c r="R846" s="14"/>
      <x:c r="S846" s="14"/>
      <x:c r="T846" s="15"/>
      <x:c r="U846" s="16"/>
      <x:c r="V846" s="6" t="str">
        <x:v>https://digitecme.com/brands/bmw-service-dubai/m5</x:v>
      </x:c>
      <x:c r="W846" s="6" t="str">
        <x:v>Indexable directive</x:v>
      </x:c>
      <x:c r="X846" s="6" t="n">
        <x:v>3</x:v>
      </x:c>
      <x:c r="Y846" s="6" t="str">
        <x:v>BMW M5 Service &amp; Repair Dubai | F10 &amp; F90 | Digi-Tec</x:v>
      </x:c>
      <x:c r="Z846" s="6" t="str"/>
      <x:c r="AA846" s="6" t="str">
        <x:v>No / not compared</x:v>
      </x:c>
    </x:row>
    <x:row r="847" ht="42" customHeight="1">
      <x:c r="A847" s="6" t="str">
        <x:v>https://digitecme.com/brands/bmw-service-dubai/mechanical-repair</x:v>
      </x:c>
      <x:c r="B847" s="6" t="str">
        <x:v>bmw engine repair dubai</x:v>
      </x:c>
      <x:c r="C847" s="6" t="str">
        <x:v>bmw: Engine and mechanical repair</x:v>
      </x:c>
      <x:c r="D847" s="6" t="str">
        <x:v>brand-service</x:v>
      </x:c>
      <x:c r="E847" s="6" t="str">
        <x:v>Primary owner for assigned intent</x:v>
      </x:c>
      <x:c r="F847" s="6" t="str">
        <x:v>Local source render; live version unverified</x:v>
      </x:c>
      <x:c r="G847" s="6" t="str">
        <x:v>BMW Mechanical Repair Dubai | Digi-Tec</x:v>
      </x:c>
      <x:c r="H847" s="6" t="str">
        <x:v>BMW Mechanical Repair Dubai | Digi-Tec</x:v>
      </x:c>
      <x:c r="I847" s="6" t="str">
        <x:v>BMW Mechanical Repair Dubai</x:v>
      </x:c>
      <x:c r="J847" s="6" t="str">
        <x:v>BMW Mechanical Repair Dubai</x:v>
      </x:c>
      <x:c r="K847" s="6" t="str">
        <x:v>BMW mechanical repair in Dubai with model-specific inspection, confirmed parts options and a clear quote at Digi-Tec, Al Quoz.</x:v>
      </x:c>
      <x:c r="L847" s="6" t="str">
        <x:v>Retain pending evidence; no specific content edit justified by this export.</x:v>
      </x:c>
      <x:c r="M847" s="6" t="str">
        <x:v>Retain; inspect relevant context before adding links</x:v>
      </x:c>
      <x:c r="N847" s="6" t="str">
        <x:v>Unconfirmed — no query/page pairing</x:v>
      </x:c>
      <x:c r="O847" s="6" t="str">
        <x:v>Retain established booking / WhatsApp / call path; live behaviour untested</x:v>
      </x:c>
      <x:c r="P847" s="6" t="str">
        <x:v>Retain canonical and indexation policy pending a live check.</x:v>
      </x:c>
      <x:c r="Q847" s="6" t="str">
        <x:v>Proposed; no website change made</x:v>
      </x:c>
      <x:c r="R847" s="14" t="n">
        <x:v>0</x:v>
      </x:c>
      <x:c r="S847" s="14" t="n">
        <x:v>3</x:v>
      </x:c>
      <x:c r="T847" s="15" t="n">
        <x:v>0</x:v>
      </x:c>
      <x:c r="U847" s="16" t="n">
        <x:v>28</x:v>
      </x:c>
      <x:c r="V847" s="6" t="str">
        <x:v>https://digitecme.com/brands/bmw-service-dubai/mechanical-repair</x:v>
      </x:c>
      <x:c r="W847" s="6" t="str">
        <x:v>Indexable directive</x:v>
      </x:c>
      <x:c r="X847" s="6" t="n">
        <x:v>21</x:v>
      </x:c>
      <x:c r="Y847" s="6" t="str">
        <x:v>BMW Mechanical Repair Dubai | Digi-Tec</x:v>
      </x:c>
      <x:c r="Z847" s="6" t="str"/>
      <x:c r="AA847" s="6" t="str">
        <x:v>No / not compared</x:v>
      </x:c>
    </x:row>
    <x:row r="848" ht="42" customHeight="1">
      <x:c r="A848" s="6" t="str">
        <x:v>https://digitecme.com/brands/bmw-service-dubai/oil-change</x:v>
      </x:c>
      <x:c r="B848" s="6" t="str"/>
      <x:c r="C848" s="6" t="str"/>
      <x:c r="D848" s="6" t="str">
        <x:v>brand-service</x:v>
      </x:c>
      <x:c r="E848" s="6" t="str">
        <x:v>Retain differentiated role</x:v>
      </x:c>
      <x:c r="F848" s="6" t="str">
        <x:v>Local source render; live version unverified</x:v>
      </x:c>
      <x:c r="G848" s="6" t="str">
        <x:v>BMW Oil Change Dubai | Digi-Tec</x:v>
      </x:c>
      <x:c r="H848" s="6" t="str">
        <x:v>BMW Oil Change Dubai | Digi-Tec</x:v>
      </x:c>
      <x:c r="I848" s="6" t="str">
        <x:v>BMW Oil Change Dubai</x:v>
      </x:c>
      <x:c r="J848" s="6" t="str">
        <x:v>BMW Oil Change Dubai</x:v>
      </x:c>
      <x:c r="K848" s="6" t="str">
        <x:v>BMW oil change in Dubai with model-specific inspection, confirmed parts options and a clear quote at Digi-Tec, Al Quoz.</x:v>
      </x:c>
      <x:c r="L848" s="6" t="str">
        <x:v>Retain pending evidence; no specific content edit justified by this export.</x:v>
      </x:c>
      <x:c r="M848" s="6" t="str">
        <x:v>Retain; inspect relevant context before adding links</x:v>
      </x:c>
      <x:c r="N848" s="6" t="str">
        <x:v>Unconfirmed — no query/page pairing</x:v>
      </x:c>
      <x:c r="O848" s="6" t="str">
        <x:v>Retain established booking / WhatsApp / call path; live behaviour untested</x:v>
      </x:c>
      <x:c r="P848" s="6" t="str">
        <x:v>Retain canonical and indexation policy pending a live check.</x:v>
      </x:c>
      <x:c r="Q848" s="6" t="str">
        <x:v>Proposed; no website change made</x:v>
      </x:c>
      <x:c r="R848" s="14" t="n">
        <x:v>0</x:v>
      </x:c>
      <x:c r="S848" s="14" t="n">
        <x:v>7</x:v>
      </x:c>
      <x:c r="T848" s="15" t="n">
        <x:v>0</x:v>
      </x:c>
      <x:c r="U848" s="16" t="n">
        <x:v>41.43</x:v>
      </x:c>
      <x:c r="V848" s="6" t="str">
        <x:v>https://digitecme.com/brands/bmw-service-dubai/oil-change</x:v>
      </x:c>
      <x:c r="W848" s="6" t="str">
        <x:v>Indexable directive</x:v>
      </x:c>
      <x:c r="X848" s="6" t="n">
        <x:v>22</x:v>
      </x:c>
      <x:c r="Y848" s="6" t="str">
        <x:v>BMW Oil Change Dubai | Digi-Tec</x:v>
      </x:c>
      <x:c r="Z848" s="6" t="str"/>
      <x:c r="AA848" s="6" t="str">
        <x:v>No / not compared</x:v>
      </x:c>
    </x:row>
    <x:row r="849" ht="42" customHeight="1">
      <x:c r="A849" s="6" t="str">
        <x:v>https://digitecme.com/brands/bmw-service-dubai/steering-repair</x:v>
      </x:c>
      <x:c r="B849" s="6" t="str"/>
      <x:c r="C849" s="6" t="str"/>
      <x:c r="D849" s="6" t="str">
        <x:v>brand-service</x:v>
      </x:c>
      <x:c r="E849" s="6" t="str">
        <x:v>Retain differentiated role</x:v>
      </x:c>
      <x:c r="F849" s="6" t="str">
        <x:v>Local source render; live version unverified</x:v>
      </x:c>
      <x:c r="G849" s="6" t="str">
        <x:v>BMW Steering Repair Dubai | Digi-Tec</x:v>
      </x:c>
      <x:c r="H849" s="6" t="str">
        <x:v>BMW Steering Repair Dubai | Digi-Tec</x:v>
      </x:c>
      <x:c r="I849" s="6" t="str">
        <x:v>BMW Steering Repair Dubai</x:v>
      </x:c>
      <x:c r="J849" s="6" t="str">
        <x:v>BMW Steering Repair Dubai</x:v>
      </x:c>
      <x:c r="K849" s="6" t="str">
        <x:v>BMW steering repair in Dubai with model-specific inspection, confirmed parts options and a clear quote at Digi-Tec, Al Quoz.</x:v>
      </x:c>
      <x:c r="L849" s="6" t="str">
        <x:v>Retain pending evidence; no specific content edit justified by this export.</x:v>
      </x:c>
      <x:c r="M849" s="6" t="str">
        <x:v>Retain; inspect relevant context before adding links</x:v>
      </x:c>
      <x:c r="N849" s="6" t="str">
        <x:v>Unconfirmed — no query/page pairing</x:v>
      </x:c>
      <x:c r="O849" s="6" t="str">
        <x:v>Retain established booking / WhatsApp / call path; live behaviour untested</x:v>
      </x:c>
      <x:c r="P849" s="6" t="str">
        <x:v>Retain canonical and indexation policy pending a live check.</x:v>
      </x:c>
      <x:c r="Q849" s="6" t="str">
        <x:v>Proposed; no website change made</x:v>
      </x:c>
      <x:c r="R849" s="14"/>
      <x:c r="S849" s="14"/>
      <x:c r="T849" s="15"/>
      <x:c r="U849" s="16"/>
      <x:c r="V849" s="6" t="str">
        <x:v>https://digitecme.com/brands/bmw-service-dubai/steering-repair</x:v>
      </x:c>
      <x:c r="W849" s="6" t="str">
        <x:v>Indexable directive</x:v>
      </x:c>
      <x:c r="X849" s="6" t="n">
        <x:v>16</x:v>
      </x:c>
      <x:c r="Y849" s="6" t="str">
        <x:v>BMW Steering Repair Dubai | Digi-Tec</x:v>
      </x:c>
      <x:c r="Z849" s="6" t="str"/>
      <x:c r="AA849" s="6" t="str">
        <x:v>No / not compared</x:v>
      </x:c>
    </x:row>
    <x:row r="850" ht="42" customHeight="1">
      <x:c r="A850" s="6" t="str">
        <x:v>https://digitecme.com/brands/bmw-service-dubai/suspension-repair</x:v>
      </x:c>
      <x:c r="B850" s="6" t="str">
        <x:v>bmw suspension repair dubai</x:v>
      </x:c>
      <x:c r="C850" s="6" t="str">
        <x:v>bmw: Suspension repair</x:v>
      </x:c>
      <x:c r="D850" s="6" t="str">
        <x:v>brand-service</x:v>
      </x:c>
      <x:c r="E850" s="6" t="str">
        <x:v>Primary owner for assigned intent</x:v>
      </x:c>
      <x:c r="F850" s="6" t="str">
        <x:v>Local source render; live version unverified</x:v>
      </x:c>
      <x:c r="G850" s="6" t="str">
        <x:v>BMW Suspension Repair Dubai | Digi-Tec</x:v>
      </x:c>
      <x:c r="H850" s="6" t="str">
        <x:v>BMW Suspension Repair Dubai | Digi-Tec</x:v>
      </x:c>
      <x:c r="I850" s="6" t="str">
        <x:v>BMW Suspension Repair Dubai</x:v>
      </x:c>
      <x:c r="J850" s="6" t="str">
        <x:v>BMW Suspension Repair Dubai</x:v>
      </x:c>
      <x:c r="K850" s="6" t="str">
        <x:v>BMW suspension repair in Dubai with model-specific inspection, confirmed parts options and a clear quote at Digi-Tec, Al Quoz.</x:v>
      </x:c>
      <x:c r="L850" s="6" t="str">
        <x:v>Retain pending evidence; no specific content edit justified by this export.</x:v>
      </x:c>
      <x:c r="M850" s="6" t="str">
        <x:v>Retain; inspect relevant context before adding links</x:v>
      </x:c>
      <x:c r="N850" s="6" t="str">
        <x:v>Unconfirmed — no query/page pairing</x:v>
      </x:c>
      <x:c r="O850" s="6" t="str">
        <x:v>Retain established booking / WhatsApp / call path; live behaviour untested</x:v>
      </x:c>
      <x:c r="P850" s="6" t="str">
        <x:v>Retain canonical and indexation policy pending a live check.</x:v>
      </x:c>
      <x:c r="Q850" s="6" t="str">
        <x:v>Proposed; no website change made</x:v>
      </x:c>
      <x:c r="R850" s="14" t="n">
        <x:v>0</x:v>
      </x:c>
      <x:c r="S850" s="14" t="n">
        <x:v>32</x:v>
      </x:c>
      <x:c r="T850" s="15" t="n">
        <x:v>0</x:v>
      </x:c>
      <x:c r="U850" s="16" t="n">
        <x:v>15.75</x:v>
      </x:c>
      <x:c r="V850" s="6" t="str">
        <x:v>https://digitecme.com/brands/bmw-service-dubai/suspension-repair</x:v>
      </x:c>
      <x:c r="W850" s="6" t="str">
        <x:v>Indexable directive</x:v>
      </x:c>
      <x:c r="X850" s="6" t="n">
        <x:v>21</x:v>
      </x:c>
      <x:c r="Y850" s="6" t="str">
        <x:v>BMW Suspension Repair Dubai | Digi-Tec</x:v>
      </x:c>
      <x:c r="Z850" s="6" t="str"/>
      <x:c r="AA850" s="6" t="str">
        <x:v>No / not compared</x:v>
      </x:c>
    </x:row>
    <x:row r="851" ht="42" customHeight="1">
      <x:c r="A851" s="6" t="str">
        <x:v>https://digitecme.com/brands/bmw-service-dubai/tire-repair</x:v>
      </x:c>
      <x:c r="B851" s="6" t="str"/>
      <x:c r="C851" s="6" t="str"/>
      <x:c r="D851" s="6" t="str">
        <x:v>brand-service</x:v>
      </x:c>
      <x:c r="E851" s="6" t="str">
        <x:v>Retain differentiated role</x:v>
      </x:c>
      <x:c r="F851" s="6" t="str">
        <x:v>Local source render; live version unverified</x:v>
      </x:c>
      <x:c r="G851" s="6" t="str">
        <x:v>BMW Tyre Repair Dubai | Digi-Tec</x:v>
      </x:c>
      <x:c r="H851" s="6" t="str">
        <x:v>BMW Tyre Repair Dubai | Digi-Tec</x:v>
      </x:c>
      <x:c r="I851" s="6" t="str">
        <x:v>BMW Tyre Repair Dubai</x:v>
      </x:c>
      <x:c r="J851" s="6" t="str">
        <x:v>BMW Tyre Repair Dubai</x:v>
      </x:c>
      <x:c r="K851" s="6" t="str">
        <x:v>BMW tyre repair in Dubai with model-specific inspection, confirmed parts options and a clear quote at Digi-Tec, Al Quoz.</x:v>
      </x:c>
      <x:c r="L851" s="6" t="str">
        <x:v>Retain pending evidence; no specific content edit justified by this export.</x:v>
      </x:c>
      <x:c r="M851" s="6" t="str">
        <x:v>Retain; inspect relevant context before adding links</x:v>
      </x:c>
      <x:c r="N851" s="6" t="str">
        <x:v>Unconfirmed — no query/page pairing</x:v>
      </x:c>
      <x:c r="O851" s="6" t="str">
        <x:v>Retain established booking / WhatsApp / call path; live behaviour untested</x:v>
      </x:c>
      <x:c r="P851" s="6" t="str">
        <x:v>Retain canonical and indexation policy pending a live check.</x:v>
      </x:c>
      <x:c r="Q851" s="6" t="str">
        <x:v>Proposed; no website change made</x:v>
      </x:c>
      <x:c r="R851" s="14" t="n">
        <x:v>0</x:v>
      </x:c>
      <x:c r="S851" s="14" t="n">
        <x:v>9</x:v>
      </x:c>
      <x:c r="T851" s="15" t="n">
        <x:v>0</x:v>
      </x:c>
      <x:c r="U851" s="16" t="n">
        <x:v>21.56</x:v>
      </x:c>
      <x:c r="V851" s="6" t="str">
        <x:v>https://digitecme.com/brands/bmw-service-dubai/tire-repair</x:v>
      </x:c>
      <x:c r="W851" s="6" t="str">
        <x:v>Indexable directive</x:v>
      </x:c>
      <x:c r="X851" s="6" t="n">
        <x:v>16</x:v>
      </x:c>
      <x:c r="Y851" s="6" t="str">
        <x:v>BMW Tyre Repair Dubai | Digi-Tec</x:v>
      </x:c>
      <x:c r="Z851" s="6" t="str"/>
      <x:c r="AA851" s="6" t="str">
        <x:v>No / not compared</x:v>
      </x:c>
    </x:row>
    <x:row r="852" ht="57" customHeight="1">
      <x:c r="A852" s="6" t="str">
        <x:v>https://digitecme.com/brands/bmw-service-dubai/transmission-repair</x:v>
      </x:c>
      <x:c r="B852" s="6" t="str">
        <x:v>bmw transmission repair dubai</x:v>
      </x:c>
      <x:c r="C852" s="6" t="str">
        <x:v>bmw: Transmission and gearbox repair</x:v>
      </x:c>
      <x:c r="D852" s="6" t="str">
        <x:v>brand-service</x:v>
      </x:c>
      <x:c r="E852" s="6" t="str">
        <x:v>Primary owner for assigned intent</x:v>
      </x:c>
      <x:c r="F852" s="6" t="str">
        <x:v>Live HTML checked 9 Sep 2026</x:v>
      </x:c>
      <x:c r="G852" s="6" t="str">
        <x:v>BMW Transmission Repair Dubai | Digi-Tec</x:v>
      </x:c>
      <x:c r="H852" s="6" t="str">
        <x:v>BMW Transmission Repair Dubai | Digi-Tec</x:v>
      </x:c>
      <x:c r="I852" s="6" t="str">
        <x:v>BMW Transmission Repair Dubai</x:v>
      </x:c>
      <x:c r="J852" s="6" t="str">
        <x:v>BMW Transmission Repair Dubai</x:v>
      </x:c>
      <x:c r="K852" s="6" t="str">
        <x:v>BMW transmission repair in Dubai with model-specific inspection, confirmed parts options and a clear quote at Digi-Tec, Al Quoz.</x:v>
      </x:c>
      <x:c r="L852" s="6" t="str">
        <x:v>Lead with delayed engagement, rough shifts, slipping and gearbox warnings. Then distinguish fluid/filter maintenance from diagnosis, control-system repair and internal repair. Replace the malformed models heading. Retain transmission-specific qualifications.</x:v>
      </x:c>
      <x:c r="M852" s="6" t="str">
        <x:v>Add a contextual link from the BMW hub gearbox summary if absent; retain the return link to BMW service.</x:v>
      </x:c>
      <x:c r="N852" s="6" t="str">
        <x:v>Unconfirmed — no query/page pairing</x:v>
      </x:c>
      <x:c r="O852" s="6" t="str">
        <x:v>Request a BMW Gearbox Inspection</x:v>
      </x:c>
      <x:c r="P852" s="6" t="str">
        <x:v>Retain; verify against production before release</x:v>
      </x:c>
      <x:c r="Q852" s="6" t="str">
        <x:v>Proposed; no website change made</x:v>
      </x:c>
      <x:c r="R852" s="14" t="n">
        <x:v>0</x:v>
      </x:c>
      <x:c r="S852" s="14" t="n">
        <x:v>105</x:v>
      </x:c>
      <x:c r="T852" s="15" t="n">
        <x:v>0</x:v>
      </x:c>
      <x:c r="U852" s="16" t="n">
        <x:v>20.57</x:v>
      </x:c>
      <x:c r="V852" s="6" t="str">
        <x:v>https://digitecme.com/brands/bmw-service-dubai/transmission-repair</x:v>
      </x:c>
      <x:c r="W852" s="6" t="str">
        <x:v>Indexable directive</x:v>
      </x:c>
      <x:c r="X852" s="6" t="n">
        <x:v>22</x:v>
      </x:c>
      <x:c r="Y852" s="6" t="str">
        <x:v>BMW Transmission Repair Dubai | Digi-Tec</x:v>
      </x:c>
      <x:c r="Z852" s="6" t="str">
        <x:v>BMW Transmission Repair Dubai | Digi-Tec</x:v>
      </x:c>
      <x:c r="AA852" s="6" t="str">
        <x:v>No / not compared</x:v>
      </x:c>
    </x:row>
    <x:row r="853" ht="42" customHeight="1">
      <x:c r="A853" s="6" t="str">
        <x:v>https://digitecme.com/brands/bmw-service-dubai/x5</x:v>
      </x:c>
      <x:c r="B853" s="6" t="str"/>
      <x:c r="C853" s="6" t="str"/>
      <x:c r="D853" s="6" t="str">
        <x:v>service</x:v>
      </x:c>
      <x:c r="E853" s="6" t="str">
        <x:v>Retain differentiated role</x:v>
      </x:c>
      <x:c r="F853" s="6" t="str">
        <x:v>Local source render; live version unverified</x:v>
      </x:c>
      <x:c r="G853" s="6" t="str">
        <x:v>BMW X5 Service &amp; Repair Dubai | Digi-Tec Al Quoz</x:v>
      </x:c>
      <x:c r="H853" s="6" t="str">
        <x:v>BMW X5 Service &amp; Repair Dubai | Digi-Tec Al Quoz</x:v>
      </x:c>
      <x:c r="I853" s="6" t="str">
        <x:v>BMW X5 Service &amp; Repair Dubai</x:v>
      </x:c>
      <x:c r="J853" s="6" t="str">
        <x:v>BMW X5 Service &amp; Repair Dubai</x:v>
      </x:c>
      <x:c r="K853" s="6" t="str">
        <x:v>BMW X5 service and repair in Dubai for E70, F15 and G05: cooling, ZF transmission, xDrive, air suspension, brakes and ISTA diagnostics.</x:v>
      </x:c>
      <x:c r="L853" s="6" t="str">
        <x:v>Retain pending evidence; no specific content edit justified by this export.</x:v>
      </x:c>
      <x:c r="M853" s="6" t="str">
        <x:v>Retain; inspect relevant context before adding links</x:v>
      </x:c>
      <x:c r="N853" s="6" t="str">
        <x:v>Unconfirmed — no query/page pairing</x:v>
      </x:c>
      <x:c r="O853" s="6" t="str">
        <x:v>Retain established booking / WhatsApp / call path; live behaviour untested</x:v>
      </x:c>
      <x:c r="P853" s="6" t="str">
        <x:v>Retain canonical and indexation policy pending a live check.</x:v>
      </x:c>
      <x:c r="Q853" s="6" t="str">
        <x:v>Proposed; no website change made</x:v>
      </x:c>
      <x:c r="R853" s="14"/>
      <x:c r="S853" s="14"/>
      <x:c r="T853" s="15"/>
      <x:c r="U853" s="16"/>
      <x:c r="V853" s="6" t="str">
        <x:v>https://digitecme.com/brands/bmw-service-dubai/x5</x:v>
      </x:c>
      <x:c r="W853" s="6" t="str">
        <x:v>Indexable directive</x:v>
      </x:c>
      <x:c r="X853" s="6" t="n">
        <x:v>22</x:v>
      </x:c>
      <x:c r="Y853" s="6" t="str">
        <x:v>BMW X5 Service &amp; Repair Dubai | Digi-Tec Al Quoz</x:v>
      </x:c>
      <x:c r="Z853" s="6" t="str"/>
      <x:c r="AA853" s="6" t="str">
        <x:v>No / not compared</x:v>
      </x:c>
    </x:row>
    <x:row r="854" ht="42" customHeight="1">
      <x:c r="A854" s="6" t="str">
        <x:v>https://digitecme.com/brands/bmw-service-dubai/x6</x:v>
      </x:c>
      <x:c r="B854" s="6" t="str"/>
      <x:c r="C854" s="6" t="str"/>
      <x:c r="D854" s="6" t="str">
        <x:v>service</x:v>
      </x:c>
      <x:c r="E854" s="6" t="str">
        <x:v>Retain differentiated role</x:v>
      </x:c>
      <x:c r="F854" s="6" t="str">
        <x:v>Local source render; live version unverified</x:v>
      </x:c>
      <x:c r="G854" s="6" t="str">
        <x:v>BMW X6 Service &amp; Repair Dubai | Digi-Tec</x:v>
      </x:c>
      <x:c r="H854" s="6" t="str">
        <x:v>BMW X6 Service &amp; Repair Dubai | Digi-Tec</x:v>
      </x:c>
      <x:c r="I854" s="6" t="str">
        <x:v>BMW X6 Service &amp; Repair Dubai</x:v>
      </x:c>
      <x:c r="J854" s="6" t="str">
        <x:v>BMW X6 Service &amp; Repair Dubai</x:v>
      </x:c>
      <x:c r="K854" s="6" t="str">
        <x:v>BMW X6 service and repair Dubai for E71, F16 and G06, covering xDrive, ZF 8HP, adaptive suspension, cooling, brakes and diagnostics.</x:v>
      </x:c>
      <x:c r="L854" s="6" t="str">
        <x:v>Retain pending evidence; no specific content edit justified by this export.</x:v>
      </x:c>
      <x:c r="M854" s="6" t="str">
        <x:v>Retain; inspect relevant context before adding links</x:v>
      </x:c>
      <x:c r="N854" s="6" t="str">
        <x:v>Unconfirmed — no query/page pairing</x:v>
      </x:c>
      <x:c r="O854" s="6" t="str">
        <x:v>Retain established booking / WhatsApp / call path; live behaviour untested</x:v>
      </x:c>
      <x:c r="P854" s="6" t="str">
        <x:v>Retain canonical and indexation policy pending a live check.</x:v>
      </x:c>
      <x:c r="Q854" s="6" t="str">
        <x:v>Proposed; no website change made</x:v>
      </x:c>
      <x:c r="R854" s="14"/>
      <x:c r="S854" s="14"/>
      <x:c r="T854" s="15"/>
      <x:c r="U854" s="16"/>
      <x:c r="V854" s="6" t="str">
        <x:v>https://digitecme.com/brands/bmw-service-dubai/x6</x:v>
      </x:c>
      <x:c r="W854" s="6" t="str">
        <x:v>Indexable directive</x:v>
      </x:c>
      <x:c r="X854" s="6" t="n">
        <x:v>9</x:v>
      </x:c>
      <x:c r="Y854" s="6" t="str">
        <x:v>BMW X6 Service &amp; Repair Dubai | Digi-Tec</x:v>
      </x:c>
      <x:c r="Z854" s="6" t="str"/>
      <x:c r="AA854" s="6" t="str">
        <x:v>No / not compared</x:v>
      </x:c>
    </x:row>
    <x:row r="855" ht="42" customHeight="1">
      <x:c r="A855" s="6" t="str">
        <x:v>https://digitecme.com/brands/bugatti-service-dubai</x:v>
      </x:c>
      <x:c r="B855" s="6" t="str">
        <x:v>bugatti repair dubai</x:v>
      </x:c>
      <x:c r="C855" s="6" t="str">
        <x:v>bugatti: Service and repair; bugatti: Service and repair (outside Dubai)</x:v>
      </x:c>
      <x:c r="D855" s="6" t="str">
        <x:v>brand</x:v>
      </x:c>
      <x:c r="E855" s="6" t="str">
        <x:v>Primary owner for assigned intent</x:v>
      </x:c>
      <x:c r="F855" s="6" t="str">
        <x:v>Local source render; live version unverified</x:v>
      </x:c>
      <x:c r="G855" s="6" t="str">
        <x:v>Bugatti Repair Dubai | Digi-Tec</x:v>
      </x:c>
      <x:c r="H855" s="6" t="str">
        <x:v>Bugatti Repair Dubai | Digi-Tec</x:v>
      </x:c>
      <x:c r="I855" s="6" t="str">
        <x:v>Bugatti Repair &amp; Service Dubai</x:v>
      </x:c>
      <x:c r="J855" s="6" t="str">
        <x:v>Bugatti Repair &amp; Service Dubai</x:v>
      </x:c>
      <x:c r="K855" s="6" t="str">
        <x:v>Specialist Bugatti repair and service in Dubai: diagnostics, maintenance, brakes, transmission, suspension and AC at Digi-Tec, Al Quoz.</x:v>
      </x:c>
      <x:c r="L855" s="6" t="str">
        <x:v>Retain pending evidence; no specific content edit justified by this export.</x:v>
      </x:c>
      <x:c r="M855" s="6" t="str">
        <x:v>Retain; inspect relevant context before adding links</x:v>
      </x:c>
      <x:c r="N855" s="6" t="str">
        <x:v>Unconfirmed — no query/page pairing</x:v>
      </x:c>
      <x:c r="O855" s="6" t="str">
        <x:v>Retain established booking / WhatsApp / call path; live behaviour untested</x:v>
      </x:c>
      <x:c r="P855" s="6" t="str">
        <x:v>Retain canonical and indexation policy pending a live check.</x:v>
      </x:c>
      <x:c r="Q855" s="6" t="str">
        <x:v>Proposed; no website change made</x:v>
      </x:c>
      <x:c r="R855" s="14" t="n">
        <x:v>0</x:v>
      </x:c>
      <x:c r="S855" s="14" t="n">
        <x:v>485</x:v>
      </x:c>
      <x:c r="T855" s="15" t="n">
        <x:v>0</x:v>
      </x:c>
      <x:c r="U855" s="16" t="n">
        <x:v>15.86</x:v>
      </x:c>
      <x:c r="V855" s="6" t="str">
        <x:v>https://digitecme.com/brands/bugatti-service-dubai</x:v>
      </x:c>
      <x:c r="W855" s="6" t="str">
        <x:v>Indexable directive</x:v>
      </x:c>
      <x:c r="X855" s="6" t="n">
        <x:v>69</x:v>
      </x:c>
      <x:c r="Y855" s="6" t="str">
        <x:v>Bugatti Repair Dubai | Digi-Tec</x:v>
      </x:c>
      <x:c r="Z855" s="6" t="str"/>
      <x:c r="AA855" s="6" t="str">
        <x:v>No / not compared</x:v>
      </x:c>
    </x:row>
    <x:row r="856" ht="42" customHeight="1">
      <x:c r="A856" s="6" t="str">
        <x:v>https://digitecme.com/brands/bugatti-service-dubai/ac-repair</x:v>
      </x:c>
      <x:c r="B856" s="6" t="str"/>
      <x:c r="C856" s="6" t="str"/>
      <x:c r="D856" s="6" t="str">
        <x:v>brand-service</x:v>
      </x:c>
      <x:c r="E856" s="6" t="str">
        <x:v>Retain differentiated role</x:v>
      </x:c>
      <x:c r="F856" s="6" t="str">
        <x:v>Local source render; live version unverified</x:v>
      </x:c>
      <x:c r="G856" s="6" t="str">
        <x:v>Bugatti AC Repair Dubai | Digi-Tec</x:v>
      </x:c>
      <x:c r="H856" s="6" t="str">
        <x:v>Bugatti AC Repair Dubai | Digi-Tec</x:v>
      </x:c>
      <x:c r="I856" s="6" t="str">
        <x:v>Bugatti AC Repair Dubai</x:v>
      </x:c>
      <x:c r="J856" s="6" t="str">
        <x:v>Bugatti AC Repair Dubai</x:v>
      </x:c>
      <x:c r="K856" s="6" t="str">
        <x:v>Bugatti ac repair in Dubai with model-specific inspection, confirmed parts options and a clear quote at Digi-Tec, Al Quoz.</x:v>
      </x:c>
      <x:c r="L856" s="6" t="str">
        <x:v>Retain pending evidence; no specific content edit justified by this export.</x:v>
      </x:c>
      <x:c r="M856" s="6" t="str">
        <x:v>Retain; inspect relevant context before adding links</x:v>
      </x:c>
      <x:c r="N856" s="6" t="str">
        <x:v>Unconfirmed — no query/page pairing</x:v>
      </x:c>
      <x:c r="O856" s="6" t="str">
        <x:v>Retain established booking / WhatsApp / call path; live behaviour untested</x:v>
      </x:c>
      <x:c r="P856" s="6" t="str">
        <x:v>Retain canonical and indexation policy pending a live check.</x:v>
      </x:c>
      <x:c r="Q856" s="6" t="str">
        <x:v>Proposed; no website change made</x:v>
      </x:c>
      <x:c r="R856" s="14" t="n">
        <x:v>0</x:v>
      </x:c>
      <x:c r="S856" s="14" t="n">
        <x:v>2</x:v>
      </x:c>
      <x:c r="T856" s="15" t="n">
        <x:v>0</x:v>
      </x:c>
      <x:c r="U856" s="16" t="n">
        <x:v>46</x:v>
      </x:c>
      <x:c r="V856" s="6" t="str">
        <x:v>https://digitecme.com/brands/bugatti-service-dubai/ac-repair</x:v>
      </x:c>
      <x:c r="W856" s="6" t="str">
        <x:v>Indexable directive</x:v>
      </x:c>
      <x:c r="X856" s="6" t="n">
        <x:v>16</x:v>
      </x:c>
      <x:c r="Y856" s="6" t="str">
        <x:v>Bugatti AC Repair Dubai | Digi-Tec</x:v>
      </x:c>
      <x:c r="Z856" s="6" t="str"/>
      <x:c r="AA856" s="6" t="str">
        <x:v>No / not compared</x:v>
      </x:c>
    </x:row>
    <x:row r="857" ht="42" customHeight="1">
      <x:c r="A857" s="6" t="str">
        <x:v>https://digitecme.com/brands/bugatti-service-dubai/battery-replacement</x:v>
      </x:c>
      <x:c r="B857" s="6" t="str"/>
      <x:c r="C857" s="6" t="str"/>
      <x:c r="D857" s="6" t="str">
        <x:v>brand-service</x:v>
      </x:c>
      <x:c r="E857" s="6" t="str">
        <x:v>Retain differentiated role</x:v>
      </x:c>
      <x:c r="F857" s="6" t="str">
        <x:v>Local source render; live version unverified</x:v>
      </x:c>
      <x:c r="G857" s="6" t="str">
        <x:v>Bugatti Battery Replacement Dubai | Digi-Tec</x:v>
      </x:c>
      <x:c r="H857" s="6" t="str">
        <x:v>Bugatti Battery Replacement Dubai | Digi-Tec</x:v>
      </x:c>
      <x:c r="I857" s="6" t="str">
        <x:v>Bugatti Battery Replacement Dubai</x:v>
      </x:c>
      <x:c r="J857" s="6" t="str">
        <x:v>Bugatti Battery Replacement Dubai</x:v>
      </x:c>
      <x:c r="K857" s="6" t="str">
        <x:v>Bugatti battery replacement in Dubai with model-specific inspection, confirmed parts options and a clear quote at Digi-Tec, Al Quoz.</x:v>
      </x:c>
      <x:c r="L857" s="6" t="str">
        <x:v>Retain pending evidence; no specific content edit justified by this export.</x:v>
      </x:c>
      <x:c r="M857" s="6" t="str">
        <x:v>Retain; inspect relevant context before adding links</x:v>
      </x:c>
      <x:c r="N857" s="6" t="str">
        <x:v>Unconfirmed — no query/page pairing</x:v>
      </x:c>
      <x:c r="O857" s="6" t="str">
        <x:v>Retain established booking / WhatsApp / call path; live behaviour untested</x:v>
      </x:c>
      <x:c r="P857" s="6" t="str">
        <x:v>Retain canonical and indexation policy pending a live check.</x:v>
      </x:c>
      <x:c r="Q857" s="6" t="str">
        <x:v>Proposed; no website change made</x:v>
      </x:c>
      <x:c r="R857" s="14"/>
      <x:c r="S857" s="14"/>
      <x:c r="T857" s="15"/>
      <x:c r="U857" s="16"/>
      <x:c r="V857" s="6" t="str">
        <x:v>https://digitecme.com/brands/bugatti-service-dubai/battery-replacement</x:v>
      </x:c>
      <x:c r="W857" s="6" t="str">
        <x:v>Noindex directive</x:v>
      </x:c>
      <x:c r="X857" s="6" t="n">
        <x:v>16</x:v>
      </x:c>
      <x:c r="Y857" s="6" t="str">
        <x:v>Bugatti Battery Replacement Dubai | Digi-Tec</x:v>
      </x:c>
      <x:c r="Z857" s="6" t="str"/>
      <x:c r="AA857" s="6" t="str">
        <x:v>No / not compared</x:v>
      </x:c>
    </x:row>
    <x:row r="858" ht="42" customHeight="1">
      <x:c r="A858" s="6" t="str">
        <x:v>https://digitecme.com/brands/bugatti-service-dubai/body-repair</x:v>
      </x:c>
      <x:c r="B858" s="6" t="str"/>
      <x:c r="C858" s="6" t="str"/>
      <x:c r="D858" s="6" t="str">
        <x:v>brand-service</x:v>
      </x:c>
      <x:c r="E858" s="6" t="str">
        <x:v>Retain differentiated role</x:v>
      </x:c>
      <x:c r="F858" s="6" t="str">
        <x:v>Local source render; live version unverified</x:v>
      </x:c>
      <x:c r="G858" s="6" t="str">
        <x:v>Bugatti Body Repair Dubai | Digi-Tec</x:v>
      </x:c>
      <x:c r="H858" s="6" t="str">
        <x:v>Bugatti Body Repair Dubai | Digi-Tec</x:v>
      </x:c>
      <x:c r="I858" s="6" t="str">
        <x:v>Bugatti Body Repair Dubai</x:v>
      </x:c>
      <x:c r="J858" s="6" t="str">
        <x:v>Bugatti Body Repair Dubai</x:v>
      </x:c>
      <x:c r="K858" s="6" t="str">
        <x:v>Bugatti body repair in Dubai with model-specific inspection, confirmed parts options and a clear quote at Digi-Tec, Al Quoz.</x:v>
      </x:c>
      <x:c r="L858" s="6" t="str">
        <x:v>Retain pending evidence; no specific content edit justified by this export.</x:v>
      </x:c>
      <x:c r="M858" s="6" t="str">
        <x:v>Retain; inspect relevant context before adding links</x:v>
      </x:c>
      <x:c r="N858" s="6" t="str">
        <x:v>Unconfirmed — no query/page pairing</x:v>
      </x:c>
      <x:c r="O858" s="6" t="str">
        <x:v>Retain established booking / WhatsApp / call path; live behaviour untested</x:v>
      </x:c>
      <x:c r="P858" s="6" t="str">
        <x:v>Retain canonical and indexation policy pending a live check.</x:v>
      </x:c>
      <x:c r="Q858" s="6" t="str">
        <x:v>Proposed; no website change made</x:v>
      </x:c>
      <x:c r="R858" s="14"/>
      <x:c r="S858" s="14"/>
      <x:c r="T858" s="15"/>
      <x:c r="U858" s="16"/>
      <x:c r="V858" s="6" t="str">
        <x:v>https://digitecme.com/brands/bugatti-service-dubai/body-repair</x:v>
      </x:c>
      <x:c r="W858" s="6" t="str">
        <x:v>Noindex directive</x:v>
      </x:c>
      <x:c r="X858" s="6" t="n">
        <x:v>16</x:v>
      </x:c>
      <x:c r="Y858" s="6" t="str">
        <x:v>Bugatti Body Repair Dubai | Digi-Tec</x:v>
      </x:c>
      <x:c r="Z858" s="6" t="str"/>
      <x:c r="AA858" s="6" t="str">
        <x:v>No / not compared</x:v>
      </x:c>
    </x:row>
    <x:row r="859" ht="42" customHeight="1">
      <x:c r="A859" s="6" t="str">
        <x:v>https://digitecme.com/brands/bugatti-service-dubai/brake-repair</x:v>
      </x:c>
      <x:c r="B859" s="6" t="str"/>
      <x:c r="C859" s="6" t="str"/>
      <x:c r="D859" s="6" t="str">
        <x:v>brand-service</x:v>
      </x:c>
      <x:c r="E859" s="6" t="str">
        <x:v>Retain differentiated role</x:v>
      </x:c>
      <x:c r="F859" s="6" t="str">
        <x:v>Local source render; live version unverified</x:v>
      </x:c>
      <x:c r="G859" s="6" t="str">
        <x:v>Bugatti Brake Repair Dubai | Digi-Tec</x:v>
      </x:c>
      <x:c r="H859" s="6" t="str">
        <x:v>Bugatti Brake Repair Dubai | Digi-Tec</x:v>
      </x:c>
      <x:c r="I859" s="6" t="str">
        <x:v>Bugatti Brake Repair Dubai</x:v>
      </x:c>
      <x:c r="J859" s="6" t="str">
        <x:v>Bugatti Brake Repair Dubai</x:v>
      </x:c>
      <x:c r="K859" s="6" t="str">
        <x:v>Bugatti brake repair in Dubai with model-specific inspection, confirmed parts options and a clear quote at Digi-Tec, Al Quoz.</x:v>
      </x:c>
      <x:c r="L859" s="6" t="str">
        <x:v>Retain pending evidence; no specific content edit justified by this export.</x:v>
      </x:c>
      <x:c r="M859" s="6" t="str">
        <x:v>Retain; inspect relevant context before adding links</x:v>
      </x:c>
      <x:c r="N859" s="6" t="str">
        <x:v>Unconfirmed — no query/page pairing</x:v>
      </x:c>
      <x:c r="O859" s="6" t="str">
        <x:v>Retain established booking / WhatsApp / call path; live behaviour untested</x:v>
      </x:c>
      <x:c r="P859" s="6" t="str">
        <x:v>Retain canonical and indexation policy pending a live check.</x:v>
      </x:c>
      <x:c r="Q859" s="6" t="str">
        <x:v>Proposed; no website change made</x:v>
      </x:c>
      <x:c r="R859" s="14" t="n">
        <x:v>0</x:v>
      </x:c>
      <x:c r="S859" s="14" t="n">
        <x:v>3</x:v>
      </x:c>
      <x:c r="T859" s="15" t="n">
        <x:v>0</x:v>
      </x:c>
      <x:c r="U859" s="16" t="n">
        <x:v>68.33</x:v>
      </x:c>
      <x:c r="V859" s="6" t="str">
        <x:v>https://digitecme.com/brands/bugatti-service-dubai/brake-repair</x:v>
      </x:c>
      <x:c r="W859" s="6" t="str">
        <x:v>Indexable directive</x:v>
      </x:c>
      <x:c r="X859" s="6" t="n">
        <x:v>16</x:v>
      </x:c>
      <x:c r="Y859" s="6" t="str">
        <x:v>Bugatti Brake Repair Dubai | Digi-Tec</x:v>
      </x:c>
      <x:c r="Z859" s="6" t="str"/>
      <x:c r="AA859" s="6" t="str">
        <x:v>No / not compared</x:v>
      </x:c>
    </x:row>
    <x:row r="860" ht="42" customHeight="1">
      <x:c r="A860" s="6" t="str">
        <x:v>https://digitecme.com/brands/bugatti-service-dubai/electrical-repair</x:v>
      </x:c>
      <x:c r="B860" s="6" t="str"/>
      <x:c r="C860" s="6" t="str"/>
      <x:c r="D860" s="6" t="str">
        <x:v>brand-service</x:v>
      </x:c>
      <x:c r="E860" s="6" t="str">
        <x:v>Retain differentiated role</x:v>
      </x:c>
      <x:c r="F860" s="6" t="str">
        <x:v>Local source render; live version unverified</x:v>
      </x:c>
      <x:c r="G860" s="6" t="str">
        <x:v>Bugatti Electrical Repair Dubai | Digi-Tec</x:v>
      </x:c>
      <x:c r="H860" s="6" t="str">
        <x:v>Bugatti Electrical Repair Dubai | Digi-Tec</x:v>
      </x:c>
      <x:c r="I860" s="6" t="str">
        <x:v>Bugatti Electrical Repair Dubai</x:v>
      </x:c>
      <x:c r="J860" s="6" t="str">
        <x:v>Bugatti Electrical Repair Dubai</x:v>
      </x:c>
      <x:c r="K860" s="6" t="str">
        <x:v>Bugatti electrical repair in Dubai with model-specific inspection, confirmed parts options and a clear quote at Digi-Tec, Al Quoz.</x:v>
      </x:c>
      <x:c r="L860" s="6" t="str">
        <x:v>Retain pending evidence; no specific content edit justified by this export.</x:v>
      </x:c>
      <x:c r="M860" s="6" t="str">
        <x:v>Retain; inspect relevant context before adding links</x:v>
      </x:c>
      <x:c r="N860" s="6" t="str">
        <x:v>Unconfirmed — no query/page pairing</x:v>
      </x:c>
      <x:c r="O860" s="6" t="str">
        <x:v>Retain established booking / WhatsApp / call path; live behaviour untested</x:v>
      </x:c>
      <x:c r="P860" s="6" t="str">
        <x:v>Retain canonical and indexation policy pending a live check.</x:v>
      </x:c>
      <x:c r="Q860" s="6" t="str">
        <x:v>Proposed; no website change made</x:v>
      </x:c>
      <x:c r="R860" s="14" t="n">
        <x:v>0</x:v>
      </x:c>
      <x:c r="S860" s="14" t="n">
        <x:v>27</x:v>
      </x:c>
      <x:c r="T860" s="15" t="n">
        <x:v>0</x:v>
      </x:c>
      <x:c r="U860" s="16" t="n">
        <x:v>63.22</x:v>
      </x:c>
      <x:c r="V860" s="6" t="str">
        <x:v>https://digitecme.com/brands/bugatti-service-dubai/electrical-repair</x:v>
      </x:c>
      <x:c r="W860" s="6" t="str">
        <x:v>Noindex directive</x:v>
      </x:c>
      <x:c r="X860" s="6" t="n">
        <x:v>16</x:v>
      </x:c>
      <x:c r="Y860" s="6" t="str">
        <x:v>Bugatti Electrical Repair Dubai | Digi-Tec</x:v>
      </x:c>
      <x:c r="Z860" s="6" t="str"/>
      <x:c r="AA860" s="6" t="str">
        <x:v>No / not compared</x:v>
      </x:c>
    </x:row>
    <x:row r="861" ht="42" customHeight="1">
      <x:c r="A861" s="6" t="str">
        <x:v>https://digitecme.com/brands/bugatti-service-dubai/engine-diagnostics</x:v>
      </x:c>
      <x:c r="B861" s="6" t="str"/>
      <x:c r="C861" s="6" t="str"/>
      <x:c r="D861" s="6" t="str">
        <x:v>brand-service</x:v>
      </x:c>
      <x:c r="E861" s="6" t="str">
        <x:v>Retain differentiated role</x:v>
      </x:c>
      <x:c r="F861" s="6" t="str">
        <x:v>Local source render; live version unverified</x:v>
      </x:c>
      <x:c r="G861" s="6" t="str">
        <x:v>Bugatti Engine Diagnostics Dubai | Digi-Tec</x:v>
      </x:c>
      <x:c r="H861" s="6" t="str">
        <x:v>Bugatti Engine Diagnostics Dubai | Digi-Tec</x:v>
      </x:c>
      <x:c r="I861" s="6" t="str">
        <x:v>Bugatti Engine Diagnostics Dubai</x:v>
      </x:c>
      <x:c r="J861" s="6" t="str">
        <x:v>Bugatti Engine Diagnostics Dubai</x:v>
      </x:c>
      <x:c r="K861" s="6" t="str">
        <x:v>Bugatti engine diagnostics in Dubai with model-specific inspection, confirmed parts options and a clear quote at Digi-Tec, Al Quoz.</x:v>
      </x:c>
      <x:c r="L861" s="6" t="str">
        <x:v>Retain pending evidence; no specific content edit justified by this export.</x:v>
      </x:c>
      <x:c r="M861" s="6" t="str">
        <x:v>Retain; inspect relevant context before adding links</x:v>
      </x:c>
      <x:c r="N861" s="6" t="str">
        <x:v>Unconfirmed — no query/page pairing</x:v>
      </x:c>
      <x:c r="O861" s="6" t="str">
        <x:v>Retain established booking / WhatsApp / call path; live behaviour untested</x:v>
      </x:c>
      <x:c r="P861" s="6" t="str">
        <x:v>Retain canonical and indexation policy pending a live check.</x:v>
      </x:c>
      <x:c r="Q861" s="6" t="str">
        <x:v>Proposed; no website change made</x:v>
      </x:c>
      <x:c r="R861" s="14" t="n">
        <x:v>0</x:v>
      </x:c>
      <x:c r="S861" s="14" t="n">
        <x:v>3</x:v>
      </x:c>
      <x:c r="T861" s="15" t="n">
        <x:v>0</x:v>
      </x:c>
      <x:c r="U861" s="16" t="n">
        <x:v>31.33</x:v>
      </x:c>
      <x:c r="V861" s="6" t="str">
        <x:v>https://digitecme.com/brands/bugatti-service-dubai/engine-diagnostics</x:v>
      </x:c>
      <x:c r="W861" s="6" t="str">
        <x:v>Indexable directive</x:v>
      </x:c>
      <x:c r="X861" s="6" t="n">
        <x:v>16</x:v>
      </x:c>
      <x:c r="Y861" s="6" t="str">
        <x:v>Bugatti Engine Diagnostics Dubai | Digi-Tec</x:v>
      </x:c>
      <x:c r="Z861" s="6" t="str"/>
      <x:c r="AA861" s="6" t="str">
        <x:v>No / not compared</x:v>
      </x:c>
    </x:row>
    <x:row r="862" ht="42" customHeight="1">
      <x:c r="A862" s="6" t="str">
        <x:v>https://digitecme.com/brands/bugatti-service-dubai/exhaust-repair</x:v>
      </x:c>
      <x:c r="B862" s="6" t="str"/>
      <x:c r="C862" s="6" t="str"/>
      <x:c r="D862" s="6" t="str">
        <x:v>brand-service</x:v>
      </x:c>
      <x:c r="E862" s="6" t="str">
        <x:v>Retain differentiated role</x:v>
      </x:c>
      <x:c r="F862" s="6" t="str">
        <x:v>Local source render; live version unverified</x:v>
      </x:c>
      <x:c r="G862" s="6" t="str">
        <x:v>Bugatti Exhaust Repair Dubai | Digi-Tec</x:v>
      </x:c>
      <x:c r="H862" s="6" t="str">
        <x:v>Bugatti Exhaust Repair Dubai | Digi-Tec</x:v>
      </x:c>
      <x:c r="I862" s="6" t="str">
        <x:v>Bugatti Exhaust Repair Dubai</x:v>
      </x:c>
      <x:c r="J862" s="6" t="str">
        <x:v>Bugatti Exhaust Repair Dubai</x:v>
      </x:c>
      <x:c r="K862" s="6" t="str">
        <x:v>Bugatti exhaust repair in Dubai with model-specific inspection, confirmed parts options and a clear quote at Digi-Tec, Al Quoz.</x:v>
      </x:c>
      <x:c r="L862" s="6" t="str">
        <x:v>Retain pending evidence; no specific content edit justified by this export.</x:v>
      </x:c>
      <x:c r="M862" s="6" t="str">
        <x:v>Retain; inspect relevant context before adding links</x:v>
      </x:c>
      <x:c r="N862" s="6" t="str">
        <x:v>Unconfirmed — no query/page pairing</x:v>
      </x:c>
      <x:c r="O862" s="6" t="str">
        <x:v>Retain established booking / WhatsApp / call path; live behaviour untested</x:v>
      </x:c>
      <x:c r="P862" s="6" t="str">
        <x:v>Retain canonical and indexation policy pending a live check.</x:v>
      </x:c>
      <x:c r="Q862" s="6" t="str">
        <x:v>Proposed; no website change made</x:v>
      </x:c>
      <x:c r="R862" s="14"/>
      <x:c r="S862" s="14"/>
      <x:c r="T862" s="15"/>
      <x:c r="U862" s="16"/>
      <x:c r="V862" s="6" t="str">
        <x:v>https://digitecme.com/brands/bugatti-service-dubai/exhaust-repair</x:v>
      </x:c>
      <x:c r="W862" s="6" t="str">
        <x:v>Noindex directive</x:v>
      </x:c>
      <x:c r="X862" s="6" t="n">
        <x:v>16</x:v>
      </x:c>
      <x:c r="Y862" s="6" t="str">
        <x:v>Bugatti Exhaust Repair Dubai | Digi-Tec</x:v>
      </x:c>
      <x:c r="Z862" s="6" t="str"/>
      <x:c r="AA862" s="6" t="str">
        <x:v>No / not compared</x:v>
      </x:c>
    </x:row>
    <x:row r="863" ht="42" customHeight="1">
      <x:c r="A863" s="6" t="str">
        <x:v>https://digitecme.com/brands/bugatti-service-dubai/fuel-system-repair</x:v>
      </x:c>
      <x:c r="B863" s="6" t="str"/>
      <x:c r="C863" s="6" t="str"/>
      <x:c r="D863" s="6" t="str">
        <x:v>brand-service</x:v>
      </x:c>
      <x:c r="E863" s="6" t="str">
        <x:v>Retain differentiated role</x:v>
      </x:c>
      <x:c r="F863" s="6" t="str">
        <x:v>Local source render; live version unverified</x:v>
      </x:c>
      <x:c r="G863" s="6" t="str">
        <x:v>Bugatti Fuel System Repair Dubai | Digi-Tec</x:v>
      </x:c>
      <x:c r="H863" s="6" t="str">
        <x:v>Bugatti Fuel System Repair Dubai | Digi-Tec</x:v>
      </x:c>
      <x:c r="I863" s="6" t="str">
        <x:v>Bugatti Fuel System Repair Dubai</x:v>
      </x:c>
      <x:c r="J863" s="6" t="str">
        <x:v>Bugatti Fuel System Repair Dubai</x:v>
      </x:c>
      <x:c r="K863" s="6" t="str">
        <x:v>Bugatti fuel system repair in Dubai with model-specific inspection, confirmed parts options and a clear quote at Digi-Tec, Al Quoz.</x:v>
      </x:c>
      <x:c r="L863" s="6" t="str">
        <x:v>Retain pending evidence; no specific content edit justified by this export.</x:v>
      </x:c>
      <x:c r="M863" s="6" t="str">
        <x:v>Retain; inspect relevant context before adding links</x:v>
      </x:c>
      <x:c r="N863" s="6" t="str">
        <x:v>Unconfirmed — no query/page pairing</x:v>
      </x:c>
      <x:c r="O863" s="6" t="str">
        <x:v>Retain established booking / WhatsApp / call path; live behaviour untested</x:v>
      </x:c>
      <x:c r="P863" s="6" t="str">
        <x:v>Retain canonical and indexation policy pending a live check.</x:v>
      </x:c>
      <x:c r="Q863" s="6" t="str">
        <x:v>Proposed; no website change made</x:v>
      </x:c>
      <x:c r="R863" s="14"/>
      <x:c r="S863" s="14"/>
      <x:c r="T863" s="15"/>
      <x:c r="U863" s="16"/>
      <x:c r="V863" s="6" t="str">
        <x:v>https://digitecme.com/brands/bugatti-service-dubai/fuel-system-repair</x:v>
      </x:c>
      <x:c r="W863" s="6" t="str">
        <x:v>Noindex directive</x:v>
      </x:c>
      <x:c r="X863" s="6" t="n">
        <x:v>16</x:v>
      </x:c>
      <x:c r="Y863" s="6" t="str">
        <x:v>Bugatti Fuel System Repair Dubai | Digi-Tec</x:v>
      </x:c>
      <x:c r="Z863" s="6" t="str"/>
      <x:c r="AA863" s="6" t="str">
        <x:v>No / not compared</x:v>
      </x:c>
    </x:row>
    <x:row r="864" ht="42" customHeight="1">
      <x:c r="A864" s="6" t="str">
        <x:v>https://digitecme.com/brands/bugatti-service-dubai/mechanical-repair</x:v>
      </x:c>
      <x:c r="B864" s="6" t="str"/>
      <x:c r="C864" s="6" t="str"/>
      <x:c r="D864" s="6" t="str">
        <x:v>brand-service</x:v>
      </x:c>
      <x:c r="E864" s="6" t="str">
        <x:v>Retain differentiated role</x:v>
      </x:c>
      <x:c r="F864" s="6" t="str">
        <x:v>Local source render; live version unverified</x:v>
      </x:c>
      <x:c r="G864" s="6" t="str">
        <x:v>Bugatti Mechanical Repair Dubai | Digi-Tec</x:v>
      </x:c>
      <x:c r="H864" s="6" t="str">
        <x:v>Bugatti Mechanical Repair Dubai | Digi-Tec</x:v>
      </x:c>
      <x:c r="I864" s="6" t="str">
        <x:v>Bugatti Mechanical Repair Dubai</x:v>
      </x:c>
      <x:c r="J864" s="6" t="str">
        <x:v>Bugatti Mechanical Repair Dubai</x:v>
      </x:c>
      <x:c r="K864" s="6" t="str">
        <x:v>Bugatti mechanical repair in Dubai with model-specific inspection, confirmed parts options and a clear quote at Digi-Tec, Al Quoz.</x:v>
      </x:c>
      <x:c r="L864" s="6" t="str">
        <x:v>Retain pending evidence; no specific content edit justified by this export.</x:v>
      </x:c>
      <x:c r="M864" s="6" t="str">
        <x:v>Retain; inspect relevant context before adding links</x:v>
      </x:c>
      <x:c r="N864" s="6" t="str">
        <x:v>Unconfirmed — no query/page pairing</x:v>
      </x:c>
      <x:c r="O864" s="6" t="str">
        <x:v>Retain established booking / WhatsApp / call path; live behaviour untested</x:v>
      </x:c>
      <x:c r="P864" s="6" t="str">
        <x:v>Retain canonical and indexation policy pending a live check.</x:v>
      </x:c>
      <x:c r="Q864" s="6" t="str">
        <x:v>Proposed; no website change made</x:v>
      </x:c>
      <x:c r="R864" s="14"/>
      <x:c r="S864" s="14"/>
      <x:c r="T864" s="15"/>
      <x:c r="U864" s="16"/>
      <x:c r="V864" s="6" t="str">
        <x:v>https://digitecme.com/brands/bugatti-service-dubai/mechanical-repair</x:v>
      </x:c>
      <x:c r="W864" s="6" t="str">
        <x:v>Noindex directive</x:v>
      </x:c>
      <x:c r="X864" s="6" t="n">
        <x:v>16</x:v>
      </x:c>
      <x:c r="Y864" s="6" t="str">
        <x:v>Bugatti Mechanical Repair Dubai | Digi-Tec</x:v>
      </x:c>
      <x:c r="Z864" s="6" t="str"/>
      <x:c r="AA864" s="6" t="str">
        <x:v>No / not compared</x:v>
      </x:c>
    </x:row>
    <x:row r="865" ht="42" customHeight="1">
      <x:c r="A865" s="6" t="str">
        <x:v>https://digitecme.com/brands/bugatti-service-dubai/oil-change</x:v>
      </x:c>
      <x:c r="B865" s="6" t="str"/>
      <x:c r="C865" s="6" t="str"/>
      <x:c r="D865" s="6" t="str">
        <x:v>brand-service</x:v>
      </x:c>
      <x:c r="E865" s="6" t="str">
        <x:v>Retain differentiated role</x:v>
      </x:c>
      <x:c r="F865" s="6" t="str">
        <x:v>Local source render; live version unverified</x:v>
      </x:c>
      <x:c r="G865" s="6" t="str">
        <x:v>Bugatti Oil Change Dubai | Digi-Tec</x:v>
      </x:c>
      <x:c r="H865" s="6" t="str">
        <x:v>Bugatti Oil Change Dubai | Digi-Tec</x:v>
      </x:c>
      <x:c r="I865" s="6" t="str">
        <x:v>Bugatti Oil Change Dubai</x:v>
      </x:c>
      <x:c r="J865" s="6" t="str">
        <x:v>Bugatti Oil Change Dubai</x:v>
      </x:c>
      <x:c r="K865" s="6" t="str">
        <x:v>Bugatti oil change in Dubai with model-specific inspection, confirmed parts options and a clear quote at Digi-Tec, Al Quoz.</x:v>
      </x:c>
      <x:c r="L865" s="6" t="str">
        <x:v>Retain pending evidence; no specific content edit justified by this export.</x:v>
      </x:c>
      <x:c r="M865" s="6" t="str">
        <x:v>Retain; inspect relevant context before adding links</x:v>
      </x:c>
      <x:c r="N865" s="6" t="str">
        <x:v>Unconfirmed — no query/page pairing</x:v>
      </x:c>
      <x:c r="O865" s="6" t="str">
        <x:v>Retain established booking / WhatsApp / call path; live behaviour untested</x:v>
      </x:c>
      <x:c r="P865" s="6" t="str">
        <x:v>Retain canonical and indexation policy pending a live check.</x:v>
      </x:c>
      <x:c r="Q865" s="6" t="str">
        <x:v>Proposed; no website change made</x:v>
      </x:c>
      <x:c r="R865" s="14"/>
      <x:c r="S865" s="14"/>
      <x:c r="T865" s="15"/>
      <x:c r="U865" s="16"/>
      <x:c r="V865" s="6" t="str">
        <x:v>https://digitecme.com/brands/bugatti-service-dubai/oil-change</x:v>
      </x:c>
      <x:c r="W865" s="6" t="str">
        <x:v>Indexable directive</x:v>
      </x:c>
      <x:c r="X865" s="6" t="n">
        <x:v>16</x:v>
      </x:c>
      <x:c r="Y865" s="6" t="str">
        <x:v>Bugatti Oil Change Dubai | Digi-Tec</x:v>
      </x:c>
      <x:c r="Z865" s="6" t="str"/>
      <x:c r="AA865" s="6" t="str">
        <x:v>No / not compared</x:v>
      </x:c>
    </x:row>
    <x:row r="866" ht="42" customHeight="1">
      <x:c r="A866" s="6" t="str">
        <x:v>https://digitecme.com/brands/bugatti-service-dubai/steering-repair</x:v>
      </x:c>
      <x:c r="B866" s="6" t="str"/>
      <x:c r="C866" s="6" t="str"/>
      <x:c r="D866" s="6" t="str">
        <x:v>brand-service</x:v>
      </x:c>
      <x:c r="E866" s="6" t="str">
        <x:v>Retain differentiated role</x:v>
      </x:c>
      <x:c r="F866" s="6" t="str">
        <x:v>Local source render; live version unverified</x:v>
      </x:c>
      <x:c r="G866" s="6" t="str">
        <x:v>Bugatti Steering Repair Dubai | Digi-Tec</x:v>
      </x:c>
      <x:c r="H866" s="6" t="str">
        <x:v>Bugatti Steering Repair Dubai | Digi-Tec</x:v>
      </x:c>
      <x:c r="I866" s="6" t="str">
        <x:v>Bugatti Steering Repair Dubai</x:v>
      </x:c>
      <x:c r="J866" s="6" t="str">
        <x:v>Bugatti Steering Repair Dubai</x:v>
      </x:c>
      <x:c r="K866" s="6" t="str">
        <x:v>Bugatti steering repair in Dubai with model-specific inspection, confirmed parts options and a clear quote at Digi-Tec, Al Quoz.</x:v>
      </x:c>
      <x:c r="L866" s="6" t="str">
        <x:v>Retain pending evidence; no specific content edit justified by this export.</x:v>
      </x:c>
      <x:c r="M866" s="6" t="str">
        <x:v>Retain; inspect relevant context before adding links</x:v>
      </x:c>
      <x:c r="N866" s="6" t="str">
        <x:v>Unconfirmed — no query/page pairing</x:v>
      </x:c>
      <x:c r="O866" s="6" t="str">
        <x:v>Retain established booking / WhatsApp / call path; live behaviour untested</x:v>
      </x:c>
      <x:c r="P866" s="6" t="str">
        <x:v>Retain canonical and indexation policy pending a live check.</x:v>
      </x:c>
      <x:c r="Q866" s="6" t="str">
        <x:v>Proposed; no website change made</x:v>
      </x:c>
      <x:c r="R866" s="14"/>
      <x:c r="S866" s="14"/>
      <x:c r="T866" s="15"/>
      <x:c r="U866" s="16"/>
      <x:c r="V866" s="6" t="str">
        <x:v>https://digitecme.com/brands/bugatti-service-dubai/steering-repair</x:v>
      </x:c>
      <x:c r="W866" s="6" t="str">
        <x:v>Noindex directive</x:v>
      </x:c>
      <x:c r="X866" s="6" t="n">
        <x:v>16</x:v>
      </x:c>
      <x:c r="Y866" s="6" t="str">
        <x:v>Bugatti Steering Repair Dubai | Digi-Tec</x:v>
      </x:c>
      <x:c r="Z866" s="6" t="str"/>
      <x:c r="AA866" s="6" t="str">
        <x:v>No / not compared</x:v>
      </x:c>
    </x:row>
    <x:row r="867" ht="42" customHeight="1">
      <x:c r="A867" s="6" t="str">
        <x:v>https://digitecme.com/brands/bugatti-service-dubai/suspension-repair</x:v>
      </x:c>
      <x:c r="B867" s="6" t="str"/>
      <x:c r="C867" s="6" t="str"/>
      <x:c r="D867" s="6" t="str">
        <x:v>brand-service</x:v>
      </x:c>
      <x:c r="E867" s="6" t="str">
        <x:v>Retain differentiated role</x:v>
      </x:c>
      <x:c r="F867" s="6" t="str">
        <x:v>Local source render; live version unverified</x:v>
      </x:c>
      <x:c r="G867" s="6" t="str">
        <x:v>Bugatti Suspension Repair Dubai | Digi-Tec</x:v>
      </x:c>
      <x:c r="H867" s="6" t="str">
        <x:v>Bugatti Suspension Repair Dubai | Digi-Tec</x:v>
      </x:c>
      <x:c r="I867" s="6" t="str">
        <x:v>Bugatti Suspension Repair Dubai</x:v>
      </x:c>
      <x:c r="J867" s="6" t="str">
        <x:v>Bugatti Suspension Repair Dubai</x:v>
      </x:c>
      <x:c r="K867" s="6" t="str">
        <x:v>Bugatti suspension repair in Dubai with model-specific inspection, confirmed parts options and a clear quote at Digi-Tec, Al Quoz.</x:v>
      </x:c>
      <x:c r="L867" s="6" t="str">
        <x:v>Retain pending evidence; no specific content edit justified by this export.</x:v>
      </x:c>
      <x:c r="M867" s="6" t="str">
        <x:v>Retain; inspect relevant context before adding links</x:v>
      </x:c>
      <x:c r="N867" s="6" t="str">
        <x:v>Unconfirmed — no query/page pairing</x:v>
      </x:c>
      <x:c r="O867" s="6" t="str">
        <x:v>Retain established booking / WhatsApp / call path; live behaviour untested</x:v>
      </x:c>
      <x:c r="P867" s="6" t="str">
        <x:v>Retain canonical and indexation policy pending a live check.</x:v>
      </x:c>
      <x:c r="Q867" s="6" t="str">
        <x:v>Proposed; no website change made</x:v>
      </x:c>
      <x:c r="R867" s="14"/>
      <x:c r="S867" s="14"/>
      <x:c r="T867" s="15"/>
      <x:c r="U867" s="16"/>
      <x:c r="V867" s="6" t="str">
        <x:v>https://digitecme.com/brands/bugatti-service-dubai/suspension-repair</x:v>
      </x:c>
      <x:c r="W867" s="6" t="str">
        <x:v>Noindex directive</x:v>
      </x:c>
      <x:c r="X867" s="6" t="n">
        <x:v>16</x:v>
      </x:c>
      <x:c r="Y867" s="6" t="str">
        <x:v>Bugatti Suspension Repair Dubai | Digi-Tec</x:v>
      </x:c>
      <x:c r="Z867" s="6" t="str"/>
      <x:c r="AA867" s="6" t="str">
        <x:v>No / not compared</x:v>
      </x:c>
    </x:row>
    <x:row r="868" ht="42" customHeight="1">
      <x:c r="A868" s="6" t="str">
        <x:v>https://digitecme.com/brands/bugatti-service-dubai/tire-repair</x:v>
      </x:c>
      <x:c r="B868" s="6" t="str"/>
      <x:c r="C868" s="6" t="str"/>
      <x:c r="D868" s="6" t="str">
        <x:v>brand-service</x:v>
      </x:c>
      <x:c r="E868" s="6" t="str">
        <x:v>Retain differentiated role</x:v>
      </x:c>
      <x:c r="F868" s="6" t="str">
        <x:v>Local source render; live version unverified</x:v>
      </x:c>
      <x:c r="G868" s="6" t="str">
        <x:v>Bugatti Tyre Repair Dubai | Digi-Tec</x:v>
      </x:c>
      <x:c r="H868" s="6" t="str">
        <x:v>Bugatti Tyre Repair Dubai | Digi-Tec</x:v>
      </x:c>
      <x:c r="I868" s="6" t="str">
        <x:v>Bugatti Tyre Repair Dubai</x:v>
      </x:c>
      <x:c r="J868" s="6" t="str">
        <x:v>Bugatti Tyre Repair Dubai</x:v>
      </x:c>
      <x:c r="K868" s="6" t="str">
        <x:v>Bugatti tyre repair in Dubai with model-specific inspection, confirmed parts options and a clear quote at Digi-Tec, Al Quoz.</x:v>
      </x:c>
      <x:c r="L868" s="6" t="str">
        <x:v>Retain pending evidence; no specific content edit justified by this export.</x:v>
      </x:c>
      <x:c r="M868" s="6" t="str">
        <x:v>Retain; inspect relevant context before adding links</x:v>
      </x:c>
      <x:c r="N868" s="6" t="str">
        <x:v>Unconfirmed — no query/page pairing</x:v>
      </x:c>
      <x:c r="O868" s="6" t="str">
        <x:v>Retain established booking / WhatsApp / call path; live behaviour untested</x:v>
      </x:c>
      <x:c r="P868" s="6" t="str">
        <x:v>Retain canonical and indexation policy pending a live check.</x:v>
      </x:c>
      <x:c r="Q868" s="6" t="str">
        <x:v>Proposed; no website change made</x:v>
      </x:c>
      <x:c r="R868" s="14" t="n">
        <x:v>0</x:v>
      </x:c>
      <x:c r="S868" s="14" t="n">
        <x:v>25</x:v>
      </x:c>
      <x:c r="T868" s="15" t="n">
        <x:v>0</x:v>
      </x:c>
      <x:c r="U868" s="16" t="n">
        <x:v>52.64</x:v>
      </x:c>
      <x:c r="V868" s="6" t="str">
        <x:v>https://digitecme.com/brands/bugatti-service-dubai/tire-repair</x:v>
      </x:c>
      <x:c r="W868" s="6" t="str">
        <x:v>Noindex directive</x:v>
      </x:c>
      <x:c r="X868" s="6" t="n">
        <x:v>16</x:v>
      </x:c>
      <x:c r="Y868" s="6" t="str">
        <x:v>Bugatti Tyre Repair Dubai | Digi-Tec</x:v>
      </x:c>
      <x:c r="Z868" s="6" t="str"/>
      <x:c r="AA868" s="6" t="str">
        <x:v>No / not compared</x:v>
      </x:c>
    </x:row>
    <x:row r="869" ht="42" customHeight="1">
      <x:c r="A869" s="6" t="str">
        <x:v>https://digitecme.com/brands/bugatti-service-dubai/transmission-repair</x:v>
      </x:c>
      <x:c r="B869" s="6" t="str"/>
      <x:c r="C869" s="6" t="str"/>
      <x:c r="D869" s="6" t="str">
        <x:v>brand-service</x:v>
      </x:c>
      <x:c r="E869" s="6" t="str">
        <x:v>Retain differentiated role</x:v>
      </x:c>
      <x:c r="F869" s="6" t="str">
        <x:v>Local source render; live version unverified</x:v>
      </x:c>
      <x:c r="G869" s="6" t="str">
        <x:v>Bugatti Transmission Repair Dubai | Digi-Tec</x:v>
      </x:c>
      <x:c r="H869" s="6" t="str">
        <x:v>Bugatti Transmission Repair Dubai | Digi-Tec</x:v>
      </x:c>
      <x:c r="I869" s="6" t="str">
        <x:v>Bugatti Transmission Repair Dubai</x:v>
      </x:c>
      <x:c r="J869" s="6" t="str">
        <x:v>Bugatti Transmission Repair Dubai</x:v>
      </x:c>
      <x:c r="K869" s="6" t="str">
        <x:v>Bugatti transmission repair in Dubai with model-specific inspection, confirmed parts options and a clear quote at Digi-Tec, Al Quoz.</x:v>
      </x:c>
      <x:c r="L869" s="6" t="str">
        <x:v>Retain pending evidence; no specific content edit justified by this export.</x:v>
      </x:c>
      <x:c r="M869" s="6" t="str">
        <x:v>Retain; inspect relevant context before adding links</x:v>
      </x:c>
      <x:c r="N869" s="6" t="str">
        <x:v>Unconfirmed — no query/page pairing</x:v>
      </x:c>
      <x:c r="O869" s="6" t="str">
        <x:v>Retain established booking / WhatsApp / call path; live behaviour untested</x:v>
      </x:c>
      <x:c r="P869" s="6" t="str">
        <x:v>Retain canonical and indexation policy pending a live check.</x:v>
      </x:c>
      <x:c r="Q869" s="6" t="str">
        <x:v>Proposed; no website change made</x:v>
      </x:c>
      <x:c r="R869" s="14" t="n">
        <x:v>0</x:v>
      </x:c>
      <x:c r="S869" s="14" t="n">
        <x:v>2</x:v>
      </x:c>
      <x:c r="T869" s="15" t="n">
        <x:v>0</x:v>
      </x:c>
      <x:c r="U869" s="16" t="n">
        <x:v>25</x:v>
      </x:c>
      <x:c r="V869" s="6" t="str">
        <x:v>https://digitecme.com/brands/bugatti-service-dubai/transmission-repair</x:v>
      </x:c>
      <x:c r="W869" s="6" t="str">
        <x:v>Noindex directive</x:v>
      </x:c>
      <x:c r="X869" s="6" t="n">
        <x:v>16</x:v>
      </x:c>
      <x:c r="Y869" s="6" t="str">
        <x:v>Bugatti Transmission Repair Dubai | Digi-Tec</x:v>
      </x:c>
      <x:c r="Z869" s="6" t="str"/>
      <x:c r="AA869" s="6" t="str">
        <x:v>No / not compared</x:v>
      </x:c>
    </x:row>
    <x:row r="870" ht="42" customHeight="1">
      <x:c r="A870" s="6" t="str">
        <x:v>https://digitecme.com/brands/byd-service-dubai</x:v>
      </x:c>
      <x:c r="B870" s="6" t="str"/>
      <x:c r="C870" s="6" t="str"/>
      <x:c r="D870" s="6" t="str">
        <x:v>brand</x:v>
      </x:c>
      <x:c r="E870" s="6" t="str">
        <x:v>Retain differentiated role</x:v>
      </x:c>
      <x:c r="F870" s="6" t="str">
        <x:v>Local source render; live version unverified</x:v>
      </x:c>
      <x:c r="G870" s="6" t="str">
        <x:v>BYD Repair Dubai | Digi-Tec</x:v>
      </x:c>
      <x:c r="H870" s="6" t="str">
        <x:v>BYD Repair Dubai | Digi-Tec</x:v>
      </x:c>
      <x:c r="I870" s="6" t="str">
        <x:v>BYD Repair &amp; Service Dubai</x:v>
      </x:c>
      <x:c r="J870" s="6" t="str">
        <x:v>BYD Repair &amp; Service Dubai</x:v>
      </x:c>
      <x:c r="K870" s="6" t="str">
        <x:v>Specialist BYD repair and service in Dubai: diagnostics, maintenance, brakes, transmission, suspension and AC at Digi-Tec, Al Quoz.</x:v>
      </x:c>
      <x:c r="L870" s="6" t="str">
        <x:v>Retain pending evidence; no specific content edit justified by this export.</x:v>
      </x:c>
      <x:c r="M870" s="6" t="str">
        <x:v>Retain; inspect relevant context before adding links</x:v>
      </x:c>
      <x:c r="N870" s="6" t="str">
        <x:v>Unconfirmed — no query/page pairing</x:v>
      </x:c>
      <x:c r="O870" s="6" t="str">
        <x:v>Retain established booking / WhatsApp / call path; live behaviour untested</x:v>
      </x:c>
      <x:c r="P870" s="6" t="str">
        <x:v>Retain canonical and indexation policy pending a live check.</x:v>
      </x:c>
      <x:c r="Q870" s="6" t="str">
        <x:v>Proposed; no website change made</x:v>
      </x:c>
      <x:c r="R870" s="14"/>
      <x:c r="S870" s="14"/>
      <x:c r="T870" s="15"/>
      <x:c r="U870" s="16"/>
      <x:c r="V870" s="6" t="str">
        <x:v>https://digitecme.com/brands/byd-service-dubai</x:v>
      </x:c>
      <x:c r="W870" s="6" t="str">
        <x:v>Indexable directive</x:v>
      </x:c>
      <x:c r="X870" s="6" t="n">
        <x:v>36</x:v>
      </x:c>
      <x:c r="Y870" s="6" t="str">
        <x:v>BYD Repair Dubai | Digi-Tec</x:v>
      </x:c>
      <x:c r="Z870" s="6" t="str"/>
      <x:c r="AA870" s="6" t="str">
        <x:v>No / not compared</x:v>
      </x:c>
    </x:row>
    <x:row r="871" ht="42" customHeight="1">
      <x:c r="A871" s="6" t="str">
        <x:v>https://digitecme.com/brands/byd-service-dubai/ac-repair</x:v>
      </x:c>
      <x:c r="B871" s="6" t="str"/>
      <x:c r="C871" s="6" t="str"/>
      <x:c r="D871" s="6" t="str">
        <x:v>brand-service</x:v>
      </x:c>
      <x:c r="E871" s="6" t="str">
        <x:v>Retain differentiated role</x:v>
      </x:c>
      <x:c r="F871" s="6" t="str">
        <x:v>Local source render; live version unverified</x:v>
      </x:c>
      <x:c r="G871" s="6" t="str">
        <x:v>BYD AC Repair Dubai | Digi-Tec</x:v>
      </x:c>
      <x:c r="H871" s="6" t="str">
        <x:v>BYD AC Repair Dubai | Digi-Tec</x:v>
      </x:c>
      <x:c r="I871" s="6" t="str">
        <x:v>BYD AC Repair Dubai</x:v>
      </x:c>
      <x:c r="J871" s="6" t="str">
        <x:v>BYD AC Repair Dubai</x:v>
      </x:c>
      <x:c r="K871" s="6" t="str">
        <x:v>BYD ac repair in Dubai with model-specific inspection, confirmed parts options and a clear quote at Digi-Tec, Al Quoz.</x:v>
      </x:c>
      <x:c r="L871" s="6" t="str">
        <x:v>Retain pending evidence; no specific content edit justified by this export.</x:v>
      </x:c>
      <x:c r="M871" s="6" t="str">
        <x:v>Retain; inspect relevant context before adding links</x:v>
      </x:c>
      <x:c r="N871" s="6" t="str">
        <x:v>Unconfirmed — no query/page pairing</x:v>
      </x:c>
      <x:c r="O871" s="6" t="str">
        <x:v>Retain established booking / WhatsApp / call path; live behaviour untested</x:v>
      </x:c>
      <x:c r="P871" s="6" t="str">
        <x:v>Retain canonical and indexation policy pending a live check.</x:v>
      </x:c>
      <x:c r="Q871" s="6" t="str">
        <x:v>Proposed; no website change made</x:v>
      </x:c>
      <x:c r="R871" s="14" t="n">
        <x:v>0</x:v>
      </x:c>
      <x:c r="S871" s="14" t="n">
        <x:v>21</x:v>
      </x:c>
      <x:c r="T871" s="15" t="n">
        <x:v>0</x:v>
      </x:c>
      <x:c r="U871" s="16" t="n">
        <x:v>8.81</x:v>
      </x:c>
      <x:c r="V871" s="6" t="str">
        <x:v>https://digitecme.com/brands/byd-service-dubai/ac-repair</x:v>
      </x:c>
      <x:c r="W871" s="6" t="str">
        <x:v>Indexable directive</x:v>
      </x:c>
      <x:c r="X871" s="6" t="n">
        <x:v>16</x:v>
      </x:c>
      <x:c r="Y871" s="6" t="str">
        <x:v>BYD AC Repair Dubai | Digi-Tec</x:v>
      </x:c>
      <x:c r="Z871" s="6" t="str"/>
      <x:c r="AA871" s="6" t="str">
        <x:v>No / not compared</x:v>
      </x:c>
    </x:row>
    <x:row r="872" ht="42" customHeight="1">
      <x:c r="A872" s="6" t="str">
        <x:v>https://digitecme.com/brands/byd-service-dubai/battery-replacement</x:v>
      </x:c>
      <x:c r="B872" s="6" t="str"/>
      <x:c r="C872" s="6" t="str"/>
      <x:c r="D872" s="6" t="str">
        <x:v>brand-service</x:v>
      </x:c>
      <x:c r="E872" s="6" t="str">
        <x:v>Retain differentiated role</x:v>
      </x:c>
      <x:c r="F872" s="6" t="str">
        <x:v>Local source render; live version unverified</x:v>
      </x:c>
      <x:c r="G872" s="6" t="str">
        <x:v>BYD Battery Replacement Dubai | Digi-Tec</x:v>
      </x:c>
      <x:c r="H872" s="6" t="str">
        <x:v>BYD Battery Replacement Dubai | Digi-Tec</x:v>
      </x:c>
      <x:c r="I872" s="6" t="str">
        <x:v>BYD Battery Replacement Dubai</x:v>
      </x:c>
      <x:c r="J872" s="6" t="str">
        <x:v>BYD Battery Replacement Dubai</x:v>
      </x:c>
      <x:c r="K872" s="6" t="str">
        <x:v>BYD battery replacement in Dubai with model-specific inspection, confirmed parts options and a clear quote at Digi-Tec, Al Quoz.</x:v>
      </x:c>
      <x:c r="L872" s="6" t="str">
        <x:v>Retain pending evidence; no specific content edit justified by this export.</x:v>
      </x:c>
      <x:c r="M872" s="6" t="str">
        <x:v>Retain; inspect relevant context before adding links</x:v>
      </x:c>
      <x:c r="N872" s="6" t="str">
        <x:v>Unconfirmed — no query/page pairing</x:v>
      </x:c>
      <x:c r="O872" s="6" t="str">
        <x:v>Retain established booking / WhatsApp / call path; live behaviour untested</x:v>
      </x:c>
      <x:c r="P872" s="6" t="str">
        <x:v>Retain canonical and indexation policy pending a live check.</x:v>
      </x:c>
      <x:c r="Q872" s="6" t="str">
        <x:v>Proposed; no website change made</x:v>
      </x:c>
      <x:c r="R872" s="14" t="n">
        <x:v>0</x:v>
      </x:c>
      <x:c r="S872" s="14" t="n">
        <x:v>10</x:v>
      </x:c>
      <x:c r="T872" s="15" t="n">
        <x:v>0</x:v>
      </x:c>
      <x:c r="U872" s="16" t="n">
        <x:v>12.4</x:v>
      </x:c>
      <x:c r="V872" s="6" t="str">
        <x:v>https://digitecme.com/brands/byd-service-dubai/battery-replacement</x:v>
      </x:c>
      <x:c r="W872" s="6" t="str">
        <x:v>Noindex directive</x:v>
      </x:c>
      <x:c r="X872" s="6" t="n">
        <x:v>16</x:v>
      </x:c>
      <x:c r="Y872" s="6" t="str">
        <x:v>BYD Battery Replacement Dubai | Digi-Tec</x:v>
      </x:c>
      <x:c r="Z872" s="6" t="str"/>
      <x:c r="AA872" s="6" t="str">
        <x:v>No / not compared</x:v>
      </x:c>
    </x:row>
    <x:row r="873" ht="42" customHeight="1">
      <x:c r="A873" s="6" t="str">
        <x:v>https://digitecme.com/brands/byd-service-dubai/body-repair</x:v>
      </x:c>
      <x:c r="B873" s="6" t="str"/>
      <x:c r="C873" s="6" t="str"/>
      <x:c r="D873" s="6" t="str">
        <x:v>brand-service</x:v>
      </x:c>
      <x:c r="E873" s="6" t="str">
        <x:v>Retain differentiated role</x:v>
      </x:c>
      <x:c r="F873" s="6" t="str">
        <x:v>Local source render; live version unverified</x:v>
      </x:c>
      <x:c r="G873" s="6" t="str">
        <x:v>BYD Body Repair Dubai | Digi-Tec</x:v>
      </x:c>
      <x:c r="H873" s="6" t="str">
        <x:v>BYD Body Repair Dubai | Digi-Tec</x:v>
      </x:c>
      <x:c r="I873" s="6" t="str">
        <x:v>BYD Body Repair Dubai</x:v>
      </x:c>
      <x:c r="J873" s="6" t="str">
        <x:v>BYD Body Repair Dubai</x:v>
      </x:c>
      <x:c r="K873" s="6" t="str">
        <x:v>BYD body repair in Dubai with model-specific inspection, confirmed parts options and a clear quote at Digi-Tec, Al Quoz.</x:v>
      </x:c>
      <x:c r="L873" s="6" t="str">
        <x:v>Retain pending evidence; no specific content edit justified by this export.</x:v>
      </x:c>
      <x:c r="M873" s="6" t="str">
        <x:v>Retain; inspect relevant context before adding links</x:v>
      </x:c>
      <x:c r="N873" s="6" t="str">
        <x:v>Unconfirmed — no query/page pairing</x:v>
      </x:c>
      <x:c r="O873" s="6" t="str">
        <x:v>Retain established booking / WhatsApp / call path; live behaviour untested</x:v>
      </x:c>
      <x:c r="P873" s="6" t="str">
        <x:v>Retain canonical and indexation policy pending a live check.</x:v>
      </x:c>
      <x:c r="Q873" s="6" t="str">
        <x:v>Proposed; no website change made</x:v>
      </x:c>
      <x:c r="R873" s="14" t="n">
        <x:v>0</x:v>
      </x:c>
      <x:c r="S873" s="14" t="n">
        <x:v>15</x:v>
      </x:c>
      <x:c r="T873" s="15" t="n">
        <x:v>0</x:v>
      </x:c>
      <x:c r="U873" s="16" t="n">
        <x:v>7.07</x:v>
      </x:c>
      <x:c r="V873" s="6" t="str">
        <x:v>https://digitecme.com/brands/byd-service-dubai/body-repair</x:v>
      </x:c>
      <x:c r="W873" s="6" t="str">
        <x:v>Noindex directive</x:v>
      </x:c>
      <x:c r="X873" s="6" t="n">
        <x:v>16</x:v>
      </x:c>
      <x:c r="Y873" s="6" t="str">
        <x:v>BYD Body Repair Dubai | Digi-Tec</x:v>
      </x:c>
      <x:c r="Z873" s="6" t="str"/>
      <x:c r="AA873" s="6" t="str">
        <x:v>No / not compared</x:v>
      </x:c>
    </x:row>
    <x:row r="874" ht="42" customHeight="1">
      <x:c r="A874" s="6" t="str">
        <x:v>https://digitecme.com/brands/byd-service-dubai/brake-repair</x:v>
      </x:c>
      <x:c r="B874" s="6" t="str"/>
      <x:c r="C874" s="6" t="str"/>
      <x:c r="D874" s="6" t="str">
        <x:v>brand-service</x:v>
      </x:c>
      <x:c r="E874" s="6" t="str">
        <x:v>Retain differentiated role</x:v>
      </x:c>
      <x:c r="F874" s="6" t="str">
        <x:v>Local source render; live version unverified</x:v>
      </x:c>
      <x:c r="G874" s="6" t="str">
        <x:v>BYD Brake Repair Dubai | Digi-Tec</x:v>
      </x:c>
      <x:c r="H874" s="6" t="str">
        <x:v>BYD Brake Repair Dubai | Digi-Tec</x:v>
      </x:c>
      <x:c r="I874" s="6" t="str">
        <x:v>BYD Brake Repair Dubai</x:v>
      </x:c>
      <x:c r="J874" s="6" t="str">
        <x:v>BYD Brake Repair Dubai</x:v>
      </x:c>
      <x:c r="K874" s="6" t="str">
        <x:v>BYD brake repair in Dubai with model-specific inspection, confirmed parts options and a clear quote at Digi-Tec, Al Quoz.</x:v>
      </x:c>
      <x:c r="L874" s="6" t="str">
        <x:v>Retain pending evidence; no specific content edit justified by this export.</x:v>
      </x:c>
      <x:c r="M874" s="6" t="str">
        <x:v>Retain; inspect relevant context before adding links</x:v>
      </x:c>
      <x:c r="N874" s="6" t="str">
        <x:v>Unconfirmed — no query/page pairing</x:v>
      </x:c>
      <x:c r="O874" s="6" t="str">
        <x:v>Retain established booking / WhatsApp / call path; live behaviour untested</x:v>
      </x:c>
      <x:c r="P874" s="6" t="str">
        <x:v>Retain canonical and indexation policy pending a live check.</x:v>
      </x:c>
      <x:c r="Q874" s="6" t="str">
        <x:v>Proposed; no website change made</x:v>
      </x:c>
      <x:c r="R874" s="14" t="n">
        <x:v>0</x:v>
      </x:c>
      <x:c r="S874" s="14" t="n">
        <x:v>3</x:v>
      </x:c>
      <x:c r="T874" s="15" t="n">
        <x:v>0</x:v>
      </x:c>
      <x:c r="U874" s="16" t="n">
        <x:v>10</x:v>
      </x:c>
      <x:c r="V874" s="6" t="str">
        <x:v>https://digitecme.com/brands/byd-service-dubai/brake-repair</x:v>
      </x:c>
      <x:c r="W874" s="6" t="str">
        <x:v>Indexable directive</x:v>
      </x:c>
      <x:c r="X874" s="6" t="n">
        <x:v>16</x:v>
      </x:c>
      <x:c r="Y874" s="6" t="str">
        <x:v>BYD Brake Repair Dubai | Digi-Tec</x:v>
      </x:c>
      <x:c r="Z874" s="6" t="str"/>
      <x:c r="AA874" s="6" t="str">
        <x:v>No / not compared</x:v>
      </x:c>
    </x:row>
    <x:row r="875" ht="42" customHeight="1">
      <x:c r="A875" s="6" t="str">
        <x:v>https://digitecme.com/brands/byd-service-dubai/electrical-repair</x:v>
      </x:c>
      <x:c r="B875" s="6" t="str"/>
      <x:c r="C875" s="6" t="str"/>
      <x:c r="D875" s="6" t="str">
        <x:v>brand-service</x:v>
      </x:c>
      <x:c r="E875" s="6" t="str">
        <x:v>Retain differentiated role</x:v>
      </x:c>
      <x:c r="F875" s="6" t="str">
        <x:v>Local source render; live version unverified</x:v>
      </x:c>
      <x:c r="G875" s="6" t="str">
        <x:v>BYD Electrical Repair Dubai | Digi-Tec</x:v>
      </x:c>
      <x:c r="H875" s="6" t="str">
        <x:v>BYD Electrical Repair Dubai | Digi-Tec</x:v>
      </x:c>
      <x:c r="I875" s="6" t="str">
        <x:v>BYD Electrical Repair Dubai</x:v>
      </x:c>
      <x:c r="J875" s="6" t="str">
        <x:v>BYD Electrical Repair Dubai</x:v>
      </x:c>
      <x:c r="K875" s="6" t="str">
        <x:v>BYD electrical repair in Dubai with model-specific inspection, confirmed parts options and a clear quote at Digi-Tec, Al Quoz.</x:v>
      </x:c>
      <x:c r="L875" s="6" t="str">
        <x:v>Retain pending evidence; no specific content edit justified by this export.</x:v>
      </x:c>
      <x:c r="M875" s="6" t="str">
        <x:v>Retain; inspect relevant context before adding links</x:v>
      </x:c>
      <x:c r="N875" s="6" t="str">
        <x:v>Unconfirmed — no query/page pairing</x:v>
      </x:c>
      <x:c r="O875" s="6" t="str">
        <x:v>Retain established booking / WhatsApp / call path; live behaviour untested</x:v>
      </x:c>
      <x:c r="P875" s="6" t="str">
        <x:v>Retain canonical and indexation policy pending a live check.</x:v>
      </x:c>
      <x:c r="Q875" s="6" t="str">
        <x:v>Proposed; no website change made</x:v>
      </x:c>
      <x:c r="R875" s="14" t="n">
        <x:v>0</x:v>
      </x:c>
      <x:c r="S875" s="14" t="n">
        <x:v>2</x:v>
      </x:c>
      <x:c r="T875" s="15" t="n">
        <x:v>0</x:v>
      </x:c>
      <x:c r="U875" s="16" t="n">
        <x:v>9.5</x:v>
      </x:c>
      <x:c r="V875" s="6" t="str">
        <x:v>https://digitecme.com/brands/byd-service-dubai/electrical-repair</x:v>
      </x:c>
      <x:c r="W875" s="6" t="str">
        <x:v>Noindex directive</x:v>
      </x:c>
      <x:c r="X875" s="6" t="n">
        <x:v>16</x:v>
      </x:c>
      <x:c r="Y875" s="6" t="str">
        <x:v>BYD Electrical Repair Dubai | Digi-Tec</x:v>
      </x:c>
      <x:c r="Z875" s="6" t="str"/>
      <x:c r="AA875" s="6" t="str">
        <x:v>No / not compared</x:v>
      </x:c>
    </x:row>
    <x:row r="876" ht="42" customHeight="1">
      <x:c r="A876" s="6" t="str">
        <x:v>https://digitecme.com/brands/byd-service-dubai/engine-diagnostics</x:v>
      </x:c>
      <x:c r="B876" s="6" t="str"/>
      <x:c r="C876" s="6" t="str"/>
      <x:c r="D876" s="6" t="str">
        <x:v>brand-service</x:v>
      </x:c>
      <x:c r="E876" s="6" t="str">
        <x:v>Retain differentiated role</x:v>
      </x:c>
      <x:c r="F876" s="6" t="str">
        <x:v>Local source render; live version unverified</x:v>
      </x:c>
      <x:c r="G876" s="6" t="str">
        <x:v>BYD Engine Diagnostics Dubai | Digi-Tec</x:v>
      </x:c>
      <x:c r="H876" s="6" t="str">
        <x:v>BYD Engine Diagnostics Dubai | Digi-Tec</x:v>
      </x:c>
      <x:c r="I876" s="6" t="str">
        <x:v>BYD Engine Diagnostics Dubai</x:v>
      </x:c>
      <x:c r="J876" s="6" t="str">
        <x:v>BYD Engine Diagnostics Dubai</x:v>
      </x:c>
      <x:c r="K876" s="6" t="str">
        <x:v>BYD engine diagnostics in Dubai with model-specific inspection, confirmed parts options and a clear quote at Digi-Tec, Al Quoz.</x:v>
      </x:c>
      <x:c r="L876" s="6" t="str">
        <x:v>Retain pending evidence; no specific content edit justified by this export.</x:v>
      </x:c>
      <x:c r="M876" s="6" t="str">
        <x:v>Retain; inspect relevant context before adding links</x:v>
      </x:c>
      <x:c r="N876" s="6" t="str">
        <x:v>Unconfirmed — no query/page pairing</x:v>
      </x:c>
      <x:c r="O876" s="6" t="str">
        <x:v>Retain established booking / WhatsApp / call path; live behaviour untested</x:v>
      </x:c>
      <x:c r="P876" s="6" t="str">
        <x:v>Retain canonical and indexation policy pending a live check.</x:v>
      </x:c>
      <x:c r="Q876" s="6" t="str">
        <x:v>Proposed; no website change made</x:v>
      </x:c>
      <x:c r="R876" s="14" t="n">
        <x:v>0</x:v>
      </x:c>
      <x:c r="S876" s="14" t="n">
        <x:v>10</x:v>
      </x:c>
      <x:c r="T876" s="15" t="n">
        <x:v>0</x:v>
      </x:c>
      <x:c r="U876" s="16" t="n">
        <x:v>12.6</x:v>
      </x:c>
      <x:c r="V876" s="6" t="str">
        <x:v>https://digitecme.com/brands/byd-service-dubai/engine-diagnostics</x:v>
      </x:c>
      <x:c r="W876" s="6" t="str">
        <x:v>Indexable directive</x:v>
      </x:c>
      <x:c r="X876" s="6" t="n">
        <x:v>16</x:v>
      </x:c>
      <x:c r="Y876" s="6" t="str">
        <x:v>BYD Engine Diagnostics Dubai | Digi-Tec</x:v>
      </x:c>
      <x:c r="Z876" s="6" t="str"/>
      <x:c r="AA876" s="6" t="str">
        <x:v>No / not compared</x:v>
      </x:c>
    </x:row>
    <x:row r="877" ht="42" customHeight="1">
      <x:c r="A877" s="6" t="str">
        <x:v>https://digitecme.com/brands/byd-service-dubai/exhaust-repair</x:v>
      </x:c>
      <x:c r="B877" s="6" t="str"/>
      <x:c r="C877" s="6" t="str"/>
      <x:c r="D877" s="6" t="str">
        <x:v>brand-service</x:v>
      </x:c>
      <x:c r="E877" s="6" t="str">
        <x:v>Retain differentiated role</x:v>
      </x:c>
      <x:c r="F877" s="6" t="str">
        <x:v>Local source render; live version unverified</x:v>
      </x:c>
      <x:c r="G877" s="6" t="str">
        <x:v>BYD Exhaust Repair Dubai | Digi-Tec</x:v>
      </x:c>
      <x:c r="H877" s="6" t="str">
        <x:v>BYD Exhaust Repair Dubai | Digi-Tec</x:v>
      </x:c>
      <x:c r="I877" s="6" t="str">
        <x:v>BYD Exhaust Repair Dubai</x:v>
      </x:c>
      <x:c r="J877" s="6" t="str">
        <x:v>BYD Exhaust Repair Dubai</x:v>
      </x:c>
      <x:c r="K877" s="6" t="str">
        <x:v>BYD exhaust repair in Dubai with model-specific inspection, confirmed parts options and a clear quote at Digi-Tec, Al Quoz.</x:v>
      </x:c>
      <x:c r="L877" s="6" t="str">
        <x:v>Retain pending evidence; no specific content edit justified by this export.</x:v>
      </x:c>
      <x:c r="M877" s="6" t="str">
        <x:v>Retain; inspect relevant context before adding links</x:v>
      </x:c>
      <x:c r="N877" s="6" t="str">
        <x:v>Unconfirmed — no query/page pairing</x:v>
      </x:c>
      <x:c r="O877" s="6" t="str">
        <x:v>Retain established booking / WhatsApp / call path; live behaviour untested</x:v>
      </x:c>
      <x:c r="P877" s="6" t="str">
        <x:v>Retain canonical and indexation policy pending a live check.</x:v>
      </x:c>
      <x:c r="Q877" s="6" t="str">
        <x:v>Proposed; no website change made</x:v>
      </x:c>
      <x:c r="R877" s="14"/>
      <x:c r="S877" s="14"/>
      <x:c r="T877" s="15"/>
      <x:c r="U877" s="16"/>
      <x:c r="V877" s="6" t="str">
        <x:v>https://digitecme.com/brands/byd-service-dubai/exhaust-repair</x:v>
      </x:c>
      <x:c r="W877" s="6" t="str">
        <x:v>Noindex directive</x:v>
      </x:c>
      <x:c r="X877" s="6" t="n">
        <x:v>16</x:v>
      </x:c>
      <x:c r="Y877" s="6" t="str">
        <x:v>BYD Exhaust Repair Dubai | Digi-Tec</x:v>
      </x:c>
      <x:c r="Z877" s="6" t="str"/>
      <x:c r="AA877" s="6" t="str">
        <x:v>No / not compared</x:v>
      </x:c>
    </x:row>
    <x:row r="878" ht="42" customHeight="1">
      <x:c r="A878" s="6" t="str">
        <x:v>https://digitecme.com/brands/byd-service-dubai/fuel-system-repair</x:v>
      </x:c>
      <x:c r="B878" s="6" t="str"/>
      <x:c r="C878" s="6" t="str"/>
      <x:c r="D878" s="6" t="str">
        <x:v>brand-service</x:v>
      </x:c>
      <x:c r="E878" s="6" t="str">
        <x:v>Retain differentiated role</x:v>
      </x:c>
      <x:c r="F878" s="6" t="str">
        <x:v>Local source render; live version unverified</x:v>
      </x:c>
      <x:c r="G878" s="6" t="str">
        <x:v>BYD Fuel System Repair Dubai | Digi-Tec</x:v>
      </x:c>
      <x:c r="H878" s="6" t="str">
        <x:v>BYD Fuel System Repair Dubai | Digi-Tec</x:v>
      </x:c>
      <x:c r="I878" s="6" t="str">
        <x:v>BYD Fuel System Repair Dubai</x:v>
      </x:c>
      <x:c r="J878" s="6" t="str">
        <x:v>BYD Fuel System Repair Dubai</x:v>
      </x:c>
      <x:c r="K878" s="6" t="str">
        <x:v>BYD fuel system repair in Dubai with model-specific inspection, confirmed parts options and a clear quote at Digi-Tec, Al Quoz.</x:v>
      </x:c>
      <x:c r="L878" s="6" t="str">
        <x:v>Retain pending evidence; no specific content edit justified by this export.</x:v>
      </x:c>
      <x:c r="M878" s="6" t="str">
        <x:v>Retain; inspect relevant context before adding links</x:v>
      </x:c>
      <x:c r="N878" s="6" t="str">
        <x:v>Unconfirmed — no query/page pairing</x:v>
      </x:c>
      <x:c r="O878" s="6" t="str">
        <x:v>Retain established booking / WhatsApp / call path; live behaviour untested</x:v>
      </x:c>
      <x:c r="P878" s="6" t="str">
        <x:v>Retain canonical and indexation policy pending a live check.</x:v>
      </x:c>
      <x:c r="Q878" s="6" t="str">
        <x:v>Proposed; no website change made</x:v>
      </x:c>
      <x:c r="R878" s="14"/>
      <x:c r="S878" s="14"/>
      <x:c r="T878" s="15"/>
      <x:c r="U878" s="16"/>
      <x:c r="V878" s="6" t="str">
        <x:v>https://digitecme.com/brands/byd-service-dubai/fuel-system-repair</x:v>
      </x:c>
      <x:c r="W878" s="6" t="str">
        <x:v>Noindex directive</x:v>
      </x:c>
      <x:c r="X878" s="6" t="n">
        <x:v>16</x:v>
      </x:c>
      <x:c r="Y878" s="6" t="str">
        <x:v>BYD Fuel System Repair Dubai | Digi-Tec</x:v>
      </x:c>
      <x:c r="Z878" s="6" t="str"/>
      <x:c r="AA878" s="6" t="str">
        <x:v>No / not compared</x:v>
      </x:c>
    </x:row>
    <x:row r="879" ht="42" customHeight="1">
      <x:c r="A879" s="6" t="str">
        <x:v>https://digitecme.com/brands/byd-service-dubai/mechanical-repair</x:v>
      </x:c>
      <x:c r="B879" s="6" t="str"/>
      <x:c r="C879" s="6" t="str"/>
      <x:c r="D879" s="6" t="str">
        <x:v>brand-service</x:v>
      </x:c>
      <x:c r="E879" s="6" t="str">
        <x:v>Retain differentiated role</x:v>
      </x:c>
      <x:c r="F879" s="6" t="str">
        <x:v>Local source render; live version unverified</x:v>
      </x:c>
      <x:c r="G879" s="6" t="str">
        <x:v>BYD Mechanical Repair Dubai | Digi-Tec</x:v>
      </x:c>
      <x:c r="H879" s="6" t="str">
        <x:v>BYD Mechanical Repair Dubai | Digi-Tec</x:v>
      </x:c>
      <x:c r="I879" s="6" t="str">
        <x:v>BYD Mechanical Repair Dubai</x:v>
      </x:c>
      <x:c r="J879" s="6" t="str">
        <x:v>BYD Mechanical Repair Dubai</x:v>
      </x:c>
      <x:c r="K879" s="6" t="str">
        <x:v>BYD mechanical repair in Dubai with model-specific inspection, confirmed parts options and a clear quote at Digi-Tec, Al Quoz.</x:v>
      </x:c>
      <x:c r="L879" s="6" t="str">
        <x:v>Retain pending evidence; no specific content edit justified by this export.</x:v>
      </x:c>
      <x:c r="M879" s="6" t="str">
        <x:v>Retain; inspect relevant context before adding links</x:v>
      </x:c>
      <x:c r="N879" s="6" t="str">
        <x:v>Unconfirmed — no query/page pairing</x:v>
      </x:c>
      <x:c r="O879" s="6" t="str">
        <x:v>Retain established booking / WhatsApp / call path; live behaviour untested</x:v>
      </x:c>
      <x:c r="P879" s="6" t="str">
        <x:v>Retain canonical and indexation policy pending a live check.</x:v>
      </x:c>
      <x:c r="Q879" s="6" t="str">
        <x:v>Proposed; no website change made</x:v>
      </x:c>
      <x:c r="R879" s="14" t="n">
        <x:v>0</x:v>
      </x:c>
      <x:c r="S879" s="14" t="n">
        <x:v>6</x:v>
      </x:c>
      <x:c r="T879" s="15" t="n">
        <x:v>0</x:v>
      </x:c>
      <x:c r="U879" s="16" t="n">
        <x:v>12</x:v>
      </x:c>
      <x:c r="V879" s="6" t="str">
        <x:v>https://digitecme.com/brands/byd-service-dubai/mechanical-repair</x:v>
      </x:c>
      <x:c r="W879" s="6" t="str">
        <x:v>Noindex directive</x:v>
      </x:c>
      <x:c r="X879" s="6" t="n">
        <x:v>16</x:v>
      </x:c>
      <x:c r="Y879" s="6" t="str">
        <x:v>BYD Mechanical Repair Dubai | Digi-Tec</x:v>
      </x:c>
      <x:c r="Z879" s="6" t="str"/>
      <x:c r="AA879" s="6" t="str">
        <x:v>No / not compared</x:v>
      </x:c>
    </x:row>
    <x:row r="880" ht="42" customHeight="1">
      <x:c r="A880" s="6" t="str">
        <x:v>https://digitecme.com/brands/byd-service-dubai/oil-change</x:v>
      </x:c>
      <x:c r="B880" s="6" t="str"/>
      <x:c r="C880" s="6" t="str"/>
      <x:c r="D880" s="6" t="str">
        <x:v>brand-service</x:v>
      </x:c>
      <x:c r="E880" s="6" t="str">
        <x:v>Retain differentiated role</x:v>
      </x:c>
      <x:c r="F880" s="6" t="str">
        <x:v>Local source render; live version unverified</x:v>
      </x:c>
      <x:c r="G880" s="6" t="str">
        <x:v>BYD Oil Change Dubai | Digi-Tec</x:v>
      </x:c>
      <x:c r="H880" s="6" t="str">
        <x:v>BYD Oil Change Dubai | Digi-Tec</x:v>
      </x:c>
      <x:c r="I880" s="6" t="str">
        <x:v>BYD Oil Change Dubai</x:v>
      </x:c>
      <x:c r="J880" s="6" t="str">
        <x:v>BYD Oil Change Dubai</x:v>
      </x:c>
      <x:c r="K880" s="6" t="str">
        <x:v>BYD oil change in Dubai with model-specific inspection, confirmed parts options and a clear quote at Digi-Tec, Al Quoz.</x:v>
      </x:c>
      <x:c r="L880" s="6" t="str">
        <x:v>Retain pending evidence; no specific content edit justified by this export.</x:v>
      </x:c>
      <x:c r="M880" s="6" t="str">
        <x:v>Retain; inspect relevant context before adding links</x:v>
      </x:c>
      <x:c r="N880" s="6" t="str">
        <x:v>Unconfirmed — no query/page pairing</x:v>
      </x:c>
      <x:c r="O880" s="6" t="str">
        <x:v>Retain established booking / WhatsApp / call path; live behaviour untested</x:v>
      </x:c>
      <x:c r="P880" s="6" t="str">
        <x:v>Retain canonical and indexation policy pending a live check.</x:v>
      </x:c>
      <x:c r="Q880" s="6" t="str">
        <x:v>Proposed; no website change made</x:v>
      </x:c>
      <x:c r="R880" s="14" t="n">
        <x:v>0</x:v>
      </x:c>
      <x:c r="S880" s="14" t="n">
        <x:v>24</x:v>
      </x:c>
      <x:c r="T880" s="15" t="n">
        <x:v>0</x:v>
      </x:c>
      <x:c r="U880" s="16" t="n">
        <x:v>6.33</x:v>
      </x:c>
      <x:c r="V880" s="6" t="str">
        <x:v>https://digitecme.com/brands/byd-service-dubai/oil-change</x:v>
      </x:c>
      <x:c r="W880" s="6" t="str">
        <x:v>Indexable directive</x:v>
      </x:c>
      <x:c r="X880" s="6" t="n">
        <x:v>16</x:v>
      </x:c>
      <x:c r="Y880" s="6" t="str">
        <x:v>BYD Oil Change Dubai | Digi-Tec</x:v>
      </x:c>
      <x:c r="Z880" s="6" t="str"/>
      <x:c r="AA880" s="6" t="str">
        <x:v>No / not compared</x:v>
      </x:c>
    </x:row>
    <x:row r="881" ht="42" customHeight="1">
      <x:c r="A881" s="6" t="str">
        <x:v>https://digitecme.com/brands/byd-service-dubai/steering-repair</x:v>
      </x:c>
      <x:c r="B881" s="6" t="str"/>
      <x:c r="C881" s="6" t="str"/>
      <x:c r="D881" s="6" t="str">
        <x:v>brand-service</x:v>
      </x:c>
      <x:c r="E881" s="6" t="str">
        <x:v>Retain differentiated role</x:v>
      </x:c>
      <x:c r="F881" s="6" t="str">
        <x:v>Local source render; live version unverified</x:v>
      </x:c>
      <x:c r="G881" s="6" t="str">
        <x:v>BYD Steering Repair Dubai | Digi-Tec</x:v>
      </x:c>
      <x:c r="H881" s="6" t="str">
        <x:v>BYD Steering Repair Dubai | Digi-Tec</x:v>
      </x:c>
      <x:c r="I881" s="6" t="str">
        <x:v>BYD Steering Repair Dubai</x:v>
      </x:c>
      <x:c r="J881" s="6" t="str">
        <x:v>BYD Steering Repair Dubai</x:v>
      </x:c>
      <x:c r="K881" s="6" t="str">
        <x:v>BYD steering repair in Dubai with model-specific inspection, confirmed parts options and a clear quote at Digi-Tec, Al Quoz.</x:v>
      </x:c>
      <x:c r="L881" s="6" t="str">
        <x:v>Retain pending evidence; no specific content edit justified by this export.</x:v>
      </x:c>
      <x:c r="M881" s="6" t="str">
        <x:v>Retain; inspect relevant context before adding links</x:v>
      </x:c>
      <x:c r="N881" s="6" t="str">
        <x:v>Unconfirmed — no query/page pairing</x:v>
      </x:c>
      <x:c r="O881" s="6" t="str">
        <x:v>Retain established booking / WhatsApp / call path; live behaviour untested</x:v>
      </x:c>
      <x:c r="P881" s="6" t="str">
        <x:v>Retain canonical and indexation policy pending a live check.</x:v>
      </x:c>
      <x:c r="Q881" s="6" t="str">
        <x:v>Proposed; no website change made</x:v>
      </x:c>
      <x:c r="R881" s="14"/>
      <x:c r="S881" s="14"/>
      <x:c r="T881" s="15"/>
      <x:c r="U881" s="16"/>
      <x:c r="V881" s="6" t="str">
        <x:v>https://digitecme.com/brands/byd-service-dubai/steering-repair</x:v>
      </x:c>
      <x:c r="W881" s="6" t="str">
        <x:v>Noindex directive</x:v>
      </x:c>
      <x:c r="X881" s="6" t="n">
        <x:v>16</x:v>
      </x:c>
      <x:c r="Y881" s="6" t="str">
        <x:v>BYD Steering Repair Dubai | Digi-Tec</x:v>
      </x:c>
      <x:c r="Z881" s="6" t="str"/>
      <x:c r="AA881" s="6" t="str">
        <x:v>No / not compared</x:v>
      </x:c>
    </x:row>
    <x:row r="882" ht="42" customHeight="1">
      <x:c r="A882" s="6" t="str">
        <x:v>https://digitecme.com/brands/byd-service-dubai/suspension-repair</x:v>
      </x:c>
      <x:c r="B882" s="6" t="str"/>
      <x:c r="C882" s="6" t="str"/>
      <x:c r="D882" s="6" t="str">
        <x:v>brand-service</x:v>
      </x:c>
      <x:c r="E882" s="6" t="str">
        <x:v>Retain differentiated role</x:v>
      </x:c>
      <x:c r="F882" s="6" t="str">
        <x:v>Local source render; live version unverified</x:v>
      </x:c>
      <x:c r="G882" s="6" t="str">
        <x:v>BYD Suspension Repair Dubai | Digi-Tec</x:v>
      </x:c>
      <x:c r="H882" s="6" t="str">
        <x:v>BYD Suspension Repair Dubai | Digi-Tec</x:v>
      </x:c>
      <x:c r="I882" s="6" t="str">
        <x:v>BYD Suspension Repair Dubai</x:v>
      </x:c>
      <x:c r="J882" s="6" t="str">
        <x:v>BYD Suspension Repair Dubai</x:v>
      </x:c>
      <x:c r="K882" s="6" t="str">
        <x:v>BYD suspension repair in Dubai with model-specific inspection, confirmed parts options and a clear quote at Digi-Tec, Al Quoz.</x:v>
      </x:c>
      <x:c r="L882" s="6" t="str">
        <x:v>Retain pending evidence; no specific content edit justified by this export.</x:v>
      </x:c>
      <x:c r="M882" s="6" t="str">
        <x:v>Retain; inspect relevant context before adding links</x:v>
      </x:c>
      <x:c r="N882" s="6" t="str">
        <x:v>Unconfirmed — no query/page pairing</x:v>
      </x:c>
      <x:c r="O882" s="6" t="str">
        <x:v>Retain established booking / WhatsApp / call path; live behaviour untested</x:v>
      </x:c>
      <x:c r="P882" s="6" t="str">
        <x:v>Retain canonical and indexation policy pending a live check.</x:v>
      </x:c>
      <x:c r="Q882" s="6" t="str">
        <x:v>Proposed; no website change made</x:v>
      </x:c>
      <x:c r="R882" s="14" t="n">
        <x:v>0</x:v>
      </x:c>
      <x:c r="S882" s="14" t="n">
        <x:v>8</x:v>
      </x:c>
      <x:c r="T882" s="15" t="n">
        <x:v>0</x:v>
      </x:c>
      <x:c r="U882" s="16" t="n">
        <x:v>4.75</x:v>
      </x:c>
      <x:c r="V882" s="6" t="str">
        <x:v>https://digitecme.com/brands/byd-service-dubai/suspension-repair</x:v>
      </x:c>
      <x:c r="W882" s="6" t="str">
        <x:v>Noindex directive</x:v>
      </x:c>
      <x:c r="X882" s="6" t="n">
        <x:v>16</x:v>
      </x:c>
      <x:c r="Y882" s="6" t="str">
        <x:v>BYD Suspension Repair Dubai | Digi-Tec</x:v>
      </x:c>
      <x:c r="Z882" s="6" t="str"/>
      <x:c r="AA882" s="6" t="str">
        <x:v>No / not compared</x:v>
      </x:c>
    </x:row>
    <x:row r="883" ht="42" customHeight="1">
      <x:c r="A883" s="6" t="str">
        <x:v>https://digitecme.com/brands/byd-service-dubai/tire-repair</x:v>
      </x:c>
      <x:c r="B883" s="6" t="str"/>
      <x:c r="C883" s="6" t="str"/>
      <x:c r="D883" s="6" t="str">
        <x:v>brand-service</x:v>
      </x:c>
      <x:c r="E883" s="6" t="str">
        <x:v>Retain differentiated role</x:v>
      </x:c>
      <x:c r="F883" s="6" t="str">
        <x:v>Local source render; live version unverified</x:v>
      </x:c>
      <x:c r="G883" s="6" t="str">
        <x:v>BYD Tyre Repair Dubai | Digi-Tec</x:v>
      </x:c>
      <x:c r="H883" s="6" t="str">
        <x:v>BYD Tyre Repair Dubai | Digi-Tec</x:v>
      </x:c>
      <x:c r="I883" s="6" t="str">
        <x:v>BYD Tyre Repair Dubai</x:v>
      </x:c>
      <x:c r="J883" s="6" t="str">
        <x:v>BYD Tyre Repair Dubai</x:v>
      </x:c>
      <x:c r="K883" s="6" t="str">
        <x:v>BYD tyre repair in Dubai with model-specific inspection, confirmed parts options and a clear quote at Digi-Tec, Al Quoz.</x:v>
      </x:c>
      <x:c r="L883" s="6" t="str">
        <x:v>Retain pending evidence; no specific content edit justified by this export.</x:v>
      </x:c>
      <x:c r="M883" s="6" t="str">
        <x:v>Retain; inspect relevant context before adding links</x:v>
      </x:c>
      <x:c r="N883" s="6" t="str">
        <x:v>Unconfirmed — no query/page pairing</x:v>
      </x:c>
      <x:c r="O883" s="6" t="str">
        <x:v>Retain established booking / WhatsApp / call path; live behaviour untested</x:v>
      </x:c>
      <x:c r="P883" s="6" t="str">
        <x:v>Retain canonical and indexation policy pending a live check.</x:v>
      </x:c>
      <x:c r="Q883" s="6" t="str">
        <x:v>Proposed; no website change made</x:v>
      </x:c>
      <x:c r="R883" s="14" t="n">
        <x:v>0</x:v>
      </x:c>
      <x:c r="S883" s="14" t="n">
        <x:v>5</x:v>
      </x:c>
      <x:c r="T883" s="15" t="n">
        <x:v>0</x:v>
      </x:c>
      <x:c r="U883" s="16" t="n">
        <x:v>10.4</x:v>
      </x:c>
      <x:c r="V883" s="6" t="str">
        <x:v>https://digitecme.com/brands/byd-service-dubai/tire-repair</x:v>
      </x:c>
      <x:c r="W883" s="6" t="str">
        <x:v>Noindex directive</x:v>
      </x:c>
      <x:c r="X883" s="6" t="n">
        <x:v>16</x:v>
      </x:c>
      <x:c r="Y883" s="6" t="str">
        <x:v>BYD Tyre Repair Dubai | Digi-Tec</x:v>
      </x:c>
      <x:c r="Z883" s="6" t="str"/>
      <x:c r="AA883" s="6" t="str">
        <x:v>No / not compared</x:v>
      </x:c>
    </x:row>
    <x:row r="884" ht="42" customHeight="1">
      <x:c r="A884" s="6" t="str">
        <x:v>https://digitecme.com/brands/byd-service-dubai/transmission-repair</x:v>
      </x:c>
      <x:c r="B884" s="6" t="str"/>
      <x:c r="C884" s="6" t="str"/>
      <x:c r="D884" s="6" t="str">
        <x:v>brand-service</x:v>
      </x:c>
      <x:c r="E884" s="6" t="str">
        <x:v>Retain differentiated role</x:v>
      </x:c>
      <x:c r="F884" s="6" t="str">
        <x:v>Local source render; live version unverified</x:v>
      </x:c>
      <x:c r="G884" s="6" t="str">
        <x:v>BYD Transmission Repair Dubai | Digi-Tec</x:v>
      </x:c>
      <x:c r="H884" s="6" t="str">
        <x:v>BYD Transmission Repair Dubai | Digi-Tec</x:v>
      </x:c>
      <x:c r="I884" s="6" t="str">
        <x:v>BYD Transmission Repair Dubai</x:v>
      </x:c>
      <x:c r="J884" s="6" t="str">
        <x:v>BYD Transmission Repair Dubai</x:v>
      </x:c>
      <x:c r="K884" s="6" t="str">
        <x:v>BYD transmission repair in Dubai with model-specific inspection, confirmed parts options and a clear quote at Digi-Tec, Al Quoz.</x:v>
      </x:c>
      <x:c r="L884" s="6" t="str">
        <x:v>Retain pending evidence; no specific content edit justified by this export.</x:v>
      </x:c>
      <x:c r="M884" s="6" t="str">
        <x:v>Retain; inspect relevant context before adding links</x:v>
      </x:c>
      <x:c r="N884" s="6" t="str">
        <x:v>Unconfirmed — no query/page pairing</x:v>
      </x:c>
      <x:c r="O884" s="6" t="str">
        <x:v>Retain established booking / WhatsApp / call path; live behaviour untested</x:v>
      </x:c>
      <x:c r="P884" s="6" t="str">
        <x:v>Retain canonical and indexation policy pending a live check.</x:v>
      </x:c>
      <x:c r="Q884" s="6" t="str">
        <x:v>Proposed; no website change made</x:v>
      </x:c>
      <x:c r="R884" s="14" t="n">
        <x:v>1</x:v>
      </x:c>
      <x:c r="S884" s="14" t="n">
        <x:v>12</x:v>
      </x:c>
      <x:c r="T884" s="15" t="n">
        <x:v>0.0833</x:v>
      </x:c>
      <x:c r="U884" s="16" t="n">
        <x:v>9.75</x:v>
      </x:c>
      <x:c r="V884" s="6" t="str">
        <x:v>https://digitecme.com/brands/byd-service-dubai/transmission-repair</x:v>
      </x:c>
      <x:c r="W884" s="6" t="str">
        <x:v>Noindex directive</x:v>
      </x:c>
      <x:c r="X884" s="6" t="n">
        <x:v>16</x:v>
      </x:c>
      <x:c r="Y884" s="6" t="str">
        <x:v>BYD Transmission Repair Dubai | Digi-Tec</x:v>
      </x:c>
      <x:c r="Z884" s="6" t="str"/>
      <x:c r="AA884" s="6" t="str">
        <x:v>No / not compared</x:v>
      </x:c>
    </x:row>
    <x:row r="885" ht="57" customHeight="1">
      <x:c r="A885" s="6" t="str">
        <x:v>https://digitecme.com/brands/cadillac-service-dubai</x:v>
      </x:c>
      <x:c r="B885" s="6" t="str">
        <x:v>cadillac repair dubai</x:v>
      </x:c>
      <x:c r="C885" s="6" t="str">
        <x:v>cadillac: Service and repair</x:v>
      </x:c>
      <x:c r="D885" s="6" t="str">
        <x:v>brand</x:v>
      </x:c>
      <x:c r="E885" s="6" t="str">
        <x:v>Primary owner for assigned intent</x:v>
      </x:c>
      <x:c r="F885" s="6" t="str">
        <x:v>Local source render; live version unverified</x:v>
      </x:c>
      <x:c r="G885" s="6" t="str">
        <x:v>Cadillac Service &amp; Repair Dubai | Digi-Tec Al Quoz</x:v>
      </x:c>
      <x:c r="H885" s="6" t="str">
        <x:v>Cadillac Service &amp; Repair Dubai | Digi-Tec Al Quoz</x:v>
      </x:c>
      <x:c r="I885" s="6" t="str">
        <x:v>Cadillac Repair &amp; Service Dubai</x:v>
      </x:c>
      <x:c r="J885" s="6" t="str">
        <x:v>Cadillac Repair &amp; Service Dubai</x:v>
      </x:c>
      <x:c r="K885" s="6" t="str">
        <x:v>Cadillac service and repair in Dubai for Escalade, CT4, CT5, XT models and Lyriq, including diagnostics, AC, suspension, brakes and mechanical inspection.</x:v>
      </x:c>
      <x:c r="L885" s="6" t="str">
        <x:v>Retain pending evidence; no specific content edit justified by this export.</x:v>
      </x:c>
      <x:c r="M885" s="6" t="str">
        <x:v>Retain; inspect relevant context before adding links</x:v>
      </x:c>
      <x:c r="N885" s="6" t="str">
        <x:v>Unconfirmed — no query/page pairing</x:v>
      </x:c>
      <x:c r="O885" s="6" t="str">
        <x:v>Retain established booking / WhatsApp / call path; live behaviour untested</x:v>
      </x:c>
      <x:c r="P885" s="6" t="str">
        <x:v>Retain canonical and indexation policy pending a live check.</x:v>
      </x:c>
      <x:c r="Q885" s="6" t="str">
        <x:v>Proposed; no website change made</x:v>
      </x:c>
      <x:c r="R885" s="14" t="n">
        <x:v>1</x:v>
      </x:c>
      <x:c r="S885" s="14" t="n">
        <x:v>492</x:v>
      </x:c>
      <x:c r="T885" s="15" t="n">
        <x:v>0.002</x:v>
      </x:c>
      <x:c r="U885" s="16" t="n">
        <x:v>38.37</x:v>
      </x:c>
      <x:c r="V885" s="6" t="str">
        <x:v>https://digitecme.com/brands/cadillac-service-dubai</x:v>
      </x:c>
      <x:c r="W885" s="6" t="str">
        <x:v>Indexable directive</x:v>
      </x:c>
      <x:c r="X885" s="6" t="n">
        <x:v>36</x:v>
      </x:c>
      <x:c r="Y885" s="6" t="str">
        <x:v>Cadillac Service &amp; Repair Dubai | Digi-Tec Al Quoz</x:v>
      </x:c>
      <x:c r="Z885" s="6" t="str"/>
      <x:c r="AA885" s="6" t="str">
        <x:v>No / not compared</x:v>
      </x:c>
    </x:row>
    <x:row r="886" ht="42" customHeight="1">
      <x:c r="A886" s="6" t="str">
        <x:v>https://digitecme.com/brands/cadillac-service-dubai/ac-repair</x:v>
      </x:c>
      <x:c r="B886" s="6" t="str">
        <x:v>cadillac ac repair</x:v>
      </x:c>
      <x:c r="C886" s="6" t="str">
        <x:v>cadillac: AC repair</x:v>
      </x:c>
      <x:c r="D886" s="6" t="str">
        <x:v>brand-service</x:v>
      </x:c>
      <x:c r="E886" s="6" t="str">
        <x:v>Primary owner for assigned intent</x:v>
      </x:c>
      <x:c r="F886" s="6" t="str">
        <x:v>Local source render; live version unverified</x:v>
      </x:c>
      <x:c r="G886" s="6" t="str">
        <x:v>Cadillac AC Repair Dubai | Digi-Tec</x:v>
      </x:c>
      <x:c r="H886" s="6" t="str">
        <x:v>Cadillac AC Repair Dubai | Digi-Tec</x:v>
      </x:c>
      <x:c r="I886" s="6" t="str">
        <x:v>Cadillac AC Repair Dubai</x:v>
      </x:c>
      <x:c r="J886" s="6" t="str">
        <x:v>Cadillac AC Repair Dubai</x:v>
      </x:c>
      <x:c r="K886" s="6" t="str">
        <x:v>Cadillac ac repair in Dubai with model-specific inspection, confirmed parts options and a clear quote at Digi-Tec, Al Quoz.</x:v>
      </x:c>
      <x:c r="L886" s="6" t="str">
        <x:v>Retain pending evidence; no specific content edit justified by this export.</x:v>
      </x:c>
      <x:c r="M886" s="6" t="str">
        <x:v>Retain; inspect relevant context before adding links</x:v>
      </x:c>
      <x:c r="N886" s="6" t="str">
        <x:v>Unconfirmed — no query/page pairing</x:v>
      </x:c>
      <x:c r="O886" s="6" t="str">
        <x:v>Retain established booking / WhatsApp / call path; live behaviour untested</x:v>
      </x:c>
      <x:c r="P886" s="6" t="str">
        <x:v>Retain canonical and indexation policy pending a live check.</x:v>
      </x:c>
      <x:c r="Q886" s="6" t="str">
        <x:v>Proposed; no website change made</x:v>
      </x:c>
      <x:c r="R886" s="14" t="n">
        <x:v>0</x:v>
      </x:c>
      <x:c r="S886" s="14" t="n">
        <x:v>37</x:v>
      </x:c>
      <x:c r="T886" s="15" t="n">
        <x:v>0</x:v>
      </x:c>
      <x:c r="U886" s="16" t="n">
        <x:v>13.7</x:v>
      </x:c>
      <x:c r="V886" s="6" t="str">
        <x:v>https://digitecme.com/brands/cadillac-service-dubai/ac-repair</x:v>
      </x:c>
      <x:c r="W886" s="6" t="str">
        <x:v>Indexable directive</x:v>
      </x:c>
      <x:c r="X886" s="6" t="n">
        <x:v>16</x:v>
      </x:c>
      <x:c r="Y886" s="6" t="str">
        <x:v>Cadillac AC Repair Dubai | Digi-Tec</x:v>
      </x:c>
      <x:c r="Z886" s="6" t="str"/>
      <x:c r="AA886" s="6" t="str">
        <x:v>No / not compared</x:v>
      </x:c>
    </x:row>
    <x:row r="887" ht="42" customHeight="1">
      <x:c r="A887" s="6" t="str">
        <x:v>https://digitecme.com/brands/cadillac-service-dubai/battery-replacement</x:v>
      </x:c>
      <x:c r="B887" s="6" t="str">
        <x:v>cadillac car battery dubai</x:v>
      </x:c>
      <x:c r="C887" s="6" t="str">
        <x:v>cadillac: Battery service</x:v>
      </x:c>
      <x:c r="D887" s="6" t="str">
        <x:v>brand-service</x:v>
      </x:c>
      <x:c r="E887" s="6" t="str">
        <x:v>Primary owner for assigned intent</x:v>
      </x:c>
      <x:c r="F887" s="6" t="str">
        <x:v>Local source render; live version unverified</x:v>
      </x:c>
      <x:c r="G887" s="6" t="str">
        <x:v>Cadillac Battery Replacement Dubai | Digi-Tec</x:v>
      </x:c>
      <x:c r="H887" s="6" t="str">
        <x:v>Cadillac Battery Replacement Dubai | Digi-Tec</x:v>
      </x:c>
      <x:c r="I887" s="6" t="str">
        <x:v>Cadillac Battery Replacement Dubai</x:v>
      </x:c>
      <x:c r="J887" s="6" t="str">
        <x:v>Cadillac Battery Replacement Dubai</x:v>
      </x:c>
      <x:c r="K887" s="6" t="str">
        <x:v>Cadillac battery replacement in Dubai with model-specific inspection, confirmed parts options and a clear quote at Digi-Tec, Al Quoz.</x:v>
      </x:c>
      <x:c r="L887" s="6" t="str">
        <x:v>Retain pending evidence; no specific content edit justified by this export.</x:v>
      </x:c>
      <x:c r="M887" s="6" t="str">
        <x:v>Retain; inspect relevant context before adding links</x:v>
      </x:c>
      <x:c r="N887" s="6" t="str">
        <x:v>Unconfirmed — no query/page pairing</x:v>
      </x:c>
      <x:c r="O887" s="6" t="str">
        <x:v>Retain established booking / WhatsApp / call path; live behaviour untested</x:v>
      </x:c>
      <x:c r="P887" s="6" t="str">
        <x:v>Specific search demand maps to an existing noindex page. Verify live directives and unique business content; consider the existing indexable parent as interim owner.</x:v>
      </x:c>
      <x:c r="Q887" s="6" t="str">
        <x:v>Proposed; no website change made</x:v>
      </x:c>
      <x:c r="R887" s="14" t="n">
        <x:v>0</x:v>
      </x:c>
      <x:c r="S887" s="14" t="n">
        <x:v>44</x:v>
      </x:c>
      <x:c r="T887" s="15" t="n">
        <x:v>0</x:v>
      </x:c>
      <x:c r="U887" s="16" t="n">
        <x:v>24.55</x:v>
      </x:c>
      <x:c r="V887" s="6" t="str">
        <x:v>https://digitecme.com/brands/cadillac-service-dubai/battery-replacement</x:v>
      </x:c>
      <x:c r="W887" s="6" t="str">
        <x:v>Noindex directive</x:v>
      </x:c>
      <x:c r="X887" s="6" t="n">
        <x:v>16</x:v>
      </x:c>
      <x:c r="Y887" s="6" t="str">
        <x:v>Cadillac Battery Replacement Dubai | Digi-Tec</x:v>
      </x:c>
      <x:c r="Z887" s="6" t="str"/>
      <x:c r="AA887" s="6" t="str">
        <x:v>No / not compared</x:v>
      </x:c>
    </x:row>
    <x:row r="888" ht="42" customHeight="1">
      <x:c r="A888" s="6" t="str">
        <x:v>https://digitecme.com/brands/cadillac-service-dubai/body-repair</x:v>
      </x:c>
      <x:c r="B888" s="6" t="str"/>
      <x:c r="C888" s="6" t="str"/>
      <x:c r="D888" s="6" t="str">
        <x:v>brand-service</x:v>
      </x:c>
      <x:c r="E888" s="6" t="str">
        <x:v>Retain differentiated role</x:v>
      </x:c>
      <x:c r="F888" s="6" t="str">
        <x:v>Local source render; live version unverified</x:v>
      </x:c>
      <x:c r="G888" s="6" t="str">
        <x:v>Cadillac Body Repair Dubai | Digi-Tec</x:v>
      </x:c>
      <x:c r="H888" s="6" t="str">
        <x:v>Cadillac Body Repair Dubai | Digi-Tec</x:v>
      </x:c>
      <x:c r="I888" s="6" t="str">
        <x:v>Cadillac Body Repair Dubai</x:v>
      </x:c>
      <x:c r="J888" s="6" t="str">
        <x:v>Cadillac Body Repair Dubai</x:v>
      </x:c>
      <x:c r="K888" s="6" t="str">
        <x:v>Cadillac body repair in Dubai with model-specific inspection, confirmed parts options and a clear quote at Digi-Tec, Al Quoz.</x:v>
      </x:c>
      <x:c r="L888" s="6" t="str">
        <x:v>Retain pending evidence; no specific content edit justified by this export.</x:v>
      </x:c>
      <x:c r="M888" s="6" t="str">
        <x:v>Retain; inspect relevant context before adding links</x:v>
      </x:c>
      <x:c r="N888" s="6" t="str">
        <x:v>Unconfirmed — no query/page pairing</x:v>
      </x:c>
      <x:c r="O888" s="6" t="str">
        <x:v>Retain established booking / WhatsApp / call path; live behaviour untested</x:v>
      </x:c>
      <x:c r="P888" s="6" t="str">
        <x:v>Retain canonical and indexation policy pending a live check.</x:v>
      </x:c>
      <x:c r="Q888" s="6" t="str">
        <x:v>Proposed; no website change made</x:v>
      </x:c>
      <x:c r="R888" s="14" t="n">
        <x:v>0</x:v>
      </x:c>
      <x:c r="S888" s="14" t="n">
        <x:v>142</x:v>
      </x:c>
      <x:c r="T888" s="15" t="n">
        <x:v>0</x:v>
      </x:c>
      <x:c r="U888" s="16" t="n">
        <x:v>80.78</x:v>
      </x:c>
      <x:c r="V888" s="6" t="str">
        <x:v>https://digitecme.com/brands/cadillac-service-dubai/body-repair</x:v>
      </x:c>
      <x:c r="W888" s="6" t="str">
        <x:v>Noindex directive</x:v>
      </x:c>
      <x:c r="X888" s="6" t="n">
        <x:v>16</x:v>
      </x:c>
      <x:c r="Y888" s="6" t="str">
        <x:v>Cadillac Body Repair Dubai | Digi-Tec</x:v>
      </x:c>
      <x:c r="Z888" s="6" t="str"/>
      <x:c r="AA888" s="6" t="str">
        <x:v>No / not compared</x:v>
      </x:c>
    </x:row>
    <x:row r="889" ht="42" customHeight="1">
      <x:c r="A889" s="6" t="str">
        <x:v>https://digitecme.com/brands/cadillac-service-dubai/brake-repair</x:v>
      </x:c>
      <x:c r="B889" s="6" t="str"/>
      <x:c r="C889" s="6" t="str"/>
      <x:c r="D889" s="6" t="str">
        <x:v>brand-service</x:v>
      </x:c>
      <x:c r="E889" s="6" t="str">
        <x:v>Retain differentiated role</x:v>
      </x:c>
      <x:c r="F889" s="6" t="str">
        <x:v>Local source render; live version unverified</x:v>
      </x:c>
      <x:c r="G889" s="6" t="str">
        <x:v>Cadillac Brake Repair Dubai | Digi-Tec</x:v>
      </x:c>
      <x:c r="H889" s="6" t="str">
        <x:v>Cadillac Brake Repair Dubai | Digi-Tec</x:v>
      </x:c>
      <x:c r="I889" s="6" t="str">
        <x:v>Cadillac Brake Repair Dubai</x:v>
      </x:c>
      <x:c r="J889" s="6" t="str">
        <x:v>Cadillac Brake Repair Dubai</x:v>
      </x:c>
      <x:c r="K889" s="6" t="str">
        <x:v>Cadillac brake repair in Dubai with model-specific inspection, confirmed parts options and a clear quote at Digi-Tec, Al Quoz.</x:v>
      </x:c>
      <x:c r="L889" s="6" t="str">
        <x:v>Retain pending evidence; no specific content edit justified by this export.</x:v>
      </x:c>
      <x:c r="M889" s="6" t="str">
        <x:v>Retain; inspect relevant context before adding links</x:v>
      </x:c>
      <x:c r="N889" s="6" t="str">
        <x:v>Unconfirmed — no query/page pairing</x:v>
      </x:c>
      <x:c r="O889" s="6" t="str">
        <x:v>Retain established booking / WhatsApp / call path; live behaviour untested</x:v>
      </x:c>
      <x:c r="P889" s="6" t="str">
        <x:v>Retain canonical and indexation policy pending a live check.</x:v>
      </x:c>
      <x:c r="Q889" s="6" t="str">
        <x:v>Proposed; no website change made</x:v>
      </x:c>
      <x:c r="R889" s="14"/>
      <x:c r="S889" s="14"/>
      <x:c r="T889" s="15"/>
      <x:c r="U889" s="16"/>
      <x:c r="V889" s="6" t="str">
        <x:v>https://digitecme.com/brands/cadillac-service-dubai/brake-repair</x:v>
      </x:c>
      <x:c r="W889" s="6" t="str">
        <x:v>Indexable directive</x:v>
      </x:c>
      <x:c r="X889" s="6" t="n">
        <x:v>16</x:v>
      </x:c>
      <x:c r="Y889" s="6" t="str">
        <x:v>Cadillac Brake Repair Dubai | Digi-Tec</x:v>
      </x:c>
      <x:c r="Z889" s="6" t="str"/>
      <x:c r="AA889" s="6" t="str">
        <x:v>No / not compared</x:v>
      </x:c>
    </x:row>
    <x:row r="890" ht="42" customHeight="1">
      <x:c r="A890" s="6" t="str">
        <x:v>https://digitecme.com/brands/cadillac-service-dubai/electrical-repair</x:v>
      </x:c>
      <x:c r="B890" s="6" t="str"/>
      <x:c r="C890" s="6" t="str"/>
      <x:c r="D890" s="6" t="str">
        <x:v>brand-service</x:v>
      </x:c>
      <x:c r="E890" s="6" t="str">
        <x:v>Retain differentiated role</x:v>
      </x:c>
      <x:c r="F890" s="6" t="str">
        <x:v>Local source render; live version unverified</x:v>
      </x:c>
      <x:c r="G890" s="6" t="str">
        <x:v>Cadillac Electrical Repair Dubai | Digi-Tec</x:v>
      </x:c>
      <x:c r="H890" s="6" t="str">
        <x:v>Cadillac Electrical Repair Dubai | Digi-Tec</x:v>
      </x:c>
      <x:c r="I890" s="6" t="str">
        <x:v>Cadillac Electrical Repair Dubai</x:v>
      </x:c>
      <x:c r="J890" s="6" t="str">
        <x:v>Cadillac Electrical Repair Dubai</x:v>
      </x:c>
      <x:c r="K890" s="6" t="str">
        <x:v>Cadillac electrical repair in Dubai with model-specific inspection, confirmed parts options and a clear quote at Digi-Tec, Al Quoz.</x:v>
      </x:c>
      <x:c r="L890" s="6" t="str">
        <x:v>Retain pending evidence; no specific content edit justified by this export.</x:v>
      </x:c>
      <x:c r="M890" s="6" t="str">
        <x:v>Retain; inspect relevant context before adding links</x:v>
      </x:c>
      <x:c r="N890" s="6" t="str">
        <x:v>Unconfirmed — no query/page pairing</x:v>
      </x:c>
      <x:c r="O890" s="6" t="str">
        <x:v>Retain established booking / WhatsApp / call path; live behaviour untested</x:v>
      </x:c>
      <x:c r="P890" s="6" t="str">
        <x:v>Retain canonical and indexation policy pending a live check.</x:v>
      </x:c>
      <x:c r="Q890" s="6" t="str">
        <x:v>Proposed; no website change made</x:v>
      </x:c>
      <x:c r="R890" s="14" t="n">
        <x:v>0</x:v>
      </x:c>
      <x:c r="S890" s="14" t="n">
        <x:v>108</x:v>
      </x:c>
      <x:c r="T890" s="15" t="n">
        <x:v>0</x:v>
      </x:c>
      <x:c r="U890" s="16" t="n">
        <x:v>89.42</x:v>
      </x:c>
      <x:c r="V890" s="6" t="str">
        <x:v>https://digitecme.com/brands/cadillac-service-dubai/electrical-repair</x:v>
      </x:c>
      <x:c r="W890" s="6" t="str">
        <x:v>Noindex directive</x:v>
      </x:c>
      <x:c r="X890" s="6" t="n">
        <x:v>16</x:v>
      </x:c>
      <x:c r="Y890" s="6" t="str">
        <x:v>Cadillac Electrical Repair Dubai | Digi-Tec</x:v>
      </x:c>
      <x:c r="Z890" s="6" t="str"/>
      <x:c r="AA890" s="6" t="str">
        <x:v>No / not compared</x:v>
      </x:c>
    </x:row>
    <x:row r="891" ht="42" customHeight="1">
      <x:c r="A891" s="6" t="str">
        <x:v>https://digitecme.com/brands/cadillac-service-dubai/engine-diagnostics</x:v>
      </x:c>
      <x:c r="B891" s="6" t="str"/>
      <x:c r="C891" s="6" t="str"/>
      <x:c r="D891" s="6" t="str">
        <x:v>brand-service</x:v>
      </x:c>
      <x:c r="E891" s="6" t="str">
        <x:v>Retain differentiated role</x:v>
      </x:c>
      <x:c r="F891" s="6" t="str">
        <x:v>Local source render; live version unverified</x:v>
      </x:c>
      <x:c r="G891" s="6" t="str">
        <x:v>Cadillac Engine Diagnostics Dubai | Digi-Tec</x:v>
      </x:c>
      <x:c r="H891" s="6" t="str">
        <x:v>Cadillac Engine Diagnostics Dubai | Digi-Tec</x:v>
      </x:c>
      <x:c r="I891" s="6" t="str">
        <x:v>Cadillac Engine Diagnostics Dubai</x:v>
      </x:c>
      <x:c r="J891" s="6" t="str">
        <x:v>Cadillac Engine Diagnostics Dubai</x:v>
      </x:c>
      <x:c r="K891" s="6" t="str">
        <x:v>Cadillac engine diagnostics in Dubai with model-specific inspection, confirmed parts options and a clear quote at Digi-Tec, Al Quoz.</x:v>
      </x:c>
      <x:c r="L891" s="6" t="str">
        <x:v>Retain pending evidence; no specific content edit justified by this export.</x:v>
      </x:c>
      <x:c r="M891" s="6" t="str">
        <x:v>Retain; inspect relevant context before adding links</x:v>
      </x:c>
      <x:c r="N891" s="6" t="str">
        <x:v>Unconfirmed — no query/page pairing</x:v>
      </x:c>
      <x:c r="O891" s="6" t="str">
        <x:v>Retain established booking / WhatsApp / call path; live behaviour untested</x:v>
      </x:c>
      <x:c r="P891" s="6" t="str">
        <x:v>Retain canonical and indexation policy pending a live check.</x:v>
      </x:c>
      <x:c r="Q891" s="6" t="str">
        <x:v>Proposed; no website change made</x:v>
      </x:c>
      <x:c r="R891" s="14"/>
      <x:c r="S891" s="14"/>
      <x:c r="T891" s="15"/>
      <x:c r="U891" s="16"/>
      <x:c r="V891" s="6" t="str">
        <x:v>https://digitecme.com/brands/cadillac-service-dubai/engine-diagnostics</x:v>
      </x:c>
      <x:c r="W891" s="6" t="str">
        <x:v>Indexable directive</x:v>
      </x:c>
      <x:c r="X891" s="6" t="n">
        <x:v>16</x:v>
      </x:c>
      <x:c r="Y891" s="6" t="str">
        <x:v>Cadillac Engine Diagnostics Dubai | Digi-Tec</x:v>
      </x:c>
      <x:c r="Z891" s="6" t="str"/>
      <x:c r="AA891" s="6" t="str">
        <x:v>No / not compared</x:v>
      </x:c>
    </x:row>
    <x:row r="892" ht="42" customHeight="1">
      <x:c r="A892" s="6" t="str">
        <x:v>https://digitecme.com/brands/cadillac-service-dubai/exhaust-repair</x:v>
      </x:c>
      <x:c r="B892" s="6" t="str"/>
      <x:c r="C892" s="6" t="str"/>
      <x:c r="D892" s="6" t="str">
        <x:v>brand-service</x:v>
      </x:c>
      <x:c r="E892" s="6" t="str">
        <x:v>Retain differentiated role</x:v>
      </x:c>
      <x:c r="F892" s="6" t="str">
        <x:v>Local source render; live version unverified</x:v>
      </x:c>
      <x:c r="G892" s="6" t="str">
        <x:v>Cadillac Exhaust Repair Dubai | Digi-Tec</x:v>
      </x:c>
      <x:c r="H892" s="6" t="str">
        <x:v>Cadillac Exhaust Repair Dubai | Digi-Tec</x:v>
      </x:c>
      <x:c r="I892" s="6" t="str">
        <x:v>Cadillac Exhaust Repair Dubai</x:v>
      </x:c>
      <x:c r="J892" s="6" t="str">
        <x:v>Cadillac Exhaust Repair Dubai</x:v>
      </x:c>
      <x:c r="K892" s="6" t="str">
        <x:v>Cadillac exhaust repair in Dubai with model-specific inspection, confirmed parts options and a clear quote at Digi-Tec, Al Quoz.</x:v>
      </x:c>
      <x:c r="L892" s="6" t="str">
        <x:v>Retain pending evidence; no specific content edit justified by this export.</x:v>
      </x:c>
      <x:c r="M892" s="6" t="str">
        <x:v>Retain; inspect relevant context before adding links</x:v>
      </x:c>
      <x:c r="N892" s="6" t="str">
        <x:v>Unconfirmed — no query/page pairing</x:v>
      </x:c>
      <x:c r="O892" s="6" t="str">
        <x:v>Retain established booking / WhatsApp / call path; live behaviour untested</x:v>
      </x:c>
      <x:c r="P892" s="6" t="str">
        <x:v>Retain canonical and indexation policy pending a live check.</x:v>
      </x:c>
      <x:c r="Q892" s="6" t="str">
        <x:v>Proposed; no website change made</x:v>
      </x:c>
      <x:c r="R892" s="14" t="n">
        <x:v>0</x:v>
      </x:c>
      <x:c r="S892" s="14" t="n">
        <x:v>13</x:v>
      </x:c>
      <x:c r="T892" s="15" t="n">
        <x:v>0</x:v>
      </x:c>
      <x:c r="U892" s="16" t="n">
        <x:v>90.54</x:v>
      </x:c>
      <x:c r="V892" s="6" t="str">
        <x:v>https://digitecme.com/brands/cadillac-service-dubai/exhaust-repair</x:v>
      </x:c>
      <x:c r="W892" s="6" t="str">
        <x:v>Noindex directive</x:v>
      </x:c>
      <x:c r="X892" s="6" t="n">
        <x:v>16</x:v>
      </x:c>
      <x:c r="Y892" s="6" t="str">
        <x:v>Cadillac Exhaust Repair Dubai | Digi-Tec</x:v>
      </x:c>
      <x:c r="Z892" s="6" t="str"/>
      <x:c r="AA892" s="6" t="str">
        <x:v>No / not compared</x:v>
      </x:c>
    </x:row>
    <x:row r="893" ht="42" customHeight="1">
      <x:c r="A893" s="6" t="str">
        <x:v>https://digitecme.com/brands/cadillac-service-dubai/fuel-system-repair</x:v>
      </x:c>
      <x:c r="B893" s="6" t="str"/>
      <x:c r="C893" s="6" t="str"/>
      <x:c r="D893" s="6" t="str">
        <x:v>brand-service</x:v>
      </x:c>
      <x:c r="E893" s="6" t="str">
        <x:v>Retain differentiated role</x:v>
      </x:c>
      <x:c r="F893" s="6" t="str">
        <x:v>Local source render; live version unverified</x:v>
      </x:c>
      <x:c r="G893" s="6" t="str">
        <x:v>Cadillac Fuel System Repair Dubai | Digi-Tec</x:v>
      </x:c>
      <x:c r="H893" s="6" t="str">
        <x:v>Cadillac Fuel System Repair Dubai | Digi-Tec</x:v>
      </x:c>
      <x:c r="I893" s="6" t="str">
        <x:v>Cadillac Fuel System Repair Dubai</x:v>
      </x:c>
      <x:c r="J893" s="6" t="str">
        <x:v>Cadillac Fuel System Repair Dubai</x:v>
      </x:c>
      <x:c r="K893" s="6" t="str">
        <x:v>Cadillac fuel system repair in Dubai with model-specific inspection, confirmed parts options and a clear quote at Digi-Tec, Al Quoz.</x:v>
      </x:c>
      <x:c r="L893" s="6" t="str">
        <x:v>Retain pending evidence; no specific content edit justified by this export.</x:v>
      </x:c>
      <x:c r="M893" s="6" t="str">
        <x:v>Retain; inspect relevant context before adding links</x:v>
      </x:c>
      <x:c r="N893" s="6" t="str">
        <x:v>Unconfirmed — no query/page pairing</x:v>
      </x:c>
      <x:c r="O893" s="6" t="str">
        <x:v>Retain established booking / WhatsApp / call path; live behaviour untested</x:v>
      </x:c>
      <x:c r="P893" s="6" t="str">
        <x:v>Retain canonical and indexation policy pending a live check.</x:v>
      </x:c>
      <x:c r="Q893" s="6" t="str">
        <x:v>Proposed; no website change made</x:v>
      </x:c>
      <x:c r="R893" s="14" t="n">
        <x:v>0</x:v>
      </x:c>
      <x:c r="S893" s="14" t="n">
        <x:v>1</x:v>
      </x:c>
      <x:c r="T893" s="15" t="n">
        <x:v>0</x:v>
      </x:c>
      <x:c r="U893" s="16" t="n">
        <x:v>3</x:v>
      </x:c>
      <x:c r="V893" s="6" t="str">
        <x:v>https://digitecme.com/brands/cadillac-service-dubai/fuel-system-repair</x:v>
      </x:c>
      <x:c r="W893" s="6" t="str">
        <x:v>Noindex directive</x:v>
      </x:c>
      <x:c r="X893" s="6" t="n">
        <x:v>16</x:v>
      </x:c>
      <x:c r="Y893" s="6" t="str">
        <x:v>Cadillac Fuel System Repair Dubai | Digi-Tec</x:v>
      </x:c>
      <x:c r="Z893" s="6" t="str"/>
      <x:c r="AA893" s="6" t="str">
        <x:v>No / not compared</x:v>
      </x:c>
    </x:row>
    <x:row r="894" ht="42" customHeight="1">
      <x:c r="A894" s="6" t="str">
        <x:v>https://digitecme.com/brands/cadillac-service-dubai/mechanical-repair</x:v>
      </x:c>
      <x:c r="B894" s="6" t="str"/>
      <x:c r="C894" s="6" t="str"/>
      <x:c r="D894" s="6" t="str">
        <x:v>brand-service</x:v>
      </x:c>
      <x:c r="E894" s="6" t="str">
        <x:v>Retain differentiated role</x:v>
      </x:c>
      <x:c r="F894" s="6" t="str">
        <x:v>Local source render; live version unverified</x:v>
      </x:c>
      <x:c r="G894" s="6" t="str">
        <x:v>Cadillac Mechanical Repair Dubai | Digi-Tec</x:v>
      </x:c>
      <x:c r="H894" s="6" t="str">
        <x:v>Cadillac Mechanical Repair Dubai | Digi-Tec</x:v>
      </x:c>
      <x:c r="I894" s="6" t="str">
        <x:v>Cadillac Mechanical Repair Dubai</x:v>
      </x:c>
      <x:c r="J894" s="6" t="str">
        <x:v>Cadillac Mechanical Repair Dubai</x:v>
      </x:c>
      <x:c r="K894" s="6" t="str">
        <x:v>Cadillac mechanical repair in Dubai with model-specific inspection, confirmed parts options and a clear quote at Digi-Tec, Al Quoz.</x:v>
      </x:c>
      <x:c r="L894" s="6" t="str">
        <x:v>Retain pending evidence; no specific content edit justified by this export.</x:v>
      </x:c>
      <x:c r="M894" s="6" t="str">
        <x:v>Retain; inspect relevant context before adding links</x:v>
      </x:c>
      <x:c r="N894" s="6" t="str">
        <x:v>Unconfirmed — no query/page pairing</x:v>
      </x:c>
      <x:c r="O894" s="6" t="str">
        <x:v>Retain established booking / WhatsApp / call path; live behaviour untested</x:v>
      </x:c>
      <x:c r="P894" s="6" t="str">
        <x:v>Retain canonical and indexation policy pending a live check.</x:v>
      </x:c>
      <x:c r="Q894" s="6" t="str">
        <x:v>Proposed; no website change made</x:v>
      </x:c>
      <x:c r="R894" s="14" t="n">
        <x:v>0</x:v>
      </x:c>
      <x:c r="S894" s="14" t="n">
        <x:v>258</x:v>
      </x:c>
      <x:c r="T894" s="15" t="n">
        <x:v>0</x:v>
      </x:c>
      <x:c r="U894" s="16" t="n">
        <x:v>83.09</x:v>
      </x:c>
      <x:c r="V894" s="6" t="str">
        <x:v>https://digitecme.com/brands/cadillac-service-dubai/mechanical-repair</x:v>
      </x:c>
      <x:c r="W894" s="6" t="str">
        <x:v>Noindex directive</x:v>
      </x:c>
      <x:c r="X894" s="6" t="n">
        <x:v>16</x:v>
      </x:c>
      <x:c r="Y894" s="6" t="str">
        <x:v>Cadillac Mechanical Repair Dubai | Digi-Tec</x:v>
      </x:c>
      <x:c r="Z894" s="6" t="str"/>
      <x:c r="AA894" s="6" t="str">
        <x:v>No / not compared</x:v>
      </x:c>
    </x:row>
    <x:row r="895" ht="42" customHeight="1">
      <x:c r="A895" s="6" t="str">
        <x:v>https://digitecme.com/brands/cadillac-service-dubai/oil-change</x:v>
      </x:c>
      <x:c r="B895" s="6" t="str">
        <x:v>cadillac oil change dubai</x:v>
      </x:c>
      <x:c r="C895" s="6" t="str">
        <x:v>cadillac: Oil change</x:v>
      </x:c>
      <x:c r="D895" s="6" t="str">
        <x:v>brand-service</x:v>
      </x:c>
      <x:c r="E895" s="6" t="str">
        <x:v>Primary owner for assigned intent</x:v>
      </x:c>
      <x:c r="F895" s="6" t="str">
        <x:v>Local source render; live version unverified</x:v>
      </x:c>
      <x:c r="G895" s="6" t="str">
        <x:v>Cadillac Oil Change Dubai | Digi-Tec</x:v>
      </x:c>
      <x:c r="H895" s="6" t="str">
        <x:v>Cadillac Oil Change Dubai | Digi-Tec</x:v>
      </x:c>
      <x:c r="I895" s="6" t="str">
        <x:v>Cadillac Oil Change Dubai</x:v>
      </x:c>
      <x:c r="J895" s="6" t="str">
        <x:v>Cadillac Oil Change Dubai</x:v>
      </x:c>
      <x:c r="K895" s="6" t="str">
        <x:v>Cadillac oil change in Dubai with model-specific inspection, confirmed parts options and a clear quote at Digi-Tec, Al Quoz.</x:v>
      </x:c>
      <x:c r="L895" s="6" t="str">
        <x:v>Retain pending evidence; no specific content edit justified by this export.</x:v>
      </x:c>
      <x:c r="M895" s="6" t="str">
        <x:v>Retain; inspect relevant context before adding links</x:v>
      </x:c>
      <x:c r="N895" s="6" t="str">
        <x:v>Unconfirmed — no query/page pairing</x:v>
      </x:c>
      <x:c r="O895" s="6" t="str">
        <x:v>Retain established booking / WhatsApp / call path; live behaviour untested</x:v>
      </x:c>
      <x:c r="P895" s="6" t="str">
        <x:v>Retain canonical and indexation policy pending a live check.</x:v>
      </x:c>
      <x:c r="Q895" s="6" t="str">
        <x:v>Proposed; no website change made</x:v>
      </x:c>
      <x:c r="R895" s="14" t="n">
        <x:v>0</x:v>
      </x:c>
      <x:c r="S895" s="14" t="n">
        <x:v>28</x:v>
      </x:c>
      <x:c r="T895" s="15" t="n">
        <x:v>0</x:v>
      </x:c>
      <x:c r="U895" s="16" t="n">
        <x:v>12.43</x:v>
      </x:c>
      <x:c r="V895" s="6" t="str">
        <x:v>https://digitecme.com/brands/cadillac-service-dubai/oil-change</x:v>
      </x:c>
      <x:c r="W895" s="6" t="str">
        <x:v>Indexable directive</x:v>
      </x:c>
      <x:c r="X895" s="6" t="n">
        <x:v>16</x:v>
      </x:c>
      <x:c r="Y895" s="6" t="str">
        <x:v>Cadillac Oil Change Dubai | Digi-Tec</x:v>
      </x:c>
      <x:c r="Z895" s="6" t="str"/>
      <x:c r="AA895" s="6" t="str">
        <x:v>No / not compared</x:v>
      </x:c>
    </x:row>
    <x:row r="896" ht="42" customHeight="1">
      <x:c r="A896" s="6" t="str">
        <x:v>https://digitecme.com/brands/cadillac-service-dubai/steering-repair</x:v>
      </x:c>
      <x:c r="B896" s="6" t="str"/>
      <x:c r="C896" s="6" t="str"/>
      <x:c r="D896" s="6" t="str">
        <x:v>brand-service</x:v>
      </x:c>
      <x:c r="E896" s="6" t="str">
        <x:v>Retain differentiated role</x:v>
      </x:c>
      <x:c r="F896" s="6" t="str">
        <x:v>Local source render; live version unverified</x:v>
      </x:c>
      <x:c r="G896" s="6" t="str">
        <x:v>Cadillac Steering Repair Dubai | Digi-Tec</x:v>
      </x:c>
      <x:c r="H896" s="6" t="str">
        <x:v>Cadillac Steering Repair Dubai | Digi-Tec</x:v>
      </x:c>
      <x:c r="I896" s="6" t="str">
        <x:v>Cadillac Steering Repair Dubai</x:v>
      </x:c>
      <x:c r="J896" s="6" t="str">
        <x:v>Cadillac Steering Repair Dubai</x:v>
      </x:c>
      <x:c r="K896" s="6" t="str">
        <x:v>Cadillac steering repair in Dubai with model-specific inspection, confirmed parts options and a clear quote at Digi-Tec, Al Quoz.</x:v>
      </x:c>
      <x:c r="L896" s="6" t="str">
        <x:v>Retain pending evidence; no specific content edit justified by this export.</x:v>
      </x:c>
      <x:c r="M896" s="6" t="str">
        <x:v>Retain; inspect relevant context before adding links</x:v>
      </x:c>
      <x:c r="N896" s="6" t="str">
        <x:v>Unconfirmed — no query/page pairing</x:v>
      </x:c>
      <x:c r="O896" s="6" t="str">
        <x:v>Retain established booking / WhatsApp / call path; live behaviour untested</x:v>
      </x:c>
      <x:c r="P896" s="6" t="str">
        <x:v>Retain canonical and indexation policy pending a live check.</x:v>
      </x:c>
      <x:c r="Q896" s="6" t="str">
        <x:v>Proposed; no website change made</x:v>
      </x:c>
      <x:c r="R896" s="14" t="n">
        <x:v>0</x:v>
      </x:c>
      <x:c r="S896" s="14" t="n">
        <x:v>58</x:v>
      </x:c>
      <x:c r="T896" s="15" t="n">
        <x:v>0</x:v>
      </x:c>
      <x:c r="U896" s="16" t="n">
        <x:v>85.21</x:v>
      </x:c>
      <x:c r="V896" s="6" t="str">
        <x:v>https://digitecme.com/brands/cadillac-service-dubai/steering-repair</x:v>
      </x:c>
      <x:c r="W896" s="6" t="str">
        <x:v>Noindex directive</x:v>
      </x:c>
      <x:c r="X896" s="6" t="n">
        <x:v>16</x:v>
      </x:c>
      <x:c r="Y896" s="6" t="str">
        <x:v>Cadillac Steering Repair Dubai | Digi-Tec</x:v>
      </x:c>
      <x:c r="Z896" s="6" t="str"/>
      <x:c r="AA896" s="6" t="str">
        <x:v>No / not compared</x:v>
      </x:c>
    </x:row>
    <x:row r="897" ht="42" customHeight="1">
      <x:c r="A897" s="6" t="str">
        <x:v>https://digitecme.com/brands/cadillac-service-dubai/suspension-repair</x:v>
      </x:c>
      <x:c r="B897" s="6" t="str"/>
      <x:c r="C897" s="6" t="str"/>
      <x:c r="D897" s="6" t="str">
        <x:v>brand-service</x:v>
      </x:c>
      <x:c r="E897" s="6" t="str">
        <x:v>Retain differentiated role</x:v>
      </x:c>
      <x:c r="F897" s="6" t="str">
        <x:v>Local source render; live version unverified</x:v>
      </x:c>
      <x:c r="G897" s="6" t="str">
        <x:v>Cadillac Suspension Repair Dubai | Digi-Tec</x:v>
      </x:c>
      <x:c r="H897" s="6" t="str">
        <x:v>Cadillac Suspension Repair Dubai | Digi-Tec</x:v>
      </x:c>
      <x:c r="I897" s="6" t="str">
        <x:v>Cadillac Suspension Repair Dubai</x:v>
      </x:c>
      <x:c r="J897" s="6" t="str">
        <x:v>Cadillac Suspension Repair Dubai</x:v>
      </x:c>
      <x:c r="K897" s="6" t="str">
        <x:v>Cadillac suspension repair in Dubai with model-specific inspection, confirmed parts options and a clear quote at Digi-Tec, Al Quoz.</x:v>
      </x:c>
      <x:c r="L897" s="6" t="str">
        <x:v>Retain pending evidence; no specific content edit justified by this export.</x:v>
      </x:c>
      <x:c r="M897" s="6" t="str">
        <x:v>Retain; inspect relevant context before adding links</x:v>
      </x:c>
      <x:c r="N897" s="6" t="str">
        <x:v>Unconfirmed — no query/page pairing</x:v>
      </x:c>
      <x:c r="O897" s="6" t="str">
        <x:v>Retain established booking / WhatsApp / call path; live behaviour untested</x:v>
      </x:c>
      <x:c r="P897" s="6" t="str">
        <x:v>Retain canonical and indexation policy pending a live check.</x:v>
      </x:c>
      <x:c r="Q897" s="6" t="str">
        <x:v>Proposed; no website change made</x:v>
      </x:c>
      <x:c r="R897" s="14" t="n">
        <x:v>0</x:v>
      </x:c>
      <x:c r="S897" s="14" t="n">
        <x:v>4</x:v>
      </x:c>
      <x:c r="T897" s="15" t="n">
        <x:v>0</x:v>
      </x:c>
      <x:c r="U897" s="16" t="n">
        <x:v>7.75</x:v>
      </x:c>
      <x:c r="V897" s="6" t="str">
        <x:v>https://digitecme.com/brands/cadillac-service-dubai/suspension-repair</x:v>
      </x:c>
      <x:c r="W897" s="6" t="str">
        <x:v>Noindex directive</x:v>
      </x:c>
      <x:c r="X897" s="6" t="n">
        <x:v>16</x:v>
      </x:c>
      <x:c r="Y897" s="6" t="str">
        <x:v>Cadillac Suspension Repair Dubai | Digi-Tec</x:v>
      </x:c>
      <x:c r="Z897" s="6" t="str"/>
      <x:c r="AA897" s="6" t="str">
        <x:v>No / not compared</x:v>
      </x:c>
    </x:row>
    <x:row r="898" ht="42" customHeight="1">
      <x:c r="A898" s="6" t="str">
        <x:v>https://digitecme.com/brands/cadillac-service-dubai/tire-repair</x:v>
      </x:c>
      <x:c r="B898" s="6" t="str"/>
      <x:c r="C898" s="6" t="str"/>
      <x:c r="D898" s="6" t="str">
        <x:v>brand-service</x:v>
      </x:c>
      <x:c r="E898" s="6" t="str">
        <x:v>Retain differentiated role</x:v>
      </x:c>
      <x:c r="F898" s="6" t="str">
        <x:v>Local source render; live version unverified</x:v>
      </x:c>
      <x:c r="G898" s="6" t="str">
        <x:v>Cadillac Tyre Repair Dubai | Digi-Tec</x:v>
      </x:c>
      <x:c r="H898" s="6" t="str">
        <x:v>Cadillac Tyre Repair Dubai | Digi-Tec</x:v>
      </x:c>
      <x:c r="I898" s="6" t="str">
        <x:v>Cadillac Tyre Repair Dubai</x:v>
      </x:c>
      <x:c r="J898" s="6" t="str">
        <x:v>Cadillac Tyre Repair Dubai</x:v>
      </x:c>
      <x:c r="K898" s="6" t="str">
        <x:v>Cadillac tyre repair in Dubai with model-specific inspection, confirmed parts options and a clear quote at Digi-Tec, Al Quoz.</x:v>
      </x:c>
      <x:c r="L898" s="6" t="str">
        <x:v>Retain pending evidence; no specific content edit justified by this export.</x:v>
      </x:c>
      <x:c r="M898" s="6" t="str">
        <x:v>Retain; inspect relevant context before adding links</x:v>
      </x:c>
      <x:c r="N898" s="6" t="str">
        <x:v>Unconfirmed — no query/page pairing</x:v>
      </x:c>
      <x:c r="O898" s="6" t="str">
        <x:v>Retain established booking / WhatsApp / call path; live behaviour untested</x:v>
      </x:c>
      <x:c r="P898" s="6" t="str">
        <x:v>Retain canonical and indexation policy pending a live check.</x:v>
      </x:c>
      <x:c r="Q898" s="6" t="str">
        <x:v>Proposed; no website change made</x:v>
      </x:c>
      <x:c r="R898" s="14"/>
      <x:c r="S898" s="14"/>
      <x:c r="T898" s="15"/>
      <x:c r="U898" s="16"/>
      <x:c r="V898" s="6" t="str">
        <x:v>https://digitecme.com/brands/cadillac-service-dubai/tire-repair</x:v>
      </x:c>
      <x:c r="W898" s="6" t="str">
        <x:v>Noindex directive</x:v>
      </x:c>
      <x:c r="X898" s="6" t="n">
        <x:v>16</x:v>
      </x:c>
      <x:c r="Y898" s="6" t="str">
        <x:v>Cadillac Tyre Repair Dubai | Digi-Tec</x:v>
      </x:c>
      <x:c r="Z898" s="6" t="str"/>
      <x:c r="AA898" s="6" t="str">
        <x:v>No / not compared</x:v>
      </x:c>
    </x:row>
    <x:row r="899" ht="42" customHeight="1">
      <x:c r="A899" s="6" t="str">
        <x:v>https://digitecme.com/brands/cadillac-service-dubai/transmission-repair</x:v>
      </x:c>
      <x:c r="B899" s="6" t="str">
        <x:v>cadillac transmission repair dubai</x:v>
      </x:c>
      <x:c r="C899" s="6" t="str">
        <x:v>cadillac: Transmission and gearbox repair</x:v>
      </x:c>
      <x:c r="D899" s="6" t="str">
        <x:v>brand-service</x:v>
      </x:c>
      <x:c r="E899" s="6" t="str">
        <x:v>Primary owner for assigned intent</x:v>
      </x:c>
      <x:c r="F899" s="6" t="str">
        <x:v>Local source render; live version unverified</x:v>
      </x:c>
      <x:c r="G899" s="6" t="str">
        <x:v>Cadillac Transmission Repair Dubai | Digi-Tec</x:v>
      </x:c>
      <x:c r="H899" s="6" t="str">
        <x:v>Cadillac Transmission Repair Dubai | Digi-Tec</x:v>
      </x:c>
      <x:c r="I899" s="6" t="str">
        <x:v>Cadillac Transmission Repair Dubai</x:v>
      </x:c>
      <x:c r="J899" s="6" t="str">
        <x:v>Cadillac Transmission Repair Dubai</x:v>
      </x:c>
      <x:c r="K899" s="6" t="str">
        <x:v>Cadillac transmission repair in Dubai with model-specific inspection, confirmed parts options and a clear quote at Digi-Tec, Al Quoz.</x:v>
      </x:c>
      <x:c r="L899" s="6" t="str">
        <x:v>Retain pending evidence; no specific content edit justified by this export.</x:v>
      </x:c>
      <x:c r="M899" s="6" t="str">
        <x:v>Retain; inspect relevant context before adding links</x:v>
      </x:c>
      <x:c r="N899" s="6" t="str">
        <x:v>Unconfirmed — no query/page pairing</x:v>
      </x:c>
      <x:c r="O899" s="6" t="str">
        <x:v>Retain established booking / WhatsApp / call path; live behaviour untested</x:v>
      </x:c>
      <x:c r="P899" s="6" t="str">
        <x:v>Specific search demand maps to an existing noindex page. Verify live directives and unique business content; consider the existing indexable parent as interim owner.</x:v>
      </x:c>
      <x:c r="Q899" s="6" t="str">
        <x:v>Proposed; no website change made</x:v>
      </x:c>
      <x:c r="R899" s="14" t="n">
        <x:v>0</x:v>
      </x:c>
      <x:c r="S899" s="14" t="n">
        <x:v>20</x:v>
      </x:c>
      <x:c r="T899" s="15" t="n">
        <x:v>0</x:v>
      </x:c>
      <x:c r="U899" s="16" t="n">
        <x:v>8.15</x:v>
      </x:c>
      <x:c r="V899" s="6" t="str">
        <x:v>https://digitecme.com/brands/cadillac-service-dubai/transmission-repair</x:v>
      </x:c>
      <x:c r="W899" s="6" t="str">
        <x:v>Noindex directive</x:v>
      </x:c>
      <x:c r="X899" s="6" t="n">
        <x:v>16</x:v>
      </x:c>
      <x:c r="Y899" s="6" t="str">
        <x:v>Cadillac Transmission Repair Dubai | Digi-Tec</x:v>
      </x:c>
      <x:c r="Z899" s="6" t="str"/>
      <x:c r="AA899" s="6" t="str">
        <x:v>No / not compared</x:v>
      </x:c>
    </x:row>
    <x:row r="900" ht="42" customHeight="1">
      <x:c r="A900" s="6" t="str">
        <x:v>https://digitecme.com/brands/chevrolet-service-dubai</x:v>
      </x:c>
      <x:c r="B900" s="6" t="str">
        <x:v>chevrolet repair in dubai</x:v>
      </x:c>
      <x:c r="C900" s="6" t="str">
        <x:v>chevrolet: Service and repair</x:v>
      </x:c>
      <x:c r="D900" s="6" t="str">
        <x:v>brand</x:v>
      </x:c>
      <x:c r="E900" s="6" t="str">
        <x:v>Primary owner for assigned intent</x:v>
      </x:c>
      <x:c r="F900" s="6" t="str">
        <x:v>Local source render; live version unverified</x:v>
      </x:c>
      <x:c r="G900" s="6" t="str">
        <x:v>Chevrolet Repair Dubai | Digi-Tec</x:v>
      </x:c>
      <x:c r="H900" s="6" t="str">
        <x:v>Chevrolet Repair Dubai | Digi-Tec</x:v>
      </x:c>
      <x:c r="I900" s="6" t="str">
        <x:v>Chevrolet Repair &amp; Service Dubai</x:v>
      </x:c>
      <x:c r="J900" s="6" t="str">
        <x:v>Chevrolet Repair &amp; Service Dubai</x:v>
      </x:c>
      <x:c r="K900" s="6" t="str">
        <x:v>Specialist Chevrolet repair and service in Dubai: diagnostics, maintenance, brakes, transmission, suspension and AC at Digi-Tec, Al Quoz.</x:v>
      </x:c>
      <x:c r="L900" s="6" t="str">
        <x:v>Retain pending evidence; no specific content edit justified by this export.</x:v>
      </x:c>
      <x:c r="M900" s="6" t="str">
        <x:v>Retain; inspect relevant context before adding links</x:v>
      </x:c>
      <x:c r="N900" s="6" t="str">
        <x:v>Unconfirmed — no query/page pairing</x:v>
      </x:c>
      <x:c r="O900" s="6" t="str">
        <x:v>Retain established booking / WhatsApp / call path; live behaviour untested</x:v>
      </x:c>
      <x:c r="P900" s="6" t="str">
        <x:v>Retain canonical and indexation policy pending a live check.</x:v>
      </x:c>
      <x:c r="Q900" s="6" t="str">
        <x:v>Proposed; no website change made</x:v>
      </x:c>
      <x:c r="R900" s="14" t="n">
        <x:v>0</x:v>
      </x:c>
      <x:c r="S900" s="14" t="n">
        <x:v>262</x:v>
      </x:c>
      <x:c r="T900" s="15" t="n">
        <x:v>0</x:v>
      </x:c>
      <x:c r="U900" s="16" t="n">
        <x:v>33.69</x:v>
      </x:c>
      <x:c r="V900" s="6" t="str">
        <x:v>https://digitecme.com/brands/chevrolet-service-dubai</x:v>
      </x:c>
      <x:c r="W900" s="6" t="str">
        <x:v>Indexable directive</x:v>
      </x:c>
      <x:c r="X900" s="6" t="n">
        <x:v>28</x:v>
      </x:c>
      <x:c r="Y900" s="6" t="str">
        <x:v>Chevrolet Repair Dubai | Digi-Tec</x:v>
      </x:c>
      <x:c r="Z900" s="6" t="str"/>
      <x:c r="AA900" s="6" t="str">
        <x:v>No / not compared</x:v>
      </x:c>
    </x:row>
    <x:row r="901" ht="42" customHeight="1">
      <x:c r="A901" s="6" t="str">
        <x:v>https://digitecme.com/brands/chevrolet-service-dubai/ac-repair</x:v>
      </x:c>
      <x:c r="B901" s="6" t="str"/>
      <x:c r="C901" s="6" t="str"/>
      <x:c r="D901" s="6" t="str">
        <x:v>brand-service</x:v>
      </x:c>
      <x:c r="E901" s="6" t="str">
        <x:v>Retain differentiated role</x:v>
      </x:c>
      <x:c r="F901" s="6" t="str">
        <x:v>Local source render; live version unverified</x:v>
      </x:c>
      <x:c r="G901" s="6" t="str">
        <x:v>Chevrolet AC Repair Dubai | Digi-Tec</x:v>
      </x:c>
      <x:c r="H901" s="6" t="str">
        <x:v>Chevrolet AC Repair Dubai | Digi-Tec</x:v>
      </x:c>
      <x:c r="I901" s="6" t="str">
        <x:v>Chevrolet AC Repair Dubai</x:v>
      </x:c>
      <x:c r="J901" s="6" t="str">
        <x:v>Chevrolet AC Repair Dubai</x:v>
      </x:c>
      <x:c r="K901" s="6" t="str">
        <x:v>Chevrolet ac repair in Dubai with model-specific inspection, confirmed parts options and a clear quote at Digi-Tec, Al Quoz.</x:v>
      </x:c>
      <x:c r="L901" s="6" t="str">
        <x:v>Retain pending evidence; no specific content edit justified by this export.</x:v>
      </x:c>
      <x:c r="M901" s="6" t="str">
        <x:v>Retain; inspect relevant context before adding links</x:v>
      </x:c>
      <x:c r="N901" s="6" t="str">
        <x:v>Unconfirmed — no query/page pairing</x:v>
      </x:c>
      <x:c r="O901" s="6" t="str">
        <x:v>Retain established booking / WhatsApp / call path; live behaviour untested</x:v>
      </x:c>
      <x:c r="P901" s="6" t="str">
        <x:v>Retain canonical and indexation policy pending a live check.</x:v>
      </x:c>
      <x:c r="Q901" s="6" t="str">
        <x:v>Proposed; no website change made</x:v>
      </x:c>
      <x:c r="R901" s="14" t="n">
        <x:v>0</x:v>
      </x:c>
      <x:c r="S901" s="14" t="n">
        <x:v>149</x:v>
      </x:c>
      <x:c r="T901" s="15" t="n">
        <x:v>0</x:v>
      </x:c>
      <x:c r="U901" s="16" t="n">
        <x:v>16.34</x:v>
      </x:c>
      <x:c r="V901" s="6" t="str">
        <x:v>https://digitecme.com/brands/chevrolet-service-dubai/ac-repair</x:v>
      </x:c>
      <x:c r="W901" s="6" t="str">
        <x:v>Indexable directive</x:v>
      </x:c>
      <x:c r="X901" s="6" t="n">
        <x:v>8</x:v>
      </x:c>
      <x:c r="Y901" s="6" t="str">
        <x:v>Chevrolet AC Repair Dubai | Digi-Tec</x:v>
      </x:c>
      <x:c r="Z901" s="6" t="str"/>
      <x:c r="AA901" s="6" t="str">
        <x:v>No / not compared</x:v>
      </x:c>
    </x:row>
    <x:row r="902" ht="42" customHeight="1">
      <x:c r="A902" s="6" t="str">
        <x:v>https://digitecme.com/brands/chevrolet-service-dubai/brake-repair</x:v>
      </x:c>
      <x:c r="B902" s="6" t="str"/>
      <x:c r="C902" s="6" t="str"/>
      <x:c r="D902" s="6" t="str">
        <x:v>brand-service</x:v>
      </x:c>
      <x:c r="E902" s="6" t="str">
        <x:v>Retain differentiated role</x:v>
      </x:c>
      <x:c r="F902" s="6" t="str">
        <x:v>Local source render; live version unverified</x:v>
      </x:c>
      <x:c r="G902" s="6" t="str">
        <x:v>Chevrolet Brake Repair Dubai | Digi-Tec</x:v>
      </x:c>
      <x:c r="H902" s="6" t="str">
        <x:v>Chevrolet Brake Repair Dubai | Digi-Tec</x:v>
      </x:c>
      <x:c r="I902" s="6" t="str">
        <x:v>Chevrolet Brake Repair Dubai</x:v>
      </x:c>
      <x:c r="J902" s="6" t="str">
        <x:v>Chevrolet Brake Repair Dubai</x:v>
      </x:c>
      <x:c r="K902" s="6" t="str">
        <x:v>Chevrolet brake repair in Dubai with model-specific inspection, confirmed parts options and a clear quote at Digi-Tec, Al Quoz.</x:v>
      </x:c>
      <x:c r="L902" s="6" t="str">
        <x:v>Retain pending evidence; no specific content edit justified by this export.</x:v>
      </x:c>
      <x:c r="M902" s="6" t="str">
        <x:v>Retain; inspect relevant context before adding links</x:v>
      </x:c>
      <x:c r="N902" s="6" t="str">
        <x:v>Unconfirmed — no query/page pairing</x:v>
      </x:c>
      <x:c r="O902" s="6" t="str">
        <x:v>Retain established booking / WhatsApp / call path; live behaviour untested</x:v>
      </x:c>
      <x:c r="P902" s="6" t="str">
        <x:v>Retain canonical and indexation policy pending a live check.</x:v>
      </x:c>
      <x:c r="Q902" s="6" t="str">
        <x:v>Proposed; no website change made</x:v>
      </x:c>
      <x:c r="R902" s="14" t="n">
        <x:v>0</x:v>
      </x:c>
      <x:c r="S902" s="14" t="n">
        <x:v>15</x:v>
      </x:c>
      <x:c r="T902" s="15" t="n">
        <x:v>0</x:v>
      </x:c>
      <x:c r="U902" s="16" t="n">
        <x:v>11.93</x:v>
      </x:c>
      <x:c r="V902" s="6" t="str">
        <x:v>https://digitecme.com/brands/chevrolet-service-dubai/brake-repair</x:v>
      </x:c>
      <x:c r="W902" s="6" t="str">
        <x:v>Indexable directive</x:v>
      </x:c>
      <x:c r="X902" s="6" t="n">
        <x:v>8</x:v>
      </x:c>
      <x:c r="Y902" s="6" t="str">
        <x:v>Chevrolet Brake Repair Dubai | Digi-Tec</x:v>
      </x:c>
      <x:c r="Z902" s="6" t="str"/>
      <x:c r="AA902" s="6" t="str">
        <x:v>No / not compared</x:v>
      </x:c>
    </x:row>
    <x:row r="903" ht="42" customHeight="1">
      <x:c r="A903" s="6" t="str">
        <x:v>https://digitecme.com/brands/chevrolet-service-dubai/engine-diagnostics</x:v>
      </x:c>
      <x:c r="B903" s="6" t="str"/>
      <x:c r="C903" s="6" t="str"/>
      <x:c r="D903" s="6" t="str">
        <x:v>brand-service</x:v>
      </x:c>
      <x:c r="E903" s="6" t="str">
        <x:v>Retain differentiated role</x:v>
      </x:c>
      <x:c r="F903" s="6" t="str">
        <x:v>Local source render; live version unverified</x:v>
      </x:c>
      <x:c r="G903" s="6" t="str">
        <x:v>Chevrolet Engine Diagnostics Dubai | Digi-Tec</x:v>
      </x:c>
      <x:c r="H903" s="6" t="str">
        <x:v>Chevrolet Engine Diagnostics Dubai | Digi-Tec</x:v>
      </x:c>
      <x:c r="I903" s="6" t="str">
        <x:v>Chevrolet Engine Diagnostics Dubai</x:v>
      </x:c>
      <x:c r="J903" s="6" t="str">
        <x:v>Chevrolet Engine Diagnostics Dubai</x:v>
      </x:c>
      <x:c r="K903" s="6" t="str">
        <x:v>Chevrolet engine diagnostics in Dubai with model-specific inspection, confirmed parts options and a clear quote at Digi-Tec, Al Quoz.</x:v>
      </x:c>
      <x:c r="L903" s="6" t="str">
        <x:v>Retain pending evidence; no specific content edit justified by this export.</x:v>
      </x:c>
      <x:c r="M903" s="6" t="str">
        <x:v>Retain; inspect relevant context before adding links</x:v>
      </x:c>
      <x:c r="N903" s="6" t="str">
        <x:v>Unconfirmed — no query/page pairing</x:v>
      </x:c>
      <x:c r="O903" s="6" t="str">
        <x:v>Retain established booking / WhatsApp / call path; live behaviour untested</x:v>
      </x:c>
      <x:c r="P903" s="6" t="str">
        <x:v>Retain canonical and indexation policy pending a live check.</x:v>
      </x:c>
      <x:c r="Q903" s="6" t="str">
        <x:v>Proposed; no website change made</x:v>
      </x:c>
      <x:c r="R903" s="14" t="n">
        <x:v>0</x:v>
      </x:c>
      <x:c r="S903" s="14" t="n">
        <x:v>5</x:v>
      </x:c>
      <x:c r="T903" s="15" t="n">
        <x:v>0</x:v>
      </x:c>
      <x:c r="U903" s="16" t="n">
        <x:v>4.2</x:v>
      </x:c>
      <x:c r="V903" s="6" t="str">
        <x:v>https://digitecme.com/brands/chevrolet-service-dubai/engine-diagnostics</x:v>
      </x:c>
      <x:c r="W903" s="6" t="str">
        <x:v>Indexable directive</x:v>
      </x:c>
      <x:c r="X903" s="6" t="n">
        <x:v>8</x:v>
      </x:c>
      <x:c r="Y903" s="6" t="str">
        <x:v>Chevrolet Engine Diagnostics Dubai | Digi-Tec</x:v>
      </x:c>
      <x:c r="Z903" s="6" t="str"/>
      <x:c r="AA903" s="6" t="str">
        <x:v>No / not compared</x:v>
      </x:c>
    </x:row>
    <x:row r="904" ht="42" customHeight="1">
      <x:c r="A904" s="6" t="str">
        <x:v>https://digitecme.com/brands/chevrolet-service-dubai/oil-change</x:v>
      </x:c>
      <x:c r="B904" s="6" t="str"/>
      <x:c r="C904" s="6" t="str"/>
      <x:c r="D904" s="6" t="str">
        <x:v>brand-service</x:v>
      </x:c>
      <x:c r="E904" s="6" t="str">
        <x:v>Retain differentiated role</x:v>
      </x:c>
      <x:c r="F904" s="6" t="str">
        <x:v>Local source render; live version unverified</x:v>
      </x:c>
      <x:c r="G904" s="6" t="str">
        <x:v>Chevrolet Oil Change Dubai | Digi-Tec</x:v>
      </x:c>
      <x:c r="H904" s="6" t="str">
        <x:v>Chevrolet Oil Change Dubai | Digi-Tec</x:v>
      </x:c>
      <x:c r="I904" s="6" t="str">
        <x:v>Chevrolet Oil Change Dubai</x:v>
      </x:c>
      <x:c r="J904" s="6" t="str">
        <x:v>Chevrolet Oil Change Dubai</x:v>
      </x:c>
      <x:c r="K904" s="6" t="str">
        <x:v>Chevrolet oil change in Dubai with model-specific inspection, confirmed parts options and a clear quote at Digi-Tec, Al Quoz.</x:v>
      </x:c>
      <x:c r="L904" s="6" t="str">
        <x:v>Retain pending evidence; no specific content edit justified by this export.</x:v>
      </x:c>
      <x:c r="M904" s="6" t="str">
        <x:v>Retain; inspect relevant context before adding links</x:v>
      </x:c>
      <x:c r="N904" s="6" t="str">
        <x:v>Unconfirmed — no query/page pairing</x:v>
      </x:c>
      <x:c r="O904" s="6" t="str">
        <x:v>Retain established booking / WhatsApp / call path; live behaviour untested</x:v>
      </x:c>
      <x:c r="P904" s="6" t="str">
        <x:v>Retain canonical and indexation policy pending a live check.</x:v>
      </x:c>
      <x:c r="Q904" s="6" t="str">
        <x:v>Proposed; no website change made</x:v>
      </x:c>
      <x:c r="R904" s="14" t="n">
        <x:v>0</x:v>
      </x:c>
      <x:c r="S904" s="14" t="n">
        <x:v>53</x:v>
      </x:c>
      <x:c r="T904" s="15" t="n">
        <x:v>0</x:v>
      </x:c>
      <x:c r="U904" s="16" t="n">
        <x:v>11.87</x:v>
      </x:c>
      <x:c r="V904" s="6" t="str">
        <x:v>https://digitecme.com/brands/chevrolet-service-dubai/oil-change</x:v>
      </x:c>
      <x:c r="W904" s="6" t="str">
        <x:v>Indexable directive</x:v>
      </x:c>
      <x:c r="X904" s="6" t="n">
        <x:v>8</x:v>
      </x:c>
      <x:c r="Y904" s="6" t="str">
        <x:v>Chevrolet Oil Change Dubai | Digi-Tec</x:v>
      </x:c>
      <x:c r="Z904" s="6" t="str"/>
      <x:c r="AA904" s="6" t="str">
        <x:v>No / not compared</x:v>
      </x:c>
    </x:row>
    <x:row r="905" ht="42" customHeight="1">
      <x:c r="A905" s="6" t="str">
        <x:v>https://digitecme.com/brands/chevrolet-service-dubai/suspension-repair</x:v>
      </x:c>
      <x:c r="B905" s="6" t="str"/>
      <x:c r="C905" s="6" t="str"/>
      <x:c r="D905" s="6" t="str">
        <x:v>brand-service</x:v>
      </x:c>
      <x:c r="E905" s="6" t="str">
        <x:v>Retain differentiated role</x:v>
      </x:c>
      <x:c r="F905" s="6" t="str">
        <x:v>Local source render; live version unverified</x:v>
      </x:c>
      <x:c r="G905" s="6" t="str">
        <x:v>Chevrolet Suspension Repair Dubai | Digi-Tec</x:v>
      </x:c>
      <x:c r="H905" s="6" t="str">
        <x:v>Chevrolet Suspension Repair Dubai | Digi-Tec</x:v>
      </x:c>
      <x:c r="I905" s="6" t="str">
        <x:v>Chevrolet Suspension Repair Dubai</x:v>
      </x:c>
      <x:c r="J905" s="6" t="str">
        <x:v>Chevrolet Suspension Repair Dubai</x:v>
      </x:c>
      <x:c r="K905" s="6" t="str">
        <x:v>Chevrolet suspension repair in Dubai with model-specific inspection, confirmed parts options and a clear quote at Digi-Tec, Al Quoz.</x:v>
      </x:c>
      <x:c r="L905" s="6" t="str">
        <x:v>Retain pending evidence; no specific content edit justified by this export.</x:v>
      </x:c>
      <x:c r="M905" s="6" t="str">
        <x:v>Retain; inspect relevant context before adding links</x:v>
      </x:c>
      <x:c r="N905" s="6" t="str">
        <x:v>Unconfirmed — no query/page pairing</x:v>
      </x:c>
      <x:c r="O905" s="6" t="str">
        <x:v>Retain established booking / WhatsApp / call path; live behaviour untested</x:v>
      </x:c>
      <x:c r="P905" s="6" t="str">
        <x:v>Retain canonical and indexation policy pending a live check.</x:v>
      </x:c>
      <x:c r="Q905" s="6" t="str">
        <x:v>Proposed; no website change made</x:v>
      </x:c>
      <x:c r="R905" s="14" t="n">
        <x:v>0</x:v>
      </x:c>
      <x:c r="S905" s="14" t="n">
        <x:v>9</x:v>
      </x:c>
      <x:c r="T905" s="15" t="n">
        <x:v>0</x:v>
      </x:c>
      <x:c r="U905" s="16" t="n">
        <x:v>9.22</x:v>
      </x:c>
      <x:c r="V905" s="6" t="str">
        <x:v>https://digitecme.com/brands/chevrolet-service-dubai/suspension-repair</x:v>
      </x:c>
      <x:c r="W905" s="6" t="str">
        <x:v>Noindex directive</x:v>
      </x:c>
      <x:c r="X905" s="6" t="n">
        <x:v>8</x:v>
      </x:c>
      <x:c r="Y905" s="6" t="str">
        <x:v>Chevrolet Suspension Repair Dubai | Digi-Tec</x:v>
      </x:c>
      <x:c r="Z905" s="6" t="str"/>
      <x:c r="AA905" s="6" t="str">
        <x:v>No / not compared</x:v>
      </x:c>
    </x:row>
    <x:row r="906" ht="42" customHeight="1">
      <x:c r="A906" s="6" t="str">
        <x:v>https://digitecme.com/brands/chevrolet-service-dubai/transmission-repair</x:v>
      </x:c>
      <x:c r="B906" s="6" t="str">
        <x:v>chevrolet transmission repair dubai</x:v>
      </x:c>
      <x:c r="C906" s="6" t="str">
        <x:v>chevrolet: Transmission and gearbox repair</x:v>
      </x:c>
      <x:c r="D906" s="6" t="str">
        <x:v>brand-service</x:v>
      </x:c>
      <x:c r="E906" s="6" t="str">
        <x:v>Primary owner for assigned intent</x:v>
      </x:c>
      <x:c r="F906" s="6" t="str">
        <x:v>Local source render; live version unverified</x:v>
      </x:c>
      <x:c r="G906" s="6" t="str">
        <x:v>Chevrolet Transmission Repair Dubai | Digi-Tec</x:v>
      </x:c>
      <x:c r="H906" s="6" t="str">
        <x:v>Chevrolet Transmission Repair Dubai | Digi-Tec</x:v>
      </x:c>
      <x:c r="I906" s="6" t="str">
        <x:v>Chevrolet Transmission Repair Dubai</x:v>
      </x:c>
      <x:c r="J906" s="6" t="str">
        <x:v>Chevrolet Transmission Repair Dubai</x:v>
      </x:c>
      <x:c r="K906" s="6" t="str">
        <x:v>Chevrolet transmission repair in Dubai with model-specific inspection, confirmed parts options and a clear quote at Digi-Tec, Al Quoz.</x:v>
      </x:c>
      <x:c r="L906" s="6" t="str">
        <x:v>Retain pending evidence; no specific content edit justified by this export.</x:v>
      </x:c>
      <x:c r="M906" s="6" t="str">
        <x:v>Retain; inspect relevant context before adding links</x:v>
      </x:c>
      <x:c r="N906" s="6" t="str">
        <x:v>Unconfirmed — no query/page pairing</x:v>
      </x:c>
      <x:c r="O906" s="6" t="str">
        <x:v>Retain established booking / WhatsApp / call path; live behaviour untested</x:v>
      </x:c>
      <x:c r="P906" s="6" t="str">
        <x:v>Specific search demand maps to an existing noindex page. Verify live directives and unique business content; consider the existing indexable parent as interim owner.</x:v>
      </x:c>
      <x:c r="Q906" s="6" t="str">
        <x:v>Proposed; no website change made</x:v>
      </x:c>
      <x:c r="R906" s="14" t="n">
        <x:v>0</x:v>
      </x:c>
      <x:c r="S906" s="14" t="n">
        <x:v>85</x:v>
      </x:c>
      <x:c r="T906" s="15" t="n">
        <x:v>0</x:v>
      </x:c>
      <x:c r="U906" s="16" t="n">
        <x:v>13.94</x:v>
      </x:c>
      <x:c r="V906" s="6" t="str">
        <x:v>https://digitecme.com/brands/chevrolet-service-dubai/transmission-repair</x:v>
      </x:c>
      <x:c r="W906" s="6" t="str">
        <x:v>Noindex directive</x:v>
      </x:c>
      <x:c r="X906" s="6" t="n">
        <x:v>8</x:v>
      </x:c>
      <x:c r="Y906" s="6" t="str">
        <x:v>Chevrolet Transmission Repair Dubai | Digi-Tec</x:v>
      </x:c>
      <x:c r="Z906" s="6" t="str"/>
      <x:c r="AA906" s="6" t="str">
        <x:v>No / not compared</x:v>
      </x:c>
    </x:row>
    <x:row r="907" ht="42" customHeight="1">
      <x:c r="A907" s="6" t="str">
        <x:v>https://digitecme.com/brands/chrysler-service-dubai</x:v>
      </x:c>
      <x:c r="B907" s="6" t="str">
        <x:v>chrysler repair dubai</x:v>
      </x:c>
      <x:c r="C907" s="6" t="str">
        <x:v>chrysler: Service and repair</x:v>
      </x:c>
      <x:c r="D907" s="6" t="str">
        <x:v>brand</x:v>
      </x:c>
      <x:c r="E907" s="6" t="str">
        <x:v>Primary owner for assigned intent</x:v>
      </x:c>
      <x:c r="F907" s="6" t="str">
        <x:v>Local source render; live version unverified</x:v>
      </x:c>
      <x:c r="G907" s="6" t="str">
        <x:v>Chrysler Repair Dubai | Digi-Tec</x:v>
      </x:c>
      <x:c r="H907" s="6" t="str">
        <x:v>Chrysler Repair Dubai | Digi-Tec</x:v>
      </x:c>
      <x:c r="I907" s="6" t="str">
        <x:v>Chrysler Repair &amp; Service Dubai</x:v>
      </x:c>
      <x:c r="J907" s="6" t="str">
        <x:v>Chrysler Repair &amp; Service Dubai</x:v>
      </x:c>
      <x:c r="K907" s="6" t="str">
        <x:v>Specialist Chrysler repair and service in Dubai: diagnostics, maintenance, brakes, transmission, suspension and AC at Digi-Tec, Al Quoz.</x:v>
      </x:c>
      <x:c r="L907" s="6" t="str">
        <x:v>Retain pending evidence; no specific content edit justified by this export.</x:v>
      </x:c>
      <x:c r="M907" s="6" t="str">
        <x:v>Retain; inspect relevant context before adding links</x:v>
      </x:c>
      <x:c r="N907" s="6" t="str">
        <x:v>Unconfirmed — no query/page pairing</x:v>
      </x:c>
      <x:c r="O907" s="6" t="str">
        <x:v>Retain established booking / WhatsApp / call path; live behaviour untested</x:v>
      </x:c>
      <x:c r="P907" s="6" t="str">
        <x:v>Retain canonical and indexation policy pending a live check.</x:v>
      </x:c>
      <x:c r="Q907" s="6" t="str">
        <x:v>Proposed; no website change made</x:v>
      </x:c>
      <x:c r="R907" s="14" t="n">
        <x:v>0</x:v>
      </x:c>
      <x:c r="S907" s="14" t="n">
        <x:v>158</x:v>
      </x:c>
      <x:c r="T907" s="15" t="n">
        <x:v>0</x:v>
      </x:c>
      <x:c r="U907" s="16" t="n">
        <x:v>42.1</x:v>
      </x:c>
      <x:c r="V907" s="6" t="str">
        <x:v>https://digitecme.com/brands/chrysler-service-dubai</x:v>
      </x:c>
      <x:c r="W907" s="6" t="str">
        <x:v>Indexable directive</x:v>
      </x:c>
      <x:c r="X907" s="6" t="n">
        <x:v>28</x:v>
      </x:c>
      <x:c r="Y907" s="6" t="str">
        <x:v>Chrysler Repair Dubai | Digi-Tec</x:v>
      </x:c>
      <x:c r="Z907" s="6" t="str"/>
      <x:c r="AA907" s="6" t="str">
        <x:v>No / not compared</x:v>
      </x:c>
    </x:row>
    <x:row r="908" ht="42" customHeight="1">
      <x:c r="A908" s="6" t="str">
        <x:v>https://digitecme.com/brands/chrysler-service-dubai/ac-repair</x:v>
      </x:c>
      <x:c r="B908" s="6" t="str"/>
      <x:c r="C908" s="6" t="str"/>
      <x:c r="D908" s="6" t="str">
        <x:v>brand-service</x:v>
      </x:c>
      <x:c r="E908" s="6" t="str">
        <x:v>Retain differentiated role</x:v>
      </x:c>
      <x:c r="F908" s="6" t="str">
        <x:v>Local source render; live version unverified</x:v>
      </x:c>
      <x:c r="G908" s="6" t="str">
        <x:v>Chrysler AC Repair Dubai | Digi-Tec</x:v>
      </x:c>
      <x:c r="H908" s="6" t="str">
        <x:v>Chrysler AC Repair Dubai | Digi-Tec</x:v>
      </x:c>
      <x:c r="I908" s="6" t="str">
        <x:v>Chrysler AC Repair Dubai</x:v>
      </x:c>
      <x:c r="J908" s="6" t="str">
        <x:v>Chrysler AC Repair Dubai</x:v>
      </x:c>
      <x:c r="K908" s="6" t="str">
        <x:v>Chrysler ac repair in Dubai with model-specific inspection, confirmed parts options and a clear quote at Digi-Tec, Al Quoz.</x:v>
      </x:c>
      <x:c r="L908" s="6" t="str">
        <x:v>Retain pending evidence; no specific content edit justified by this export.</x:v>
      </x:c>
      <x:c r="M908" s="6" t="str">
        <x:v>Retain; inspect relevant context before adding links</x:v>
      </x:c>
      <x:c r="N908" s="6" t="str">
        <x:v>Unconfirmed — no query/page pairing</x:v>
      </x:c>
      <x:c r="O908" s="6" t="str">
        <x:v>Retain established booking / WhatsApp / call path; live behaviour untested</x:v>
      </x:c>
      <x:c r="P908" s="6" t="str">
        <x:v>Retain canonical and indexation policy pending a live check.</x:v>
      </x:c>
      <x:c r="Q908" s="6" t="str">
        <x:v>Proposed; no website change made</x:v>
      </x:c>
      <x:c r="R908" s="14" t="n">
        <x:v>0</x:v>
      </x:c>
      <x:c r="S908" s="14" t="n">
        <x:v>4</x:v>
      </x:c>
      <x:c r="T908" s="15" t="n">
        <x:v>0</x:v>
      </x:c>
      <x:c r="U908" s="16" t="n">
        <x:v>24.5</x:v>
      </x:c>
      <x:c r="V908" s="6" t="str">
        <x:v>https://digitecme.com/brands/chrysler-service-dubai/ac-repair</x:v>
      </x:c>
      <x:c r="W908" s="6" t="str">
        <x:v>Indexable directive</x:v>
      </x:c>
      <x:c r="X908" s="6" t="n">
        <x:v>8</x:v>
      </x:c>
      <x:c r="Y908" s="6" t="str">
        <x:v>Chrysler AC Repair Dubai | Digi-Tec</x:v>
      </x:c>
      <x:c r="Z908" s="6" t="str"/>
      <x:c r="AA908" s="6" t="str">
        <x:v>No / not compared</x:v>
      </x:c>
    </x:row>
    <x:row r="909" ht="42" customHeight="1">
      <x:c r="A909" s="6" t="str">
        <x:v>https://digitecme.com/brands/chrysler-service-dubai/brake-repair</x:v>
      </x:c>
      <x:c r="B909" s="6" t="str"/>
      <x:c r="C909" s="6" t="str"/>
      <x:c r="D909" s="6" t="str">
        <x:v>brand-service</x:v>
      </x:c>
      <x:c r="E909" s="6" t="str">
        <x:v>Retain differentiated role</x:v>
      </x:c>
      <x:c r="F909" s="6" t="str">
        <x:v>Local source render; live version unverified</x:v>
      </x:c>
      <x:c r="G909" s="6" t="str">
        <x:v>Chrysler Brake Repair Dubai | Digi-Tec</x:v>
      </x:c>
      <x:c r="H909" s="6" t="str">
        <x:v>Chrysler Brake Repair Dubai | Digi-Tec</x:v>
      </x:c>
      <x:c r="I909" s="6" t="str">
        <x:v>Chrysler Brake Repair Dubai</x:v>
      </x:c>
      <x:c r="J909" s="6" t="str">
        <x:v>Chrysler Brake Repair Dubai</x:v>
      </x:c>
      <x:c r="K909" s="6" t="str">
        <x:v>Chrysler brake repair in Dubai with model-specific inspection, confirmed parts options and a clear quote at Digi-Tec, Al Quoz.</x:v>
      </x:c>
      <x:c r="L909" s="6" t="str">
        <x:v>Retain pending evidence; no specific content edit justified by this export.</x:v>
      </x:c>
      <x:c r="M909" s="6" t="str">
        <x:v>Retain; inspect relevant context before adding links</x:v>
      </x:c>
      <x:c r="N909" s="6" t="str">
        <x:v>Unconfirmed — no query/page pairing</x:v>
      </x:c>
      <x:c r="O909" s="6" t="str">
        <x:v>Retain established booking / WhatsApp / call path; live behaviour untested</x:v>
      </x:c>
      <x:c r="P909" s="6" t="str">
        <x:v>Retain canonical and indexation policy pending a live check.</x:v>
      </x:c>
      <x:c r="Q909" s="6" t="str">
        <x:v>Proposed; no website change made</x:v>
      </x:c>
      <x:c r="R909" s="14"/>
      <x:c r="S909" s="14"/>
      <x:c r="T909" s="15"/>
      <x:c r="U909" s="16"/>
      <x:c r="V909" s="6" t="str">
        <x:v>https://digitecme.com/brands/chrysler-service-dubai/brake-repair</x:v>
      </x:c>
      <x:c r="W909" s="6" t="str">
        <x:v>Indexable directive</x:v>
      </x:c>
      <x:c r="X909" s="6" t="n">
        <x:v>8</x:v>
      </x:c>
      <x:c r="Y909" s="6" t="str">
        <x:v>Chrysler Brake Repair Dubai | Digi-Tec</x:v>
      </x:c>
      <x:c r="Z909" s="6" t="str"/>
      <x:c r="AA909" s="6" t="str">
        <x:v>No / not compared</x:v>
      </x:c>
    </x:row>
    <x:row r="910" ht="42" customHeight="1">
      <x:c r="A910" s="6" t="str">
        <x:v>https://digitecme.com/brands/chrysler-service-dubai/engine-diagnostics</x:v>
      </x:c>
      <x:c r="B910" s="6" t="str"/>
      <x:c r="C910" s="6" t="str"/>
      <x:c r="D910" s="6" t="str">
        <x:v>brand-service</x:v>
      </x:c>
      <x:c r="E910" s="6" t="str">
        <x:v>Retain differentiated role</x:v>
      </x:c>
      <x:c r="F910" s="6" t="str">
        <x:v>Local source render; live version unverified</x:v>
      </x:c>
      <x:c r="G910" s="6" t="str">
        <x:v>Chrysler Engine Diagnostics Dubai | Digi-Tec</x:v>
      </x:c>
      <x:c r="H910" s="6" t="str">
        <x:v>Chrysler Engine Diagnostics Dubai | Digi-Tec</x:v>
      </x:c>
      <x:c r="I910" s="6" t="str">
        <x:v>Chrysler Engine Diagnostics Dubai</x:v>
      </x:c>
      <x:c r="J910" s="6" t="str">
        <x:v>Chrysler Engine Diagnostics Dubai</x:v>
      </x:c>
      <x:c r="K910" s="6" t="str">
        <x:v>Chrysler engine diagnostics in Dubai with model-specific inspection, confirmed parts options and a clear quote at Digi-Tec, Al Quoz.</x:v>
      </x:c>
      <x:c r="L910" s="6" t="str">
        <x:v>Retain pending evidence; no specific content edit justified by this export.</x:v>
      </x:c>
      <x:c r="M910" s="6" t="str">
        <x:v>Retain; inspect relevant context before adding links</x:v>
      </x:c>
      <x:c r="N910" s="6" t="str">
        <x:v>Unconfirmed — no query/page pairing</x:v>
      </x:c>
      <x:c r="O910" s="6" t="str">
        <x:v>Retain established booking / WhatsApp / call path; live behaviour untested</x:v>
      </x:c>
      <x:c r="P910" s="6" t="str">
        <x:v>Retain canonical and indexation policy pending a live check.</x:v>
      </x:c>
      <x:c r="Q910" s="6" t="str">
        <x:v>Proposed; no website change made</x:v>
      </x:c>
      <x:c r="R910" s="14"/>
      <x:c r="S910" s="14"/>
      <x:c r="T910" s="15"/>
      <x:c r="U910" s="16"/>
      <x:c r="V910" s="6" t="str">
        <x:v>https://digitecme.com/brands/chrysler-service-dubai/engine-diagnostics</x:v>
      </x:c>
      <x:c r="W910" s="6" t="str">
        <x:v>Indexable directive</x:v>
      </x:c>
      <x:c r="X910" s="6" t="n">
        <x:v>8</x:v>
      </x:c>
      <x:c r="Y910" s="6" t="str">
        <x:v>Chrysler Engine Diagnostics Dubai | Digi-Tec</x:v>
      </x:c>
      <x:c r="Z910" s="6" t="str"/>
      <x:c r="AA910" s="6" t="str">
        <x:v>No / not compared</x:v>
      </x:c>
    </x:row>
    <x:row r="911" ht="42" customHeight="1">
      <x:c r="A911" s="6" t="str">
        <x:v>https://digitecme.com/brands/chrysler-service-dubai/oil-change</x:v>
      </x:c>
      <x:c r="B911" s="6" t="str">
        <x:v>chrysler oil change in dubai</x:v>
      </x:c>
      <x:c r="C911" s="6" t="str">
        <x:v>chrysler: Oil change</x:v>
      </x:c>
      <x:c r="D911" s="6" t="str">
        <x:v>brand-service</x:v>
      </x:c>
      <x:c r="E911" s="6" t="str">
        <x:v>Primary owner for assigned intent</x:v>
      </x:c>
      <x:c r="F911" s="6" t="str">
        <x:v>Local source render; live version unverified</x:v>
      </x:c>
      <x:c r="G911" s="6" t="str">
        <x:v>Chrysler Oil Change Dubai | Digi-Tec</x:v>
      </x:c>
      <x:c r="H911" s="6" t="str">
        <x:v>Chrysler Oil Change Dubai | Digi-Tec</x:v>
      </x:c>
      <x:c r="I911" s="6" t="str">
        <x:v>Chrysler Oil Change Dubai</x:v>
      </x:c>
      <x:c r="J911" s="6" t="str">
        <x:v>Chrysler Oil Change Dubai</x:v>
      </x:c>
      <x:c r="K911" s="6" t="str">
        <x:v>Chrysler oil change in Dubai with model-specific inspection, confirmed parts options and a clear quote at Digi-Tec, Al Quoz.</x:v>
      </x:c>
      <x:c r="L911" s="6" t="str">
        <x:v>Retain pending evidence; no specific content edit justified by this export.</x:v>
      </x:c>
      <x:c r="M911" s="6" t="str">
        <x:v>Retain; inspect relevant context before adding links</x:v>
      </x:c>
      <x:c r="N911" s="6" t="str">
        <x:v>Unconfirmed — no query/page pairing</x:v>
      </x:c>
      <x:c r="O911" s="6" t="str">
        <x:v>Retain established booking / WhatsApp / call path; live behaviour untested</x:v>
      </x:c>
      <x:c r="P911" s="6" t="str">
        <x:v>Retain canonical and indexation policy pending a live check.</x:v>
      </x:c>
      <x:c r="Q911" s="6" t="str">
        <x:v>Proposed; no website change made</x:v>
      </x:c>
      <x:c r="R911" s="14" t="n">
        <x:v>0</x:v>
      </x:c>
      <x:c r="S911" s="14" t="n">
        <x:v>53</x:v>
      </x:c>
      <x:c r="T911" s="15" t="n">
        <x:v>0</x:v>
      </x:c>
      <x:c r="U911" s="16" t="n">
        <x:v>17.91</x:v>
      </x:c>
      <x:c r="V911" s="6" t="str">
        <x:v>https://digitecme.com/brands/chrysler-service-dubai/oil-change</x:v>
      </x:c>
      <x:c r="W911" s="6" t="str">
        <x:v>Indexable directive</x:v>
      </x:c>
      <x:c r="X911" s="6" t="n">
        <x:v>8</x:v>
      </x:c>
      <x:c r="Y911" s="6" t="str">
        <x:v>Chrysler Oil Change Dubai | Digi-Tec</x:v>
      </x:c>
      <x:c r="Z911" s="6" t="str"/>
      <x:c r="AA911" s="6" t="str">
        <x:v>No / not compared</x:v>
      </x:c>
    </x:row>
    <x:row r="912" ht="42" customHeight="1">
      <x:c r="A912" s="6" t="str">
        <x:v>https://digitecme.com/brands/chrysler-service-dubai/suspension-repair</x:v>
      </x:c>
      <x:c r="B912" s="6" t="str"/>
      <x:c r="C912" s="6" t="str"/>
      <x:c r="D912" s="6" t="str">
        <x:v>brand-service</x:v>
      </x:c>
      <x:c r="E912" s="6" t="str">
        <x:v>Retain differentiated role</x:v>
      </x:c>
      <x:c r="F912" s="6" t="str">
        <x:v>Local source render; live version unverified</x:v>
      </x:c>
      <x:c r="G912" s="6" t="str">
        <x:v>Chrysler Suspension Repair Dubai | Digi-Tec</x:v>
      </x:c>
      <x:c r="H912" s="6" t="str">
        <x:v>Chrysler Suspension Repair Dubai | Digi-Tec</x:v>
      </x:c>
      <x:c r="I912" s="6" t="str">
        <x:v>Chrysler Suspension Repair Dubai</x:v>
      </x:c>
      <x:c r="J912" s="6" t="str">
        <x:v>Chrysler Suspension Repair Dubai</x:v>
      </x:c>
      <x:c r="K912" s="6" t="str">
        <x:v>Chrysler suspension repair in Dubai with model-specific inspection, confirmed parts options and a clear quote at Digi-Tec, Al Quoz.</x:v>
      </x:c>
      <x:c r="L912" s="6" t="str">
        <x:v>Retain pending evidence; no specific content edit justified by this export.</x:v>
      </x:c>
      <x:c r="M912" s="6" t="str">
        <x:v>Retain; inspect relevant context before adding links</x:v>
      </x:c>
      <x:c r="N912" s="6" t="str">
        <x:v>Unconfirmed — no query/page pairing</x:v>
      </x:c>
      <x:c r="O912" s="6" t="str">
        <x:v>Retain established booking / WhatsApp / call path; live behaviour untested</x:v>
      </x:c>
      <x:c r="P912" s="6" t="str">
        <x:v>Retain canonical and indexation policy pending a live check.</x:v>
      </x:c>
      <x:c r="Q912" s="6" t="str">
        <x:v>Proposed; no website change made</x:v>
      </x:c>
      <x:c r="R912" s="14" t="n">
        <x:v>0</x:v>
      </x:c>
      <x:c r="S912" s="14" t="n">
        <x:v>3</x:v>
      </x:c>
      <x:c r="T912" s="15" t="n">
        <x:v>0</x:v>
      </x:c>
      <x:c r="U912" s="16" t="n">
        <x:v>17.33</x:v>
      </x:c>
      <x:c r="V912" s="6" t="str">
        <x:v>https://digitecme.com/brands/chrysler-service-dubai/suspension-repair</x:v>
      </x:c>
      <x:c r="W912" s="6" t="str">
        <x:v>Noindex directive</x:v>
      </x:c>
      <x:c r="X912" s="6" t="n">
        <x:v>8</x:v>
      </x:c>
      <x:c r="Y912" s="6" t="str">
        <x:v>Chrysler Suspension Repair Dubai | Digi-Tec</x:v>
      </x:c>
      <x:c r="Z912" s="6" t="str"/>
      <x:c r="AA912" s="6" t="str">
        <x:v>No / not compared</x:v>
      </x:c>
    </x:row>
    <x:row r="913" ht="42" customHeight="1">
      <x:c r="A913" s="6" t="str">
        <x:v>https://digitecme.com/brands/chrysler-service-dubai/transmission-repair</x:v>
      </x:c>
      <x:c r="B913" s="6" t="str"/>
      <x:c r="C913" s="6" t="str"/>
      <x:c r="D913" s="6" t="str">
        <x:v>brand-service</x:v>
      </x:c>
      <x:c r="E913" s="6" t="str">
        <x:v>Retain differentiated role</x:v>
      </x:c>
      <x:c r="F913" s="6" t="str">
        <x:v>Local source render; live version unverified</x:v>
      </x:c>
      <x:c r="G913" s="6" t="str">
        <x:v>Chrysler Transmission Repair Dubai | Digi-Tec</x:v>
      </x:c>
      <x:c r="H913" s="6" t="str">
        <x:v>Chrysler Transmission Repair Dubai | Digi-Tec</x:v>
      </x:c>
      <x:c r="I913" s="6" t="str">
        <x:v>Chrysler Transmission Repair Dubai</x:v>
      </x:c>
      <x:c r="J913" s="6" t="str">
        <x:v>Chrysler Transmission Repair Dubai</x:v>
      </x:c>
      <x:c r="K913" s="6" t="str">
        <x:v>Chrysler transmission repair in Dubai with model-specific inspection, confirmed parts options and a clear quote at Digi-Tec, Al Quoz.</x:v>
      </x:c>
      <x:c r="L913" s="6" t="str">
        <x:v>Retain pending evidence; no specific content edit justified by this export.</x:v>
      </x:c>
      <x:c r="M913" s="6" t="str">
        <x:v>Retain; inspect relevant context before adding links</x:v>
      </x:c>
      <x:c r="N913" s="6" t="str">
        <x:v>Unconfirmed — no query/page pairing</x:v>
      </x:c>
      <x:c r="O913" s="6" t="str">
        <x:v>Retain established booking / WhatsApp / call path; live behaviour untested</x:v>
      </x:c>
      <x:c r="P913" s="6" t="str">
        <x:v>Retain canonical and indexation policy pending a live check.</x:v>
      </x:c>
      <x:c r="Q913" s="6" t="str">
        <x:v>Proposed; no website change made</x:v>
      </x:c>
      <x:c r="R913" s="14" t="n">
        <x:v>0</x:v>
      </x:c>
      <x:c r="S913" s="14" t="n">
        <x:v>12</x:v>
      </x:c>
      <x:c r="T913" s="15" t="n">
        <x:v>0</x:v>
      </x:c>
      <x:c r="U913" s="16" t="n">
        <x:v>14.83</x:v>
      </x:c>
      <x:c r="V913" s="6" t="str">
        <x:v>https://digitecme.com/brands/chrysler-service-dubai/transmission-repair</x:v>
      </x:c>
      <x:c r="W913" s="6" t="str">
        <x:v>Noindex directive</x:v>
      </x:c>
      <x:c r="X913" s="6" t="n">
        <x:v>8</x:v>
      </x:c>
      <x:c r="Y913" s="6" t="str">
        <x:v>Chrysler Transmission Repair Dubai | Digi-Tec</x:v>
      </x:c>
      <x:c r="Z913" s="6" t="str"/>
      <x:c r="AA913" s="6" t="str">
        <x:v>No / not compared</x:v>
      </x:c>
    </x:row>
    <x:row r="914" ht="42" customHeight="1">
      <x:c r="A914" s="6" t="str">
        <x:v>https://digitecme.com/brands/corvette-service-dubai</x:v>
      </x:c>
      <x:c r="B914" s="6" t="str"/>
      <x:c r="C914" s="6" t="str"/>
      <x:c r="D914" s="6" t="str">
        <x:v>brand</x:v>
      </x:c>
      <x:c r="E914" s="6" t="str">
        <x:v>Retain differentiated role</x:v>
      </x:c>
      <x:c r="F914" s="6" t="str">
        <x:v>Local source render; live version unverified</x:v>
      </x:c>
      <x:c r="G914" s="6" t="str">
        <x:v>Corvette Repair Dubai | Digi-Tec</x:v>
      </x:c>
      <x:c r="H914" s="6" t="str">
        <x:v>Corvette Repair Dubai | Digi-Tec</x:v>
      </x:c>
      <x:c r="I914" s="6" t="str">
        <x:v>Corvette Repair &amp; Service Dubai</x:v>
      </x:c>
      <x:c r="J914" s="6" t="str">
        <x:v>Corvette Repair &amp; Service Dubai</x:v>
      </x:c>
      <x:c r="K914" s="6" t="str">
        <x:v>Specialist Corvette repair and service in Dubai: diagnostics, maintenance, brakes, transmission, suspension and AC at Digi-Tec, Al Quoz.</x:v>
      </x:c>
      <x:c r="L914" s="6" t="str">
        <x:v>Retain pending evidence; no specific content edit justified by this export.</x:v>
      </x:c>
      <x:c r="M914" s="6" t="str">
        <x:v>Retain; inspect relevant context before adding links</x:v>
      </x:c>
      <x:c r="N914" s="6" t="str">
        <x:v>Unconfirmed — no query/page pairing</x:v>
      </x:c>
      <x:c r="O914" s="6" t="str">
        <x:v>Retain established booking / WhatsApp / call path; live behaviour untested</x:v>
      </x:c>
      <x:c r="P914" s="6" t="str">
        <x:v>Retain canonical and indexation policy pending a live check.</x:v>
      </x:c>
      <x:c r="Q914" s="6" t="str">
        <x:v>Proposed; no website change made</x:v>
      </x:c>
      <x:c r="R914" s="14" t="n">
        <x:v>0</x:v>
      </x:c>
      <x:c r="S914" s="14" t="n">
        <x:v>20</x:v>
      </x:c>
      <x:c r="T914" s="15" t="n">
        <x:v>0</x:v>
      </x:c>
      <x:c r="U914" s="16" t="n">
        <x:v>13.2</x:v>
      </x:c>
      <x:c r="V914" s="6" t="str">
        <x:v>https://digitecme.com/brands/corvette-service-dubai</x:v>
      </x:c>
      <x:c r="W914" s="6" t="str">
        <x:v>Indexable directive</x:v>
      </x:c>
      <x:c r="X914" s="6" t="n">
        <x:v>28</x:v>
      </x:c>
      <x:c r="Y914" s="6" t="str">
        <x:v>Corvette Repair Dubai | Digi-Tec</x:v>
      </x:c>
      <x:c r="Z914" s="6" t="str"/>
      <x:c r="AA914" s="6" t="str">
        <x:v>No / not compared</x:v>
      </x:c>
    </x:row>
    <x:row r="915" ht="42" customHeight="1">
      <x:c r="A915" s="6" t="str">
        <x:v>https://digitecme.com/brands/corvette-service-dubai/ac-repair</x:v>
      </x:c>
      <x:c r="B915" s="6" t="str"/>
      <x:c r="C915" s="6" t="str"/>
      <x:c r="D915" s="6" t="str">
        <x:v>brand-service</x:v>
      </x:c>
      <x:c r="E915" s="6" t="str">
        <x:v>Retain differentiated role</x:v>
      </x:c>
      <x:c r="F915" s="6" t="str">
        <x:v>Local source render; live version unverified</x:v>
      </x:c>
      <x:c r="G915" s="6" t="str">
        <x:v>Corvette AC Repair Dubai | Digi-Tec</x:v>
      </x:c>
      <x:c r="H915" s="6" t="str">
        <x:v>Corvette AC Repair Dubai | Digi-Tec</x:v>
      </x:c>
      <x:c r="I915" s="6" t="str">
        <x:v>Corvette AC Repair Dubai</x:v>
      </x:c>
      <x:c r="J915" s="6" t="str">
        <x:v>Corvette AC Repair Dubai</x:v>
      </x:c>
      <x:c r="K915" s="6" t="str">
        <x:v>Corvette ac repair in Dubai with model-specific inspection, confirmed parts options and a clear quote at Digi-Tec, Al Quoz.</x:v>
      </x:c>
      <x:c r="L915" s="6" t="str">
        <x:v>Retain pending evidence; no specific content edit justified by this export.</x:v>
      </x:c>
      <x:c r="M915" s="6" t="str">
        <x:v>Retain; inspect relevant context before adding links</x:v>
      </x:c>
      <x:c r="N915" s="6" t="str">
        <x:v>Unconfirmed — no query/page pairing</x:v>
      </x:c>
      <x:c r="O915" s="6" t="str">
        <x:v>Retain established booking / WhatsApp / call path; live behaviour untested</x:v>
      </x:c>
      <x:c r="P915" s="6" t="str">
        <x:v>Retain canonical and indexation policy pending a live check.</x:v>
      </x:c>
      <x:c r="Q915" s="6" t="str">
        <x:v>Proposed; no website change made</x:v>
      </x:c>
      <x:c r="R915" s="14" t="n">
        <x:v>0</x:v>
      </x:c>
      <x:c r="S915" s="14" t="n">
        <x:v>7</x:v>
      </x:c>
      <x:c r="T915" s="15" t="n">
        <x:v>0</x:v>
      </x:c>
      <x:c r="U915" s="16" t="n">
        <x:v>11.57</x:v>
      </x:c>
      <x:c r="V915" s="6" t="str">
        <x:v>https://digitecme.com/brands/corvette-service-dubai/ac-repair</x:v>
      </x:c>
      <x:c r="W915" s="6" t="str">
        <x:v>Indexable directive</x:v>
      </x:c>
      <x:c r="X915" s="6" t="n">
        <x:v>8</x:v>
      </x:c>
      <x:c r="Y915" s="6" t="str">
        <x:v>Corvette AC Repair Dubai | Digi-Tec</x:v>
      </x:c>
      <x:c r="Z915" s="6" t="str"/>
      <x:c r="AA915" s="6" t="str">
        <x:v>No / not compared</x:v>
      </x:c>
    </x:row>
    <x:row r="916" ht="42" customHeight="1">
      <x:c r="A916" s="6" t="str">
        <x:v>https://digitecme.com/brands/corvette-service-dubai/brake-repair</x:v>
      </x:c>
      <x:c r="B916" s="6" t="str"/>
      <x:c r="C916" s="6" t="str"/>
      <x:c r="D916" s="6" t="str">
        <x:v>brand-service</x:v>
      </x:c>
      <x:c r="E916" s="6" t="str">
        <x:v>Retain differentiated role</x:v>
      </x:c>
      <x:c r="F916" s="6" t="str">
        <x:v>Local source render; live version unverified</x:v>
      </x:c>
      <x:c r="G916" s="6" t="str">
        <x:v>Corvette Brake Repair Dubai | Digi-Tec</x:v>
      </x:c>
      <x:c r="H916" s="6" t="str">
        <x:v>Corvette Brake Repair Dubai | Digi-Tec</x:v>
      </x:c>
      <x:c r="I916" s="6" t="str">
        <x:v>Corvette Brake Repair Dubai</x:v>
      </x:c>
      <x:c r="J916" s="6" t="str">
        <x:v>Corvette Brake Repair Dubai</x:v>
      </x:c>
      <x:c r="K916" s="6" t="str">
        <x:v>Corvette brake repair in Dubai with model-specific inspection, confirmed parts options and a clear quote at Digi-Tec, Al Quoz.</x:v>
      </x:c>
      <x:c r="L916" s="6" t="str">
        <x:v>Retain pending evidence; no specific content edit justified by this export.</x:v>
      </x:c>
      <x:c r="M916" s="6" t="str">
        <x:v>Retain; inspect relevant context before adding links</x:v>
      </x:c>
      <x:c r="N916" s="6" t="str">
        <x:v>Unconfirmed — no query/page pairing</x:v>
      </x:c>
      <x:c r="O916" s="6" t="str">
        <x:v>Retain established booking / WhatsApp / call path; live behaviour untested</x:v>
      </x:c>
      <x:c r="P916" s="6" t="str">
        <x:v>Retain canonical and indexation policy pending a live check.</x:v>
      </x:c>
      <x:c r="Q916" s="6" t="str">
        <x:v>Proposed; no website change made</x:v>
      </x:c>
      <x:c r="R916" s="14"/>
      <x:c r="S916" s="14"/>
      <x:c r="T916" s="15"/>
      <x:c r="U916" s="16"/>
      <x:c r="V916" s="6" t="str">
        <x:v>https://digitecme.com/brands/corvette-service-dubai/brake-repair</x:v>
      </x:c>
      <x:c r="W916" s="6" t="str">
        <x:v>Indexable directive</x:v>
      </x:c>
      <x:c r="X916" s="6" t="n">
        <x:v>8</x:v>
      </x:c>
      <x:c r="Y916" s="6" t="str">
        <x:v>Corvette Brake Repair Dubai | Digi-Tec</x:v>
      </x:c>
      <x:c r="Z916" s="6" t="str"/>
      <x:c r="AA916" s="6" t="str">
        <x:v>No / not compared</x:v>
      </x:c>
    </x:row>
    <x:row r="917" ht="42" customHeight="1">
      <x:c r="A917" s="6" t="str">
        <x:v>https://digitecme.com/brands/corvette-service-dubai/engine-diagnostics</x:v>
      </x:c>
      <x:c r="B917" s="6" t="str"/>
      <x:c r="C917" s="6" t="str"/>
      <x:c r="D917" s="6" t="str">
        <x:v>brand-service</x:v>
      </x:c>
      <x:c r="E917" s="6" t="str">
        <x:v>Retain differentiated role</x:v>
      </x:c>
      <x:c r="F917" s="6" t="str">
        <x:v>Local source render; live version unverified</x:v>
      </x:c>
      <x:c r="G917" s="6" t="str">
        <x:v>Corvette Engine Diagnostics Dubai | Digi-Tec</x:v>
      </x:c>
      <x:c r="H917" s="6" t="str">
        <x:v>Corvette Engine Diagnostics Dubai | Digi-Tec</x:v>
      </x:c>
      <x:c r="I917" s="6" t="str">
        <x:v>Corvette Engine Diagnostics Dubai</x:v>
      </x:c>
      <x:c r="J917" s="6" t="str">
        <x:v>Corvette Engine Diagnostics Dubai</x:v>
      </x:c>
      <x:c r="K917" s="6" t="str">
        <x:v>Corvette engine diagnostics in Dubai with model-specific inspection, confirmed parts options and a clear quote at Digi-Tec, Al Quoz.</x:v>
      </x:c>
      <x:c r="L917" s="6" t="str">
        <x:v>Retain pending evidence; no specific content edit justified by this export.</x:v>
      </x:c>
      <x:c r="M917" s="6" t="str">
        <x:v>Retain; inspect relevant context before adding links</x:v>
      </x:c>
      <x:c r="N917" s="6" t="str">
        <x:v>Unconfirmed — no query/page pairing</x:v>
      </x:c>
      <x:c r="O917" s="6" t="str">
        <x:v>Retain established booking / WhatsApp / call path; live behaviour untested</x:v>
      </x:c>
      <x:c r="P917" s="6" t="str">
        <x:v>Retain canonical and indexation policy pending a live check.</x:v>
      </x:c>
      <x:c r="Q917" s="6" t="str">
        <x:v>Proposed; no website change made</x:v>
      </x:c>
      <x:c r="R917" s="14" t="n">
        <x:v>0</x:v>
      </x:c>
      <x:c r="S917" s="14" t="n">
        <x:v>2</x:v>
      </x:c>
      <x:c r="T917" s="15" t="n">
        <x:v>0</x:v>
      </x:c>
      <x:c r="U917" s="16" t="n">
        <x:v>9.5</x:v>
      </x:c>
      <x:c r="V917" s="6" t="str">
        <x:v>https://digitecme.com/brands/corvette-service-dubai/engine-diagnostics</x:v>
      </x:c>
      <x:c r="W917" s="6" t="str">
        <x:v>Indexable directive</x:v>
      </x:c>
      <x:c r="X917" s="6" t="n">
        <x:v>8</x:v>
      </x:c>
      <x:c r="Y917" s="6" t="str">
        <x:v>Corvette Engine Diagnostics Dubai | Digi-Tec</x:v>
      </x:c>
      <x:c r="Z917" s="6" t="str"/>
      <x:c r="AA917" s="6" t="str">
        <x:v>No / not compared</x:v>
      </x:c>
    </x:row>
    <x:row r="918" ht="42" customHeight="1">
      <x:c r="A918" s="6" t="str">
        <x:v>https://digitecme.com/brands/corvette-service-dubai/oil-change</x:v>
      </x:c>
      <x:c r="B918" s="6" t="str"/>
      <x:c r="C918" s="6" t="str"/>
      <x:c r="D918" s="6" t="str">
        <x:v>brand-service</x:v>
      </x:c>
      <x:c r="E918" s="6" t="str">
        <x:v>Retain differentiated role</x:v>
      </x:c>
      <x:c r="F918" s="6" t="str">
        <x:v>Local source render; live version unverified</x:v>
      </x:c>
      <x:c r="G918" s="6" t="str">
        <x:v>Corvette Oil Change Dubai | Digi-Tec</x:v>
      </x:c>
      <x:c r="H918" s="6" t="str">
        <x:v>Corvette Oil Change Dubai | Digi-Tec</x:v>
      </x:c>
      <x:c r="I918" s="6" t="str">
        <x:v>Corvette Oil Change Dubai</x:v>
      </x:c>
      <x:c r="J918" s="6" t="str">
        <x:v>Corvette Oil Change Dubai</x:v>
      </x:c>
      <x:c r="K918" s="6" t="str">
        <x:v>Corvette oil change in Dubai with model-specific inspection, confirmed parts options and a clear quote at Digi-Tec, Al Quoz.</x:v>
      </x:c>
      <x:c r="L918" s="6" t="str">
        <x:v>Retain pending evidence; no specific content edit justified by this export.</x:v>
      </x:c>
      <x:c r="M918" s="6" t="str">
        <x:v>Retain; inspect relevant context before adding links</x:v>
      </x:c>
      <x:c r="N918" s="6" t="str">
        <x:v>Unconfirmed — no query/page pairing</x:v>
      </x:c>
      <x:c r="O918" s="6" t="str">
        <x:v>Retain established booking / WhatsApp / call path; live behaviour untested</x:v>
      </x:c>
      <x:c r="P918" s="6" t="str">
        <x:v>Retain canonical and indexation policy pending a live check.</x:v>
      </x:c>
      <x:c r="Q918" s="6" t="str">
        <x:v>Proposed; no website change made</x:v>
      </x:c>
      <x:c r="R918" s="14" t="n">
        <x:v>0</x:v>
      </x:c>
      <x:c r="S918" s="14" t="n">
        <x:v>5</x:v>
      </x:c>
      <x:c r="T918" s="15" t="n">
        <x:v>0</x:v>
      </x:c>
      <x:c r="U918" s="16" t="n">
        <x:v>8</x:v>
      </x:c>
      <x:c r="V918" s="6" t="str">
        <x:v>https://digitecme.com/brands/corvette-service-dubai/oil-change</x:v>
      </x:c>
      <x:c r="W918" s="6" t="str">
        <x:v>Indexable directive</x:v>
      </x:c>
      <x:c r="X918" s="6" t="n">
        <x:v>8</x:v>
      </x:c>
      <x:c r="Y918" s="6" t="str">
        <x:v>Corvette Oil Change Dubai | Digi-Tec</x:v>
      </x:c>
      <x:c r="Z918" s="6" t="str"/>
      <x:c r="AA918" s="6" t="str">
        <x:v>No / not compared</x:v>
      </x:c>
    </x:row>
    <x:row r="919" ht="42" customHeight="1">
      <x:c r="A919" s="6" t="str">
        <x:v>https://digitecme.com/brands/corvette-service-dubai/suspension-repair</x:v>
      </x:c>
      <x:c r="B919" s="6" t="str"/>
      <x:c r="C919" s="6" t="str"/>
      <x:c r="D919" s="6" t="str">
        <x:v>brand-service</x:v>
      </x:c>
      <x:c r="E919" s="6" t="str">
        <x:v>Retain differentiated role</x:v>
      </x:c>
      <x:c r="F919" s="6" t="str">
        <x:v>Local source render; live version unverified</x:v>
      </x:c>
      <x:c r="G919" s="6" t="str">
        <x:v>Corvette Suspension Repair Dubai | Digi-Tec</x:v>
      </x:c>
      <x:c r="H919" s="6" t="str">
        <x:v>Corvette Suspension Repair Dubai | Digi-Tec</x:v>
      </x:c>
      <x:c r="I919" s="6" t="str">
        <x:v>Corvette Suspension Repair Dubai</x:v>
      </x:c>
      <x:c r="J919" s="6" t="str">
        <x:v>Corvette Suspension Repair Dubai</x:v>
      </x:c>
      <x:c r="K919" s="6" t="str">
        <x:v>Corvette suspension repair in Dubai with model-specific inspection, confirmed parts options and a clear quote at Digi-Tec, Al Quoz.</x:v>
      </x:c>
      <x:c r="L919" s="6" t="str">
        <x:v>Retain pending evidence; no specific content edit justified by this export.</x:v>
      </x:c>
      <x:c r="M919" s="6" t="str">
        <x:v>Retain; inspect relevant context before adding links</x:v>
      </x:c>
      <x:c r="N919" s="6" t="str">
        <x:v>Unconfirmed — no query/page pairing</x:v>
      </x:c>
      <x:c r="O919" s="6" t="str">
        <x:v>Retain established booking / WhatsApp / call path; live behaviour untested</x:v>
      </x:c>
      <x:c r="P919" s="6" t="str">
        <x:v>Retain canonical and indexation policy pending a live check.</x:v>
      </x:c>
      <x:c r="Q919" s="6" t="str">
        <x:v>Proposed; no website change made</x:v>
      </x:c>
      <x:c r="R919" s="14" t="n">
        <x:v>0</x:v>
      </x:c>
      <x:c r="S919" s="14" t="n">
        <x:v>3</x:v>
      </x:c>
      <x:c r="T919" s="15" t="n">
        <x:v>0</x:v>
      </x:c>
      <x:c r="U919" s="16" t="n">
        <x:v>36.33</x:v>
      </x:c>
      <x:c r="V919" s="6" t="str">
        <x:v>https://digitecme.com/brands/corvette-service-dubai/suspension-repair</x:v>
      </x:c>
      <x:c r="W919" s="6" t="str">
        <x:v>Noindex directive</x:v>
      </x:c>
      <x:c r="X919" s="6" t="n">
        <x:v>8</x:v>
      </x:c>
      <x:c r="Y919" s="6" t="str">
        <x:v>Corvette Suspension Repair Dubai | Digi-Tec</x:v>
      </x:c>
      <x:c r="Z919" s="6" t="str"/>
      <x:c r="AA919" s="6" t="str">
        <x:v>No / not compared</x:v>
      </x:c>
    </x:row>
    <x:row r="920" ht="42" customHeight="1">
      <x:c r="A920" s="6" t="str">
        <x:v>https://digitecme.com/brands/corvette-service-dubai/transmission-repair</x:v>
      </x:c>
      <x:c r="B920" s="6" t="str"/>
      <x:c r="C920" s="6" t="str"/>
      <x:c r="D920" s="6" t="str">
        <x:v>brand-service</x:v>
      </x:c>
      <x:c r="E920" s="6" t="str">
        <x:v>Retain differentiated role</x:v>
      </x:c>
      <x:c r="F920" s="6" t="str">
        <x:v>Local source render; live version unverified</x:v>
      </x:c>
      <x:c r="G920" s="6" t="str">
        <x:v>Corvette Transmission Repair Dubai | Digi-Tec</x:v>
      </x:c>
      <x:c r="H920" s="6" t="str">
        <x:v>Corvette Transmission Repair Dubai | Digi-Tec</x:v>
      </x:c>
      <x:c r="I920" s="6" t="str">
        <x:v>Corvette Transmission Repair Dubai</x:v>
      </x:c>
      <x:c r="J920" s="6" t="str">
        <x:v>Corvette Transmission Repair Dubai</x:v>
      </x:c>
      <x:c r="K920" s="6" t="str">
        <x:v>Corvette transmission repair in Dubai with model-specific inspection, confirmed parts options and a clear quote at Digi-Tec, Al Quoz.</x:v>
      </x:c>
      <x:c r="L920" s="6" t="str">
        <x:v>Retain pending evidence; no specific content edit justified by this export.</x:v>
      </x:c>
      <x:c r="M920" s="6" t="str">
        <x:v>Retain; inspect relevant context before adding links</x:v>
      </x:c>
      <x:c r="N920" s="6" t="str">
        <x:v>Unconfirmed — no query/page pairing</x:v>
      </x:c>
      <x:c r="O920" s="6" t="str">
        <x:v>Retain established booking / WhatsApp / call path; live behaviour untested</x:v>
      </x:c>
      <x:c r="P920" s="6" t="str">
        <x:v>Retain canonical and indexation policy pending a live check.</x:v>
      </x:c>
      <x:c r="Q920" s="6" t="str">
        <x:v>Proposed; no website change made</x:v>
      </x:c>
      <x:c r="R920" s="14" t="n">
        <x:v>0</x:v>
      </x:c>
      <x:c r="S920" s="14" t="n">
        <x:v>12</x:v>
      </x:c>
      <x:c r="T920" s="15" t="n">
        <x:v>0</x:v>
      </x:c>
      <x:c r="U920" s="16" t="n">
        <x:v>16.33</x:v>
      </x:c>
      <x:c r="V920" s="6" t="str">
        <x:v>https://digitecme.com/brands/corvette-service-dubai/transmission-repair</x:v>
      </x:c>
      <x:c r="W920" s="6" t="str">
        <x:v>Noindex directive</x:v>
      </x:c>
      <x:c r="X920" s="6" t="n">
        <x:v>8</x:v>
      </x:c>
      <x:c r="Y920" s="6" t="str">
        <x:v>Corvette Transmission Repair Dubai | Digi-Tec</x:v>
      </x:c>
      <x:c r="Z920" s="6" t="str"/>
      <x:c r="AA920" s="6" t="str">
        <x:v>No / not compared</x:v>
      </x:c>
    </x:row>
    <x:row r="921" ht="57" customHeight="1">
      <x:c r="A921" s="6" t="str">
        <x:v>https://digitecme.com/brands/defender-service-dubai</x:v>
      </x:c>
      <x:c r="B921" s="6" t="str"/>
      <x:c r="C921" s="6" t="str"/>
      <x:c r="D921" s="6" t="str">
        <x:v>brand</x:v>
      </x:c>
      <x:c r="E921" s="6" t="str">
        <x:v>Retain differentiated role</x:v>
      </x:c>
      <x:c r="F921" s="6" t="str">
        <x:v>Local source render; live version unverified</x:v>
      </x:c>
      <x:c r="G921" s="6" t="str">
        <x:v>Defender Service &amp; Repair Dubai | Digi-Tec Workshop</x:v>
      </x:c>
      <x:c r="H921" s="6" t="str">
        <x:v>Defender Service &amp; Repair Dubai | Digi-Tec Workshop</x:v>
      </x:c>
      <x:c r="I921" s="6" t="str">
        <x:v>Defender Repair &amp; Service Dubai</x:v>
      </x:c>
      <x:c r="J921" s="6" t="str">
        <x:v>Defender Repair &amp; Service Dubai</x:v>
      </x:c>
      <x:c r="K921" s="6" t="str">
        <x:v>Land Rover Defender service and repair in Dubai for Defender 90, 110, 130, V8 and OCTA, including diagnostics, suspension, cooling and driveline care.</x:v>
      </x:c>
      <x:c r="L921" s="6" t="str">
        <x:v>Retain pending evidence; no specific content edit justified by this export.</x:v>
      </x:c>
      <x:c r="M921" s="6" t="str">
        <x:v>Retain; inspect relevant context before adding links</x:v>
      </x:c>
      <x:c r="N921" s="6" t="str">
        <x:v>Unconfirmed — no query/page pairing</x:v>
      </x:c>
      <x:c r="O921" s="6" t="str">
        <x:v>Retain established booking / WhatsApp / call path; live behaviour untested</x:v>
      </x:c>
      <x:c r="P921" s="6" t="str">
        <x:v>Retain canonical and indexation policy pending a live check.</x:v>
      </x:c>
      <x:c r="Q921" s="6" t="str">
        <x:v>Proposed; no website change made</x:v>
      </x:c>
      <x:c r="R921" s="14" t="n">
        <x:v>2</x:v>
      </x:c>
      <x:c r="S921" s="14" t="n">
        <x:v>166</x:v>
      </x:c>
      <x:c r="T921" s="15" t="n">
        <x:v>0.012</x:v>
      </x:c>
      <x:c r="U921" s="16" t="n">
        <x:v>13.04</x:v>
      </x:c>
      <x:c r="V921" s="6" t="str">
        <x:v>https://digitecme.com/brands/defender-service-dubai</x:v>
      </x:c>
      <x:c r="W921" s="6" t="str">
        <x:v>Indexable directive</x:v>
      </x:c>
      <x:c r="X921" s="6" t="n">
        <x:v>51</x:v>
      </x:c>
      <x:c r="Y921" s="6" t="str">
        <x:v>Defender Service &amp; Repair Dubai | Digi-Tec Workshop</x:v>
      </x:c>
      <x:c r="Z921" s="6" t="str"/>
      <x:c r="AA921" s="6" t="str">
        <x:v>No / not compared</x:v>
      </x:c>
    </x:row>
    <x:row r="922" ht="42" customHeight="1">
      <x:c r="A922" s="6" t="str">
        <x:v>https://digitecme.com/brands/defender-service-dubai/ac-repair</x:v>
      </x:c>
      <x:c r="B922" s="6" t="str"/>
      <x:c r="C922" s="6" t="str"/>
      <x:c r="D922" s="6" t="str">
        <x:v>brand-service</x:v>
      </x:c>
      <x:c r="E922" s="6" t="str">
        <x:v>Retain differentiated role</x:v>
      </x:c>
      <x:c r="F922" s="6" t="str">
        <x:v>Local source render; live version unverified</x:v>
      </x:c>
      <x:c r="G922" s="6" t="str">
        <x:v>Defender AC Repair Dubai | Digi-Tec</x:v>
      </x:c>
      <x:c r="H922" s="6" t="str">
        <x:v>Defender AC Repair Dubai | Digi-Tec</x:v>
      </x:c>
      <x:c r="I922" s="6" t="str">
        <x:v>Defender AC Repair Dubai</x:v>
      </x:c>
      <x:c r="J922" s="6" t="str">
        <x:v>Defender AC Repair Dubai</x:v>
      </x:c>
      <x:c r="K922" s="6" t="str">
        <x:v>Defender ac repair in Dubai with model-specific inspection, confirmed parts options and a clear quote at Digi-Tec, Al Quoz.</x:v>
      </x:c>
      <x:c r="L922" s="6" t="str">
        <x:v>Retain pending evidence; no specific content edit justified by this export.</x:v>
      </x:c>
      <x:c r="M922" s="6" t="str">
        <x:v>Retain; inspect relevant context before adding links</x:v>
      </x:c>
      <x:c r="N922" s="6" t="str">
        <x:v>Unconfirmed — no query/page pairing</x:v>
      </x:c>
      <x:c r="O922" s="6" t="str">
        <x:v>Retain established booking / WhatsApp / call path; live behaviour untested</x:v>
      </x:c>
      <x:c r="P922" s="6" t="str">
        <x:v>Retain canonical and indexation policy pending a live check.</x:v>
      </x:c>
      <x:c r="Q922" s="6" t="str">
        <x:v>Proposed; no website change made</x:v>
      </x:c>
      <x:c r="R922" s="14"/>
      <x:c r="S922" s="14"/>
      <x:c r="T922" s="15"/>
      <x:c r="U922" s="16"/>
      <x:c r="V922" s="6" t="str">
        <x:v>https://digitecme.com/brands/defender-service-dubai/ac-repair</x:v>
      </x:c>
      <x:c r="W922" s="6" t="str">
        <x:v>Indexable directive</x:v>
      </x:c>
      <x:c r="X922" s="6" t="n">
        <x:v>16</x:v>
      </x:c>
      <x:c r="Y922" s="6" t="str">
        <x:v>Defender AC Repair Dubai | Digi-Tec</x:v>
      </x:c>
      <x:c r="Z922" s="6" t="str"/>
      <x:c r="AA922" s="6" t="str">
        <x:v>No / not compared</x:v>
      </x:c>
    </x:row>
    <x:row r="923" ht="42" customHeight="1">
      <x:c r="A923" s="6" t="str">
        <x:v>https://digitecme.com/brands/defender-service-dubai/battery-replacement</x:v>
      </x:c>
      <x:c r="B923" s="6" t="str"/>
      <x:c r="C923" s="6" t="str"/>
      <x:c r="D923" s="6" t="str">
        <x:v>brand-service</x:v>
      </x:c>
      <x:c r="E923" s="6" t="str">
        <x:v>Retain differentiated role</x:v>
      </x:c>
      <x:c r="F923" s="6" t="str">
        <x:v>Local source render; live version unverified</x:v>
      </x:c>
      <x:c r="G923" s="6" t="str">
        <x:v>Defender Battery Replacement Dubai | Digi-Tec</x:v>
      </x:c>
      <x:c r="H923" s="6" t="str">
        <x:v>Defender Battery Replacement Dubai | Digi-Tec</x:v>
      </x:c>
      <x:c r="I923" s="6" t="str">
        <x:v>Defender Battery Replacement Dubai</x:v>
      </x:c>
      <x:c r="J923" s="6" t="str">
        <x:v>Defender Battery Replacement Dubai</x:v>
      </x:c>
      <x:c r="K923" s="6" t="str">
        <x:v>Defender battery replacement in Dubai with model-specific inspection, confirmed parts options and a clear quote at Digi-Tec, Al Quoz.</x:v>
      </x:c>
      <x:c r="L923" s="6" t="str">
        <x:v>Retain pending evidence; no specific content edit justified by this export.</x:v>
      </x:c>
      <x:c r="M923" s="6" t="str">
        <x:v>Retain; inspect relevant context before adding links</x:v>
      </x:c>
      <x:c r="N923" s="6" t="str">
        <x:v>Unconfirmed — no query/page pairing</x:v>
      </x:c>
      <x:c r="O923" s="6" t="str">
        <x:v>Retain established booking / WhatsApp / call path; live behaviour untested</x:v>
      </x:c>
      <x:c r="P923" s="6" t="str">
        <x:v>Retain canonical and indexation policy pending a live check.</x:v>
      </x:c>
      <x:c r="Q923" s="6" t="str">
        <x:v>Proposed; no website change made</x:v>
      </x:c>
      <x:c r="R923" s="14"/>
      <x:c r="S923" s="14"/>
      <x:c r="T923" s="15"/>
      <x:c r="U923" s="16"/>
      <x:c r="V923" s="6" t="str">
        <x:v>https://digitecme.com/brands/defender-service-dubai/battery-replacement</x:v>
      </x:c>
      <x:c r="W923" s="6" t="str">
        <x:v>Indexable directive</x:v>
      </x:c>
      <x:c r="X923" s="6" t="n">
        <x:v>16</x:v>
      </x:c>
      <x:c r="Y923" s="6" t="str">
        <x:v>Defender Battery Replacement Dubai | Digi-Tec</x:v>
      </x:c>
      <x:c r="Z923" s="6" t="str"/>
      <x:c r="AA923" s="6" t="str">
        <x:v>No / not compared</x:v>
      </x:c>
    </x:row>
    <x:row r="924" ht="42" customHeight="1">
      <x:c r="A924" s="6" t="str">
        <x:v>https://digitecme.com/brands/defender-service-dubai/body-repair</x:v>
      </x:c>
      <x:c r="B924" s="6" t="str"/>
      <x:c r="C924" s="6" t="str"/>
      <x:c r="D924" s="6" t="str">
        <x:v>brand-service</x:v>
      </x:c>
      <x:c r="E924" s="6" t="str">
        <x:v>Retain differentiated role</x:v>
      </x:c>
      <x:c r="F924" s="6" t="str">
        <x:v>Local source render; live version unverified</x:v>
      </x:c>
      <x:c r="G924" s="6" t="str">
        <x:v>Defender Body Repair Dubai | Digi-Tec</x:v>
      </x:c>
      <x:c r="H924" s="6" t="str">
        <x:v>Defender Body Repair Dubai | Digi-Tec</x:v>
      </x:c>
      <x:c r="I924" s="6" t="str">
        <x:v>Defender Body Repair Dubai</x:v>
      </x:c>
      <x:c r="J924" s="6" t="str">
        <x:v>Defender Body Repair Dubai</x:v>
      </x:c>
      <x:c r="K924" s="6" t="str">
        <x:v>Defender body repair in Dubai with model-specific inspection, confirmed parts options and a clear quote at Digi-Tec, Al Quoz.</x:v>
      </x:c>
      <x:c r="L924" s="6" t="str">
        <x:v>Retain pending evidence; no specific content edit justified by this export.</x:v>
      </x:c>
      <x:c r="M924" s="6" t="str">
        <x:v>Retain; inspect relevant context before adding links</x:v>
      </x:c>
      <x:c r="N924" s="6" t="str">
        <x:v>Unconfirmed — no query/page pairing</x:v>
      </x:c>
      <x:c r="O924" s="6" t="str">
        <x:v>Retain established booking / WhatsApp / call path; live behaviour untested</x:v>
      </x:c>
      <x:c r="P924" s="6" t="str">
        <x:v>Retain canonical and indexation policy pending a live check.</x:v>
      </x:c>
      <x:c r="Q924" s="6" t="str">
        <x:v>Proposed; no website change made</x:v>
      </x:c>
      <x:c r="R924" s="14"/>
      <x:c r="S924" s="14"/>
      <x:c r="T924" s="15"/>
      <x:c r="U924" s="16"/>
      <x:c r="V924" s="6" t="str">
        <x:v>https://digitecme.com/brands/defender-service-dubai/body-repair</x:v>
      </x:c>
      <x:c r="W924" s="6" t="str">
        <x:v>Indexable directive</x:v>
      </x:c>
      <x:c r="X924" s="6" t="n">
        <x:v>16</x:v>
      </x:c>
      <x:c r="Y924" s="6" t="str">
        <x:v>Defender Body Repair Dubai | Digi-Tec</x:v>
      </x:c>
      <x:c r="Z924" s="6" t="str"/>
      <x:c r="AA924" s="6" t="str">
        <x:v>No / not compared</x:v>
      </x:c>
    </x:row>
    <x:row r="925" ht="42" customHeight="1">
      <x:c r="A925" s="6" t="str">
        <x:v>https://digitecme.com/brands/defender-service-dubai/brake-repair</x:v>
      </x:c>
      <x:c r="B925" s="6" t="str"/>
      <x:c r="C925" s="6" t="str"/>
      <x:c r="D925" s="6" t="str">
        <x:v>brand-service</x:v>
      </x:c>
      <x:c r="E925" s="6" t="str">
        <x:v>Retain differentiated role</x:v>
      </x:c>
      <x:c r="F925" s="6" t="str">
        <x:v>Local source render; live version unverified</x:v>
      </x:c>
      <x:c r="G925" s="6" t="str">
        <x:v>Defender Brake Repair Dubai | Digi-Tec</x:v>
      </x:c>
      <x:c r="H925" s="6" t="str">
        <x:v>Defender Brake Repair Dubai | Digi-Tec</x:v>
      </x:c>
      <x:c r="I925" s="6" t="str">
        <x:v>Defender Brake Repair Dubai</x:v>
      </x:c>
      <x:c r="J925" s="6" t="str">
        <x:v>Defender Brake Repair Dubai</x:v>
      </x:c>
      <x:c r="K925" s="6" t="str">
        <x:v>Defender brake repair in Dubai with model-specific inspection, confirmed parts options and a clear quote at Digi-Tec, Al Quoz.</x:v>
      </x:c>
      <x:c r="L925" s="6" t="str">
        <x:v>Retain pending evidence; no specific content edit justified by this export.</x:v>
      </x:c>
      <x:c r="M925" s="6" t="str">
        <x:v>Retain; inspect relevant context before adding links</x:v>
      </x:c>
      <x:c r="N925" s="6" t="str">
        <x:v>Unconfirmed — no query/page pairing</x:v>
      </x:c>
      <x:c r="O925" s="6" t="str">
        <x:v>Retain established booking / WhatsApp / call path; live behaviour untested</x:v>
      </x:c>
      <x:c r="P925" s="6" t="str">
        <x:v>Retain canonical and indexation policy pending a live check.</x:v>
      </x:c>
      <x:c r="Q925" s="6" t="str">
        <x:v>Proposed; no website change made</x:v>
      </x:c>
      <x:c r="R925" s="14"/>
      <x:c r="S925" s="14"/>
      <x:c r="T925" s="15"/>
      <x:c r="U925" s="16"/>
      <x:c r="V925" s="6" t="str">
        <x:v>https://digitecme.com/brands/defender-service-dubai/brake-repair</x:v>
      </x:c>
      <x:c r="W925" s="6" t="str">
        <x:v>Indexable directive</x:v>
      </x:c>
      <x:c r="X925" s="6" t="n">
        <x:v>16</x:v>
      </x:c>
      <x:c r="Y925" s="6" t="str">
        <x:v>Defender Brake Repair Dubai | Digi-Tec</x:v>
      </x:c>
      <x:c r="Z925" s="6" t="str"/>
      <x:c r="AA925" s="6" t="str">
        <x:v>No / not compared</x:v>
      </x:c>
    </x:row>
    <x:row r="926" ht="42" customHeight="1">
      <x:c r="A926" s="6" t="str">
        <x:v>https://digitecme.com/brands/defender-service-dubai/electrical-repair</x:v>
      </x:c>
      <x:c r="B926" s="6" t="str"/>
      <x:c r="C926" s="6" t="str"/>
      <x:c r="D926" s="6" t="str">
        <x:v>brand-service</x:v>
      </x:c>
      <x:c r="E926" s="6" t="str">
        <x:v>Retain differentiated role</x:v>
      </x:c>
      <x:c r="F926" s="6" t="str">
        <x:v>Local source render; live version unverified</x:v>
      </x:c>
      <x:c r="G926" s="6" t="str">
        <x:v>Defender Electrical Repair Dubai | Digi-Tec</x:v>
      </x:c>
      <x:c r="H926" s="6" t="str">
        <x:v>Defender Electrical Repair Dubai | Digi-Tec</x:v>
      </x:c>
      <x:c r="I926" s="6" t="str">
        <x:v>Defender Electrical Repair Dubai</x:v>
      </x:c>
      <x:c r="J926" s="6" t="str">
        <x:v>Defender Electrical Repair Dubai</x:v>
      </x:c>
      <x:c r="K926" s="6" t="str">
        <x:v>Defender electrical repair in Dubai with model-specific inspection, confirmed parts options and a clear quote at Digi-Tec, Al Quoz.</x:v>
      </x:c>
      <x:c r="L926" s="6" t="str">
        <x:v>Retain pending evidence; no specific content edit justified by this export.</x:v>
      </x:c>
      <x:c r="M926" s="6" t="str">
        <x:v>Retain; inspect relevant context before adding links</x:v>
      </x:c>
      <x:c r="N926" s="6" t="str">
        <x:v>Unconfirmed — no query/page pairing</x:v>
      </x:c>
      <x:c r="O926" s="6" t="str">
        <x:v>Retain established booking / WhatsApp / call path; live behaviour untested</x:v>
      </x:c>
      <x:c r="P926" s="6" t="str">
        <x:v>Retain canonical and indexation policy pending a live check.</x:v>
      </x:c>
      <x:c r="Q926" s="6" t="str">
        <x:v>Proposed; no website change made</x:v>
      </x:c>
      <x:c r="R926" s="14"/>
      <x:c r="S926" s="14"/>
      <x:c r="T926" s="15"/>
      <x:c r="U926" s="16"/>
      <x:c r="V926" s="6" t="str">
        <x:v>https://digitecme.com/brands/defender-service-dubai/electrical-repair</x:v>
      </x:c>
      <x:c r="W926" s="6" t="str">
        <x:v>Indexable directive</x:v>
      </x:c>
      <x:c r="X926" s="6" t="n">
        <x:v>16</x:v>
      </x:c>
      <x:c r="Y926" s="6" t="str">
        <x:v>Defender Electrical Repair Dubai | Digi-Tec</x:v>
      </x:c>
      <x:c r="Z926" s="6" t="str"/>
      <x:c r="AA926" s="6" t="str">
        <x:v>No / not compared</x:v>
      </x:c>
    </x:row>
    <x:row r="927" ht="42" customHeight="1">
      <x:c r="A927" s="6" t="str">
        <x:v>https://digitecme.com/brands/defender-service-dubai/engine-diagnostics</x:v>
      </x:c>
      <x:c r="B927" s="6" t="str"/>
      <x:c r="C927" s="6" t="str"/>
      <x:c r="D927" s="6" t="str">
        <x:v>brand-service</x:v>
      </x:c>
      <x:c r="E927" s="6" t="str">
        <x:v>Retain differentiated role</x:v>
      </x:c>
      <x:c r="F927" s="6" t="str">
        <x:v>Local source render; live version unverified</x:v>
      </x:c>
      <x:c r="G927" s="6" t="str">
        <x:v>Defender Engine Diagnostics Dubai | Digi-Tec</x:v>
      </x:c>
      <x:c r="H927" s="6" t="str">
        <x:v>Defender Engine Diagnostics Dubai | Digi-Tec</x:v>
      </x:c>
      <x:c r="I927" s="6" t="str">
        <x:v>Defender Engine Diagnostics Dubai</x:v>
      </x:c>
      <x:c r="J927" s="6" t="str">
        <x:v>Defender Engine Diagnostics Dubai</x:v>
      </x:c>
      <x:c r="K927" s="6" t="str">
        <x:v>Defender engine diagnostics in Dubai with model-specific inspection, confirmed parts options and a clear quote at Digi-Tec, Al Quoz.</x:v>
      </x:c>
      <x:c r="L927" s="6" t="str">
        <x:v>Retain pending evidence; no specific content edit justified by this export.</x:v>
      </x:c>
      <x:c r="M927" s="6" t="str">
        <x:v>Retain; inspect relevant context before adding links</x:v>
      </x:c>
      <x:c r="N927" s="6" t="str">
        <x:v>Unconfirmed — no query/page pairing</x:v>
      </x:c>
      <x:c r="O927" s="6" t="str">
        <x:v>Retain established booking / WhatsApp / call path; live behaviour untested</x:v>
      </x:c>
      <x:c r="P927" s="6" t="str">
        <x:v>Retain canonical and indexation policy pending a live check.</x:v>
      </x:c>
      <x:c r="Q927" s="6" t="str">
        <x:v>Proposed; no website change made</x:v>
      </x:c>
      <x:c r="R927" s="14"/>
      <x:c r="S927" s="14"/>
      <x:c r="T927" s="15"/>
      <x:c r="U927" s="16"/>
      <x:c r="V927" s="6" t="str">
        <x:v>https://digitecme.com/brands/defender-service-dubai/engine-diagnostics</x:v>
      </x:c>
      <x:c r="W927" s="6" t="str">
        <x:v>Indexable directive</x:v>
      </x:c>
      <x:c r="X927" s="6" t="n">
        <x:v>16</x:v>
      </x:c>
      <x:c r="Y927" s="6" t="str">
        <x:v>Defender Engine Diagnostics Dubai | Digi-Tec</x:v>
      </x:c>
      <x:c r="Z927" s="6" t="str"/>
      <x:c r="AA927" s="6" t="str">
        <x:v>No / not compared</x:v>
      </x:c>
    </x:row>
    <x:row r="928" ht="42" customHeight="1">
      <x:c r="A928" s="6" t="str">
        <x:v>https://digitecme.com/brands/defender-service-dubai/exhaust-repair</x:v>
      </x:c>
      <x:c r="B928" s="6" t="str"/>
      <x:c r="C928" s="6" t="str"/>
      <x:c r="D928" s="6" t="str">
        <x:v>brand-service</x:v>
      </x:c>
      <x:c r="E928" s="6" t="str">
        <x:v>Retain differentiated role</x:v>
      </x:c>
      <x:c r="F928" s="6" t="str">
        <x:v>Local source render; live version unverified</x:v>
      </x:c>
      <x:c r="G928" s="6" t="str">
        <x:v>Defender Exhaust Repair Dubai | Digi-Tec</x:v>
      </x:c>
      <x:c r="H928" s="6" t="str">
        <x:v>Defender Exhaust Repair Dubai | Digi-Tec</x:v>
      </x:c>
      <x:c r="I928" s="6" t="str">
        <x:v>Defender Exhaust Repair Dubai</x:v>
      </x:c>
      <x:c r="J928" s="6" t="str">
        <x:v>Defender Exhaust Repair Dubai</x:v>
      </x:c>
      <x:c r="K928" s="6" t="str">
        <x:v>Defender exhaust repair in Dubai with model-specific inspection, confirmed parts options and a clear quote at Digi-Tec, Al Quoz.</x:v>
      </x:c>
      <x:c r="L928" s="6" t="str">
        <x:v>Retain pending evidence; no specific content edit justified by this export.</x:v>
      </x:c>
      <x:c r="M928" s="6" t="str">
        <x:v>Retain; inspect relevant context before adding links</x:v>
      </x:c>
      <x:c r="N928" s="6" t="str">
        <x:v>Unconfirmed — no query/page pairing</x:v>
      </x:c>
      <x:c r="O928" s="6" t="str">
        <x:v>Retain established booking / WhatsApp / call path; live behaviour untested</x:v>
      </x:c>
      <x:c r="P928" s="6" t="str">
        <x:v>Retain canonical and indexation policy pending a live check.</x:v>
      </x:c>
      <x:c r="Q928" s="6" t="str">
        <x:v>Proposed; no website change made</x:v>
      </x:c>
      <x:c r="R928" s="14"/>
      <x:c r="S928" s="14"/>
      <x:c r="T928" s="15"/>
      <x:c r="U928" s="16"/>
      <x:c r="V928" s="6" t="str">
        <x:v>https://digitecme.com/brands/defender-service-dubai/exhaust-repair</x:v>
      </x:c>
      <x:c r="W928" s="6" t="str">
        <x:v>Indexable directive</x:v>
      </x:c>
      <x:c r="X928" s="6" t="n">
        <x:v>16</x:v>
      </x:c>
      <x:c r="Y928" s="6" t="str">
        <x:v>Defender Exhaust Repair Dubai | Digi-Tec</x:v>
      </x:c>
      <x:c r="Z928" s="6" t="str"/>
      <x:c r="AA928" s="6" t="str">
        <x:v>No / not compared</x:v>
      </x:c>
    </x:row>
    <x:row r="929" ht="42" customHeight="1">
      <x:c r="A929" s="6" t="str">
        <x:v>https://digitecme.com/brands/defender-service-dubai/fuel-system-repair</x:v>
      </x:c>
      <x:c r="B929" s="6" t="str"/>
      <x:c r="C929" s="6" t="str"/>
      <x:c r="D929" s="6" t="str">
        <x:v>brand-service</x:v>
      </x:c>
      <x:c r="E929" s="6" t="str">
        <x:v>Retain differentiated role</x:v>
      </x:c>
      <x:c r="F929" s="6" t="str">
        <x:v>Local source render; live version unverified</x:v>
      </x:c>
      <x:c r="G929" s="6" t="str">
        <x:v>Defender Fuel System Repair Dubai | Digi-Tec</x:v>
      </x:c>
      <x:c r="H929" s="6" t="str">
        <x:v>Defender Fuel System Repair Dubai | Digi-Tec</x:v>
      </x:c>
      <x:c r="I929" s="6" t="str">
        <x:v>Defender Fuel System Repair Dubai</x:v>
      </x:c>
      <x:c r="J929" s="6" t="str">
        <x:v>Defender Fuel System Repair Dubai</x:v>
      </x:c>
      <x:c r="K929" s="6" t="str">
        <x:v>Defender fuel system repair in Dubai with model-specific inspection, confirmed parts options and a clear quote at Digi-Tec, Al Quoz.</x:v>
      </x:c>
      <x:c r="L929" s="6" t="str">
        <x:v>Retain pending evidence; no specific content edit justified by this export.</x:v>
      </x:c>
      <x:c r="M929" s="6" t="str">
        <x:v>Retain; inspect relevant context before adding links</x:v>
      </x:c>
      <x:c r="N929" s="6" t="str">
        <x:v>Unconfirmed — no query/page pairing</x:v>
      </x:c>
      <x:c r="O929" s="6" t="str">
        <x:v>Retain established booking / WhatsApp / call path; live behaviour untested</x:v>
      </x:c>
      <x:c r="P929" s="6" t="str">
        <x:v>Retain canonical and indexation policy pending a live check.</x:v>
      </x:c>
      <x:c r="Q929" s="6" t="str">
        <x:v>Proposed; no website change made</x:v>
      </x:c>
      <x:c r="R929" s="14"/>
      <x:c r="S929" s="14"/>
      <x:c r="T929" s="15"/>
      <x:c r="U929" s="16"/>
      <x:c r="V929" s="6" t="str">
        <x:v>https://digitecme.com/brands/defender-service-dubai/fuel-system-repair</x:v>
      </x:c>
      <x:c r="W929" s="6" t="str">
        <x:v>Indexable directive</x:v>
      </x:c>
      <x:c r="X929" s="6" t="n">
        <x:v>16</x:v>
      </x:c>
      <x:c r="Y929" s="6" t="str">
        <x:v>Defender Fuel System Repair Dubai | Digi-Tec</x:v>
      </x:c>
      <x:c r="Z929" s="6" t="str"/>
      <x:c r="AA929" s="6" t="str">
        <x:v>No / not compared</x:v>
      </x:c>
    </x:row>
    <x:row r="930" ht="42" customHeight="1">
      <x:c r="A930" s="6" t="str">
        <x:v>https://digitecme.com/brands/defender-service-dubai/mechanical-repair</x:v>
      </x:c>
      <x:c r="B930" s="6" t="str"/>
      <x:c r="C930" s="6" t="str"/>
      <x:c r="D930" s="6" t="str">
        <x:v>brand-service</x:v>
      </x:c>
      <x:c r="E930" s="6" t="str">
        <x:v>Retain differentiated role</x:v>
      </x:c>
      <x:c r="F930" s="6" t="str">
        <x:v>Local source render; live version unverified</x:v>
      </x:c>
      <x:c r="G930" s="6" t="str">
        <x:v>Defender Mechanical Repair Dubai | Digi-Tec</x:v>
      </x:c>
      <x:c r="H930" s="6" t="str">
        <x:v>Defender Mechanical Repair Dubai | Digi-Tec</x:v>
      </x:c>
      <x:c r="I930" s="6" t="str">
        <x:v>Defender Mechanical Repair Dubai</x:v>
      </x:c>
      <x:c r="J930" s="6" t="str">
        <x:v>Defender Mechanical Repair Dubai</x:v>
      </x:c>
      <x:c r="K930" s="6" t="str">
        <x:v>Defender mechanical repair in Dubai with model-specific inspection, confirmed parts options and a clear quote at Digi-Tec, Al Quoz.</x:v>
      </x:c>
      <x:c r="L930" s="6" t="str">
        <x:v>Retain pending evidence; no specific content edit justified by this export.</x:v>
      </x:c>
      <x:c r="M930" s="6" t="str">
        <x:v>Retain; inspect relevant context before adding links</x:v>
      </x:c>
      <x:c r="N930" s="6" t="str">
        <x:v>Unconfirmed — no query/page pairing</x:v>
      </x:c>
      <x:c r="O930" s="6" t="str">
        <x:v>Retain established booking / WhatsApp / call path; live behaviour untested</x:v>
      </x:c>
      <x:c r="P930" s="6" t="str">
        <x:v>Retain canonical and indexation policy pending a live check.</x:v>
      </x:c>
      <x:c r="Q930" s="6" t="str">
        <x:v>Proposed; no website change made</x:v>
      </x:c>
      <x:c r="R930" s="14"/>
      <x:c r="S930" s="14"/>
      <x:c r="T930" s="15"/>
      <x:c r="U930" s="16"/>
      <x:c r="V930" s="6" t="str">
        <x:v>https://digitecme.com/brands/defender-service-dubai/mechanical-repair</x:v>
      </x:c>
      <x:c r="W930" s="6" t="str">
        <x:v>Indexable directive</x:v>
      </x:c>
      <x:c r="X930" s="6" t="n">
        <x:v>16</x:v>
      </x:c>
      <x:c r="Y930" s="6" t="str">
        <x:v>Defender Mechanical Repair Dubai | Digi-Tec</x:v>
      </x:c>
      <x:c r="Z930" s="6" t="str"/>
      <x:c r="AA930" s="6" t="str">
        <x:v>No / not compared</x:v>
      </x:c>
    </x:row>
    <x:row r="931" ht="42" customHeight="1">
      <x:c r="A931" s="6" t="str">
        <x:v>https://digitecme.com/brands/defender-service-dubai/oil-change</x:v>
      </x:c>
      <x:c r="B931" s="6" t="str"/>
      <x:c r="C931" s="6" t="str"/>
      <x:c r="D931" s="6" t="str">
        <x:v>brand-service</x:v>
      </x:c>
      <x:c r="E931" s="6" t="str">
        <x:v>Retain differentiated role</x:v>
      </x:c>
      <x:c r="F931" s="6" t="str">
        <x:v>Local source render; live version unverified</x:v>
      </x:c>
      <x:c r="G931" s="6" t="str">
        <x:v>Defender Oil Change Dubai | Digi-Tec</x:v>
      </x:c>
      <x:c r="H931" s="6" t="str">
        <x:v>Defender Oil Change Dubai | Digi-Tec</x:v>
      </x:c>
      <x:c r="I931" s="6" t="str">
        <x:v>Defender Oil Change Dubai</x:v>
      </x:c>
      <x:c r="J931" s="6" t="str">
        <x:v>Defender Oil Change Dubai</x:v>
      </x:c>
      <x:c r="K931" s="6" t="str">
        <x:v>Defender oil change in Dubai with model-specific inspection, confirmed parts options and a clear quote at Digi-Tec, Al Quoz.</x:v>
      </x:c>
      <x:c r="L931" s="6" t="str">
        <x:v>Retain pending evidence; no specific content edit justified by this export.</x:v>
      </x:c>
      <x:c r="M931" s="6" t="str">
        <x:v>Retain; inspect relevant context before adding links</x:v>
      </x:c>
      <x:c r="N931" s="6" t="str">
        <x:v>Unconfirmed — no query/page pairing</x:v>
      </x:c>
      <x:c r="O931" s="6" t="str">
        <x:v>Retain established booking / WhatsApp / call path; live behaviour untested</x:v>
      </x:c>
      <x:c r="P931" s="6" t="str">
        <x:v>Retain canonical and indexation policy pending a live check.</x:v>
      </x:c>
      <x:c r="Q931" s="6" t="str">
        <x:v>Proposed; no website change made</x:v>
      </x:c>
      <x:c r="R931" s="14"/>
      <x:c r="S931" s="14"/>
      <x:c r="T931" s="15"/>
      <x:c r="U931" s="16"/>
      <x:c r="V931" s="6" t="str">
        <x:v>https://digitecme.com/brands/defender-service-dubai/oil-change</x:v>
      </x:c>
      <x:c r="W931" s="6" t="str">
        <x:v>Indexable directive</x:v>
      </x:c>
      <x:c r="X931" s="6" t="n">
        <x:v>16</x:v>
      </x:c>
      <x:c r="Y931" s="6" t="str">
        <x:v>Defender Oil Change Dubai | Digi-Tec</x:v>
      </x:c>
      <x:c r="Z931" s="6" t="str"/>
      <x:c r="AA931" s="6" t="str">
        <x:v>No / not compared</x:v>
      </x:c>
    </x:row>
    <x:row r="932" ht="42" customHeight="1">
      <x:c r="A932" s="6" t="str">
        <x:v>https://digitecme.com/brands/defender-service-dubai/steering-repair</x:v>
      </x:c>
      <x:c r="B932" s="6" t="str"/>
      <x:c r="C932" s="6" t="str"/>
      <x:c r="D932" s="6" t="str">
        <x:v>brand-service</x:v>
      </x:c>
      <x:c r="E932" s="6" t="str">
        <x:v>Retain differentiated role</x:v>
      </x:c>
      <x:c r="F932" s="6" t="str">
        <x:v>Local source render; live version unverified</x:v>
      </x:c>
      <x:c r="G932" s="6" t="str">
        <x:v>Defender Steering Repair Dubai | Digi-Tec</x:v>
      </x:c>
      <x:c r="H932" s="6" t="str">
        <x:v>Defender Steering Repair Dubai | Digi-Tec</x:v>
      </x:c>
      <x:c r="I932" s="6" t="str">
        <x:v>Defender Steering Repair Dubai</x:v>
      </x:c>
      <x:c r="J932" s="6" t="str">
        <x:v>Defender Steering Repair Dubai</x:v>
      </x:c>
      <x:c r="K932" s="6" t="str">
        <x:v>Defender steering repair in Dubai with model-specific inspection, confirmed parts options and a clear quote at Digi-Tec, Al Quoz.</x:v>
      </x:c>
      <x:c r="L932" s="6" t="str">
        <x:v>Retain pending evidence; no specific content edit justified by this export.</x:v>
      </x:c>
      <x:c r="M932" s="6" t="str">
        <x:v>Retain; inspect relevant context before adding links</x:v>
      </x:c>
      <x:c r="N932" s="6" t="str">
        <x:v>Unconfirmed — no query/page pairing</x:v>
      </x:c>
      <x:c r="O932" s="6" t="str">
        <x:v>Retain established booking / WhatsApp / call path; live behaviour untested</x:v>
      </x:c>
      <x:c r="P932" s="6" t="str">
        <x:v>Retain canonical and indexation policy pending a live check.</x:v>
      </x:c>
      <x:c r="Q932" s="6" t="str">
        <x:v>Proposed; no website change made</x:v>
      </x:c>
      <x:c r="R932" s="14"/>
      <x:c r="S932" s="14"/>
      <x:c r="T932" s="15"/>
      <x:c r="U932" s="16"/>
      <x:c r="V932" s="6" t="str">
        <x:v>https://digitecme.com/brands/defender-service-dubai/steering-repair</x:v>
      </x:c>
      <x:c r="W932" s="6" t="str">
        <x:v>Indexable directive</x:v>
      </x:c>
      <x:c r="X932" s="6" t="n">
        <x:v>16</x:v>
      </x:c>
      <x:c r="Y932" s="6" t="str">
        <x:v>Defender Steering Repair Dubai | Digi-Tec</x:v>
      </x:c>
      <x:c r="Z932" s="6" t="str"/>
      <x:c r="AA932" s="6" t="str">
        <x:v>No / not compared</x:v>
      </x:c>
    </x:row>
    <x:row r="933" ht="42" customHeight="1">
      <x:c r="A933" s="6" t="str">
        <x:v>https://digitecme.com/brands/defender-service-dubai/suspension-repair</x:v>
      </x:c>
      <x:c r="B933" s="6" t="str"/>
      <x:c r="C933" s="6" t="str"/>
      <x:c r="D933" s="6" t="str">
        <x:v>brand-service</x:v>
      </x:c>
      <x:c r="E933" s="6" t="str">
        <x:v>Retain differentiated role</x:v>
      </x:c>
      <x:c r="F933" s="6" t="str">
        <x:v>Local source render; live version unverified</x:v>
      </x:c>
      <x:c r="G933" s="6" t="str">
        <x:v>Defender Suspension Repair Dubai | Digi-Tec</x:v>
      </x:c>
      <x:c r="H933" s="6" t="str">
        <x:v>Defender Suspension Repair Dubai | Digi-Tec</x:v>
      </x:c>
      <x:c r="I933" s="6" t="str">
        <x:v>Defender Suspension Repair Dubai</x:v>
      </x:c>
      <x:c r="J933" s="6" t="str">
        <x:v>Defender Suspension Repair Dubai</x:v>
      </x:c>
      <x:c r="K933" s="6" t="str">
        <x:v>Defender suspension repair in Dubai with model-specific inspection, confirmed parts options and a clear quote at Digi-Tec, Al Quoz.</x:v>
      </x:c>
      <x:c r="L933" s="6" t="str">
        <x:v>Retain pending evidence; no specific content edit justified by this export.</x:v>
      </x:c>
      <x:c r="M933" s="6" t="str">
        <x:v>Retain; inspect relevant context before adding links</x:v>
      </x:c>
      <x:c r="N933" s="6" t="str">
        <x:v>Unconfirmed — no query/page pairing</x:v>
      </x:c>
      <x:c r="O933" s="6" t="str">
        <x:v>Retain established booking / WhatsApp / call path; live behaviour untested</x:v>
      </x:c>
      <x:c r="P933" s="6" t="str">
        <x:v>Retain canonical and indexation policy pending a live check.</x:v>
      </x:c>
      <x:c r="Q933" s="6" t="str">
        <x:v>Proposed; no website change made</x:v>
      </x:c>
      <x:c r="R933" s="14"/>
      <x:c r="S933" s="14"/>
      <x:c r="T933" s="15"/>
      <x:c r="U933" s="16"/>
      <x:c r="V933" s="6" t="str">
        <x:v>https://digitecme.com/brands/defender-service-dubai/suspension-repair</x:v>
      </x:c>
      <x:c r="W933" s="6" t="str">
        <x:v>Indexable directive</x:v>
      </x:c>
      <x:c r="X933" s="6" t="n">
        <x:v>16</x:v>
      </x:c>
      <x:c r="Y933" s="6" t="str">
        <x:v>Defender Suspension Repair Dubai | Digi-Tec</x:v>
      </x:c>
      <x:c r="Z933" s="6" t="str"/>
      <x:c r="AA933" s="6" t="str">
        <x:v>No / not compared</x:v>
      </x:c>
    </x:row>
    <x:row r="934" ht="42" customHeight="1">
      <x:c r="A934" s="6" t="str">
        <x:v>https://digitecme.com/brands/defender-service-dubai/tire-repair</x:v>
      </x:c>
      <x:c r="B934" s="6" t="str"/>
      <x:c r="C934" s="6" t="str"/>
      <x:c r="D934" s="6" t="str">
        <x:v>brand-service</x:v>
      </x:c>
      <x:c r="E934" s="6" t="str">
        <x:v>Retain differentiated role</x:v>
      </x:c>
      <x:c r="F934" s="6" t="str">
        <x:v>Local source render; live version unverified</x:v>
      </x:c>
      <x:c r="G934" s="6" t="str">
        <x:v>Defender Tyre Repair Dubai | Digi-Tec</x:v>
      </x:c>
      <x:c r="H934" s="6" t="str">
        <x:v>Defender Tyre Repair Dubai | Digi-Tec</x:v>
      </x:c>
      <x:c r="I934" s="6" t="str">
        <x:v>Defender Tyre Repair Dubai</x:v>
      </x:c>
      <x:c r="J934" s="6" t="str">
        <x:v>Defender Tyre Repair Dubai</x:v>
      </x:c>
      <x:c r="K934" s="6" t="str">
        <x:v>Defender tyre repair in Dubai with model-specific inspection, confirmed parts options and a clear quote at Digi-Tec, Al Quoz.</x:v>
      </x:c>
      <x:c r="L934" s="6" t="str">
        <x:v>Retain pending evidence; no specific content edit justified by this export.</x:v>
      </x:c>
      <x:c r="M934" s="6" t="str">
        <x:v>Retain; inspect relevant context before adding links</x:v>
      </x:c>
      <x:c r="N934" s="6" t="str">
        <x:v>Unconfirmed — no query/page pairing</x:v>
      </x:c>
      <x:c r="O934" s="6" t="str">
        <x:v>Retain established booking / WhatsApp / call path; live behaviour untested</x:v>
      </x:c>
      <x:c r="P934" s="6" t="str">
        <x:v>Retain canonical and indexation policy pending a live check.</x:v>
      </x:c>
      <x:c r="Q934" s="6" t="str">
        <x:v>Proposed; no website change made</x:v>
      </x:c>
      <x:c r="R934" s="14"/>
      <x:c r="S934" s="14"/>
      <x:c r="T934" s="15"/>
      <x:c r="U934" s="16"/>
      <x:c r="V934" s="6" t="str">
        <x:v>https://digitecme.com/brands/defender-service-dubai/tire-repair</x:v>
      </x:c>
      <x:c r="W934" s="6" t="str">
        <x:v>Indexable directive</x:v>
      </x:c>
      <x:c r="X934" s="6" t="n">
        <x:v>16</x:v>
      </x:c>
      <x:c r="Y934" s="6" t="str">
        <x:v>Defender Tyre Repair Dubai | Digi-Tec</x:v>
      </x:c>
      <x:c r="Z934" s="6" t="str"/>
      <x:c r="AA934" s="6" t="str">
        <x:v>No / not compared</x:v>
      </x:c>
    </x:row>
    <x:row r="935" ht="42" customHeight="1">
      <x:c r="A935" s="6" t="str">
        <x:v>https://digitecme.com/brands/defender-service-dubai/transmission-repair</x:v>
      </x:c>
      <x:c r="B935" s="6" t="str"/>
      <x:c r="C935" s="6" t="str"/>
      <x:c r="D935" s="6" t="str">
        <x:v>brand-service</x:v>
      </x:c>
      <x:c r="E935" s="6" t="str">
        <x:v>Retain differentiated role</x:v>
      </x:c>
      <x:c r="F935" s="6" t="str">
        <x:v>Local source render; live version unverified</x:v>
      </x:c>
      <x:c r="G935" s="6" t="str">
        <x:v>Defender Transmission Repair Dubai | Digi-Tec</x:v>
      </x:c>
      <x:c r="H935" s="6" t="str">
        <x:v>Defender Transmission Repair Dubai | Digi-Tec</x:v>
      </x:c>
      <x:c r="I935" s="6" t="str">
        <x:v>Defender Transmission Repair Dubai</x:v>
      </x:c>
      <x:c r="J935" s="6" t="str">
        <x:v>Defender Transmission Repair Dubai</x:v>
      </x:c>
      <x:c r="K935" s="6" t="str">
        <x:v>Defender transmission repair in Dubai with model-specific inspection, confirmed parts options and a clear quote at Digi-Tec, Al Quoz.</x:v>
      </x:c>
      <x:c r="L935" s="6" t="str">
        <x:v>Retain pending evidence; no specific content edit justified by this export.</x:v>
      </x:c>
      <x:c r="M935" s="6" t="str">
        <x:v>Retain; inspect relevant context before adding links</x:v>
      </x:c>
      <x:c r="N935" s="6" t="str">
        <x:v>Unconfirmed — no query/page pairing</x:v>
      </x:c>
      <x:c r="O935" s="6" t="str">
        <x:v>Retain established booking / WhatsApp / call path; live behaviour untested</x:v>
      </x:c>
      <x:c r="P935" s="6" t="str">
        <x:v>Retain canonical and indexation policy pending a live check.</x:v>
      </x:c>
      <x:c r="Q935" s="6" t="str">
        <x:v>Proposed; no website change made</x:v>
      </x:c>
      <x:c r="R935" s="14"/>
      <x:c r="S935" s="14"/>
      <x:c r="T935" s="15"/>
      <x:c r="U935" s="16"/>
      <x:c r="V935" s="6" t="str">
        <x:v>https://digitecme.com/brands/defender-service-dubai/transmission-repair</x:v>
      </x:c>
      <x:c r="W935" s="6" t="str">
        <x:v>Indexable directive</x:v>
      </x:c>
      <x:c r="X935" s="6" t="n">
        <x:v>16</x:v>
      </x:c>
      <x:c r="Y935" s="6" t="str">
        <x:v>Defender Transmission Repair Dubai | Digi-Tec</x:v>
      </x:c>
      <x:c r="Z935" s="6" t="str"/>
      <x:c r="AA935" s="6" t="str">
        <x:v>No / not compared</x:v>
      </x:c>
    </x:row>
    <x:row r="936" ht="42" customHeight="1">
      <x:c r="A936" s="6" t="str">
        <x:v>https://digitecme.com/brands/dodge-service-dubai</x:v>
      </x:c>
      <x:c r="B936" s="6" t="str">
        <x:v>dodge repair dubai</x:v>
      </x:c>
      <x:c r="C936" s="6" t="str">
        <x:v>dodge: Service and repair (English)</x:v>
      </x:c>
      <x:c r="D936" s="6" t="str">
        <x:v>brand</x:v>
      </x:c>
      <x:c r="E936" s="6" t="str">
        <x:v>Primary owner for assigned intent</x:v>
      </x:c>
      <x:c r="F936" s="6" t="str">
        <x:v>Local source render; live version unverified</x:v>
      </x:c>
      <x:c r="G936" s="6" t="str">
        <x:v>Dodge Repair Dubai | Digi-Tec</x:v>
      </x:c>
      <x:c r="H936" s="6" t="str">
        <x:v>Dodge Repair Dubai | Digi-Tec</x:v>
      </x:c>
      <x:c r="I936" s="6" t="str">
        <x:v>Dodge Repair &amp; Service Dubai</x:v>
      </x:c>
      <x:c r="J936" s="6" t="str">
        <x:v>Dodge Repair &amp; Service Dubai</x:v>
      </x:c>
      <x:c r="K936" s="6" t="str">
        <x:v>Specialist Dodge repair and service in Dubai: diagnostics, maintenance, brakes, transmission, suspension and AC at Digi-Tec, Al Quoz.</x:v>
      </x:c>
      <x:c r="L936" s="6" t="str">
        <x:v>Retain pending evidence; no specific content edit justified by this export.</x:v>
      </x:c>
      <x:c r="M936" s="6" t="str">
        <x:v>Retain; inspect relevant context before adding links</x:v>
      </x:c>
      <x:c r="N936" s="6" t="str">
        <x:v>Unconfirmed — no query/page pairing</x:v>
      </x:c>
      <x:c r="O936" s="6" t="str">
        <x:v>Retain established booking / WhatsApp / call path; live behaviour untested</x:v>
      </x:c>
      <x:c r="P936" s="6" t="str">
        <x:v>Retain canonical and indexation policy pending a live check.</x:v>
      </x:c>
      <x:c r="Q936" s="6" t="str">
        <x:v>Proposed; no website change made</x:v>
      </x:c>
      <x:c r="R936" s="14" t="n">
        <x:v>0</x:v>
      </x:c>
      <x:c r="S936" s="14" t="n">
        <x:v>107</x:v>
      </x:c>
      <x:c r="T936" s="15" t="n">
        <x:v>0</x:v>
      </x:c>
      <x:c r="U936" s="16" t="n">
        <x:v>42.38</x:v>
      </x:c>
      <x:c r="V936" s="6" t="str">
        <x:v>https://digitecme.com/brands/dodge-service-dubai</x:v>
      </x:c>
      <x:c r="W936" s="6" t="str">
        <x:v>Indexable directive</x:v>
      </x:c>
      <x:c r="X936" s="6" t="n">
        <x:v>28</x:v>
      </x:c>
      <x:c r="Y936" s="6" t="str">
        <x:v>Dodge Repair Dubai | Digi-Tec</x:v>
      </x:c>
      <x:c r="Z936" s="6" t="str"/>
      <x:c r="AA936" s="6" t="str">
        <x:v>No / not compared</x:v>
      </x:c>
    </x:row>
    <x:row r="937" ht="42" customHeight="1">
      <x:c r="A937" s="6" t="str">
        <x:v>https://digitecme.com/brands/dodge-service-dubai/ac-repair</x:v>
      </x:c>
      <x:c r="B937" s="6" t="str"/>
      <x:c r="C937" s="6" t="str"/>
      <x:c r="D937" s="6" t="str">
        <x:v>brand-service</x:v>
      </x:c>
      <x:c r="E937" s="6" t="str">
        <x:v>Retain differentiated role</x:v>
      </x:c>
      <x:c r="F937" s="6" t="str">
        <x:v>Local source render; live version unverified</x:v>
      </x:c>
      <x:c r="G937" s="6" t="str">
        <x:v>Dodge AC Repair Dubai | Digi-Tec</x:v>
      </x:c>
      <x:c r="H937" s="6" t="str">
        <x:v>Dodge AC Repair Dubai | Digi-Tec</x:v>
      </x:c>
      <x:c r="I937" s="6" t="str">
        <x:v>Dodge AC Repair Dubai</x:v>
      </x:c>
      <x:c r="J937" s="6" t="str">
        <x:v>Dodge AC Repair Dubai</x:v>
      </x:c>
      <x:c r="K937" s="6" t="str">
        <x:v>Dodge ac repair in Dubai with model-specific inspection, confirmed parts options and a clear quote at Digi-Tec, Al Quoz.</x:v>
      </x:c>
      <x:c r="L937" s="6" t="str">
        <x:v>Retain pending evidence; no specific content edit justified by this export.</x:v>
      </x:c>
      <x:c r="M937" s="6" t="str">
        <x:v>Retain; inspect relevant context before adding links</x:v>
      </x:c>
      <x:c r="N937" s="6" t="str">
        <x:v>Unconfirmed — no query/page pairing</x:v>
      </x:c>
      <x:c r="O937" s="6" t="str">
        <x:v>Retain established booking / WhatsApp / call path; live behaviour untested</x:v>
      </x:c>
      <x:c r="P937" s="6" t="str">
        <x:v>Retain canonical and indexation policy pending a live check.</x:v>
      </x:c>
      <x:c r="Q937" s="6" t="str">
        <x:v>Proposed; no website change made</x:v>
      </x:c>
      <x:c r="R937" s="14" t="n">
        <x:v>0</x:v>
      </x:c>
      <x:c r="S937" s="14" t="n">
        <x:v>3</x:v>
      </x:c>
      <x:c r="T937" s="15" t="n">
        <x:v>0</x:v>
      </x:c>
      <x:c r="U937" s="16" t="n">
        <x:v>8</x:v>
      </x:c>
      <x:c r="V937" s="6" t="str">
        <x:v>https://digitecme.com/brands/dodge-service-dubai/ac-repair</x:v>
      </x:c>
      <x:c r="W937" s="6" t="str">
        <x:v>Indexable directive</x:v>
      </x:c>
      <x:c r="X937" s="6" t="n">
        <x:v>8</x:v>
      </x:c>
      <x:c r="Y937" s="6" t="str">
        <x:v>Dodge AC Repair Dubai | Digi-Tec</x:v>
      </x:c>
      <x:c r="Z937" s="6" t="str"/>
      <x:c r="AA937" s="6" t="str">
        <x:v>No / not compared</x:v>
      </x:c>
    </x:row>
    <x:row r="938" ht="42" customHeight="1">
      <x:c r="A938" s="6" t="str">
        <x:v>https://digitecme.com/brands/dodge-service-dubai/brake-repair</x:v>
      </x:c>
      <x:c r="B938" s="6" t="str"/>
      <x:c r="C938" s="6" t="str"/>
      <x:c r="D938" s="6" t="str">
        <x:v>brand-service</x:v>
      </x:c>
      <x:c r="E938" s="6" t="str">
        <x:v>Retain differentiated role</x:v>
      </x:c>
      <x:c r="F938" s="6" t="str">
        <x:v>Local source render; live version unverified</x:v>
      </x:c>
      <x:c r="G938" s="6" t="str">
        <x:v>Dodge Brake Repair Dubai | Digi-Tec</x:v>
      </x:c>
      <x:c r="H938" s="6" t="str">
        <x:v>Dodge Brake Repair Dubai | Digi-Tec</x:v>
      </x:c>
      <x:c r="I938" s="6" t="str">
        <x:v>Dodge Brake Repair Dubai</x:v>
      </x:c>
      <x:c r="J938" s="6" t="str">
        <x:v>Dodge Brake Repair Dubai</x:v>
      </x:c>
      <x:c r="K938" s="6" t="str">
        <x:v>Dodge brake repair in Dubai with model-specific inspection, confirmed parts options and a clear quote at Digi-Tec, Al Quoz.</x:v>
      </x:c>
      <x:c r="L938" s="6" t="str">
        <x:v>Retain pending evidence; no specific content edit justified by this export.</x:v>
      </x:c>
      <x:c r="M938" s="6" t="str">
        <x:v>Retain; inspect relevant context before adding links</x:v>
      </x:c>
      <x:c r="N938" s="6" t="str">
        <x:v>Unconfirmed — no query/page pairing</x:v>
      </x:c>
      <x:c r="O938" s="6" t="str">
        <x:v>Retain established booking / WhatsApp / call path; live behaviour untested</x:v>
      </x:c>
      <x:c r="P938" s="6" t="str">
        <x:v>Retain canonical and indexation policy pending a live check.</x:v>
      </x:c>
      <x:c r="Q938" s="6" t="str">
        <x:v>Proposed; no website change made</x:v>
      </x:c>
      <x:c r="R938" s="14" t="n">
        <x:v>0</x:v>
      </x:c>
      <x:c r="S938" s="14" t="n">
        <x:v>11</x:v>
      </x:c>
      <x:c r="T938" s="15" t="n">
        <x:v>0</x:v>
      </x:c>
      <x:c r="U938" s="16" t="n">
        <x:v>21.45</x:v>
      </x:c>
      <x:c r="V938" s="6" t="str">
        <x:v>https://digitecme.com/brands/dodge-service-dubai/brake-repair</x:v>
      </x:c>
      <x:c r="W938" s="6" t="str">
        <x:v>Indexable directive</x:v>
      </x:c>
      <x:c r="X938" s="6" t="n">
        <x:v>8</x:v>
      </x:c>
      <x:c r="Y938" s="6" t="str">
        <x:v>Dodge Brake Repair Dubai | Digi-Tec</x:v>
      </x:c>
      <x:c r="Z938" s="6" t="str"/>
      <x:c r="AA938" s="6" t="str">
        <x:v>No / not compared</x:v>
      </x:c>
    </x:row>
    <x:row r="939" ht="42" customHeight="1">
      <x:c r="A939" s="6" t="str">
        <x:v>https://digitecme.com/brands/dodge-service-dubai/engine-diagnostics</x:v>
      </x:c>
      <x:c r="B939" s="6" t="str"/>
      <x:c r="C939" s="6" t="str"/>
      <x:c r="D939" s="6" t="str">
        <x:v>brand-service</x:v>
      </x:c>
      <x:c r="E939" s="6" t="str">
        <x:v>Retain differentiated role</x:v>
      </x:c>
      <x:c r="F939" s="6" t="str">
        <x:v>Local source render; live version unverified</x:v>
      </x:c>
      <x:c r="G939" s="6" t="str">
        <x:v>Dodge Engine Diagnostics Dubai | Digi-Tec</x:v>
      </x:c>
      <x:c r="H939" s="6" t="str">
        <x:v>Dodge Engine Diagnostics Dubai | Digi-Tec</x:v>
      </x:c>
      <x:c r="I939" s="6" t="str">
        <x:v>Dodge Engine Diagnostics Dubai</x:v>
      </x:c>
      <x:c r="J939" s="6" t="str">
        <x:v>Dodge Engine Diagnostics Dubai</x:v>
      </x:c>
      <x:c r="K939" s="6" t="str">
        <x:v>Dodge engine diagnostics in Dubai with model-specific inspection, confirmed parts options and a clear quote at Digi-Tec, Al Quoz.</x:v>
      </x:c>
      <x:c r="L939" s="6" t="str">
        <x:v>Retain pending evidence; no specific content edit justified by this export.</x:v>
      </x:c>
      <x:c r="M939" s="6" t="str">
        <x:v>Retain; inspect relevant context before adding links</x:v>
      </x:c>
      <x:c r="N939" s="6" t="str">
        <x:v>Unconfirmed — no query/page pairing</x:v>
      </x:c>
      <x:c r="O939" s="6" t="str">
        <x:v>Retain established booking / WhatsApp / call path; live behaviour untested</x:v>
      </x:c>
      <x:c r="P939" s="6" t="str">
        <x:v>Retain canonical and indexation policy pending a live check.</x:v>
      </x:c>
      <x:c r="Q939" s="6" t="str">
        <x:v>Proposed; no website change made</x:v>
      </x:c>
      <x:c r="R939" s="14" t="n">
        <x:v>0</x:v>
      </x:c>
      <x:c r="S939" s="14" t="n">
        <x:v>3</x:v>
      </x:c>
      <x:c r="T939" s="15" t="n">
        <x:v>0</x:v>
      </x:c>
      <x:c r="U939" s="16" t="n">
        <x:v>8</x:v>
      </x:c>
      <x:c r="V939" s="6" t="str">
        <x:v>https://digitecme.com/brands/dodge-service-dubai/engine-diagnostics</x:v>
      </x:c>
      <x:c r="W939" s="6" t="str">
        <x:v>Indexable directive</x:v>
      </x:c>
      <x:c r="X939" s="6" t="n">
        <x:v>8</x:v>
      </x:c>
      <x:c r="Y939" s="6" t="str">
        <x:v>Dodge Engine Diagnostics Dubai | Digi-Tec</x:v>
      </x:c>
      <x:c r="Z939" s="6" t="str"/>
      <x:c r="AA939" s="6" t="str">
        <x:v>No / not compared</x:v>
      </x:c>
    </x:row>
    <x:row r="940" ht="42" customHeight="1">
      <x:c r="A940" s="6" t="str">
        <x:v>https://digitecme.com/brands/dodge-service-dubai/oil-change</x:v>
      </x:c>
      <x:c r="B940" s="6" t="str">
        <x:v>dodge oil change in dubai</x:v>
      </x:c>
      <x:c r="C940" s="6" t="str">
        <x:v>dodge: Oil change</x:v>
      </x:c>
      <x:c r="D940" s="6" t="str">
        <x:v>brand-service</x:v>
      </x:c>
      <x:c r="E940" s="6" t="str">
        <x:v>Primary owner for assigned intent</x:v>
      </x:c>
      <x:c r="F940" s="6" t="str">
        <x:v>Local source render; live version unverified</x:v>
      </x:c>
      <x:c r="G940" s="6" t="str">
        <x:v>Dodge Oil Change Dubai | Digi-Tec</x:v>
      </x:c>
      <x:c r="H940" s="6" t="str">
        <x:v>Dodge Oil Change Dubai | Digi-Tec</x:v>
      </x:c>
      <x:c r="I940" s="6" t="str">
        <x:v>Dodge Oil Change Dubai</x:v>
      </x:c>
      <x:c r="J940" s="6" t="str">
        <x:v>Dodge Oil Change Dubai</x:v>
      </x:c>
      <x:c r="K940" s="6" t="str">
        <x:v>Dodge oil change in Dubai with model-specific inspection, confirmed parts options and a clear quote at Digi-Tec, Al Quoz.</x:v>
      </x:c>
      <x:c r="L940" s="6" t="str">
        <x:v>Retain pending evidence; no specific content edit justified by this export.</x:v>
      </x:c>
      <x:c r="M940" s="6" t="str">
        <x:v>Retain; inspect relevant context before adding links</x:v>
      </x:c>
      <x:c r="N940" s="6" t="str">
        <x:v>Unconfirmed — no query/page pairing</x:v>
      </x:c>
      <x:c r="O940" s="6" t="str">
        <x:v>Retain established booking / WhatsApp / call path; live behaviour untested</x:v>
      </x:c>
      <x:c r="P940" s="6" t="str">
        <x:v>Retain canonical and indexation policy pending a live check.</x:v>
      </x:c>
      <x:c r="Q940" s="6" t="str">
        <x:v>Proposed; no website change made</x:v>
      </x:c>
      <x:c r="R940" s="14" t="n">
        <x:v>0</x:v>
      </x:c>
      <x:c r="S940" s="14" t="n">
        <x:v>38</x:v>
      </x:c>
      <x:c r="T940" s="15" t="n">
        <x:v>0</x:v>
      </x:c>
      <x:c r="U940" s="16" t="n">
        <x:v>16.34</x:v>
      </x:c>
      <x:c r="V940" s="6" t="str">
        <x:v>https://digitecme.com/brands/dodge-service-dubai/oil-change</x:v>
      </x:c>
      <x:c r="W940" s="6" t="str">
        <x:v>Indexable directive</x:v>
      </x:c>
      <x:c r="X940" s="6" t="n">
        <x:v>8</x:v>
      </x:c>
      <x:c r="Y940" s="6" t="str">
        <x:v>Dodge Oil Change Dubai | Digi-Tec</x:v>
      </x:c>
      <x:c r="Z940" s="6" t="str"/>
      <x:c r="AA940" s="6" t="str">
        <x:v>No / not compared</x:v>
      </x:c>
    </x:row>
    <x:row r="941" ht="42" customHeight="1">
      <x:c r="A941" s="6" t="str">
        <x:v>https://digitecme.com/brands/dodge-service-dubai/suspension-repair</x:v>
      </x:c>
      <x:c r="B941" s="6" t="str"/>
      <x:c r="C941" s="6" t="str"/>
      <x:c r="D941" s="6" t="str">
        <x:v>brand-service</x:v>
      </x:c>
      <x:c r="E941" s="6" t="str">
        <x:v>Retain differentiated role</x:v>
      </x:c>
      <x:c r="F941" s="6" t="str">
        <x:v>Local source render; live version unverified</x:v>
      </x:c>
      <x:c r="G941" s="6" t="str">
        <x:v>Dodge Suspension Repair Dubai | Digi-Tec</x:v>
      </x:c>
      <x:c r="H941" s="6" t="str">
        <x:v>Dodge Suspension Repair Dubai | Digi-Tec</x:v>
      </x:c>
      <x:c r="I941" s="6" t="str">
        <x:v>Dodge Suspension Repair Dubai</x:v>
      </x:c>
      <x:c r="J941" s="6" t="str">
        <x:v>Dodge Suspension Repair Dubai</x:v>
      </x:c>
      <x:c r="K941" s="6" t="str">
        <x:v>Dodge suspension repair in Dubai with model-specific inspection, confirmed parts options and a clear quote at Digi-Tec, Al Quoz.</x:v>
      </x:c>
      <x:c r="L941" s="6" t="str">
        <x:v>Retain pending evidence; no specific content edit justified by this export.</x:v>
      </x:c>
      <x:c r="M941" s="6" t="str">
        <x:v>Retain; inspect relevant context before adding links</x:v>
      </x:c>
      <x:c r="N941" s="6" t="str">
        <x:v>Unconfirmed — no query/page pairing</x:v>
      </x:c>
      <x:c r="O941" s="6" t="str">
        <x:v>Retain established booking / WhatsApp / call path; live behaviour untested</x:v>
      </x:c>
      <x:c r="P941" s="6" t="str">
        <x:v>Retain canonical and indexation policy pending a live check.</x:v>
      </x:c>
      <x:c r="Q941" s="6" t="str">
        <x:v>Proposed; no website change made</x:v>
      </x:c>
      <x:c r="R941" s="14" t="n">
        <x:v>0</x:v>
      </x:c>
      <x:c r="S941" s="14" t="n">
        <x:v>10</x:v>
      </x:c>
      <x:c r="T941" s="15" t="n">
        <x:v>0</x:v>
      </x:c>
      <x:c r="U941" s="16" t="n">
        <x:v>12</x:v>
      </x:c>
      <x:c r="V941" s="6" t="str">
        <x:v>https://digitecme.com/brands/dodge-service-dubai/suspension-repair</x:v>
      </x:c>
      <x:c r="W941" s="6" t="str">
        <x:v>Noindex directive</x:v>
      </x:c>
      <x:c r="X941" s="6" t="n">
        <x:v>8</x:v>
      </x:c>
      <x:c r="Y941" s="6" t="str">
        <x:v>Dodge Suspension Repair Dubai | Digi-Tec</x:v>
      </x:c>
      <x:c r="Z941" s="6" t="str"/>
      <x:c r="AA941" s="6" t="str">
        <x:v>No / not compared</x:v>
      </x:c>
    </x:row>
    <x:row r="942" ht="42" customHeight="1">
      <x:c r="A942" s="6" t="str">
        <x:v>https://digitecme.com/brands/dodge-service-dubai/transmission-repair</x:v>
      </x:c>
      <x:c r="B942" s="6" t="str">
        <x:v>dodge transmission repair dubai</x:v>
      </x:c>
      <x:c r="C942" s="6" t="str">
        <x:v>dodge: Transmission and gearbox repair</x:v>
      </x:c>
      <x:c r="D942" s="6" t="str">
        <x:v>brand-service</x:v>
      </x:c>
      <x:c r="E942" s="6" t="str">
        <x:v>Primary owner for assigned intent</x:v>
      </x:c>
      <x:c r="F942" s="6" t="str">
        <x:v>Local source render; live version unverified</x:v>
      </x:c>
      <x:c r="G942" s="6" t="str">
        <x:v>Dodge Transmission Repair Dubai | Digi-Tec</x:v>
      </x:c>
      <x:c r="H942" s="6" t="str">
        <x:v>Dodge Transmission Repair Dubai | Digi-Tec</x:v>
      </x:c>
      <x:c r="I942" s="6" t="str">
        <x:v>Dodge Transmission Repair Dubai</x:v>
      </x:c>
      <x:c r="J942" s="6" t="str">
        <x:v>Dodge Transmission Repair Dubai</x:v>
      </x:c>
      <x:c r="K942" s="6" t="str">
        <x:v>Dodge transmission repair in Dubai with model-specific inspection, confirmed parts options and a clear quote at Digi-Tec, Al Quoz.</x:v>
      </x:c>
      <x:c r="L942" s="6" t="str">
        <x:v>Retain pending evidence; no specific content edit justified by this export.</x:v>
      </x:c>
      <x:c r="M942" s="6" t="str">
        <x:v>Retain; inspect relevant context before adding links</x:v>
      </x:c>
      <x:c r="N942" s="6" t="str">
        <x:v>Unconfirmed — no query/page pairing</x:v>
      </x:c>
      <x:c r="O942" s="6" t="str">
        <x:v>Retain established booking / WhatsApp / call path; live behaviour untested</x:v>
      </x:c>
      <x:c r="P942" s="6" t="str">
        <x:v>Specific search demand maps to an existing noindex page. Verify live directives and unique business content; consider the existing indexable parent as interim owner.</x:v>
      </x:c>
      <x:c r="Q942" s="6" t="str">
        <x:v>Proposed; no website change made</x:v>
      </x:c>
      <x:c r="R942" s="14" t="n">
        <x:v>0</x:v>
      </x:c>
      <x:c r="S942" s="14" t="n">
        <x:v>66</x:v>
      </x:c>
      <x:c r="T942" s="15" t="n">
        <x:v>0</x:v>
      </x:c>
      <x:c r="U942" s="16" t="n">
        <x:v>17.64</x:v>
      </x:c>
      <x:c r="V942" s="6" t="str">
        <x:v>https://digitecme.com/brands/dodge-service-dubai/transmission-repair</x:v>
      </x:c>
      <x:c r="W942" s="6" t="str">
        <x:v>Noindex directive</x:v>
      </x:c>
      <x:c r="X942" s="6" t="n">
        <x:v>8</x:v>
      </x:c>
      <x:c r="Y942" s="6" t="str">
        <x:v>Dodge Transmission Repair Dubai | Digi-Tec</x:v>
      </x:c>
      <x:c r="Z942" s="6" t="str"/>
      <x:c r="AA942" s="6" t="str">
        <x:v>No / not compared</x:v>
      </x:c>
    </x:row>
    <x:row r="943" ht="57" customHeight="1">
      <x:c r="A943" s="6" t="str">
        <x:v>https://digitecme.com/brands/ferrari-service-dubai</x:v>
      </x:c>
      <x:c r="B943" s="6" t="str">
        <x:v>ferrari service dubai</x:v>
      </x:c>
      <x:c r="C943" s="6" t="str">
        <x:v>ferrari: Service and repair</x:v>
      </x:c>
      <x:c r="D943" s="6" t="str">
        <x:v>brand</x:v>
      </x:c>
      <x:c r="E943" s="6" t="str">
        <x:v>Primary owner for assigned intent</x:v>
      </x:c>
      <x:c r="F943" s="6" t="str">
        <x:v>Live HTML checked 9 Sep 2026</x:v>
      </x:c>
      <x:c r="G943" s="6" t="str">
        <x:v>Ferrari Service &amp; Repair Dubai | DIGI-TEC</x:v>
      </x:c>
      <x:c r="H943" s="6" t="str">
        <x:v>Ferrari Service &amp; Repair Dubai | DIGI-TEC</x:v>
      </x:c>
      <x:c r="I943" s="6" t="str">
        <x:v>Ferrari Service &amp; Repair Dubai</x:v>
      </x:c>
      <x:c r="J943" s="6" t="str">
        <x:v>Ferrari Service &amp; Repair Dubai</x:v>
      </x:c>
      <x:c r="K943" s="6" t="str">
        <x:v>Ferrari service and repair in Dubai at DIGI-TEC. Independent diagnostics, maintenance, engine, transmission, brake, suspension and electrical work in Al Quoz.</x:v>
      </x:c>
      <x:c r="L943" s="6" t="str">
        <x:v>Retain pending evidence; no specific content edit justified by this export.</x:v>
      </x:c>
      <x:c r="M943" s="6" t="str">
        <x:v>Retain; inspect relevant context before adding links</x:v>
      </x:c>
      <x:c r="N943" s="6" t="str">
        <x:v>Unconfirmed — no query/page pairing</x:v>
      </x:c>
      <x:c r="O943" s="6" t="str">
        <x:v>Retain established booking / WhatsApp / call path; live behaviour untested</x:v>
      </x:c>
      <x:c r="P943" s="6" t="str">
        <x:v>Retain canonical and indexation policy pending a live check.</x:v>
      </x:c>
      <x:c r="Q943" s="6" t="str">
        <x:v>Proposed; no website change made</x:v>
      </x:c>
      <x:c r="R943" s="14" t="n">
        <x:v>1</x:v>
      </x:c>
      <x:c r="S943" s="14" t="n">
        <x:v>1908</x:v>
      </x:c>
      <x:c r="T943" s="15" t="n">
        <x:v>0.0005</x:v>
      </x:c>
      <x:c r="U943" s="16" t="n">
        <x:v>22.99</x:v>
      </x:c>
      <x:c r="V943" s="6" t="str">
        <x:v>https://digitecme.com/brands/ferrari-service-dubai</x:v>
      </x:c>
      <x:c r="W943" s="6" t="str">
        <x:v>Indexable directive</x:v>
      </x:c>
      <x:c r="X943" s="6" t="n">
        <x:v>96</x:v>
      </x:c>
      <x:c r="Y943" s="6" t="str">
        <x:v>Ferrari Service &amp; Repair Dubai | DIGI-TEC</x:v>
      </x:c>
      <x:c r="Z943" s="6" t="str">
        <x:v>Ferrari Service &amp; Repair Dubai | DIGI-TEC</x:v>
      </x:c>
      <x:c r="AA943" s="6" t="str">
        <x:v>No / not compared</x:v>
      </x:c>
    </x:row>
    <x:row r="944" ht="57" customHeight="1">
      <x:c r="A944" s="6" t="str">
        <x:v>https://digitecme.com/brands/ferrari-service-dubai/296</x:v>
      </x:c>
      <x:c r="B944" s="6" t="str"/>
      <x:c r="C944" s="6" t="str"/>
      <x:c r="D944" s="6" t="str">
        <x:v>service</x:v>
      </x:c>
      <x:c r="E944" s="6" t="str">
        <x:v>Retain differentiated role</x:v>
      </x:c>
      <x:c r="F944" s="6" t="str">
        <x:v>Local source render; live version unverified</x:v>
      </x:c>
      <x:c r="G944" s="6" t="str">
        <x:v>Ferrari 296 Service &amp; Diagnostics Dubai | DIGI-TEC</x:v>
      </x:c>
      <x:c r="H944" s="6" t="str">
        <x:v>Ferrari 296 Service &amp; Diagnostics Dubai | DIGI-TEC</x:v>
      </x:c>
      <x:c r="I944" s="6" t="str">
        <x:v>Ferrari 296 Service &amp; Diagnostic Assessment Dubai</x:v>
      </x:c>
      <x:c r="J944" s="6" t="str">
        <x:v>Ferrari 296 Service &amp; Diagnostic Assessment Dubai</x:v>
      </x:c>
      <x:c r="K944" s="6" t="str">
        <x:v>Ferrari 296 GTB and GTS service and diagnostic assessment in Dubai for V6 PHEV, MGU-K, 8-speed DCT, cooling, brakes, charging and warning concerns.</x:v>
      </x:c>
      <x:c r="L944" s="6" t="str">
        <x:v>Retain pending evidence; no specific content edit justified by this export.</x:v>
      </x:c>
      <x:c r="M944" s="6" t="str">
        <x:v>Retain; inspect relevant context before adding links</x:v>
      </x:c>
      <x:c r="N944" s="6" t="str">
        <x:v>Unconfirmed — no query/page pairing</x:v>
      </x:c>
      <x:c r="O944" s="6" t="str">
        <x:v>Retain established booking / WhatsApp / call path; live behaviour untested</x:v>
      </x:c>
      <x:c r="P944" s="6" t="str">
        <x:v>Retain canonical and indexation policy pending a live check.</x:v>
      </x:c>
      <x:c r="Q944" s="6" t="str">
        <x:v>Proposed; no website change made</x:v>
      </x:c>
      <x:c r="R944" s="14"/>
      <x:c r="S944" s="14"/>
      <x:c r="T944" s="15"/>
      <x:c r="U944" s="16"/>
      <x:c r="V944" s="6" t="str">
        <x:v>https://digitecme.com/brands/ferrari-service-dubai/296</x:v>
      </x:c>
      <x:c r="W944" s="6" t="str">
        <x:v>Indexable directive</x:v>
      </x:c>
      <x:c r="X944" s="6" t="n">
        <x:v>15</x:v>
      </x:c>
      <x:c r="Y944" s="6" t="str">
        <x:v>Ferrari 296 Service &amp; Diagnostics Dubai | DIGI-TEC</x:v>
      </x:c>
      <x:c r="Z944" s="6" t="str"/>
      <x:c r="AA944" s="6" t="str">
        <x:v>No / not compared</x:v>
      </x:c>
    </x:row>
    <x:row r="945" ht="57" customHeight="1">
      <x:c r="A945" s="6" t="str">
        <x:v>https://digitecme.com/brands/ferrari-service-dubai/488</x:v>
      </x:c>
      <x:c r="B945" s="6" t="str"/>
      <x:c r="C945" s="6" t="str"/>
      <x:c r="D945" s="6" t="str">
        <x:v>service</x:v>
      </x:c>
      <x:c r="E945" s="6" t="str">
        <x:v>Retain differentiated role</x:v>
      </x:c>
      <x:c r="F945" s="6" t="str">
        <x:v>Local source render; live version unverified</x:v>
      </x:c>
      <x:c r="G945" s="6" t="str">
        <x:v>Ferrari 488 Service &amp; Repair Dubai | DIGI-TEC</x:v>
      </x:c>
      <x:c r="H945" s="6" t="str">
        <x:v>Ferrari 488 Service &amp; Repair Dubai | DIGI-TEC</x:v>
      </x:c>
      <x:c r="I945" s="6" t="str">
        <x:v>Ferrari 488 Service &amp; Repair Dubai</x:v>
      </x:c>
      <x:c r="J945" s="6" t="str">
        <x:v>Ferrari 488 Service &amp; Repair Dubai</x:v>
      </x:c>
      <x:c r="K945" s="6" t="str">
        <x:v>Ferrari 488 service and repair enquiries in Dubai for GTB, Spider and Pista models, covering F154 V8, 7-speed DCT, cooling, SCM suspension, brakes and diagnostics.</x:v>
      </x:c>
      <x:c r="L945" s="6" t="str">
        <x:v>Retain pending evidence; no specific content edit justified by this export.</x:v>
      </x:c>
      <x:c r="M945" s="6" t="str">
        <x:v>Retain; inspect relevant context before adding links</x:v>
      </x:c>
      <x:c r="N945" s="6" t="str">
        <x:v>Unconfirmed — no query/page pairing</x:v>
      </x:c>
      <x:c r="O945" s="6" t="str">
        <x:v>Retain established booking / WhatsApp / call path; live behaviour untested</x:v>
      </x:c>
      <x:c r="P945" s="6" t="str">
        <x:v>Retain canonical and indexation policy pending a live check.</x:v>
      </x:c>
      <x:c r="Q945" s="6" t="str">
        <x:v>Proposed; no website change made</x:v>
      </x:c>
      <x:c r="R945" s="14"/>
      <x:c r="S945" s="14"/>
      <x:c r="T945" s="15"/>
      <x:c r="U945" s="16"/>
      <x:c r="V945" s="6" t="str">
        <x:v>https://digitecme.com/brands/ferrari-service-dubai/488</x:v>
      </x:c>
      <x:c r="W945" s="6" t="str">
        <x:v>Indexable directive</x:v>
      </x:c>
      <x:c r="X945" s="6" t="n">
        <x:v>12</x:v>
      </x:c>
      <x:c r="Y945" s="6" t="str">
        <x:v>Ferrari 488 Service &amp; Repair Dubai | DIGI-TEC</x:v>
      </x:c>
      <x:c r="Z945" s="6" t="str"/>
      <x:c r="AA945" s="6" t="str">
        <x:v>No / not compared</x:v>
      </x:c>
    </x:row>
    <x:row r="946" ht="57" customHeight="1">
      <x:c r="A946" s="6" t="str">
        <x:v>https://digitecme.com/brands/ferrari-service-dubai/812</x:v>
      </x:c>
      <x:c r="B946" s="6" t="str"/>
      <x:c r="C946" s="6" t="str"/>
      <x:c r="D946" s="6" t="str">
        <x:v>service</x:v>
      </x:c>
      <x:c r="E946" s="6" t="str">
        <x:v>Retain differentiated role</x:v>
      </x:c>
      <x:c r="F946" s="6" t="str">
        <x:v>Local source render; live version unverified</x:v>
      </x:c>
      <x:c r="G946" s="6" t="str">
        <x:v>Ferrari 812 Service &amp; Repair Dubai | DIGI-TEC</x:v>
      </x:c>
      <x:c r="H946" s="6" t="str">
        <x:v>Ferrari 812 Service &amp; Repair Dubai | DIGI-TEC</x:v>
      </x:c>
      <x:c r="I946" s="6" t="str">
        <x:v>Ferrari 812 Service &amp; Repair Dubai</x:v>
      </x:c>
      <x:c r="J946" s="6" t="str">
        <x:v>Ferrari 812 Service &amp; Repair Dubai</x:v>
      </x:c>
      <x:c r="K946" s="6" t="str">
        <x:v>Ferrari 812 Superfast, GTS and Competizione service and repair enquiries in Dubai for 6.5 V12, 7-speed DCT, SCM-E, steering, cooling and diagnostics.</x:v>
      </x:c>
      <x:c r="L946" s="6" t="str">
        <x:v>Retain pending evidence; no specific content edit justified by this export.</x:v>
      </x:c>
      <x:c r="M946" s="6" t="str">
        <x:v>Retain; inspect relevant context before adding links</x:v>
      </x:c>
      <x:c r="N946" s="6" t="str">
        <x:v>Unconfirmed — no query/page pairing</x:v>
      </x:c>
      <x:c r="O946" s="6" t="str">
        <x:v>Retain established booking / WhatsApp / call path; live behaviour untested</x:v>
      </x:c>
      <x:c r="P946" s="6" t="str">
        <x:v>Retain canonical and indexation policy pending a live check.</x:v>
      </x:c>
      <x:c r="Q946" s="6" t="str">
        <x:v>Proposed; no website change made</x:v>
      </x:c>
      <x:c r="R946" s="14"/>
      <x:c r="S946" s="14"/>
      <x:c r="T946" s="15"/>
      <x:c r="U946" s="16"/>
      <x:c r="V946" s="6" t="str">
        <x:v>https://digitecme.com/brands/ferrari-service-dubai/812</x:v>
      </x:c>
      <x:c r="W946" s="6" t="str">
        <x:v>Indexable directive</x:v>
      </x:c>
      <x:c r="X946" s="6" t="n">
        <x:v>10</x:v>
      </x:c>
      <x:c r="Y946" s="6" t="str">
        <x:v>Ferrari 812 Service &amp; Repair Dubai | DIGI-TEC</x:v>
      </x:c>
      <x:c r="Z946" s="6" t="str"/>
      <x:c r="AA946" s="6" t="str">
        <x:v>No / not compared</x:v>
      </x:c>
    </x:row>
    <x:row r="947" ht="42" customHeight="1">
      <x:c r="A947" s="6" t="str">
        <x:v>https://digitecme.com/brands/ferrari-service-dubai/ac-repair</x:v>
      </x:c>
      <x:c r="B947" s="6" t="str"/>
      <x:c r="C947" s="6" t="str"/>
      <x:c r="D947" s="6" t="str">
        <x:v>brand-service</x:v>
      </x:c>
      <x:c r="E947" s="6" t="str">
        <x:v>Retain differentiated role</x:v>
      </x:c>
      <x:c r="F947" s="6" t="str">
        <x:v>Local source render; live version unverified</x:v>
      </x:c>
      <x:c r="G947" s="6" t="str">
        <x:v>Ferrari AC Repair Dubai | DIGI-TEC</x:v>
      </x:c>
      <x:c r="H947" s="6" t="str">
        <x:v>Ferrari AC Repair Dubai | DIGI-TEC</x:v>
      </x:c>
      <x:c r="I947" s="6" t="str">
        <x:v>Ferrari AC Repair Dubai</x:v>
      </x:c>
      <x:c r="J947" s="6" t="str">
        <x:v>Ferrari AC Repair Dubai</x:v>
      </x:c>
      <x:c r="K947" s="6" t="str">
        <x:v>Ferrari ac repair in Dubai with model-specific inspection, confirmed parts options and a clear quote at DIGI-TEC, Al Quoz.</x:v>
      </x:c>
      <x:c r="L947" s="6" t="str">
        <x:v>Retain pending evidence; no specific content edit justified by this export.</x:v>
      </x:c>
      <x:c r="M947" s="6" t="str">
        <x:v>Retain; inspect relevant context before adding links</x:v>
      </x:c>
      <x:c r="N947" s="6" t="str">
        <x:v>Unconfirmed — no query/page pairing</x:v>
      </x:c>
      <x:c r="O947" s="6" t="str">
        <x:v>Retain established booking / WhatsApp / call path; live behaviour untested</x:v>
      </x:c>
      <x:c r="P947" s="6" t="str">
        <x:v>Retain canonical and indexation policy pending a live check.</x:v>
      </x:c>
      <x:c r="Q947" s="6" t="str">
        <x:v>Proposed; no website change made</x:v>
      </x:c>
      <x:c r="R947" s="14" t="n">
        <x:v>0</x:v>
      </x:c>
      <x:c r="S947" s="14" t="n">
        <x:v>10</x:v>
      </x:c>
      <x:c r="T947" s="15" t="n">
        <x:v>0</x:v>
      </x:c>
      <x:c r="U947" s="16" t="n">
        <x:v>20.3</x:v>
      </x:c>
      <x:c r="V947" s="6" t="str">
        <x:v>https://digitecme.com/brands/ferrari-service-dubai/ac-repair</x:v>
      </x:c>
      <x:c r="W947" s="6" t="str">
        <x:v>Indexable directive</x:v>
      </x:c>
      <x:c r="X947" s="6" t="n">
        <x:v>24</x:v>
      </x:c>
      <x:c r="Y947" s="6" t="str">
        <x:v>Ferrari AC Repair Dubai | DIGI-TEC</x:v>
      </x:c>
      <x:c r="Z947" s="6" t="str"/>
      <x:c r="AA947" s="6" t="str">
        <x:v>No / not compared</x:v>
      </x:c>
    </x:row>
    <x:row r="948" ht="42" customHeight="1">
      <x:c r="A948" s="6" t="str">
        <x:v>https://digitecme.com/brands/ferrari-service-dubai/battery-replacement</x:v>
      </x:c>
      <x:c r="B948" s="6" t="str">
        <x:v>ferrari battery replacement dubai</x:v>
      </x:c>
      <x:c r="C948" s="6" t="str">
        <x:v>ferrari: Battery service</x:v>
      </x:c>
      <x:c r="D948" s="6" t="str">
        <x:v>brand-service</x:v>
      </x:c>
      <x:c r="E948" s="6" t="str">
        <x:v>Primary owner for assigned intent</x:v>
      </x:c>
      <x:c r="F948" s="6" t="str">
        <x:v>Local source render; live version unverified</x:v>
      </x:c>
      <x:c r="G948" s="6" t="str">
        <x:v>Ferrari Battery Replacement Dubai | DIGI-TEC</x:v>
      </x:c>
      <x:c r="H948" s="6" t="str">
        <x:v>Ferrari Battery Replacement Dubai | DIGI-TEC</x:v>
      </x:c>
      <x:c r="I948" s="6" t="str">
        <x:v>Ferrari Battery Replacement Dubai</x:v>
      </x:c>
      <x:c r="J948" s="6" t="str">
        <x:v>Ferrari Battery Replacement Dubai</x:v>
      </x:c>
      <x:c r="K948" s="6" t="str">
        <x:v>Ferrari battery replacement in Dubai with model-specific inspection, confirmed parts options and a clear quote at DIGI-TEC, Al Quoz.</x:v>
      </x:c>
      <x:c r="L948" s="6" t="str">
        <x:v>Retain pending evidence; no specific content edit justified by this export.</x:v>
      </x:c>
      <x:c r="M948" s="6" t="str">
        <x:v>Retain; inspect relevant context before adding links</x:v>
      </x:c>
      <x:c r="N948" s="6" t="str">
        <x:v>Unconfirmed — no query/page pairing</x:v>
      </x:c>
      <x:c r="O948" s="6" t="str">
        <x:v>Retain established booking / WhatsApp / call path; live behaviour untested</x:v>
      </x:c>
      <x:c r="P948" s="6" t="str">
        <x:v>Retain canonical and indexation policy pending a live check.</x:v>
      </x:c>
      <x:c r="Q948" s="6" t="str">
        <x:v>Proposed; no website change made</x:v>
      </x:c>
      <x:c r="R948" s="14" t="n">
        <x:v>0</x:v>
      </x:c>
      <x:c r="S948" s="14" t="n">
        <x:v>8</x:v>
      </x:c>
      <x:c r="T948" s="15" t="n">
        <x:v>0</x:v>
      </x:c>
      <x:c r="U948" s="16" t="n">
        <x:v>11.75</x:v>
      </x:c>
      <x:c r="V948" s="6" t="str">
        <x:v>https://digitecme.com/brands/ferrari-service-dubai/battery-replacement</x:v>
      </x:c>
      <x:c r="W948" s="6" t="str">
        <x:v>Indexable directive</x:v>
      </x:c>
      <x:c r="X948" s="6" t="n">
        <x:v>16</x:v>
      </x:c>
      <x:c r="Y948" s="6" t="str">
        <x:v>Ferrari Battery Replacement Dubai | DIGI-TEC</x:v>
      </x:c>
      <x:c r="Z948" s="6" t="str"/>
      <x:c r="AA948" s="6" t="str">
        <x:v>No / not compared</x:v>
      </x:c>
    </x:row>
    <x:row r="949" ht="42" customHeight="1">
      <x:c r="A949" s="6" t="str">
        <x:v>https://digitecme.com/brands/ferrari-service-dubai/body-repair</x:v>
      </x:c>
      <x:c r="B949" s="6" t="str">
        <x:v>ferrari auto body shop</x:v>
      </x:c>
      <x:c r="C949" s="6" t="str">
        <x:v>ferrari: Body repair</x:v>
      </x:c>
      <x:c r="D949" s="6" t="str">
        <x:v>brand-service</x:v>
      </x:c>
      <x:c r="E949" s="6" t="str">
        <x:v>Primary owner for assigned intent</x:v>
      </x:c>
      <x:c r="F949" s="6" t="str">
        <x:v>Local source render; live version unverified</x:v>
      </x:c>
      <x:c r="G949" s="6" t="str">
        <x:v>Ferrari Body Repair Dubai | DIGI-TEC</x:v>
      </x:c>
      <x:c r="H949" s="6" t="str">
        <x:v>Ferrari Body Repair Dubai | DIGI-TEC</x:v>
      </x:c>
      <x:c r="I949" s="6" t="str">
        <x:v>Ferrari Body Repair Dubai</x:v>
      </x:c>
      <x:c r="J949" s="6" t="str">
        <x:v>Ferrari Body Repair Dubai</x:v>
      </x:c>
      <x:c r="K949" s="6" t="str">
        <x:v>Ferrari body repair in Dubai with model-specific inspection, confirmed parts options and a clear quote at DIGI-TEC, Al Quoz.</x:v>
      </x:c>
      <x:c r="L949" s="6" t="str">
        <x:v>Retain pending evidence; no specific content edit justified by this export.</x:v>
      </x:c>
      <x:c r="M949" s="6" t="str">
        <x:v>Retain; inspect relevant context before adding links</x:v>
      </x:c>
      <x:c r="N949" s="6" t="str">
        <x:v>Unconfirmed — no query/page pairing</x:v>
      </x:c>
      <x:c r="O949" s="6" t="str">
        <x:v>Retain established booking / WhatsApp / call path; live behaviour untested</x:v>
      </x:c>
      <x:c r="P949" s="6" t="str">
        <x:v>Retain canonical and indexation policy pending a live check.</x:v>
      </x:c>
      <x:c r="Q949" s="6" t="str">
        <x:v>Proposed; no website change made</x:v>
      </x:c>
      <x:c r="R949" s="14" t="n">
        <x:v>0</x:v>
      </x:c>
      <x:c r="S949" s="14" t="n">
        <x:v>20</x:v>
      </x:c>
      <x:c r="T949" s="15" t="n">
        <x:v>0</x:v>
      </x:c>
      <x:c r="U949" s="16" t="n">
        <x:v>15.05</x:v>
      </x:c>
      <x:c r="V949" s="6" t="str">
        <x:v>https://digitecme.com/brands/ferrari-service-dubai/body-repair</x:v>
      </x:c>
      <x:c r="W949" s="6" t="str">
        <x:v>Indexable directive</x:v>
      </x:c>
      <x:c r="X949" s="6" t="n">
        <x:v>16</x:v>
      </x:c>
      <x:c r="Y949" s="6" t="str">
        <x:v>Ferrari Body Repair Dubai | DIGI-TEC</x:v>
      </x:c>
      <x:c r="Z949" s="6" t="str"/>
      <x:c r="AA949" s="6" t="str">
        <x:v>No / not compared</x:v>
      </x:c>
    </x:row>
    <x:row r="950" ht="42" customHeight="1">
      <x:c r="A950" s="6" t="str">
        <x:v>https://digitecme.com/brands/ferrari-service-dubai/brake-repair</x:v>
      </x:c>
      <x:c r="B950" s="6" t="str">
        <x:v>ferrari brake repair dubai</x:v>
      </x:c>
      <x:c r="C950" s="6" t="str">
        <x:v>ferrari: Brake repair</x:v>
      </x:c>
      <x:c r="D950" s="6" t="str">
        <x:v>brand-service</x:v>
      </x:c>
      <x:c r="E950" s="6" t="str">
        <x:v>Primary owner for assigned intent</x:v>
      </x:c>
      <x:c r="F950" s="6" t="str">
        <x:v>Local source render; live version unverified</x:v>
      </x:c>
      <x:c r="G950" s="6" t="str">
        <x:v>Ferrari Brake Repair Dubai | DIGI-TEC</x:v>
      </x:c>
      <x:c r="H950" s="6" t="str">
        <x:v>Ferrari Brake Repair Dubai | DIGI-TEC</x:v>
      </x:c>
      <x:c r="I950" s="6" t="str">
        <x:v>Ferrari Brake Repair Dubai</x:v>
      </x:c>
      <x:c r="J950" s="6" t="str">
        <x:v>Ferrari Brake Repair Dubai</x:v>
      </x:c>
      <x:c r="K950" s="6" t="str">
        <x:v>Ferrari brake repair in Dubai with model-specific inspection, confirmed parts options and a clear quote at DIGI-TEC, Al Quoz.</x:v>
      </x:c>
      <x:c r="L950" s="6" t="str">
        <x:v>Retain pending evidence; no specific content edit justified by this export.</x:v>
      </x:c>
      <x:c r="M950" s="6" t="str">
        <x:v>Retain; inspect relevant context before adding links</x:v>
      </x:c>
      <x:c r="N950" s="6" t="str">
        <x:v>Unconfirmed — no query/page pairing</x:v>
      </x:c>
      <x:c r="O950" s="6" t="str">
        <x:v>Retain established booking / WhatsApp / call path; live behaviour untested</x:v>
      </x:c>
      <x:c r="P950" s="6" t="str">
        <x:v>Retain canonical and indexation policy pending a live check.</x:v>
      </x:c>
      <x:c r="Q950" s="6" t="str">
        <x:v>Proposed; no website change made</x:v>
      </x:c>
      <x:c r="R950" s="14" t="n">
        <x:v>0</x:v>
      </x:c>
      <x:c r="S950" s="14" t="n">
        <x:v>21</x:v>
      </x:c>
      <x:c r="T950" s="15" t="n">
        <x:v>0</x:v>
      </x:c>
      <x:c r="U950" s="16" t="n">
        <x:v>30.43</x:v>
      </x:c>
      <x:c r="V950" s="6" t="str">
        <x:v>https://digitecme.com/brands/ferrari-service-dubai/brake-repair</x:v>
      </x:c>
      <x:c r="W950" s="6" t="str">
        <x:v>Indexable directive</x:v>
      </x:c>
      <x:c r="X950" s="6" t="n">
        <x:v>25</x:v>
      </x:c>
      <x:c r="Y950" s="6" t="str">
        <x:v>Ferrari Brake Repair Dubai | DIGI-TEC</x:v>
      </x:c>
      <x:c r="Z950" s="6" t="str"/>
      <x:c r="AA950" s="6" t="str">
        <x:v>No / not compared</x:v>
      </x:c>
    </x:row>
    <x:row r="951" ht="42" customHeight="1">
      <x:c r="A951" s="6" t="str">
        <x:v>https://digitecme.com/brands/ferrari-service-dubai/electrical-repair</x:v>
      </x:c>
      <x:c r="B951" s="6" t="str"/>
      <x:c r="C951" s="6" t="str"/>
      <x:c r="D951" s="6" t="str">
        <x:v>brand-service</x:v>
      </x:c>
      <x:c r="E951" s="6" t="str">
        <x:v>Retain differentiated role</x:v>
      </x:c>
      <x:c r="F951" s="6" t="str">
        <x:v>Local source render; live version unverified</x:v>
      </x:c>
      <x:c r="G951" s="6" t="str">
        <x:v>Ferrari Electrical Repair Dubai | DIGI-TEC</x:v>
      </x:c>
      <x:c r="H951" s="6" t="str">
        <x:v>Ferrari Electrical Repair Dubai | DIGI-TEC</x:v>
      </x:c>
      <x:c r="I951" s="6" t="str">
        <x:v>Ferrari Electrical Repair Dubai</x:v>
      </x:c>
      <x:c r="J951" s="6" t="str">
        <x:v>Ferrari Electrical Repair Dubai</x:v>
      </x:c>
      <x:c r="K951" s="6" t="str">
        <x:v>Ferrari electrical repair in Dubai with model-specific inspection, confirmed parts options and a clear quote at DIGI-TEC, Al Quoz.</x:v>
      </x:c>
      <x:c r="L951" s="6" t="str">
        <x:v>Retain pending evidence; no specific content edit justified by this export.</x:v>
      </x:c>
      <x:c r="M951" s="6" t="str">
        <x:v>Retain; inspect relevant context before adding links</x:v>
      </x:c>
      <x:c r="N951" s="6" t="str">
        <x:v>Unconfirmed — no query/page pairing</x:v>
      </x:c>
      <x:c r="O951" s="6" t="str">
        <x:v>Retain established booking / WhatsApp / call path; live behaviour untested</x:v>
      </x:c>
      <x:c r="P951" s="6" t="str">
        <x:v>Retain canonical and indexation policy pending a live check.</x:v>
      </x:c>
      <x:c r="Q951" s="6" t="str">
        <x:v>Proposed; no website change made</x:v>
      </x:c>
      <x:c r="R951" s="14" t="n">
        <x:v>0</x:v>
      </x:c>
      <x:c r="S951" s="14" t="n">
        <x:v>6</x:v>
      </x:c>
      <x:c r="T951" s="15" t="n">
        <x:v>0</x:v>
      </x:c>
      <x:c r="U951" s="16" t="n">
        <x:v>10.17</x:v>
      </x:c>
      <x:c r="V951" s="6" t="str">
        <x:v>https://digitecme.com/brands/ferrari-service-dubai/electrical-repair</x:v>
      </x:c>
      <x:c r="W951" s="6" t="str">
        <x:v>Indexable directive</x:v>
      </x:c>
      <x:c r="X951" s="6" t="n">
        <x:v>22</x:v>
      </x:c>
      <x:c r="Y951" s="6" t="str">
        <x:v>Ferrari Electrical Repair Dubai | DIGI-TEC</x:v>
      </x:c>
      <x:c r="Z951" s="6" t="str"/>
      <x:c r="AA951" s="6" t="str">
        <x:v>No / not compared</x:v>
      </x:c>
    </x:row>
    <x:row r="952" ht="42" customHeight="1">
      <x:c r="A952" s="6" t="str">
        <x:v>https://digitecme.com/brands/ferrari-service-dubai/engine-diagnostics</x:v>
      </x:c>
      <x:c r="B952" s="6" t="str"/>
      <x:c r="C952" s="6" t="str"/>
      <x:c r="D952" s="6" t="str">
        <x:v>brand-service</x:v>
      </x:c>
      <x:c r="E952" s="6" t="str">
        <x:v>Retain differentiated role</x:v>
      </x:c>
      <x:c r="F952" s="6" t="str">
        <x:v>Local source render; live version unverified</x:v>
      </x:c>
      <x:c r="G952" s="6" t="str">
        <x:v>Ferrari Engine Diagnostics Dubai | DIGI-TEC</x:v>
      </x:c>
      <x:c r="H952" s="6" t="str">
        <x:v>Ferrari Engine Diagnostics Dubai | DIGI-TEC</x:v>
      </x:c>
      <x:c r="I952" s="6" t="str">
        <x:v>Ferrari Engine Diagnostics Dubai</x:v>
      </x:c>
      <x:c r="J952" s="6" t="str">
        <x:v>Ferrari Engine Diagnostics Dubai</x:v>
      </x:c>
      <x:c r="K952" s="6" t="str">
        <x:v>Ferrari engine diagnostics in Dubai with model-specific inspection, confirmed parts options and a clear quote at DIGI-TEC, Al Quoz.</x:v>
      </x:c>
      <x:c r="L952" s="6" t="str">
        <x:v>Retain pending evidence; no specific content edit justified by this export.</x:v>
      </x:c>
      <x:c r="M952" s="6" t="str">
        <x:v>Retain; inspect relevant context before adding links</x:v>
      </x:c>
      <x:c r="N952" s="6" t="str">
        <x:v>Unconfirmed — no query/page pairing</x:v>
      </x:c>
      <x:c r="O952" s="6" t="str">
        <x:v>Retain established booking / WhatsApp / call path; live behaviour untested</x:v>
      </x:c>
      <x:c r="P952" s="6" t="str">
        <x:v>Retain canonical and indexation policy pending a live check.</x:v>
      </x:c>
      <x:c r="Q952" s="6" t="str">
        <x:v>Proposed; no website change made</x:v>
      </x:c>
      <x:c r="R952" s="14" t="n">
        <x:v>0</x:v>
      </x:c>
      <x:c r="S952" s="14" t="n">
        <x:v>22</x:v>
      </x:c>
      <x:c r="T952" s="15" t="n">
        <x:v>0</x:v>
      </x:c>
      <x:c r="U952" s="16" t="n">
        <x:v>3.68</x:v>
      </x:c>
      <x:c r="V952" s="6" t="str">
        <x:v>https://digitecme.com/brands/ferrari-service-dubai/engine-diagnostics</x:v>
      </x:c>
      <x:c r="W952" s="6" t="str">
        <x:v>Indexable directive</x:v>
      </x:c>
      <x:c r="X952" s="6" t="n">
        <x:v>25</x:v>
      </x:c>
      <x:c r="Y952" s="6" t="str">
        <x:v>Ferrari Engine Diagnostics Dubai | DIGI-TEC</x:v>
      </x:c>
      <x:c r="Z952" s="6" t="str"/>
      <x:c r="AA952" s="6" t="str">
        <x:v>No / not compared</x:v>
      </x:c>
    </x:row>
    <x:row r="953" ht="42" customHeight="1">
      <x:c r="A953" s="6" t="str">
        <x:v>https://digitecme.com/brands/ferrari-service-dubai/exhaust-repair</x:v>
      </x:c>
      <x:c r="B953" s="6" t="str"/>
      <x:c r="C953" s="6" t="str"/>
      <x:c r="D953" s="6" t="str">
        <x:v>brand-service</x:v>
      </x:c>
      <x:c r="E953" s="6" t="str">
        <x:v>Retain differentiated role</x:v>
      </x:c>
      <x:c r="F953" s="6" t="str">
        <x:v>Local source render; live version unverified</x:v>
      </x:c>
      <x:c r="G953" s="6" t="str">
        <x:v>Ferrari Exhaust Repair Dubai | DIGI-TEC</x:v>
      </x:c>
      <x:c r="H953" s="6" t="str">
        <x:v>Ferrari Exhaust Repair Dubai | DIGI-TEC</x:v>
      </x:c>
      <x:c r="I953" s="6" t="str">
        <x:v>Ferrari Exhaust Repair Dubai</x:v>
      </x:c>
      <x:c r="J953" s="6" t="str">
        <x:v>Ferrari Exhaust Repair Dubai</x:v>
      </x:c>
      <x:c r="K953" s="6" t="str">
        <x:v>Ferrari exhaust repair in Dubai with model-specific inspection, confirmed parts options and a clear quote at DIGI-TEC, Al Quoz.</x:v>
      </x:c>
      <x:c r="L953" s="6" t="str">
        <x:v>Retain pending evidence; no specific content edit justified by this export.</x:v>
      </x:c>
      <x:c r="M953" s="6" t="str">
        <x:v>Retain; inspect relevant context before adding links</x:v>
      </x:c>
      <x:c r="N953" s="6" t="str">
        <x:v>Unconfirmed — no query/page pairing</x:v>
      </x:c>
      <x:c r="O953" s="6" t="str">
        <x:v>Retain established booking / WhatsApp / call path; live behaviour untested</x:v>
      </x:c>
      <x:c r="P953" s="6" t="str">
        <x:v>Retain canonical and indexation policy pending a live check.</x:v>
      </x:c>
      <x:c r="Q953" s="6" t="str">
        <x:v>Proposed; no website change made</x:v>
      </x:c>
      <x:c r="R953" s="14"/>
      <x:c r="S953" s="14"/>
      <x:c r="T953" s="15"/>
      <x:c r="U953" s="16"/>
      <x:c r="V953" s="6" t="str">
        <x:v>https://digitecme.com/brands/ferrari-service-dubai/exhaust-repair</x:v>
      </x:c>
      <x:c r="W953" s="6" t="str">
        <x:v>Indexable directive</x:v>
      </x:c>
      <x:c r="X953" s="6" t="n">
        <x:v>16</x:v>
      </x:c>
      <x:c r="Y953" s="6" t="str">
        <x:v>Ferrari Exhaust Repair Dubai | DIGI-TEC</x:v>
      </x:c>
      <x:c r="Z953" s="6" t="str"/>
      <x:c r="AA953" s="6" t="str">
        <x:v>No / not compared</x:v>
      </x:c>
    </x:row>
    <x:row r="954" ht="57" customHeight="1">
      <x:c r="A954" s="6" t="str">
        <x:v>https://digitecme.com/brands/ferrari-service-dubai/f8-tributo</x:v>
      </x:c>
      <x:c r="B954" s="6" t="str"/>
      <x:c r="C954" s="6" t="str"/>
      <x:c r="D954" s="6" t="str">
        <x:v>service</x:v>
      </x:c>
      <x:c r="E954" s="6" t="str">
        <x:v>Retain differentiated role</x:v>
      </x:c>
      <x:c r="F954" s="6" t="str">
        <x:v>Local source render; live version unverified</x:v>
      </x:c>
      <x:c r="G954" s="6" t="str">
        <x:v>Ferrari F8 Tributo Service &amp; Repair Dubai | DIGI-TEC</x:v>
      </x:c>
      <x:c r="H954" s="6" t="str">
        <x:v>Ferrari F8 Tributo Service &amp; Repair Dubai | DIGI-TEC</x:v>
      </x:c>
      <x:c r="I954" s="6" t="str">
        <x:v>Ferrari F8 Tributo Service &amp; Repair Dubai</x:v>
      </x:c>
      <x:c r="J954" s="6" t="str">
        <x:v>Ferrari F8 Tributo Service &amp; Repair Dubai</x:v>
      </x:c>
      <x:c r="K954" s="6" t="str">
        <x:v>Ferrari F8 Tributo and F8 Spider service and repair enquiries in Dubai, covering F154 V8, 7-speed DCT, cooling, SCM-E, FDE+, brakes, AC and diagnostics.</x:v>
      </x:c>
      <x:c r="L954" s="6" t="str">
        <x:v>Retain pending evidence; no specific content edit justified by this export.</x:v>
      </x:c>
      <x:c r="M954" s="6" t="str">
        <x:v>Retain; inspect relevant context before adding links</x:v>
      </x:c>
      <x:c r="N954" s="6" t="str">
        <x:v>Unconfirmed — no query/page pairing</x:v>
      </x:c>
      <x:c r="O954" s="6" t="str">
        <x:v>Retain established booking / WhatsApp / call path; live behaviour untested</x:v>
      </x:c>
      <x:c r="P954" s="6" t="str">
        <x:v>Retain canonical and indexation policy pending a live check.</x:v>
      </x:c>
      <x:c r="Q954" s="6" t="str">
        <x:v>Proposed; no website change made</x:v>
      </x:c>
      <x:c r="R954" s="14"/>
      <x:c r="S954" s="14"/>
      <x:c r="T954" s="15"/>
      <x:c r="U954" s="16"/>
      <x:c r="V954" s="6" t="str">
        <x:v>https://digitecme.com/brands/ferrari-service-dubai/f8-tributo</x:v>
      </x:c>
      <x:c r="W954" s="6" t="str">
        <x:v>Indexable directive</x:v>
      </x:c>
      <x:c r="X954" s="6" t="n">
        <x:v>11</x:v>
      </x:c>
      <x:c r="Y954" s="6" t="str">
        <x:v>Ferrari F8 Tributo Service &amp; Repair Dubai | DIGI-TEC</x:v>
      </x:c>
      <x:c r="Z954" s="6" t="str"/>
      <x:c r="AA954" s="6" t="str">
        <x:v>No / not compared</x:v>
      </x:c>
    </x:row>
    <x:row r="955" ht="42" customHeight="1">
      <x:c r="A955" s="6" t="str">
        <x:v>https://digitecme.com/brands/ferrari-service-dubai/fuel-system-repair</x:v>
      </x:c>
      <x:c r="B955" s="6" t="str"/>
      <x:c r="C955" s="6" t="str"/>
      <x:c r="D955" s="6" t="str">
        <x:v>brand-service</x:v>
      </x:c>
      <x:c r="E955" s="6" t="str">
        <x:v>Retain differentiated role</x:v>
      </x:c>
      <x:c r="F955" s="6" t="str">
        <x:v>Local source render; live version unverified</x:v>
      </x:c>
      <x:c r="G955" s="6" t="str">
        <x:v>Ferrari Fuel System Repair Dubai | DIGI-TEC</x:v>
      </x:c>
      <x:c r="H955" s="6" t="str">
        <x:v>Ferrari Fuel System Repair Dubai | DIGI-TEC</x:v>
      </x:c>
      <x:c r="I955" s="6" t="str">
        <x:v>Ferrari Fuel System Repair Dubai</x:v>
      </x:c>
      <x:c r="J955" s="6" t="str">
        <x:v>Ferrari Fuel System Repair Dubai</x:v>
      </x:c>
      <x:c r="K955" s="6" t="str">
        <x:v>Ferrari fuel system repair in Dubai with model-specific inspection, confirmed parts options and a clear quote at DIGI-TEC, Al Quoz.</x:v>
      </x:c>
      <x:c r="L955" s="6" t="str">
        <x:v>Retain pending evidence; no specific content edit justified by this export.</x:v>
      </x:c>
      <x:c r="M955" s="6" t="str">
        <x:v>Retain; inspect relevant context before adding links</x:v>
      </x:c>
      <x:c r="N955" s="6" t="str">
        <x:v>Unconfirmed — no query/page pairing</x:v>
      </x:c>
      <x:c r="O955" s="6" t="str">
        <x:v>Retain established booking / WhatsApp / call path; live behaviour untested</x:v>
      </x:c>
      <x:c r="P955" s="6" t="str">
        <x:v>Retain canonical and indexation policy pending a live check.</x:v>
      </x:c>
      <x:c r="Q955" s="6" t="str">
        <x:v>Proposed; no website change made</x:v>
      </x:c>
      <x:c r="R955" s="14"/>
      <x:c r="S955" s="14"/>
      <x:c r="T955" s="15"/>
      <x:c r="U955" s="16"/>
      <x:c r="V955" s="6" t="str">
        <x:v>https://digitecme.com/brands/ferrari-service-dubai/fuel-system-repair</x:v>
      </x:c>
      <x:c r="W955" s="6" t="str">
        <x:v>Indexable directive</x:v>
      </x:c>
      <x:c r="X955" s="6" t="n">
        <x:v>16</x:v>
      </x:c>
      <x:c r="Y955" s="6" t="str">
        <x:v>Ferrari Fuel System Repair Dubai | DIGI-TEC</x:v>
      </x:c>
      <x:c r="Z955" s="6" t="str"/>
      <x:c r="AA955" s="6" t="str">
        <x:v>No / not compared</x:v>
      </x:c>
    </x:row>
    <x:row r="956" ht="42" customHeight="1">
      <x:c r="A956" s="6" t="str">
        <x:v>https://digitecme.com/brands/ferrari-service-dubai/mechanical-repair</x:v>
      </x:c>
      <x:c r="B956" s="6" t="str">
        <x:v>ferrari engine repair dubai</x:v>
      </x:c>
      <x:c r="C956" s="6" t="str">
        <x:v>ferrari: Engine and mechanical repair</x:v>
      </x:c>
      <x:c r="D956" s="6" t="str">
        <x:v>brand-service</x:v>
      </x:c>
      <x:c r="E956" s="6" t="str">
        <x:v>Primary owner for assigned intent</x:v>
      </x:c>
      <x:c r="F956" s="6" t="str">
        <x:v>Local source render; live version unverified</x:v>
      </x:c>
      <x:c r="G956" s="6" t="str">
        <x:v>Ferrari Mechanical Repair Dubai | DIGI-TEC</x:v>
      </x:c>
      <x:c r="H956" s="6" t="str">
        <x:v>Ferrari Mechanical Repair Dubai | DIGI-TEC</x:v>
      </x:c>
      <x:c r="I956" s="6" t="str">
        <x:v>Ferrari Mechanical Repair Dubai</x:v>
      </x:c>
      <x:c r="J956" s="6" t="str">
        <x:v>Ferrari Mechanical Repair Dubai</x:v>
      </x:c>
      <x:c r="K956" s="6" t="str">
        <x:v>Ferrari mechanical repair in Dubai with model-specific inspection, confirmed parts options and a clear quote at DIGI-TEC, Al Quoz.</x:v>
      </x:c>
      <x:c r="L956" s="6" t="str">
        <x:v>Retain pending evidence; no specific content edit justified by this export.</x:v>
      </x:c>
      <x:c r="M956" s="6" t="str">
        <x:v>Retain; inspect relevant context before adding links</x:v>
      </x:c>
      <x:c r="N956" s="6" t="str">
        <x:v>Unconfirmed — no query/page pairing</x:v>
      </x:c>
      <x:c r="O956" s="6" t="str">
        <x:v>Retain established booking / WhatsApp / call path; live behaviour untested</x:v>
      </x:c>
      <x:c r="P956" s="6" t="str">
        <x:v>Retain canonical and indexation policy pending a live check.</x:v>
      </x:c>
      <x:c r="Q956" s="6" t="str">
        <x:v>Proposed; no website change made</x:v>
      </x:c>
      <x:c r="R956" s="14"/>
      <x:c r="S956" s="14"/>
      <x:c r="T956" s="15"/>
      <x:c r="U956" s="16"/>
      <x:c r="V956" s="6" t="str">
        <x:v>https://digitecme.com/brands/ferrari-service-dubai/mechanical-repair</x:v>
      </x:c>
      <x:c r="W956" s="6" t="str">
        <x:v>Indexable directive</x:v>
      </x:c>
      <x:c r="X956" s="6" t="n">
        <x:v>16</x:v>
      </x:c>
      <x:c r="Y956" s="6" t="str">
        <x:v>Ferrari Mechanical Repair Dubai | DIGI-TEC</x:v>
      </x:c>
      <x:c r="Z956" s="6" t="str"/>
      <x:c r="AA956" s="6" t="str">
        <x:v>No / not compared</x:v>
      </x:c>
    </x:row>
    <x:row r="957" ht="42" customHeight="1">
      <x:c r="A957" s="6" t="str">
        <x:v>https://digitecme.com/brands/ferrari-service-dubai/oil-change</x:v>
      </x:c>
      <x:c r="B957" s="6" t="str">
        <x:v>ferrari oil change in dubai</x:v>
      </x:c>
      <x:c r="C957" s="6" t="str">
        <x:v>ferrari: Oil change</x:v>
      </x:c>
      <x:c r="D957" s="6" t="str">
        <x:v>brand-service</x:v>
      </x:c>
      <x:c r="E957" s="6" t="str">
        <x:v>Primary owner for assigned intent</x:v>
      </x:c>
      <x:c r="F957" s="6" t="str">
        <x:v>Local source render; live version unverified</x:v>
      </x:c>
      <x:c r="G957" s="6" t="str">
        <x:v>Ferrari Oil Change Dubai | DIGI-TEC</x:v>
      </x:c>
      <x:c r="H957" s="6" t="str">
        <x:v>Ferrari Oil Change Dubai | DIGI-TEC</x:v>
      </x:c>
      <x:c r="I957" s="6" t="str">
        <x:v>Ferrari Oil Change Dubai</x:v>
      </x:c>
      <x:c r="J957" s="6" t="str">
        <x:v>Ferrari Oil Change Dubai</x:v>
      </x:c>
      <x:c r="K957" s="6" t="str">
        <x:v>Ferrari oil change in Dubai with model-specific inspection, confirmed parts options and a clear quote at DIGI-TEC, Al Quoz.</x:v>
      </x:c>
      <x:c r="L957" s="6" t="str">
        <x:v>Retain pending evidence; no specific content edit justified by this export.</x:v>
      </x:c>
      <x:c r="M957" s="6" t="str">
        <x:v>Retain; inspect relevant context before adding links</x:v>
      </x:c>
      <x:c r="N957" s="6" t="str">
        <x:v>Unconfirmed — no query/page pairing</x:v>
      </x:c>
      <x:c r="O957" s="6" t="str">
        <x:v>Retain established booking / WhatsApp / call path; live behaviour untested</x:v>
      </x:c>
      <x:c r="P957" s="6" t="str">
        <x:v>Retain canonical and indexation policy pending a live check.</x:v>
      </x:c>
      <x:c r="Q957" s="6" t="str">
        <x:v>Proposed; no website change made</x:v>
      </x:c>
      <x:c r="R957" s="14"/>
      <x:c r="S957" s="14"/>
      <x:c r="T957" s="15"/>
      <x:c r="U957" s="16"/>
      <x:c r="V957" s="6" t="str">
        <x:v>https://digitecme.com/brands/ferrari-service-dubai/oil-change</x:v>
      </x:c>
      <x:c r="W957" s="6" t="str">
        <x:v>Indexable directive</x:v>
      </x:c>
      <x:c r="X957" s="6" t="n">
        <x:v>25</x:v>
      </x:c>
      <x:c r="Y957" s="6" t="str">
        <x:v>Ferrari Oil Change Dubai | DIGI-TEC</x:v>
      </x:c>
      <x:c r="Z957" s="6" t="str"/>
      <x:c r="AA957" s="6" t="str">
        <x:v>No / not compared</x:v>
      </x:c>
    </x:row>
    <x:row r="958" ht="57" customHeight="1">
      <x:c r="A958" s="6" t="str">
        <x:v>https://digitecme.com/brands/ferrari-service-dubai/portofino</x:v>
      </x:c>
      <x:c r="B958" s="6" t="str"/>
      <x:c r="C958" s="6" t="str"/>
      <x:c r="D958" s="6" t="str">
        <x:v>service</x:v>
      </x:c>
      <x:c r="E958" s="6" t="str">
        <x:v>Retain differentiated role</x:v>
      </x:c>
      <x:c r="F958" s="6" t="str">
        <x:v>Local source render; live version unverified</x:v>
      </x:c>
      <x:c r="G958" s="6" t="str">
        <x:v>Ferrari Portofino Service &amp; Repair Dubai | DIGI-TEC</x:v>
      </x:c>
      <x:c r="H958" s="6" t="str">
        <x:v>Ferrari Portofino Service &amp; Repair Dubai | DIGI-TEC</x:v>
      </x:c>
      <x:c r="I958" s="6" t="str">
        <x:v>Ferrari Portofino Service &amp; Repair Dubai</x:v>
      </x:c>
      <x:c r="J958" s="6" t="str">
        <x:v>Ferrari Portofino Service &amp; Repair Dubai</x:v>
      </x:c>
      <x:c r="K958" s="6" t="str">
        <x:v>Ferrari Portofino and Portofino M service and repair enquiries in Dubai for V8, 7- or 8-speed DCT, retractable roof, SCM-E, cooling, AC and diagnostics.</x:v>
      </x:c>
      <x:c r="L958" s="6" t="str">
        <x:v>Retain pending evidence; no specific content edit justified by this export.</x:v>
      </x:c>
      <x:c r="M958" s="6" t="str">
        <x:v>Retain; inspect relevant context before adding links</x:v>
      </x:c>
      <x:c r="N958" s="6" t="str">
        <x:v>Unconfirmed — no query/page pairing</x:v>
      </x:c>
      <x:c r="O958" s="6" t="str">
        <x:v>Retain established booking / WhatsApp / call path; live behaviour untested</x:v>
      </x:c>
      <x:c r="P958" s="6" t="str">
        <x:v>Retain canonical and indexation policy pending a live check.</x:v>
      </x:c>
      <x:c r="Q958" s="6" t="str">
        <x:v>Proposed; no website change made</x:v>
      </x:c>
      <x:c r="R958" s="14"/>
      <x:c r="S958" s="14"/>
      <x:c r="T958" s="15"/>
      <x:c r="U958" s="16"/>
      <x:c r="V958" s="6" t="str">
        <x:v>https://digitecme.com/brands/ferrari-service-dubai/portofino</x:v>
      </x:c>
      <x:c r="W958" s="6" t="str">
        <x:v>Indexable directive</x:v>
      </x:c>
      <x:c r="X958" s="6" t="n">
        <x:v>10</x:v>
      </x:c>
      <x:c r="Y958" s="6" t="str">
        <x:v>Ferrari Portofino Service &amp; Repair Dubai | DIGI-TEC</x:v>
      </x:c>
      <x:c r="Z958" s="6" t="str"/>
      <x:c r="AA958" s="6" t="str">
        <x:v>No / not compared</x:v>
      </x:c>
    </x:row>
    <x:row r="959" ht="57" customHeight="1">
      <x:c r="A959" s="6" t="str">
        <x:v>https://digitecme.com/brands/ferrari-service-dubai/purosangue</x:v>
      </x:c>
      <x:c r="B959" s="6" t="str"/>
      <x:c r="C959" s="6" t="str"/>
      <x:c r="D959" s="6" t="str">
        <x:v>service</x:v>
      </x:c>
      <x:c r="E959" s="6" t="str">
        <x:v>Retain differentiated role</x:v>
      </x:c>
      <x:c r="F959" s="6" t="str">
        <x:v>Local source render; live version unverified</x:v>
      </x:c>
      <x:c r="G959" s="6" t="str">
        <x:v>Ferrari Purosangue Service &amp; Repair Dubai | DIGI-TEC</x:v>
      </x:c>
      <x:c r="H959" s="6" t="str">
        <x:v>Ferrari Purosangue Service &amp; Repair Dubai | DIGI-TEC</x:v>
      </x:c>
      <x:c r="I959" s="6" t="str">
        <x:v>Ferrari Purosangue Service &amp; Repair Dubai</x:v>
      </x:c>
      <x:c r="J959" s="6" t="str">
        <x:v>Ferrari Purosangue Service &amp; Repair Dubai</x:v>
      </x:c>
      <x:c r="K959" s="6" t="str">
        <x:v>Ferrari Purosangue service and diagnostic enquiries in Dubai for 6.5 V12, 8-speed DCT, 4RM-S evo, TASV active suspension, cooling, brakes and electronics.</x:v>
      </x:c>
      <x:c r="L959" s="6" t="str">
        <x:v>Retain pending evidence; no specific content edit justified by this export.</x:v>
      </x:c>
      <x:c r="M959" s="6" t="str">
        <x:v>Retain; inspect relevant context before adding links</x:v>
      </x:c>
      <x:c r="N959" s="6" t="str">
        <x:v>Unconfirmed — no query/page pairing</x:v>
      </x:c>
      <x:c r="O959" s="6" t="str">
        <x:v>Retain established booking / WhatsApp / call path; live behaviour untested</x:v>
      </x:c>
      <x:c r="P959" s="6" t="str">
        <x:v>Retain canonical and indexation policy pending a live check.</x:v>
      </x:c>
      <x:c r="Q959" s="6" t="str">
        <x:v>Proposed; no website change made</x:v>
      </x:c>
      <x:c r="R959" s="14"/>
      <x:c r="S959" s="14"/>
      <x:c r="T959" s="15"/>
      <x:c r="U959" s="16"/>
      <x:c r="V959" s="6" t="str">
        <x:v>https://digitecme.com/brands/ferrari-service-dubai/purosangue</x:v>
      </x:c>
      <x:c r="W959" s="6" t="str">
        <x:v>Indexable directive</x:v>
      </x:c>
      <x:c r="X959" s="6" t="n">
        <x:v>17</x:v>
      </x:c>
      <x:c r="Y959" s="6" t="str">
        <x:v>Ferrari Purosangue Service &amp; Repair Dubai | DIGI-TEC</x:v>
      </x:c>
      <x:c r="Z959" s="6" t="str"/>
      <x:c r="AA959" s="6" t="str">
        <x:v>No / not compared</x:v>
      </x:c>
    </x:row>
    <x:row r="960" ht="57" customHeight="1">
      <x:c r="A960" s="6" t="str">
        <x:v>https://digitecme.com/brands/ferrari-service-dubai/roma</x:v>
      </x:c>
      <x:c r="B960" s="6" t="str"/>
      <x:c r="C960" s="6" t="str"/>
      <x:c r="D960" s="6" t="str">
        <x:v>service</x:v>
      </x:c>
      <x:c r="E960" s="6" t="str">
        <x:v>Retain differentiated role</x:v>
      </x:c>
      <x:c r="F960" s="6" t="str">
        <x:v>Local source render; live version unverified</x:v>
      </x:c>
      <x:c r="G960" s="6" t="str">
        <x:v>Ferrari Roma Service &amp; Repair Dubai | DIGI-TEC</x:v>
      </x:c>
      <x:c r="H960" s="6" t="str">
        <x:v>Ferrari Roma Service &amp; Repair Dubai | DIGI-TEC</x:v>
      </x:c>
      <x:c r="I960" s="6" t="str">
        <x:v>Ferrari Roma Service &amp; Repair Dubai</x:v>
      </x:c>
      <x:c r="J960" s="6" t="str">
        <x:v>Ferrari Roma Service &amp; Repair Dubai</x:v>
      </x:c>
      <x:c r="K960" s="6" t="str">
        <x:v>Ferrari Roma and Roma Spider service and repair enquiries in Dubai, covering 3.9 turbo V8, 8-speed DCT, SCM-E, cooling, brakes, AC and electrical diagnostics.</x:v>
      </x:c>
      <x:c r="L960" s="6" t="str">
        <x:v>Retain pending evidence; no specific content edit justified by this export.</x:v>
      </x:c>
      <x:c r="M960" s="6" t="str">
        <x:v>Retain; inspect relevant context before adding links</x:v>
      </x:c>
      <x:c r="N960" s="6" t="str">
        <x:v>Unconfirmed — no query/page pairing</x:v>
      </x:c>
      <x:c r="O960" s="6" t="str">
        <x:v>Retain established booking / WhatsApp / call path; live behaviour untested</x:v>
      </x:c>
      <x:c r="P960" s="6" t="str">
        <x:v>Retain canonical and indexation policy pending a live check.</x:v>
      </x:c>
      <x:c r="Q960" s="6" t="str">
        <x:v>Proposed; no website change made</x:v>
      </x:c>
      <x:c r="R960" s="14"/>
      <x:c r="S960" s="14"/>
      <x:c r="T960" s="15"/>
      <x:c r="U960" s="16"/>
      <x:c r="V960" s="6" t="str">
        <x:v>https://digitecme.com/brands/ferrari-service-dubai/roma</x:v>
      </x:c>
      <x:c r="W960" s="6" t="str">
        <x:v>Indexable directive</x:v>
      </x:c>
      <x:c r="X960" s="6" t="n">
        <x:v>11</x:v>
      </x:c>
      <x:c r="Y960" s="6" t="str">
        <x:v>Ferrari Roma Service &amp; Repair Dubai | DIGI-TEC</x:v>
      </x:c>
      <x:c r="Z960" s="6" t="str"/>
      <x:c r="AA960" s="6" t="str">
        <x:v>No / not compared</x:v>
      </x:c>
    </x:row>
    <x:row r="961" ht="57" customHeight="1">
      <x:c r="A961" s="6" t="str">
        <x:v>https://digitecme.com/brands/ferrari-service-dubai/sf90</x:v>
      </x:c>
      <x:c r="B961" s="6" t="str"/>
      <x:c r="C961" s="6" t="str"/>
      <x:c r="D961" s="6" t="str">
        <x:v>service</x:v>
      </x:c>
      <x:c r="E961" s="6" t="str">
        <x:v>Retain differentiated role</x:v>
      </x:c>
      <x:c r="F961" s="6" t="str">
        <x:v>Local source render; live version unverified</x:v>
      </x:c>
      <x:c r="G961" s="6" t="str">
        <x:v>Ferrari SF90 Service &amp; Diagnostics Dubai | DIGI-TEC</x:v>
      </x:c>
      <x:c r="H961" s="6" t="str">
        <x:v>Ferrari SF90 Service &amp; Diagnostics Dubai | DIGI-TEC</x:v>
      </x:c>
      <x:c r="I961" s="6" t="str">
        <x:v>Ferrari SF90 Service &amp; Diagnostic Assessment Dubai</x:v>
      </x:c>
      <x:c r="J961" s="6" t="str">
        <x:v>Ferrari SF90 Service &amp; Diagnostic Assessment Dubai</x:v>
      </x:c>
      <x:c r="K961" s="6" t="str">
        <x:v>Ferrari SF90 service and diagnostic assessment enquiries in Dubai for V8, plug-in hybrid, 8-speed DCT, E4WD, cooling, brakes, low-voltage and warning concerns.</x:v>
      </x:c>
      <x:c r="L961" s="6" t="str">
        <x:v>Retain pending evidence; no specific content edit justified by this export.</x:v>
      </x:c>
      <x:c r="M961" s="6" t="str">
        <x:v>Retain; inspect relevant context before adding links</x:v>
      </x:c>
      <x:c r="N961" s="6" t="str">
        <x:v>Unconfirmed — no query/page pairing</x:v>
      </x:c>
      <x:c r="O961" s="6" t="str">
        <x:v>Retain established booking / WhatsApp / call path; live behaviour untested</x:v>
      </x:c>
      <x:c r="P961" s="6" t="str">
        <x:v>Retain canonical and indexation policy pending a live check.</x:v>
      </x:c>
      <x:c r="Q961" s="6" t="str">
        <x:v>Proposed; no website change made</x:v>
      </x:c>
      <x:c r="R961" s="14"/>
      <x:c r="S961" s="14"/>
      <x:c r="T961" s="15"/>
      <x:c r="U961" s="16"/>
      <x:c r="V961" s="6" t="str">
        <x:v>https://digitecme.com/brands/ferrari-service-dubai/sf90</x:v>
      </x:c>
      <x:c r="W961" s="6" t="str">
        <x:v>Indexable directive</x:v>
      </x:c>
      <x:c r="X961" s="6" t="n">
        <x:v>7</x:v>
      </x:c>
      <x:c r="Y961" s="6" t="str">
        <x:v>Ferrari SF90 Service &amp; Diagnostics Dubai | DIGI-TEC</x:v>
      </x:c>
      <x:c r="Z961" s="6" t="str"/>
      <x:c r="AA961" s="6" t="str">
        <x:v>No / not compared</x:v>
      </x:c>
    </x:row>
    <x:row r="962" ht="42" customHeight="1">
      <x:c r="A962" s="6" t="str">
        <x:v>https://digitecme.com/brands/ferrari-service-dubai/steering-repair</x:v>
      </x:c>
      <x:c r="B962" s="6" t="str"/>
      <x:c r="C962" s="6" t="str"/>
      <x:c r="D962" s="6" t="str">
        <x:v>brand-service</x:v>
      </x:c>
      <x:c r="E962" s="6" t="str">
        <x:v>Retain differentiated role</x:v>
      </x:c>
      <x:c r="F962" s="6" t="str">
        <x:v>Local source render; live version unverified</x:v>
      </x:c>
      <x:c r="G962" s="6" t="str">
        <x:v>Ferrari Steering Repair Dubai | DIGI-TEC</x:v>
      </x:c>
      <x:c r="H962" s="6" t="str">
        <x:v>Ferrari Steering Repair Dubai | DIGI-TEC</x:v>
      </x:c>
      <x:c r="I962" s="6" t="str">
        <x:v>Ferrari Steering Repair Dubai</x:v>
      </x:c>
      <x:c r="J962" s="6" t="str">
        <x:v>Ferrari Steering Repair Dubai</x:v>
      </x:c>
      <x:c r="K962" s="6" t="str">
        <x:v>Ferrari steering repair in Dubai with model-specific inspection, confirmed parts options and a clear quote at DIGI-TEC, Al Quoz.</x:v>
      </x:c>
      <x:c r="L962" s="6" t="str">
        <x:v>Retain pending evidence; no specific content edit justified by this export.</x:v>
      </x:c>
      <x:c r="M962" s="6" t="str">
        <x:v>Retain; inspect relevant context before adding links</x:v>
      </x:c>
      <x:c r="N962" s="6" t="str">
        <x:v>Unconfirmed — no query/page pairing</x:v>
      </x:c>
      <x:c r="O962" s="6" t="str">
        <x:v>Retain established booking / WhatsApp / call path; live behaviour untested</x:v>
      </x:c>
      <x:c r="P962" s="6" t="str">
        <x:v>Retain canonical and indexation policy pending a live check.</x:v>
      </x:c>
      <x:c r="Q962" s="6" t="str">
        <x:v>Proposed; no website change made</x:v>
      </x:c>
      <x:c r="R962" s="14" t="n">
        <x:v>0</x:v>
      </x:c>
      <x:c r="S962" s="14" t="n">
        <x:v>7</x:v>
      </x:c>
      <x:c r="T962" s="15" t="n">
        <x:v>0</x:v>
      </x:c>
      <x:c r="U962" s="16" t="n">
        <x:v>40.71</x:v>
      </x:c>
      <x:c r="V962" s="6" t="str">
        <x:v>https://digitecme.com/brands/ferrari-service-dubai/steering-repair</x:v>
      </x:c>
      <x:c r="W962" s="6" t="str">
        <x:v>Indexable directive</x:v>
      </x:c>
      <x:c r="X962" s="6" t="n">
        <x:v>16</x:v>
      </x:c>
      <x:c r="Y962" s="6" t="str">
        <x:v>Ferrari Steering Repair Dubai | DIGI-TEC</x:v>
      </x:c>
      <x:c r="Z962" s="6" t="str"/>
      <x:c r="AA962" s="6" t="str">
        <x:v>No / not compared</x:v>
      </x:c>
    </x:row>
    <x:row r="963" ht="42" customHeight="1">
      <x:c r="A963" s="6" t="str">
        <x:v>https://digitecme.com/brands/ferrari-service-dubai/suspension-repair</x:v>
      </x:c>
      <x:c r="B963" s="6" t="str">
        <x:v>ferrari suspension repair dubai</x:v>
      </x:c>
      <x:c r="C963" s="6" t="str">
        <x:v>ferrari: Suspension repair</x:v>
      </x:c>
      <x:c r="D963" s="6" t="str">
        <x:v>brand-service</x:v>
      </x:c>
      <x:c r="E963" s="6" t="str">
        <x:v>Primary owner for assigned intent</x:v>
      </x:c>
      <x:c r="F963" s="6" t="str">
        <x:v>Local source render; live version unverified</x:v>
      </x:c>
      <x:c r="G963" s="6" t="str">
        <x:v>Ferrari Suspension Repair Dubai | DIGI-TEC</x:v>
      </x:c>
      <x:c r="H963" s="6" t="str">
        <x:v>Ferrari Suspension Repair Dubai | DIGI-TEC</x:v>
      </x:c>
      <x:c r="I963" s="6" t="str">
        <x:v>Ferrari Suspension Repair Dubai</x:v>
      </x:c>
      <x:c r="J963" s="6" t="str">
        <x:v>Ferrari Suspension Repair Dubai</x:v>
      </x:c>
      <x:c r="K963" s="6" t="str">
        <x:v>Ferrari suspension repair in Dubai with model-specific inspection, confirmed parts options and a clear quote at DIGI-TEC, Al Quoz.</x:v>
      </x:c>
      <x:c r="L963" s="6" t="str">
        <x:v>Retain pending evidence; no specific content edit justified by this export.</x:v>
      </x:c>
      <x:c r="M963" s="6" t="str">
        <x:v>Retain; inspect relevant context before adding links</x:v>
      </x:c>
      <x:c r="N963" s="6" t="str">
        <x:v>Unconfirmed — no query/page pairing</x:v>
      </x:c>
      <x:c r="O963" s="6" t="str">
        <x:v>Retain established booking / WhatsApp / call path; live behaviour untested</x:v>
      </x:c>
      <x:c r="P963" s="6" t="str">
        <x:v>Retain canonical and indexation policy pending a live check.</x:v>
      </x:c>
      <x:c r="Q963" s="6" t="str">
        <x:v>Proposed; no website change made</x:v>
      </x:c>
      <x:c r="R963" s="14" t="n">
        <x:v>0</x:v>
      </x:c>
      <x:c r="S963" s="14" t="n">
        <x:v>9</x:v>
      </x:c>
      <x:c r="T963" s="15" t="n">
        <x:v>0</x:v>
      </x:c>
      <x:c r="U963" s="16" t="n">
        <x:v>26.78</x:v>
      </x:c>
      <x:c r="V963" s="6" t="str">
        <x:v>https://digitecme.com/brands/ferrari-service-dubai/suspension-repair</x:v>
      </x:c>
      <x:c r="W963" s="6" t="str">
        <x:v>Indexable directive</x:v>
      </x:c>
      <x:c r="X963" s="6" t="n">
        <x:v>23</x:v>
      </x:c>
      <x:c r="Y963" s="6" t="str">
        <x:v>Ferrari Suspension Repair Dubai | DIGI-TEC</x:v>
      </x:c>
      <x:c r="Z963" s="6" t="str"/>
      <x:c r="AA963" s="6" t="str">
        <x:v>No / not compared</x:v>
      </x:c>
    </x:row>
    <x:row r="964" ht="42" customHeight="1">
      <x:c r="A964" s="6" t="str">
        <x:v>https://digitecme.com/brands/ferrari-service-dubai/tire-repair</x:v>
      </x:c>
      <x:c r="B964" s="6" t="str"/>
      <x:c r="C964" s="6" t="str"/>
      <x:c r="D964" s="6" t="str">
        <x:v>brand-service</x:v>
      </x:c>
      <x:c r="E964" s="6" t="str">
        <x:v>Retain differentiated role</x:v>
      </x:c>
      <x:c r="F964" s="6" t="str">
        <x:v>Local source render; live version unverified</x:v>
      </x:c>
      <x:c r="G964" s="6" t="str">
        <x:v>Ferrari Tyre Repair Dubai | DIGI-TEC</x:v>
      </x:c>
      <x:c r="H964" s="6" t="str">
        <x:v>Ferrari Tyre Repair Dubai | DIGI-TEC</x:v>
      </x:c>
      <x:c r="I964" s="6" t="str">
        <x:v>Ferrari Tyre Repair Dubai</x:v>
      </x:c>
      <x:c r="J964" s="6" t="str">
        <x:v>Ferrari Tyre Repair Dubai</x:v>
      </x:c>
      <x:c r="K964" s="6" t="str">
        <x:v>Ferrari tyre repair in Dubai with model-specific inspection, confirmed parts options and a clear quote at DIGI-TEC, Al Quoz.</x:v>
      </x:c>
      <x:c r="L964" s="6" t="str">
        <x:v>Retain pending evidence; no specific content edit justified by this export.</x:v>
      </x:c>
      <x:c r="M964" s="6" t="str">
        <x:v>Retain; inspect relevant context before adding links</x:v>
      </x:c>
      <x:c r="N964" s="6" t="str">
        <x:v>Unconfirmed — no query/page pairing</x:v>
      </x:c>
      <x:c r="O964" s="6" t="str">
        <x:v>Retain established booking / WhatsApp / call path; live behaviour untested</x:v>
      </x:c>
      <x:c r="P964" s="6" t="str">
        <x:v>Retain canonical and indexation policy pending a live check.</x:v>
      </x:c>
      <x:c r="Q964" s="6" t="str">
        <x:v>Proposed; no website change made</x:v>
      </x:c>
      <x:c r="R964" s="14" t="n">
        <x:v>0</x:v>
      </x:c>
      <x:c r="S964" s="14" t="n">
        <x:v>5</x:v>
      </x:c>
      <x:c r="T964" s="15" t="n">
        <x:v>0</x:v>
      </x:c>
      <x:c r="U964" s="16" t="n">
        <x:v>21</x:v>
      </x:c>
      <x:c r="V964" s="6" t="str">
        <x:v>https://digitecme.com/brands/ferrari-service-dubai/tire-repair</x:v>
      </x:c>
      <x:c r="W964" s="6" t="str">
        <x:v>Indexable directive</x:v>
      </x:c>
      <x:c r="X964" s="6" t="n">
        <x:v>17</x:v>
      </x:c>
      <x:c r="Y964" s="6" t="str">
        <x:v>Ferrari Tyre Repair Dubai | DIGI-TEC</x:v>
      </x:c>
      <x:c r="Z964" s="6" t="str"/>
      <x:c r="AA964" s="6" t="str">
        <x:v>No / not compared</x:v>
      </x:c>
    </x:row>
    <x:row r="965" ht="42" customHeight="1">
      <x:c r="A965" s="6" t="str">
        <x:v>https://digitecme.com/brands/ferrari-service-dubai/transmission-repair</x:v>
      </x:c>
      <x:c r="B965" s="6" t="str">
        <x:v>ferrari transmission repair dubai</x:v>
      </x:c>
      <x:c r="C965" s="6" t="str">
        <x:v>ferrari: Transmission and gearbox repair</x:v>
      </x:c>
      <x:c r="D965" s="6" t="str">
        <x:v>brand-service</x:v>
      </x:c>
      <x:c r="E965" s="6" t="str">
        <x:v>Primary owner for assigned intent</x:v>
      </x:c>
      <x:c r="F965" s="6" t="str">
        <x:v>Local source render; live version unverified</x:v>
      </x:c>
      <x:c r="G965" s="6" t="str">
        <x:v>Ferrari Transmission Repair Dubai | DIGI-TEC</x:v>
      </x:c>
      <x:c r="H965" s="6" t="str">
        <x:v>Ferrari Transmission Repair Dubai | DIGI-TEC</x:v>
      </x:c>
      <x:c r="I965" s="6" t="str">
        <x:v>Ferrari Transmission Repair Dubai</x:v>
      </x:c>
      <x:c r="J965" s="6" t="str">
        <x:v>Ferrari Transmission Repair Dubai</x:v>
      </x:c>
      <x:c r="K965" s="6" t="str">
        <x:v>Ferrari transmission repair in Dubai with model-specific inspection, confirmed parts options and a clear quote at DIGI-TEC, Al Quoz.</x:v>
      </x:c>
      <x:c r="L965" s="6" t="str">
        <x:v>Retain pending evidence; no specific content edit justified by this export.</x:v>
      </x:c>
      <x:c r="M965" s="6" t="str">
        <x:v>Retain; inspect relevant context before adding links</x:v>
      </x:c>
      <x:c r="N965" s="6" t="str">
        <x:v>Unconfirmed — no query/page pairing</x:v>
      </x:c>
      <x:c r="O965" s="6" t="str">
        <x:v>Retain established booking / WhatsApp / call path; live behaviour untested</x:v>
      </x:c>
      <x:c r="P965" s="6" t="str">
        <x:v>Retain canonical and indexation policy pending a live check.</x:v>
      </x:c>
      <x:c r="Q965" s="6" t="str">
        <x:v>Proposed; no website change made</x:v>
      </x:c>
      <x:c r="R965" s="14" t="n">
        <x:v>0</x:v>
      </x:c>
      <x:c r="S965" s="14" t="n">
        <x:v>18</x:v>
      </x:c>
      <x:c r="T965" s="15" t="n">
        <x:v>0</x:v>
      </x:c>
      <x:c r="U965" s="16" t="n">
        <x:v>11.56</x:v>
      </x:c>
      <x:c r="V965" s="6" t="str">
        <x:v>https://digitecme.com/brands/ferrari-service-dubai/transmission-repair</x:v>
      </x:c>
      <x:c r="W965" s="6" t="str">
        <x:v>Indexable directive</x:v>
      </x:c>
      <x:c r="X965" s="6" t="n">
        <x:v>25</x:v>
      </x:c>
      <x:c r="Y965" s="6" t="str">
        <x:v>Ferrari Transmission Repair Dubai | DIGI-TEC</x:v>
      </x:c>
      <x:c r="Z965" s="6" t="str"/>
      <x:c r="AA965" s="6" t="str">
        <x:v>No / not compared</x:v>
      </x:c>
    </x:row>
    <x:row r="966" ht="42" customHeight="1">
      <x:c r="A966" s="6" t="str">
        <x:v>https://digitecme.com/brands/fiat-service-dubai</x:v>
      </x:c>
      <x:c r="B966" s="6" t="str"/>
      <x:c r="C966" s="6" t="str"/>
      <x:c r="D966" s="6" t="str">
        <x:v>brand</x:v>
      </x:c>
      <x:c r="E966" s="6" t="str">
        <x:v>Retain differentiated role</x:v>
      </x:c>
      <x:c r="F966" s="6" t="str">
        <x:v>Local source render; live version unverified</x:v>
      </x:c>
      <x:c r="G966" s="6" t="str">
        <x:v>FIAT Repair Dubai | Digi-Tec</x:v>
      </x:c>
      <x:c r="H966" s="6" t="str">
        <x:v>FIAT Repair Dubai | Digi-Tec</x:v>
      </x:c>
      <x:c r="I966" s="6" t="str">
        <x:v>FIAT Repair &amp; Service Dubai</x:v>
      </x:c>
      <x:c r="J966" s="6" t="str">
        <x:v>FIAT Repair &amp; Service Dubai</x:v>
      </x:c>
      <x:c r="K966" s="6" t="str">
        <x:v>Specialist FIAT repair and service in Dubai: diagnostics, maintenance, brakes, transmission, suspension and AC at Digi-Tec, Al Quoz.</x:v>
      </x:c>
      <x:c r="L966" s="6" t="str">
        <x:v>Retain pending evidence; no specific content edit justified by this export.</x:v>
      </x:c>
      <x:c r="M966" s="6" t="str">
        <x:v>Retain; inspect relevant context before adding links</x:v>
      </x:c>
      <x:c r="N966" s="6" t="str">
        <x:v>Unconfirmed — no query/page pairing</x:v>
      </x:c>
      <x:c r="O966" s="6" t="str">
        <x:v>Retain established booking / WhatsApp / call path; live behaviour untested</x:v>
      </x:c>
      <x:c r="P966" s="6" t="str">
        <x:v>Retain canonical and indexation policy pending a live check.</x:v>
      </x:c>
      <x:c r="Q966" s="6" t="str">
        <x:v>Proposed; no website change made</x:v>
      </x:c>
      <x:c r="R966" s="14" t="n">
        <x:v>0</x:v>
      </x:c>
      <x:c r="S966" s="14" t="n">
        <x:v>16</x:v>
      </x:c>
      <x:c r="T966" s="15" t="n">
        <x:v>0</x:v>
      </x:c>
      <x:c r="U966" s="16" t="n">
        <x:v>19.5</x:v>
      </x:c>
      <x:c r="V966" s="6" t="str">
        <x:v>https://digitecme.com/brands/fiat-service-dubai</x:v>
      </x:c>
      <x:c r="W966" s="6" t="str">
        <x:v>Indexable directive</x:v>
      </x:c>
      <x:c r="X966" s="6" t="n">
        <x:v>28</x:v>
      </x:c>
      <x:c r="Y966" s="6" t="str">
        <x:v>FIAT Repair Dubai | Digi-Tec</x:v>
      </x:c>
      <x:c r="Z966" s="6" t="str"/>
      <x:c r="AA966" s="6" t="str">
        <x:v>No / not compared</x:v>
      </x:c>
    </x:row>
    <x:row r="967" ht="42" customHeight="1">
      <x:c r="A967" s="6" t="str">
        <x:v>https://digitecme.com/brands/fiat-service-dubai/ac-repair</x:v>
      </x:c>
      <x:c r="B967" s="6" t="str"/>
      <x:c r="C967" s="6" t="str"/>
      <x:c r="D967" s="6" t="str">
        <x:v>brand-service</x:v>
      </x:c>
      <x:c r="E967" s="6" t="str">
        <x:v>Retain differentiated role</x:v>
      </x:c>
      <x:c r="F967" s="6" t="str">
        <x:v>Local source render; live version unverified</x:v>
      </x:c>
      <x:c r="G967" s="6" t="str">
        <x:v>FIAT AC Repair Dubai | Digi-Tec</x:v>
      </x:c>
      <x:c r="H967" s="6" t="str">
        <x:v>FIAT AC Repair Dubai | Digi-Tec</x:v>
      </x:c>
      <x:c r="I967" s="6" t="str">
        <x:v>FIAT AC Repair Dubai</x:v>
      </x:c>
      <x:c r="J967" s="6" t="str">
        <x:v>FIAT AC Repair Dubai</x:v>
      </x:c>
      <x:c r="K967" s="6" t="str">
        <x:v>FIAT ac repair in Dubai with model-specific inspection, confirmed parts options and a clear quote at Digi-Tec, Al Quoz.</x:v>
      </x:c>
      <x:c r="L967" s="6" t="str">
        <x:v>Retain pending evidence; no specific content edit justified by this export.</x:v>
      </x:c>
      <x:c r="M967" s="6" t="str">
        <x:v>Retain; inspect relevant context before adding links</x:v>
      </x:c>
      <x:c r="N967" s="6" t="str">
        <x:v>Unconfirmed — no query/page pairing</x:v>
      </x:c>
      <x:c r="O967" s="6" t="str">
        <x:v>Retain established booking / WhatsApp / call path; live behaviour untested</x:v>
      </x:c>
      <x:c r="P967" s="6" t="str">
        <x:v>Retain canonical and indexation policy pending a live check.</x:v>
      </x:c>
      <x:c r="Q967" s="6" t="str">
        <x:v>Proposed; no website change made</x:v>
      </x:c>
      <x:c r="R967" s="14" t="n">
        <x:v>0</x:v>
      </x:c>
      <x:c r="S967" s="14" t="n">
        <x:v>1</x:v>
      </x:c>
      <x:c r="T967" s="15" t="n">
        <x:v>0</x:v>
      </x:c>
      <x:c r="U967" s="16" t="n">
        <x:v>3</x:v>
      </x:c>
      <x:c r="V967" s="6" t="str">
        <x:v>https://digitecme.com/brands/fiat-service-dubai/ac-repair</x:v>
      </x:c>
      <x:c r="W967" s="6" t="str">
        <x:v>Indexable directive</x:v>
      </x:c>
      <x:c r="X967" s="6" t="n">
        <x:v>8</x:v>
      </x:c>
      <x:c r="Y967" s="6" t="str">
        <x:v>FIAT AC Repair Dubai | Digi-Tec</x:v>
      </x:c>
      <x:c r="Z967" s="6" t="str"/>
      <x:c r="AA967" s="6" t="str">
        <x:v>No / not compared</x:v>
      </x:c>
    </x:row>
    <x:row r="968" ht="42" customHeight="1">
      <x:c r="A968" s="6" t="str">
        <x:v>https://digitecme.com/brands/fiat-service-dubai/brake-repair</x:v>
      </x:c>
      <x:c r="B968" s="6" t="str"/>
      <x:c r="C968" s="6" t="str"/>
      <x:c r="D968" s="6" t="str">
        <x:v>brand-service</x:v>
      </x:c>
      <x:c r="E968" s="6" t="str">
        <x:v>Retain differentiated role</x:v>
      </x:c>
      <x:c r="F968" s="6" t="str">
        <x:v>Local source render; live version unverified</x:v>
      </x:c>
      <x:c r="G968" s="6" t="str">
        <x:v>FIAT Brake Repair Dubai | Digi-Tec</x:v>
      </x:c>
      <x:c r="H968" s="6" t="str">
        <x:v>FIAT Brake Repair Dubai | Digi-Tec</x:v>
      </x:c>
      <x:c r="I968" s="6" t="str">
        <x:v>FIAT Brake Repair Dubai</x:v>
      </x:c>
      <x:c r="J968" s="6" t="str">
        <x:v>FIAT Brake Repair Dubai</x:v>
      </x:c>
      <x:c r="K968" s="6" t="str">
        <x:v>FIAT brake repair in Dubai with model-specific inspection, confirmed parts options and a clear quote at Digi-Tec, Al Quoz.</x:v>
      </x:c>
      <x:c r="L968" s="6" t="str">
        <x:v>Retain pending evidence; no specific content edit justified by this export.</x:v>
      </x:c>
      <x:c r="M968" s="6" t="str">
        <x:v>Retain; inspect relevant context before adding links</x:v>
      </x:c>
      <x:c r="N968" s="6" t="str">
        <x:v>Unconfirmed — no query/page pairing</x:v>
      </x:c>
      <x:c r="O968" s="6" t="str">
        <x:v>Retain established booking / WhatsApp / call path; live behaviour untested</x:v>
      </x:c>
      <x:c r="P968" s="6" t="str">
        <x:v>Retain canonical and indexation policy pending a live check.</x:v>
      </x:c>
      <x:c r="Q968" s="6" t="str">
        <x:v>Proposed; no website change made</x:v>
      </x:c>
      <x:c r="R968" s="14" t="n">
        <x:v>0</x:v>
      </x:c>
      <x:c r="S968" s="14" t="n">
        <x:v>4</x:v>
      </x:c>
      <x:c r="T968" s="15" t="n">
        <x:v>0</x:v>
      </x:c>
      <x:c r="U968" s="16" t="n">
        <x:v>62.25</x:v>
      </x:c>
      <x:c r="V968" s="6" t="str">
        <x:v>https://digitecme.com/brands/fiat-service-dubai/brake-repair</x:v>
      </x:c>
      <x:c r="W968" s="6" t="str">
        <x:v>Indexable directive</x:v>
      </x:c>
      <x:c r="X968" s="6" t="n">
        <x:v>8</x:v>
      </x:c>
      <x:c r="Y968" s="6" t="str">
        <x:v>FIAT Brake Repair Dubai | Digi-Tec</x:v>
      </x:c>
      <x:c r="Z968" s="6" t="str"/>
      <x:c r="AA968" s="6" t="str">
        <x:v>No / not compared</x:v>
      </x:c>
    </x:row>
    <x:row r="969" ht="42" customHeight="1">
      <x:c r="A969" s="6" t="str">
        <x:v>https://digitecme.com/brands/fiat-service-dubai/engine-diagnostics</x:v>
      </x:c>
      <x:c r="B969" s="6" t="str"/>
      <x:c r="C969" s="6" t="str"/>
      <x:c r="D969" s="6" t="str">
        <x:v>brand-service</x:v>
      </x:c>
      <x:c r="E969" s="6" t="str">
        <x:v>Retain differentiated role</x:v>
      </x:c>
      <x:c r="F969" s="6" t="str">
        <x:v>Local source render; live version unverified</x:v>
      </x:c>
      <x:c r="G969" s="6" t="str">
        <x:v>FIAT Engine Diagnostics Dubai | Digi-Tec</x:v>
      </x:c>
      <x:c r="H969" s="6" t="str">
        <x:v>FIAT Engine Diagnostics Dubai | Digi-Tec</x:v>
      </x:c>
      <x:c r="I969" s="6" t="str">
        <x:v>FIAT Engine Diagnostics Dubai</x:v>
      </x:c>
      <x:c r="J969" s="6" t="str">
        <x:v>FIAT Engine Diagnostics Dubai</x:v>
      </x:c>
      <x:c r="K969" s="6" t="str">
        <x:v>FIAT engine diagnostics in Dubai with model-specific inspection, confirmed parts options and a clear quote at Digi-Tec, Al Quoz.</x:v>
      </x:c>
      <x:c r="L969" s="6" t="str">
        <x:v>Retain pending evidence; no specific content edit justified by this export.</x:v>
      </x:c>
      <x:c r="M969" s="6" t="str">
        <x:v>Retain; inspect relevant context before adding links</x:v>
      </x:c>
      <x:c r="N969" s="6" t="str">
        <x:v>Unconfirmed — no query/page pairing</x:v>
      </x:c>
      <x:c r="O969" s="6" t="str">
        <x:v>Retain established booking / WhatsApp / call path; live behaviour untested</x:v>
      </x:c>
      <x:c r="P969" s="6" t="str">
        <x:v>Retain canonical and indexation policy pending a live check.</x:v>
      </x:c>
      <x:c r="Q969" s="6" t="str">
        <x:v>Proposed; no website change made</x:v>
      </x:c>
      <x:c r="R969" s="14" t="n">
        <x:v>0</x:v>
      </x:c>
      <x:c r="S969" s="14" t="n">
        <x:v>1</x:v>
      </x:c>
      <x:c r="T969" s="15" t="n">
        <x:v>0</x:v>
      </x:c>
      <x:c r="U969" s="16" t="n">
        <x:v>75</x:v>
      </x:c>
      <x:c r="V969" s="6" t="str">
        <x:v>https://digitecme.com/brands/fiat-service-dubai/engine-diagnostics</x:v>
      </x:c>
      <x:c r="W969" s="6" t="str">
        <x:v>Indexable directive</x:v>
      </x:c>
      <x:c r="X969" s="6" t="n">
        <x:v>8</x:v>
      </x:c>
      <x:c r="Y969" s="6" t="str">
        <x:v>FIAT Engine Diagnostics Dubai | Digi-Tec</x:v>
      </x:c>
      <x:c r="Z969" s="6" t="str"/>
      <x:c r="AA969" s="6" t="str">
        <x:v>No / not compared</x:v>
      </x:c>
    </x:row>
    <x:row r="970" ht="42" customHeight="1">
      <x:c r="A970" s="6" t="str">
        <x:v>https://digitecme.com/brands/fiat-service-dubai/oil-change</x:v>
      </x:c>
      <x:c r="B970" s="6" t="str"/>
      <x:c r="C970" s="6" t="str"/>
      <x:c r="D970" s="6" t="str">
        <x:v>brand-service</x:v>
      </x:c>
      <x:c r="E970" s="6" t="str">
        <x:v>Retain differentiated role</x:v>
      </x:c>
      <x:c r="F970" s="6" t="str">
        <x:v>Local source render; live version unverified</x:v>
      </x:c>
      <x:c r="G970" s="6" t="str">
        <x:v>FIAT Oil Change Dubai | Digi-Tec</x:v>
      </x:c>
      <x:c r="H970" s="6" t="str">
        <x:v>FIAT Oil Change Dubai | Digi-Tec</x:v>
      </x:c>
      <x:c r="I970" s="6" t="str">
        <x:v>FIAT Oil Change Dubai</x:v>
      </x:c>
      <x:c r="J970" s="6" t="str">
        <x:v>FIAT Oil Change Dubai</x:v>
      </x:c>
      <x:c r="K970" s="6" t="str">
        <x:v>FIAT oil change in Dubai with model-specific inspection, confirmed parts options and a clear quote at Digi-Tec, Al Quoz.</x:v>
      </x:c>
      <x:c r="L970" s="6" t="str">
        <x:v>Retain pending evidence; no specific content edit justified by this export.</x:v>
      </x:c>
      <x:c r="M970" s="6" t="str">
        <x:v>Retain; inspect relevant context before adding links</x:v>
      </x:c>
      <x:c r="N970" s="6" t="str">
        <x:v>Unconfirmed — no query/page pairing</x:v>
      </x:c>
      <x:c r="O970" s="6" t="str">
        <x:v>Retain established booking / WhatsApp / call path; live behaviour untested</x:v>
      </x:c>
      <x:c r="P970" s="6" t="str">
        <x:v>Retain canonical and indexation policy pending a live check.</x:v>
      </x:c>
      <x:c r="Q970" s="6" t="str">
        <x:v>Proposed; no website change made</x:v>
      </x:c>
      <x:c r="R970" s="14" t="n">
        <x:v>0</x:v>
      </x:c>
      <x:c r="S970" s="14" t="n">
        <x:v>3</x:v>
      </x:c>
      <x:c r="T970" s="15" t="n">
        <x:v>0</x:v>
      </x:c>
      <x:c r="U970" s="16" t="n">
        <x:v>3.67</x:v>
      </x:c>
      <x:c r="V970" s="6" t="str">
        <x:v>https://digitecme.com/brands/fiat-service-dubai/oil-change</x:v>
      </x:c>
      <x:c r="W970" s="6" t="str">
        <x:v>Indexable directive</x:v>
      </x:c>
      <x:c r="X970" s="6" t="n">
        <x:v>8</x:v>
      </x:c>
      <x:c r="Y970" s="6" t="str">
        <x:v>FIAT Oil Change Dubai | Digi-Tec</x:v>
      </x:c>
      <x:c r="Z970" s="6" t="str"/>
      <x:c r="AA970" s="6" t="str">
        <x:v>No / not compared</x:v>
      </x:c>
    </x:row>
    <x:row r="971" ht="42" customHeight="1">
      <x:c r="A971" s="6" t="str">
        <x:v>https://digitecme.com/brands/fiat-service-dubai/suspension-repair</x:v>
      </x:c>
      <x:c r="B971" s="6" t="str"/>
      <x:c r="C971" s="6" t="str"/>
      <x:c r="D971" s="6" t="str">
        <x:v>brand-service</x:v>
      </x:c>
      <x:c r="E971" s="6" t="str">
        <x:v>Retain differentiated role</x:v>
      </x:c>
      <x:c r="F971" s="6" t="str">
        <x:v>Local source render; live version unverified</x:v>
      </x:c>
      <x:c r="G971" s="6" t="str">
        <x:v>FIAT Suspension Repair Dubai | Digi-Tec</x:v>
      </x:c>
      <x:c r="H971" s="6" t="str">
        <x:v>FIAT Suspension Repair Dubai | Digi-Tec</x:v>
      </x:c>
      <x:c r="I971" s="6" t="str">
        <x:v>FIAT Suspension Repair Dubai</x:v>
      </x:c>
      <x:c r="J971" s="6" t="str">
        <x:v>FIAT Suspension Repair Dubai</x:v>
      </x:c>
      <x:c r="K971" s="6" t="str">
        <x:v>FIAT suspension repair in Dubai with model-specific inspection, confirmed parts options and a clear quote at Digi-Tec, Al Quoz.</x:v>
      </x:c>
      <x:c r="L971" s="6" t="str">
        <x:v>Retain pending evidence; no specific content edit justified by this export.</x:v>
      </x:c>
      <x:c r="M971" s="6" t="str">
        <x:v>Retain; inspect relevant context before adding links</x:v>
      </x:c>
      <x:c r="N971" s="6" t="str">
        <x:v>Unconfirmed — no query/page pairing</x:v>
      </x:c>
      <x:c r="O971" s="6" t="str">
        <x:v>Retain established booking / WhatsApp / call path; live behaviour untested</x:v>
      </x:c>
      <x:c r="P971" s="6" t="str">
        <x:v>Retain canonical and indexation policy pending a live check.</x:v>
      </x:c>
      <x:c r="Q971" s="6" t="str">
        <x:v>Proposed; no website change made</x:v>
      </x:c>
      <x:c r="R971" s="14"/>
      <x:c r="S971" s="14"/>
      <x:c r="T971" s="15"/>
      <x:c r="U971" s="16"/>
      <x:c r="V971" s="6" t="str">
        <x:v>https://digitecme.com/brands/fiat-service-dubai/suspension-repair</x:v>
      </x:c>
      <x:c r="W971" s="6" t="str">
        <x:v>Noindex directive</x:v>
      </x:c>
      <x:c r="X971" s="6" t="n">
        <x:v>8</x:v>
      </x:c>
      <x:c r="Y971" s="6" t="str">
        <x:v>FIAT Suspension Repair Dubai | Digi-Tec</x:v>
      </x:c>
      <x:c r="Z971" s="6" t="str"/>
      <x:c r="AA971" s="6" t="str">
        <x:v>No / not compared</x:v>
      </x:c>
    </x:row>
    <x:row r="972" ht="42" customHeight="1">
      <x:c r="A972" s="6" t="str">
        <x:v>https://digitecme.com/brands/fiat-service-dubai/transmission-repair</x:v>
      </x:c>
      <x:c r="B972" s="6" t="str"/>
      <x:c r="C972" s="6" t="str"/>
      <x:c r="D972" s="6" t="str">
        <x:v>brand-service</x:v>
      </x:c>
      <x:c r="E972" s="6" t="str">
        <x:v>Retain differentiated role</x:v>
      </x:c>
      <x:c r="F972" s="6" t="str">
        <x:v>Local source render; live version unverified</x:v>
      </x:c>
      <x:c r="G972" s="6" t="str">
        <x:v>FIAT Transmission Repair Dubai | Digi-Tec</x:v>
      </x:c>
      <x:c r="H972" s="6" t="str">
        <x:v>FIAT Transmission Repair Dubai | Digi-Tec</x:v>
      </x:c>
      <x:c r="I972" s="6" t="str">
        <x:v>FIAT Transmission Repair Dubai</x:v>
      </x:c>
      <x:c r="J972" s="6" t="str">
        <x:v>FIAT Transmission Repair Dubai</x:v>
      </x:c>
      <x:c r="K972" s="6" t="str">
        <x:v>FIAT transmission repair in Dubai with model-specific inspection, confirmed parts options and a clear quote at Digi-Tec, Al Quoz.</x:v>
      </x:c>
      <x:c r="L972" s="6" t="str">
        <x:v>Retain pending evidence; no specific content edit justified by this export.</x:v>
      </x:c>
      <x:c r="M972" s="6" t="str">
        <x:v>Retain; inspect relevant context before adding links</x:v>
      </x:c>
      <x:c r="N972" s="6" t="str">
        <x:v>Unconfirmed — no query/page pairing</x:v>
      </x:c>
      <x:c r="O972" s="6" t="str">
        <x:v>Retain established booking / WhatsApp / call path; live behaviour untested</x:v>
      </x:c>
      <x:c r="P972" s="6" t="str">
        <x:v>Retain canonical and indexation policy pending a live check.</x:v>
      </x:c>
      <x:c r="Q972" s="6" t="str">
        <x:v>Proposed; no website change made</x:v>
      </x:c>
      <x:c r="R972" s="14"/>
      <x:c r="S972" s="14"/>
      <x:c r="T972" s="15"/>
      <x:c r="U972" s="16"/>
      <x:c r="V972" s="6" t="str">
        <x:v>https://digitecme.com/brands/fiat-service-dubai/transmission-repair</x:v>
      </x:c>
      <x:c r="W972" s="6" t="str">
        <x:v>Noindex directive</x:v>
      </x:c>
      <x:c r="X972" s="6" t="n">
        <x:v>8</x:v>
      </x:c>
      <x:c r="Y972" s="6" t="str">
        <x:v>FIAT Transmission Repair Dubai | Digi-Tec</x:v>
      </x:c>
      <x:c r="Z972" s="6" t="str"/>
      <x:c r="AA972" s="6" t="str">
        <x:v>No / not compared</x:v>
      </x:c>
    </x:row>
    <x:row r="973" ht="42" customHeight="1">
      <x:c r="A973" s="6" t="str">
        <x:v>https://digitecme.com/brands/ford-service-dubai</x:v>
      </x:c>
      <x:c r="B973" s="6" t="str">
        <x:v>ford service dubai</x:v>
      </x:c>
      <x:c r="C973" s="6" t="str">
        <x:v>ford: Service and repair (English)</x:v>
      </x:c>
      <x:c r="D973" s="6" t="str">
        <x:v>brand</x:v>
      </x:c>
      <x:c r="E973" s="6" t="str">
        <x:v>Primary owner for assigned intent</x:v>
      </x:c>
      <x:c r="F973" s="6" t="str">
        <x:v>Local source render; live version unverified</x:v>
      </x:c>
      <x:c r="G973" s="6" t="str">
        <x:v>Ford Repair Dubai | Digi-Tec</x:v>
      </x:c>
      <x:c r="H973" s="6" t="str">
        <x:v>Ford Repair Dubai | Digi-Tec</x:v>
      </x:c>
      <x:c r="I973" s="6" t="str">
        <x:v>Ford Repair &amp; Service Dubai</x:v>
      </x:c>
      <x:c r="J973" s="6" t="str">
        <x:v>Ford Repair &amp; Service Dubai</x:v>
      </x:c>
      <x:c r="K973" s="6" t="str">
        <x:v>Specialist Ford repair and service in Dubai: diagnostics, maintenance, brakes, transmission, suspension and AC at Digi-Tec, Al Quoz.</x:v>
      </x:c>
      <x:c r="L973" s="6" t="str">
        <x:v>Retain pending evidence; no specific content edit justified by this export.</x:v>
      </x:c>
      <x:c r="M973" s="6" t="str">
        <x:v>Retain; inspect relevant context before adding links</x:v>
      </x:c>
      <x:c r="N973" s="6" t="str">
        <x:v>Unconfirmed — no query/page pairing</x:v>
      </x:c>
      <x:c r="O973" s="6" t="str">
        <x:v>Retain established booking / WhatsApp / call path; live behaviour untested</x:v>
      </x:c>
      <x:c r="P973" s="6" t="str">
        <x:v>Retain canonical and indexation policy pending a live check.</x:v>
      </x:c>
      <x:c r="Q973" s="6" t="str">
        <x:v>Proposed; no website change made</x:v>
      </x:c>
      <x:c r="R973" s="14" t="n">
        <x:v>0</x:v>
      </x:c>
      <x:c r="S973" s="14" t="n">
        <x:v>275</x:v>
      </x:c>
      <x:c r="T973" s="15" t="n">
        <x:v>0</x:v>
      </x:c>
      <x:c r="U973" s="16" t="n">
        <x:v>42.08</x:v>
      </x:c>
      <x:c r="V973" s="6" t="str">
        <x:v>https://digitecme.com/brands/ford-service-dubai</x:v>
      </x:c>
      <x:c r="W973" s="6" t="str">
        <x:v>Indexable directive</x:v>
      </x:c>
      <x:c r="X973" s="6" t="n">
        <x:v>28</x:v>
      </x:c>
      <x:c r="Y973" s="6" t="str">
        <x:v>Ford Repair Dubai | Digi-Tec</x:v>
      </x:c>
      <x:c r="Z973" s="6" t="str"/>
      <x:c r="AA973" s="6" t="str">
        <x:v>No / not compared</x:v>
      </x:c>
    </x:row>
    <x:row r="974" ht="42" customHeight="1">
      <x:c r="A974" s="6" t="str">
        <x:v>https://digitecme.com/brands/ford-service-dubai/ac-repair</x:v>
      </x:c>
      <x:c r="B974" s="6" t="str"/>
      <x:c r="C974" s="6" t="str"/>
      <x:c r="D974" s="6" t="str">
        <x:v>brand-service</x:v>
      </x:c>
      <x:c r="E974" s="6" t="str">
        <x:v>Retain differentiated role</x:v>
      </x:c>
      <x:c r="F974" s="6" t="str">
        <x:v>Local source render; live version unverified</x:v>
      </x:c>
      <x:c r="G974" s="6" t="str">
        <x:v>Ford AC Repair Dubai | Digi-Tec</x:v>
      </x:c>
      <x:c r="H974" s="6" t="str">
        <x:v>Ford AC Repair Dubai | Digi-Tec</x:v>
      </x:c>
      <x:c r="I974" s="6" t="str">
        <x:v>Ford AC Repair Dubai</x:v>
      </x:c>
      <x:c r="J974" s="6" t="str">
        <x:v>Ford AC Repair Dubai</x:v>
      </x:c>
      <x:c r="K974" s="6" t="str">
        <x:v>Ford ac repair in Dubai with model-specific inspection, confirmed parts options and a clear quote at Digi-Tec, Al Quoz.</x:v>
      </x:c>
      <x:c r="L974" s="6" t="str">
        <x:v>Retain pending evidence; no specific content edit justified by this export.</x:v>
      </x:c>
      <x:c r="M974" s="6" t="str">
        <x:v>Retain; inspect relevant context before adding links</x:v>
      </x:c>
      <x:c r="N974" s="6" t="str">
        <x:v>Unconfirmed — no query/page pairing</x:v>
      </x:c>
      <x:c r="O974" s="6" t="str">
        <x:v>Retain established booking / WhatsApp / call path; live behaviour untested</x:v>
      </x:c>
      <x:c r="P974" s="6" t="str">
        <x:v>Retain canonical and indexation policy pending a live check.</x:v>
      </x:c>
      <x:c r="Q974" s="6" t="str">
        <x:v>Proposed; no website change made</x:v>
      </x:c>
      <x:c r="R974" s="14" t="n">
        <x:v>1</x:v>
      </x:c>
      <x:c r="S974" s="14" t="n">
        <x:v>17</x:v>
      </x:c>
      <x:c r="T974" s="15" t="n">
        <x:v>0.0588</x:v>
      </x:c>
      <x:c r="U974" s="16" t="n">
        <x:v>5.88</x:v>
      </x:c>
      <x:c r="V974" s="6" t="str">
        <x:v>https://digitecme.com/brands/ford-service-dubai/ac-repair</x:v>
      </x:c>
      <x:c r="W974" s="6" t="str">
        <x:v>Indexable directive</x:v>
      </x:c>
      <x:c r="X974" s="6" t="n">
        <x:v>8</x:v>
      </x:c>
      <x:c r="Y974" s="6" t="str">
        <x:v>Ford AC Repair Dubai | Digi-Tec</x:v>
      </x:c>
      <x:c r="Z974" s="6" t="str"/>
      <x:c r="AA974" s="6" t="str">
        <x:v>No / not compared</x:v>
      </x:c>
    </x:row>
    <x:row r="975" ht="42" customHeight="1">
      <x:c r="A975" s="6" t="str">
        <x:v>https://digitecme.com/brands/ford-service-dubai/brake-repair</x:v>
      </x:c>
      <x:c r="B975" s="6" t="str"/>
      <x:c r="C975" s="6" t="str"/>
      <x:c r="D975" s="6" t="str">
        <x:v>brand-service</x:v>
      </x:c>
      <x:c r="E975" s="6" t="str">
        <x:v>Retain differentiated role</x:v>
      </x:c>
      <x:c r="F975" s="6" t="str">
        <x:v>Local source render; live version unverified</x:v>
      </x:c>
      <x:c r="G975" s="6" t="str">
        <x:v>Ford Brake Repair Dubai | Digi-Tec</x:v>
      </x:c>
      <x:c r="H975" s="6" t="str">
        <x:v>Ford Brake Repair Dubai | Digi-Tec</x:v>
      </x:c>
      <x:c r="I975" s="6" t="str">
        <x:v>Ford Brake Repair Dubai</x:v>
      </x:c>
      <x:c r="J975" s="6" t="str">
        <x:v>Ford Brake Repair Dubai</x:v>
      </x:c>
      <x:c r="K975" s="6" t="str">
        <x:v>Ford brake repair in Dubai with model-specific inspection, confirmed parts options and a clear quote at Digi-Tec, Al Quoz.</x:v>
      </x:c>
      <x:c r="L975" s="6" t="str">
        <x:v>Retain pending evidence; no specific content edit justified by this export.</x:v>
      </x:c>
      <x:c r="M975" s="6" t="str">
        <x:v>Retain; inspect relevant context before adding links</x:v>
      </x:c>
      <x:c r="N975" s="6" t="str">
        <x:v>Unconfirmed — no query/page pairing</x:v>
      </x:c>
      <x:c r="O975" s="6" t="str">
        <x:v>Retain established booking / WhatsApp / call path; live behaviour untested</x:v>
      </x:c>
      <x:c r="P975" s="6" t="str">
        <x:v>Retain canonical and indexation policy pending a live check.</x:v>
      </x:c>
      <x:c r="Q975" s="6" t="str">
        <x:v>Proposed; no website change made</x:v>
      </x:c>
      <x:c r="R975" s="14" t="n">
        <x:v>0</x:v>
      </x:c>
      <x:c r="S975" s="14" t="n">
        <x:v>2</x:v>
      </x:c>
      <x:c r="T975" s="15" t="n">
        <x:v>0</x:v>
      </x:c>
      <x:c r="U975" s="16" t="n">
        <x:v>3.5</x:v>
      </x:c>
      <x:c r="V975" s="6" t="str">
        <x:v>https://digitecme.com/brands/ford-service-dubai/brake-repair</x:v>
      </x:c>
      <x:c r="W975" s="6" t="str">
        <x:v>Indexable directive</x:v>
      </x:c>
      <x:c r="X975" s="6" t="n">
        <x:v>8</x:v>
      </x:c>
      <x:c r="Y975" s="6" t="str">
        <x:v>Ford Brake Repair Dubai | Digi-Tec</x:v>
      </x:c>
      <x:c r="Z975" s="6" t="str"/>
      <x:c r="AA975" s="6" t="str">
        <x:v>No / not compared</x:v>
      </x:c>
    </x:row>
    <x:row r="976" ht="42" customHeight="1">
      <x:c r="A976" s="6" t="str">
        <x:v>https://digitecme.com/brands/ford-service-dubai/engine-diagnostics</x:v>
      </x:c>
      <x:c r="B976" s="6" t="str"/>
      <x:c r="C976" s="6" t="str"/>
      <x:c r="D976" s="6" t="str">
        <x:v>brand-service</x:v>
      </x:c>
      <x:c r="E976" s="6" t="str">
        <x:v>Retain differentiated role</x:v>
      </x:c>
      <x:c r="F976" s="6" t="str">
        <x:v>Local source render; live version unverified</x:v>
      </x:c>
      <x:c r="G976" s="6" t="str">
        <x:v>Ford Engine Diagnostics Dubai | Digi-Tec</x:v>
      </x:c>
      <x:c r="H976" s="6" t="str">
        <x:v>Ford Engine Diagnostics Dubai | Digi-Tec</x:v>
      </x:c>
      <x:c r="I976" s="6" t="str">
        <x:v>Ford Engine Diagnostics Dubai</x:v>
      </x:c>
      <x:c r="J976" s="6" t="str">
        <x:v>Ford Engine Diagnostics Dubai</x:v>
      </x:c>
      <x:c r="K976" s="6" t="str">
        <x:v>Ford engine diagnostics in Dubai with model-specific inspection, confirmed parts options and a clear quote at Digi-Tec, Al Quoz.</x:v>
      </x:c>
      <x:c r="L976" s="6" t="str">
        <x:v>Retain pending evidence; no specific content edit justified by this export.</x:v>
      </x:c>
      <x:c r="M976" s="6" t="str">
        <x:v>Retain; inspect relevant context before adding links</x:v>
      </x:c>
      <x:c r="N976" s="6" t="str">
        <x:v>Unconfirmed — no query/page pairing</x:v>
      </x:c>
      <x:c r="O976" s="6" t="str">
        <x:v>Retain established booking / WhatsApp / call path; live behaviour untested</x:v>
      </x:c>
      <x:c r="P976" s="6" t="str">
        <x:v>Retain canonical and indexation policy pending a live check.</x:v>
      </x:c>
      <x:c r="Q976" s="6" t="str">
        <x:v>Proposed; no website change made</x:v>
      </x:c>
      <x:c r="R976" s="14" t="n">
        <x:v>1</x:v>
      </x:c>
      <x:c r="S976" s="14" t="n">
        <x:v>9</x:v>
      </x:c>
      <x:c r="T976" s="15" t="n">
        <x:v>0.11109999999999999</x:v>
      </x:c>
      <x:c r="U976" s="16" t="n">
        <x:v>10.33</x:v>
      </x:c>
      <x:c r="V976" s="6" t="str">
        <x:v>https://digitecme.com/brands/ford-service-dubai/engine-diagnostics</x:v>
      </x:c>
      <x:c r="W976" s="6" t="str">
        <x:v>Indexable directive</x:v>
      </x:c>
      <x:c r="X976" s="6" t="n">
        <x:v>8</x:v>
      </x:c>
      <x:c r="Y976" s="6" t="str">
        <x:v>Ford Engine Diagnostics Dubai | Digi-Tec</x:v>
      </x:c>
      <x:c r="Z976" s="6" t="str"/>
      <x:c r="AA976" s="6" t="str">
        <x:v>No / not compared</x:v>
      </x:c>
    </x:row>
    <x:row r="977" ht="42" customHeight="1">
      <x:c r="A977" s="6" t="str">
        <x:v>https://digitecme.com/brands/ford-service-dubai/oil-change</x:v>
      </x:c>
      <x:c r="B977" s="6" t="str">
        <x:v>ford oil change service in dubai</x:v>
      </x:c>
      <x:c r="C977" s="6" t="str">
        <x:v>ford: Oil change</x:v>
      </x:c>
      <x:c r="D977" s="6" t="str">
        <x:v>brand-service</x:v>
      </x:c>
      <x:c r="E977" s="6" t="str">
        <x:v>Primary owner for assigned intent</x:v>
      </x:c>
      <x:c r="F977" s="6" t="str">
        <x:v>Local source render; live version unverified</x:v>
      </x:c>
      <x:c r="G977" s="6" t="str">
        <x:v>Ford Oil Change Dubai | Digi-Tec</x:v>
      </x:c>
      <x:c r="H977" s="6" t="str">
        <x:v>Ford Oil Change Dubai | Digi-Tec</x:v>
      </x:c>
      <x:c r="I977" s="6" t="str">
        <x:v>Ford Oil Change Dubai</x:v>
      </x:c>
      <x:c r="J977" s="6" t="str">
        <x:v>Ford Oil Change Dubai</x:v>
      </x:c>
      <x:c r="K977" s="6" t="str">
        <x:v>Ford oil change in Dubai with model-specific inspection, confirmed parts options and a clear quote at Digi-Tec, Al Quoz.</x:v>
      </x:c>
      <x:c r="L977" s="6" t="str">
        <x:v>Retain pending evidence; no specific content edit justified by this export.</x:v>
      </x:c>
      <x:c r="M977" s="6" t="str">
        <x:v>Retain; inspect relevant context before adding links</x:v>
      </x:c>
      <x:c r="N977" s="6" t="str">
        <x:v>Unconfirmed — no query/page pairing</x:v>
      </x:c>
      <x:c r="O977" s="6" t="str">
        <x:v>Retain established booking / WhatsApp / call path; live behaviour untested</x:v>
      </x:c>
      <x:c r="P977" s="6" t="str">
        <x:v>Retain canonical and indexation policy pending a live check.</x:v>
      </x:c>
      <x:c r="Q977" s="6" t="str">
        <x:v>Proposed; no website change made</x:v>
      </x:c>
      <x:c r="R977" s="14" t="n">
        <x:v>0</x:v>
      </x:c>
      <x:c r="S977" s="14" t="n">
        <x:v>73</x:v>
      </x:c>
      <x:c r="T977" s="15" t="n">
        <x:v>0</x:v>
      </x:c>
      <x:c r="U977" s="16" t="n">
        <x:v>25.05</x:v>
      </x:c>
      <x:c r="V977" s="6" t="str">
        <x:v>https://digitecme.com/brands/ford-service-dubai/oil-change</x:v>
      </x:c>
      <x:c r="W977" s="6" t="str">
        <x:v>Indexable directive</x:v>
      </x:c>
      <x:c r="X977" s="6" t="n">
        <x:v>8</x:v>
      </x:c>
      <x:c r="Y977" s="6" t="str">
        <x:v>Ford Oil Change Dubai | Digi-Tec</x:v>
      </x:c>
      <x:c r="Z977" s="6" t="str"/>
      <x:c r="AA977" s="6" t="str">
        <x:v>No / not compared</x:v>
      </x:c>
    </x:row>
    <x:row r="978" ht="42" customHeight="1">
      <x:c r="A978" s="6" t="str">
        <x:v>https://digitecme.com/brands/ford-service-dubai/suspension-repair</x:v>
      </x:c>
      <x:c r="B978" s="6" t="str"/>
      <x:c r="C978" s="6" t="str"/>
      <x:c r="D978" s="6" t="str">
        <x:v>brand-service</x:v>
      </x:c>
      <x:c r="E978" s="6" t="str">
        <x:v>Retain differentiated role</x:v>
      </x:c>
      <x:c r="F978" s="6" t="str">
        <x:v>Local source render; live version unverified</x:v>
      </x:c>
      <x:c r="G978" s="6" t="str">
        <x:v>Ford Suspension Repair Dubai | Digi-Tec</x:v>
      </x:c>
      <x:c r="H978" s="6" t="str">
        <x:v>Ford Suspension Repair Dubai | Digi-Tec</x:v>
      </x:c>
      <x:c r="I978" s="6" t="str">
        <x:v>Ford Suspension Repair Dubai</x:v>
      </x:c>
      <x:c r="J978" s="6" t="str">
        <x:v>Ford Suspension Repair Dubai</x:v>
      </x:c>
      <x:c r="K978" s="6" t="str">
        <x:v>Ford suspension repair in Dubai with model-specific inspection, confirmed parts options and a clear quote at Digi-Tec, Al Quoz.</x:v>
      </x:c>
      <x:c r="L978" s="6" t="str">
        <x:v>Retain pending evidence; no specific content edit justified by this export.</x:v>
      </x:c>
      <x:c r="M978" s="6" t="str">
        <x:v>Retain; inspect relevant context before adding links</x:v>
      </x:c>
      <x:c r="N978" s="6" t="str">
        <x:v>Unconfirmed — no query/page pairing</x:v>
      </x:c>
      <x:c r="O978" s="6" t="str">
        <x:v>Retain established booking / WhatsApp / call path; live behaviour untested</x:v>
      </x:c>
      <x:c r="P978" s="6" t="str">
        <x:v>Retain canonical and indexation policy pending a live check.</x:v>
      </x:c>
      <x:c r="Q978" s="6" t="str">
        <x:v>Proposed; no website change made</x:v>
      </x:c>
      <x:c r="R978" s="14" t="n">
        <x:v>0</x:v>
      </x:c>
      <x:c r="S978" s="14" t="n">
        <x:v>4</x:v>
      </x:c>
      <x:c r="T978" s="15" t="n">
        <x:v>0</x:v>
      </x:c>
      <x:c r="U978" s="16" t="n">
        <x:v>11</x:v>
      </x:c>
      <x:c r="V978" s="6" t="str">
        <x:v>https://digitecme.com/brands/ford-service-dubai/suspension-repair</x:v>
      </x:c>
      <x:c r="W978" s="6" t="str">
        <x:v>Noindex directive</x:v>
      </x:c>
      <x:c r="X978" s="6" t="n">
        <x:v>8</x:v>
      </x:c>
      <x:c r="Y978" s="6" t="str">
        <x:v>Ford Suspension Repair Dubai | Digi-Tec</x:v>
      </x:c>
      <x:c r="Z978" s="6" t="str"/>
      <x:c r="AA978" s="6" t="str">
        <x:v>No / not compared</x:v>
      </x:c>
    </x:row>
    <x:row r="979" ht="42" customHeight="1">
      <x:c r="A979" s="6" t="str">
        <x:v>https://digitecme.com/brands/ford-service-dubai/transmission-repair</x:v>
      </x:c>
      <x:c r="B979" s="6" t="str"/>
      <x:c r="C979" s="6" t="str"/>
      <x:c r="D979" s="6" t="str">
        <x:v>brand-service</x:v>
      </x:c>
      <x:c r="E979" s="6" t="str">
        <x:v>Retain differentiated role</x:v>
      </x:c>
      <x:c r="F979" s="6" t="str">
        <x:v>Local source render; live version unverified</x:v>
      </x:c>
      <x:c r="G979" s="6" t="str">
        <x:v>Ford Transmission Repair Dubai | Digi-Tec</x:v>
      </x:c>
      <x:c r="H979" s="6" t="str">
        <x:v>Ford Transmission Repair Dubai | Digi-Tec</x:v>
      </x:c>
      <x:c r="I979" s="6" t="str">
        <x:v>Ford Transmission Repair Dubai</x:v>
      </x:c>
      <x:c r="J979" s="6" t="str">
        <x:v>Ford Transmission Repair Dubai</x:v>
      </x:c>
      <x:c r="K979" s="6" t="str">
        <x:v>Ford transmission repair in Dubai with model-specific inspection, confirmed parts options and a clear quote at Digi-Tec, Al Quoz.</x:v>
      </x:c>
      <x:c r="L979" s="6" t="str">
        <x:v>Retain pending evidence; no specific content edit justified by this export.</x:v>
      </x:c>
      <x:c r="M979" s="6" t="str">
        <x:v>Retain; inspect relevant context before adding links</x:v>
      </x:c>
      <x:c r="N979" s="6" t="str">
        <x:v>Unconfirmed — no query/page pairing</x:v>
      </x:c>
      <x:c r="O979" s="6" t="str">
        <x:v>Retain established booking / WhatsApp / call path; live behaviour untested</x:v>
      </x:c>
      <x:c r="P979" s="6" t="str">
        <x:v>Retain canonical and indexation policy pending a live check.</x:v>
      </x:c>
      <x:c r="Q979" s="6" t="str">
        <x:v>Proposed; no website change made</x:v>
      </x:c>
      <x:c r="R979" s="14" t="n">
        <x:v>0</x:v>
      </x:c>
      <x:c r="S979" s="14" t="n">
        <x:v>14</x:v>
      </x:c>
      <x:c r="T979" s="15" t="n">
        <x:v>0</x:v>
      </x:c>
      <x:c r="U979" s="16" t="n">
        <x:v>8</x:v>
      </x:c>
      <x:c r="V979" s="6" t="str">
        <x:v>https://digitecme.com/brands/ford-service-dubai/transmission-repair</x:v>
      </x:c>
      <x:c r="W979" s="6" t="str">
        <x:v>Noindex directive</x:v>
      </x:c>
      <x:c r="X979" s="6" t="n">
        <x:v>8</x:v>
      </x:c>
      <x:c r="Y979" s="6" t="str">
        <x:v>Ford Transmission Repair Dubai | Digi-Tec</x:v>
      </x:c>
      <x:c r="Z979" s="6" t="str"/>
      <x:c r="AA979" s="6" t="str">
        <x:v>No / not compared</x:v>
      </x:c>
    </x:row>
    <x:row r="980" ht="42" customHeight="1">
      <x:c r="A980" s="6" t="str">
        <x:v>https://digitecme.com/brands/genesis-service-dubai</x:v>
      </x:c>
      <x:c r="B980" s="6" t="str"/>
      <x:c r="C980" s="6" t="str"/>
      <x:c r="D980" s="6" t="str">
        <x:v>brand</x:v>
      </x:c>
      <x:c r="E980" s="6" t="str">
        <x:v>Retain differentiated role</x:v>
      </x:c>
      <x:c r="F980" s="6" t="str">
        <x:v>Local source render; live version unverified</x:v>
      </x:c>
      <x:c r="G980" s="6" t="str">
        <x:v>Genesis Repair Dubai | Digi-Tec</x:v>
      </x:c>
      <x:c r="H980" s="6" t="str">
        <x:v>Genesis Repair Dubai | Digi-Tec</x:v>
      </x:c>
      <x:c r="I980" s="6" t="str">
        <x:v>Genesis Repair &amp; Service Dubai</x:v>
      </x:c>
      <x:c r="J980" s="6" t="str">
        <x:v>Genesis Repair &amp; Service Dubai</x:v>
      </x:c>
      <x:c r="K980" s="6" t="str">
        <x:v>Specialist Genesis repair and service in Dubai: diagnostics, maintenance, brakes, transmission, suspension and AC at Digi-Tec, Al Quoz.</x:v>
      </x:c>
      <x:c r="L980" s="6" t="str">
        <x:v>Retain pending evidence; no specific content edit justified by this export.</x:v>
      </x:c>
      <x:c r="M980" s="6" t="str">
        <x:v>Retain; inspect relevant context before adding links</x:v>
      </x:c>
      <x:c r="N980" s="6" t="str">
        <x:v>Unconfirmed — no query/page pairing</x:v>
      </x:c>
      <x:c r="O980" s="6" t="str">
        <x:v>Retain established booking / WhatsApp / call path; live behaviour untested</x:v>
      </x:c>
      <x:c r="P980" s="6" t="str">
        <x:v>Retain canonical and indexation policy pending a live check.</x:v>
      </x:c>
      <x:c r="Q980" s="6" t="str">
        <x:v>Proposed; no website change made</x:v>
      </x:c>
      <x:c r="R980" s="14" t="n">
        <x:v>0</x:v>
      </x:c>
      <x:c r="S980" s="14" t="n">
        <x:v>39</x:v>
      </x:c>
      <x:c r="T980" s="15" t="n">
        <x:v>0</x:v>
      </x:c>
      <x:c r="U980" s="16" t="n">
        <x:v>12.31</x:v>
      </x:c>
      <x:c r="V980" s="6" t="str">
        <x:v>https://digitecme.com/brands/genesis-service-dubai</x:v>
      </x:c>
      <x:c r="W980" s="6" t="str">
        <x:v>Indexable directive</x:v>
      </x:c>
      <x:c r="X980" s="6" t="n">
        <x:v>28</x:v>
      </x:c>
      <x:c r="Y980" s="6" t="str">
        <x:v>Genesis Repair Dubai | Digi-Tec</x:v>
      </x:c>
      <x:c r="Z980" s="6" t="str"/>
      <x:c r="AA980" s="6" t="str">
        <x:v>No / not compared</x:v>
      </x:c>
    </x:row>
    <x:row r="981" ht="42" customHeight="1">
      <x:c r="A981" s="6" t="str">
        <x:v>https://digitecme.com/brands/genesis-service-dubai/ac-repair</x:v>
      </x:c>
      <x:c r="B981" s="6" t="str"/>
      <x:c r="C981" s="6" t="str"/>
      <x:c r="D981" s="6" t="str">
        <x:v>brand-service</x:v>
      </x:c>
      <x:c r="E981" s="6" t="str">
        <x:v>Retain differentiated role</x:v>
      </x:c>
      <x:c r="F981" s="6" t="str">
        <x:v>Local source render; live version unverified</x:v>
      </x:c>
      <x:c r="G981" s="6" t="str">
        <x:v>Genesis AC Repair Dubai | Digi-Tec</x:v>
      </x:c>
      <x:c r="H981" s="6" t="str">
        <x:v>Genesis AC Repair Dubai | Digi-Tec</x:v>
      </x:c>
      <x:c r="I981" s="6" t="str">
        <x:v>Genesis AC Repair Dubai</x:v>
      </x:c>
      <x:c r="J981" s="6" t="str">
        <x:v>Genesis AC Repair Dubai</x:v>
      </x:c>
      <x:c r="K981" s="6" t="str">
        <x:v>Genesis ac repair in Dubai with model-specific inspection, confirmed parts options and a clear quote at Digi-Tec, Al Quoz.</x:v>
      </x:c>
      <x:c r="L981" s="6" t="str">
        <x:v>Retain pending evidence; no specific content edit justified by this export.</x:v>
      </x:c>
      <x:c r="M981" s="6" t="str">
        <x:v>Retain; inspect relevant context before adding links</x:v>
      </x:c>
      <x:c r="N981" s="6" t="str">
        <x:v>Unconfirmed — no query/page pairing</x:v>
      </x:c>
      <x:c r="O981" s="6" t="str">
        <x:v>Retain established booking / WhatsApp / call path; live behaviour untested</x:v>
      </x:c>
      <x:c r="P981" s="6" t="str">
        <x:v>Retain canonical and indexation policy pending a live check.</x:v>
      </x:c>
      <x:c r="Q981" s="6" t="str">
        <x:v>Proposed; no website change made</x:v>
      </x:c>
      <x:c r="R981" s="14" t="n">
        <x:v>0</x:v>
      </x:c>
      <x:c r="S981" s="14" t="n">
        <x:v>3</x:v>
      </x:c>
      <x:c r="T981" s="15" t="n">
        <x:v>0</x:v>
      </x:c>
      <x:c r="U981" s="16" t="n">
        <x:v>4.67</x:v>
      </x:c>
      <x:c r="V981" s="6" t="str">
        <x:v>https://digitecme.com/brands/genesis-service-dubai/ac-repair</x:v>
      </x:c>
      <x:c r="W981" s="6" t="str">
        <x:v>Indexable directive</x:v>
      </x:c>
      <x:c r="X981" s="6" t="n">
        <x:v>8</x:v>
      </x:c>
      <x:c r="Y981" s="6" t="str">
        <x:v>Genesis AC Repair Dubai | Digi-Tec</x:v>
      </x:c>
      <x:c r="Z981" s="6" t="str"/>
      <x:c r="AA981" s="6" t="str">
        <x:v>No / not compared</x:v>
      </x:c>
    </x:row>
    <x:row r="982" ht="42" customHeight="1">
      <x:c r="A982" s="6" t="str">
        <x:v>https://digitecme.com/brands/genesis-service-dubai/brake-repair</x:v>
      </x:c>
      <x:c r="B982" s="6" t="str"/>
      <x:c r="C982" s="6" t="str"/>
      <x:c r="D982" s="6" t="str">
        <x:v>brand-service</x:v>
      </x:c>
      <x:c r="E982" s="6" t="str">
        <x:v>Retain differentiated role</x:v>
      </x:c>
      <x:c r="F982" s="6" t="str">
        <x:v>Local source render; live version unverified</x:v>
      </x:c>
      <x:c r="G982" s="6" t="str">
        <x:v>Genesis Brake Repair Dubai | Digi-Tec</x:v>
      </x:c>
      <x:c r="H982" s="6" t="str">
        <x:v>Genesis Brake Repair Dubai | Digi-Tec</x:v>
      </x:c>
      <x:c r="I982" s="6" t="str">
        <x:v>Genesis Brake Repair Dubai</x:v>
      </x:c>
      <x:c r="J982" s="6" t="str">
        <x:v>Genesis Brake Repair Dubai</x:v>
      </x:c>
      <x:c r="K982" s="6" t="str">
        <x:v>Genesis brake repair in Dubai with model-specific inspection, confirmed parts options and a clear quote at Digi-Tec, Al Quoz.</x:v>
      </x:c>
      <x:c r="L982" s="6" t="str">
        <x:v>Retain pending evidence; no specific content edit justified by this export.</x:v>
      </x:c>
      <x:c r="M982" s="6" t="str">
        <x:v>Retain; inspect relevant context before adding links</x:v>
      </x:c>
      <x:c r="N982" s="6" t="str">
        <x:v>Unconfirmed — no query/page pairing</x:v>
      </x:c>
      <x:c r="O982" s="6" t="str">
        <x:v>Retain established booking / WhatsApp / call path; live behaviour untested</x:v>
      </x:c>
      <x:c r="P982" s="6" t="str">
        <x:v>Retain canonical and indexation policy pending a live check.</x:v>
      </x:c>
      <x:c r="Q982" s="6" t="str">
        <x:v>Proposed; no website change made</x:v>
      </x:c>
      <x:c r="R982" s="14" t="n">
        <x:v>0</x:v>
      </x:c>
      <x:c r="S982" s="14" t="n">
        <x:v>3</x:v>
      </x:c>
      <x:c r="T982" s="15" t="n">
        <x:v>0</x:v>
      </x:c>
      <x:c r="U982" s="16" t="n">
        <x:v>8.67</x:v>
      </x:c>
      <x:c r="V982" s="6" t="str">
        <x:v>https://digitecme.com/brands/genesis-service-dubai/brake-repair</x:v>
      </x:c>
      <x:c r="W982" s="6" t="str">
        <x:v>Indexable directive</x:v>
      </x:c>
      <x:c r="X982" s="6" t="n">
        <x:v>8</x:v>
      </x:c>
      <x:c r="Y982" s="6" t="str">
        <x:v>Genesis Brake Repair Dubai | Digi-Tec</x:v>
      </x:c>
      <x:c r="Z982" s="6" t="str"/>
      <x:c r="AA982" s="6" t="str">
        <x:v>No / not compared</x:v>
      </x:c>
    </x:row>
    <x:row r="983" ht="42" customHeight="1">
      <x:c r="A983" s="6" t="str">
        <x:v>https://digitecme.com/brands/genesis-service-dubai/engine-diagnostics</x:v>
      </x:c>
      <x:c r="B983" s="6" t="str"/>
      <x:c r="C983" s="6" t="str"/>
      <x:c r="D983" s="6" t="str">
        <x:v>brand-service</x:v>
      </x:c>
      <x:c r="E983" s="6" t="str">
        <x:v>Retain differentiated role</x:v>
      </x:c>
      <x:c r="F983" s="6" t="str">
        <x:v>Local source render; live version unverified</x:v>
      </x:c>
      <x:c r="G983" s="6" t="str">
        <x:v>Genesis Engine Diagnostics Dubai | Digi-Tec</x:v>
      </x:c>
      <x:c r="H983" s="6" t="str">
        <x:v>Genesis Engine Diagnostics Dubai | Digi-Tec</x:v>
      </x:c>
      <x:c r="I983" s="6" t="str">
        <x:v>Genesis Engine Diagnostics Dubai</x:v>
      </x:c>
      <x:c r="J983" s="6" t="str">
        <x:v>Genesis Engine Diagnostics Dubai</x:v>
      </x:c>
      <x:c r="K983" s="6" t="str">
        <x:v>Genesis engine diagnostics in Dubai with model-specific inspection, confirmed parts options and a clear quote at Digi-Tec, Al Quoz.</x:v>
      </x:c>
      <x:c r="L983" s="6" t="str">
        <x:v>Retain pending evidence; no specific content edit justified by this export.</x:v>
      </x:c>
      <x:c r="M983" s="6" t="str">
        <x:v>Retain; inspect relevant context before adding links</x:v>
      </x:c>
      <x:c r="N983" s="6" t="str">
        <x:v>Unconfirmed — no query/page pairing</x:v>
      </x:c>
      <x:c r="O983" s="6" t="str">
        <x:v>Retain established booking / WhatsApp / call path; live behaviour untested</x:v>
      </x:c>
      <x:c r="P983" s="6" t="str">
        <x:v>Retain canonical and indexation policy pending a live check.</x:v>
      </x:c>
      <x:c r="Q983" s="6" t="str">
        <x:v>Proposed; no website change made</x:v>
      </x:c>
      <x:c r="R983" s="14" t="n">
        <x:v>0</x:v>
      </x:c>
      <x:c r="S983" s="14" t="n">
        <x:v>2</x:v>
      </x:c>
      <x:c r="T983" s="15" t="n">
        <x:v>0</x:v>
      </x:c>
      <x:c r="U983" s="16" t="n">
        <x:v>3</x:v>
      </x:c>
      <x:c r="V983" s="6" t="str">
        <x:v>https://digitecme.com/brands/genesis-service-dubai/engine-diagnostics</x:v>
      </x:c>
      <x:c r="W983" s="6" t="str">
        <x:v>Indexable directive</x:v>
      </x:c>
      <x:c r="X983" s="6" t="n">
        <x:v>8</x:v>
      </x:c>
      <x:c r="Y983" s="6" t="str">
        <x:v>Genesis Engine Diagnostics Dubai | Digi-Tec</x:v>
      </x:c>
      <x:c r="Z983" s="6" t="str"/>
      <x:c r="AA983" s="6" t="str">
        <x:v>No / not compared</x:v>
      </x:c>
    </x:row>
    <x:row r="984" ht="42" customHeight="1">
      <x:c r="A984" s="6" t="str">
        <x:v>https://digitecme.com/brands/genesis-service-dubai/oil-change</x:v>
      </x:c>
      <x:c r="B984" s="6" t="str"/>
      <x:c r="C984" s="6" t="str"/>
      <x:c r="D984" s="6" t="str">
        <x:v>brand-service</x:v>
      </x:c>
      <x:c r="E984" s="6" t="str">
        <x:v>Retain differentiated role</x:v>
      </x:c>
      <x:c r="F984" s="6" t="str">
        <x:v>Local source render; live version unverified</x:v>
      </x:c>
      <x:c r="G984" s="6" t="str">
        <x:v>Genesis Oil Change Dubai | Digi-Tec</x:v>
      </x:c>
      <x:c r="H984" s="6" t="str">
        <x:v>Genesis Oil Change Dubai | Digi-Tec</x:v>
      </x:c>
      <x:c r="I984" s="6" t="str">
        <x:v>Genesis Oil Change Dubai</x:v>
      </x:c>
      <x:c r="J984" s="6" t="str">
        <x:v>Genesis Oil Change Dubai</x:v>
      </x:c>
      <x:c r="K984" s="6" t="str">
        <x:v>Genesis oil change in Dubai with model-specific inspection, confirmed parts options and a clear quote at Digi-Tec, Al Quoz.</x:v>
      </x:c>
      <x:c r="L984" s="6" t="str">
        <x:v>Retain pending evidence; no specific content edit justified by this export.</x:v>
      </x:c>
      <x:c r="M984" s="6" t="str">
        <x:v>Retain; inspect relevant context before adding links</x:v>
      </x:c>
      <x:c r="N984" s="6" t="str">
        <x:v>Unconfirmed — no query/page pairing</x:v>
      </x:c>
      <x:c r="O984" s="6" t="str">
        <x:v>Retain established booking / WhatsApp / call path; live behaviour untested</x:v>
      </x:c>
      <x:c r="P984" s="6" t="str">
        <x:v>Retain canonical and indexation policy pending a live check.</x:v>
      </x:c>
      <x:c r="Q984" s="6" t="str">
        <x:v>Proposed; no website change made</x:v>
      </x:c>
      <x:c r="R984" s="14" t="n">
        <x:v>0</x:v>
      </x:c>
      <x:c r="S984" s="14" t="n">
        <x:v>6</x:v>
      </x:c>
      <x:c r="T984" s="15" t="n">
        <x:v>0</x:v>
      </x:c>
      <x:c r="U984" s="16" t="n">
        <x:v>4.67</x:v>
      </x:c>
      <x:c r="V984" s="6" t="str">
        <x:v>https://digitecme.com/brands/genesis-service-dubai/oil-change</x:v>
      </x:c>
      <x:c r="W984" s="6" t="str">
        <x:v>Indexable directive</x:v>
      </x:c>
      <x:c r="X984" s="6" t="n">
        <x:v>8</x:v>
      </x:c>
      <x:c r="Y984" s="6" t="str">
        <x:v>Genesis Oil Change Dubai | Digi-Tec</x:v>
      </x:c>
      <x:c r="Z984" s="6" t="str"/>
      <x:c r="AA984" s="6" t="str">
        <x:v>No / not compared</x:v>
      </x:c>
    </x:row>
    <x:row r="985" ht="42" customHeight="1">
      <x:c r="A985" s="6" t="str">
        <x:v>https://digitecme.com/brands/genesis-service-dubai/suspension-repair</x:v>
      </x:c>
      <x:c r="B985" s="6" t="str"/>
      <x:c r="C985" s="6" t="str"/>
      <x:c r="D985" s="6" t="str">
        <x:v>brand-service</x:v>
      </x:c>
      <x:c r="E985" s="6" t="str">
        <x:v>Retain differentiated role</x:v>
      </x:c>
      <x:c r="F985" s="6" t="str">
        <x:v>Local source render; live version unverified</x:v>
      </x:c>
      <x:c r="G985" s="6" t="str">
        <x:v>Genesis Suspension Repair Dubai | Digi-Tec</x:v>
      </x:c>
      <x:c r="H985" s="6" t="str">
        <x:v>Genesis Suspension Repair Dubai | Digi-Tec</x:v>
      </x:c>
      <x:c r="I985" s="6" t="str">
        <x:v>Genesis Suspension Repair Dubai</x:v>
      </x:c>
      <x:c r="J985" s="6" t="str">
        <x:v>Genesis Suspension Repair Dubai</x:v>
      </x:c>
      <x:c r="K985" s="6" t="str">
        <x:v>Genesis suspension repair in Dubai with model-specific inspection, confirmed parts options and a clear quote at Digi-Tec, Al Quoz.</x:v>
      </x:c>
      <x:c r="L985" s="6" t="str">
        <x:v>Retain pending evidence; no specific content edit justified by this export.</x:v>
      </x:c>
      <x:c r="M985" s="6" t="str">
        <x:v>Retain; inspect relevant context before adding links</x:v>
      </x:c>
      <x:c r="N985" s="6" t="str">
        <x:v>Unconfirmed — no query/page pairing</x:v>
      </x:c>
      <x:c r="O985" s="6" t="str">
        <x:v>Retain established booking / WhatsApp / call path; live behaviour untested</x:v>
      </x:c>
      <x:c r="P985" s="6" t="str">
        <x:v>Retain canonical and indexation policy pending a live check.</x:v>
      </x:c>
      <x:c r="Q985" s="6" t="str">
        <x:v>Proposed; no website change made</x:v>
      </x:c>
      <x:c r="R985" s="14" t="n">
        <x:v>0</x:v>
      </x:c>
      <x:c r="S985" s="14" t="n">
        <x:v>7</x:v>
      </x:c>
      <x:c r="T985" s="15" t="n">
        <x:v>0</x:v>
      </x:c>
      <x:c r="U985" s="16" t="n">
        <x:v>6.86</x:v>
      </x:c>
      <x:c r="V985" s="6" t="str">
        <x:v>https://digitecme.com/brands/genesis-service-dubai/suspension-repair</x:v>
      </x:c>
      <x:c r="W985" s="6" t="str">
        <x:v>Noindex directive</x:v>
      </x:c>
      <x:c r="X985" s="6" t="n">
        <x:v>8</x:v>
      </x:c>
      <x:c r="Y985" s="6" t="str">
        <x:v>Genesis Suspension Repair Dubai | Digi-Tec</x:v>
      </x:c>
      <x:c r="Z985" s="6" t="str"/>
      <x:c r="AA985" s="6" t="str">
        <x:v>No / not compared</x:v>
      </x:c>
    </x:row>
    <x:row r="986" ht="42" customHeight="1">
      <x:c r="A986" s="6" t="str">
        <x:v>https://digitecme.com/brands/genesis-service-dubai/transmission-repair</x:v>
      </x:c>
      <x:c r="B986" s="6" t="str"/>
      <x:c r="C986" s="6" t="str"/>
      <x:c r="D986" s="6" t="str">
        <x:v>brand-service</x:v>
      </x:c>
      <x:c r="E986" s="6" t="str">
        <x:v>Retain differentiated role</x:v>
      </x:c>
      <x:c r="F986" s="6" t="str">
        <x:v>Local source render; live version unverified</x:v>
      </x:c>
      <x:c r="G986" s="6" t="str">
        <x:v>Genesis Transmission Repair Dubai | Digi-Tec</x:v>
      </x:c>
      <x:c r="H986" s="6" t="str">
        <x:v>Genesis Transmission Repair Dubai | Digi-Tec</x:v>
      </x:c>
      <x:c r="I986" s="6" t="str">
        <x:v>Genesis Transmission Repair Dubai</x:v>
      </x:c>
      <x:c r="J986" s="6" t="str">
        <x:v>Genesis Transmission Repair Dubai</x:v>
      </x:c>
      <x:c r="K986" s="6" t="str">
        <x:v>Genesis transmission repair in Dubai with model-specific inspection, confirmed parts options and a clear quote at Digi-Tec, Al Quoz.</x:v>
      </x:c>
      <x:c r="L986" s="6" t="str">
        <x:v>Retain pending evidence; no specific content edit justified by this export.</x:v>
      </x:c>
      <x:c r="M986" s="6" t="str">
        <x:v>Retain; inspect relevant context before adding links</x:v>
      </x:c>
      <x:c r="N986" s="6" t="str">
        <x:v>Unconfirmed — no query/page pairing</x:v>
      </x:c>
      <x:c r="O986" s="6" t="str">
        <x:v>Retain established booking / WhatsApp / call path; live behaviour untested</x:v>
      </x:c>
      <x:c r="P986" s="6" t="str">
        <x:v>Retain canonical and indexation policy pending a live check.</x:v>
      </x:c>
      <x:c r="Q986" s="6" t="str">
        <x:v>Proposed; no website change made</x:v>
      </x:c>
      <x:c r="R986" s="14" t="n">
        <x:v>0</x:v>
      </x:c>
      <x:c r="S986" s="14" t="n">
        <x:v>4</x:v>
      </x:c>
      <x:c r="T986" s="15" t="n">
        <x:v>0</x:v>
      </x:c>
      <x:c r="U986" s="16" t="n">
        <x:v>8.25</x:v>
      </x:c>
      <x:c r="V986" s="6" t="str">
        <x:v>https://digitecme.com/brands/genesis-service-dubai/transmission-repair</x:v>
      </x:c>
      <x:c r="W986" s="6" t="str">
        <x:v>Noindex directive</x:v>
      </x:c>
      <x:c r="X986" s="6" t="n">
        <x:v>8</x:v>
      </x:c>
      <x:c r="Y986" s="6" t="str">
        <x:v>Genesis Transmission Repair Dubai | Digi-Tec</x:v>
      </x:c>
      <x:c r="Z986" s="6" t="str"/>
      <x:c r="AA986" s="6" t="str">
        <x:v>No / not compared</x:v>
      </x:c>
    </x:row>
    <x:row r="987" ht="42" customHeight="1">
      <x:c r="A987" s="6" t="str">
        <x:v>https://digitecme.com/brands/gmc-service-dubai</x:v>
      </x:c>
      <x:c r="B987" s="6" t="str">
        <x:v>gmc repair dubai</x:v>
      </x:c>
      <x:c r="C987" s="6" t="str">
        <x:v>gmc: Service and repair; gmc: Engine and mechanical repair</x:v>
      </x:c>
      <x:c r="D987" s="6" t="str">
        <x:v>brand</x:v>
      </x:c>
      <x:c r="E987" s="6" t="str">
        <x:v>Primary owner for assigned intent</x:v>
      </x:c>
      <x:c r="F987" s="6" t="str">
        <x:v>Local source render; live version unverified</x:v>
      </x:c>
      <x:c r="G987" s="6" t="str">
        <x:v>GMC Repair Dubai | Digi-Tec</x:v>
      </x:c>
      <x:c r="H987" s="6" t="str">
        <x:v>GMC Repair Dubai | Digi-Tec</x:v>
      </x:c>
      <x:c r="I987" s="6" t="str">
        <x:v>GMC Repair &amp; Service Dubai</x:v>
      </x:c>
      <x:c r="J987" s="6" t="str">
        <x:v>GMC Repair &amp; Service Dubai</x:v>
      </x:c>
      <x:c r="K987" s="6" t="str">
        <x:v>Specialist GMC repair and service in Dubai: diagnostics, maintenance, brakes, transmission, suspension and AC at Digi-Tec, Al Quoz.</x:v>
      </x:c>
      <x:c r="L987" s="6" t="str">
        <x:v>Retain pending evidence; no specific content edit justified by this export.</x:v>
      </x:c>
      <x:c r="M987" s="6" t="str">
        <x:v>Retain; inspect relevant context before adding links</x:v>
      </x:c>
      <x:c r="N987" s="6" t="str">
        <x:v>Unconfirmed — no query/page pairing</x:v>
      </x:c>
      <x:c r="O987" s="6" t="str">
        <x:v>Retain established booking / WhatsApp / call path; live behaviour untested</x:v>
      </x:c>
      <x:c r="P987" s="6" t="str">
        <x:v>Retain canonical and indexation policy pending a live check.</x:v>
      </x:c>
      <x:c r="Q987" s="6" t="str">
        <x:v>Proposed; no website change made</x:v>
      </x:c>
      <x:c r="R987" s="14" t="n">
        <x:v>0</x:v>
      </x:c>
      <x:c r="S987" s="14" t="n">
        <x:v>186</x:v>
      </x:c>
      <x:c r="T987" s="15" t="n">
        <x:v>0</x:v>
      </x:c>
      <x:c r="U987" s="16" t="n">
        <x:v>41.09</x:v>
      </x:c>
      <x:c r="V987" s="6" t="str">
        <x:v>https://digitecme.com/brands/gmc-service-dubai</x:v>
      </x:c>
      <x:c r="W987" s="6" t="str">
        <x:v>Indexable directive</x:v>
      </x:c>
      <x:c r="X987" s="6" t="n">
        <x:v>28</x:v>
      </x:c>
      <x:c r="Y987" s="6" t="str">
        <x:v>GMC Repair Dubai | Digi-Tec</x:v>
      </x:c>
      <x:c r="Z987" s="6" t="str"/>
      <x:c r="AA987" s="6" t="str">
        <x:v>No / not compared</x:v>
      </x:c>
    </x:row>
    <x:row r="988" ht="42" customHeight="1">
      <x:c r="A988" s="6" t="str">
        <x:v>https://digitecme.com/brands/gmc-service-dubai/ac-repair</x:v>
      </x:c>
      <x:c r="B988" s="6" t="str"/>
      <x:c r="C988" s="6" t="str"/>
      <x:c r="D988" s="6" t="str">
        <x:v>brand-service</x:v>
      </x:c>
      <x:c r="E988" s="6" t="str">
        <x:v>Retain differentiated role</x:v>
      </x:c>
      <x:c r="F988" s="6" t="str">
        <x:v>Local source render; live version unverified</x:v>
      </x:c>
      <x:c r="G988" s="6" t="str">
        <x:v>GMC AC Repair Dubai | Digi-Tec</x:v>
      </x:c>
      <x:c r="H988" s="6" t="str">
        <x:v>GMC AC Repair Dubai | Digi-Tec</x:v>
      </x:c>
      <x:c r="I988" s="6" t="str">
        <x:v>GMC AC Repair Dubai</x:v>
      </x:c>
      <x:c r="J988" s="6" t="str">
        <x:v>GMC AC Repair Dubai</x:v>
      </x:c>
      <x:c r="K988" s="6" t="str">
        <x:v>GMC ac repair in Dubai with model-specific inspection, confirmed parts options and a clear quote at Digi-Tec, Al Quoz.</x:v>
      </x:c>
      <x:c r="L988" s="6" t="str">
        <x:v>Retain pending evidence; no specific content edit justified by this export.</x:v>
      </x:c>
      <x:c r="M988" s="6" t="str">
        <x:v>Retain; inspect relevant context before adding links</x:v>
      </x:c>
      <x:c r="N988" s="6" t="str">
        <x:v>Unconfirmed — no query/page pairing</x:v>
      </x:c>
      <x:c r="O988" s="6" t="str">
        <x:v>Retain established booking / WhatsApp / call path; live behaviour untested</x:v>
      </x:c>
      <x:c r="P988" s="6" t="str">
        <x:v>Retain canonical and indexation policy pending a live check.</x:v>
      </x:c>
      <x:c r="Q988" s="6" t="str">
        <x:v>Proposed; no website change made</x:v>
      </x:c>
      <x:c r="R988" s="14" t="n">
        <x:v>1</x:v>
      </x:c>
      <x:c r="S988" s="14" t="n">
        <x:v>4</x:v>
      </x:c>
      <x:c r="T988" s="15" t="n">
        <x:v>0.25</x:v>
      </x:c>
      <x:c r="U988" s="16" t="n">
        <x:v>8.75</x:v>
      </x:c>
      <x:c r="V988" s="6" t="str">
        <x:v>https://digitecme.com/brands/gmc-service-dubai/ac-repair</x:v>
      </x:c>
      <x:c r="W988" s="6" t="str">
        <x:v>Indexable directive</x:v>
      </x:c>
      <x:c r="X988" s="6" t="n">
        <x:v>8</x:v>
      </x:c>
      <x:c r="Y988" s="6" t="str">
        <x:v>GMC AC Repair Dubai | Digi-Tec</x:v>
      </x:c>
      <x:c r="Z988" s="6" t="str"/>
      <x:c r="AA988" s="6" t="str">
        <x:v>No / not compared</x:v>
      </x:c>
    </x:row>
    <x:row r="989" ht="42" customHeight="1">
      <x:c r="A989" s="6" t="str">
        <x:v>https://digitecme.com/brands/gmc-service-dubai/brake-repair</x:v>
      </x:c>
      <x:c r="B989" s="6" t="str"/>
      <x:c r="C989" s="6" t="str"/>
      <x:c r="D989" s="6" t="str">
        <x:v>brand-service</x:v>
      </x:c>
      <x:c r="E989" s="6" t="str">
        <x:v>Retain differentiated role</x:v>
      </x:c>
      <x:c r="F989" s="6" t="str">
        <x:v>Local source render; live version unverified</x:v>
      </x:c>
      <x:c r="G989" s="6" t="str">
        <x:v>GMC Brake Repair Dubai | Digi-Tec</x:v>
      </x:c>
      <x:c r="H989" s="6" t="str">
        <x:v>GMC Brake Repair Dubai | Digi-Tec</x:v>
      </x:c>
      <x:c r="I989" s="6" t="str">
        <x:v>GMC Brake Repair Dubai</x:v>
      </x:c>
      <x:c r="J989" s="6" t="str">
        <x:v>GMC Brake Repair Dubai</x:v>
      </x:c>
      <x:c r="K989" s="6" t="str">
        <x:v>GMC brake repair in Dubai with model-specific inspection, confirmed parts options and a clear quote at Digi-Tec, Al Quoz.</x:v>
      </x:c>
      <x:c r="L989" s="6" t="str">
        <x:v>Retain pending evidence; no specific content edit justified by this export.</x:v>
      </x:c>
      <x:c r="M989" s="6" t="str">
        <x:v>Retain; inspect relevant context before adding links</x:v>
      </x:c>
      <x:c r="N989" s="6" t="str">
        <x:v>Unconfirmed — no query/page pairing</x:v>
      </x:c>
      <x:c r="O989" s="6" t="str">
        <x:v>Retain established booking / WhatsApp / call path; live behaviour untested</x:v>
      </x:c>
      <x:c r="P989" s="6" t="str">
        <x:v>Retain canonical and indexation policy pending a live check.</x:v>
      </x:c>
      <x:c r="Q989" s="6" t="str">
        <x:v>Proposed; no website change made</x:v>
      </x:c>
      <x:c r="R989" s="14" t="n">
        <x:v>0</x:v>
      </x:c>
      <x:c r="S989" s="14" t="n">
        <x:v>1</x:v>
      </x:c>
      <x:c r="T989" s="15" t="n">
        <x:v>0</x:v>
      </x:c>
      <x:c r="U989" s="16" t="n">
        <x:v>4</x:v>
      </x:c>
      <x:c r="V989" s="6" t="str">
        <x:v>https://digitecme.com/brands/gmc-service-dubai/brake-repair</x:v>
      </x:c>
      <x:c r="W989" s="6" t="str">
        <x:v>Indexable directive</x:v>
      </x:c>
      <x:c r="X989" s="6" t="n">
        <x:v>8</x:v>
      </x:c>
      <x:c r="Y989" s="6" t="str">
        <x:v>GMC Brake Repair Dubai | Digi-Tec</x:v>
      </x:c>
      <x:c r="Z989" s="6" t="str"/>
      <x:c r="AA989" s="6" t="str">
        <x:v>No / not compared</x:v>
      </x:c>
    </x:row>
    <x:row r="990" ht="42" customHeight="1">
      <x:c r="A990" s="6" t="str">
        <x:v>https://digitecme.com/brands/gmc-service-dubai/engine-diagnostics</x:v>
      </x:c>
      <x:c r="B990" s="6" t="str"/>
      <x:c r="C990" s="6" t="str"/>
      <x:c r="D990" s="6" t="str">
        <x:v>brand-service</x:v>
      </x:c>
      <x:c r="E990" s="6" t="str">
        <x:v>Retain differentiated role</x:v>
      </x:c>
      <x:c r="F990" s="6" t="str">
        <x:v>Local source render; live version unverified</x:v>
      </x:c>
      <x:c r="G990" s="6" t="str">
        <x:v>GMC Engine Diagnostics Dubai | Digi-Tec</x:v>
      </x:c>
      <x:c r="H990" s="6" t="str">
        <x:v>GMC Engine Diagnostics Dubai | Digi-Tec</x:v>
      </x:c>
      <x:c r="I990" s="6" t="str">
        <x:v>GMC Engine Diagnostics Dubai</x:v>
      </x:c>
      <x:c r="J990" s="6" t="str">
        <x:v>GMC Engine Diagnostics Dubai</x:v>
      </x:c>
      <x:c r="K990" s="6" t="str">
        <x:v>GMC engine diagnostics in Dubai with model-specific inspection, confirmed parts options and a clear quote at Digi-Tec, Al Quoz.</x:v>
      </x:c>
      <x:c r="L990" s="6" t="str">
        <x:v>Retain pending evidence; no specific content edit justified by this export.</x:v>
      </x:c>
      <x:c r="M990" s="6" t="str">
        <x:v>Retain; inspect relevant context before adding links</x:v>
      </x:c>
      <x:c r="N990" s="6" t="str">
        <x:v>Unconfirmed — no query/page pairing</x:v>
      </x:c>
      <x:c r="O990" s="6" t="str">
        <x:v>Retain established booking / WhatsApp / call path; live behaviour untested</x:v>
      </x:c>
      <x:c r="P990" s="6" t="str">
        <x:v>Retain canonical and indexation policy pending a live check.</x:v>
      </x:c>
      <x:c r="Q990" s="6" t="str">
        <x:v>Proposed; no website change made</x:v>
      </x:c>
      <x:c r="R990" s="14" t="n">
        <x:v>0</x:v>
      </x:c>
      <x:c r="S990" s="14" t="n">
        <x:v>3</x:v>
      </x:c>
      <x:c r="T990" s="15" t="n">
        <x:v>0</x:v>
      </x:c>
      <x:c r="U990" s="16" t="n">
        <x:v>9</x:v>
      </x:c>
      <x:c r="V990" s="6" t="str">
        <x:v>https://digitecme.com/brands/gmc-service-dubai/engine-diagnostics</x:v>
      </x:c>
      <x:c r="W990" s="6" t="str">
        <x:v>Indexable directive</x:v>
      </x:c>
      <x:c r="X990" s="6" t="n">
        <x:v>8</x:v>
      </x:c>
      <x:c r="Y990" s="6" t="str">
        <x:v>GMC Engine Diagnostics Dubai | Digi-Tec</x:v>
      </x:c>
      <x:c r="Z990" s="6" t="str"/>
      <x:c r="AA990" s="6" t="str">
        <x:v>No / not compared</x:v>
      </x:c>
    </x:row>
    <x:row r="991" ht="42" customHeight="1">
      <x:c r="A991" s="6" t="str">
        <x:v>https://digitecme.com/brands/gmc-service-dubai/oil-change</x:v>
      </x:c>
      <x:c r="B991" s="6" t="str">
        <x:v>gmc oil change dubai</x:v>
      </x:c>
      <x:c r="C991" s="6" t="str">
        <x:v>gmc: Oil change</x:v>
      </x:c>
      <x:c r="D991" s="6" t="str">
        <x:v>brand-service</x:v>
      </x:c>
      <x:c r="E991" s="6" t="str">
        <x:v>Primary owner for assigned intent</x:v>
      </x:c>
      <x:c r="F991" s="6" t="str">
        <x:v>Local source render; live version unverified</x:v>
      </x:c>
      <x:c r="G991" s="6" t="str">
        <x:v>GMC Oil Change Dubai | Digi-Tec</x:v>
      </x:c>
      <x:c r="H991" s="6" t="str">
        <x:v>GMC Oil Change Dubai | Digi-Tec</x:v>
      </x:c>
      <x:c r="I991" s="6" t="str">
        <x:v>GMC Oil Change Dubai</x:v>
      </x:c>
      <x:c r="J991" s="6" t="str">
        <x:v>GMC Oil Change Dubai</x:v>
      </x:c>
      <x:c r="K991" s="6" t="str">
        <x:v>GMC oil change in Dubai with model-specific inspection, confirmed parts options and a clear quote at Digi-Tec, Al Quoz.</x:v>
      </x:c>
      <x:c r="L991" s="6" t="str">
        <x:v>Retain pending evidence; no specific content edit justified by this export.</x:v>
      </x:c>
      <x:c r="M991" s="6" t="str">
        <x:v>Retain; inspect relevant context before adding links</x:v>
      </x:c>
      <x:c r="N991" s="6" t="str">
        <x:v>Unconfirmed — no query/page pairing</x:v>
      </x:c>
      <x:c r="O991" s="6" t="str">
        <x:v>Retain established booking / WhatsApp / call path; live behaviour untested</x:v>
      </x:c>
      <x:c r="P991" s="6" t="str">
        <x:v>Retain canonical and indexation policy pending a live check.</x:v>
      </x:c>
      <x:c r="Q991" s="6" t="str">
        <x:v>Proposed; no website change made</x:v>
      </x:c>
      <x:c r="R991" s="14" t="n">
        <x:v>0</x:v>
      </x:c>
      <x:c r="S991" s="14" t="n">
        <x:v>31</x:v>
      </x:c>
      <x:c r="T991" s="15" t="n">
        <x:v>0</x:v>
      </x:c>
      <x:c r="U991" s="16" t="n">
        <x:v>11.87</x:v>
      </x:c>
      <x:c r="V991" s="6" t="str">
        <x:v>https://digitecme.com/brands/gmc-service-dubai/oil-change</x:v>
      </x:c>
      <x:c r="W991" s="6" t="str">
        <x:v>Indexable directive</x:v>
      </x:c>
      <x:c r="X991" s="6" t="n">
        <x:v>8</x:v>
      </x:c>
      <x:c r="Y991" s="6" t="str">
        <x:v>GMC Oil Change Dubai | Digi-Tec</x:v>
      </x:c>
      <x:c r="Z991" s="6" t="str"/>
      <x:c r="AA991" s="6" t="str">
        <x:v>No / not compared</x:v>
      </x:c>
    </x:row>
    <x:row r="992" ht="42" customHeight="1">
      <x:c r="A992" s="6" t="str">
        <x:v>https://digitecme.com/brands/gmc-service-dubai/suspension-repair</x:v>
      </x:c>
      <x:c r="B992" s="6" t="str"/>
      <x:c r="C992" s="6" t="str"/>
      <x:c r="D992" s="6" t="str">
        <x:v>brand-service</x:v>
      </x:c>
      <x:c r="E992" s="6" t="str">
        <x:v>Retain differentiated role</x:v>
      </x:c>
      <x:c r="F992" s="6" t="str">
        <x:v>Local source render; live version unverified</x:v>
      </x:c>
      <x:c r="G992" s="6" t="str">
        <x:v>GMC Suspension Repair Dubai | Digi-Tec</x:v>
      </x:c>
      <x:c r="H992" s="6" t="str">
        <x:v>GMC Suspension Repair Dubai | Digi-Tec</x:v>
      </x:c>
      <x:c r="I992" s="6" t="str">
        <x:v>GMC Suspension Repair Dubai</x:v>
      </x:c>
      <x:c r="J992" s="6" t="str">
        <x:v>GMC Suspension Repair Dubai</x:v>
      </x:c>
      <x:c r="K992" s="6" t="str">
        <x:v>GMC suspension repair in Dubai with model-specific inspection, confirmed parts options and a clear quote at Digi-Tec, Al Quoz.</x:v>
      </x:c>
      <x:c r="L992" s="6" t="str">
        <x:v>Retain pending evidence; no specific content edit justified by this export.</x:v>
      </x:c>
      <x:c r="M992" s="6" t="str">
        <x:v>Retain; inspect relevant context before adding links</x:v>
      </x:c>
      <x:c r="N992" s="6" t="str">
        <x:v>Unconfirmed — no query/page pairing</x:v>
      </x:c>
      <x:c r="O992" s="6" t="str">
        <x:v>Retain established booking / WhatsApp / call path; live behaviour untested</x:v>
      </x:c>
      <x:c r="P992" s="6" t="str">
        <x:v>Retain canonical and indexation policy pending a live check.</x:v>
      </x:c>
      <x:c r="Q992" s="6" t="str">
        <x:v>Proposed; no website change made</x:v>
      </x:c>
      <x:c r="R992" s="14" t="n">
        <x:v>0</x:v>
      </x:c>
      <x:c r="S992" s="14" t="n">
        <x:v>10</x:v>
      </x:c>
      <x:c r="T992" s="15" t="n">
        <x:v>0</x:v>
      </x:c>
      <x:c r="U992" s="16" t="n">
        <x:v>10.5</x:v>
      </x:c>
      <x:c r="V992" s="6" t="str">
        <x:v>https://digitecme.com/brands/gmc-service-dubai/suspension-repair</x:v>
      </x:c>
      <x:c r="W992" s="6" t="str">
        <x:v>Noindex directive</x:v>
      </x:c>
      <x:c r="X992" s="6" t="n">
        <x:v>8</x:v>
      </x:c>
      <x:c r="Y992" s="6" t="str">
        <x:v>GMC Suspension Repair Dubai | Digi-Tec</x:v>
      </x:c>
      <x:c r="Z992" s="6" t="str"/>
      <x:c r="AA992" s="6" t="str">
        <x:v>No / not compared</x:v>
      </x:c>
    </x:row>
    <x:row r="993" ht="42" customHeight="1">
      <x:c r="A993" s="6" t="str">
        <x:v>https://digitecme.com/brands/gmc-service-dubai/transmission-repair</x:v>
      </x:c>
      <x:c r="B993" s="6" t="str">
        <x:v>gmc transmission repair dubai</x:v>
      </x:c>
      <x:c r="C993" s="6" t="str">
        <x:v>gmc: Transmission and gearbox repair</x:v>
      </x:c>
      <x:c r="D993" s="6" t="str">
        <x:v>brand-service</x:v>
      </x:c>
      <x:c r="E993" s="6" t="str">
        <x:v>Primary owner for assigned intent</x:v>
      </x:c>
      <x:c r="F993" s="6" t="str">
        <x:v>Local source render; live version unverified</x:v>
      </x:c>
      <x:c r="G993" s="6" t="str">
        <x:v>GMC Transmission Repair Dubai | Digi-Tec</x:v>
      </x:c>
      <x:c r="H993" s="6" t="str">
        <x:v>GMC Transmission Repair Dubai | Digi-Tec</x:v>
      </x:c>
      <x:c r="I993" s="6" t="str">
        <x:v>GMC Transmission Repair Dubai</x:v>
      </x:c>
      <x:c r="J993" s="6" t="str">
        <x:v>GMC Transmission Repair Dubai</x:v>
      </x:c>
      <x:c r="K993" s="6" t="str">
        <x:v>GMC transmission repair in Dubai with model-specific inspection, confirmed parts options and a clear quote at Digi-Tec, Al Quoz.</x:v>
      </x:c>
      <x:c r="L993" s="6" t="str">
        <x:v>Retain pending evidence; no specific content edit justified by this export.</x:v>
      </x:c>
      <x:c r="M993" s="6" t="str">
        <x:v>Retain; inspect relevant context before adding links</x:v>
      </x:c>
      <x:c r="N993" s="6" t="str">
        <x:v>Unconfirmed — no query/page pairing</x:v>
      </x:c>
      <x:c r="O993" s="6" t="str">
        <x:v>Retain established booking / WhatsApp / call path; live behaviour untested</x:v>
      </x:c>
      <x:c r="P993" s="6" t="str">
        <x:v>Specific search demand maps to an existing noindex page. Verify live directives and unique business content; consider the existing indexable parent as interim owner.</x:v>
      </x:c>
      <x:c r="Q993" s="6" t="str">
        <x:v>Proposed; no website change made</x:v>
      </x:c>
      <x:c r="R993" s="14" t="n">
        <x:v>1</x:v>
      </x:c>
      <x:c r="S993" s="14" t="n">
        <x:v>22</x:v>
      </x:c>
      <x:c r="T993" s="15" t="n">
        <x:v>0.0455</x:v>
      </x:c>
      <x:c r="U993" s="16" t="n">
        <x:v>14.55</x:v>
      </x:c>
      <x:c r="V993" s="6" t="str">
        <x:v>https://digitecme.com/brands/gmc-service-dubai/transmission-repair</x:v>
      </x:c>
      <x:c r="W993" s="6" t="str">
        <x:v>Noindex directive</x:v>
      </x:c>
      <x:c r="X993" s="6" t="n">
        <x:v>8</x:v>
      </x:c>
      <x:c r="Y993" s="6" t="str">
        <x:v>GMC Transmission Repair Dubai | Digi-Tec</x:v>
      </x:c>
      <x:c r="Z993" s="6" t="str"/>
      <x:c r="AA993" s="6" t="str">
        <x:v>No / not compared</x:v>
      </x:c>
    </x:row>
    <x:row r="994" ht="42" customHeight="1">
      <x:c r="A994" s="6" t="str">
        <x:v>https://digitecme.com/brands/hummer-service-dubai</x:v>
      </x:c>
      <x:c r="B994" s="6" t="str">
        <x:v>hummer engine repair dubai</x:v>
      </x:c>
      <x:c r="C994" s="6" t="str">
        <x:v>hummer: Engine and mechanical repair; hummer: Service and repair</x:v>
      </x:c>
      <x:c r="D994" s="6" t="str">
        <x:v>brand</x:v>
      </x:c>
      <x:c r="E994" s="6" t="str">
        <x:v>Primary owner for assigned intent</x:v>
      </x:c>
      <x:c r="F994" s="6" t="str">
        <x:v>Local source render; live version unverified</x:v>
      </x:c>
      <x:c r="G994" s="6" t="str">
        <x:v>Hummer Repair Dubai | Digi-Tec</x:v>
      </x:c>
      <x:c r="H994" s="6" t="str">
        <x:v>Hummer Repair Dubai | Digi-Tec</x:v>
      </x:c>
      <x:c r="I994" s="6" t="str">
        <x:v>Hummer Repair &amp; Service Dubai</x:v>
      </x:c>
      <x:c r="J994" s="6" t="str">
        <x:v>Hummer Repair &amp; Service Dubai</x:v>
      </x:c>
      <x:c r="K994" s="6" t="str">
        <x:v>Specialist Hummer repair and service in Dubai: diagnostics, maintenance, brakes, transmission, suspension and AC at Digi-Tec, Al Quoz.</x:v>
      </x:c>
      <x:c r="L994" s="6" t="str">
        <x:v>Retain pending evidence; no specific content edit justified by this export.</x:v>
      </x:c>
      <x:c r="M994" s="6" t="str">
        <x:v>Retain; inspect relevant context before adding links</x:v>
      </x:c>
      <x:c r="N994" s="6" t="str">
        <x:v>Unconfirmed — no query/page pairing</x:v>
      </x:c>
      <x:c r="O994" s="6" t="str">
        <x:v>Retain established booking / WhatsApp / call path; live behaviour untested</x:v>
      </x:c>
      <x:c r="P994" s="6" t="str">
        <x:v>Retain canonical and indexation policy pending a live check.</x:v>
      </x:c>
      <x:c r="Q994" s="6" t="str">
        <x:v>Proposed; no website change made</x:v>
      </x:c>
      <x:c r="R994" s="14" t="n">
        <x:v>1</x:v>
      </x:c>
      <x:c r="S994" s="14" t="n">
        <x:v>191</x:v>
      </x:c>
      <x:c r="T994" s="15" t="n">
        <x:v>0.0052</x:v>
      </x:c>
      <x:c r="U994" s="16" t="n">
        <x:v>23.59</x:v>
      </x:c>
      <x:c r="V994" s="6" t="str">
        <x:v>https://digitecme.com/brands/hummer-service-dubai</x:v>
      </x:c>
      <x:c r="W994" s="6" t="str">
        <x:v>Indexable directive</x:v>
      </x:c>
      <x:c r="X994" s="6" t="n">
        <x:v>28</x:v>
      </x:c>
      <x:c r="Y994" s="6" t="str">
        <x:v>Hummer Repair Dubai | Digi-Tec</x:v>
      </x:c>
      <x:c r="Z994" s="6" t="str"/>
      <x:c r="AA994" s="6" t="str">
        <x:v>No / not compared</x:v>
      </x:c>
    </x:row>
    <x:row r="995" ht="42" customHeight="1">
      <x:c r="A995" s="6" t="str">
        <x:v>https://digitecme.com/brands/hummer-service-dubai/ac-repair</x:v>
      </x:c>
      <x:c r="B995" s="6" t="str"/>
      <x:c r="C995" s="6" t="str"/>
      <x:c r="D995" s="6" t="str">
        <x:v>brand-service</x:v>
      </x:c>
      <x:c r="E995" s="6" t="str">
        <x:v>Retain differentiated role</x:v>
      </x:c>
      <x:c r="F995" s="6" t="str">
        <x:v>Local source render; live version unverified</x:v>
      </x:c>
      <x:c r="G995" s="6" t="str">
        <x:v>Hummer AC Repair Dubai | Digi-Tec</x:v>
      </x:c>
      <x:c r="H995" s="6" t="str">
        <x:v>Hummer AC Repair Dubai | Digi-Tec</x:v>
      </x:c>
      <x:c r="I995" s="6" t="str">
        <x:v>Hummer AC Repair Dubai</x:v>
      </x:c>
      <x:c r="J995" s="6" t="str">
        <x:v>Hummer AC Repair Dubai</x:v>
      </x:c>
      <x:c r="K995" s="6" t="str">
        <x:v>Hummer ac repair in Dubai with model-specific inspection, confirmed parts options and a clear quote at Digi-Tec, Al Quoz.</x:v>
      </x:c>
      <x:c r="L995" s="6" t="str">
        <x:v>Retain pending evidence; no specific content edit justified by this export.</x:v>
      </x:c>
      <x:c r="M995" s="6" t="str">
        <x:v>Retain; inspect relevant context before adding links</x:v>
      </x:c>
      <x:c r="N995" s="6" t="str">
        <x:v>Unconfirmed — no query/page pairing</x:v>
      </x:c>
      <x:c r="O995" s="6" t="str">
        <x:v>Retain established booking / WhatsApp / call path; live behaviour untested</x:v>
      </x:c>
      <x:c r="P995" s="6" t="str">
        <x:v>Retain canonical and indexation policy pending a live check.</x:v>
      </x:c>
      <x:c r="Q995" s="6" t="str">
        <x:v>Proposed; no website change made</x:v>
      </x:c>
      <x:c r="R995" s="14"/>
      <x:c r="S995" s="14"/>
      <x:c r="T995" s="15"/>
      <x:c r="U995" s="16"/>
      <x:c r="V995" s="6" t="str">
        <x:v>https://digitecme.com/brands/hummer-service-dubai/ac-repair</x:v>
      </x:c>
      <x:c r="W995" s="6" t="str">
        <x:v>Indexable directive</x:v>
      </x:c>
      <x:c r="X995" s="6" t="n">
        <x:v>8</x:v>
      </x:c>
      <x:c r="Y995" s="6" t="str">
        <x:v>Hummer AC Repair Dubai | Digi-Tec</x:v>
      </x:c>
      <x:c r="Z995" s="6" t="str"/>
      <x:c r="AA995" s="6" t="str">
        <x:v>No / not compared</x:v>
      </x:c>
    </x:row>
    <x:row r="996" ht="42" customHeight="1">
      <x:c r="A996" s="6" t="str">
        <x:v>https://digitecme.com/brands/hummer-service-dubai/brake-repair</x:v>
      </x:c>
      <x:c r="B996" s="6" t="str"/>
      <x:c r="C996" s="6" t="str"/>
      <x:c r="D996" s="6" t="str">
        <x:v>brand-service</x:v>
      </x:c>
      <x:c r="E996" s="6" t="str">
        <x:v>Retain differentiated role</x:v>
      </x:c>
      <x:c r="F996" s="6" t="str">
        <x:v>Local source render; live version unverified</x:v>
      </x:c>
      <x:c r="G996" s="6" t="str">
        <x:v>Hummer Brake Repair Dubai | Digi-Tec</x:v>
      </x:c>
      <x:c r="H996" s="6" t="str">
        <x:v>Hummer Brake Repair Dubai | Digi-Tec</x:v>
      </x:c>
      <x:c r="I996" s="6" t="str">
        <x:v>Hummer Brake Repair Dubai</x:v>
      </x:c>
      <x:c r="J996" s="6" t="str">
        <x:v>Hummer Brake Repair Dubai</x:v>
      </x:c>
      <x:c r="K996" s="6" t="str">
        <x:v>Hummer brake repair in Dubai with model-specific inspection, confirmed parts options and a clear quote at Digi-Tec, Al Quoz.</x:v>
      </x:c>
      <x:c r="L996" s="6" t="str">
        <x:v>Retain pending evidence; no specific content edit justified by this export.</x:v>
      </x:c>
      <x:c r="M996" s="6" t="str">
        <x:v>Retain; inspect relevant context before adding links</x:v>
      </x:c>
      <x:c r="N996" s="6" t="str">
        <x:v>Unconfirmed — no query/page pairing</x:v>
      </x:c>
      <x:c r="O996" s="6" t="str">
        <x:v>Retain established booking / WhatsApp / call path; live behaviour untested</x:v>
      </x:c>
      <x:c r="P996" s="6" t="str">
        <x:v>Retain canonical and indexation policy pending a live check.</x:v>
      </x:c>
      <x:c r="Q996" s="6" t="str">
        <x:v>Proposed; no website change made</x:v>
      </x:c>
      <x:c r="R996" s="14" t="n">
        <x:v>0</x:v>
      </x:c>
      <x:c r="S996" s="14" t="n">
        <x:v>1</x:v>
      </x:c>
      <x:c r="T996" s="15" t="n">
        <x:v>0</x:v>
      </x:c>
      <x:c r="U996" s="16" t="n">
        <x:v>7</x:v>
      </x:c>
      <x:c r="V996" s="6" t="str">
        <x:v>https://digitecme.com/brands/hummer-service-dubai/brake-repair</x:v>
      </x:c>
      <x:c r="W996" s="6" t="str">
        <x:v>Indexable directive</x:v>
      </x:c>
      <x:c r="X996" s="6" t="n">
        <x:v>8</x:v>
      </x:c>
      <x:c r="Y996" s="6" t="str">
        <x:v>Hummer Brake Repair Dubai | Digi-Tec</x:v>
      </x:c>
      <x:c r="Z996" s="6" t="str"/>
      <x:c r="AA996" s="6" t="str">
        <x:v>No / not compared</x:v>
      </x:c>
    </x:row>
    <x:row r="997" ht="42" customHeight="1">
      <x:c r="A997" s="6" t="str">
        <x:v>https://digitecme.com/brands/hummer-service-dubai/engine-diagnostics</x:v>
      </x:c>
      <x:c r="B997" s="6" t="str"/>
      <x:c r="C997" s="6" t="str"/>
      <x:c r="D997" s="6" t="str">
        <x:v>brand-service</x:v>
      </x:c>
      <x:c r="E997" s="6" t="str">
        <x:v>Retain differentiated role</x:v>
      </x:c>
      <x:c r="F997" s="6" t="str">
        <x:v>Local source render; live version unverified</x:v>
      </x:c>
      <x:c r="G997" s="6" t="str">
        <x:v>Hummer Engine Diagnostics Dubai | Digi-Tec</x:v>
      </x:c>
      <x:c r="H997" s="6" t="str">
        <x:v>Hummer Engine Diagnostics Dubai | Digi-Tec</x:v>
      </x:c>
      <x:c r="I997" s="6" t="str">
        <x:v>Hummer Engine Diagnostics Dubai</x:v>
      </x:c>
      <x:c r="J997" s="6" t="str">
        <x:v>Hummer Engine Diagnostics Dubai</x:v>
      </x:c>
      <x:c r="K997" s="6" t="str">
        <x:v>Hummer engine diagnostics in Dubai with model-specific inspection, confirmed parts options and a clear quote at Digi-Tec, Al Quoz.</x:v>
      </x:c>
      <x:c r="L997" s="6" t="str">
        <x:v>Retain pending evidence; no specific content edit justified by this export.</x:v>
      </x:c>
      <x:c r="M997" s="6" t="str">
        <x:v>Retain; inspect relevant context before adding links</x:v>
      </x:c>
      <x:c r="N997" s="6" t="str">
        <x:v>Unconfirmed — no query/page pairing</x:v>
      </x:c>
      <x:c r="O997" s="6" t="str">
        <x:v>Retain established booking / WhatsApp / call path; live behaviour untested</x:v>
      </x:c>
      <x:c r="P997" s="6" t="str">
        <x:v>Retain canonical and indexation policy pending a live check.</x:v>
      </x:c>
      <x:c r="Q997" s="6" t="str">
        <x:v>Proposed; no website change made</x:v>
      </x:c>
      <x:c r="R997" s="14" t="n">
        <x:v>0</x:v>
      </x:c>
      <x:c r="S997" s="14" t="n">
        <x:v>2</x:v>
      </x:c>
      <x:c r="T997" s="15" t="n">
        <x:v>0</x:v>
      </x:c>
      <x:c r="U997" s="16" t="n">
        <x:v>11</x:v>
      </x:c>
      <x:c r="V997" s="6" t="str">
        <x:v>https://digitecme.com/brands/hummer-service-dubai/engine-diagnostics</x:v>
      </x:c>
      <x:c r="W997" s="6" t="str">
        <x:v>Indexable directive</x:v>
      </x:c>
      <x:c r="X997" s="6" t="n">
        <x:v>8</x:v>
      </x:c>
      <x:c r="Y997" s="6" t="str">
        <x:v>Hummer Engine Diagnostics Dubai | Digi-Tec</x:v>
      </x:c>
      <x:c r="Z997" s="6" t="str"/>
      <x:c r="AA997" s="6" t="str">
        <x:v>No / not compared</x:v>
      </x:c>
    </x:row>
    <x:row r="998" ht="42" customHeight="1">
      <x:c r="A998" s="6" t="str">
        <x:v>https://digitecme.com/brands/hummer-service-dubai/oil-change</x:v>
      </x:c>
      <x:c r="B998" s="6" t="str"/>
      <x:c r="C998" s="6" t="str"/>
      <x:c r="D998" s="6" t="str">
        <x:v>brand-service</x:v>
      </x:c>
      <x:c r="E998" s="6" t="str">
        <x:v>Retain differentiated role</x:v>
      </x:c>
      <x:c r="F998" s="6" t="str">
        <x:v>Local source render; live version unverified</x:v>
      </x:c>
      <x:c r="G998" s="6" t="str">
        <x:v>Hummer Oil Change Dubai | Digi-Tec</x:v>
      </x:c>
      <x:c r="H998" s="6" t="str">
        <x:v>Hummer Oil Change Dubai | Digi-Tec</x:v>
      </x:c>
      <x:c r="I998" s="6" t="str">
        <x:v>Hummer Oil Change Dubai</x:v>
      </x:c>
      <x:c r="J998" s="6" t="str">
        <x:v>Hummer Oil Change Dubai</x:v>
      </x:c>
      <x:c r="K998" s="6" t="str">
        <x:v>Hummer oil change in Dubai with model-specific inspection, confirmed parts options and a clear quote at Digi-Tec, Al Quoz.</x:v>
      </x:c>
      <x:c r="L998" s="6" t="str">
        <x:v>Retain pending evidence; no specific content edit justified by this export.</x:v>
      </x:c>
      <x:c r="M998" s="6" t="str">
        <x:v>Retain; inspect relevant context before adding links</x:v>
      </x:c>
      <x:c r="N998" s="6" t="str">
        <x:v>Unconfirmed — no query/page pairing</x:v>
      </x:c>
      <x:c r="O998" s="6" t="str">
        <x:v>Retain established booking / WhatsApp / call path; live behaviour untested</x:v>
      </x:c>
      <x:c r="P998" s="6" t="str">
        <x:v>Retain canonical and indexation policy pending a live check.</x:v>
      </x:c>
      <x:c r="Q998" s="6" t="str">
        <x:v>Proposed; no website change made</x:v>
      </x:c>
      <x:c r="R998" s="14" t="n">
        <x:v>0</x:v>
      </x:c>
      <x:c r="S998" s="14" t="n">
        <x:v>1</x:v>
      </x:c>
      <x:c r="T998" s="15" t="n">
        <x:v>0</x:v>
      </x:c>
      <x:c r="U998" s="16" t="n">
        <x:v>7</x:v>
      </x:c>
      <x:c r="V998" s="6" t="str">
        <x:v>https://digitecme.com/brands/hummer-service-dubai/oil-change</x:v>
      </x:c>
      <x:c r="W998" s="6" t="str">
        <x:v>Indexable directive</x:v>
      </x:c>
      <x:c r="X998" s="6" t="n">
        <x:v>8</x:v>
      </x:c>
      <x:c r="Y998" s="6" t="str">
        <x:v>Hummer Oil Change Dubai | Digi-Tec</x:v>
      </x:c>
      <x:c r="Z998" s="6" t="str"/>
      <x:c r="AA998" s="6" t="str">
        <x:v>No / not compared</x:v>
      </x:c>
    </x:row>
    <x:row r="999" ht="42" customHeight="1">
      <x:c r="A999" s="6" t="str">
        <x:v>https://digitecme.com/brands/hummer-service-dubai/suspension-repair</x:v>
      </x:c>
      <x:c r="B999" s="6" t="str"/>
      <x:c r="C999" s="6" t="str"/>
      <x:c r="D999" s="6" t="str">
        <x:v>brand-service</x:v>
      </x:c>
      <x:c r="E999" s="6" t="str">
        <x:v>Retain differentiated role</x:v>
      </x:c>
      <x:c r="F999" s="6" t="str">
        <x:v>Local source render; live version unverified</x:v>
      </x:c>
      <x:c r="G999" s="6" t="str">
        <x:v>Hummer Suspension Repair Dubai | Digi-Tec</x:v>
      </x:c>
      <x:c r="H999" s="6" t="str">
        <x:v>Hummer Suspension Repair Dubai | Digi-Tec</x:v>
      </x:c>
      <x:c r="I999" s="6" t="str">
        <x:v>Hummer Suspension Repair Dubai</x:v>
      </x:c>
      <x:c r="J999" s="6" t="str">
        <x:v>Hummer Suspension Repair Dubai</x:v>
      </x:c>
      <x:c r="K999" s="6" t="str">
        <x:v>Hummer suspension repair in Dubai with model-specific inspection, confirmed parts options and a clear quote at Digi-Tec, Al Quoz.</x:v>
      </x:c>
      <x:c r="L999" s="6" t="str">
        <x:v>Retain pending evidence; no specific content edit justified by this export.</x:v>
      </x:c>
      <x:c r="M999" s="6" t="str">
        <x:v>Retain; inspect relevant context before adding links</x:v>
      </x:c>
      <x:c r="N999" s="6" t="str">
        <x:v>Unconfirmed — no query/page pairing</x:v>
      </x:c>
      <x:c r="O999" s="6" t="str">
        <x:v>Retain established booking / WhatsApp / call path; live behaviour untested</x:v>
      </x:c>
      <x:c r="P999" s="6" t="str">
        <x:v>Retain canonical and indexation policy pending a live check.</x:v>
      </x:c>
      <x:c r="Q999" s="6" t="str">
        <x:v>Proposed; no website change made</x:v>
      </x:c>
      <x:c r="R999" s="14" t="n">
        <x:v>0</x:v>
      </x:c>
      <x:c r="S999" s="14" t="n">
        <x:v>3</x:v>
      </x:c>
      <x:c r="T999" s="15" t="n">
        <x:v>0</x:v>
      </x:c>
      <x:c r="U999" s="16" t="n">
        <x:v>14.67</x:v>
      </x:c>
      <x:c r="V999" s="6" t="str">
        <x:v>https://digitecme.com/brands/hummer-service-dubai/suspension-repair</x:v>
      </x:c>
      <x:c r="W999" s="6" t="str">
        <x:v>Noindex directive</x:v>
      </x:c>
      <x:c r="X999" s="6" t="n">
        <x:v>8</x:v>
      </x:c>
      <x:c r="Y999" s="6" t="str">
        <x:v>Hummer Suspension Repair Dubai | Digi-Tec</x:v>
      </x:c>
      <x:c r="Z999" s="6" t="str"/>
      <x:c r="AA999" s="6" t="str">
        <x:v>No / not compared</x:v>
      </x:c>
    </x:row>
    <x:row r="1000" ht="42" customHeight="1">
      <x:c r="A1000" s="6" t="str">
        <x:v>https://digitecme.com/brands/hummer-service-dubai/transmission-repair</x:v>
      </x:c>
      <x:c r="B1000" s="6" t="str">
        <x:v>hummer transmission repair dubai</x:v>
      </x:c>
      <x:c r="C1000" s="6" t="str">
        <x:v>hummer: Transmission and gearbox repair</x:v>
      </x:c>
      <x:c r="D1000" s="6" t="str">
        <x:v>brand-service</x:v>
      </x:c>
      <x:c r="E1000" s="6" t="str">
        <x:v>Primary owner for assigned intent</x:v>
      </x:c>
      <x:c r="F1000" s="6" t="str">
        <x:v>Local source render; live version unverified</x:v>
      </x:c>
      <x:c r="G1000" s="6" t="str">
        <x:v>Hummer Transmission Repair Dubai | Digi-Tec</x:v>
      </x:c>
      <x:c r="H1000" s="6" t="str">
        <x:v>Hummer Transmission Repair Dubai | Digi-Tec</x:v>
      </x:c>
      <x:c r="I1000" s="6" t="str">
        <x:v>Hummer Transmission Repair Dubai</x:v>
      </x:c>
      <x:c r="J1000" s="6" t="str">
        <x:v>Hummer Transmission Repair Dubai</x:v>
      </x:c>
      <x:c r="K1000" s="6" t="str">
        <x:v>Hummer transmission repair in Dubai with model-specific inspection, confirmed parts options and a clear quote at Digi-Tec, Al Quoz.</x:v>
      </x:c>
      <x:c r="L1000" s="6" t="str">
        <x:v>Retain pending evidence; no specific content edit justified by this export.</x:v>
      </x:c>
      <x:c r="M1000" s="6" t="str">
        <x:v>Retain; inspect relevant context before adding links</x:v>
      </x:c>
      <x:c r="N1000" s="6" t="str">
        <x:v>Unconfirmed — no query/page pairing</x:v>
      </x:c>
      <x:c r="O1000" s="6" t="str">
        <x:v>Retain established booking / WhatsApp / call path; live behaviour untested</x:v>
      </x:c>
      <x:c r="P1000" s="6" t="str">
        <x:v>Specific search demand maps to an existing noindex page. Verify live directives and unique business content; consider the existing indexable parent as interim owner.</x:v>
      </x:c>
      <x:c r="Q1000" s="6" t="str">
        <x:v>Proposed; no website change made</x:v>
      </x:c>
      <x:c r="R1000" s="14" t="n">
        <x:v>0</x:v>
      </x:c>
      <x:c r="S1000" s="14" t="n">
        <x:v>13</x:v>
      </x:c>
      <x:c r="T1000" s="15" t="n">
        <x:v>0</x:v>
      </x:c>
      <x:c r="U1000" s="16" t="n">
        <x:v>10.62</x:v>
      </x:c>
      <x:c r="V1000" s="6" t="str">
        <x:v>https://digitecme.com/brands/hummer-service-dubai/transmission-repair</x:v>
      </x:c>
      <x:c r="W1000" s="6" t="str">
        <x:v>Noindex directive</x:v>
      </x:c>
      <x:c r="X1000" s="6" t="n">
        <x:v>8</x:v>
      </x:c>
      <x:c r="Y1000" s="6" t="str">
        <x:v>Hummer Transmission Repair Dubai | Digi-Tec</x:v>
      </x:c>
      <x:c r="Z1000" s="6" t="str"/>
      <x:c r="AA1000" s="6" t="str">
        <x:v>No / not compared</x:v>
      </x:c>
    </x:row>
    <x:row r="1001" ht="42" customHeight="1">
      <x:c r="A1001" s="6" t="str">
        <x:v>https://digitecme.com/brands/infiniti-service-dubai</x:v>
      </x:c>
      <x:c r="B1001" s="6" t="str">
        <x:v>infiniti service dubai</x:v>
      </x:c>
      <x:c r="C1001" s="6" t="str">
        <x:v>infiniti: Service and repair</x:v>
      </x:c>
      <x:c r="D1001" s="6" t="str">
        <x:v>brand</x:v>
      </x:c>
      <x:c r="E1001" s="6" t="str">
        <x:v>Primary owner for assigned intent</x:v>
      </x:c>
      <x:c r="F1001" s="6" t="str">
        <x:v>Local source render; live version unverified</x:v>
      </x:c>
      <x:c r="G1001" s="6" t="str">
        <x:v>Infiniti Repair Dubai | Digi-Tec</x:v>
      </x:c>
      <x:c r="H1001" s="6" t="str">
        <x:v>Infiniti Repair Dubai | Digi-Tec</x:v>
      </x:c>
      <x:c r="I1001" s="6" t="str">
        <x:v>Infiniti Repair &amp; Service Dubai</x:v>
      </x:c>
      <x:c r="J1001" s="6" t="str">
        <x:v>Infiniti Repair &amp; Service Dubai</x:v>
      </x:c>
      <x:c r="K1001" s="6" t="str">
        <x:v>Specialist Infiniti repair and service in Dubai: diagnostics, maintenance, brakes, transmission, suspension and AC at Digi-Tec, Al Quoz.</x:v>
      </x:c>
      <x:c r="L1001" s="6" t="str">
        <x:v>Retain pending evidence; no specific content edit justified by this export.</x:v>
      </x:c>
      <x:c r="M1001" s="6" t="str">
        <x:v>Retain; inspect relevant context before adding links</x:v>
      </x:c>
      <x:c r="N1001" s="6" t="str">
        <x:v>Unconfirmed — no query/page pairing</x:v>
      </x:c>
      <x:c r="O1001" s="6" t="str">
        <x:v>Retain established booking / WhatsApp / call path; live behaviour untested</x:v>
      </x:c>
      <x:c r="P1001" s="6" t="str">
        <x:v>Retain canonical and indexation policy pending a live check.</x:v>
      </x:c>
      <x:c r="Q1001" s="6" t="str">
        <x:v>Proposed; no website change made</x:v>
      </x:c>
      <x:c r="R1001" s="14" t="n">
        <x:v>0</x:v>
      </x:c>
      <x:c r="S1001" s="14" t="n">
        <x:v>121</x:v>
      </x:c>
      <x:c r="T1001" s="15" t="n">
        <x:v>0</x:v>
      </x:c>
      <x:c r="U1001" s="16" t="n">
        <x:v>36.61</x:v>
      </x:c>
      <x:c r="V1001" s="6" t="str">
        <x:v>https://digitecme.com/brands/infiniti-service-dubai</x:v>
      </x:c>
      <x:c r="W1001" s="6" t="str">
        <x:v>Indexable directive</x:v>
      </x:c>
      <x:c r="X1001" s="6" t="n">
        <x:v>28</x:v>
      </x:c>
      <x:c r="Y1001" s="6" t="str">
        <x:v>Infiniti Repair Dubai | Digi-Tec</x:v>
      </x:c>
      <x:c r="Z1001" s="6" t="str"/>
      <x:c r="AA1001" s="6" t="str">
        <x:v>No / not compared</x:v>
      </x:c>
    </x:row>
    <x:row r="1002" ht="42" customHeight="1">
      <x:c r="A1002" s="6" t="str">
        <x:v>https://digitecme.com/brands/infiniti-service-dubai/ac-repair</x:v>
      </x:c>
      <x:c r="B1002" s="6" t="str"/>
      <x:c r="C1002" s="6" t="str"/>
      <x:c r="D1002" s="6" t="str">
        <x:v>brand-service</x:v>
      </x:c>
      <x:c r="E1002" s="6" t="str">
        <x:v>Retain differentiated role</x:v>
      </x:c>
      <x:c r="F1002" s="6" t="str">
        <x:v>Local source render; live version unverified</x:v>
      </x:c>
      <x:c r="G1002" s="6" t="str">
        <x:v>Infiniti AC Repair Dubai | Digi-Tec</x:v>
      </x:c>
      <x:c r="H1002" s="6" t="str">
        <x:v>Infiniti AC Repair Dubai | Digi-Tec</x:v>
      </x:c>
      <x:c r="I1002" s="6" t="str">
        <x:v>Infiniti AC Repair Dubai</x:v>
      </x:c>
      <x:c r="J1002" s="6" t="str">
        <x:v>Infiniti AC Repair Dubai</x:v>
      </x:c>
      <x:c r="K1002" s="6" t="str">
        <x:v>Infiniti ac repair in Dubai with model-specific inspection, confirmed parts options and a clear quote at Digi-Tec, Al Quoz.</x:v>
      </x:c>
      <x:c r="L1002" s="6" t="str">
        <x:v>Retain pending evidence; no specific content edit justified by this export.</x:v>
      </x:c>
      <x:c r="M1002" s="6" t="str">
        <x:v>Retain; inspect relevant context before adding links</x:v>
      </x:c>
      <x:c r="N1002" s="6" t="str">
        <x:v>Unconfirmed — no query/page pairing</x:v>
      </x:c>
      <x:c r="O1002" s="6" t="str">
        <x:v>Retain established booking / WhatsApp / call path; live behaviour untested</x:v>
      </x:c>
      <x:c r="P1002" s="6" t="str">
        <x:v>Retain canonical and indexation policy pending a live check.</x:v>
      </x:c>
      <x:c r="Q1002" s="6" t="str">
        <x:v>Proposed; no website change made</x:v>
      </x:c>
      <x:c r="R1002" s="14" t="n">
        <x:v>0</x:v>
      </x:c>
      <x:c r="S1002" s="14" t="n">
        <x:v>9</x:v>
      </x:c>
      <x:c r="T1002" s="15" t="n">
        <x:v>0</x:v>
      </x:c>
      <x:c r="U1002" s="16" t="n">
        <x:v>6.56</x:v>
      </x:c>
      <x:c r="V1002" s="6" t="str">
        <x:v>https://digitecme.com/brands/infiniti-service-dubai/ac-repair</x:v>
      </x:c>
      <x:c r="W1002" s="6" t="str">
        <x:v>Indexable directive</x:v>
      </x:c>
      <x:c r="X1002" s="6" t="n">
        <x:v>8</x:v>
      </x:c>
      <x:c r="Y1002" s="6" t="str">
        <x:v>Infiniti AC Repair Dubai | Digi-Tec</x:v>
      </x:c>
      <x:c r="Z1002" s="6" t="str"/>
      <x:c r="AA1002" s="6" t="str">
        <x:v>No / not compared</x:v>
      </x:c>
    </x:row>
    <x:row r="1003" ht="42" customHeight="1">
      <x:c r="A1003" s="6" t="str">
        <x:v>https://digitecme.com/brands/infiniti-service-dubai/brake-repair</x:v>
      </x:c>
      <x:c r="B1003" s="6" t="str"/>
      <x:c r="C1003" s="6" t="str"/>
      <x:c r="D1003" s="6" t="str">
        <x:v>brand-service</x:v>
      </x:c>
      <x:c r="E1003" s="6" t="str">
        <x:v>Retain differentiated role</x:v>
      </x:c>
      <x:c r="F1003" s="6" t="str">
        <x:v>Local source render; live version unverified</x:v>
      </x:c>
      <x:c r="G1003" s="6" t="str">
        <x:v>Infiniti Brake Repair Dubai | Digi-Tec</x:v>
      </x:c>
      <x:c r="H1003" s="6" t="str">
        <x:v>Infiniti Brake Repair Dubai | Digi-Tec</x:v>
      </x:c>
      <x:c r="I1003" s="6" t="str">
        <x:v>Infiniti Brake Repair Dubai</x:v>
      </x:c>
      <x:c r="J1003" s="6" t="str">
        <x:v>Infiniti Brake Repair Dubai</x:v>
      </x:c>
      <x:c r="K1003" s="6" t="str">
        <x:v>Infiniti brake repair in Dubai with model-specific inspection, confirmed parts options and a clear quote at Digi-Tec, Al Quoz.</x:v>
      </x:c>
      <x:c r="L1003" s="6" t="str">
        <x:v>Retain pending evidence; no specific content edit justified by this export.</x:v>
      </x:c>
      <x:c r="M1003" s="6" t="str">
        <x:v>Retain; inspect relevant context before adding links</x:v>
      </x:c>
      <x:c r="N1003" s="6" t="str">
        <x:v>Unconfirmed — no query/page pairing</x:v>
      </x:c>
      <x:c r="O1003" s="6" t="str">
        <x:v>Retain established booking / WhatsApp / call path; live behaviour untested</x:v>
      </x:c>
      <x:c r="P1003" s="6" t="str">
        <x:v>Retain canonical and indexation policy pending a live check.</x:v>
      </x:c>
      <x:c r="Q1003" s="6" t="str">
        <x:v>Proposed; no website change made</x:v>
      </x:c>
      <x:c r="R1003" s="14" t="n">
        <x:v>1</x:v>
      </x:c>
      <x:c r="S1003" s="14" t="n">
        <x:v>1</x:v>
      </x:c>
      <x:c r="T1003" s="15" t="n">
        <x:v>1</x:v>
      </x:c>
      <x:c r="U1003" s="16" t="n">
        <x:v>4</x:v>
      </x:c>
      <x:c r="V1003" s="6" t="str">
        <x:v>https://digitecme.com/brands/infiniti-service-dubai/brake-repair</x:v>
      </x:c>
      <x:c r="W1003" s="6" t="str">
        <x:v>Indexable directive</x:v>
      </x:c>
      <x:c r="X1003" s="6" t="n">
        <x:v>8</x:v>
      </x:c>
      <x:c r="Y1003" s="6" t="str">
        <x:v>Infiniti Brake Repair Dubai | Digi-Tec</x:v>
      </x:c>
      <x:c r="Z1003" s="6" t="str"/>
      <x:c r="AA1003" s="6" t="str">
        <x:v>No / not compared</x:v>
      </x:c>
    </x:row>
    <x:row r="1004" ht="42" customHeight="1">
      <x:c r="A1004" s="6" t="str">
        <x:v>https://digitecme.com/brands/infiniti-service-dubai/engine-diagnostics</x:v>
      </x:c>
      <x:c r="B1004" s="6" t="str"/>
      <x:c r="C1004" s="6" t="str"/>
      <x:c r="D1004" s="6" t="str">
        <x:v>brand-service</x:v>
      </x:c>
      <x:c r="E1004" s="6" t="str">
        <x:v>Retain differentiated role</x:v>
      </x:c>
      <x:c r="F1004" s="6" t="str">
        <x:v>Local source render; live version unverified</x:v>
      </x:c>
      <x:c r="G1004" s="6" t="str">
        <x:v>Infiniti Engine Diagnostics Dubai | Digi-Tec</x:v>
      </x:c>
      <x:c r="H1004" s="6" t="str">
        <x:v>Infiniti Engine Diagnostics Dubai | Digi-Tec</x:v>
      </x:c>
      <x:c r="I1004" s="6" t="str">
        <x:v>Infiniti Engine Diagnostics Dubai</x:v>
      </x:c>
      <x:c r="J1004" s="6" t="str">
        <x:v>Infiniti Engine Diagnostics Dubai</x:v>
      </x:c>
      <x:c r="K1004" s="6" t="str">
        <x:v>Infiniti engine diagnostics in Dubai with model-specific inspection, confirmed parts options and a clear quote at Digi-Tec, Al Quoz.</x:v>
      </x:c>
      <x:c r="L1004" s="6" t="str">
        <x:v>Retain pending evidence; no specific content edit justified by this export.</x:v>
      </x:c>
      <x:c r="M1004" s="6" t="str">
        <x:v>Retain; inspect relevant context before adding links</x:v>
      </x:c>
      <x:c r="N1004" s="6" t="str">
        <x:v>Unconfirmed — no query/page pairing</x:v>
      </x:c>
      <x:c r="O1004" s="6" t="str">
        <x:v>Retain established booking / WhatsApp / call path; live behaviour untested</x:v>
      </x:c>
      <x:c r="P1004" s="6" t="str">
        <x:v>Retain canonical and indexation policy pending a live check.</x:v>
      </x:c>
      <x:c r="Q1004" s="6" t="str">
        <x:v>Proposed; no website change made</x:v>
      </x:c>
      <x:c r="R1004" s="14" t="n">
        <x:v>0</x:v>
      </x:c>
      <x:c r="S1004" s="14" t="n">
        <x:v>3</x:v>
      </x:c>
      <x:c r="T1004" s="15" t="n">
        <x:v>0</x:v>
      </x:c>
      <x:c r="U1004" s="16" t="n">
        <x:v>4.67</x:v>
      </x:c>
      <x:c r="V1004" s="6" t="str">
        <x:v>https://digitecme.com/brands/infiniti-service-dubai/engine-diagnostics</x:v>
      </x:c>
      <x:c r="W1004" s="6" t="str">
        <x:v>Indexable directive</x:v>
      </x:c>
      <x:c r="X1004" s="6" t="n">
        <x:v>8</x:v>
      </x:c>
      <x:c r="Y1004" s="6" t="str">
        <x:v>Infiniti Engine Diagnostics Dubai | Digi-Tec</x:v>
      </x:c>
      <x:c r="Z1004" s="6" t="str"/>
      <x:c r="AA1004" s="6" t="str">
        <x:v>No / not compared</x:v>
      </x:c>
    </x:row>
    <x:row r="1005" ht="42" customHeight="1">
      <x:c r="A1005" s="6" t="str">
        <x:v>https://digitecme.com/brands/infiniti-service-dubai/oil-change</x:v>
      </x:c>
      <x:c r="B1005" s="6" t="str">
        <x:v>infiniti car oil change in dubai</x:v>
      </x:c>
      <x:c r="C1005" s="6" t="str">
        <x:v>infiniti: Oil change</x:v>
      </x:c>
      <x:c r="D1005" s="6" t="str">
        <x:v>brand-service</x:v>
      </x:c>
      <x:c r="E1005" s="6" t="str">
        <x:v>Primary owner for assigned intent</x:v>
      </x:c>
      <x:c r="F1005" s="6" t="str">
        <x:v>Local source render; live version unverified</x:v>
      </x:c>
      <x:c r="G1005" s="6" t="str">
        <x:v>Infiniti Oil Change Dubai | Digi-Tec</x:v>
      </x:c>
      <x:c r="H1005" s="6" t="str">
        <x:v>Infiniti Oil Change Dubai | Digi-Tec</x:v>
      </x:c>
      <x:c r="I1005" s="6" t="str">
        <x:v>Infiniti Oil Change Dubai</x:v>
      </x:c>
      <x:c r="J1005" s="6" t="str">
        <x:v>Infiniti Oil Change Dubai</x:v>
      </x:c>
      <x:c r="K1005" s="6" t="str">
        <x:v>Infiniti oil change in Dubai with model-specific inspection, confirmed parts options and a clear quote at Digi-Tec, Al Quoz.</x:v>
      </x:c>
      <x:c r="L1005" s="6" t="str">
        <x:v>Retain pending evidence; no specific content edit justified by this export.</x:v>
      </x:c>
      <x:c r="M1005" s="6" t="str">
        <x:v>Retain; inspect relevant context before adding links</x:v>
      </x:c>
      <x:c r="N1005" s="6" t="str">
        <x:v>Unconfirmed — no query/page pairing</x:v>
      </x:c>
      <x:c r="O1005" s="6" t="str">
        <x:v>Retain established booking / WhatsApp / call path; live behaviour untested</x:v>
      </x:c>
      <x:c r="P1005" s="6" t="str">
        <x:v>Retain canonical and indexation policy pending a live check.</x:v>
      </x:c>
      <x:c r="Q1005" s="6" t="str">
        <x:v>Proposed; no website change made</x:v>
      </x:c>
      <x:c r="R1005" s="14" t="n">
        <x:v>0</x:v>
      </x:c>
      <x:c r="S1005" s="14" t="n">
        <x:v>34</x:v>
      </x:c>
      <x:c r="T1005" s="15" t="n">
        <x:v>0</x:v>
      </x:c>
      <x:c r="U1005" s="16" t="n">
        <x:v>16.24</x:v>
      </x:c>
      <x:c r="V1005" s="6" t="str">
        <x:v>https://digitecme.com/brands/infiniti-service-dubai/oil-change</x:v>
      </x:c>
      <x:c r="W1005" s="6" t="str">
        <x:v>Indexable directive</x:v>
      </x:c>
      <x:c r="X1005" s="6" t="n">
        <x:v>8</x:v>
      </x:c>
      <x:c r="Y1005" s="6" t="str">
        <x:v>Infiniti Oil Change Dubai | Digi-Tec</x:v>
      </x:c>
      <x:c r="Z1005" s="6" t="str"/>
      <x:c r="AA1005" s="6" t="str">
        <x:v>No / not compared</x:v>
      </x:c>
    </x:row>
    <x:row r="1006" ht="42" customHeight="1">
      <x:c r="A1006" s="6" t="str">
        <x:v>https://digitecme.com/brands/infiniti-service-dubai/suspension-repair</x:v>
      </x:c>
      <x:c r="B1006" s="6" t="str"/>
      <x:c r="C1006" s="6" t="str"/>
      <x:c r="D1006" s="6" t="str">
        <x:v>brand-service</x:v>
      </x:c>
      <x:c r="E1006" s="6" t="str">
        <x:v>Retain differentiated role</x:v>
      </x:c>
      <x:c r="F1006" s="6" t="str">
        <x:v>Local source render; live version unverified</x:v>
      </x:c>
      <x:c r="G1006" s="6" t="str">
        <x:v>Infiniti Suspension Repair Dubai | Digi-Tec</x:v>
      </x:c>
      <x:c r="H1006" s="6" t="str">
        <x:v>Infiniti Suspension Repair Dubai | Digi-Tec</x:v>
      </x:c>
      <x:c r="I1006" s="6" t="str">
        <x:v>Infiniti Suspension Repair Dubai</x:v>
      </x:c>
      <x:c r="J1006" s="6" t="str">
        <x:v>Infiniti Suspension Repair Dubai</x:v>
      </x:c>
      <x:c r="K1006" s="6" t="str">
        <x:v>Infiniti suspension repair in Dubai with model-specific inspection, confirmed parts options and a clear quote at Digi-Tec, Al Quoz.</x:v>
      </x:c>
      <x:c r="L1006" s="6" t="str">
        <x:v>Retain pending evidence; no specific content edit justified by this export.</x:v>
      </x:c>
      <x:c r="M1006" s="6" t="str">
        <x:v>Retain; inspect relevant context before adding links</x:v>
      </x:c>
      <x:c r="N1006" s="6" t="str">
        <x:v>Unconfirmed — no query/page pairing</x:v>
      </x:c>
      <x:c r="O1006" s="6" t="str">
        <x:v>Retain established booking / WhatsApp / call path; live behaviour untested</x:v>
      </x:c>
      <x:c r="P1006" s="6" t="str">
        <x:v>Retain canonical and indexation policy pending a live check.</x:v>
      </x:c>
      <x:c r="Q1006" s="6" t="str">
        <x:v>Proposed; no website change made</x:v>
      </x:c>
      <x:c r="R1006" s="14" t="n">
        <x:v>0</x:v>
      </x:c>
      <x:c r="S1006" s="14" t="n">
        <x:v>4</x:v>
      </x:c>
      <x:c r="T1006" s="15" t="n">
        <x:v>0</x:v>
      </x:c>
      <x:c r="U1006" s="16" t="n">
        <x:v>11</x:v>
      </x:c>
      <x:c r="V1006" s="6" t="str">
        <x:v>https://digitecme.com/brands/infiniti-service-dubai/suspension-repair</x:v>
      </x:c>
      <x:c r="W1006" s="6" t="str">
        <x:v>Noindex directive</x:v>
      </x:c>
      <x:c r="X1006" s="6" t="n">
        <x:v>8</x:v>
      </x:c>
      <x:c r="Y1006" s="6" t="str">
        <x:v>Infiniti Suspension Repair Dubai | Digi-Tec</x:v>
      </x:c>
      <x:c r="Z1006" s="6" t="str"/>
      <x:c r="AA1006" s="6" t="str">
        <x:v>No / not compared</x:v>
      </x:c>
    </x:row>
    <x:row r="1007" ht="42" customHeight="1">
      <x:c r="A1007" s="6" t="str">
        <x:v>https://digitecme.com/brands/infiniti-service-dubai/transmission-repair</x:v>
      </x:c>
      <x:c r="B1007" s="6" t="str"/>
      <x:c r="C1007" s="6" t="str"/>
      <x:c r="D1007" s="6" t="str">
        <x:v>brand-service</x:v>
      </x:c>
      <x:c r="E1007" s="6" t="str">
        <x:v>Retain differentiated role</x:v>
      </x:c>
      <x:c r="F1007" s="6" t="str">
        <x:v>Local source render; live version unverified</x:v>
      </x:c>
      <x:c r="G1007" s="6" t="str">
        <x:v>Infiniti Transmission Repair Dubai | Digi-Tec</x:v>
      </x:c>
      <x:c r="H1007" s="6" t="str">
        <x:v>Infiniti Transmission Repair Dubai | Digi-Tec</x:v>
      </x:c>
      <x:c r="I1007" s="6" t="str">
        <x:v>Infiniti Transmission Repair Dubai</x:v>
      </x:c>
      <x:c r="J1007" s="6" t="str">
        <x:v>Infiniti Transmission Repair Dubai</x:v>
      </x:c>
      <x:c r="K1007" s="6" t="str">
        <x:v>Infiniti transmission repair in Dubai with model-specific inspection, confirmed parts options and a clear quote at Digi-Tec, Al Quoz.</x:v>
      </x:c>
      <x:c r="L1007" s="6" t="str">
        <x:v>Retain pending evidence; no specific content edit justified by this export.</x:v>
      </x:c>
      <x:c r="M1007" s="6" t="str">
        <x:v>Retain; inspect relevant context before adding links</x:v>
      </x:c>
      <x:c r="N1007" s="6" t="str">
        <x:v>Unconfirmed — no query/page pairing</x:v>
      </x:c>
      <x:c r="O1007" s="6" t="str">
        <x:v>Retain established booking / WhatsApp / call path; live behaviour untested</x:v>
      </x:c>
      <x:c r="P1007" s="6" t="str">
        <x:v>Retain canonical and indexation policy pending a live check.</x:v>
      </x:c>
      <x:c r="Q1007" s="6" t="str">
        <x:v>Proposed; no website change made</x:v>
      </x:c>
      <x:c r="R1007" s="14"/>
      <x:c r="S1007" s="14"/>
      <x:c r="T1007" s="15"/>
      <x:c r="U1007" s="16"/>
      <x:c r="V1007" s="6" t="str">
        <x:v>https://digitecme.com/brands/infiniti-service-dubai/transmission-repair</x:v>
      </x:c>
      <x:c r="W1007" s="6" t="str">
        <x:v>Noindex directive</x:v>
      </x:c>
      <x:c r="X1007" s="6" t="n">
        <x:v>8</x:v>
      </x:c>
      <x:c r="Y1007" s="6" t="str">
        <x:v>Infiniti Transmission Repair Dubai | Digi-Tec</x:v>
      </x:c>
      <x:c r="Z1007" s="6" t="str"/>
      <x:c r="AA1007" s="6" t="str">
        <x:v>No / not compared</x:v>
      </x:c>
    </x:row>
    <x:row r="1008" ht="42" customHeight="1">
      <x:c r="A1008" s="6" t="str">
        <x:v>https://digitecme.com/brands/jaguar-service-dubai</x:v>
      </x:c>
      <x:c r="B1008" s="6" t="str">
        <x:v>jaguar repair dubai</x:v>
      </x:c>
      <x:c r="C1008" s="6" t="str">
        <x:v>jaguar: Service and repair</x:v>
      </x:c>
      <x:c r="D1008" s="6" t="str">
        <x:v>brand</x:v>
      </x:c>
      <x:c r="E1008" s="6" t="str">
        <x:v>Primary owner for assigned intent</x:v>
      </x:c>
      <x:c r="F1008" s="6" t="str">
        <x:v>Local source render; live version unverified</x:v>
      </x:c>
      <x:c r="G1008" s="6" t="str">
        <x:v>Jaguar Repair Dubai | Digi-Tec</x:v>
      </x:c>
      <x:c r="H1008" s="6" t="str">
        <x:v>Jaguar Repair Dubai | Digi-Tec</x:v>
      </x:c>
      <x:c r="I1008" s="6" t="str">
        <x:v>Jaguar Repair &amp; Service Dubai</x:v>
      </x:c>
      <x:c r="J1008" s="6" t="str">
        <x:v>Jaguar Repair &amp; Service Dubai</x:v>
      </x:c>
      <x:c r="K1008" s="6" t="str">
        <x:v>Specialist Jaguar repair and service in Dubai: diagnostics, maintenance, brakes, transmission, suspension and AC at Digi-Tec, Al Quoz.</x:v>
      </x:c>
      <x:c r="L1008" s="6" t="str">
        <x:v>Retain pending evidence; no specific content edit justified by this export.</x:v>
      </x:c>
      <x:c r="M1008" s="6" t="str">
        <x:v>Retain; inspect relevant context before adding links</x:v>
      </x:c>
      <x:c r="N1008" s="6" t="str">
        <x:v>Unconfirmed — no query/page pairing</x:v>
      </x:c>
      <x:c r="O1008" s="6" t="str">
        <x:v>Retain established booking / WhatsApp / call path; live behaviour untested</x:v>
      </x:c>
      <x:c r="P1008" s="6" t="str">
        <x:v>Retain canonical and indexation policy pending a live check.</x:v>
      </x:c>
      <x:c r="Q1008" s="6" t="str">
        <x:v>Proposed; no website change made</x:v>
      </x:c>
      <x:c r="R1008" s="14" t="n">
        <x:v>0</x:v>
      </x:c>
      <x:c r="S1008" s="14" t="n">
        <x:v>186</x:v>
      </x:c>
      <x:c r="T1008" s="15" t="n">
        <x:v>0</x:v>
      </x:c>
      <x:c r="U1008" s="16" t="n">
        <x:v>41.6</x:v>
      </x:c>
      <x:c r="V1008" s="6" t="str">
        <x:v>https://digitecme.com/brands/jaguar-service-dubai</x:v>
      </x:c>
      <x:c r="W1008" s="6" t="str">
        <x:v>Indexable directive</x:v>
      </x:c>
      <x:c r="X1008" s="6" t="n">
        <x:v>28</x:v>
      </x:c>
      <x:c r="Y1008" s="6" t="str">
        <x:v>Jaguar Repair Dubai | Digi-Tec</x:v>
      </x:c>
      <x:c r="Z1008" s="6" t="str"/>
      <x:c r="AA1008" s="6" t="str">
        <x:v>No / not compared</x:v>
      </x:c>
    </x:row>
    <x:row r="1009" ht="42" customHeight="1">
      <x:c r="A1009" s="6" t="str">
        <x:v>https://digitecme.com/brands/jaguar-service-dubai/ac-repair</x:v>
      </x:c>
      <x:c r="B1009" s="6" t="str"/>
      <x:c r="C1009" s="6" t="str"/>
      <x:c r="D1009" s="6" t="str">
        <x:v>brand-service</x:v>
      </x:c>
      <x:c r="E1009" s="6" t="str">
        <x:v>Retain differentiated role</x:v>
      </x:c>
      <x:c r="F1009" s="6" t="str">
        <x:v>Local source render; live version unverified</x:v>
      </x:c>
      <x:c r="G1009" s="6" t="str">
        <x:v>Jaguar AC Repair Dubai | Digi-Tec</x:v>
      </x:c>
      <x:c r="H1009" s="6" t="str">
        <x:v>Jaguar AC Repair Dubai | Digi-Tec</x:v>
      </x:c>
      <x:c r="I1009" s="6" t="str">
        <x:v>Jaguar AC Repair Dubai</x:v>
      </x:c>
      <x:c r="J1009" s="6" t="str">
        <x:v>Jaguar AC Repair Dubai</x:v>
      </x:c>
      <x:c r="K1009" s="6" t="str">
        <x:v>Jaguar ac repair in Dubai with model-specific inspection, confirmed parts options and a clear quote at Digi-Tec, Al Quoz.</x:v>
      </x:c>
      <x:c r="L1009" s="6" t="str">
        <x:v>Retain pending evidence; no specific content edit justified by this export.</x:v>
      </x:c>
      <x:c r="M1009" s="6" t="str">
        <x:v>Retain; inspect relevant context before adding links</x:v>
      </x:c>
      <x:c r="N1009" s="6" t="str">
        <x:v>Unconfirmed — no query/page pairing</x:v>
      </x:c>
      <x:c r="O1009" s="6" t="str">
        <x:v>Retain established booking / WhatsApp / call path; live behaviour untested</x:v>
      </x:c>
      <x:c r="P1009" s="6" t="str">
        <x:v>Retain canonical and indexation policy pending a live check.</x:v>
      </x:c>
      <x:c r="Q1009" s="6" t="str">
        <x:v>Proposed; no website change made</x:v>
      </x:c>
      <x:c r="R1009" s="14" t="n">
        <x:v>0</x:v>
      </x:c>
      <x:c r="S1009" s="14" t="n">
        <x:v>27</x:v>
      </x:c>
      <x:c r="T1009" s="15" t="n">
        <x:v>0</x:v>
      </x:c>
      <x:c r="U1009" s="16" t="n">
        <x:v>16.15</x:v>
      </x:c>
      <x:c r="V1009" s="6" t="str">
        <x:v>https://digitecme.com/brands/jaguar-service-dubai/ac-repair</x:v>
      </x:c>
      <x:c r="W1009" s="6" t="str">
        <x:v>Indexable directive</x:v>
      </x:c>
      <x:c r="X1009" s="6" t="n">
        <x:v>8</x:v>
      </x:c>
      <x:c r="Y1009" s="6" t="str">
        <x:v>Jaguar AC Repair Dubai | Digi-Tec</x:v>
      </x:c>
      <x:c r="Z1009" s="6" t="str"/>
      <x:c r="AA1009" s="6" t="str">
        <x:v>No / not compared</x:v>
      </x:c>
    </x:row>
    <x:row r="1010" ht="42" customHeight="1">
      <x:c r="A1010" s="6" t="str">
        <x:v>https://digitecme.com/brands/jaguar-service-dubai/brake-repair</x:v>
      </x:c>
      <x:c r="B1010" s="6" t="str"/>
      <x:c r="C1010" s="6" t="str"/>
      <x:c r="D1010" s="6" t="str">
        <x:v>brand-service</x:v>
      </x:c>
      <x:c r="E1010" s="6" t="str">
        <x:v>Retain differentiated role</x:v>
      </x:c>
      <x:c r="F1010" s="6" t="str">
        <x:v>Local source render; live version unverified</x:v>
      </x:c>
      <x:c r="G1010" s="6" t="str">
        <x:v>Jaguar Brake Repair Dubai | Digi-Tec</x:v>
      </x:c>
      <x:c r="H1010" s="6" t="str">
        <x:v>Jaguar Brake Repair Dubai | Digi-Tec</x:v>
      </x:c>
      <x:c r="I1010" s="6" t="str">
        <x:v>Jaguar Brake Repair Dubai</x:v>
      </x:c>
      <x:c r="J1010" s="6" t="str">
        <x:v>Jaguar Brake Repair Dubai</x:v>
      </x:c>
      <x:c r="K1010" s="6" t="str">
        <x:v>Jaguar brake repair in Dubai with model-specific inspection, confirmed parts options and a clear quote at Digi-Tec, Al Quoz.</x:v>
      </x:c>
      <x:c r="L1010" s="6" t="str">
        <x:v>Retain pending evidence; no specific content edit justified by this export.</x:v>
      </x:c>
      <x:c r="M1010" s="6" t="str">
        <x:v>Retain; inspect relevant context before adding links</x:v>
      </x:c>
      <x:c r="N1010" s="6" t="str">
        <x:v>Unconfirmed — no query/page pairing</x:v>
      </x:c>
      <x:c r="O1010" s="6" t="str">
        <x:v>Retain established booking / WhatsApp / call path; live behaviour untested</x:v>
      </x:c>
      <x:c r="P1010" s="6" t="str">
        <x:v>Retain canonical and indexation policy pending a live check.</x:v>
      </x:c>
      <x:c r="Q1010" s="6" t="str">
        <x:v>Proposed; no website change made</x:v>
      </x:c>
      <x:c r="R1010" s="14" t="n">
        <x:v>0</x:v>
      </x:c>
      <x:c r="S1010" s="14" t="n">
        <x:v>18</x:v>
      </x:c>
      <x:c r="T1010" s="15" t="n">
        <x:v>0</x:v>
      </x:c>
      <x:c r="U1010" s="16" t="n">
        <x:v>11.72</x:v>
      </x:c>
      <x:c r="V1010" s="6" t="str">
        <x:v>https://digitecme.com/brands/jaguar-service-dubai/brake-repair</x:v>
      </x:c>
      <x:c r="W1010" s="6" t="str">
        <x:v>Indexable directive</x:v>
      </x:c>
      <x:c r="X1010" s="6" t="n">
        <x:v>8</x:v>
      </x:c>
      <x:c r="Y1010" s="6" t="str">
        <x:v>Jaguar Brake Repair Dubai | Digi-Tec</x:v>
      </x:c>
      <x:c r="Z1010" s="6" t="str"/>
      <x:c r="AA1010" s="6" t="str">
        <x:v>No / not compared</x:v>
      </x:c>
    </x:row>
    <x:row r="1011" ht="42" customHeight="1">
      <x:c r="A1011" s="6" t="str">
        <x:v>https://digitecme.com/brands/jaguar-service-dubai/engine-diagnostics</x:v>
      </x:c>
      <x:c r="B1011" s="6" t="str"/>
      <x:c r="C1011" s="6" t="str"/>
      <x:c r="D1011" s="6" t="str">
        <x:v>brand-service</x:v>
      </x:c>
      <x:c r="E1011" s="6" t="str">
        <x:v>Retain differentiated role</x:v>
      </x:c>
      <x:c r="F1011" s="6" t="str">
        <x:v>Local source render; live version unverified</x:v>
      </x:c>
      <x:c r="G1011" s="6" t="str">
        <x:v>Jaguar Engine Diagnostics Dubai | Digi-Tec</x:v>
      </x:c>
      <x:c r="H1011" s="6" t="str">
        <x:v>Jaguar Engine Diagnostics Dubai | Digi-Tec</x:v>
      </x:c>
      <x:c r="I1011" s="6" t="str">
        <x:v>Jaguar Engine Diagnostics Dubai</x:v>
      </x:c>
      <x:c r="J1011" s="6" t="str">
        <x:v>Jaguar Engine Diagnostics Dubai</x:v>
      </x:c>
      <x:c r="K1011" s="6" t="str">
        <x:v>Jaguar engine diagnostics in Dubai with model-specific inspection, confirmed parts options and a clear quote at Digi-Tec, Al Quoz.</x:v>
      </x:c>
      <x:c r="L1011" s="6" t="str">
        <x:v>Retain pending evidence; no specific content edit justified by this export.</x:v>
      </x:c>
      <x:c r="M1011" s="6" t="str">
        <x:v>Retain; inspect relevant context before adding links</x:v>
      </x:c>
      <x:c r="N1011" s="6" t="str">
        <x:v>Unconfirmed — no query/page pairing</x:v>
      </x:c>
      <x:c r="O1011" s="6" t="str">
        <x:v>Retain established booking / WhatsApp / call path; live behaviour untested</x:v>
      </x:c>
      <x:c r="P1011" s="6" t="str">
        <x:v>Retain canonical and indexation policy pending a live check.</x:v>
      </x:c>
      <x:c r="Q1011" s="6" t="str">
        <x:v>Proposed; no website change made</x:v>
      </x:c>
      <x:c r="R1011" s="14" t="n">
        <x:v>0</x:v>
      </x:c>
      <x:c r="S1011" s="14" t="n">
        <x:v>5</x:v>
      </x:c>
      <x:c r="T1011" s="15" t="n">
        <x:v>0</x:v>
      </x:c>
      <x:c r="U1011" s="16" t="n">
        <x:v>11</x:v>
      </x:c>
      <x:c r="V1011" s="6" t="str">
        <x:v>https://digitecme.com/brands/jaguar-service-dubai/engine-diagnostics</x:v>
      </x:c>
      <x:c r="W1011" s="6" t="str">
        <x:v>Indexable directive</x:v>
      </x:c>
      <x:c r="X1011" s="6" t="n">
        <x:v>8</x:v>
      </x:c>
      <x:c r="Y1011" s="6" t="str">
        <x:v>Jaguar Engine Diagnostics Dubai | Digi-Tec</x:v>
      </x:c>
      <x:c r="Z1011" s="6" t="str"/>
      <x:c r="AA1011" s="6" t="str">
        <x:v>No / not compared</x:v>
      </x:c>
    </x:row>
    <x:row r="1012" ht="42" customHeight="1">
      <x:c r="A1012" s="6" t="str">
        <x:v>https://digitecme.com/brands/jaguar-service-dubai/oil-change</x:v>
      </x:c>
      <x:c r="B1012" s="6" t="str"/>
      <x:c r="C1012" s="6" t="str"/>
      <x:c r="D1012" s="6" t="str">
        <x:v>brand-service</x:v>
      </x:c>
      <x:c r="E1012" s="6" t="str">
        <x:v>Retain differentiated role</x:v>
      </x:c>
      <x:c r="F1012" s="6" t="str">
        <x:v>Local source render; live version unverified</x:v>
      </x:c>
      <x:c r="G1012" s="6" t="str">
        <x:v>Jaguar Oil Change Dubai | Digi-Tec</x:v>
      </x:c>
      <x:c r="H1012" s="6" t="str">
        <x:v>Jaguar Oil Change Dubai | Digi-Tec</x:v>
      </x:c>
      <x:c r="I1012" s="6" t="str">
        <x:v>Jaguar Oil Change Dubai</x:v>
      </x:c>
      <x:c r="J1012" s="6" t="str">
        <x:v>Jaguar Oil Change Dubai</x:v>
      </x:c>
      <x:c r="K1012" s="6" t="str">
        <x:v>Jaguar oil change in Dubai with model-specific inspection, confirmed parts options and a clear quote at Digi-Tec, Al Quoz.</x:v>
      </x:c>
      <x:c r="L1012" s="6" t="str">
        <x:v>Retain pending evidence; no specific content edit justified by this export.</x:v>
      </x:c>
      <x:c r="M1012" s="6" t="str">
        <x:v>Retain; inspect relevant context before adding links</x:v>
      </x:c>
      <x:c r="N1012" s="6" t="str">
        <x:v>Unconfirmed — no query/page pairing</x:v>
      </x:c>
      <x:c r="O1012" s="6" t="str">
        <x:v>Retain established booking / WhatsApp / call path; live behaviour untested</x:v>
      </x:c>
      <x:c r="P1012" s="6" t="str">
        <x:v>Retain canonical and indexation policy pending a live check.</x:v>
      </x:c>
      <x:c r="Q1012" s="6" t="str">
        <x:v>Proposed; no website change made</x:v>
      </x:c>
      <x:c r="R1012" s="14" t="n">
        <x:v>1</x:v>
      </x:c>
      <x:c r="S1012" s="14" t="n">
        <x:v>14</x:v>
      </x:c>
      <x:c r="T1012" s="15" t="n">
        <x:v>0.07139999999999999</x:v>
      </x:c>
      <x:c r="U1012" s="16" t="n">
        <x:v>13.43</x:v>
      </x:c>
      <x:c r="V1012" s="6" t="str">
        <x:v>https://digitecme.com/brands/jaguar-service-dubai/oil-change</x:v>
      </x:c>
      <x:c r="W1012" s="6" t="str">
        <x:v>Indexable directive</x:v>
      </x:c>
      <x:c r="X1012" s="6" t="n">
        <x:v>8</x:v>
      </x:c>
      <x:c r="Y1012" s="6" t="str">
        <x:v>Jaguar Oil Change Dubai | Digi-Tec</x:v>
      </x:c>
      <x:c r="Z1012" s="6" t="str"/>
      <x:c r="AA1012" s="6" t="str">
        <x:v>No / not compared</x:v>
      </x:c>
    </x:row>
    <x:row r="1013" ht="42" customHeight="1">
      <x:c r="A1013" s="6" t="str">
        <x:v>https://digitecme.com/brands/jaguar-service-dubai/suspension-repair</x:v>
      </x:c>
      <x:c r="B1013" s="6" t="str"/>
      <x:c r="C1013" s="6" t="str"/>
      <x:c r="D1013" s="6" t="str">
        <x:v>brand-service</x:v>
      </x:c>
      <x:c r="E1013" s="6" t="str">
        <x:v>Retain differentiated role</x:v>
      </x:c>
      <x:c r="F1013" s="6" t="str">
        <x:v>Local source render; live version unverified</x:v>
      </x:c>
      <x:c r="G1013" s="6" t="str">
        <x:v>Jaguar Suspension Repair Dubai | Digi-Tec</x:v>
      </x:c>
      <x:c r="H1013" s="6" t="str">
        <x:v>Jaguar Suspension Repair Dubai | Digi-Tec</x:v>
      </x:c>
      <x:c r="I1013" s="6" t="str">
        <x:v>Jaguar Suspension Repair Dubai</x:v>
      </x:c>
      <x:c r="J1013" s="6" t="str">
        <x:v>Jaguar Suspension Repair Dubai</x:v>
      </x:c>
      <x:c r="K1013" s="6" t="str">
        <x:v>Jaguar suspension repair in Dubai with model-specific inspection, confirmed parts options and a clear quote at Digi-Tec, Al Quoz.</x:v>
      </x:c>
      <x:c r="L1013" s="6" t="str">
        <x:v>Retain pending evidence; no specific content edit justified by this export.</x:v>
      </x:c>
      <x:c r="M1013" s="6" t="str">
        <x:v>Retain; inspect relevant context before adding links</x:v>
      </x:c>
      <x:c r="N1013" s="6" t="str">
        <x:v>Unconfirmed — no query/page pairing</x:v>
      </x:c>
      <x:c r="O1013" s="6" t="str">
        <x:v>Retain established booking / WhatsApp / call path; live behaviour untested</x:v>
      </x:c>
      <x:c r="P1013" s="6" t="str">
        <x:v>Retain canonical and indexation policy pending a live check.</x:v>
      </x:c>
      <x:c r="Q1013" s="6" t="str">
        <x:v>Proposed; no website change made</x:v>
      </x:c>
      <x:c r="R1013" s="14" t="n">
        <x:v>0</x:v>
      </x:c>
      <x:c r="S1013" s="14" t="n">
        <x:v>20</x:v>
      </x:c>
      <x:c r="T1013" s="15" t="n">
        <x:v>0</x:v>
      </x:c>
      <x:c r="U1013" s="16" t="n">
        <x:v>9.8</x:v>
      </x:c>
      <x:c r="V1013" s="6" t="str">
        <x:v>https://digitecme.com/brands/jaguar-service-dubai/suspension-repair</x:v>
      </x:c>
      <x:c r="W1013" s="6" t="str">
        <x:v>Noindex directive</x:v>
      </x:c>
      <x:c r="X1013" s="6" t="n">
        <x:v>8</x:v>
      </x:c>
      <x:c r="Y1013" s="6" t="str">
        <x:v>Jaguar Suspension Repair Dubai | Digi-Tec</x:v>
      </x:c>
      <x:c r="Z1013" s="6" t="str"/>
      <x:c r="AA1013" s="6" t="str">
        <x:v>No / not compared</x:v>
      </x:c>
    </x:row>
    <x:row r="1014" ht="42" customHeight="1">
      <x:c r="A1014" s="6" t="str">
        <x:v>https://digitecme.com/brands/jaguar-service-dubai/transmission-repair</x:v>
      </x:c>
      <x:c r="B1014" s="6" t="str"/>
      <x:c r="C1014" s="6" t="str"/>
      <x:c r="D1014" s="6" t="str">
        <x:v>brand-service</x:v>
      </x:c>
      <x:c r="E1014" s="6" t="str">
        <x:v>Retain differentiated role</x:v>
      </x:c>
      <x:c r="F1014" s="6" t="str">
        <x:v>Local source render; live version unverified</x:v>
      </x:c>
      <x:c r="G1014" s="6" t="str">
        <x:v>Jaguar Transmission Repair Dubai | Digi-Tec</x:v>
      </x:c>
      <x:c r="H1014" s="6" t="str">
        <x:v>Jaguar Transmission Repair Dubai | Digi-Tec</x:v>
      </x:c>
      <x:c r="I1014" s="6" t="str">
        <x:v>Jaguar Transmission Repair Dubai</x:v>
      </x:c>
      <x:c r="J1014" s="6" t="str">
        <x:v>Jaguar Transmission Repair Dubai</x:v>
      </x:c>
      <x:c r="K1014" s="6" t="str">
        <x:v>Jaguar transmission repair in Dubai with model-specific inspection, confirmed parts options and a clear quote at Digi-Tec, Al Quoz.</x:v>
      </x:c>
      <x:c r="L1014" s="6" t="str">
        <x:v>Retain pending evidence; no specific content edit justified by this export.</x:v>
      </x:c>
      <x:c r="M1014" s="6" t="str">
        <x:v>Retain; inspect relevant context before adding links</x:v>
      </x:c>
      <x:c r="N1014" s="6" t="str">
        <x:v>Unconfirmed — no query/page pairing</x:v>
      </x:c>
      <x:c r="O1014" s="6" t="str">
        <x:v>Retain established booking / WhatsApp / call path; live behaviour untested</x:v>
      </x:c>
      <x:c r="P1014" s="6" t="str">
        <x:v>Retain canonical and indexation policy pending a live check.</x:v>
      </x:c>
      <x:c r="Q1014" s="6" t="str">
        <x:v>Proposed; no website change made</x:v>
      </x:c>
      <x:c r="R1014" s="14" t="n">
        <x:v>0</x:v>
      </x:c>
      <x:c r="S1014" s="14" t="n">
        <x:v>33</x:v>
      </x:c>
      <x:c r="T1014" s="15" t="n">
        <x:v>0</x:v>
      </x:c>
      <x:c r="U1014" s="16" t="n">
        <x:v>17.88</x:v>
      </x:c>
      <x:c r="V1014" s="6" t="str">
        <x:v>https://digitecme.com/brands/jaguar-service-dubai/transmission-repair</x:v>
      </x:c>
      <x:c r="W1014" s="6" t="str">
        <x:v>Noindex directive</x:v>
      </x:c>
      <x:c r="X1014" s="6" t="n">
        <x:v>8</x:v>
      </x:c>
      <x:c r="Y1014" s="6" t="str">
        <x:v>Jaguar Transmission Repair Dubai | Digi-Tec</x:v>
      </x:c>
      <x:c r="Z1014" s="6" t="str"/>
      <x:c r="AA1014" s="6" t="str">
        <x:v>No / not compared</x:v>
      </x:c>
    </x:row>
    <x:row r="1015" ht="42" customHeight="1">
      <x:c r="A1015" s="6" t="str">
        <x:v>https://digitecme.com/brands/jeep-service-dubai</x:v>
      </x:c>
      <x:c r="B1015" s="6" t="str">
        <x:v>jeep repair dubai</x:v>
      </x:c>
      <x:c r="C1015" s="6" t="str">
        <x:v>jeep: Service and repair (English)</x:v>
      </x:c>
      <x:c r="D1015" s="6" t="str">
        <x:v>brand</x:v>
      </x:c>
      <x:c r="E1015" s="6" t="str">
        <x:v>Primary owner for assigned intent</x:v>
      </x:c>
      <x:c r="F1015" s="6" t="str">
        <x:v>Local source render; live version unverified</x:v>
      </x:c>
      <x:c r="G1015" s="6" t="str">
        <x:v>Jeep Repair Dubai | Digi-Tec</x:v>
      </x:c>
      <x:c r="H1015" s="6" t="str">
        <x:v>Jeep Repair Dubai | Digi-Tec</x:v>
      </x:c>
      <x:c r="I1015" s="6" t="str">
        <x:v>Jeep Repair &amp; Service Dubai</x:v>
      </x:c>
      <x:c r="J1015" s="6" t="str">
        <x:v>Jeep Repair &amp; Service Dubai</x:v>
      </x:c>
      <x:c r="K1015" s="6" t="str">
        <x:v>Specialist Jeep repair and service in Dubai: diagnostics, maintenance, brakes, transmission, suspension and AC at Digi-Tec, Al Quoz.</x:v>
      </x:c>
      <x:c r="L1015" s="6" t="str">
        <x:v>Retain pending evidence; no specific content edit justified by this export.</x:v>
      </x:c>
      <x:c r="M1015" s="6" t="str">
        <x:v>Retain; inspect relevant context before adding links</x:v>
      </x:c>
      <x:c r="N1015" s="6" t="str">
        <x:v>Unconfirmed — no query/page pairing</x:v>
      </x:c>
      <x:c r="O1015" s="6" t="str">
        <x:v>Retain established booking / WhatsApp / call path; live behaviour untested</x:v>
      </x:c>
      <x:c r="P1015" s="6" t="str">
        <x:v>Retain canonical and indexation policy pending a live check.</x:v>
      </x:c>
      <x:c r="Q1015" s="6" t="str">
        <x:v>Proposed; no website change made</x:v>
      </x:c>
      <x:c r="R1015" s="14" t="n">
        <x:v>0</x:v>
      </x:c>
      <x:c r="S1015" s="14" t="n">
        <x:v>339</x:v>
      </x:c>
      <x:c r="T1015" s="15" t="n">
        <x:v>0</x:v>
      </x:c>
      <x:c r="U1015" s="16" t="n">
        <x:v>40.19</x:v>
      </x:c>
      <x:c r="V1015" s="6" t="str">
        <x:v>https://digitecme.com/brands/jeep-service-dubai</x:v>
      </x:c>
      <x:c r="W1015" s="6" t="str">
        <x:v>Indexable directive</x:v>
      </x:c>
      <x:c r="X1015" s="6" t="n">
        <x:v>36</x:v>
      </x:c>
      <x:c r="Y1015" s="6" t="str">
        <x:v>Jeep Repair Dubai | Digi-Tec</x:v>
      </x:c>
      <x:c r="Z1015" s="6" t="str"/>
      <x:c r="AA1015" s="6" t="str">
        <x:v>No / not compared</x:v>
      </x:c>
    </x:row>
    <x:row r="1016" ht="42" customHeight="1">
      <x:c r="A1016" s="6" t="str">
        <x:v>https://digitecme.com/brands/jeep-service-dubai/ac-repair</x:v>
      </x:c>
      <x:c r="B1016" s="6" t="str"/>
      <x:c r="C1016" s="6" t="str"/>
      <x:c r="D1016" s="6" t="str">
        <x:v>brand-service</x:v>
      </x:c>
      <x:c r="E1016" s="6" t="str">
        <x:v>Retain differentiated role</x:v>
      </x:c>
      <x:c r="F1016" s="6" t="str">
        <x:v>Local source render; live version unverified</x:v>
      </x:c>
      <x:c r="G1016" s="6" t="str">
        <x:v>Jeep AC Repair Dubai | Digi-Tec</x:v>
      </x:c>
      <x:c r="H1016" s="6" t="str">
        <x:v>Jeep AC Repair Dubai | Digi-Tec</x:v>
      </x:c>
      <x:c r="I1016" s="6" t="str">
        <x:v>Jeep AC Repair Dubai</x:v>
      </x:c>
      <x:c r="J1016" s="6" t="str">
        <x:v>Jeep AC Repair Dubai</x:v>
      </x:c>
      <x:c r="K1016" s="6" t="str">
        <x:v>Jeep ac repair in Dubai with model-specific inspection, confirmed parts options and a clear quote at Digi-Tec, Al Quoz.</x:v>
      </x:c>
      <x:c r="L1016" s="6" t="str">
        <x:v>Retain pending evidence; no specific content edit justified by this export.</x:v>
      </x:c>
      <x:c r="M1016" s="6" t="str">
        <x:v>Retain; inspect relevant context before adding links</x:v>
      </x:c>
      <x:c r="N1016" s="6" t="str">
        <x:v>Unconfirmed — no query/page pairing</x:v>
      </x:c>
      <x:c r="O1016" s="6" t="str">
        <x:v>Retain established booking / WhatsApp / call path; live behaviour untested</x:v>
      </x:c>
      <x:c r="P1016" s="6" t="str">
        <x:v>Retain canonical and indexation policy pending a live check.</x:v>
      </x:c>
      <x:c r="Q1016" s="6" t="str">
        <x:v>Proposed; no website change made</x:v>
      </x:c>
      <x:c r="R1016" s="14" t="n">
        <x:v>0</x:v>
      </x:c>
      <x:c r="S1016" s="14" t="n">
        <x:v>17</x:v>
      </x:c>
      <x:c r="T1016" s="15" t="n">
        <x:v>0</x:v>
      </x:c>
      <x:c r="U1016" s="16" t="n">
        <x:v>20.18</x:v>
      </x:c>
      <x:c r="V1016" s="6" t="str">
        <x:v>https://digitecme.com/brands/jeep-service-dubai/ac-repair</x:v>
      </x:c>
      <x:c r="W1016" s="6" t="str">
        <x:v>Indexable directive</x:v>
      </x:c>
      <x:c r="X1016" s="6" t="n">
        <x:v>16</x:v>
      </x:c>
      <x:c r="Y1016" s="6" t="str">
        <x:v>Jeep AC Repair Dubai | Digi-Tec</x:v>
      </x:c>
      <x:c r="Z1016" s="6" t="str"/>
      <x:c r="AA1016" s="6" t="str">
        <x:v>No / not compared</x:v>
      </x:c>
    </x:row>
    <x:row r="1017" ht="42" customHeight="1">
      <x:c r="A1017" s="6" t="str">
        <x:v>https://digitecme.com/brands/jeep-service-dubai/battery-replacement</x:v>
      </x:c>
      <x:c r="B1017" s="6" t="str">
        <x:v>jeep car battery uae</x:v>
      </x:c>
      <x:c r="C1017" s="6" t="str">
        <x:v>jeep: Battery service</x:v>
      </x:c>
      <x:c r="D1017" s="6" t="str">
        <x:v>brand-service</x:v>
      </x:c>
      <x:c r="E1017" s="6" t="str">
        <x:v>Primary owner for assigned intent</x:v>
      </x:c>
      <x:c r="F1017" s="6" t="str">
        <x:v>Local source render; live version unverified</x:v>
      </x:c>
      <x:c r="G1017" s="6" t="str">
        <x:v>Jeep Battery Replacement Dubai | Digi-Tec</x:v>
      </x:c>
      <x:c r="H1017" s="6" t="str">
        <x:v>Jeep Battery Replacement Dubai | Digi-Tec</x:v>
      </x:c>
      <x:c r="I1017" s="6" t="str">
        <x:v>Jeep Battery Replacement Dubai</x:v>
      </x:c>
      <x:c r="J1017" s="6" t="str">
        <x:v>Jeep Battery Replacement Dubai</x:v>
      </x:c>
      <x:c r="K1017" s="6" t="str">
        <x:v>Jeep battery replacement in Dubai with model-specific inspection, confirmed parts options and a clear quote at Digi-Tec, Al Quoz.</x:v>
      </x:c>
      <x:c r="L1017" s="6" t="str">
        <x:v>Retain pending evidence; no specific content edit justified by this export.</x:v>
      </x:c>
      <x:c r="M1017" s="6" t="str">
        <x:v>Retain; inspect relevant context before adding links</x:v>
      </x:c>
      <x:c r="N1017" s="6" t="str">
        <x:v>Unconfirmed — no query/page pairing</x:v>
      </x:c>
      <x:c r="O1017" s="6" t="str">
        <x:v>Retain established booking / WhatsApp / call path; live behaviour untested</x:v>
      </x:c>
      <x:c r="P1017" s="6" t="str">
        <x:v>Specific search demand maps to an existing noindex page. Verify live directives and unique business content; consider the existing indexable parent as interim owner.</x:v>
      </x:c>
      <x:c r="Q1017" s="6" t="str">
        <x:v>Proposed; no website change made</x:v>
      </x:c>
      <x:c r="R1017" s="14" t="n">
        <x:v>0</x:v>
      </x:c>
      <x:c r="S1017" s="14" t="n">
        <x:v>51</x:v>
      </x:c>
      <x:c r="T1017" s="15" t="n">
        <x:v>0</x:v>
      </x:c>
      <x:c r="U1017" s="16" t="n">
        <x:v>30.14</x:v>
      </x:c>
      <x:c r="V1017" s="6" t="str">
        <x:v>https://digitecme.com/brands/jeep-service-dubai/battery-replacement</x:v>
      </x:c>
      <x:c r="W1017" s="6" t="str">
        <x:v>Noindex directive</x:v>
      </x:c>
      <x:c r="X1017" s="6" t="n">
        <x:v>16</x:v>
      </x:c>
      <x:c r="Y1017" s="6" t="str">
        <x:v>Jeep Battery Replacement Dubai | Digi-Tec</x:v>
      </x:c>
      <x:c r="Z1017" s="6" t="str"/>
      <x:c r="AA1017" s="6" t="str">
        <x:v>No / not compared</x:v>
      </x:c>
    </x:row>
    <x:row r="1018" ht="42" customHeight="1">
      <x:c r="A1018" s="6" t="str">
        <x:v>https://digitecme.com/brands/jeep-service-dubai/body-repair</x:v>
      </x:c>
      <x:c r="B1018" s="6" t="str"/>
      <x:c r="C1018" s="6" t="str"/>
      <x:c r="D1018" s="6" t="str">
        <x:v>brand-service</x:v>
      </x:c>
      <x:c r="E1018" s="6" t="str">
        <x:v>Retain differentiated role</x:v>
      </x:c>
      <x:c r="F1018" s="6" t="str">
        <x:v>Local source render; live version unverified</x:v>
      </x:c>
      <x:c r="G1018" s="6" t="str">
        <x:v>Jeep Body Repair Dubai | Digi-Tec</x:v>
      </x:c>
      <x:c r="H1018" s="6" t="str">
        <x:v>Jeep Body Repair Dubai | Digi-Tec</x:v>
      </x:c>
      <x:c r="I1018" s="6" t="str">
        <x:v>Jeep Body Repair Dubai</x:v>
      </x:c>
      <x:c r="J1018" s="6" t="str">
        <x:v>Jeep Body Repair Dubai</x:v>
      </x:c>
      <x:c r="K1018" s="6" t="str">
        <x:v>Jeep body repair in Dubai with model-specific inspection, confirmed parts options and a clear quote at Digi-Tec, Al Quoz.</x:v>
      </x:c>
      <x:c r="L1018" s="6" t="str">
        <x:v>Retain pending evidence; no specific content edit justified by this export.</x:v>
      </x:c>
      <x:c r="M1018" s="6" t="str">
        <x:v>Retain; inspect relevant context before adding links</x:v>
      </x:c>
      <x:c r="N1018" s="6" t="str">
        <x:v>Unconfirmed — no query/page pairing</x:v>
      </x:c>
      <x:c r="O1018" s="6" t="str">
        <x:v>Retain established booking / WhatsApp / call path; live behaviour untested</x:v>
      </x:c>
      <x:c r="P1018" s="6" t="str">
        <x:v>Retain canonical and indexation policy pending a live check.</x:v>
      </x:c>
      <x:c r="Q1018" s="6" t="str">
        <x:v>Proposed; no website change made</x:v>
      </x:c>
      <x:c r="R1018" s="14"/>
      <x:c r="S1018" s="14"/>
      <x:c r="T1018" s="15"/>
      <x:c r="U1018" s="16"/>
      <x:c r="V1018" s="6" t="str">
        <x:v>https://digitecme.com/brands/jeep-service-dubai/body-repair</x:v>
      </x:c>
      <x:c r="W1018" s="6" t="str">
        <x:v>Noindex directive</x:v>
      </x:c>
      <x:c r="X1018" s="6" t="n">
        <x:v>16</x:v>
      </x:c>
      <x:c r="Y1018" s="6" t="str">
        <x:v>Jeep Body Repair Dubai | Digi-Tec</x:v>
      </x:c>
      <x:c r="Z1018" s="6" t="str"/>
      <x:c r="AA1018" s="6" t="str">
        <x:v>No / not compared</x:v>
      </x:c>
    </x:row>
    <x:row r="1019" ht="42" customHeight="1">
      <x:c r="A1019" s="6" t="str">
        <x:v>https://digitecme.com/brands/jeep-service-dubai/brake-repair</x:v>
      </x:c>
      <x:c r="B1019" s="6" t="str"/>
      <x:c r="C1019" s="6" t="str"/>
      <x:c r="D1019" s="6" t="str">
        <x:v>brand-service</x:v>
      </x:c>
      <x:c r="E1019" s="6" t="str">
        <x:v>Retain differentiated role</x:v>
      </x:c>
      <x:c r="F1019" s="6" t="str">
        <x:v>Local source render; live version unverified</x:v>
      </x:c>
      <x:c r="G1019" s="6" t="str">
        <x:v>Jeep Brake Repair Dubai | Digi-Tec</x:v>
      </x:c>
      <x:c r="H1019" s="6" t="str">
        <x:v>Jeep Brake Repair Dubai | Digi-Tec</x:v>
      </x:c>
      <x:c r="I1019" s="6" t="str">
        <x:v>Jeep Brake Repair Dubai</x:v>
      </x:c>
      <x:c r="J1019" s="6" t="str">
        <x:v>Jeep Brake Repair Dubai</x:v>
      </x:c>
      <x:c r="K1019" s="6" t="str">
        <x:v>Jeep brake repair in Dubai with model-specific inspection, confirmed parts options and a clear quote at Digi-Tec, Al Quoz.</x:v>
      </x:c>
      <x:c r="L1019" s="6" t="str">
        <x:v>Retain pending evidence; no specific content edit justified by this export.</x:v>
      </x:c>
      <x:c r="M1019" s="6" t="str">
        <x:v>Retain; inspect relevant context before adding links</x:v>
      </x:c>
      <x:c r="N1019" s="6" t="str">
        <x:v>Unconfirmed — no query/page pairing</x:v>
      </x:c>
      <x:c r="O1019" s="6" t="str">
        <x:v>Retain established booking / WhatsApp / call path; live behaviour untested</x:v>
      </x:c>
      <x:c r="P1019" s="6" t="str">
        <x:v>Retain canonical and indexation policy pending a live check.</x:v>
      </x:c>
      <x:c r="Q1019" s="6" t="str">
        <x:v>Proposed; no website change made</x:v>
      </x:c>
      <x:c r="R1019" s="14" t="n">
        <x:v>0</x:v>
      </x:c>
      <x:c r="S1019" s="14" t="n">
        <x:v>16</x:v>
      </x:c>
      <x:c r="T1019" s="15" t="n">
        <x:v>0</x:v>
      </x:c>
      <x:c r="U1019" s="16" t="n">
        <x:v>12.75</x:v>
      </x:c>
      <x:c r="V1019" s="6" t="str">
        <x:v>https://digitecme.com/brands/jeep-service-dubai/brake-repair</x:v>
      </x:c>
      <x:c r="W1019" s="6" t="str">
        <x:v>Indexable directive</x:v>
      </x:c>
      <x:c r="X1019" s="6" t="n">
        <x:v>16</x:v>
      </x:c>
      <x:c r="Y1019" s="6" t="str">
        <x:v>Jeep Brake Repair Dubai | Digi-Tec</x:v>
      </x:c>
      <x:c r="Z1019" s="6" t="str"/>
      <x:c r="AA1019" s="6" t="str">
        <x:v>No / not compared</x:v>
      </x:c>
    </x:row>
    <x:row r="1020" ht="42" customHeight="1">
      <x:c r="A1020" s="6" t="str">
        <x:v>https://digitecme.com/brands/jeep-service-dubai/electrical-repair</x:v>
      </x:c>
      <x:c r="B1020" s="6" t="str"/>
      <x:c r="C1020" s="6" t="str"/>
      <x:c r="D1020" s="6" t="str">
        <x:v>brand-service</x:v>
      </x:c>
      <x:c r="E1020" s="6" t="str">
        <x:v>Retain differentiated role</x:v>
      </x:c>
      <x:c r="F1020" s="6" t="str">
        <x:v>Local source render; live version unverified</x:v>
      </x:c>
      <x:c r="G1020" s="6" t="str">
        <x:v>Jeep Electrical Repair Dubai | Digi-Tec</x:v>
      </x:c>
      <x:c r="H1020" s="6" t="str">
        <x:v>Jeep Electrical Repair Dubai | Digi-Tec</x:v>
      </x:c>
      <x:c r="I1020" s="6" t="str">
        <x:v>Jeep Electrical Repair Dubai</x:v>
      </x:c>
      <x:c r="J1020" s="6" t="str">
        <x:v>Jeep Electrical Repair Dubai</x:v>
      </x:c>
      <x:c r="K1020" s="6" t="str">
        <x:v>Jeep electrical repair in Dubai with model-specific inspection, confirmed parts options and a clear quote at Digi-Tec, Al Quoz.</x:v>
      </x:c>
      <x:c r="L1020" s="6" t="str">
        <x:v>Retain pending evidence; no specific content edit justified by this export.</x:v>
      </x:c>
      <x:c r="M1020" s="6" t="str">
        <x:v>Retain; inspect relevant context before adding links</x:v>
      </x:c>
      <x:c r="N1020" s="6" t="str">
        <x:v>Unconfirmed — no query/page pairing</x:v>
      </x:c>
      <x:c r="O1020" s="6" t="str">
        <x:v>Retain established booking / WhatsApp / call path; live behaviour untested</x:v>
      </x:c>
      <x:c r="P1020" s="6" t="str">
        <x:v>Retain canonical and indexation policy pending a live check.</x:v>
      </x:c>
      <x:c r="Q1020" s="6" t="str">
        <x:v>Proposed; no website change made</x:v>
      </x:c>
      <x:c r="R1020" s="14" t="n">
        <x:v>1</x:v>
      </x:c>
      <x:c r="S1020" s="14" t="n">
        <x:v>6</x:v>
      </x:c>
      <x:c r="T1020" s="15" t="n">
        <x:v>0.16670000000000001</x:v>
      </x:c>
      <x:c r="U1020" s="16" t="n">
        <x:v>8.67</x:v>
      </x:c>
      <x:c r="V1020" s="6" t="str">
        <x:v>https://digitecme.com/brands/jeep-service-dubai/electrical-repair</x:v>
      </x:c>
      <x:c r="W1020" s="6" t="str">
        <x:v>Noindex directive</x:v>
      </x:c>
      <x:c r="X1020" s="6" t="n">
        <x:v>16</x:v>
      </x:c>
      <x:c r="Y1020" s="6" t="str">
        <x:v>Jeep Electrical Repair Dubai | Digi-Tec</x:v>
      </x:c>
      <x:c r="Z1020" s="6" t="str"/>
      <x:c r="AA1020" s="6" t="str">
        <x:v>No / not compared</x:v>
      </x:c>
    </x:row>
    <x:row r="1021" ht="42" customHeight="1">
      <x:c r="A1021" s="6" t="str">
        <x:v>https://digitecme.com/brands/jeep-service-dubai/engine-diagnostics</x:v>
      </x:c>
      <x:c r="B1021" s="6" t="str"/>
      <x:c r="C1021" s="6" t="str"/>
      <x:c r="D1021" s="6" t="str">
        <x:v>brand-service</x:v>
      </x:c>
      <x:c r="E1021" s="6" t="str">
        <x:v>Retain differentiated role</x:v>
      </x:c>
      <x:c r="F1021" s="6" t="str">
        <x:v>Local source render; live version unverified</x:v>
      </x:c>
      <x:c r="G1021" s="6" t="str">
        <x:v>Jeep Engine Diagnostics Dubai | Digi-Tec</x:v>
      </x:c>
      <x:c r="H1021" s="6" t="str">
        <x:v>Jeep Engine Diagnostics Dubai | Digi-Tec</x:v>
      </x:c>
      <x:c r="I1021" s="6" t="str">
        <x:v>Jeep Engine Diagnostics Dubai</x:v>
      </x:c>
      <x:c r="J1021" s="6" t="str">
        <x:v>Jeep Engine Diagnostics Dubai</x:v>
      </x:c>
      <x:c r="K1021" s="6" t="str">
        <x:v>Jeep engine diagnostics in Dubai with model-specific inspection, confirmed parts options and a clear quote at Digi-Tec, Al Quoz.</x:v>
      </x:c>
      <x:c r="L1021" s="6" t="str">
        <x:v>Retain pending evidence; no specific content edit justified by this export.</x:v>
      </x:c>
      <x:c r="M1021" s="6" t="str">
        <x:v>Retain; inspect relevant context before adding links</x:v>
      </x:c>
      <x:c r="N1021" s="6" t="str">
        <x:v>Unconfirmed — no query/page pairing</x:v>
      </x:c>
      <x:c r="O1021" s="6" t="str">
        <x:v>Retain established booking / WhatsApp / call path; live behaviour untested</x:v>
      </x:c>
      <x:c r="P1021" s="6" t="str">
        <x:v>Retain canonical and indexation policy pending a live check.</x:v>
      </x:c>
      <x:c r="Q1021" s="6" t="str">
        <x:v>Proposed; no website change made</x:v>
      </x:c>
      <x:c r="R1021" s="14" t="n">
        <x:v>0</x:v>
      </x:c>
      <x:c r="S1021" s="14" t="n">
        <x:v>16</x:v>
      </x:c>
      <x:c r="T1021" s="15" t="n">
        <x:v>0</x:v>
      </x:c>
      <x:c r="U1021" s="16" t="n">
        <x:v>24.81</x:v>
      </x:c>
      <x:c r="V1021" s="6" t="str">
        <x:v>https://digitecme.com/brands/jeep-service-dubai/engine-diagnostics</x:v>
      </x:c>
      <x:c r="W1021" s="6" t="str">
        <x:v>Indexable directive</x:v>
      </x:c>
      <x:c r="X1021" s="6" t="n">
        <x:v>16</x:v>
      </x:c>
      <x:c r="Y1021" s="6" t="str">
        <x:v>Jeep Engine Diagnostics Dubai | Digi-Tec</x:v>
      </x:c>
      <x:c r="Z1021" s="6" t="str"/>
      <x:c r="AA1021" s="6" t="str">
        <x:v>No / not compared</x:v>
      </x:c>
    </x:row>
    <x:row r="1022" ht="42" customHeight="1">
      <x:c r="A1022" s="6" t="str">
        <x:v>https://digitecme.com/brands/jeep-service-dubai/exhaust-repair</x:v>
      </x:c>
      <x:c r="B1022" s="6" t="str"/>
      <x:c r="C1022" s="6" t="str"/>
      <x:c r="D1022" s="6" t="str">
        <x:v>brand-service</x:v>
      </x:c>
      <x:c r="E1022" s="6" t="str">
        <x:v>Retain differentiated role</x:v>
      </x:c>
      <x:c r="F1022" s="6" t="str">
        <x:v>Local source render; live version unverified</x:v>
      </x:c>
      <x:c r="G1022" s="6" t="str">
        <x:v>Jeep Exhaust Repair Dubai | Digi-Tec</x:v>
      </x:c>
      <x:c r="H1022" s="6" t="str">
        <x:v>Jeep Exhaust Repair Dubai | Digi-Tec</x:v>
      </x:c>
      <x:c r="I1022" s="6" t="str">
        <x:v>Jeep Exhaust Repair Dubai</x:v>
      </x:c>
      <x:c r="J1022" s="6" t="str">
        <x:v>Jeep Exhaust Repair Dubai</x:v>
      </x:c>
      <x:c r="K1022" s="6" t="str">
        <x:v>Jeep exhaust repair in Dubai with model-specific inspection, confirmed parts options and a clear quote at Digi-Tec, Al Quoz.</x:v>
      </x:c>
      <x:c r="L1022" s="6" t="str">
        <x:v>Retain pending evidence; no specific content edit justified by this export.</x:v>
      </x:c>
      <x:c r="M1022" s="6" t="str">
        <x:v>Retain; inspect relevant context before adding links</x:v>
      </x:c>
      <x:c r="N1022" s="6" t="str">
        <x:v>Unconfirmed — no query/page pairing</x:v>
      </x:c>
      <x:c r="O1022" s="6" t="str">
        <x:v>Retain established booking / WhatsApp / call path; live behaviour untested</x:v>
      </x:c>
      <x:c r="P1022" s="6" t="str">
        <x:v>Retain canonical and indexation policy pending a live check.</x:v>
      </x:c>
      <x:c r="Q1022" s="6" t="str">
        <x:v>Proposed; no website change made</x:v>
      </x:c>
      <x:c r="R1022" s="14" t="n">
        <x:v>0</x:v>
      </x:c>
      <x:c r="S1022" s="14" t="n">
        <x:v>3</x:v>
      </x:c>
      <x:c r="T1022" s="15" t="n">
        <x:v>0</x:v>
      </x:c>
      <x:c r="U1022" s="16" t="n">
        <x:v>20</x:v>
      </x:c>
      <x:c r="V1022" s="6" t="str">
        <x:v>https://digitecme.com/brands/jeep-service-dubai/exhaust-repair</x:v>
      </x:c>
      <x:c r="W1022" s="6" t="str">
        <x:v>Noindex directive</x:v>
      </x:c>
      <x:c r="X1022" s="6" t="n">
        <x:v>16</x:v>
      </x:c>
      <x:c r="Y1022" s="6" t="str">
        <x:v>Jeep Exhaust Repair Dubai | Digi-Tec</x:v>
      </x:c>
      <x:c r="Z1022" s="6" t="str"/>
      <x:c r="AA1022" s="6" t="str">
        <x:v>No / not compared</x:v>
      </x:c>
    </x:row>
    <x:row r="1023" ht="42" customHeight="1">
      <x:c r="A1023" s="6" t="str">
        <x:v>https://digitecme.com/brands/jeep-service-dubai/fuel-system-repair</x:v>
      </x:c>
      <x:c r="B1023" s="6" t="str"/>
      <x:c r="C1023" s="6" t="str"/>
      <x:c r="D1023" s="6" t="str">
        <x:v>brand-service</x:v>
      </x:c>
      <x:c r="E1023" s="6" t="str">
        <x:v>Retain differentiated role</x:v>
      </x:c>
      <x:c r="F1023" s="6" t="str">
        <x:v>Local source render; live version unverified</x:v>
      </x:c>
      <x:c r="G1023" s="6" t="str">
        <x:v>Jeep Fuel System Repair Dubai | Digi-Tec</x:v>
      </x:c>
      <x:c r="H1023" s="6" t="str">
        <x:v>Jeep Fuel System Repair Dubai | Digi-Tec</x:v>
      </x:c>
      <x:c r="I1023" s="6" t="str">
        <x:v>Jeep Fuel System Repair Dubai</x:v>
      </x:c>
      <x:c r="J1023" s="6" t="str">
        <x:v>Jeep Fuel System Repair Dubai</x:v>
      </x:c>
      <x:c r="K1023" s="6" t="str">
        <x:v>Jeep fuel system repair in Dubai with model-specific inspection, confirmed parts options and a clear quote at Digi-Tec, Al Quoz.</x:v>
      </x:c>
      <x:c r="L1023" s="6" t="str">
        <x:v>Retain pending evidence; no specific content edit justified by this export.</x:v>
      </x:c>
      <x:c r="M1023" s="6" t="str">
        <x:v>Retain; inspect relevant context before adding links</x:v>
      </x:c>
      <x:c r="N1023" s="6" t="str">
        <x:v>Unconfirmed — no query/page pairing</x:v>
      </x:c>
      <x:c r="O1023" s="6" t="str">
        <x:v>Retain established booking / WhatsApp / call path; live behaviour untested</x:v>
      </x:c>
      <x:c r="P1023" s="6" t="str">
        <x:v>Retain canonical and indexation policy pending a live check.</x:v>
      </x:c>
      <x:c r="Q1023" s="6" t="str">
        <x:v>Proposed; no website change made</x:v>
      </x:c>
      <x:c r="R1023" s="14" t="n">
        <x:v>0</x:v>
      </x:c>
      <x:c r="S1023" s="14" t="n">
        <x:v>31</x:v>
      </x:c>
      <x:c r="T1023" s="15" t="n">
        <x:v>0</x:v>
      </x:c>
      <x:c r="U1023" s="16" t="n">
        <x:v>23.58</x:v>
      </x:c>
      <x:c r="V1023" s="6" t="str">
        <x:v>https://digitecme.com/brands/jeep-service-dubai/fuel-system-repair</x:v>
      </x:c>
      <x:c r="W1023" s="6" t="str">
        <x:v>Noindex directive</x:v>
      </x:c>
      <x:c r="X1023" s="6" t="n">
        <x:v>16</x:v>
      </x:c>
      <x:c r="Y1023" s="6" t="str">
        <x:v>Jeep Fuel System Repair Dubai | Digi-Tec</x:v>
      </x:c>
      <x:c r="Z1023" s="6" t="str"/>
      <x:c r="AA1023" s="6" t="str">
        <x:v>No / not compared</x:v>
      </x:c>
    </x:row>
    <x:row r="1024" ht="42" customHeight="1">
      <x:c r="A1024" s="6" t="str">
        <x:v>https://digitecme.com/brands/jeep-service-dubai/mechanical-repair</x:v>
      </x:c>
      <x:c r="B1024" s="6" t="str"/>
      <x:c r="C1024" s="6" t="str"/>
      <x:c r="D1024" s="6" t="str">
        <x:v>brand-service</x:v>
      </x:c>
      <x:c r="E1024" s="6" t="str">
        <x:v>Retain differentiated role</x:v>
      </x:c>
      <x:c r="F1024" s="6" t="str">
        <x:v>Local source render; live version unverified</x:v>
      </x:c>
      <x:c r="G1024" s="6" t="str">
        <x:v>Jeep Mechanical Repair Dubai | Digi-Tec</x:v>
      </x:c>
      <x:c r="H1024" s="6" t="str">
        <x:v>Jeep Mechanical Repair Dubai | Digi-Tec</x:v>
      </x:c>
      <x:c r="I1024" s="6" t="str">
        <x:v>Jeep Mechanical Repair Dubai</x:v>
      </x:c>
      <x:c r="J1024" s="6" t="str">
        <x:v>Jeep Mechanical Repair Dubai</x:v>
      </x:c>
      <x:c r="K1024" s="6" t="str">
        <x:v>Jeep mechanical repair in Dubai with model-specific inspection, confirmed parts options and a clear quote at Digi-Tec, Al Quoz.</x:v>
      </x:c>
      <x:c r="L1024" s="6" t="str">
        <x:v>Retain pending evidence; no specific content edit justified by this export.</x:v>
      </x:c>
      <x:c r="M1024" s="6" t="str">
        <x:v>Retain; inspect relevant context before adding links</x:v>
      </x:c>
      <x:c r="N1024" s="6" t="str">
        <x:v>Unconfirmed — no query/page pairing</x:v>
      </x:c>
      <x:c r="O1024" s="6" t="str">
        <x:v>Retain established booking / WhatsApp / call path; live behaviour untested</x:v>
      </x:c>
      <x:c r="P1024" s="6" t="str">
        <x:v>Retain canonical and indexation policy pending a live check.</x:v>
      </x:c>
      <x:c r="Q1024" s="6" t="str">
        <x:v>Proposed; no website change made</x:v>
      </x:c>
      <x:c r="R1024" s="14" t="n">
        <x:v>0</x:v>
      </x:c>
      <x:c r="S1024" s="14" t="n">
        <x:v>117</x:v>
      </x:c>
      <x:c r="T1024" s="15" t="n">
        <x:v>0</x:v>
      </x:c>
      <x:c r="U1024" s="16" t="n">
        <x:v>83.76</x:v>
      </x:c>
      <x:c r="V1024" s="6" t="str">
        <x:v>https://digitecme.com/brands/jeep-service-dubai/mechanical-repair</x:v>
      </x:c>
      <x:c r="W1024" s="6" t="str">
        <x:v>Noindex directive</x:v>
      </x:c>
      <x:c r="X1024" s="6" t="n">
        <x:v>16</x:v>
      </x:c>
      <x:c r="Y1024" s="6" t="str">
        <x:v>Jeep Mechanical Repair Dubai | Digi-Tec</x:v>
      </x:c>
      <x:c r="Z1024" s="6" t="str"/>
      <x:c r="AA1024" s="6" t="str">
        <x:v>No / not compared</x:v>
      </x:c>
    </x:row>
    <x:row r="1025" ht="42" customHeight="1">
      <x:c r="A1025" s="6" t="str">
        <x:v>https://digitecme.com/brands/jeep-service-dubai/oil-change</x:v>
      </x:c>
      <x:c r="B1025" s="6" t="str">
        <x:v>jeep oil change service in dubai</x:v>
      </x:c>
      <x:c r="C1025" s="6" t="str">
        <x:v>jeep: Oil change</x:v>
      </x:c>
      <x:c r="D1025" s="6" t="str">
        <x:v>brand-service</x:v>
      </x:c>
      <x:c r="E1025" s="6" t="str">
        <x:v>Primary owner for assigned intent</x:v>
      </x:c>
      <x:c r="F1025" s="6" t="str">
        <x:v>Local source render; live version unverified</x:v>
      </x:c>
      <x:c r="G1025" s="6" t="str">
        <x:v>Jeep Oil Change Dubai | Digi-Tec</x:v>
      </x:c>
      <x:c r="H1025" s="6" t="str">
        <x:v>Jeep Oil Change Dubai | Digi-Tec</x:v>
      </x:c>
      <x:c r="I1025" s="6" t="str">
        <x:v>Jeep Oil Change Dubai</x:v>
      </x:c>
      <x:c r="J1025" s="6" t="str">
        <x:v>Jeep Oil Change Dubai</x:v>
      </x:c>
      <x:c r="K1025" s="6" t="str">
        <x:v>Jeep oil change in Dubai with model-specific inspection, confirmed parts options and a clear quote at Digi-Tec, Al Quoz.</x:v>
      </x:c>
      <x:c r="L1025" s="6" t="str">
        <x:v>Retain pending evidence; no specific content edit justified by this export.</x:v>
      </x:c>
      <x:c r="M1025" s="6" t="str">
        <x:v>Retain; inspect relevant context before adding links</x:v>
      </x:c>
      <x:c r="N1025" s="6" t="str">
        <x:v>Unconfirmed — no query/page pairing</x:v>
      </x:c>
      <x:c r="O1025" s="6" t="str">
        <x:v>Retain established booking / WhatsApp / call path; live behaviour untested</x:v>
      </x:c>
      <x:c r="P1025" s="6" t="str">
        <x:v>Retain canonical and indexation policy pending a live check.</x:v>
      </x:c>
      <x:c r="Q1025" s="6" t="str">
        <x:v>Proposed; no website change made</x:v>
      </x:c>
      <x:c r="R1025" s="14" t="n">
        <x:v>0</x:v>
      </x:c>
      <x:c r="S1025" s="14" t="n">
        <x:v>53</x:v>
      </x:c>
      <x:c r="T1025" s="15" t="n">
        <x:v>0</x:v>
      </x:c>
      <x:c r="U1025" s="16" t="n">
        <x:v>17.06</x:v>
      </x:c>
      <x:c r="V1025" s="6" t="str">
        <x:v>https://digitecme.com/brands/jeep-service-dubai/oil-change</x:v>
      </x:c>
      <x:c r="W1025" s="6" t="str">
        <x:v>Indexable directive</x:v>
      </x:c>
      <x:c r="X1025" s="6" t="n">
        <x:v>16</x:v>
      </x:c>
      <x:c r="Y1025" s="6" t="str">
        <x:v>Jeep Oil Change Dubai | Digi-Tec</x:v>
      </x:c>
      <x:c r="Z1025" s="6" t="str"/>
      <x:c r="AA1025" s="6" t="str">
        <x:v>No / not compared</x:v>
      </x:c>
    </x:row>
    <x:row r="1026" ht="42" customHeight="1">
      <x:c r="A1026" s="6" t="str">
        <x:v>https://digitecme.com/brands/jeep-service-dubai/steering-repair</x:v>
      </x:c>
      <x:c r="B1026" s="6" t="str"/>
      <x:c r="C1026" s="6" t="str"/>
      <x:c r="D1026" s="6" t="str">
        <x:v>brand-service</x:v>
      </x:c>
      <x:c r="E1026" s="6" t="str">
        <x:v>Retain differentiated role</x:v>
      </x:c>
      <x:c r="F1026" s="6" t="str">
        <x:v>Local source render; live version unverified</x:v>
      </x:c>
      <x:c r="G1026" s="6" t="str">
        <x:v>Jeep Steering Repair Dubai | Digi-Tec</x:v>
      </x:c>
      <x:c r="H1026" s="6" t="str">
        <x:v>Jeep Steering Repair Dubai | Digi-Tec</x:v>
      </x:c>
      <x:c r="I1026" s="6" t="str">
        <x:v>Jeep Steering Repair Dubai</x:v>
      </x:c>
      <x:c r="J1026" s="6" t="str">
        <x:v>Jeep Steering Repair Dubai</x:v>
      </x:c>
      <x:c r="K1026" s="6" t="str">
        <x:v>Jeep steering repair in Dubai with model-specific inspection, confirmed parts options and a clear quote at Digi-Tec, Al Quoz.</x:v>
      </x:c>
      <x:c r="L1026" s="6" t="str">
        <x:v>Retain pending evidence; no specific content edit justified by this export.</x:v>
      </x:c>
      <x:c r="M1026" s="6" t="str">
        <x:v>Retain; inspect relevant context before adding links</x:v>
      </x:c>
      <x:c r="N1026" s="6" t="str">
        <x:v>Unconfirmed — no query/page pairing</x:v>
      </x:c>
      <x:c r="O1026" s="6" t="str">
        <x:v>Retain established booking / WhatsApp / call path; live behaviour untested</x:v>
      </x:c>
      <x:c r="P1026" s="6" t="str">
        <x:v>Retain canonical and indexation policy pending a live check.</x:v>
      </x:c>
      <x:c r="Q1026" s="6" t="str">
        <x:v>Proposed; no website change made</x:v>
      </x:c>
      <x:c r="R1026" s="14" t="n">
        <x:v>0</x:v>
      </x:c>
      <x:c r="S1026" s="14" t="n">
        <x:v>7</x:v>
      </x:c>
      <x:c r="T1026" s="15" t="n">
        <x:v>0</x:v>
      </x:c>
      <x:c r="U1026" s="16" t="n">
        <x:v>11.43</x:v>
      </x:c>
      <x:c r="V1026" s="6" t="str">
        <x:v>https://digitecme.com/brands/jeep-service-dubai/steering-repair</x:v>
      </x:c>
      <x:c r="W1026" s="6" t="str">
        <x:v>Noindex directive</x:v>
      </x:c>
      <x:c r="X1026" s="6" t="n">
        <x:v>16</x:v>
      </x:c>
      <x:c r="Y1026" s="6" t="str">
        <x:v>Jeep Steering Repair Dubai | Digi-Tec</x:v>
      </x:c>
      <x:c r="Z1026" s="6" t="str"/>
      <x:c r="AA1026" s="6" t="str">
        <x:v>No / not compared</x:v>
      </x:c>
    </x:row>
    <x:row r="1027" ht="42" customHeight="1">
      <x:c r="A1027" s="6" t="str">
        <x:v>https://digitecme.com/brands/jeep-service-dubai/suspension-repair</x:v>
      </x:c>
      <x:c r="B1027" s="6" t="str">
        <x:v>jeep suspension repair dubai</x:v>
      </x:c>
      <x:c r="C1027" s="6" t="str">
        <x:v>jeep: Suspension repair</x:v>
      </x:c>
      <x:c r="D1027" s="6" t="str">
        <x:v>brand-service</x:v>
      </x:c>
      <x:c r="E1027" s="6" t="str">
        <x:v>Primary owner for assigned intent</x:v>
      </x:c>
      <x:c r="F1027" s="6" t="str">
        <x:v>Local source render; live version unverified</x:v>
      </x:c>
      <x:c r="G1027" s="6" t="str">
        <x:v>Jeep Suspension Repair Dubai | Digi-Tec</x:v>
      </x:c>
      <x:c r="H1027" s="6" t="str">
        <x:v>Jeep Suspension Repair Dubai | Digi-Tec</x:v>
      </x:c>
      <x:c r="I1027" s="6" t="str">
        <x:v>Jeep Suspension Repair Dubai</x:v>
      </x:c>
      <x:c r="J1027" s="6" t="str">
        <x:v>Jeep Suspension Repair Dubai</x:v>
      </x:c>
      <x:c r="K1027" s="6" t="str">
        <x:v>Jeep suspension repair in Dubai with model-specific inspection, confirmed parts options and a clear quote at Digi-Tec, Al Quoz.</x:v>
      </x:c>
      <x:c r="L1027" s="6" t="str">
        <x:v>Retain pending evidence; no specific content edit justified by this export.</x:v>
      </x:c>
      <x:c r="M1027" s="6" t="str">
        <x:v>Retain; inspect relevant context before adding links</x:v>
      </x:c>
      <x:c r="N1027" s="6" t="str">
        <x:v>Unconfirmed — no query/page pairing</x:v>
      </x:c>
      <x:c r="O1027" s="6" t="str">
        <x:v>Retain established booking / WhatsApp / call path; live behaviour untested</x:v>
      </x:c>
      <x:c r="P1027" s="6" t="str">
        <x:v>Specific search demand maps to an existing noindex page. Verify live directives and unique business content; consider the existing indexable parent as interim owner.</x:v>
      </x:c>
      <x:c r="Q1027" s="6" t="str">
        <x:v>Proposed; no website change made</x:v>
      </x:c>
      <x:c r="R1027" s="14" t="n">
        <x:v>0</x:v>
      </x:c>
      <x:c r="S1027" s="14" t="n">
        <x:v>28</x:v>
      </x:c>
      <x:c r="T1027" s="15" t="n">
        <x:v>0</x:v>
      </x:c>
      <x:c r="U1027" s="16" t="n">
        <x:v>13.96</x:v>
      </x:c>
      <x:c r="V1027" s="6" t="str">
        <x:v>https://digitecme.com/brands/jeep-service-dubai/suspension-repair</x:v>
      </x:c>
      <x:c r="W1027" s="6" t="str">
        <x:v>Noindex directive</x:v>
      </x:c>
      <x:c r="X1027" s="6" t="n">
        <x:v>16</x:v>
      </x:c>
      <x:c r="Y1027" s="6" t="str">
        <x:v>Jeep Suspension Repair Dubai | Digi-Tec</x:v>
      </x:c>
      <x:c r="Z1027" s="6" t="str"/>
      <x:c r="AA1027" s="6" t="str">
        <x:v>No / not compared</x:v>
      </x:c>
    </x:row>
    <x:row r="1028" ht="42" customHeight="1">
      <x:c r="A1028" s="6" t="str">
        <x:v>https://digitecme.com/brands/jeep-service-dubai/tire-repair</x:v>
      </x:c>
      <x:c r="B1028" s="6" t="str"/>
      <x:c r="C1028" s="6" t="str"/>
      <x:c r="D1028" s="6" t="str">
        <x:v>brand-service</x:v>
      </x:c>
      <x:c r="E1028" s="6" t="str">
        <x:v>Retain differentiated role</x:v>
      </x:c>
      <x:c r="F1028" s="6" t="str">
        <x:v>Local source render; live version unverified</x:v>
      </x:c>
      <x:c r="G1028" s="6" t="str">
        <x:v>Jeep Tyre Repair Dubai | Digi-Tec</x:v>
      </x:c>
      <x:c r="H1028" s="6" t="str">
        <x:v>Jeep Tyre Repair Dubai | Digi-Tec</x:v>
      </x:c>
      <x:c r="I1028" s="6" t="str">
        <x:v>Jeep Tyre Repair Dubai</x:v>
      </x:c>
      <x:c r="J1028" s="6" t="str">
        <x:v>Jeep Tyre Repair Dubai</x:v>
      </x:c>
      <x:c r="K1028" s="6" t="str">
        <x:v>Jeep tyre repair in Dubai with model-specific inspection, confirmed parts options and a clear quote at Digi-Tec, Al Quoz.</x:v>
      </x:c>
      <x:c r="L1028" s="6" t="str">
        <x:v>Retain pending evidence; no specific content edit justified by this export.</x:v>
      </x:c>
      <x:c r="M1028" s="6" t="str">
        <x:v>Retain; inspect relevant context before adding links</x:v>
      </x:c>
      <x:c r="N1028" s="6" t="str">
        <x:v>Unconfirmed — no query/page pairing</x:v>
      </x:c>
      <x:c r="O1028" s="6" t="str">
        <x:v>Retain established booking / WhatsApp / call path; live behaviour untested</x:v>
      </x:c>
      <x:c r="P1028" s="6" t="str">
        <x:v>Retain canonical and indexation policy pending a live check.</x:v>
      </x:c>
      <x:c r="Q1028" s="6" t="str">
        <x:v>Proposed; no website change made</x:v>
      </x:c>
      <x:c r="R1028" s="14" t="n">
        <x:v>0</x:v>
      </x:c>
      <x:c r="S1028" s="14" t="n">
        <x:v>12</x:v>
      </x:c>
      <x:c r="T1028" s="15" t="n">
        <x:v>0</x:v>
      </x:c>
      <x:c r="U1028" s="16" t="n">
        <x:v>25</x:v>
      </x:c>
      <x:c r="V1028" s="6" t="str">
        <x:v>https://digitecme.com/brands/jeep-service-dubai/tire-repair</x:v>
      </x:c>
      <x:c r="W1028" s="6" t="str">
        <x:v>Noindex directive</x:v>
      </x:c>
      <x:c r="X1028" s="6" t="n">
        <x:v>16</x:v>
      </x:c>
      <x:c r="Y1028" s="6" t="str">
        <x:v>Jeep Tyre Repair Dubai | Digi-Tec</x:v>
      </x:c>
      <x:c r="Z1028" s="6" t="str"/>
      <x:c r="AA1028" s="6" t="str">
        <x:v>No / not compared</x:v>
      </x:c>
    </x:row>
    <x:row r="1029" ht="42" customHeight="1">
      <x:c r="A1029" s="6" t="str">
        <x:v>https://digitecme.com/brands/jeep-service-dubai/transmission-repair</x:v>
      </x:c>
      <x:c r="B1029" s="6" t="str"/>
      <x:c r="C1029" s="6" t="str"/>
      <x:c r="D1029" s="6" t="str">
        <x:v>brand-service</x:v>
      </x:c>
      <x:c r="E1029" s="6" t="str">
        <x:v>Retain differentiated role</x:v>
      </x:c>
      <x:c r="F1029" s="6" t="str">
        <x:v>Local source render; live version unverified</x:v>
      </x:c>
      <x:c r="G1029" s="6" t="str">
        <x:v>Jeep Transmission Repair Dubai | Digi-Tec</x:v>
      </x:c>
      <x:c r="H1029" s="6" t="str">
        <x:v>Jeep Transmission Repair Dubai | Digi-Tec</x:v>
      </x:c>
      <x:c r="I1029" s="6" t="str">
        <x:v>Jeep Transmission Repair Dubai</x:v>
      </x:c>
      <x:c r="J1029" s="6" t="str">
        <x:v>Jeep Transmission Repair Dubai</x:v>
      </x:c>
      <x:c r="K1029" s="6" t="str">
        <x:v>Jeep transmission repair in Dubai with model-specific inspection, confirmed parts options and a clear quote at Digi-Tec, Al Quoz.</x:v>
      </x:c>
      <x:c r="L1029" s="6" t="str">
        <x:v>Retain pending evidence; no specific content edit justified by this export.</x:v>
      </x:c>
      <x:c r="M1029" s="6" t="str">
        <x:v>Retain; inspect relevant context before adding links</x:v>
      </x:c>
      <x:c r="N1029" s="6" t="str">
        <x:v>Unconfirmed — no query/page pairing</x:v>
      </x:c>
      <x:c r="O1029" s="6" t="str">
        <x:v>Retain established booking / WhatsApp / call path; live behaviour untested</x:v>
      </x:c>
      <x:c r="P1029" s="6" t="str">
        <x:v>Retain canonical and indexation policy pending a live check.</x:v>
      </x:c>
      <x:c r="Q1029" s="6" t="str">
        <x:v>Proposed; no website change made</x:v>
      </x:c>
      <x:c r="R1029" s="14"/>
      <x:c r="S1029" s="14"/>
      <x:c r="T1029" s="15"/>
      <x:c r="U1029" s="16"/>
      <x:c r="V1029" s="6" t="str">
        <x:v>https://digitecme.com/brands/jeep-service-dubai/transmission-repair</x:v>
      </x:c>
      <x:c r="W1029" s="6" t="str">
        <x:v>Noindex directive</x:v>
      </x:c>
      <x:c r="X1029" s="6" t="n">
        <x:v>16</x:v>
      </x:c>
      <x:c r="Y1029" s="6" t="str">
        <x:v>Jeep Transmission Repair Dubai | Digi-Tec</x:v>
      </x:c>
      <x:c r="Z1029" s="6" t="str"/>
      <x:c r="AA1029" s="6" t="str">
        <x:v>No / not compared</x:v>
      </x:c>
    </x:row>
    <x:row r="1030" ht="42" customHeight="1">
      <x:c r="A1030" s="6" t="str">
        <x:v>https://digitecme.com/brands/jetour-service-dubai</x:v>
      </x:c>
      <x:c r="B1030" s="6" t="str"/>
      <x:c r="C1030" s="6" t="str"/>
      <x:c r="D1030" s="6" t="str">
        <x:v>brand</x:v>
      </x:c>
      <x:c r="E1030" s="6" t="str">
        <x:v>Retain differentiated role</x:v>
      </x:c>
      <x:c r="F1030" s="6" t="str">
        <x:v>Local source render; live version unverified</x:v>
      </x:c>
      <x:c r="G1030" s="6" t="str">
        <x:v>Jetour Repair Dubai | Digi-Tec</x:v>
      </x:c>
      <x:c r="H1030" s="6" t="str">
        <x:v>Jetour Repair Dubai | Digi-Tec</x:v>
      </x:c>
      <x:c r="I1030" s="6" t="str">
        <x:v>Jetour Repair &amp; Service Dubai</x:v>
      </x:c>
      <x:c r="J1030" s="6" t="str">
        <x:v>Jetour Repair &amp; Service Dubai</x:v>
      </x:c>
      <x:c r="K1030" s="6" t="str">
        <x:v>Specialist Jetour repair and service in Dubai: diagnostics, maintenance, brakes, transmission, suspension and AC at Digi-Tec, Al Quoz.</x:v>
      </x:c>
      <x:c r="L1030" s="6" t="str">
        <x:v>Retain pending evidence; no specific content edit justified by this export.</x:v>
      </x:c>
      <x:c r="M1030" s="6" t="str">
        <x:v>Retain; inspect relevant context before adding links</x:v>
      </x:c>
      <x:c r="N1030" s="6" t="str">
        <x:v>Unconfirmed — no query/page pairing</x:v>
      </x:c>
      <x:c r="O1030" s="6" t="str">
        <x:v>Retain established booking / WhatsApp / call path; live behaviour untested</x:v>
      </x:c>
      <x:c r="P1030" s="6" t="str">
        <x:v>Retain canonical and indexation policy pending a live check.</x:v>
      </x:c>
      <x:c r="Q1030" s="6" t="str">
        <x:v>Proposed; no website change made</x:v>
      </x:c>
      <x:c r="R1030" s="14" t="n">
        <x:v>0</x:v>
      </x:c>
      <x:c r="S1030" s="14" t="n">
        <x:v>89</x:v>
      </x:c>
      <x:c r="T1030" s="15" t="n">
        <x:v>0</x:v>
      </x:c>
      <x:c r="U1030" s="16" t="n">
        <x:v>17.18</x:v>
      </x:c>
      <x:c r="V1030" s="6" t="str">
        <x:v>https://digitecme.com/brands/jetour-service-dubai</x:v>
      </x:c>
      <x:c r="W1030" s="6" t="str">
        <x:v>Indexable directive</x:v>
      </x:c>
      <x:c r="X1030" s="6" t="n">
        <x:v>36</x:v>
      </x:c>
      <x:c r="Y1030" s="6" t="str">
        <x:v>Jetour Repair Dubai | Digi-Tec</x:v>
      </x:c>
      <x:c r="Z1030" s="6" t="str"/>
      <x:c r="AA1030" s="6" t="str">
        <x:v>No / not compared</x:v>
      </x:c>
    </x:row>
    <x:row r="1031" ht="42" customHeight="1">
      <x:c r="A1031" s="6" t="str">
        <x:v>https://digitecme.com/brands/jetour-service-dubai/ac-repair</x:v>
      </x:c>
      <x:c r="B1031" s="6" t="str"/>
      <x:c r="C1031" s="6" t="str"/>
      <x:c r="D1031" s="6" t="str">
        <x:v>brand-service</x:v>
      </x:c>
      <x:c r="E1031" s="6" t="str">
        <x:v>Retain differentiated role</x:v>
      </x:c>
      <x:c r="F1031" s="6" t="str">
        <x:v>Local source render; live version unverified</x:v>
      </x:c>
      <x:c r="G1031" s="6" t="str">
        <x:v>Jetour AC Repair Dubai | Digi-Tec</x:v>
      </x:c>
      <x:c r="H1031" s="6" t="str">
        <x:v>Jetour AC Repair Dubai | Digi-Tec</x:v>
      </x:c>
      <x:c r="I1031" s="6" t="str">
        <x:v>Jetour AC Repair Dubai</x:v>
      </x:c>
      <x:c r="J1031" s="6" t="str">
        <x:v>Jetour AC Repair Dubai</x:v>
      </x:c>
      <x:c r="K1031" s="6" t="str">
        <x:v>Jetour ac repair in Dubai with model-specific inspection, confirmed parts options and a clear quote at Digi-Tec, Al Quoz.</x:v>
      </x:c>
      <x:c r="L1031" s="6" t="str">
        <x:v>Retain pending evidence; no specific content edit justified by this export.</x:v>
      </x:c>
      <x:c r="M1031" s="6" t="str">
        <x:v>Retain; inspect relevant context before adding links</x:v>
      </x:c>
      <x:c r="N1031" s="6" t="str">
        <x:v>Unconfirmed — no query/page pairing</x:v>
      </x:c>
      <x:c r="O1031" s="6" t="str">
        <x:v>Retain established booking / WhatsApp / call path; live behaviour untested</x:v>
      </x:c>
      <x:c r="P1031" s="6" t="str">
        <x:v>Retain canonical and indexation policy pending a live check.</x:v>
      </x:c>
      <x:c r="Q1031" s="6" t="str">
        <x:v>Proposed; no website change made</x:v>
      </x:c>
      <x:c r="R1031" s="14" t="n">
        <x:v>0</x:v>
      </x:c>
      <x:c r="S1031" s="14" t="n">
        <x:v>20</x:v>
      </x:c>
      <x:c r="T1031" s="15" t="n">
        <x:v>0</x:v>
      </x:c>
      <x:c r="U1031" s="16" t="n">
        <x:v>7.4</x:v>
      </x:c>
      <x:c r="V1031" s="6" t="str">
        <x:v>https://digitecme.com/brands/jetour-service-dubai/ac-repair</x:v>
      </x:c>
      <x:c r="W1031" s="6" t="str">
        <x:v>Indexable directive</x:v>
      </x:c>
      <x:c r="X1031" s="6" t="n">
        <x:v>16</x:v>
      </x:c>
      <x:c r="Y1031" s="6" t="str">
        <x:v>Jetour AC Repair Dubai | Digi-Tec</x:v>
      </x:c>
      <x:c r="Z1031" s="6" t="str"/>
      <x:c r="AA1031" s="6" t="str">
        <x:v>No / not compared</x:v>
      </x:c>
    </x:row>
    <x:row r="1032" ht="42" customHeight="1">
      <x:c r="A1032" s="6" t="str">
        <x:v>https://digitecme.com/brands/jetour-service-dubai/battery-replacement</x:v>
      </x:c>
      <x:c r="B1032" s="6" t="str"/>
      <x:c r="C1032" s="6" t="str"/>
      <x:c r="D1032" s="6" t="str">
        <x:v>brand-service</x:v>
      </x:c>
      <x:c r="E1032" s="6" t="str">
        <x:v>Retain differentiated role</x:v>
      </x:c>
      <x:c r="F1032" s="6" t="str">
        <x:v>Local source render; live version unverified</x:v>
      </x:c>
      <x:c r="G1032" s="6" t="str">
        <x:v>Jetour Battery Replacement Dubai | Digi-Tec</x:v>
      </x:c>
      <x:c r="H1032" s="6" t="str">
        <x:v>Jetour Battery Replacement Dubai | Digi-Tec</x:v>
      </x:c>
      <x:c r="I1032" s="6" t="str">
        <x:v>Jetour Battery Replacement Dubai</x:v>
      </x:c>
      <x:c r="J1032" s="6" t="str">
        <x:v>Jetour Battery Replacement Dubai</x:v>
      </x:c>
      <x:c r="K1032" s="6" t="str">
        <x:v>Jetour battery replacement in Dubai with model-specific inspection, confirmed parts options and a clear quote at Digi-Tec, Al Quoz.</x:v>
      </x:c>
      <x:c r="L1032" s="6" t="str">
        <x:v>Retain pending evidence; no specific content edit justified by this export.</x:v>
      </x:c>
      <x:c r="M1032" s="6" t="str">
        <x:v>Retain; inspect relevant context before adding links</x:v>
      </x:c>
      <x:c r="N1032" s="6" t="str">
        <x:v>Unconfirmed — no query/page pairing</x:v>
      </x:c>
      <x:c r="O1032" s="6" t="str">
        <x:v>Retain established booking / WhatsApp / call path; live behaviour untested</x:v>
      </x:c>
      <x:c r="P1032" s="6" t="str">
        <x:v>Retain canonical and indexation policy pending a live check.</x:v>
      </x:c>
      <x:c r="Q1032" s="6" t="str">
        <x:v>Proposed; no website change made</x:v>
      </x:c>
      <x:c r="R1032" s="14" t="n">
        <x:v>0</x:v>
      </x:c>
      <x:c r="S1032" s="14" t="n">
        <x:v>38</x:v>
      </x:c>
      <x:c r="T1032" s="15" t="n">
        <x:v>0</x:v>
      </x:c>
      <x:c r="U1032" s="16" t="n">
        <x:v>6.84</x:v>
      </x:c>
      <x:c r="V1032" s="6" t="str">
        <x:v>https://digitecme.com/brands/jetour-service-dubai/battery-replacement</x:v>
      </x:c>
      <x:c r="W1032" s="6" t="str">
        <x:v>Noindex directive</x:v>
      </x:c>
      <x:c r="X1032" s="6" t="n">
        <x:v>16</x:v>
      </x:c>
      <x:c r="Y1032" s="6" t="str">
        <x:v>Jetour Battery Replacement Dubai | Digi-Tec</x:v>
      </x:c>
      <x:c r="Z1032" s="6" t="str"/>
      <x:c r="AA1032" s="6" t="str">
        <x:v>No / not compared</x:v>
      </x:c>
    </x:row>
    <x:row r="1033" ht="42" customHeight="1">
      <x:c r="A1033" s="6" t="str">
        <x:v>https://digitecme.com/brands/jetour-service-dubai/body-repair</x:v>
      </x:c>
      <x:c r="B1033" s="6" t="str"/>
      <x:c r="C1033" s="6" t="str"/>
      <x:c r="D1033" s="6" t="str">
        <x:v>brand-service</x:v>
      </x:c>
      <x:c r="E1033" s="6" t="str">
        <x:v>Retain differentiated role</x:v>
      </x:c>
      <x:c r="F1033" s="6" t="str">
        <x:v>Local source render; live version unverified</x:v>
      </x:c>
      <x:c r="G1033" s="6" t="str">
        <x:v>Jetour Body Repair Dubai | Digi-Tec</x:v>
      </x:c>
      <x:c r="H1033" s="6" t="str">
        <x:v>Jetour Body Repair Dubai | Digi-Tec</x:v>
      </x:c>
      <x:c r="I1033" s="6" t="str">
        <x:v>Jetour Body Repair Dubai</x:v>
      </x:c>
      <x:c r="J1033" s="6" t="str">
        <x:v>Jetour Body Repair Dubai</x:v>
      </x:c>
      <x:c r="K1033" s="6" t="str">
        <x:v>Jetour body repair in Dubai with model-specific inspection, confirmed parts options and a clear quote at Digi-Tec, Al Quoz.</x:v>
      </x:c>
      <x:c r="L1033" s="6" t="str">
        <x:v>Retain pending evidence; no specific content edit justified by this export.</x:v>
      </x:c>
      <x:c r="M1033" s="6" t="str">
        <x:v>Retain; inspect relevant context before adding links</x:v>
      </x:c>
      <x:c r="N1033" s="6" t="str">
        <x:v>Unconfirmed — no query/page pairing</x:v>
      </x:c>
      <x:c r="O1033" s="6" t="str">
        <x:v>Retain established booking / WhatsApp / call path; live behaviour untested</x:v>
      </x:c>
      <x:c r="P1033" s="6" t="str">
        <x:v>Retain canonical and indexation policy pending a live check.</x:v>
      </x:c>
      <x:c r="Q1033" s="6" t="str">
        <x:v>Proposed; no website change made</x:v>
      </x:c>
      <x:c r="R1033" s="14" t="n">
        <x:v>1</x:v>
      </x:c>
      <x:c r="S1033" s="14" t="n">
        <x:v>28</x:v>
      </x:c>
      <x:c r="T1033" s="15" t="n">
        <x:v>0.035699999999999996</x:v>
      </x:c>
      <x:c r="U1033" s="16" t="n">
        <x:v>9.75</x:v>
      </x:c>
      <x:c r="V1033" s="6" t="str">
        <x:v>https://digitecme.com/brands/jetour-service-dubai/body-repair</x:v>
      </x:c>
      <x:c r="W1033" s="6" t="str">
        <x:v>Noindex directive</x:v>
      </x:c>
      <x:c r="X1033" s="6" t="n">
        <x:v>16</x:v>
      </x:c>
      <x:c r="Y1033" s="6" t="str">
        <x:v>Jetour Body Repair Dubai | Digi-Tec</x:v>
      </x:c>
      <x:c r="Z1033" s="6" t="str"/>
      <x:c r="AA1033" s="6" t="str">
        <x:v>No / not compared</x:v>
      </x:c>
    </x:row>
    <x:row r="1034" ht="42" customHeight="1">
      <x:c r="A1034" s="6" t="str">
        <x:v>https://digitecme.com/brands/jetour-service-dubai/brake-repair</x:v>
      </x:c>
      <x:c r="B1034" s="6" t="str"/>
      <x:c r="C1034" s="6" t="str"/>
      <x:c r="D1034" s="6" t="str">
        <x:v>brand-service</x:v>
      </x:c>
      <x:c r="E1034" s="6" t="str">
        <x:v>Retain differentiated role</x:v>
      </x:c>
      <x:c r="F1034" s="6" t="str">
        <x:v>Local source render; live version unverified</x:v>
      </x:c>
      <x:c r="G1034" s="6" t="str">
        <x:v>Jetour Brake Repair Dubai | Digi-Tec</x:v>
      </x:c>
      <x:c r="H1034" s="6" t="str">
        <x:v>Jetour Brake Repair Dubai | Digi-Tec</x:v>
      </x:c>
      <x:c r="I1034" s="6" t="str">
        <x:v>Jetour Brake Repair Dubai</x:v>
      </x:c>
      <x:c r="J1034" s="6" t="str">
        <x:v>Jetour Brake Repair Dubai</x:v>
      </x:c>
      <x:c r="K1034" s="6" t="str">
        <x:v>Jetour brake repair in Dubai with model-specific inspection, confirmed parts options and a clear quote at Digi-Tec, Al Quoz.</x:v>
      </x:c>
      <x:c r="L1034" s="6" t="str">
        <x:v>Retain pending evidence; no specific content edit justified by this export.</x:v>
      </x:c>
      <x:c r="M1034" s="6" t="str">
        <x:v>Retain; inspect relevant context before adding links</x:v>
      </x:c>
      <x:c r="N1034" s="6" t="str">
        <x:v>Unconfirmed — no query/page pairing</x:v>
      </x:c>
      <x:c r="O1034" s="6" t="str">
        <x:v>Retain established booking / WhatsApp / call path; live behaviour untested</x:v>
      </x:c>
      <x:c r="P1034" s="6" t="str">
        <x:v>Retain canonical and indexation policy pending a live check.</x:v>
      </x:c>
      <x:c r="Q1034" s="6" t="str">
        <x:v>Proposed; no website change made</x:v>
      </x:c>
      <x:c r="R1034" s="14" t="n">
        <x:v>0</x:v>
      </x:c>
      <x:c r="S1034" s="14" t="n">
        <x:v>12</x:v>
      </x:c>
      <x:c r="T1034" s="15" t="n">
        <x:v>0</x:v>
      </x:c>
      <x:c r="U1034" s="16" t="n">
        <x:v>22.92</x:v>
      </x:c>
      <x:c r="V1034" s="6" t="str">
        <x:v>https://digitecme.com/brands/jetour-service-dubai/brake-repair</x:v>
      </x:c>
      <x:c r="W1034" s="6" t="str">
        <x:v>Indexable directive</x:v>
      </x:c>
      <x:c r="X1034" s="6" t="n">
        <x:v>16</x:v>
      </x:c>
      <x:c r="Y1034" s="6" t="str">
        <x:v>Jetour Brake Repair Dubai | Digi-Tec</x:v>
      </x:c>
      <x:c r="Z1034" s="6" t="str"/>
      <x:c r="AA1034" s="6" t="str">
        <x:v>No / not compared</x:v>
      </x:c>
    </x:row>
    <x:row r="1035" ht="42" customHeight="1">
      <x:c r="A1035" s="6" t="str">
        <x:v>https://digitecme.com/brands/jetour-service-dubai/electrical-repair</x:v>
      </x:c>
      <x:c r="B1035" s="6" t="str"/>
      <x:c r="C1035" s="6" t="str"/>
      <x:c r="D1035" s="6" t="str">
        <x:v>brand-service</x:v>
      </x:c>
      <x:c r="E1035" s="6" t="str">
        <x:v>Retain differentiated role</x:v>
      </x:c>
      <x:c r="F1035" s="6" t="str">
        <x:v>Local source render; live version unverified</x:v>
      </x:c>
      <x:c r="G1035" s="6" t="str">
        <x:v>Jetour Electrical Repair Dubai | Digi-Tec</x:v>
      </x:c>
      <x:c r="H1035" s="6" t="str">
        <x:v>Jetour Electrical Repair Dubai | Digi-Tec</x:v>
      </x:c>
      <x:c r="I1035" s="6" t="str">
        <x:v>Jetour Electrical Repair Dubai</x:v>
      </x:c>
      <x:c r="J1035" s="6" t="str">
        <x:v>Jetour Electrical Repair Dubai</x:v>
      </x:c>
      <x:c r="K1035" s="6" t="str">
        <x:v>Jetour electrical repair in Dubai with model-specific inspection, confirmed parts options and a clear quote at Digi-Tec, Al Quoz.</x:v>
      </x:c>
      <x:c r="L1035" s="6" t="str">
        <x:v>Retain pending evidence; no specific content edit justified by this export.</x:v>
      </x:c>
      <x:c r="M1035" s="6" t="str">
        <x:v>Retain; inspect relevant context before adding links</x:v>
      </x:c>
      <x:c r="N1035" s="6" t="str">
        <x:v>Unconfirmed — no query/page pairing</x:v>
      </x:c>
      <x:c r="O1035" s="6" t="str">
        <x:v>Retain established booking / WhatsApp / call path; live behaviour untested</x:v>
      </x:c>
      <x:c r="P1035" s="6" t="str">
        <x:v>Retain canonical and indexation policy pending a live check.</x:v>
      </x:c>
      <x:c r="Q1035" s="6" t="str">
        <x:v>Proposed; no website change made</x:v>
      </x:c>
      <x:c r="R1035" s="14" t="n">
        <x:v>0</x:v>
      </x:c>
      <x:c r="S1035" s="14" t="n">
        <x:v>4</x:v>
      </x:c>
      <x:c r="T1035" s="15" t="n">
        <x:v>0</x:v>
      </x:c>
      <x:c r="U1035" s="16" t="n">
        <x:v>6.5</x:v>
      </x:c>
      <x:c r="V1035" s="6" t="str">
        <x:v>https://digitecme.com/brands/jetour-service-dubai/electrical-repair</x:v>
      </x:c>
      <x:c r="W1035" s="6" t="str">
        <x:v>Noindex directive</x:v>
      </x:c>
      <x:c r="X1035" s="6" t="n">
        <x:v>16</x:v>
      </x:c>
      <x:c r="Y1035" s="6" t="str">
        <x:v>Jetour Electrical Repair Dubai | Digi-Tec</x:v>
      </x:c>
      <x:c r="Z1035" s="6" t="str"/>
      <x:c r="AA1035" s="6" t="str">
        <x:v>No / not compared</x:v>
      </x:c>
    </x:row>
    <x:row r="1036" ht="42" customHeight="1">
      <x:c r="A1036" s="6" t="str">
        <x:v>https://digitecme.com/brands/jetour-service-dubai/engine-diagnostics</x:v>
      </x:c>
      <x:c r="B1036" s="6" t="str"/>
      <x:c r="C1036" s="6" t="str"/>
      <x:c r="D1036" s="6" t="str">
        <x:v>brand-service</x:v>
      </x:c>
      <x:c r="E1036" s="6" t="str">
        <x:v>Retain differentiated role</x:v>
      </x:c>
      <x:c r="F1036" s="6" t="str">
        <x:v>Local source render; live version unverified</x:v>
      </x:c>
      <x:c r="G1036" s="6" t="str">
        <x:v>Jetour Engine Diagnostics Dubai | Digi-Tec</x:v>
      </x:c>
      <x:c r="H1036" s="6" t="str">
        <x:v>Jetour Engine Diagnostics Dubai | Digi-Tec</x:v>
      </x:c>
      <x:c r="I1036" s="6" t="str">
        <x:v>Jetour Engine Diagnostics Dubai</x:v>
      </x:c>
      <x:c r="J1036" s="6" t="str">
        <x:v>Jetour Engine Diagnostics Dubai</x:v>
      </x:c>
      <x:c r="K1036" s="6" t="str">
        <x:v>Jetour engine diagnostics in Dubai with model-specific inspection, confirmed parts options and a clear quote at Digi-Tec, Al Quoz.</x:v>
      </x:c>
      <x:c r="L1036" s="6" t="str">
        <x:v>Retain pending evidence; no specific content edit justified by this export.</x:v>
      </x:c>
      <x:c r="M1036" s="6" t="str">
        <x:v>Retain; inspect relevant context before adding links</x:v>
      </x:c>
      <x:c r="N1036" s="6" t="str">
        <x:v>Unconfirmed — no query/page pairing</x:v>
      </x:c>
      <x:c r="O1036" s="6" t="str">
        <x:v>Retain established booking / WhatsApp / call path; live behaviour untested</x:v>
      </x:c>
      <x:c r="P1036" s="6" t="str">
        <x:v>Retain canonical and indexation policy pending a live check.</x:v>
      </x:c>
      <x:c r="Q1036" s="6" t="str">
        <x:v>Proposed; no website change made</x:v>
      </x:c>
      <x:c r="R1036" s="14" t="n">
        <x:v>1</x:v>
      </x:c>
      <x:c r="S1036" s="14" t="n">
        <x:v>18</x:v>
      </x:c>
      <x:c r="T1036" s="15" t="n">
        <x:v>0.0556</x:v>
      </x:c>
      <x:c r="U1036" s="16" t="n">
        <x:v>7.22</x:v>
      </x:c>
      <x:c r="V1036" s="6" t="str">
        <x:v>https://digitecme.com/brands/jetour-service-dubai/engine-diagnostics</x:v>
      </x:c>
      <x:c r="W1036" s="6" t="str">
        <x:v>Indexable directive</x:v>
      </x:c>
      <x:c r="X1036" s="6" t="n">
        <x:v>16</x:v>
      </x:c>
      <x:c r="Y1036" s="6" t="str">
        <x:v>Jetour Engine Diagnostics Dubai | Digi-Tec</x:v>
      </x:c>
      <x:c r="Z1036" s="6" t="str"/>
      <x:c r="AA1036" s="6" t="str">
        <x:v>No / not compared</x:v>
      </x:c>
    </x:row>
    <x:row r="1037" ht="42" customHeight="1">
      <x:c r="A1037" s="6" t="str">
        <x:v>https://digitecme.com/brands/jetour-service-dubai/exhaust-repair</x:v>
      </x:c>
      <x:c r="B1037" s="6" t="str"/>
      <x:c r="C1037" s="6" t="str"/>
      <x:c r="D1037" s="6" t="str">
        <x:v>brand-service</x:v>
      </x:c>
      <x:c r="E1037" s="6" t="str">
        <x:v>Retain differentiated role</x:v>
      </x:c>
      <x:c r="F1037" s="6" t="str">
        <x:v>Local source render; live version unverified</x:v>
      </x:c>
      <x:c r="G1037" s="6" t="str">
        <x:v>Jetour Exhaust Repair Dubai | Digi-Tec</x:v>
      </x:c>
      <x:c r="H1037" s="6" t="str">
        <x:v>Jetour Exhaust Repair Dubai | Digi-Tec</x:v>
      </x:c>
      <x:c r="I1037" s="6" t="str">
        <x:v>Jetour Exhaust Repair Dubai</x:v>
      </x:c>
      <x:c r="J1037" s="6" t="str">
        <x:v>Jetour Exhaust Repair Dubai</x:v>
      </x:c>
      <x:c r="K1037" s="6" t="str">
        <x:v>Jetour exhaust repair in Dubai with model-specific inspection, confirmed parts options and a clear quote at Digi-Tec, Al Quoz.</x:v>
      </x:c>
      <x:c r="L1037" s="6" t="str">
        <x:v>Retain pending evidence; no specific content edit justified by this export.</x:v>
      </x:c>
      <x:c r="M1037" s="6" t="str">
        <x:v>Retain; inspect relevant context before adding links</x:v>
      </x:c>
      <x:c r="N1037" s="6" t="str">
        <x:v>Unconfirmed — no query/page pairing</x:v>
      </x:c>
      <x:c r="O1037" s="6" t="str">
        <x:v>Retain established booking / WhatsApp / call path; live behaviour untested</x:v>
      </x:c>
      <x:c r="P1037" s="6" t="str">
        <x:v>Retain canonical and indexation policy pending a live check.</x:v>
      </x:c>
      <x:c r="Q1037" s="6" t="str">
        <x:v>Proposed; no website change made</x:v>
      </x:c>
      <x:c r="R1037" s="14" t="n">
        <x:v>0</x:v>
      </x:c>
      <x:c r="S1037" s="14" t="n">
        <x:v>2</x:v>
      </x:c>
      <x:c r="T1037" s="15" t="n">
        <x:v>0</x:v>
      </x:c>
      <x:c r="U1037" s="16" t="n">
        <x:v>15.5</x:v>
      </x:c>
      <x:c r="V1037" s="6" t="str">
        <x:v>https://digitecme.com/brands/jetour-service-dubai/exhaust-repair</x:v>
      </x:c>
      <x:c r="W1037" s="6" t="str">
        <x:v>Noindex directive</x:v>
      </x:c>
      <x:c r="X1037" s="6" t="n">
        <x:v>16</x:v>
      </x:c>
      <x:c r="Y1037" s="6" t="str">
        <x:v>Jetour Exhaust Repair Dubai | Digi-Tec</x:v>
      </x:c>
      <x:c r="Z1037" s="6" t="str"/>
      <x:c r="AA1037" s="6" t="str">
        <x:v>No / not compared</x:v>
      </x:c>
    </x:row>
    <x:row r="1038" ht="42" customHeight="1">
      <x:c r="A1038" s="6" t="str">
        <x:v>https://digitecme.com/brands/jetour-service-dubai/fuel-system-repair</x:v>
      </x:c>
      <x:c r="B1038" s="6" t="str"/>
      <x:c r="C1038" s="6" t="str"/>
      <x:c r="D1038" s="6" t="str">
        <x:v>brand-service</x:v>
      </x:c>
      <x:c r="E1038" s="6" t="str">
        <x:v>Retain differentiated role</x:v>
      </x:c>
      <x:c r="F1038" s="6" t="str">
        <x:v>Local source render; live version unverified</x:v>
      </x:c>
      <x:c r="G1038" s="6" t="str">
        <x:v>Jetour Fuel System Repair Dubai | Digi-Tec</x:v>
      </x:c>
      <x:c r="H1038" s="6" t="str">
        <x:v>Jetour Fuel System Repair Dubai | Digi-Tec</x:v>
      </x:c>
      <x:c r="I1038" s="6" t="str">
        <x:v>Jetour Fuel System Repair Dubai</x:v>
      </x:c>
      <x:c r="J1038" s="6" t="str">
        <x:v>Jetour Fuel System Repair Dubai</x:v>
      </x:c>
      <x:c r="K1038" s="6" t="str">
        <x:v>Jetour fuel system repair in Dubai with model-specific inspection, confirmed parts options and a clear quote at Digi-Tec, Al Quoz.</x:v>
      </x:c>
      <x:c r="L1038" s="6" t="str">
        <x:v>Retain pending evidence; no specific content edit justified by this export.</x:v>
      </x:c>
      <x:c r="M1038" s="6" t="str">
        <x:v>Retain; inspect relevant context before adding links</x:v>
      </x:c>
      <x:c r="N1038" s="6" t="str">
        <x:v>Unconfirmed — no query/page pairing</x:v>
      </x:c>
      <x:c r="O1038" s="6" t="str">
        <x:v>Retain established booking / WhatsApp / call path; live behaviour untested</x:v>
      </x:c>
      <x:c r="P1038" s="6" t="str">
        <x:v>Retain canonical and indexation policy pending a live check.</x:v>
      </x:c>
      <x:c r="Q1038" s="6" t="str">
        <x:v>Proposed; no website change made</x:v>
      </x:c>
      <x:c r="R1038" s="14" t="n">
        <x:v>0</x:v>
      </x:c>
      <x:c r="S1038" s="14" t="n">
        <x:v>9</x:v>
      </x:c>
      <x:c r="T1038" s="15" t="n">
        <x:v>0</x:v>
      </x:c>
      <x:c r="U1038" s="16" t="n">
        <x:v>12.56</x:v>
      </x:c>
      <x:c r="V1038" s="6" t="str">
        <x:v>https://digitecme.com/brands/jetour-service-dubai/fuel-system-repair</x:v>
      </x:c>
      <x:c r="W1038" s="6" t="str">
        <x:v>Noindex directive</x:v>
      </x:c>
      <x:c r="X1038" s="6" t="n">
        <x:v>16</x:v>
      </x:c>
      <x:c r="Y1038" s="6" t="str">
        <x:v>Jetour Fuel System Repair Dubai | Digi-Tec</x:v>
      </x:c>
      <x:c r="Z1038" s="6" t="str"/>
      <x:c r="AA1038" s="6" t="str">
        <x:v>No / not compared</x:v>
      </x:c>
    </x:row>
    <x:row r="1039" ht="42" customHeight="1">
      <x:c r="A1039" s="6" t="str">
        <x:v>https://digitecme.com/brands/jetour-service-dubai/mechanical-repair</x:v>
      </x:c>
      <x:c r="B1039" s="6" t="str"/>
      <x:c r="C1039" s="6" t="str"/>
      <x:c r="D1039" s="6" t="str">
        <x:v>brand-service</x:v>
      </x:c>
      <x:c r="E1039" s="6" t="str">
        <x:v>Retain differentiated role</x:v>
      </x:c>
      <x:c r="F1039" s="6" t="str">
        <x:v>Local source render; live version unverified</x:v>
      </x:c>
      <x:c r="G1039" s="6" t="str">
        <x:v>Jetour Mechanical Repair Dubai | Digi-Tec</x:v>
      </x:c>
      <x:c r="H1039" s="6" t="str">
        <x:v>Jetour Mechanical Repair Dubai | Digi-Tec</x:v>
      </x:c>
      <x:c r="I1039" s="6" t="str">
        <x:v>Jetour Mechanical Repair Dubai</x:v>
      </x:c>
      <x:c r="J1039" s="6" t="str">
        <x:v>Jetour Mechanical Repair Dubai</x:v>
      </x:c>
      <x:c r="K1039" s="6" t="str">
        <x:v>Jetour mechanical repair in Dubai with model-specific inspection, confirmed parts options and a clear quote at Digi-Tec, Al Quoz.</x:v>
      </x:c>
      <x:c r="L1039" s="6" t="str">
        <x:v>Retain pending evidence; no specific content edit justified by this export.</x:v>
      </x:c>
      <x:c r="M1039" s="6" t="str">
        <x:v>Retain; inspect relevant context before adding links</x:v>
      </x:c>
      <x:c r="N1039" s="6" t="str">
        <x:v>Unconfirmed — no query/page pairing</x:v>
      </x:c>
      <x:c r="O1039" s="6" t="str">
        <x:v>Retain established booking / WhatsApp / call path; live behaviour untested</x:v>
      </x:c>
      <x:c r="P1039" s="6" t="str">
        <x:v>Retain canonical and indexation policy pending a live check.</x:v>
      </x:c>
      <x:c r="Q1039" s="6" t="str">
        <x:v>Proposed; no website change made</x:v>
      </x:c>
      <x:c r="R1039" s="14" t="n">
        <x:v>0</x:v>
      </x:c>
      <x:c r="S1039" s="14" t="n">
        <x:v>12</x:v>
      </x:c>
      <x:c r="T1039" s="15" t="n">
        <x:v>0</x:v>
      </x:c>
      <x:c r="U1039" s="16" t="n">
        <x:v>20.92</x:v>
      </x:c>
      <x:c r="V1039" s="6" t="str">
        <x:v>https://digitecme.com/brands/jetour-service-dubai/mechanical-repair</x:v>
      </x:c>
      <x:c r="W1039" s="6" t="str">
        <x:v>Noindex directive</x:v>
      </x:c>
      <x:c r="X1039" s="6" t="n">
        <x:v>16</x:v>
      </x:c>
      <x:c r="Y1039" s="6" t="str">
        <x:v>Jetour Mechanical Repair Dubai | Digi-Tec</x:v>
      </x:c>
      <x:c r="Z1039" s="6" t="str"/>
      <x:c r="AA1039" s="6" t="str">
        <x:v>No / not compared</x:v>
      </x:c>
    </x:row>
    <x:row r="1040" ht="42" customHeight="1">
      <x:c r="A1040" s="6" t="str">
        <x:v>https://digitecme.com/brands/jetour-service-dubai/oil-change</x:v>
      </x:c>
      <x:c r="B1040" s="6" t="str"/>
      <x:c r="C1040" s="6" t="str"/>
      <x:c r="D1040" s="6" t="str">
        <x:v>brand-service</x:v>
      </x:c>
      <x:c r="E1040" s="6" t="str">
        <x:v>Retain differentiated role</x:v>
      </x:c>
      <x:c r="F1040" s="6" t="str">
        <x:v>Local source render; live version unverified</x:v>
      </x:c>
      <x:c r="G1040" s="6" t="str">
        <x:v>Jetour Oil Change Dubai | Digi-Tec</x:v>
      </x:c>
      <x:c r="H1040" s="6" t="str">
        <x:v>Jetour Oil Change Dubai | Digi-Tec</x:v>
      </x:c>
      <x:c r="I1040" s="6" t="str">
        <x:v>Jetour Oil Change Dubai</x:v>
      </x:c>
      <x:c r="J1040" s="6" t="str">
        <x:v>Jetour Oil Change Dubai</x:v>
      </x:c>
      <x:c r="K1040" s="6" t="str">
        <x:v>Jetour oil change in Dubai with model-specific inspection, confirmed parts options and a clear quote at Digi-Tec, Al Quoz.</x:v>
      </x:c>
      <x:c r="L1040" s="6" t="str">
        <x:v>Retain pending evidence; no specific content edit justified by this export.</x:v>
      </x:c>
      <x:c r="M1040" s="6" t="str">
        <x:v>Retain; inspect relevant context before adding links</x:v>
      </x:c>
      <x:c r="N1040" s="6" t="str">
        <x:v>Unconfirmed — no query/page pairing</x:v>
      </x:c>
      <x:c r="O1040" s="6" t="str">
        <x:v>Retain established booking / WhatsApp / call path; live behaviour untested</x:v>
      </x:c>
      <x:c r="P1040" s="6" t="str">
        <x:v>Retain canonical and indexation policy pending a live check.</x:v>
      </x:c>
      <x:c r="Q1040" s="6" t="str">
        <x:v>Proposed; no website change made</x:v>
      </x:c>
      <x:c r="R1040" s="14" t="n">
        <x:v>0</x:v>
      </x:c>
      <x:c r="S1040" s="14" t="n">
        <x:v>58</x:v>
      </x:c>
      <x:c r="T1040" s="15" t="n">
        <x:v>0</x:v>
      </x:c>
      <x:c r="U1040" s="16" t="n">
        <x:v>11</x:v>
      </x:c>
      <x:c r="V1040" s="6" t="str">
        <x:v>https://digitecme.com/brands/jetour-service-dubai/oil-change</x:v>
      </x:c>
      <x:c r="W1040" s="6" t="str">
        <x:v>Indexable directive</x:v>
      </x:c>
      <x:c r="X1040" s="6" t="n">
        <x:v>16</x:v>
      </x:c>
      <x:c r="Y1040" s="6" t="str">
        <x:v>Jetour Oil Change Dubai | Digi-Tec</x:v>
      </x:c>
      <x:c r="Z1040" s="6" t="str"/>
      <x:c r="AA1040" s="6" t="str">
        <x:v>No / not compared</x:v>
      </x:c>
    </x:row>
    <x:row r="1041" ht="42" customHeight="1">
      <x:c r="A1041" s="6" t="str">
        <x:v>https://digitecme.com/brands/jetour-service-dubai/steering-repair</x:v>
      </x:c>
      <x:c r="B1041" s="6" t="str"/>
      <x:c r="C1041" s="6" t="str"/>
      <x:c r="D1041" s="6" t="str">
        <x:v>brand-service</x:v>
      </x:c>
      <x:c r="E1041" s="6" t="str">
        <x:v>Retain differentiated role</x:v>
      </x:c>
      <x:c r="F1041" s="6" t="str">
        <x:v>Local source render; live version unverified</x:v>
      </x:c>
      <x:c r="G1041" s="6" t="str">
        <x:v>Jetour Steering Repair Dubai | Digi-Tec</x:v>
      </x:c>
      <x:c r="H1041" s="6" t="str">
        <x:v>Jetour Steering Repair Dubai | Digi-Tec</x:v>
      </x:c>
      <x:c r="I1041" s="6" t="str">
        <x:v>Jetour Steering Repair Dubai</x:v>
      </x:c>
      <x:c r="J1041" s="6" t="str">
        <x:v>Jetour Steering Repair Dubai</x:v>
      </x:c>
      <x:c r="K1041" s="6" t="str">
        <x:v>Jetour steering repair in Dubai with model-specific inspection, confirmed parts options and a clear quote at Digi-Tec, Al Quoz.</x:v>
      </x:c>
      <x:c r="L1041" s="6" t="str">
        <x:v>Retain pending evidence; no specific content edit justified by this export.</x:v>
      </x:c>
      <x:c r="M1041" s="6" t="str">
        <x:v>Retain; inspect relevant context before adding links</x:v>
      </x:c>
      <x:c r="N1041" s="6" t="str">
        <x:v>Unconfirmed — no query/page pairing</x:v>
      </x:c>
      <x:c r="O1041" s="6" t="str">
        <x:v>Retain established booking / WhatsApp / call path; live behaviour untested</x:v>
      </x:c>
      <x:c r="P1041" s="6" t="str">
        <x:v>Retain canonical and indexation policy pending a live check.</x:v>
      </x:c>
      <x:c r="Q1041" s="6" t="str">
        <x:v>Proposed; no website change made</x:v>
      </x:c>
      <x:c r="R1041" s="14" t="n">
        <x:v>0</x:v>
      </x:c>
      <x:c r="S1041" s="14" t="n">
        <x:v>2</x:v>
      </x:c>
      <x:c r="T1041" s="15" t="n">
        <x:v>0</x:v>
      </x:c>
      <x:c r="U1041" s="16" t="n">
        <x:v>30</x:v>
      </x:c>
      <x:c r="V1041" s="6" t="str">
        <x:v>https://digitecme.com/brands/jetour-service-dubai/steering-repair</x:v>
      </x:c>
      <x:c r="W1041" s="6" t="str">
        <x:v>Noindex directive</x:v>
      </x:c>
      <x:c r="X1041" s="6" t="n">
        <x:v>16</x:v>
      </x:c>
      <x:c r="Y1041" s="6" t="str">
        <x:v>Jetour Steering Repair Dubai | Digi-Tec</x:v>
      </x:c>
      <x:c r="Z1041" s="6" t="str"/>
      <x:c r="AA1041" s="6" t="str">
        <x:v>No / not compared</x:v>
      </x:c>
    </x:row>
    <x:row r="1042" ht="42" customHeight="1">
      <x:c r="A1042" s="6" t="str">
        <x:v>https://digitecme.com/brands/jetour-service-dubai/suspension-repair</x:v>
      </x:c>
      <x:c r="B1042" s="6" t="str"/>
      <x:c r="C1042" s="6" t="str"/>
      <x:c r="D1042" s="6" t="str">
        <x:v>brand-service</x:v>
      </x:c>
      <x:c r="E1042" s="6" t="str">
        <x:v>Retain differentiated role</x:v>
      </x:c>
      <x:c r="F1042" s="6" t="str">
        <x:v>Local source render; live version unverified</x:v>
      </x:c>
      <x:c r="G1042" s="6" t="str">
        <x:v>Jetour Suspension Repair Dubai | Digi-Tec</x:v>
      </x:c>
      <x:c r="H1042" s="6" t="str">
        <x:v>Jetour Suspension Repair Dubai | Digi-Tec</x:v>
      </x:c>
      <x:c r="I1042" s="6" t="str">
        <x:v>Jetour Suspension Repair Dubai</x:v>
      </x:c>
      <x:c r="J1042" s="6" t="str">
        <x:v>Jetour Suspension Repair Dubai</x:v>
      </x:c>
      <x:c r="K1042" s="6" t="str">
        <x:v>Jetour suspension repair in Dubai with model-specific inspection, confirmed parts options and a clear quote at Digi-Tec, Al Quoz.</x:v>
      </x:c>
      <x:c r="L1042" s="6" t="str">
        <x:v>Retain pending evidence; no specific content edit justified by this export.</x:v>
      </x:c>
      <x:c r="M1042" s="6" t="str">
        <x:v>Retain; inspect relevant context before adding links</x:v>
      </x:c>
      <x:c r="N1042" s="6" t="str">
        <x:v>Unconfirmed — no query/page pairing</x:v>
      </x:c>
      <x:c r="O1042" s="6" t="str">
        <x:v>Retain established booking / WhatsApp / call path; live behaviour untested</x:v>
      </x:c>
      <x:c r="P1042" s="6" t="str">
        <x:v>Retain canonical and indexation policy pending a live check.</x:v>
      </x:c>
      <x:c r="Q1042" s="6" t="str">
        <x:v>Proposed; no website change made</x:v>
      </x:c>
      <x:c r="R1042" s="14" t="n">
        <x:v>0</x:v>
      </x:c>
      <x:c r="S1042" s="14" t="n">
        <x:v>12</x:v>
      </x:c>
      <x:c r="T1042" s="15" t="n">
        <x:v>0</x:v>
      </x:c>
      <x:c r="U1042" s="16" t="n">
        <x:v>10.92</x:v>
      </x:c>
      <x:c r="V1042" s="6" t="str">
        <x:v>https://digitecme.com/brands/jetour-service-dubai/suspension-repair</x:v>
      </x:c>
      <x:c r="W1042" s="6" t="str">
        <x:v>Noindex directive</x:v>
      </x:c>
      <x:c r="X1042" s="6" t="n">
        <x:v>16</x:v>
      </x:c>
      <x:c r="Y1042" s="6" t="str">
        <x:v>Jetour Suspension Repair Dubai | Digi-Tec</x:v>
      </x:c>
      <x:c r="Z1042" s="6" t="str"/>
      <x:c r="AA1042" s="6" t="str">
        <x:v>No / not compared</x:v>
      </x:c>
    </x:row>
    <x:row r="1043" ht="42" customHeight="1">
      <x:c r="A1043" s="6" t="str">
        <x:v>https://digitecme.com/brands/jetour-service-dubai/tire-repair</x:v>
      </x:c>
      <x:c r="B1043" s="6" t="str"/>
      <x:c r="C1043" s="6" t="str"/>
      <x:c r="D1043" s="6" t="str">
        <x:v>brand-service</x:v>
      </x:c>
      <x:c r="E1043" s="6" t="str">
        <x:v>Retain differentiated role</x:v>
      </x:c>
      <x:c r="F1043" s="6" t="str">
        <x:v>Local source render; live version unverified</x:v>
      </x:c>
      <x:c r="G1043" s="6" t="str">
        <x:v>Jetour Tyre Repair Dubai | Digi-Tec</x:v>
      </x:c>
      <x:c r="H1043" s="6" t="str">
        <x:v>Jetour Tyre Repair Dubai | Digi-Tec</x:v>
      </x:c>
      <x:c r="I1043" s="6" t="str">
        <x:v>Jetour Tyre Repair Dubai</x:v>
      </x:c>
      <x:c r="J1043" s="6" t="str">
        <x:v>Jetour Tyre Repair Dubai</x:v>
      </x:c>
      <x:c r="K1043" s="6" t="str">
        <x:v>Jetour tyre repair in Dubai with model-specific inspection, confirmed parts options and a clear quote at Digi-Tec, Al Quoz.</x:v>
      </x:c>
      <x:c r="L1043" s="6" t="str">
        <x:v>Retain pending evidence; no specific content edit justified by this export.</x:v>
      </x:c>
      <x:c r="M1043" s="6" t="str">
        <x:v>Retain; inspect relevant context before adding links</x:v>
      </x:c>
      <x:c r="N1043" s="6" t="str">
        <x:v>Unconfirmed — no query/page pairing</x:v>
      </x:c>
      <x:c r="O1043" s="6" t="str">
        <x:v>Retain established booking / WhatsApp / call path; live behaviour untested</x:v>
      </x:c>
      <x:c r="P1043" s="6" t="str">
        <x:v>Retain canonical and indexation policy pending a live check.</x:v>
      </x:c>
      <x:c r="Q1043" s="6" t="str">
        <x:v>Proposed; no website change made</x:v>
      </x:c>
      <x:c r="R1043" s="14" t="n">
        <x:v>0</x:v>
      </x:c>
      <x:c r="S1043" s="14" t="n">
        <x:v>18</x:v>
      </x:c>
      <x:c r="T1043" s="15" t="n">
        <x:v>0</x:v>
      </x:c>
      <x:c r="U1043" s="16" t="n">
        <x:v>6.11</x:v>
      </x:c>
      <x:c r="V1043" s="6" t="str">
        <x:v>https://digitecme.com/brands/jetour-service-dubai/tire-repair</x:v>
      </x:c>
      <x:c r="W1043" s="6" t="str">
        <x:v>Noindex directive</x:v>
      </x:c>
      <x:c r="X1043" s="6" t="n">
        <x:v>16</x:v>
      </x:c>
      <x:c r="Y1043" s="6" t="str">
        <x:v>Jetour Tyre Repair Dubai | Digi-Tec</x:v>
      </x:c>
      <x:c r="Z1043" s="6" t="str"/>
      <x:c r="AA1043" s="6" t="str">
        <x:v>No / not compared</x:v>
      </x:c>
    </x:row>
    <x:row r="1044" ht="42" customHeight="1">
      <x:c r="A1044" s="6" t="str">
        <x:v>https://digitecme.com/brands/jetour-service-dubai/transmission-repair</x:v>
      </x:c>
      <x:c r="B1044" s="6" t="str"/>
      <x:c r="C1044" s="6" t="str"/>
      <x:c r="D1044" s="6" t="str">
        <x:v>brand-service</x:v>
      </x:c>
      <x:c r="E1044" s="6" t="str">
        <x:v>Retain differentiated role</x:v>
      </x:c>
      <x:c r="F1044" s="6" t="str">
        <x:v>Local source render; live version unverified</x:v>
      </x:c>
      <x:c r="G1044" s="6" t="str">
        <x:v>Jetour Transmission Repair Dubai | Digi-Tec</x:v>
      </x:c>
      <x:c r="H1044" s="6" t="str">
        <x:v>Jetour Transmission Repair Dubai | Digi-Tec</x:v>
      </x:c>
      <x:c r="I1044" s="6" t="str">
        <x:v>Jetour Transmission Repair Dubai</x:v>
      </x:c>
      <x:c r="J1044" s="6" t="str">
        <x:v>Jetour Transmission Repair Dubai</x:v>
      </x:c>
      <x:c r="K1044" s="6" t="str">
        <x:v>Jetour transmission repair in Dubai with model-specific inspection, confirmed parts options and a clear quote at Digi-Tec, Al Quoz.</x:v>
      </x:c>
      <x:c r="L1044" s="6" t="str">
        <x:v>Retain pending evidence; no specific content edit justified by this export.</x:v>
      </x:c>
      <x:c r="M1044" s="6" t="str">
        <x:v>Retain; inspect relevant context before adding links</x:v>
      </x:c>
      <x:c r="N1044" s="6" t="str">
        <x:v>Unconfirmed — no query/page pairing</x:v>
      </x:c>
      <x:c r="O1044" s="6" t="str">
        <x:v>Retain established booking / WhatsApp / call path; live behaviour untested</x:v>
      </x:c>
      <x:c r="P1044" s="6" t="str">
        <x:v>Retain canonical and indexation policy pending a live check.</x:v>
      </x:c>
      <x:c r="Q1044" s="6" t="str">
        <x:v>Proposed; no website change made</x:v>
      </x:c>
      <x:c r="R1044" s="14" t="n">
        <x:v>0</x:v>
      </x:c>
      <x:c r="S1044" s="14" t="n">
        <x:v>18</x:v>
      </x:c>
      <x:c r="T1044" s="15" t="n">
        <x:v>0</x:v>
      </x:c>
      <x:c r="U1044" s="16" t="n">
        <x:v>6.61</x:v>
      </x:c>
      <x:c r="V1044" s="6" t="str">
        <x:v>https://digitecme.com/brands/jetour-service-dubai/transmission-repair</x:v>
      </x:c>
      <x:c r="W1044" s="6" t="str">
        <x:v>Noindex directive</x:v>
      </x:c>
      <x:c r="X1044" s="6" t="n">
        <x:v>16</x:v>
      </x:c>
      <x:c r="Y1044" s="6" t="str">
        <x:v>Jetour Transmission Repair Dubai | Digi-Tec</x:v>
      </x:c>
      <x:c r="Z1044" s="6" t="str"/>
      <x:c r="AA1044" s="6" t="str">
        <x:v>No / not compared</x:v>
      </x:c>
    </x:row>
    <x:row r="1045" ht="42" customHeight="1">
      <x:c r="A1045" s="6" t="str">
        <x:v>https://digitecme.com/brands/koenigsegg-service-dubai</x:v>
      </x:c>
      <x:c r="B1045" s="6" t="str"/>
      <x:c r="C1045" s="6" t="str"/>
      <x:c r="D1045" s="6" t="str">
        <x:v>brand</x:v>
      </x:c>
      <x:c r="E1045" s="6" t="str">
        <x:v>Retain differentiated role</x:v>
      </x:c>
      <x:c r="F1045" s="6" t="str">
        <x:v>Local source render; live version unverified</x:v>
      </x:c>
      <x:c r="G1045" s="6" t="str">
        <x:v>Koenigsegg Repair Dubai | Digi-Tec</x:v>
      </x:c>
      <x:c r="H1045" s="6" t="str">
        <x:v>Koenigsegg Repair Dubai | Digi-Tec</x:v>
      </x:c>
      <x:c r="I1045" s="6" t="str">
        <x:v>Koenigsegg Repair &amp; Service Dubai</x:v>
      </x:c>
      <x:c r="J1045" s="6" t="str">
        <x:v>Koenigsegg Repair &amp; Service Dubai</x:v>
      </x:c>
      <x:c r="K1045" s="6" t="str">
        <x:v>Specialist Koenigsegg repair and service in Dubai: diagnostics, maintenance, brakes, transmission, suspension and AC at Digi-Tec, Al Quoz.</x:v>
      </x:c>
      <x:c r="L1045" s="6" t="str">
        <x:v>Retain pending evidence; no specific content edit justified by this export.</x:v>
      </x:c>
      <x:c r="M1045" s="6" t="str">
        <x:v>Retain; inspect relevant context before adding links</x:v>
      </x:c>
      <x:c r="N1045" s="6" t="str">
        <x:v>Unconfirmed — no query/page pairing</x:v>
      </x:c>
      <x:c r="O1045" s="6" t="str">
        <x:v>Retain established booking / WhatsApp / call path; live behaviour untested</x:v>
      </x:c>
      <x:c r="P1045" s="6" t="str">
        <x:v>Retain canonical and indexation policy pending a live check.</x:v>
      </x:c>
      <x:c r="Q1045" s="6" t="str">
        <x:v>Proposed; no website change made</x:v>
      </x:c>
      <x:c r="R1045" s="14" t="n">
        <x:v>0</x:v>
      </x:c>
      <x:c r="S1045" s="14" t="n">
        <x:v>25</x:v>
      </x:c>
      <x:c r="T1045" s="15" t="n">
        <x:v>0</x:v>
      </x:c>
      <x:c r="U1045" s="16" t="n">
        <x:v>5.52</x:v>
      </x:c>
      <x:c r="V1045" s="6" t="str">
        <x:v>https://digitecme.com/brands/koenigsegg-service-dubai</x:v>
      </x:c>
      <x:c r="W1045" s="6" t="str">
        <x:v>Indexable directive</x:v>
      </x:c>
      <x:c r="X1045" s="6" t="n">
        <x:v>28</x:v>
      </x:c>
      <x:c r="Y1045" s="6" t="str">
        <x:v>Koenigsegg Repair Dubai | Digi-Tec</x:v>
      </x:c>
      <x:c r="Z1045" s="6" t="str"/>
      <x:c r="AA1045" s="6" t="str">
        <x:v>No / not compared</x:v>
      </x:c>
    </x:row>
    <x:row r="1046" ht="42" customHeight="1">
      <x:c r="A1046" s="6" t="str">
        <x:v>https://digitecme.com/brands/koenigsegg-service-dubai/ac-repair</x:v>
      </x:c>
      <x:c r="B1046" s="6" t="str"/>
      <x:c r="C1046" s="6" t="str"/>
      <x:c r="D1046" s="6" t="str">
        <x:v>brand-service</x:v>
      </x:c>
      <x:c r="E1046" s="6" t="str">
        <x:v>Retain differentiated role</x:v>
      </x:c>
      <x:c r="F1046" s="6" t="str">
        <x:v>Local source render; live version unverified</x:v>
      </x:c>
      <x:c r="G1046" s="6" t="str">
        <x:v>Koenigsegg AC Repair Dubai | Digi-Tec</x:v>
      </x:c>
      <x:c r="H1046" s="6" t="str">
        <x:v>Koenigsegg AC Repair Dubai | Digi-Tec</x:v>
      </x:c>
      <x:c r="I1046" s="6" t="str">
        <x:v>Koenigsegg AC Repair Dubai</x:v>
      </x:c>
      <x:c r="J1046" s="6" t="str">
        <x:v>Koenigsegg AC Repair Dubai</x:v>
      </x:c>
      <x:c r="K1046" s="6" t="str">
        <x:v>Koenigsegg ac repair in Dubai with model-specific inspection, confirmed parts options and a clear quote at Digi-Tec, Al Quoz.</x:v>
      </x:c>
      <x:c r="L1046" s="6" t="str">
        <x:v>Retain pending evidence; no specific content edit justified by this export.</x:v>
      </x:c>
      <x:c r="M1046" s="6" t="str">
        <x:v>Retain; inspect relevant context before adding links</x:v>
      </x:c>
      <x:c r="N1046" s="6" t="str">
        <x:v>Unconfirmed — no query/page pairing</x:v>
      </x:c>
      <x:c r="O1046" s="6" t="str">
        <x:v>Retain established booking / WhatsApp / call path; live behaviour untested</x:v>
      </x:c>
      <x:c r="P1046" s="6" t="str">
        <x:v>Retain canonical and indexation policy pending a live check.</x:v>
      </x:c>
      <x:c r="Q1046" s="6" t="str">
        <x:v>Proposed; no website change made</x:v>
      </x:c>
      <x:c r="R1046" s="14" t="n">
        <x:v>0</x:v>
      </x:c>
      <x:c r="S1046" s="14" t="n">
        <x:v>4</x:v>
      </x:c>
      <x:c r="T1046" s="15" t="n">
        <x:v>0</x:v>
      </x:c>
      <x:c r="U1046" s="16" t="n">
        <x:v>7.25</x:v>
      </x:c>
      <x:c r="V1046" s="6" t="str">
        <x:v>https://digitecme.com/brands/koenigsegg-service-dubai/ac-repair</x:v>
      </x:c>
      <x:c r="W1046" s="6" t="str">
        <x:v>Indexable directive</x:v>
      </x:c>
      <x:c r="X1046" s="6" t="n">
        <x:v>8</x:v>
      </x:c>
      <x:c r="Y1046" s="6" t="str">
        <x:v>Koenigsegg AC Repair Dubai | Digi-Tec</x:v>
      </x:c>
      <x:c r="Z1046" s="6" t="str"/>
      <x:c r="AA1046" s="6" t="str">
        <x:v>No / not compared</x:v>
      </x:c>
    </x:row>
    <x:row r="1047" ht="42" customHeight="1">
      <x:c r="A1047" s="6" t="str">
        <x:v>https://digitecme.com/brands/koenigsegg-service-dubai/brake-repair</x:v>
      </x:c>
      <x:c r="B1047" s="6" t="str"/>
      <x:c r="C1047" s="6" t="str"/>
      <x:c r="D1047" s="6" t="str">
        <x:v>brand-service</x:v>
      </x:c>
      <x:c r="E1047" s="6" t="str">
        <x:v>Retain differentiated role</x:v>
      </x:c>
      <x:c r="F1047" s="6" t="str">
        <x:v>Local source render; live version unverified</x:v>
      </x:c>
      <x:c r="G1047" s="6" t="str">
        <x:v>Koenigsegg Brake Repair Dubai | Digi-Tec</x:v>
      </x:c>
      <x:c r="H1047" s="6" t="str">
        <x:v>Koenigsegg Brake Repair Dubai | Digi-Tec</x:v>
      </x:c>
      <x:c r="I1047" s="6" t="str">
        <x:v>Koenigsegg Brake Repair Dubai</x:v>
      </x:c>
      <x:c r="J1047" s="6" t="str">
        <x:v>Koenigsegg Brake Repair Dubai</x:v>
      </x:c>
      <x:c r="K1047" s="6" t="str">
        <x:v>Koenigsegg brake repair in Dubai with model-specific inspection, confirmed parts options and a clear quote at Digi-Tec, Al Quoz.</x:v>
      </x:c>
      <x:c r="L1047" s="6" t="str">
        <x:v>Retain pending evidence; no specific content edit justified by this export.</x:v>
      </x:c>
      <x:c r="M1047" s="6" t="str">
        <x:v>Retain; inspect relevant context before adding links</x:v>
      </x:c>
      <x:c r="N1047" s="6" t="str">
        <x:v>Unconfirmed — no query/page pairing</x:v>
      </x:c>
      <x:c r="O1047" s="6" t="str">
        <x:v>Retain established booking / WhatsApp / call path; live behaviour untested</x:v>
      </x:c>
      <x:c r="P1047" s="6" t="str">
        <x:v>Retain canonical and indexation policy pending a live check.</x:v>
      </x:c>
      <x:c r="Q1047" s="6" t="str">
        <x:v>Proposed; no website change made</x:v>
      </x:c>
      <x:c r="R1047" s="14" t="n">
        <x:v>0</x:v>
      </x:c>
      <x:c r="S1047" s="14" t="n">
        <x:v>1</x:v>
      </x:c>
      <x:c r="T1047" s="15" t="n">
        <x:v>0</x:v>
      </x:c>
      <x:c r="U1047" s="16" t="n">
        <x:v>21</x:v>
      </x:c>
      <x:c r="V1047" s="6" t="str">
        <x:v>https://digitecme.com/brands/koenigsegg-service-dubai/brake-repair</x:v>
      </x:c>
      <x:c r="W1047" s="6" t="str">
        <x:v>Indexable directive</x:v>
      </x:c>
      <x:c r="X1047" s="6" t="n">
        <x:v>8</x:v>
      </x:c>
      <x:c r="Y1047" s="6" t="str">
        <x:v>Koenigsegg Brake Repair Dubai | Digi-Tec</x:v>
      </x:c>
      <x:c r="Z1047" s="6" t="str"/>
      <x:c r="AA1047" s="6" t="str">
        <x:v>No / not compared</x:v>
      </x:c>
    </x:row>
    <x:row r="1048" ht="42" customHeight="1">
      <x:c r="A1048" s="6" t="str">
        <x:v>https://digitecme.com/brands/koenigsegg-service-dubai/engine-diagnostics</x:v>
      </x:c>
      <x:c r="B1048" s="6" t="str"/>
      <x:c r="C1048" s="6" t="str"/>
      <x:c r="D1048" s="6" t="str">
        <x:v>brand-service</x:v>
      </x:c>
      <x:c r="E1048" s="6" t="str">
        <x:v>Retain differentiated role</x:v>
      </x:c>
      <x:c r="F1048" s="6" t="str">
        <x:v>Local source render; live version unverified</x:v>
      </x:c>
      <x:c r="G1048" s="6" t="str">
        <x:v>Koenigsegg Engine Diagnostics Dubai | Digi-Tec</x:v>
      </x:c>
      <x:c r="H1048" s="6" t="str">
        <x:v>Koenigsegg Engine Diagnostics Dubai | Digi-Tec</x:v>
      </x:c>
      <x:c r="I1048" s="6" t="str">
        <x:v>Koenigsegg Engine Diagnostics Dubai</x:v>
      </x:c>
      <x:c r="J1048" s="6" t="str">
        <x:v>Koenigsegg Engine Diagnostics Dubai</x:v>
      </x:c>
      <x:c r="K1048" s="6" t="str">
        <x:v>Koenigsegg engine diagnostics in Dubai with model-specific inspection, confirmed parts options and a clear quote at Digi-Tec, Al Quoz.</x:v>
      </x:c>
      <x:c r="L1048" s="6" t="str">
        <x:v>Retain pending evidence; no specific content edit justified by this export.</x:v>
      </x:c>
      <x:c r="M1048" s="6" t="str">
        <x:v>Retain; inspect relevant context before adding links</x:v>
      </x:c>
      <x:c r="N1048" s="6" t="str">
        <x:v>Unconfirmed — no query/page pairing</x:v>
      </x:c>
      <x:c r="O1048" s="6" t="str">
        <x:v>Retain established booking / WhatsApp / call path; live behaviour untested</x:v>
      </x:c>
      <x:c r="P1048" s="6" t="str">
        <x:v>Retain canonical and indexation policy pending a live check.</x:v>
      </x:c>
      <x:c r="Q1048" s="6" t="str">
        <x:v>Proposed; no website change made</x:v>
      </x:c>
      <x:c r="R1048" s="14" t="n">
        <x:v>0</x:v>
      </x:c>
      <x:c r="S1048" s="14" t="n">
        <x:v>6</x:v>
      </x:c>
      <x:c r="T1048" s="15" t="n">
        <x:v>0</x:v>
      </x:c>
      <x:c r="U1048" s="16" t="n">
        <x:v>11.5</x:v>
      </x:c>
      <x:c r="V1048" s="6" t="str">
        <x:v>https://digitecme.com/brands/koenigsegg-service-dubai/engine-diagnostics</x:v>
      </x:c>
      <x:c r="W1048" s="6" t="str">
        <x:v>Indexable directive</x:v>
      </x:c>
      <x:c r="X1048" s="6" t="n">
        <x:v>8</x:v>
      </x:c>
      <x:c r="Y1048" s="6" t="str">
        <x:v>Koenigsegg Engine Diagnostics Dubai | Digi-Tec</x:v>
      </x:c>
      <x:c r="Z1048" s="6" t="str"/>
      <x:c r="AA1048" s="6" t="str">
        <x:v>No / not compared</x:v>
      </x:c>
    </x:row>
    <x:row r="1049" ht="42" customHeight="1">
      <x:c r="A1049" s="6" t="str">
        <x:v>https://digitecme.com/brands/koenigsegg-service-dubai/oil-change</x:v>
      </x:c>
      <x:c r="B1049" s="6" t="str"/>
      <x:c r="C1049" s="6" t="str"/>
      <x:c r="D1049" s="6" t="str">
        <x:v>brand-service</x:v>
      </x:c>
      <x:c r="E1049" s="6" t="str">
        <x:v>Retain differentiated role</x:v>
      </x:c>
      <x:c r="F1049" s="6" t="str">
        <x:v>Local source render; live version unverified</x:v>
      </x:c>
      <x:c r="G1049" s="6" t="str">
        <x:v>Koenigsegg Oil Change Dubai | Digi-Tec</x:v>
      </x:c>
      <x:c r="H1049" s="6" t="str">
        <x:v>Koenigsegg Oil Change Dubai | Digi-Tec</x:v>
      </x:c>
      <x:c r="I1049" s="6" t="str">
        <x:v>Koenigsegg Oil Change Dubai</x:v>
      </x:c>
      <x:c r="J1049" s="6" t="str">
        <x:v>Koenigsegg Oil Change Dubai</x:v>
      </x:c>
      <x:c r="K1049" s="6" t="str">
        <x:v>Koenigsegg oil change in Dubai with model-specific inspection, confirmed parts options and a clear quote at Digi-Tec, Al Quoz.</x:v>
      </x:c>
      <x:c r="L1049" s="6" t="str">
        <x:v>Retain pending evidence; no specific content edit justified by this export.</x:v>
      </x:c>
      <x:c r="M1049" s="6" t="str">
        <x:v>Retain; inspect relevant context before adding links</x:v>
      </x:c>
      <x:c r="N1049" s="6" t="str">
        <x:v>Unconfirmed — no query/page pairing</x:v>
      </x:c>
      <x:c r="O1049" s="6" t="str">
        <x:v>Retain established booking / WhatsApp / call path; live behaviour untested</x:v>
      </x:c>
      <x:c r="P1049" s="6" t="str">
        <x:v>Retain canonical and indexation policy pending a live check.</x:v>
      </x:c>
      <x:c r="Q1049" s="6" t="str">
        <x:v>Proposed; no website change made</x:v>
      </x:c>
      <x:c r="R1049" s="14" t="n">
        <x:v>0</x:v>
      </x:c>
      <x:c r="S1049" s="14" t="n">
        <x:v>9</x:v>
      </x:c>
      <x:c r="T1049" s="15" t="n">
        <x:v>0</x:v>
      </x:c>
      <x:c r="U1049" s="16" t="n">
        <x:v>3.67</x:v>
      </x:c>
      <x:c r="V1049" s="6" t="str">
        <x:v>https://digitecme.com/brands/koenigsegg-service-dubai/oil-change</x:v>
      </x:c>
      <x:c r="W1049" s="6" t="str">
        <x:v>Indexable directive</x:v>
      </x:c>
      <x:c r="X1049" s="6" t="n">
        <x:v>8</x:v>
      </x:c>
      <x:c r="Y1049" s="6" t="str">
        <x:v>Koenigsegg Oil Change Dubai | Digi-Tec</x:v>
      </x:c>
      <x:c r="Z1049" s="6" t="str"/>
      <x:c r="AA1049" s="6" t="str">
        <x:v>No / not compared</x:v>
      </x:c>
    </x:row>
    <x:row r="1050" ht="42" customHeight="1">
      <x:c r="A1050" s="6" t="str">
        <x:v>https://digitecme.com/brands/koenigsegg-service-dubai/suspension-repair</x:v>
      </x:c>
      <x:c r="B1050" s="6" t="str"/>
      <x:c r="C1050" s="6" t="str"/>
      <x:c r="D1050" s="6" t="str">
        <x:v>brand-service</x:v>
      </x:c>
      <x:c r="E1050" s="6" t="str">
        <x:v>Retain differentiated role</x:v>
      </x:c>
      <x:c r="F1050" s="6" t="str">
        <x:v>Local source render; live version unverified</x:v>
      </x:c>
      <x:c r="G1050" s="6" t="str">
        <x:v>Koenigsegg Suspension Repair Dubai | Digi-Tec</x:v>
      </x:c>
      <x:c r="H1050" s="6" t="str">
        <x:v>Koenigsegg Suspension Repair Dubai | Digi-Tec</x:v>
      </x:c>
      <x:c r="I1050" s="6" t="str">
        <x:v>Koenigsegg Suspension Repair Dubai</x:v>
      </x:c>
      <x:c r="J1050" s="6" t="str">
        <x:v>Koenigsegg Suspension Repair Dubai</x:v>
      </x:c>
      <x:c r="K1050" s="6" t="str">
        <x:v>Koenigsegg suspension repair in Dubai with model-specific inspection, confirmed parts options and a clear quote at Digi-Tec, Al Quoz.</x:v>
      </x:c>
      <x:c r="L1050" s="6" t="str">
        <x:v>Retain pending evidence; no specific content edit justified by this export.</x:v>
      </x:c>
      <x:c r="M1050" s="6" t="str">
        <x:v>Retain; inspect relevant context before adding links</x:v>
      </x:c>
      <x:c r="N1050" s="6" t="str">
        <x:v>Unconfirmed — no query/page pairing</x:v>
      </x:c>
      <x:c r="O1050" s="6" t="str">
        <x:v>Retain established booking / WhatsApp / call path; live behaviour untested</x:v>
      </x:c>
      <x:c r="P1050" s="6" t="str">
        <x:v>Retain canonical and indexation policy pending a live check.</x:v>
      </x:c>
      <x:c r="Q1050" s="6" t="str">
        <x:v>Proposed; no website change made</x:v>
      </x:c>
      <x:c r="R1050" s="14" t="n">
        <x:v>0</x:v>
      </x:c>
      <x:c r="S1050" s="14" t="n">
        <x:v>1</x:v>
      </x:c>
      <x:c r="T1050" s="15" t="n">
        <x:v>0</x:v>
      </x:c>
      <x:c r="U1050" s="16" t="n">
        <x:v>33</x:v>
      </x:c>
      <x:c r="V1050" s="6" t="str">
        <x:v>https://digitecme.com/brands/koenigsegg-service-dubai/suspension-repair</x:v>
      </x:c>
      <x:c r="W1050" s="6" t="str">
        <x:v>Noindex directive</x:v>
      </x:c>
      <x:c r="X1050" s="6" t="n">
        <x:v>8</x:v>
      </x:c>
      <x:c r="Y1050" s="6" t="str">
        <x:v>Koenigsegg Suspension Repair Dubai | Digi-Tec</x:v>
      </x:c>
      <x:c r="Z1050" s="6" t="str"/>
      <x:c r="AA1050" s="6" t="str">
        <x:v>No / not compared</x:v>
      </x:c>
    </x:row>
    <x:row r="1051" ht="42" customHeight="1">
      <x:c r="A1051" s="6" t="str">
        <x:v>https://digitecme.com/brands/koenigsegg-service-dubai/transmission-repair</x:v>
      </x:c>
      <x:c r="B1051" s="6" t="str"/>
      <x:c r="C1051" s="6" t="str"/>
      <x:c r="D1051" s="6" t="str">
        <x:v>brand-service</x:v>
      </x:c>
      <x:c r="E1051" s="6" t="str">
        <x:v>Retain differentiated role</x:v>
      </x:c>
      <x:c r="F1051" s="6" t="str">
        <x:v>Local source render; live version unverified</x:v>
      </x:c>
      <x:c r="G1051" s="6" t="str">
        <x:v>Koenigsegg Transmission Repair Dubai | Digi-Tec</x:v>
      </x:c>
      <x:c r="H1051" s="6" t="str">
        <x:v>Koenigsegg Transmission Repair Dubai | Digi-Tec</x:v>
      </x:c>
      <x:c r="I1051" s="6" t="str">
        <x:v>Koenigsegg Transmission Repair Dubai</x:v>
      </x:c>
      <x:c r="J1051" s="6" t="str">
        <x:v>Koenigsegg Transmission Repair Dubai</x:v>
      </x:c>
      <x:c r="K1051" s="6" t="str">
        <x:v>Koenigsegg transmission repair in Dubai with model-specific inspection, confirmed parts options and a clear quote at Digi-Tec, Al Quoz.</x:v>
      </x:c>
      <x:c r="L1051" s="6" t="str">
        <x:v>Retain pending evidence; no specific content edit justified by this export.</x:v>
      </x:c>
      <x:c r="M1051" s="6" t="str">
        <x:v>Retain; inspect relevant context before adding links</x:v>
      </x:c>
      <x:c r="N1051" s="6" t="str">
        <x:v>Unconfirmed — no query/page pairing</x:v>
      </x:c>
      <x:c r="O1051" s="6" t="str">
        <x:v>Retain established booking / WhatsApp / call path; live behaviour untested</x:v>
      </x:c>
      <x:c r="P1051" s="6" t="str">
        <x:v>Retain canonical and indexation policy pending a live check.</x:v>
      </x:c>
      <x:c r="Q1051" s="6" t="str">
        <x:v>Proposed; no website change made</x:v>
      </x:c>
      <x:c r="R1051" s="14" t="n">
        <x:v>0</x:v>
      </x:c>
      <x:c r="S1051" s="14" t="n">
        <x:v>2</x:v>
      </x:c>
      <x:c r="T1051" s="15" t="n">
        <x:v>0</x:v>
      </x:c>
      <x:c r="U1051" s="16" t="n">
        <x:v>7</x:v>
      </x:c>
      <x:c r="V1051" s="6" t="str">
        <x:v>https://digitecme.com/brands/koenigsegg-service-dubai/transmission-repair</x:v>
      </x:c>
      <x:c r="W1051" s="6" t="str">
        <x:v>Noindex directive</x:v>
      </x:c>
      <x:c r="X1051" s="6" t="n">
        <x:v>8</x:v>
      </x:c>
      <x:c r="Y1051" s="6" t="str">
        <x:v>Koenigsegg Transmission Repair Dubai | Digi-Tec</x:v>
      </x:c>
      <x:c r="Z1051" s="6" t="str"/>
      <x:c r="AA1051" s="6" t="str">
        <x:v>No / not compared</x:v>
      </x:c>
    </x:row>
    <x:row r="1052" ht="57" customHeight="1">
      <x:c r="A1052" s="6" t="str">
        <x:v>https://digitecme.com/brands/lamborghini-service-dubai</x:v>
      </x:c>
      <x:c r="B1052" s="6" t="str">
        <x:v>lamborghini service dubai</x:v>
      </x:c>
      <x:c r="C1052" s="6" t="str">
        <x:v>lamborghini: Service and repair</x:v>
      </x:c>
      <x:c r="D1052" s="6" t="str">
        <x:v>brand</x:v>
      </x:c>
      <x:c r="E1052" s="6" t="str">
        <x:v>Primary owner for assigned intent</x:v>
      </x:c>
      <x:c r="F1052" s="6" t="str">
        <x:v>Live HTML checked 9 Sep 2026</x:v>
      </x:c>
      <x:c r="G1052" s="6" t="str">
        <x:v>Lamborghini Service &amp; Repair Dubai | DIGI-TEC</x:v>
      </x:c>
      <x:c r="H1052" s="6" t="str">
        <x:v>Lamborghini Service &amp; Repair Dubai | DIGI-TEC</x:v>
      </x:c>
      <x:c r="I1052" s="6" t="str">
        <x:v>Lamborghini Service &amp; Repair Dubai</x:v>
      </x:c>
      <x:c r="J1052" s="6" t="str">
        <x:v>Lamborghini Service &amp; Repair Dubai</x:v>
      </x:c>
      <x:c r="K1052" s="6" t="str">
        <x:v>Lamborghini service and repair in Al Quoz, Dubai. Discuss maintenance, diagnostics and repairs for your model with DIGI-TEC. Request a service assessment.</x:v>
      </x:c>
      <x:c r="L1052" s="6" t="str">
        <x:v>Retain pending evidence; no specific content edit justified by this export.</x:v>
      </x:c>
      <x:c r="M1052" s="6" t="str">
        <x:v>Retain; inspect relevant context before adding links</x:v>
      </x:c>
      <x:c r="N1052" s="6" t="str">
        <x:v>Unconfirmed — no query/page pairing</x:v>
      </x:c>
      <x:c r="O1052" s="6" t="str">
        <x:v>Retain established booking / WhatsApp / call path; live behaviour untested</x:v>
      </x:c>
      <x:c r="P1052" s="6" t="str">
        <x:v>Retain canonical and indexation policy pending a live check.</x:v>
      </x:c>
      <x:c r="Q1052" s="6" t="str">
        <x:v>Proposed; no website change made</x:v>
      </x:c>
      <x:c r="R1052" s="14" t="n">
        <x:v>1</x:v>
      </x:c>
      <x:c r="S1052" s="14" t="n">
        <x:v>1258</x:v>
      </x:c>
      <x:c r="T1052" s="15" t="n">
        <x:v>0.0008</x:v>
      </x:c>
      <x:c r="U1052" s="16" t="n">
        <x:v>26.68</x:v>
      </x:c>
      <x:c r="V1052" s="6" t="str">
        <x:v>https://digitecme.com/brands/lamborghini-service-dubai</x:v>
      </x:c>
      <x:c r="W1052" s="6" t="str">
        <x:v>Indexable directive</x:v>
      </x:c>
      <x:c r="X1052" s="6" t="n">
        <x:v>88</x:v>
      </x:c>
      <x:c r="Y1052" s="6" t="str">
        <x:v>Lamborghini Service &amp; Repair Dubai | DIGI-TEC</x:v>
      </x:c>
      <x:c r="Z1052" s="6" t="str">
        <x:v>Lamborghini Service &amp; Repair Dubai | DIGI-TEC</x:v>
      </x:c>
      <x:c r="AA1052" s="6" t="str">
        <x:v>No / not compared</x:v>
      </x:c>
    </x:row>
    <x:row r="1053" ht="42" customHeight="1">
      <x:c r="A1053" s="6" t="str">
        <x:v>https://digitecme.com/brands/lamborghini-service-dubai/ac-repair</x:v>
      </x:c>
      <x:c r="B1053" s="6" t="str"/>
      <x:c r="C1053" s="6" t="str"/>
      <x:c r="D1053" s="6" t="str">
        <x:v>brand-service</x:v>
      </x:c>
      <x:c r="E1053" s="6" t="str">
        <x:v>Retain differentiated role</x:v>
      </x:c>
      <x:c r="F1053" s="6" t="str">
        <x:v>Local source render; live version unverified</x:v>
      </x:c>
      <x:c r="G1053" s="6" t="str">
        <x:v>Lamborghini AC Repair Dubai | Digi-Tec</x:v>
      </x:c>
      <x:c r="H1053" s="6" t="str">
        <x:v>Lamborghini AC Repair Dubai | Digi-Tec</x:v>
      </x:c>
      <x:c r="I1053" s="6" t="str">
        <x:v>Lamborghini AC Repair Dubai</x:v>
      </x:c>
      <x:c r="J1053" s="6" t="str">
        <x:v>Lamborghini AC Repair Dubai</x:v>
      </x:c>
      <x:c r="K1053" s="6" t="str">
        <x:v>Lamborghini ac repair in Dubai with model-specific inspection, confirmed parts options and a clear quote at Digi-Tec, Al Quoz.</x:v>
      </x:c>
      <x:c r="L1053" s="6" t="str">
        <x:v>Retain pending evidence; no specific content edit justified by this export.</x:v>
      </x:c>
      <x:c r="M1053" s="6" t="str">
        <x:v>Retain; inspect relevant context before adding links</x:v>
      </x:c>
      <x:c r="N1053" s="6" t="str">
        <x:v>Unconfirmed — no query/page pairing</x:v>
      </x:c>
      <x:c r="O1053" s="6" t="str">
        <x:v>Retain established booking / WhatsApp / call path; live behaviour untested</x:v>
      </x:c>
      <x:c r="P1053" s="6" t="str">
        <x:v>Retain canonical and indexation policy pending a live check.</x:v>
      </x:c>
      <x:c r="Q1053" s="6" t="str">
        <x:v>Proposed; no website change made</x:v>
      </x:c>
      <x:c r="R1053" s="14" t="n">
        <x:v>0</x:v>
      </x:c>
      <x:c r="S1053" s="14" t="n">
        <x:v>4</x:v>
      </x:c>
      <x:c r="T1053" s="15" t="n">
        <x:v>0</x:v>
      </x:c>
      <x:c r="U1053" s="16" t="n">
        <x:v>12</x:v>
      </x:c>
      <x:c r="V1053" s="6" t="str">
        <x:v>https://digitecme.com/brands/lamborghini-service-dubai/ac-repair</x:v>
      </x:c>
      <x:c r="W1053" s="6" t="str">
        <x:v>Indexable directive</x:v>
      </x:c>
      <x:c r="X1053" s="6" t="n">
        <x:v>16</x:v>
      </x:c>
      <x:c r="Y1053" s="6" t="str">
        <x:v>Lamborghini AC Repair Dubai | Digi-Tec</x:v>
      </x:c>
      <x:c r="Z1053" s="6" t="str"/>
      <x:c r="AA1053" s="6" t="str">
        <x:v>No / not compared</x:v>
      </x:c>
    </x:row>
    <x:row r="1054" ht="57" customHeight="1">
      <x:c r="A1054" s="6" t="str">
        <x:v>https://digitecme.com/brands/lamborghini-service-dubai/battery-replacement</x:v>
      </x:c>
      <x:c r="B1054" s="6" t="str">
        <x:v>lamborghini battery replacement dubai</x:v>
      </x:c>
      <x:c r="C1054" s="6" t="str">
        <x:v>lamborghini: Battery service</x:v>
      </x:c>
      <x:c r="D1054" s="6" t="str">
        <x:v>brand-service</x:v>
      </x:c>
      <x:c r="E1054" s="6" t="str">
        <x:v>Primary owner for assigned intent</x:v>
      </x:c>
      <x:c r="F1054" s="6" t="str">
        <x:v>Local source render; live version unverified</x:v>
      </x:c>
      <x:c r="G1054" s="6" t="str">
        <x:v>Lamborghini Battery Replacement Dubai | DIGI-TEC</x:v>
      </x:c>
      <x:c r="H1054" s="6" t="str">
        <x:v>Lamborghini Battery Replacement Dubai | DIGI-TEC</x:v>
      </x:c>
      <x:c r="I1054" s="6" t="str">
        <x:v>Lamborghini Battery Replacement &amp; Diagnosis Dubai</x:v>
      </x:c>
      <x:c r="J1054" s="6" t="str">
        <x:v>Lamborghini Battery Replacement &amp; Diagnosis Dubai</x:v>
      </x:c>
      <x:c r="K1054" s="6" t="str">
        <x:v>Lamborghini low-voltage battery, charging and starting assessment in Al Quoz, Dubai. Battery specification and supported registration are confirmed per vehicle.</x:v>
      </x:c>
      <x:c r="L1054" s="6" t="str">
        <x:v>Retain pending evidence; no specific content edit justified by this export.</x:v>
      </x:c>
      <x:c r="M1054" s="6" t="str">
        <x:v>Retain; inspect relevant context before adding links</x:v>
      </x:c>
      <x:c r="N1054" s="6" t="str">
        <x:v>Unconfirmed — no query/page pairing</x:v>
      </x:c>
      <x:c r="O1054" s="6" t="str">
        <x:v>Retain established booking / WhatsApp / call path; live behaviour untested</x:v>
      </x:c>
      <x:c r="P1054" s="6" t="str">
        <x:v>Retain canonical and indexation policy pending a live check.</x:v>
      </x:c>
      <x:c r="Q1054" s="6" t="str">
        <x:v>Proposed; no website change made</x:v>
      </x:c>
      <x:c r="R1054" s="14"/>
      <x:c r="S1054" s="14"/>
      <x:c r="T1054" s="15"/>
      <x:c r="U1054" s="16"/>
      <x:c r="V1054" s="6" t="str">
        <x:v>https://digitecme.com/brands/lamborghini-service-dubai/battery-replacement</x:v>
      </x:c>
      <x:c r="W1054" s="6" t="str">
        <x:v>Indexable directive</x:v>
      </x:c>
      <x:c r="X1054" s="6" t="n">
        <x:v>17</x:v>
      </x:c>
      <x:c r="Y1054" s="6" t="str">
        <x:v>Lamborghini Battery Replacement Dubai | DIGI-TEC</x:v>
      </x:c>
      <x:c r="Z1054" s="6" t="str"/>
      <x:c r="AA1054" s="6" t="str">
        <x:v>No / not compared</x:v>
      </x:c>
    </x:row>
    <x:row r="1055" ht="42" customHeight="1">
      <x:c r="A1055" s="6" t="str">
        <x:v>https://digitecme.com/brands/lamborghini-service-dubai/body-repair</x:v>
      </x:c>
      <x:c r="B1055" s="6" t="str"/>
      <x:c r="C1055" s="6" t="str"/>
      <x:c r="D1055" s="6" t="str">
        <x:v>brand-service</x:v>
      </x:c>
      <x:c r="E1055" s="6" t="str">
        <x:v>Retain differentiated role</x:v>
      </x:c>
      <x:c r="F1055" s="6" t="str">
        <x:v>Local source render; live version unverified</x:v>
      </x:c>
      <x:c r="G1055" s="6" t="str">
        <x:v>Lamborghini Body Repair Dubai | Digi-Tec</x:v>
      </x:c>
      <x:c r="H1055" s="6" t="str">
        <x:v>Lamborghini Body Repair Dubai | Digi-Tec</x:v>
      </x:c>
      <x:c r="I1055" s="6" t="str">
        <x:v>Lamborghini Body Repair Dubai</x:v>
      </x:c>
      <x:c r="J1055" s="6" t="str">
        <x:v>Lamborghini Body Repair Dubai</x:v>
      </x:c>
      <x:c r="K1055" s="6" t="str">
        <x:v>Lamborghini body repair in Dubai with model-specific inspection, confirmed parts options and a clear quote at Digi-Tec, Al Quoz.</x:v>
      </x:c>
      <x:c r="L1055" s="6" t="str">
        <x:v>Retain pending evidence; no specific content edit justified by this export.</x:v>
      </x:c>
      <x:c r="M1055" s="6" t="str">
        <x:v>Retain; inspect relevant context before adding links</x:v>
      </x:c>
      <x:c r="N1055" s="6" t="str">
        <x:v>Unconfirmed — no query/page pairing</x:v>
      </x:c>
      <x:c r="O1055" s="6" t="str">
        <x:v>Retain established booking / WhatsApp / call path; live behaviour untested</x:v>
      </x:c>
      <x:c r="P1055" s="6" t="str">
        <x:v>Retain canonical and indexation policy pending a live check.</x:v>
      </x:c>
      <x:c r="Q1055" s="6" t="str">
        <x:v>Proposed; no website change made</x:v>
      </x:c>
      <x:c r="R1055" s="14"/>
      <x:c r="S1055" s="14"/>
      <x:c r="T1055" s="15"/>
      <x:c r="U1055" s="16"/>
      <x:c r="V1055" s="6" t="str">
        <x:v>https://digitecme.com/brands/lamborghini-service-dubai/body-repair</x:v>
      </x:c>
      <x:c r="W1055" s="6" t="str">
        <x:v>Indexable directive</x:v>
      </x:c>
      <x:c r="X1055" s="6" t="n">
        <x:v>16</x:v>
      </x:c>
      <x:c r="Y1055" s="6" t="str">
        <x:v>Lamborghini Body Repair Dubai | Digi-Tec</x:v>
      </x:c>
      <x:c r="Z1055" s="6" t="str"/>
      <x:c r="AA1055" s="6" t="str">
        <x:v>No / not compared</x:v>
      </x:c>
    </x:row>
    <x:row r="1056" ht="57" customHeight="1">
      <x:c r="A1056" s="6" t="str">
        <x:v>https://digitecme.com/brands/lamborghini-service-dubai/brake-repair</x:v>
      </x:c>
      <x:c r="B1056" s="6" t="str"/>
      <x:c r="C1056" s="6" t="str"/>
      <x:c r="D1056" s="6" t="str">
        <x:v>brand-service</x:v>
      </x:c>
      <x:c r="E1056" s="6" t="str">
        <x:v>Retain differentiated role</x:v>
      </x:c>
      <x:c r="F1056" s="6" t="str">
        <x:v>Local source render; live version unverified</x:v>
      </x:c>
      <x:c r="G1056" s="6" t="str">
        <x:v>Lamborghini Brake Repair Dubai | DIGI-TEC</x:v>
      </x:c>
      <x:c r="H1056" s="6" t="str">
        <x:v>Lamborghini Brake Repair Dubai | DIGI-TEC</x:v>
      </x:c>
      <x:c r="I1056" s="6" t="str">
        <x:v>Lamborghini Brake Inspection &amp; Repair Dubai</x:v>
      </x:c>
      <x:c r="J1056" s="6" t="str">
        <x:v>Lamborghini Brake Inspection &amp; Repair Dubai</x:v>
      </x:c>
      <x:c r="K1056" s="6" t="str">
        <x:v>Lamborghini brake inspection in Al Quoz, Dubai for warnings, vibration, pads, discs and fluid. Fitted steel or carbon-ceramic systems are confirmed first.</x:v>
      </x:c>
      <x:c r="L1056" s="6" t="str">
        <x:v>Retain pending evidence; no specific content edit justified by this export.</x:v>
      </x:c>
      <x:c r="M1056" s="6" t="str">
        <x:v>Retain; inspect relevant context before adding links</x:v>
      </x:c>
      <x:c r="N1056" s="6" t="str">
        <x:v>Unconfirmed — no query/page pairing</x:v>
      </x:c>
      <x:c r="O1056" s="6" t="str">
        <x:v>Retain established booking / WhatsApp / call path; live behaviour untested</x:v>
      </x:c>
      <x:c r="P1056" s="6" t="str">
        <x:v>Retain canonical and indexation policy pending a live check.</x:v>
      </x:c>
      <x:c r="Q1056" s="6" t="str">
        <x:v>Proposed; no website change made</x:v>
      </x:c>
      <x:c r="R1056" s="14"/>
      <x:c r="S1056" s="14"/>
      <x:c r="T1056" s="15"/>
      <x:c r="U1056" s="16"/>
      <x:c r="V1056" s="6" t="str">
        <x:v>https://digitecme.com/brands/lamborghini-service-dubai/brake-repair</x:v>
      </x:c>
      <x:c r="W1056" s="6" t="str">
        <x:v>Indexable directive</x:v>
      </x:c>
      <x:c r="X1056" s="6" t="n">
        <x:v>16</x:v>
      </x:c>
      <x:c r="Y1056" s="6" t="str">
        <x:v>Lamborghini Brake Repair Dubai | DIGI-TEC</x:v>
      </x:c>
      <x:c r="Z1056" s="6" t="str"/>
      <x:c r="AA1056" s="6" t="str">
        <x:v>No / not compared</x:v>
      </x:c>
    </x:row>
    <x:row r="1057" ht="42" customHeight="1">
      <x:c r="A1057" s="6" t="str">
        <x:v>https://digitecme.com/brands/lamborghini-service-dubai/electrical-repair</x:v>
      </x:c>
      <x:c r="B1057" s="6" t="str"/>
      <x:c r="C1057" s="6" t="str"/>
      <x:c r="D1057" s="6" t="str">
        <x:v>brand-service</x:v>
      </x:c>
      <x:c r="E1057" s="6" t="str">
        <x:v>Retain differentiated role</x:v>
      </x:c>
      <x:c r="F1057" s="6" t="str">
        <x:v>Local source render; live version unverified</x:v>
      </x:c>
      <x:c r="G1057" s="6" t="str">
        <x:v>Lamborghini Electrical Repair Dubai | Digi-Tec</x:v>
      </x:c>
      <x:c r="H1057" s="6" t="str">
        <x:v>Lamborghini Electrical Repair Dubai | Digi-Tec</x:v>
      </x:c>
      <x:c r="I1057" s="6" t="str">
        <x:v>Lamborghini Electrical Repair Dubai</x:v>
      </x:c>
      <x:c r="J1057" s="6" t="str">
        <x:v>Lamborghini Electrical Repair Dubai</x:v>
      </x:c>
      <x:c r="K1057" s="6" t="str">
        <x:v>Lamborghini electrical repair in Dubai with model-specific inspection, confirmed parts options and a clear quote at Digi-Tec, Al Quoz.</x:v>
      </x:c>
      <x:c r="L1057" s="6" t="str">
        <x:v>Retain pending evidence; no specific content edit justified by this export.</x:v>
      </x:c>
      <x:c r="M1057" s="6" t="str">
        <x:v>Retain; inspect relevant context before adding links</x:v>
      </x:c>
      <x:c r="N1057" s="6" t="str">
        <x:v>Unconfirmed — no query/page pairing</x:v>
      </x:c>
      <x:c r="O1057" s="6" t="str">
        <x:v>Retain established booking / WhatsApp / call path; live behaviour untested</x:v>
      </x:c>
      <x:c r="P1057" s="6" t="str">
        <x:v>Retain canonical and indexation policy pending a live check.</x:v>
      </x:c>
      <x:c r="Q1057" s="6" t="str">
        <x:v>Proposed; no website change made</x:v>
      </x:c>
      <x:c r="R1057" s="14" t="n">
        <x:v>0</x:v>
      </x:c>
      <x:c r="S1057" s="14" t="n">
        <x:v>10</x:v>
      </x:c>
      <x:c r="T1057" s="15" t="n">
        <x:v>0</x:v>
      </x:c>
      <x:c r="U1057" s="16" t="n">
        <x:v>7.8</x:v>
      </x:c>
      <x:c r="V1057" s="6" t="str">
        <x:v>https://digitecme.com/brands/lamborghini-service-dubai/electrical-repair</x:v>
      </x:c>
      <x:c r="W1057" s="6" t="str">
        <x:v>Indexable directive</x:v>
      </x:c>
      <x:c r="X1057" s="6" t="n">
        <x:v>16</x:v>
      </x:c>
      <x:c r="Y1057" s="6" t="str">
        <x:v>Lamborghini Electrical Repair Dubai | Digi-Tec</x:v>
      </x:c>
      <x:c r="Z1057" s="6" t="str"/>
      <x:c r="AA1057" s="6" t="str">
        <x:v>No / not compared</x:v>
      </x:c>
    </x:row>
    <x:row r="1058" ht="57" customHeight="1">
      <x:c r="A1058" s="6" t="str">
        <x:v>https://digitecme.com/brands/lamborghini-service-dubai/engine-diagnostics</x:v>
      </x:c>
      <x:c r="B1058" s="6" t="str"/>
      <x:c r="C1058" s="6" t="str"/>
      <x:c r="D1058" s="6" t="str">
        <x:v>brand-service</x:v>
      </x:c>
      <x:c r="E1058" s="6" t="str">
        <x:v>Retain differentiated role</x:v>
      </x:c>
      <x:c r="F1058" s="6" t="str">
        <x:v>Local source render; live version unverified</x:v>
      </x:c>
      <x:c r="G1058" s="6" t="str">
        <x:v>Lamborghini Engine Diagnostics Dubai | DIGI-TEC</x:v>
      </x:c>
      <x:c r="H1058" s="6" t="str">
        <x:v>Lamborghini Engine Diagnostics Dubai | DIGI-TEC</x:v>
      </x:c>
      <x:c r="I1058" s="6" t="str">
        <x:v>Lamborghini Engine Diagnostics Dubai</x:v>
      </x:c>
      <x:c r="J1058" s="6" t="str">
        <x:v>Lamborghini Engine Diagnostics Dubai</x:v>
      </x:c>
      <x:c r="K1058" s="6" t="str">
        <x:v>Lamborghini warning-light and drivability diagnostics in Al Quoz, Dubai. Compatible data and physical testing are matched to the exact vehicle.</x:v>
      </x:c>
      <x:c r="L1058" s="6" t="str">
        <x:v>Retain pending evidence; no specific content edit justified by this export.</x:v>
      </x:c>
      <x:c r="M1058" s="6" t="str">
        <x:v>Retain; inspect relevant context before adding links</x:v>
      </x:c>
      <x:c r="N1058" s="6" t="str">
        <x:v>Unconfirmed — no query/page pairing</x:v>
      </x:c>
      <x:c r="O1058" s="6" t="str">
        <x:v>Retain established booking / WhatsApp / call path; live behaviour untested</x:v>
      </x:c>
      <x:c r="P1058" s="6" t="str">
        <x:v>Retain canonical and indexation policy pending a live check.</x:v>
      </x:c>
      <x:c r="Q1058" s="6" t="str">
        <x:v>Proposed; no website change made</x:v>
      </x:c>
      <x:c r="R1058" s="14" t="n">
        <x:v>0</x:v>
      </x:c>
      <x:c r="S1058" s="14" t="n">
        <x:v>9</x:v>
      </x:c>
      <x:c r="T1058" s="15" t="n">
        <x:v>0</x:v>
      </x:c>
      <x:c r="U1058" s="16" t="n">
        <x:v>17.56</x:v>
      </x:c>
      <x:c r="V1058" s="6" t="str">
        <x:v>https://digitecme.com/brands/lamborghini-service-dubai/engine-diagnostics</x:v>
      </x:c>
      <x:c r="W1058" s="6" t="str">
        <x:v>Indexable directive</x:v>
      </x:c>
      <x:c r="X1058" s="6" t="n">
        <x:v>17</x:v>
      </x:c>
      <x:c r="Y1058" s="6" t="str">
        <x:v>Lamborghini Engine Diagnostics Dubai | DIGI-TEC</x:v>
      </x:c>
      <x:c r="Z1058" s="6" t="str"/>
      <x:c r="AA1058" s="6" t="str">
        <x:v>No / not compared</x:v>
      </x:c>
    </x:row>
    <x:row r="1059" ht="42" customHeight="1">
      <x:c r="A1059" s="6" t="str">
        <x:v>https://digitecme.com/brands/lamborghini-service-dubai/exhaust-repair</x:v>
      </x:c>
      <x:c r="B1059" s="6" t="str"/>
      <x:c r="C1059" s="6" t="str"/>
      <x:c r="D1059" s="6" t="str">
        <x:v>brand-service</x:v>
      </x:c>
      <x:c r="E1059" s="6" t="str">
        <x:v>Retain differentiated role</x:v>
      </x:c>
      <x:c r="F1059" s="6" t="str">
        <x:v>Local source render; live version unverified</x:v>
      </x:c>
      <x:c r="G1059" s="6" t="str">
        <x:v>Lamborghini Exhaust Repair Dubai | Digi-Tec</x:v>
      </x:c>
      <x:c r="H1059" s="6" t="str">
        <x:v>Lamborghini Exhaust Repair Dubai | Digi-Tec</x:v>
      </x:c>
      <x:c r="I1059" s="6" t="str">
        <x:v>Lamborghini Exhaust Repair Dubai</x:v>
      </x:c>
      <x:c r="J1059" s="6" t="str">
        <x:v>Lamborghini Exhaust Repair Dubai</x:v>
      </x:c>
      <x:c r="K1059" s="6" t="str">
        <x:v>Lamborghini exhaust repair in Dubai with model-specific inspection, confirmed parts options and a clear quote at Digi-Tec, Al Quoz.</x:v>
      </x:c>
      <x:c r="L1059" s="6" t="str">
        <x:v>Retain pending evidence; no specific content edit justified by this export.</x:v>
      </x:c>
      <x:c r="M1059" s="6" t="str">
        <x:v>Retain; inspect relevant context before adding links</x:v>
      </x:c>
      <x:c r="N1059" s="6" t="str">
        <x:v>Unconfirmed — no query/page pairing</x:v>
      </x:c>
      <x:c r="O1059" s="6" t="str">
        <x:v>Retain established booking / WhatsApp / call path; live behaviour untested</x:v>
      </x:c>
      <x:c r="P1059" s="6" t="str">
        <x:v>Retain canonical and indexation policy pending a live check.</x:v>
      </x:c>
      <x:c r="Q1059" s="6" t="str">
        <x:v>Proposed; no website change made</x:v>
      </x:c>
      <x:c r="R1059" s="14" t="n">
        <x:v>0</x:v>
      </x:c>
      <x:c r="S1059" s="14" t="n">
        <x:v>7</x:v>
      </x:c>
      <x:c r="T1059" s="15" t="n">
        <x:v>0</x:v>
      </x:c>
      <x:c r="U1059" s="16" t="n">
        <x:v>15.57</x:v>
      </x:c>
      <x:c r="V1059" s="6" t="str">
        <x:v>https://digitecme.com/brands/lamborghini-service-dubai/exhaust-repair</x:v>
      </x:c>
      <x:c r="W1059" s="6" t="str">
        <x:v>Indexable directive</x:v>
      </x:c>
      <x:c r="X1059" s="6" t="n">
        <x:v>16</x:v>
      </x:c>
      <x:c r="Y1059" s="6" t="str">
        <x:v>Lamborghini Exhaust Repair Dubai | Digi-Tec</x:v>
      </x:c>
      <x:c r="Z1059" s="6" t="str"/>
      <x:c r="AA1059" s="6" t="str">
        <x:v>No / not compared</x:v>
      </x:c>
    </x:row>
    <x:row r="1060" ht="42" customHeight="1">
      <x:c r="A1060" s="6" t="str">
        <x:v>https://digitecme.com/brands/lamborghini-service-dubai/fuel-system-repair</x:v>
      </x:c>
      <x:c r="B1060" s="6" t="str"/>
      <x:c r="C1060" s="6" t="str"/>
      <x:c r="D1060" s="6" t="str">
        <x:v>brand-service</x:v>
      </x:c>
      <x:c r="E1060" s="6" t="str">
        <x:v>Retain differentiated role</x:v>
      </x:c>
      <x:c r="F1060" s="6" t="str">
        <x:v>Local source render; live version unverified</x:v>
      </x:c>
      <x:c r="G1060" s="6" t="str">
        <x:v>Lamborghini Fuel System Repair Dubai | Digi-Tec</x:v>
      </x:c>
      <x:c r="H1060" s="6" t="str">
        <x:v>Lamborghini Fuel System Repair Dubai | Digi-Tec</x:v>
      </x:c>
      <x:c r="I1060" s="6" t="str">
        <x:v>Lamborghini Fuel System Repair Dubai</x:v>
      </x:c>
      <x:c r="J1060" s="6" t="str">
        <x:v>Lamborghini Fuel System Repair Dubai</x:v>
      </x:c>
      <x:c r="K1060" s="6" t="str">
        <x:v>Lamborghini fuel system repair in Dubai with model-specific inspection, confirmed parts options and a clear quote at Digi-Tec, Al Quoz.</x:v>
      </x:c>
      <x:c r="L1060" s="6" t="str">
        <x:v>Retain pending evidence; no specific content edit justified by this export.</x:v>
      </x:c>
      <x:c r="M1060" s="6" t="str">
        <x:v>Retain; inspect relevant context before adding links</x:v>
      </x:c>
      <x:c r="N1060" s="6" t="str">
        <x:v>Unconfirmed — no query/page pairing</x:v>
      </x:c>
      <x:c r="O1060" s="6" t="str">
        <x:v>Retain established booking / WhatsApp / call path; live behaviour untested</x:v>
      </x:c>
      <x:c r="P1060" s="6" t="str">
        <x:v>Retain canonical and indexation policy pending a live check.</x:v>
      </x:c>
      <x:c r="Q1060" s="6" t="str">
        <x:v>Proposed; no website change made</x:v>
      </x:c>
      <x:c r="R1060" s="14"/>
      <x:c r="S1060" s="14"/>
      <x:c r="T1060" s="15"/>
      <x:c r="U1060" s="16"/>
      <x:c r="V1060" s="6" t="str">
        <x:v>https://digitecme.com/brands/lamborghini-service-dubai/fuel-system-repair</x:v>
      </x:c>
      <x:c r="W1060" s="6" t="str">
        <x:v>Indexable directive</x:v>
      </x:c>
      <x:c r="X1060" s="6" t="n">
        <x:v>16</x:v>
      </x:c>
      <x:c r="Y1060" s="6" t="str">
        <x:v>Lamborghini Fuel System Repair Dubai | Digi-Tec</x:v>
      </x:c>
      <x:c r="Z1060" s="6" t="str"/>
      <x:c r="AA1060" s="6" t="str">
        <x:v>No / not compared</x:v>
      </x:c>
    </x:row>
    <x:row r="1061" ht="57" customHeight="1">
      <x:c r="A1061" s="6" t="str">
        <x:v>https://digitecme.com/brands/lamborghini-service-dubai/mechanical-repair</x:v>
      </x:c>
      <x:c r="B1061" s="6" t="str">
        <x:v>lamborghini engine repair dubai</x:v>
      </x:c>
      <x:c r="C1061" s="6" t="str">
        <x:v>lamborghini: Engine and mechanical repair</x:v>
      </x:c>
      <x:c r="D1061" s="6" t="str">
        <x:v>brand-service</x:v>
      </x:c>
      <x:c r="E1061" s="6" t="str">
        <x:v>Primary owner for assigned intent</x:v>
      </x:c>
      <x:c r="F1061" s="6" t="str">
        <x:v>Local source render; live version unverified</x:v>
      </x:c>
      <x:c r="G1061" s="6" t="str">
        <x:v>Lamborghini Engine Repair Dubai | DIGI-TEC</x:v>
      </x:c>
      <x:c r="H1061" s="6" t="str">
        <x:v>Lamborghini Engine Repair Dubai | DIGI-TEC</x:v>
      </x:c>
      <x:c r="I1061" s="6" t="str">
        <x:v>Lamborghini Engine &amp; Mechanical Repair Dubai</x:v>
      </x:c>
      <x:c r="J1061" s="6" t="str">
        <x:v>Lamborghini Engine &amp; Mechanical Repair Dubai</x:v>
      </x:c>
      <x:c r="K1061" s="6" t="str">
        <x:v>Lamborghini engine, cooling and mechanical assessment in Al Quoz, Dubai. Repair scope follows vehicle identification and diagnostic findings.</x:v>
      </x:c>
      <x:c r="L1061" s="6" t="str">
        <x:v>Retain pending evidence; no specific content edit justified by this export.</x:v>
      </x:c>
      <x:c r="M1061" s="6" t="str">
        <x:v>Retain; inspect relevant context before adding links</x:v>
      </x:c>
      <x:c r="N1061" s="6" t="str">
        <x:v>Unconfirmed — no query/page pairing</x:v>
      </x:c>
      <x:c r="O1061" s="6" t="str">
        <x:v>Retain established booking / WhatsApp / call path; live behaviour untested</x:v>
      </x:c>
      <x:c r="P1061" s="6" t="str">
        <x:v>Retain canonical and indexation policy pending a live check.</x:v>
      </x:c>
      <x:c r="Q1061" s="6" t="str">
        <x:v>Proposed; no website change made</x:v>
      </x:c>
      <x:c r="R1061" s="14"/>
      <x:c r="S1061" s="14"/>
      <x:c r="T1061" s="15"/>
      <x:c r="U1061" s="16"/>
      <x:c r="V1061" s="6" t="str">
        <x:v>https://digitecme.com/brands/lamborghini-service-dubai/mechanical-repair</x:v>
      </x:c>
      <x:c r="W1061" s="6" t="str">
        <x:v>Indexable directive</x:v>
      </x:c>
      <x:c r="X1061" s="6" t="n">
        <x:v>16</x:v>
      </x:c>
      <x:c r="Y1061" s="6" t="str">
        <x:v>Lamborghini Engine Repair Dubai | DIGI-TEC</x:v>
      </x:c>
      <x:c r="Z1061" s="6" t="str"/>
      <x:c r="AA1061" s="6" t="str">
        <x:v>No / not compared</x:v>
      </x:c>
    </x:row>
    <x:row r="1062" ht="42" customHeight="1">
      <x:c r="A1062" s="6" t="str">
        <x:v>https://digitecme.com/brands/lamborghini-service-dubai/oil-change</x:v>
      </x:c>
      <x:c r="B1062" s="6" t="str"/>
      <x:c r="C1062" s="6" t="str"/>
      <x:c r="D1062" s="6" t="str">
        <x:v>brand-service</x:v>
      </x:c>
      <x:c r="E1062" s="6" t="str">
        <x:v>Retain differentiated role</x:v>
      </x:c>
      <x:c r="F1062" s="6" t="str">
        <x:v>Local source render; live version unverified</x:v>
      </x:c>
      <x:c r="G1062" s="6" t="str">
        <x:v>Lamborghini Oil Change &amp; Maintenance Dubai | DIGI-TEC</x:v>
      </x:c>
      <x:c r="H1062" s="6" t="str">
        <x:v>Lamborghini Oil Change &amp; Maintenance Dubai | DIGI-TEC</x:v>
      </x:c>
      <x:c r="I1062" s="6" t="str">
        <x:v>Lamborghini Oil Change &amp; Maintenance Dubai</x:v>
      </x:c>
      <x:c r="J1062" s="6" t="str">
        <x:v>Lamborghini Oil Change &amp; Maintenance Dubai</x:v>
      </x:c>
      <x:c r="K1062" s="6" t="str">
        <x:v>Lamborghini oil service and maintenance assessment in Al Quoz, Dubai. Oil, filters and due items are matched to the exact model and year.</x:v>
      </x:c>
      <x:c r="L1062" s="6" t="str">
        <x:v>Retain pending evidence; no specific content edit justified by this export.</x:v>
      </x:c>
      <x:c r="M1062" s="6" t="str">
        <x:v>Retain; inspect relevant context before adding links</x:v>
      </x:c>
      <x:c r="N1062" s="6" t="str">
        <x:v>Unconfirmed — no query/page pairing</x:v>
      </x:c>
      <x:c r="O1062" s="6" t="str">
        <x:v>Retain established booking / WhatsApp / call path; live behaviour untested</x:v>
      </x:c>
      <x:c r="P1062" s="6" t="str">
        <x:v>Retain canonical and indexation policy pending a live check.</x:v>
      </x:c>
      <x:c r="Q1062" s="6" t="str">
        <x:v>Proposed; no website change made</x:v>
      </x:c>
      <x:c r="R1062" s="14"/>
      <x:c r="S1062" s="14"/>
      <x:c r="T1062" s="15"/>
      <x:c r="U1062" s="16"/>
      <x:c r="V1062" s="6" t="str">
        <x:v>https://digitecme.com/brands/lamborghini-service-dubai/oil-change</x:v>
      </x:c>
      <x:c r="W1062" s="6" t="str">
        <x:v>Indexable directive</x:v>
      </x:c>
      <x:c r="X1062" s="6" t="n">
        <x:v>17</x:v>
      </x:c>
      <x:c r="Y1062" s="6" t="str">
        <x:v>Lamborghini Oil Change &amp; Maintenance Dubai | DIGI-TEC</x:v>
      </x:c>
      <x:c r="Z1062" s="6" t="str"/>
      <x:c r="AA1062" s="6" t="str">
        <x:v>No / not compared</x:v>
      </x:c>
    </x:row>
    <x:row r="1063" ht="42" customHeight="1">
      <x:c r="A1063" s="6" t="str">
        <x:v>https://digitecme.com/brands/lamborghini-service-dubai/steering-repair</x:v>
      </x:c>
      <x:c r="B1063" s="6" t="str"/>
      <x:c r="C1063" s="6" t="str"/>
      <x:c r="D1063" s="6" t="str">
        <x:v>brand-service</x:v>
      </x:c>
      <x:c r="E1063" s="6" t="str">
        <x:v>Retain differentiated role</x:v>
      </x:c>
      <x:c r="F1063" s="6" t="str">
        <x:v>Local source render; live version unverified</x:v>
      </x:c>
      <x:c r="G1063" s="6" t="str">
        <x:v>Lamborghini Steering Repair Dubai | Digi-Tec</x:v>
      </x:c>
      <x:c r="H1063" s="6" t="str">
        <x:v>Lamborghini Steering Repair Dubai | Digi-Tec</x:v>
      </x:c>
      <x:c r="I1063" s="6" t="str">
        <x:v>Lamborghini Steering Repair Dubai</x:v>
      </x:c>
      <x:c r="J1063" s="6" t="str">
        <x:v>Lamborghini Steering Repair Dubai</x:v>
      </x:c>
      <x:c r="K1063" s="6" t="str">
        <x:v>Lamborghini steering repair in Dubai with model-specific inspection, confirmed parts options and a clear quote at Digi-Tec, Al Quoz.</x:v>
      </x:c>
      <x:c r="L1063" s="6" t="str">
        <x:v>Retain pending evidence; no specific content edit justified by this export.</x:v>
      </x:c>
      <x:c r="M1063" s="6" t="str">
        <x:v>Retain; inspect relevant context before adding links</x:v>
      </x:c>
      <x:c r="N1063" s="6" t="str">
        <x:v>Unconfirmed — no query/page pairing</x:v>
      </x:c>
      <x:c r="O1063" s="6" t="str">
        <x:v>Retain established booking / WhatsApp / call path; live behaviour untested</x:v>
      </x:c>
      <x:c r="P1063" s="6" t="str">
        <x:v>Retain canonical and indexation policy pending a live check.</x:v>
      </x:c>
      <x:c r="Q1063" s="6" t="str">
        <x:v>Proposed; no website change made</x:v>
      </x:c>
      <x:c r="R1063" s="14"/>
      <x:c r="S1063" s="14"/>
      <x:c r="T1063" s="15"/>
      <x:c r="U1063" s="16"/>
      <x:c r="V1063" s="6" t="str">
        <x:v>https://digitecme.com/brands/lamborghini-service-dubai/steering-repair</x:v>
      </x:c>
      <x:c r="W1063" s="6" t="str">
        <x:v>Indexable directive</x:v>
      </x:c>
      <x:c r="X1063" s="6" t="n">
        <x:v>16</x:v>
      </x:c>
      <x:c r="Y1063" s="6" t="str">
        <x:v>Lamborghini Steering Repair Dubai | Digi-Tec</x:v>
      </x:c>
      <x:c r="Z1063" s="6" t="str"/>
      <x:c r="AA1063" s="6" t="str">
        <x:v>No / not compared</x:v>
      </x:c>
    </x:row>
    <x:row r="1064" ht="57" customHeight="1">
      <x:c r="A1064" s="6" t="str">
        <x:v>https://digitecme.com/brands/lamborghini-service-dubai/suspension-repair</x:v>
      </x:c>
      <x:c r="B1064" s="6" t="str">
        <x:v>lamborghini suspension repair</x:v>
      </x:c>
      <x:c r="C1064" s="6" t="str">
        <x:v>lamborghini: Suspension repair</x:v>
      </x:c>
      <x:c r="D1064" s="6" t="str">
        <x:v>brand-service</x:v>
      </x:c>
      <x:c r="E1064" s="6" t="str">
        <x:v>Primary owner for assigned intent</x:v>
      </x:c>
      <x:c r="F1064" s="6" t="str">
        <x:v>Local source render; live version unverified</x:v>
      </x:c>
      <x:c r="G1064" s="6" t="str">
        <x:v>Lamborghini Suspension Repair Dubai | DIGI-TEC</x:v>
      </x:c>
      <x:c r="H1064" s="6" t="str">
        <x:v>Lamborghini Suspension Repair Dubai | DIGI-TEC</x:v>
      </x:c>
      <x:c r="I1064" s="6" t="str">
        <x:v>Lamborghini Suspension Assessment Dubai</x:v>
      </x:c>
      <x:c r="J1064" s="6" t="str">
        <x:v>Lamborghini Suspension Assessment Dubai</x:v>
      </x:c>
      <x:c r="K1064" s="6" t="str">
        <x:v>Lamborghini suspension, ride-height and front-lift assessment in Al Quoz. Urus air suspension and supercar lift systems are identified separately.</x:v>
      </x:c>
      <x:c r="L1064" s="6" t="str">
        <x:v>Retain pending evidence; no specific content edit justified by this export.</x:v>
      </x:c>
      <x:c r="M1064" s="6" t="str">
        <x:v>Retain; inspect relevant context before adding links</x:v>
      </x:c>
      <x:c r="N1064" s="6" t="str">
        <x:v>Unconfirmed — no query/page pairing</x:v>
      </x:c>
      <x:c r="O1064" s="6" t="str">
        <x:v>Retain established booking / WhatsApp / call path; live behaviour untested</x:v>
      </x:c>
      <x:c r="P1064" s="6" t="str">
        <x:v>Retain canonical and indexation policy pending a live check.</x:v>
      </x:c>
      <x:c r="Q1064" s="6" t="str">
        <x:v>Proposed; no website change made</x:v>
      </x:c>
      <x:c r="R1064" s="14" t="n">
        <x:v>1</x:v>
      </x:c>
      <x:c r="S1064" s="14" t="n">
        <x:v>24</x:v>
      </x:c>
      <x:c r="T1064" s="15" t="n">
        <x:v>0.0417</x:v>
      </x:c>
      <x:c r="U1064" s="16" t="n">
        <x:v>30.58</x:v>
      </x:c>
      <x:c r="V1064" s="6" t="str">
        <x:v>https://digitecme.com/brands/lamborghini-service-dubai/suspension-repair</x:v>
      </x:c>
      <x:c r="W1064" s="6" t="str">
        <x:v>Indexable directive</x:v>
      </x:c>
      <x:c r="X1064" s="6" t="n">
        <x:v>17</x:v>
      </x:c>
      <x:c r="Y1064" s="6" t="str">
        <x:v>Lamborghini Suspension Repair Dubai | DIGI-TEC</x:v>
      </x:c>
      <x:c r="Z1064" s="6" t="str"/>
      <x:c r="AA1064" s="6" t="str">
        <x:v>No / not compared</x:v>
      </x:c>
    </x:row>
    <x:row r="1065" ht="42" customHeight="1">
      <x:c r="A1065" s="6" t="str">
        <x:v>https://digitecme.com/brands/lamborghini-service-dubai/tire-repair</x:v>
      </x:c>
      <x:c r="B1065" s="6" t="str"/>
      <x:c r="C1065" s="6" t="str"/>
      <x:c r="D1065" s="6" t="str">
        <x:v>brand-service</x:v>
      </x:c>
      <x:c r="E1065" s="6" t="str">
        <x:v>Retain differentiated role</x:v>
      </x:c>
      <x:c r="F1065" s="6" t="str">
        <x:v>Local source render; live version unverified</x:v>
      </x:c>
      <x:c r="G1065" s="6" t="str">
        <x:v>Lamborghini Tyre Repair Dubai | Digi-Tec</x:v>
      </x:c>
      <x:c r="H1065" s="6" t="str">
        <x:v>Lamborghini Tyre Repair Dubai | Digi-Tec</x:v>
      </x:c>
      <x:c r="I1065" s="6" t="str">
        <x:v>Lamborghini Tyre Repair Dubai</x:v>
      </x:c>
      <x:c r="J1065" s="6" t="str">
        <x:v>Lamborghini Tyre Repair Dubai</x:v>
      </x:c>
      <x:c r="K1065" s="6" t="str">
        <x:v>Lamborghini tyre repair in Dubai with model-specific inspection, confirmed parts options and a clear quote at Digi-Tec, Al Quoz.</x:v>
      </x:c>
      <x:c r="L1065" s="6" t="str">
        <x:v>Retain pending evidence; no specific content edit justified by this export.</x:v>
      </x:c>
      <x:c r="M1065" s="6" t="str">
        <x:v>Retain; inspect relevant context before adding links</x:v>
      </x:c>
      <x:c r="N1065" s="6" t="str">
        <x:v>Unconfirmed — no query/page pairing</x:v>
      </x:c>
      <x:c r="O1065" s="6" t="str">
        <x:v>Retain established booking / WhatsApp / call path; live behaviour untested</x:v>
      </x:c>
      <x:c r="P1065" s="6" t="str">
        <x:v>Retain canonical and indexation policy pending a live check.</x:v>
      </x:c>
      <x:c r="Q1065" s="6" t="str">
        <x:v>Proposed; no website change made</x:v>
      </x:c>
      <x:c r="R1065" s="14"/>
      <x:c r="S1065" s="14"/>
      <x:c r="T1065" s="15"/>
      <x:c r="U1065" s="16"/>
      <x:c r="V1065" s="6" t="str">
        <x:v>https://digitecme.com/brands/lamborghini-service-dubai/tire-repair</x:v>
      </x:c>
      <x:c r="W1065" s="6" t="str">
        <x:v>Indexable directive</x:v>
      </x:c>
      <x:c r="X1065" s="6" t="n">
        <x:v>16</x:v>
      </x:c>
      <x:c r="Y1065" s="6" t="str">
        <x:v>Lamborghini Tyre Repair Dubai | Digi-Tec</x:v>
      </x:c>
      <x:c r="Z1065" s="6" t="str"/>
      <x:c r="AA1065" s="6" t="str">
        <x:v>No / not compared</x:v>
      </x:c>
    </x:row>
    <x:row r="1066" ht="57" customHeight="1">
      <x:c r="A1066" s="6" t="str">
        <x:v>https://digitecme.com/brands/lamborghini-service-dubai/transmission-repair</x:v>
      </x:c>
      <x:c r="B1066" s="6" t="str">
        <x:v>lamborghini transmission repair dubai</x:v>
      </x:c>
      <x:c r="C1066" s="6" t="str">
        <x:v>lamborghini: Transmission and gearbox repair</x:v>
      </x:c>
      <x:c r="D1066" s="6" t="str">
        <x:v>brand-service</x:v>
      </x:c>
      <x:c r="E1066" s="6" t="str">
        <x:v>Primary owner for assigned intent</x:v>
      </x:c>
      <x:c r="F1066" s="6" t="str">
        <x:v>Local source render; live version unverified</x:v>
      </x:c>
      <x:c r="G1066" s="6" t="str">
        <x:v>Lamborghini Transmission Repair Dubai | DIGI-TEC</x:v>
      </x:c>
      <x:c r="H1066" s="6" t="str">
        <x:v>Lamborghini Transmission Repair Dubai | DIGI-TEC</x:v>
      </x:c>
      <x:c r="I1066" s="6" t="str">
        <x:v>Lamborghini Transmission &amp; Gearbox Assessment Dubai</x:v>
      </x:c>
      <x:c r="J1066" s="6" t="str">
        <x:v>Lamborghini Transmission &amp; Gearbox Assessment Dubai</x:v>
      </x:c>
      <x:c r="K1066" s="6" t="str">
        <x:v>Lamborghini gearbox and transmission assessment in Al Quoz, Dubai. LDF, ISR and automatic systems are identified before service or repair is proposed.</x:v>
      </x:c>
      <x:c r="L1066" s="6" t="str">
        <x:v>Retain pending evidence; no specific content edit justified by this export.</x:v>
      </x:c>
      <x:c r="M1066" s="6" t="str">
        <x:v>Retain; inspect relevant context before adding links</x:v>
      </x:c>
      <x:c r="N1066" s="6" t="str">
        <x:v>Unconfirmed — no query/page pairing</x:v>
      </x:c>
      <x:c r="O1066" s="6" t="str">
        <x:v>Retain established booking / WhatsApp / call path; live behaviour untested</x:v>
      </x:c>
      <x:c r="P1066" s="6" t="str">
        <x:v>Retain canonical and indexation policy pending a live check.</x:v>
      </x:c>
      <x:c r="Q1066" s="6" t="str">
        <x:v>Proposed; no website change made</x:v>
      </x:c>
      <x:c r="R1066" s="14"/>
      <x:c r="S1066" s="14"/>
      <x:c r="T1066" s="15"/>
      <x:c r="U1066" s="16"/>
      <x:c r="V1066" s="6" t="str">
        <x:v>https://digitecme.com/brands/lamborghini-service-dubai/transmission-repair</x:v>
      </x:c>
      <x:c r="W1066" s="6" t="str">
        <x:v>Indexable directive</x:v>
      </x:c>
      <x:c r="X1066" s="6" t="n">
        <x:v>17</x:v>
      </x:c>
      <x:c r="Y1066" s="6" t="str">
        <x:v>Lamborghini Transmission Repair Dubai | DIGI-TEC</x:v>
      </x:c>
      <x:c r="Z1066" s="6" t="str"/>
      <x:c r="AA1066" s="6" t="str">
        <x:v>No / not compared</x:v>
      </x:c>
    </x:row>
    <x:row r="1067" ht="42" customHeight="1">
      <x:c r="A1067" s="6" t="str">
        <x:v>https://digitecme.com/brands/land-rover-service-dubai</x:v>
      </x:c>
      <x:c r="B1067" s="6" t="str">
        <x:v>land rover repair dubai</x:v>
      </x:c>
      <x:c r="C1067" s="6" t="str">
        <x:v>land-rover: Service and repair</x:v>
      </x:c>
      <x:c r="D1067" s="6" t="str">
        <x:v>brand</x:v>
      </x:c>
      <x:c r="E1067" s="6" t="str">
        <x:v>Primary owner for assigned intent</x:v>
      </x:c>
      <x:c r="F1067" s="6" t="str">
        <x:v>Local source render; live version unverified</x:v>
      </x:c>
      <x:c r="G1067" s="6" t="str">
        <x:v>Land Rover Repair Dubai | Digi-Tec</x:v>
      </x:c>
      <x:c r="H1067" s="6" t="str">
        <x:v>Land Rover Repair Dubai | Digi-Tec</x:v>
      </x:c>
      <x:c r="I1067" s="6" t="str">
        <x:v>Land Rover Repair &amp; Service Dubai</x:v>
      </x:c>
      <x:c r="J1067" s="6" t="str">
        <x:v>Land Rover Repair &amp; Service Dubai</x:v>
      </x:c>
      <x:c r="K1067" s="6" t="str">
        <x:v>Specialist Land Rover repair and service in Dubai: diagnostics, maintenance, brakes, transmission, suspension and AC at Digi-Tec, Al Quoz.</x:v>
      </x:c>
      <x:c r="L1067" s="6" t="str">
        <x:v>Retain pending evidence; no specific content edit justified by this export.</x:v>
      </x:c>
      <x:c r="M1067" s="6" t="str">
        <x:v>Retain; inspect relevant context before adding links</x:v>
      </x:c>
      <x:c r="N1067" s="6" t="str">
        <x:v>Unconfirmed — no query/page pairing</x:v>
      </x:c>
      <x:c r="O1067" s="6" t="str">
        <x:v>Retain established booking / WhatsApp / call path; live behaviour untested</x:v>
      </x:c>
      <x:c r="P1067" s="6" t="str">
        <x:v>Retain canonical and indexation policy pending a live check.</x:v>
      </x:c>
      <x:c r="Q1067" s="6" t="str">
        <x:v>Proposed; no website change made</x:v>
      </x:c>
      <x:c r="R1067" s="14" t="n">
        <x:v>3</x:v>
      </x:c>
      <x:c r="S1067" s="14" t="n">
        <x:v>717</x:v>
      </x:c>
      <x:c r="T1067" s="15" t="n">
        <x:v>0.0042</x:v>
      </x:c>
      <x:c r="U1067" s="16" t="n">
        <x:v>22.91</x:v>
      </x:c>
      <x:c r="V1067" s="6" t="str">
        <x:v>https://digitecme.com/brands/land-rover-service-dubai</x:v>
      </x:c>
      <x:c r="W1067" s="6" t="str">
        <x:v>Indexable directive</x:v>
      </x:c>
      <x:c r="X1067" s="6" t="n">
        <x:v>69</x:v>
      </x:c>
      <x:c r="Y1067" s="6" t="str">
        <x:v>Land Rover Repair Dubai | Digi-Tec</x:v>
      </x:c>
      <x:c r="Z1067" s="6" t="str"/>
      <x:c r="AA1067" s="6" t="str">
        <x:v>No / not compared</x:v>
      </x:c>
    </x:row>
    <x:row r="1068" ht="42" customHeight="1">
      <x:c r="A1068" s="6" t="str">
        <x:v>https://digitecme.com/brands/land-rover-service-dubai/ac-repair</x:v>
      </x:c>
      <x:c r="B1068" s="6" t="str"/>
      <x:c r="C1068" s="6" t="str"/>
      <x:c r="D1068" s="6" t="str">
        <x:v>brand-service</x:v>
      </x:c>
      <x:c r="E1068" s="6" t="str">
        <x:v>Retain differentiated role</x:v>
      </x:c>
      <x:c r="F1068" s="6" t="str">
        <x:v>Local source render; live version unverified</x:v>
      </x:c>
      <x:c r="G1068" s="6" t="str">
        <x:v>Land Rover AC Repair Dubai | Digi-Tec</x:v>
      </x:c>
      <x:c r="H1068" s="6" t="str">
        <x:v>Land Rover AC Repair Dubai | Digi-Tec</x:v>
      </x:c>
      <x:c r="I1068" s="6" t="str">
        <x:v>Land Rover AC Repair Dubai</x:v>
      </x:c>
      <x:c r="J1068" s="6" t="str">
        <x:v>Land Rover AC Repair Dubai</x:v>
      </x:c>
      <x:c r="K1068" s="6" t="str">
        <x:v>Land Rover ac repair in Dubai with model-specific inspection, confirmed parts options and a clear quote at Digi-Tec, Al Quoz.</x:v>
      </x:c>
      <x:c r="L1068" s="6" t="str">
        <x:v>Retain pending evidence; no specific content edit justified by this export.</x:v>
      </x:c>
      <x:c r="M1068" s="6" t="str">
        <x:v>Retain; inspect relevant context before adding links</x:v>
      </x:c>
      <x:c r="N1068" s="6" t="str">
        <x:v>Unconfirmed — no query/page pairing</x:v>
      </x:c>
      <x:c r="O1068" s="6" t="str">
        <x:v>Retain established booking / WhatsApp / call path; live behaviour untested</x:v>
      </x:c>
      <x:c r="P1068" s="6" t="str">
        <x:v>Retain canonical and indexation policy pending a live check.</x:v>
      </x:c>
      <x:c r="Q1068" s="6" t="str">
        <x:v>Proposed; no website change made</x:v>
      </x:c>
      <x:c r="R1068" s="14"/>
      <x:c r="S1068" s="14"/>
      <x:c r="T1068" s="15"/>
      <x:c r="U1068" s="16"/>
      <x:c r="V1068" s="6" t="str">
        <x:v>https://digitecme.com/brands/land-rover-service-dubai/ac-repair</x:v>
      </x:c>
      <x:c r="W1068" s="6" t="str">
        <x:v>Indexable directive</x:v>
      </x:c>
      <x:c r="X1068" s="6" t="n">
        <x:v>16</x:v>
      </x:c>
      <x:c r="Y1068" s="6" t="str">
        <x:v>Land Rover AC Repair Dubai | Digi-Tec</x:v>
      </x:c>
      <x:c r="Z1068" s="6" t="str"/>
      <x:c r="AA1068" s="6" t="str">
        <x:v>No / not compared</x:v>
      </x:c>
    </x:row>
    <x:row r="1069" ht="42" customHeight="1">
      <x:c r="A1069" s="6" t="str">
        <x:v>https://digitecme.com/brands/land-rover-service-dubai/battery-replacement</x:v>
      </x:c>
      <x:c r="B1069" s="6" t="str"/>
      <x:c r="C1069" s="6" t="str"/>
      <x:c r="D1069" s="6" t="str">
        <x:v>brand-service</x:v>
      </x:c>
      <x:c r="E1069" s="6" t="str">
        <x:v>Retain differentiated role</x:v>
      </x:c>
      <x:c r="F1069" s="6" t="str">
        <x:v>Local source render; live version unverified</x:v>
      </x:c>
      <x:c r="G1069" s="6" t="str">
        <x:v>Land Rover Battery Replacement Dubai | Digi-Tec</x:v>
      </x:c>
      <x:c r="H1069" s="6" t="str">
        <x:v>Land Rover Battery Replacement Dubai | Digi-Tec</x:v>
      </x:c>
      <x:c r="I1069" s="6" t="str">
        <x:v>Land Rover Battery Replacement Dubai</x:v>
      </x:c>
      <x:c r="J1069" s="6" t="str">
        <x:v>Land Rover Battery Replacement Dubai</x:v>
      </x:c>
      <x:c r="K1069" s="6" t="str">
        <x:v>Land Rover battery replacement in Dubai with model-specific inspection, confirmed parts options and a clear quote at Digi-Tec, Al Quoz.</x:v>
      </x:c>
      <x:c r="L1069" s="6" t="str">
        <x:v>Retain pending evidence; no specific content edit justified by this export.</x:v>
      </x:c>
      <x:c r="M1069" s="6" t="str">
        <x:v>Retain; inspect relevant context before adding links</x:v>
      </x:c>
      <x:c r="N1069" s="6" t="str">
        <x:v>Unconfirmed — no query/page pairing</x:v>
      </x:c>
      <x:c r="O1069" s="6" t="str">
        <x:v>Retain established booking / WhatsApp / call path; live behaviour untested</x:v>
      </x:c>
      <x:c r="P1069" s="6" t="str">
        <x:v>Retain canonical and indexation policy pending a live check.</x:v>
      </x:c>
      <x:c r="Q1069" s="6" t="str">
        <x:v>Proposed; no website change made</x:v>
      </x:c>
      <x:c r="R1069" s="14" t="n">
        <x:v>0</x:v>
      </x:c>
      <x:c r="S1069" s="14" t="n">
        <x:v>35</x:v>
      </x:c>
      <x:c r="T1069" s="15" t="n">
        <x:v>0</x:v>
      </x:c>
      <x:c r="U1069" s="16" t="n">
        <x:v>30.66</x:v>
      </x:c>
      <x:c r="V1069" s="6" t="str">
        <x:v>https://digitecme.com/brands/land-rover-service-dubai/battery-replacement</x:v>
      </x:c>
      <x:c r="W1069" s="6" t="str">
        <x:v>Indexable directive</x:v>
      </x:c>
      <x:c r="X1069" s="6" t="n">
        <x:v>16</x:v>
      </x:c>
      <x:c r="Y1069" s="6" t="str">
        <x:v>Land Rover Battery Replacement Dubai | Digi-Tec</x:v>
      </x:c>
      <x:c r="Z1069" s="6" t="str"/>
      <x:c r="AA1069" s="6" t="str">
        <x:v>No / not compared</x:v>
      </x:c>
    </x:row>
    <x:row r="1070" ht="42" customHeight="1">
      <x:c r="A1070" s="6" t="str">
        <x:v>https://digitecme.com/brands/land-rover-service-dubai/body-repair</x:v>
      </x:c>
      <x:c r="B1070" s="6" t="str"/>
      <x:c r="C1070" s="6" t="str"/>
      <x:c r="D1070" s="6" t="str">
        <x:v>brand-service</x:v>
      </x:c>
      <x:c r="E1070" s="6" t="str">
        <x:v>Retain differentiated role</x:v>
      </x:c>
      <x:c r="F1070" s="6" t="str">
        <x:v>Local source render; live version unverified</x:v>
      </x:c>
      <x:c r="G1070" s="6" t="str">
        <x:v>Land Rover Body Repair Dubai | Digi-Tec</x:v>
      </x:c>
      <x:c r="H1070" s="6" t="str">
        <x:v>Land Rover Body Repair Dubai | Digi-Tec</x:v>
      </x:c>
      <x:c r="I1070" s="6" t="str">
        <x:v>Land Rover Body Repair Dubai</x:v>
      </x:c>
      <x:c r="J1070" s="6" t="str">
        <x:v>Land Rover Body Repair Dubai</x:v>
      </x:c>
      <x:c r="K1070" s="6" t="str">
        <x:v>Land Rover body repair in Dubai with model-specific inspection, confirmed parts options and a clear quote at Digi-Tec, Al Quoz.</x:v>
      </x:c>
      <x:c r="L1070" s="6" t="str">
        <x:v>Retain pending evidence; no specific content edit justified by this export.</x:v>
      </x:c>
      <x:c r="M1070" s="6" t="str">
        <x:v>Retain; inspect relevant context before adding links</x:v>
      </x:c>
      <x:c r="N1070" s="6" t="str">
        <x:v>Unconfirmed — no query/page pairing</x:v>
      </x:c>
      <x:c r="O1070" s="6" t="str">
        <x:v>Retain established booking / WhatsApp / call path; live behaviour untested</x:v>
      </x:c>
      <x:c r="P1070" s="6" t="str">
        <x:v>Retain canonical and indexation policy pending a live check.</x:v>
      </x:c>
      <x:c r="Q1070" s="6" t="str">
        <x:v>Proposed; no website change made</x:v>
      </x:c>
      <x:c r="R1070" s="14" t="n">
        <x:v>0</x:v>
      </x:c>
      <x:c r="S1070" s="14" t="n">
        <x:v>63</x:v>
      </x:c>
      <x:c r="T1070" s="15" t="n">
        <x:v>0</x:v>
      </x:c>
      <x:c r="U1070" s="16" t="n">
        <x:v>23.76</x:v>
      </x:c>
      <x:c r="V1070" s="6" t="str">
        <x:v>https://digitecme.com/brands/land-rover-service-dubai/body-repair</x:v>
      </x:c>
      <x:c r="W1070" s="6" t="str">
        <x:v>Indexable directive</x:v>
      </x:c>
      <x:c r="X1070" s="6" t="n">
        <x:v>16</x:v>
      </x:c>
      <x:c r="Y1070" s="6" t="str">
        <x:v>Land Rover Body Repair Dubai | Digi-Tec</x:v>
      </x:c>
      <x:c r="Z1070" s="6" t="str"/>
      <x:c r="AA1070" s="6" t="str">
        <x:v>No / not compared</x:v>
      </x:c>
    </x:row>
    <x:row r="1071" ht="42" customHeight="1">
      <x:c r="A1071" s="6" t="str">
        <x:v>https://digitecme.com/brands/land-rover-service-dubai/brake-repair</x:v>
      </x:c>
      <x:c r="B1071" s="6" t="str">
        <x:v>land rover brake repair</x:v>
      </x:c>
      <x:c r="C1071" s="6" t="str">
        <x:v>land-rover: Brake repair</x:v>
      </x:c>
      <x:c r="D1071" s="6" t="str">
        <x:v>brand-service</x:v>
      </x:c>
      <x:c r="E1071" s="6" t="str">
        <x:v>Primary owner for assigned intent</x:v>
      </x:c>
      <x:c r="F1071" s="6" t="str">
        <x:v>Local source render; live version unverified</x:v>
      </x:c>
      <x:c r="G1071" s="6" t="str">
        <x:v>Land Rover Brake Repair Dubai | Digi-Tec</x:v>
      </x:c>
      <x:c r="H1071" s="6" t="str">
        <x:v>Land Rover Brake Repair Dubai | Digi-Tec</x:v>
      </x:c>
      <x:c r="I1071" s="6" t="str">
        <x:v>Land Rover Brake Repair Dubai</x:v>
      </x:c>
      <x:c r="J1071" s="6" t="str">
        <x:v>Land Rover Brake Repair Dubai</x:v>
      </x:c>
      <x:c r="K1071" s="6" t="str">
        <x:v>Land Rover brake repair in Dubai with model-specific inspection, confirmed parts options and a clear quote at Digi-Tec, Al Quoz.</x:v>
      </x:c>
      <x:c r="L1071" s="6" t="str">
        <x:v>Retain pending evidence; no specific content edit justified by this export.</x:v>
      </x:c>
      <x:c r="M1071" s="6" t="str">
        <x:v>Retain; inspect relevant context before adding links</x:v>
      </x:c>
      <x:c r="N1071" s="6" t="str">
        <x:v>Unconfirmed — no query/page pairing</x:v>
      </x:c>
      <x:c r="O1071" s="6" t="str">
        <x:v>Retain established booking / WhatsApp / call path; live behaviour untested</x:v>
      </x:c>
      <x:c r="P1071" s="6" t="str">
        <x:v>Retain canonical and indexation policy pending a live check.</x:v>
      </x:c>
      <x:c r="Q1071" s="6" t="str">
        <x:v>Proposed; no website change made</x:v>
      </x:c>
      <x:c r="R1071" s="14" t="n">
        <x:v>0</x:v>
      </x:c>
      <x:c r="S1071" s="14" t="n">
        <x:v>39</x:v>
      </x:c>
      <x:c r="T1071" s="15" t="n">
        <x:v>0</x:v>
      </x:c>
      <x:c r="U1071" s="16" t="n">
        <x:v>8.26</x:v>
      </x:c>
      <x:c r="V1071" s="6" t="str">
        <x:v>https://digitecme.com/brands/land-rover-service-dubai/brake-repair</x:v>
      </x:c>
      <x:c r="W1071" s="6" t="str">
        <x:v>Indexable directive</x:v>
      </x:c>
      <x:c r="X1071" s="6" t="n">
        <x:v>16</x:v>
      </x:c>
      <x:c r="Y1071" s="6" t="str">
        <x:v>Land Rover Brake Repair Dubai | Digi-Tec</x:v>
      </x:c>
      <x:c r="Z1071" s="6" t="str"/>
      <x:c r="AA1071" s="6" t="str">
        <x:v>No / not compared</x:v>
      </x:c>
    </x:row>
    <x:row r="1072" ht="42" customHeight="1">
      <x:c r="A1072" s="6" t="str">
        <x:v>https://digitecme.com/brands/land-rover-service-dubai/electrical-repair</x:v>
      </x:c>
      <x:c r="B1072" s="6" t="str"/>
      <x:c r="C1072" s="6" t="str"/>
      <x:c r="D1072" s="6" t="str">
        <x:v>brand-service</x:v>
      </x:c>
      <x:c r="E1072" s="6" t="str">
        <x:v>Retain differentiated role</x:v>
      </x:c>
      <x:c r="F1072" s="6" t="str">
        <x:v>Local source render; live version unverified</x:v>
      </x:c>
      <x:c r="G1072" s="6" t="str">
        <x:v>Land Rover Electrical Repair Dubai | Digi-Tec</x:v>
      </x:c>
      <x:c r="H1072" s="6" t="str">
        <x:v>Land Rover Electrical Repair Dubai | Digi-Tec</x:v>
      </x:c>
      <x:c r="I1072" s="6" t="str">
        <x:v>Land Rover Electrical Repair Dubai</x:v>
      </x:c>
      <x:c r="J1072" s="6" t="str">
        <x:v>Land Rover Electrical Repair Dubai</x:v>
      </x:c>
      <x:c r="K1072" s="6" t="str">
        <x:v>Land Rover electrical repair in Dubai with model-specific inspection, confirmed parts options and a clear quote at Digi-Tec, Al Quoz.</x:v>
      </x:c>
      <x:c r="L1072" s="6" t="str">
        <x:v>Retain pending evidence; no specific content edit justified by this export.</x:v>
      </x:c>
      <x:c r="M1072" s="6" t="str">
        <x:v>Retain; inspect relevant context before adding links</x:v>
      </x:c>
      <x:c r="N1072" s="6" t="str">
        <x:v>Unconfirmed — no query/page pairing</x:v>
      </x:c>
      <x:c r="O1072" s="6" t="str">
        <x:v>Retain established booking / WhatsApp / call path; live behaviour untested</x:v>
      </x:c>
      <x:c r="P1072" s="6" t="str">
        <x:v>Retain canonical and indexation policy pending a live check.</x:v>
      </x:c>
      <x:c r="Q1072" s="6" t="str">
        <x:v>Proposed; no website change made</x:v>
      </x:c>
      <x:c r="R1072" s="14" t="n">
        <x:v>0</x:v>
      </x:c>
      <x:c r="S1072" s="14" t="n">
        <x:v>4</x:v>
      </x:c>
      <x:c r="T1072" s="15" t="n">
        <x:v>0</x:v>
      </x:c>
      <x:c r="U1072" s="16" t="n">
        <x:v>8.25</x:v>
      </x:c>
      <x:c r="V1072" s="6" t="str">
        <x:v>https://digitecme.com/brands/land-rover-service-dubai/electrical-repair</x:v>
      </x:c>
      <x:c r="W1072" s="6" t="str">
        <x:v>Indexable directive</x:v>
      </x:c>
      <x:c r="X1072" s="6" t="n">
        <x:v>16</x:v>
      </x:c>
      <x:c r="Y1072" s="6" t="str">
        <x:v>Land Rover Electrical Repair Dubai | Digi-Tec</x:v>
      </x:c>
      <x:c r="Z1072" s="6" t="str"/>
      <x:c r="AA1072" s="6" t="str">
        <x:v>No / not compared</x:v>
      </x:c>
    </x:row>
    <x:row r="1073" ht="42" customHeight="1">
      <x:c r="A1073" s="6" t="str">
        <x:v>https://digitecme.com/brands/land-rover-service-dubai/engine-diagnostics</x:v>
      </x:c>
      <x:c r="B1073" s="6" t="str"/>
      <x:c r="C1073" s="6" t="str"/>
      <x:c r="D1073" s="6" t="str">
        <x:v>brand-service</x:v>
      </x:c>
      <x:c r="E1073" s="6" t="str">
        <x:v>Retain differentiated role</x:v>
      </x:c>
      <x:c r="F1073" s="6" t="str">
        <x:v>Local source render; live version unverified</x:v>
      </x:c>
      <x:c r="G1073" s="6" t="str">
        <x:v>Land Rover Engine Diagnostics Dubai | Digi-Tec</x:v>
      </x:c>
      <x:c r="H1073" s="6" t="str">
        <x:v>Land Rover Engine Diagnostics Dubai | Digi-Tec</x:v>
      </x:c>
      <x:c r="I1073" s="6" t="str">
        <x:v>Land Rover Engine Diagnostics Dubai</x:v>
      </x:c>
      <x:c r="J1073" s="6" t="str">
        <x:v>Land Rover Engine Diagnostics Dubai</x:v>
      </x:c>
      <x:c r="K1073" s="6" t="str">
        <x:v>Land Rover engine diagnostics in Dubai with model-specific inspection, confirmed parts options and a clear quote at Digi-Tec, Al Quoz.</x:v>
      </x:c>
      <x:c r="L1073" s="6" t="str">
        <x:v>Retain pending evidence; no specific content edit justified by this export.</x:v>
      </x:c>
      <x:c r="M1073" s="6" t="str">
        <x:v>Retain; inspect relevant context before adding links</x:v>
      </x:c>
      <x:c r="N1073" s="6" t="str">
        <x:v>Unconfirmed — no query/page pairing</x:v>
      </x:c>
      <x:c r="O1073" s="6" t="str">
        <x:v>Retain established booking / WhatsApp / call path; live behaviour untested</x:v>
      </x:c>
      <x:c r="P1073" s="6" t="str">
        <x:v>Retain canonical and indexation policy pending a live check.</x:v>
      </x:c>
      <x:c r="Q1073" s="6" t="str">
        <x:v>Proposed; no website change made</x:v>
      </x:c>
      <x:c r="R1073" s="14" t="n">
        <x:v>0</x:v>
      </x:c>
      <x:c r="S1073" s="14" t="n">
        <x:v>6</x:v>
      </x:c>
      <x:c r="T1073" s="15" t="n">
        <x:v>0</x:v>
      </x:c>
      <x:c r="U1073" s="16" t="n">
        <x:v>16.17</x:v>
      </x:c>
      <x:c r="V1073" s="6" t="str">
        <x:v>https://digitecme.com/brands/land-rover-service-dubai/engine-diagnostics</x:v>
      </x:c>
      <x:c r="W1073" s="6" t="str">
        <x:v>Indexable directive</x:v>
      </x:c>
      <x:c r="X1073" s="6" t="n">
        <x:v>16</x:v>
      </x:c>
      <x:c r="Y1073" s="6" t="str">
        <x:v>Land Rover Engine Diagnostics Dubai | Digi-Tec</x:v>
      </x:c>
      <x:c r="Z1073" s="6" t="str"/>
      <x:c r="AA1073" s="6" t="str">
        <x:v>No / not compared</x:v>
      </x:c>
    </x:row>
    <x:row r="1074" ht="42" customHeight="1">
      <x:c r="A1074" s="6" t="str">
        <x:v>https://digitecme.com/brands/land-rover-service-dubai/exhaust-repair</x:v>
      </x:c>
      <x:c r="B1074" s="6" t="str"/>
      <x:c r="C1074" s="6" t="str"/>
      <x:c r="D1074" s="6" t="str">
        <x:v>brand-service</x:v>
      </x:c>
      <x:c r="E1074" s="6" t="str">
        <x:v>Retain differentiated role</x:v>
      </x:c>
      <x:c r="F1074" s="6" t="str">
        <x:v>Local source render; live version unverified</x:v>
      </x:c>
      <x:c r="G1074" s="6" t="str">
        <x:v>Land Rover Exhaust Repair Dubai | Digi-Tec</x:v>
      </x:c>
      <x:c r="H1074" s="6" t="str">
        <x:v>Land Rover Exhaust Repair Dubai | Digi-Tec</x:v>
      </x:c>
      <x:c r="I1074" s="6" t="str">
        <x:v>Land Rover Exhaust Repair Dubai</x:v>
      </x:c>
      <x:c r="J1074" s="6" t="str">
        <x:v>Land Rover Exhaust Repair Dubai</x:v>
      </x:c>
      <x:c r="K1074" s="6" t="str">
        <x:v>Land Rover exhaust repair in Dubai with model-specific inspection, confirmed parts options and a clear quote at Digi-Tec, Al Quoz.</x:v>
      </x:c>
      <x:c r="L1074" s="6" t="str">
        <x:v>Retain pending evidence; no specific content edit justified by this export.</x:v>
      </x:c>
      <x:c r="M1074" s="6" t="str">
        <x:v>Retain; inspect relevant context before adding links</x:v>
      </x:c>
      <x:c r="N1074" s="6" t="str">
        <x:v>Unconfirmed — no query/page pairing</x:v>
      </x:c>
      <x:c r="O1074" s="6" t="str">
        <x:v>Retain established booking / WhatsApp / call path; live behaviour untested</x:v>
      </x:c>
      <x:c r="P1074" s="6" t="str">
        <x:v>Retain canonical and indexation policy pending a live check.</x:v>
      </x:c>
      <x:c r="Q1074" s="6" t="str">
        <x:v>Proposed; no website change made</x:v>
      </x:c>
      <x:c r="R1074" s="14" t="n">
        <x:v>0</x:v>
      </x:c>
      <x:c r="S1074" s="14" t="n">
        <x:v>3</x:v>
      </x:c>
      <x:c r="T1074" s="15" t="n">
        <x:v>0</x:v>
      </x:c>
      <x:c r="U1074" s="16" t="n">
        <x:v>42.67</x:v>
      </x:c>
      <x:c r="V1074" s="6" t="str">
        <x:v>https://digitecme.com/brands/land-rover-service-dubai/exhaust-repair</x:v>
      </x:c>
      <x:c r="W1074" s="6" t="str">
        <x:v>Indexable directive</x:v>
      </x:c>
      <x:c r="X1074" s="6" t="n">
        <x:v>16</x:v>
      </x:c>
      <x:c r="Y1074" s="6" t="str">
        <x:v>Land Rover Exhaust Repair Dubai | Digi-Tec</x:v>
      </x:c>
      <x:c r="Z1074" s="6" t="str"/>
      <x:c r="AA1074" s="6" t="str">
        <x:v>No / not compared</x:v>
      </x:c>
    </x:row>
    <x:row r="1075" ht="42" customHeight="1">
      <x:c r="A1075" s="6" t="str">
        <x:v>https://digitecme.com/brands/land-rover-service-dubai/fuel-system-repair</x:v>
      </x:c>
      <x:c r="B1075" s="6" t="str"/>
      <x:c r="C1075" s="6" t="str"/>
      <x:c r="D1075" s="6" t="str">
        <x:v>brand-service</x:v>
      </x:c>
      <x:c r="E1075" s="6" t="str">
        <x:v>Retain differentiated role</x:v>
      </x:c>
      <x:c r="F1075" s="6" t="str">
        <x:v>Local source render; live version unverified</x:v>
      </x:c>
      <x:c r="G1075" s="6" t="str">
        <x:v>Land Rover Fuel System Repair Dubai | Digi-Tec</x:v>
      </x:c>
      <x:c r="H1075" s="6" t="str">
        <x:v>Land Rover Fuel System Repair Dubai | Digi-Tec</x:v>
      </x:c>
      <x:c r="I1075" s="6" t="str">
        <x:v>Land Rover Fuel System Repair Dubai</x:v>
      </x:c>
      <x:c r="J1075" s="6" t="str">
        <x:v>Land Rover Fuel System Repair Dubai</x:v>
      </x:c>
      <x:c r="K1075" s="6" t="str">
        <x:v>Land Rover fuel system repair in Dubai with model-specific inspection, confirmed parts options and a clear quote at Digi-Tec, Al Quoz.</x:v>
      </x:c>
      <x:c r="L1075" s="6" t="str">
        <x:v>Retain pending evidence; no specific content edit justified by this export.</x:v>
      </x:c>
      <x:c r="M1075" s="6" t="str">
        <x:v>Retain; inspect relevant context before adding links</x:v>
      </x:c>
      <x:c r="N1075" s="6" t="str">
        <x:v>Unconfirmed — no query/page pairing</x:v>
      </x:c>
      <x:c r="O1075" s="6" t="str">
        <x:v>Retain established booking / WhatsApp / call path; live behaviour untested</x:v>
      </x:c>
      <x:c r="P1075" s="6" t="str">
        <x:v>Retain canonical and indexation policy pending a live check.</x:v>
      </x:c>
      <x:c r="Q1075" s="6" t="str">
        <x:v>Proposed; no website change made</x:v>
      </x:c>
      <x:c r="R1075" s="14" t="n">
        <x:v>0</x:v>
      </x:c>
      <x:c r="S1075" s="14" t="n">
        <x:v>16</x:v>
      </x:c>
      <x:c r="T1075" s="15" t="n">
        <x:v>0</x:v>
      </x:c>
      <x:c r="U1075" s="16" t="n">
        <x:v>26.62</x:v>
      </x:c>
      <x:c r="V1075" s="6" t="str">
        <x:v>https://digitecme.com/brands/land-rover-service-dubai/fuel-system-repair</x:v>
      </x:c>
      <x:c r="W1075" s="6" t="str">
        <x:v>Indexable directive</x:v>
      </x:c>
      <x:c r="X1075" s="6" t="n">
        <x:v>16</x:v>
      </x:c>
      <x:c r="Y1075" s="6" t="str">
        <x:v>Land Rover Fuel System Repair Dubai | Digi-Tec</x:v>
      </x:c>
      <x:c r="Z1075" s="6" t="str"/>
      <x:c r="AA1075" s="6" t="str">
        <x:v>No / not compared</x:v>
      </x:c>
    </x:row>
    <x:row r="1076" ht="42" customHeight="1">
      <x:c r="A1076" s="6" t="str">
        <x:v>https://digitecme.com/brands/land-rover-service-dubai/mechanical-repair</x:v>
      </x:c>
      <x:c r="B1076" s="6" t="str"/>
      <x:c r="C1076" s="6" t="str"/>
      <x:c r="D1076" s="6" t="str">
        <x:v>brand-service</x:v>
      </x:c>
      <x:c r="E1076" s="6" t="str">
        <x:v>Retain differentiated role</x:v>
      </x:c>
      <x:c r="F1076" s="6" t="str">
        <x:v>Local source render; live version unverified</x:v>
      </x:c>
      <x:c r="G1076" s="6" t="str">
        <x:v>Land Rover Mechanical Repair Dubai | Digi-Tec</x:v>
      </x:c>
      <x:c r="H1076" s="6" t="str">
        <x:v>Land Rover Mechanical Repair Dubai | Digi-Tec</x:v>
      </x:c>
      <x:c r="I1076" s="6" t="str">
        <x:v>Land Rover Mechanical Repair Dubai</x:v>
      </x:c>
      <x:c r="J1076" s="6" t="str">
        <x:v>Land Rover Mechanical Repair Dubai</x:v>
      </x:c>
      <x:c r="K1076" s="6" t="str">
        <x:v>Land Rover mechanical repair in Dubai with model-specific inspection, confirmed parts options and a clear quote at Digi-Tec, Al Quoz.</x:v>
      </x:c>
      <x:c r="L1076" s="6" t="str">
        <x:v>Retain pending evidence; no specific content edit justified by this export.</x:v>
      </x:c>
      <x:c r="M1076" s="6" t="str">
        <x:v>Retain; inspect relevant context before adding links</x:v>
      </x:c>
      <x:c r="N1076" s="6" t="str">
        <x:v>Unconfirmed — no query/page pairing</x:v>
      </x:c>
      <x:c r="O1076" s="6" t="str">
        <x:v>Retain established booking / WhatsApp / call path; live behaviour untested</x:v>
      </x:c>
      <x:c r="P1076" s="6" t="str">
        <x:v>Retain canonical and indexation policy pending a live check.</x:v>
      </x:c>
      <x:c r="Q1076" s="6" t="str">
        <x:v>Proposed; no website change made</x:v>
      </x:c>
      <x:c r="R1076" s="14" t="n">
        <x:v>0</x:v>
      </x:c>
      <x:c r="S1076" s="14" t="n">
        <x:v>155</x:v>
      </x:c>
      <x:c r="T1076" s="15" t="n">
        <x:v>0</x:v>
      </x:c>
      <x:c r="U1076" s="16" t="n">
        <x:v>73.21</x:v>
      </x:c>
      <x:c r="V1076" s="6" t="str">
        <x:v>https://digitecme.com/brands/land-rover-service-dubai/mechanical-repair</x:v>
      </x:c>
      <x:c r="W1076" s="6" t="str">
        <x:v>Indexable directive</x:v>
      </x:c>
      <x:c r="X1076" s="6" t="n">
        <x:v>16</x:v>
      </x:c>
      <x:c r="Y1076" s="6" t="str">
        <x:v>Land Rover Mechanical Repair Dubai | Digi-Tec</x:v>
      </x:c>
      <x:c r="Z1076" s="6" t="str"/>
      <x:c r="AA1076" s="6" t="str">
        <x:v>No / not compared</x:v>
      </x:c>
    </x:row>
    <x:row r="1077" ht="42" customHeight="1">
      <x:c r="A1077" s="6" t="str">
        <x:v>https://digitecme.com/brands/land-rover-service-dubai/oil-change</x:v>
      </x:c>
      <x:c r="B1077" s="6" t="str"/>
      <x:c r="C1077" s="6" t="str"/>
      <x:c r="D1077" s="6" t="str">
        <x:v>brand-service</x:v>
      </x:c>
      <x:c r="E1077" s="6" t="str">
        <x:v>Retain differentiated role</x:v>
      </x:c>
      <x:c r="F1077" s="6" t="str">
        <x:v>Local source render; live version unverified</x:v>
      </x:c>
      <x:c r="G1077" s="6" t="str">
        <x:v>Land Rover Oil Change Dubai | Digi-Tec</x:v>
      </x:c>
      <x:c r="H1077" s="6" t="str">
        <x:v>Land Rover Oil Change Dubai | Digi-Tec</x:v>
      </x:c>
      <x:c r="I1077" s="6" t="str">
        <x:v>Land Rover Oil Change Dubai</x:v>
      </x:c>
      <x:c r="J1077" s="6" t="str">
        <x:v>Land Rover Oil Change Dubai</x:v>
      </x:c>
      <x:c r="K1077" s="6" t="str">
        <x:v>Land Rover oil change in Dubai with model-specific inspection, confirmed parts options and a clear quote at Digi-Tec, Al Quoz.</x:v>
      </x:c>
      <x:c r="L1077" s="6" t="str">
        <x:v>Retain pending evidence; no specific content edit justified by this export.</x:v>
      </x:c>
      <x:c r="M1077" s="6" t="str">
        <x:v>Retain; inspect relevant context before adding links</x:v>
      </x:c>
      <x:c r="N1077" s="6" t="str">
        <x:v>Unconfirmed — no query/page pairing</x:v>
      </x:c>
      <x:c r="O1077" s="6" t="str">
        <x:v>Retain established booking / WhatsApp / call path; live behaviour untested</x:v>
      </x:c>
      <x:c r="P1077" s="6" t="str">
        <x:v>Retain canonical and indexation policy pending a live check.</x:v>
      </x:c>
      <x:c r="Q1077" s="6" t="str">
        <x:v>Proposed; no website change made</x:v>
      </x:c>
      <x:c r="R1077" s="14" t="n">
        <x:v>0</x:v>
      </x:c>
      <x:c r="S1077" s="14" t="n">
        <x:v>11</x:v>
      </x:c>
      <x:c r="T1077" s="15" t="n">
        <x:v>0</x:v>
      </x:c>
      <x:c r="U1077" s="16" t="n">
        <x:v>24.82</x:v>
      </x:c>
      <x:c r="V1077" s="6" t="str">
        <x:v>https://digitecme.com/brands/land-rover-service-dubai/oil-change</x:v>
      </x:c>
      <x:c r="W1077" s="6" t="str">
        <x:v>Indexable directive</x:v>
      </x:c>
      <x:c r="X1077" s="6" t="n">
        <x:v>16</x:v>
      </x:c>
      <x:c r="Y1077" s="6" t="str">
        <x:v>Land Rover Oil Change Dubai | Digi-Tec</x:v>
      </x:c>
      <x:c r="Z1077" s="6" t="str"/>
      <x:c r="AA1077" s="6" t="str">
        <x:v>No / not compared</x:v>
      </x:c>
    </x:row>
    <x:row r="1078" ht="42" customHeight="1">
      <x:c r="A1078" s="6" t="str">
        <x:v>https://digitecme.com/brands/land-rover-service-dubai/steering-repair</x:v>
      </x:c>
      <x:c r="B1078" s="6" t="str"/>
      <x:c r="C1078" s="6" t="str"/>
      <x:c r="D1078" s="6" t="str">
        <x:v>brand-service</x:v>
      </x:c>
      <x:c r="E1078" s="6" t="str">
        <x:v>Retain differentiated role</x:v>
      </x:c>
      <x:c r="F1078" s="6" t="str">
        <x:v>Local source render; live version unverified</x:v>
      </x:c>
      <x:c r="G1078" s="6" t="str">
        <x:v>Land Rover Steering Repair Dubai | Digi-Tec</x:v>
      </x:c>
      <x:c r="H1078" s="6" t="str">
        <x:v>Land Rover Steering Repair Dubai | Digi-Tec</x:v>
      </x:c>
      <x:c r="I1078" s="6" t="str">
        <x:v>Land Rover Steering Repair Dubai</x:v>
      </x:c>
      <x:c r="J1078" s="6" t="str">
        <x:v>Land Rover Steering Repair Dubai</x:v>
      </x:c>
      <x:c r="K1078" s="6" t="str">
        <x:v>Land Rover steering repair in Dubai with model-specific inspection, confirmed parts options and a clear quote at Digi-Tec, Al Quoz.</x:v>
      </x:c>
      <x:c r="L1078" s="6" t="str">
        <x:v>Retain pending evidence; no specific content edit justified by this export.</x:v>
      </x:c>
      <x:c r="M1078" s="6" t="str">
        <x:v>Retain; inspect relevant context before adding links</x:v>
      </x:c>
      <x:c r="N1078" s="6" t="str">
        <x:v>Unconfirmed — no query/page pairing</x:v>
      </x:c>
      <x:c r="O1078" s="6" t="str">
        <x:v>Retain established booking / WhatsApp / call path; live behaviour untested</x:v>
      </x:c>
      <x:c r="P1078" s="6" t="str">
        <x:v>Retain canonical and indexation policy pending a live check.</x:v>
      </x:c>
      <x:c r="Q1078" s="6" t="str">
        <x:v>Proposed; no website change made</x:v>
      </x:c>
      <x:c r="R1078" s="14" t="n">
        <x:v>0</x:v>
      </x:c>
      <x:c r="S1078" s="14" t="n">
        <x:v>2</x:v>
      </x:c>
      <x:c r="T1078" s="15" t="n">
        <x:v>0</x:v>
      </x:c>
      <x:c r="U1078" s="16" t="n">
        <x:v>11</x:v>
      </x:c>
      <x:c r="V1078" s="6" t="str">
        <x:v>https://digitecme.com/brands/land-rover-service-dubai/steering-repair</x:v>
      </x:c>
      <x:c r="W1078" s="6" t="str">
        <x:v>Indexable directive</x:v>
      </x:c>
      <x:c r="X1078" s="6" t="n">
        <x:v>16</x:v>
      </x:c>
      <x:c r="Y1078" s="6" t="str">
        <x:v>Land Rover Steering Repair Dubai | Digi-Tec</x:v>
      </x:c>
      <x:c r="Z1078" s="6" t="str"/>
      <x:c r="AA1078" s="6" t="str">
        <x:v>No / not compared</x:v>
      </x:c>
    </x:row>
    <x:row r="1079" ht="42" customHeight="1">
      <x:c r="A1079" s="6" t="str">
        <x:v>https://digitecme.com/brands/land-rover-service-dubai/suspension-repair</x:v>
      </x:c>
      <x:c r="B1079" s="6" t="str">
        <x:v>land rover suspension repair</x:v>
      </x:c>
      <x:c r="C1079" s="6" t="str">
        <x:v>land-rover: Suspension repair</x:v>
      </x:c>
      <x:c r="D1079" s="6" t="str">
        <x:v>brand-service</x:v>
      </x:c>
      <x:c r="E1079" s="6" t="str">
        <x:v>Primary owner for assigned intent</x:v>
      </x:c>
      <x:c r="F1079" s="6" t="str">
        <x:v>Local source render; live version unverified</x:v>
      </x:c>
      <x:c r="G1079" s="6" t="str">
        <x:v>Land Rover Suspension Repair Dubai | Digi-Tec</x:v>
      </x:c>
      <x:c r="H1079" s="6" t="str">
        <x:v>Land Rover Suspension Repair Dubai | Digi-Tec</x:v>
      </x:c>
      <x:c r="I1079" s="6" t="str">
        <x:v>Land Rover Suspension Repair Dubai</x:v>
      </x:c>
      <x:c r="J1079" s="6" t="str">
        <x:v>Land Rover Suspension Repair Dubai</x:v>
      </x:c>
      <x:c r="K1079" s="6" t="str">
        <x:v>Land Rover suspension repair in Dubai with model-specific inspection, confirmed parts options and a clear quote at Digi-Tec, Al Quoz.</x:v>
      </x:c>
      <x:c r="L1079" s="6" t="str">
        <x:v>Retain pending evidence; no specific content edit justified by this export.</x:v>
      </x:c>
      <x:c r="M1079" s="6" t="str">
        <x:v>Retain; inspect relevant context before adding links</x:v>
      </x:c>
      <x:c r="N1079" s="6" t="str">
        <x:v>Unconfirmed — no query/page pairing</x:v>
      </x:c>
      <x:c r="O1079" s="6" t="str">
        <x:v>Retain established booking / WhatsApp / call path; live behaviour untested</x:v>
      </x:c>
      <x:c r="P1079" s="6" t="str">
        <x:v>Retain canonical and indexation policy pending a live check.</x:v>
      </x:c>
      <x:c r="Q1079" s="6" t="str">
        <x:v>Proposed; no website change made</x:v>
      </x:c>
      <x:c r="R1079" s="14"/>
      <x:c r="S1079" s="14"/>
      <x:c r="T1079" s="15"/>
      <x:c r="U1079" s="16"/>
      <x:c r="V1079" s="6" t="str">
        <x:v>https://digitecme.com/brands/land-rover-service-dubai/suspension-repair</x:v>
      </x:c>
      <x:c r="W1079" s="6" t="str">
        <x:v>Indexable directive</x:v>
      </x:c>
      <x:c r="X1079" s="6" t="n">
        <x:v>16</x:v>
      </x:c>
      <x:c r="Y1079" s="6" t="str">
        <x:v>Land Rover Suspension Repair Dubai | Digi-Tec</x:v>
      </x:c>
      <x:c r="Z1079" s="6" t="str"/>
      <x:c r="AA1079" s="6" t="str">
        <x:v>No / not compared</x:v>
      </x:c>
    </x:row>
    <x:row r="1080" ht="42" customHeight="1">
      <x:c r="A1080" s="6" t="str">
        <x:v>https://digitecme.com/brands/land-rover-service-dubai/tire-repair</x:v>
      </x:c>
      <x:c r="B1080" s="6" t="str"/>
      <x:c r="C1080" s="6" t="str"/>
      <x:c r="D1080" s="6" t="str">
        <x:v>brand-service</x:v>
      </x:c>
      <x:c r="E1080" s="6" t="str">
        <x:v>Retain differentiated role</x:v>
      </x:c>
      <x:c r="F1080" s="6" t="str">
        <x:v>Local source render; live version unverified</x:v>
      </x:c>
      <x:c r="G1080" s="6" t="str">
        <x:v>Land Rover Tyre Repair Dubai | Digi-Tec</x:v>
      </x:c>
      <x:c r="H1080" s="6" t="str">
        <x:v>Land Rover Tyre Repair Dubai | Digi-Tec</x:v>
      </x:c>
      <x:c r="I1080" s="6" t="str">
        <x:v>Land Rover Tyre Repair Dubai</x:v>
      </x:c>
      <x:c r="J1080" s="6" t="str">
        <x:v>Land Rover Tyre Repair Dubai</x:v>
      </x:c>
      <x:c r="K1080" s="6" t="str">
        <x:v>Land Rover tyre repair in Dubai with model-specific inspection, confirmed parts options and a clear quote at Digi-Tec, Al Quoz.</x:v>
      </x:c>
      <x:c r="L1080" s="6" t="str">
        <x:v>Retain pending evidence; no specific content edit justified by this export.</x:v>
      </x:c>
      <x:c r="M1080" s="6" t="str">
        <x:v>Retain; inspect relevant context before adding links</x:v>
      </x:c>
      <x:c r="N1080" s="6" t="str">
        <x:v>Unconfirmed — no query/page pairing</x:v>
      </x:c>
      <x:c r="O1080" s="6" t="str">
        <x:v>Retain established booking / WhatsApp / call path; live behaviour untested</x:v>
      </x:c>
      <x:c r="P1080" s="6" t="str">
        <x:v>Retain canonical and indexation policy pending a live check.</x:v>
      </x:c>
      <x:c r="Q1080" s="6" t="str">
        <x:v>Proposed; no website change made</x:v>
      </x:c>
      <x:c r="R1080" s="14" t="n">
        <x:v>0</x:v>
      </x:c>
      <x:c r="S1080" s="14" t="n">
        <x:v>11</x:v>
      </x:c>
      <x:c r="T1080" s="15" t="n">
        <x:v>0</x:v>
      </x:c>
      <x:c r="U1080" s="16" t="n">
        <x:v>23.09</x:v>
      </x:c>
      <x:c r="V1080" s="6" t="str">
        <x:v>https://digitecme.com/brands/land-rover-service-dubai/tire-repair</x:v>
      </x:c>
      <x:c r="W1080" s="6" t="str">
        <x:v>Indexable directive</x:v>
      </x:c>
      <x:c r="X1080" s="6" t="n">
        <x:v>16</x:v>
      </x:c>
      <x:c r="Y1080" s="6" t="str">
        <x:v>Land Rover Tyre Repair Dubai | Digi-Tec</x:v>
      </x:c>
      <x:c r="Z1080" s="6" t="str"/>
      <x:c r="AA1080" s="6" t="str">
        <x:v>No / not compared</x:v>
      </x:c>
    </x:row>
    <x:row r="1081" ht="42" customHeight="1">
      <x:c r="A1081" s="6" t="str">
        <x:v>https://digitecme.com/brands/land-rover-service-dubai/transmission-repair</x:v>
      </x:c>
      <x:c r="B1081" s="6" t="str">
        <x:v>land rover transmission repair dubai</x:v>
      </x:c>
      <x:c r="C1081" s="6" t="str">
        <x:v>land-rover: Transmission and gearbox repair</x:v>
      </x:c>
      <x:c r="D1081" s="6" t="str">
        <x:v>brand-service</x:v>
      </x:c>
      <x:c r="E1081" s="6" t="str">
        <x:v>Primary owner for assigned intent</x:v>
      </x:c>
      <x:c r="F1081" s="6" t="str">
        <x:v>Local source render; live version unverified</x:v>
      </x:c>
      <x:c r="G1081" s="6" t="str">
        <x:v>Land Rover Transmission Repair Dubai | Digi-Tec</x:v>
      </x:c>
      <x:c r="H1081" s="6" t="str">
        <x:v>Land Rover Transmission Repair Dubai | Digi-Tec</x:v>
      </x:c>
      <x:c r="I1081" s="6" t="str">
        <x:v>Land Rover Transmission Repair Dubai</x:v>
      </x:c>
      <x:c r="J1081" s="6" t="str">
        <x:v>Land Rover Transmission Repair Dubai</x:v>
      </x:c>
      <x:c r="K1081" s="6" t="str">
        <x:v>Land Rover transmission repair in Dubai with model-specific inspection, confirmed parts options and a clear quote at Digi-Tec, Al Quoz.</x:v>
      </x:c>
      <x:c r="L1081" s="6" t="str">
        <x:v>Retain pending evidence; no specific content edit justified by this export.</x:v>
      </x:c>
      <x:c r="M1081" s="6" t="str">
        <x:v>Retain; inspect relevant context before adding links</x:v>
      </x:c>
      <x:c r="N1081" s="6" t="str">
        <x:v>Unconfirmed — no query/page pairing</x:v>
      </x:c>
      <x:c r="O1081" s="6" t="str">
        <x:v>Retain established booking / WhatsApp / call path; live behaviour untested</x:v>
      </x:c>
      <x:c r="P1081" s="6" t="str">
        <x:v>Retain canonical and indexation policy pending a live check.</x:v>
      </x:c>
      <x:c r="Q1081" s="6" t="str">
        <x:v>Proposed; no website change made</x:v>
      </x:c>
      <x:c r="R1081" s="14" t="n">
        <x:v>0</x:v>
      </x:c>
      <x:c r="S1081" s="14" t="n">
        <x:v>21</x:v>
      </x:c>
      <x:c r="T1081" s="15" t="n">
        <x:v>0</x:v>
      </x:c>
      <x:c r="U1081" s="16" t="n">
        <x:v>16.14</x:v>
      </x:c>
      <x:c r="V1081" s="6" t="str">
        <x:v>https://digitecme.com/brands/land-rover-service-dubai/transmission-repair</x:v>
      </x:c>
      <x:c r="W1081" s="6" t="str">
        <x:v>Indexable directive</x:v>
      </x:c>
      <x:c r="X1081" s="6" t="n">
        <x:v>16</x:v>
      </x:c>
      <x:c r="Y1081" s="6" t="str">
        <x:v>Land Rover Transmission Repair Dubai | Digi-Tec</x:v>
      </x:c>
      <x:c r="Z1081" s="6" t="str"/>
      <x:c r="AA1081" s="6" t="str">
        <x:v>No / not compared</x:v>
      </x:c>
    </x:row>
    <x:row r="1082" ht="42" customHeight="1">
      <x:c r="A1082" s="6" t="str">
        <x:v>https://digitecme.com/brands/lexus-service-dubai</x:v>
      </x:c>
      <x:c r="B1082" s="6" t="str">
        <x:v>lexus service dubai</x:v>
      </x:c>
      <x:c r="C1082" s="6" t="str">
        <x:v>lexus: Service and repair</x:v>
      </x:c>
      <x:c r="D1082" s="6" t="str">
        <x:v>brand</x:v>
      </x:c>
      <x:c r="E1082" s="6" t="str">
        <x:v>Primary owner for assigned intent</x:v>
      </x:c>
      <x:c r="F1082" s="6" t="str">
        <x:v>Local source render; live version unverified</x:v>
      </x:c>
      <x:c r="G1082" s="6" t="str">
        <x:v>Lexus Repair Dubai | Digi-Tec</x:v>
      </x:c>
      <x:c r="H1082" s="6" t="str">
        <x:v>Lexus Repair Dubai | Digi-Tec</x:v>
      </x:c>
      <x:c r="I1082" s="6" t="str">
        <x:v>Lexus Repair &amp; Service Dubai</x:v>
      </x:c>
      <x:c r="J1082" s="6" t="str">
        <x:v>Lexus Repair &amp; Service Dubai</x:v>
      </x:c>
      <x:c r="K1082" s="6" t="str">
        <x:v>Specialist Lexus repair and service in Dubai: diagnostics, maintenance, brakes, transmission, suspension and AC at Digi-Tec, Al Quoz.</x:v>
      </x:c>
      <x:c r="L1082" s="6" t="str">
        <x:v>Retain pending evidence; no specific content edit justified by this export.</x:v>
      </x:c>
      <x:c r="M1082" s="6" t="str">
        <x:v>Retain; inspect relevant context before adding links</x:v>
      </x:c>
      <x:c r="N1082" s="6" t="str">
        <x:v>Unconfirmed — no query/page pairing</x:v>
      </x:c>
      <x:c r="O1082" s="6" t="str">
        <x:v>Retain established booking / WhatsApp / call path; live behaviour untested</x:v>
      </x:c>
      <x:c r="P1082" s="6" t="str">
        <x:v>Retain canonical and indexation policy pending a live check.</x:v>
      </x:c>
      <x:c r="Q1082" s="6" t="str">
        <x:v>Proposed; no website change made</x:v>
      </x:c>
      <x:c r="R1082" s="14" t="n">
        <x:v>0</x:v>
      </x:c>
      <x:c r="S1082" s="14" t="n">
        <x:v>18</x:v>
      </x:c>
      <x:c r="T1082" s="15" t="n">
        <x:v>0</x:v>
      </x:c>
      <x:c r="U1082" s="16" t="n">
        <x:v>54.89</x:v>
      </x:c>
      <x:c r="V1082" s="6" t="str">
        <x:v>https://digitecme.com/brands/lexus-service-dubai</x:v>
      </x:c>
      <x:c r="W1082" s="6" t="str">
        <x:v>Indexable directive</x:v>
      </x:c>
      <x:c r="X1082" s="6" t="n">
        <x:v>28</x:v>
      </x:c>
      <x:c r="Y1082" s="6" t="str">
        <x:v>Lexus Repair Dubai | Digi-Tec</x:v>
      </x:c>
      <x:c r="Z1082" s="6" t="str"/>
      <x:c r="AA1082" s="6" t="str">
        <x:v>No / not compared</x:v>
      </x:c>
    </x:row>
    <x:row r="1083" ht="42" customHeight="1">
      <x:c r="A1083" s="6" t="str">
        <x:v>https://digitecme.com/brands/lexus-service-dubai/ac-repair</x:v>
      </x:c>
      <x:c r="B1083" s="6" t="str"/>
      <x:c r="C1083" s="6" t="str"/>
      <x:c r="D1083" s="6" t="str">
        <x:v>brand-service</x:v>
      </x:c>
      <x:c r="E1083" s="6" t="str">
        <x:v>Retain differentiated role</x:v>
      </x:c>
      <x:c r="F1083" s="6" t="str">
        <x:v>Local source render; live version unverified</x:v>
      </x:c>
      <x:c r="G1083" s="6" t="str">
        <x:v>Lexus AC Repair Dubai | Digi-Tec</x:v>
      </x:c>
      <x:c r="H1083" s="6" t="str">
        <x:v>Lexus AC Repair Dubai | Digi-Tec</x:v>
      </x:c>
      <x:c r="I1083" s="6" t="str">
        <x:v>Lexus AC Repair Dubai</x:v>
      </x:c>
      <x:c r="J1083" s="6" t="str">
        <x:v>Lexus AC Repair Dubai</x:v>
      </x:c>
      <x:c r="K1083" s="6" t="str">
        <x:v>Lexus ac repair in Dubai with model-specific inspection, confirmed parts options and a clear quote at Digi-Tec, Al Quoz.</x:v>
      </x:c>
      <x:c r="L1083" s="6" t="str">
        <x:v>Retain pending evidence; no specific content edit justified by this export.</x:v>
      </x:c>
      <x:c r="M1083" s="6" t="str">
        <x:v>Retain; inspect relevant context before adding links</x:v>
      </x:c>
      <x:c r="N1083" s="6" t="str">
        <x:v>Unconfirmed — no query/page pairing</x:v>
      </x:c>
      <x:c r="O1083" s="6" t="str">
        <x:v>Retain established booking / WhatsApp / call path; live behaviour untested</x:v>
      </x:c>
      <x:c r="P1083" s="6" t="str">
        <x:v>Retain canonical and indexation policy pending a live check.</x:v>
      </x:c>
      <x:c r="Q1083" s="6" t="str">
        <x:v>Proposed; no website change made</x:v>
      </x:c>
      <x:c r="R1083" s="14" t="n">
        <x:v>0</x:v>
      </x:c>
      <x:c r="S1083" s="14" t="n">
        <x:v>254</x:v>
      </x:c>
      <x:c r="T1083" s="15" t="n">
        <x:v>0</x:v>
      </x:c>
      <x:c r="U1083" s="16" t="n">
        <x:v>19.91</x:v>
      </x:c>
      <x:c r="V1083" s="6" t="str">
        <x:v>https://digitecme.com/brands/lexus-service-dubai/ac-repair</x:v>
      </x:c>
      <x:c r="W1083" s="6" t="str">
        <x:v>Indexable directive</x:v>
      </x:c>
      <x:c r="X1083" s="6" t="n">
        <x:v>8</x:v>
      </x:c>
      <x:c r="Y1083" s="6" t="str">
        <x:v>Lexus AC Repair Dubai | Digi-Tec</x:v>
      </x:c>
      <x:c r="Z1083" s="6" t="str"/>
      <x:c r="AA1083" s="6" t="str">
        <x:v>No / not compared</x:v>
      </x:c>
    </x:row>
    <x:row r="1084" ht="42" customHeight="1">
      <x:c r="A1084" s="6" t="str">
        <x:v>https://digitecme.com/brands/lexus-service-dubai/brake-repair</x:v>
      </x:c>
      <x:c r="B1084" s="6" t="str"/>
      <x:c r="C1084" s="6" t="str"/>
      <x:c r="D1084" s="6" t="str">
        <x:v>brand-service</x:v>
      </x:c>
      <x:c r="E1084" s="6" t="str">
        <x:v>Retain differentiated role</x:v>
      </x:c>
      <x:c r="F1084" s="6" t="str">
        <x:v>Local source render; live version unverified</x:v>
      </x:c>
      <x:c r="G1084" s="6" t="str">
        <x:v>Lexus Brake Repair Dubai | Digi-Tec</x:v>
      </x:c>
      <x:c r="H1084" s="6" t="str">
        <x:v>Lexus Brake Repair Dubai | Digi-Tec</x:v>
      </x:c>
      <x:c r="I1084" s="6" t="str">
        <x:v>Lexus Brake Repair Dubai</x:v>
      </x:c>
      <x:c r="J1084" s="6" t="str">
        <x:v>Lexus Brake Repair Dubai</x:v>
      </x:c>
      <x:c r="K1084" s="6" t="str">
        <x:v>Lexus brake repair in Dubai with model-specific inspection, confirmed parts options and a clear quote at Digi-Tec, Al Quoz.</x:v>
      </x:c>
      <x:c r="L1084" s="6" t="str">
        <x:v>Retain pending evidence; no specific content edit justified by this export.</x:v>
      </x:c>
      <x:c r="M1084" s="6" t="str">
        <x:v>Retain; inspect relevant context before adding links</x:v>
      </x:c>
      <x:c r="N1084" s="6" t="str">
        <x:v>Unconfirmed — no query/page pairing</x:v>
      </x:c>
      <x:c r="O1084" s="6" t="str">
        <x:v>Retain established booking / WhatsApp / call path; live behaviour untested</x:v>
      </x:c>
      <x:c r="P1084" s="6" t="str">
        <x:v>Retain canonical and indexation policy pending a live check.</x:v>
      </x:c>
      <x:c r="Q1084" s="6" t="str">
        <x:v>Proposed; no website change made</x:v>
      </x:c>
      <x:c r="R1084" s="14" t="n">
        <x:v>0</x:v>
      </x:c>
      <x:c r="S1084" s="14" t="n">
        <x:v>16</x:v>
      </x:c>
      <x:c r="T1084" s="15" t="n">
        <x:v>0</x:v>
      </x:c>
      <x:c r="U1084" s="16" t="n">
        <x:v>19.06</x:v>
      </x:c>
      <x:c r="V1084" s="6" t="str">
        <x:v>https://digitecme.com/brands/lexus-service-dubai/brake-repair</x:v>
      </x:c>
      <x:c r="W1084" s="6" t="str">
        <x:v>Indexable directive</x:v>
      </x:c>
      <x:c r="X1084" s="6" t="n">
        <x:v>8</x:v>
      </x:c>
      <x:c r="Y1084" s="6" t="str">
        <x:v>Lexus Brake Repair Dubai | Digi-Tec</x:v>
      </x:c>
      <x:c r="Z1084" s="6" t="str"/>
      <x:c r="AA1084" s="6" t="str">
        <x:v>No / not compared</x:v>
      </x:c>
    </x:row>
    <x:row r="1085" ht="42" customHeight="1">
      <x:c r="A1085" s="6" t="str">
        <x:v>https://digitecme.com/brands/lexus-service-dubai/engine-diagnostics</x:v>
      </x:c>
      <x:c r="B1085" s="6" t="str"/>
      <x:c r="C1085" s="6" t="str"/>
      <x:c r="D1085" s="6" t="str">
        <x:v>brand-service</x:v>
      </x:c>
      <x:c r="E1085" s="6" t="str">
        <x:v>Retain differentiated role</x:v>
      </x:c>
      <x:c r="F1085" s="6" t="str">
        <x:v>Local source render; live version unverified</x:v>
      </x:c>
      <x:c r="G1085" s="6" t="str">
        <x:v>Lexus Engine Diagnostics Dubai | Digi-Tec</x:v>
      </x:c>
      <x:c r="H1085" s="6" t="str">
        <x:v>Lexus Engine Diagnostics Dubai | Digi-Tec</x:v>
      </x:c>
      <x:c r="I1085" s="6" t="str">
        <x:v>Lexus Engine Diagnostics Dubai</x:v>
      </x:c>
      <x:c r="J1085" s="6" t="str">
        <x:v>Lexus Engine Diagnostics Dubai</x:v>
      </x:c>
      <x:c r="K1085" s="6" t="str">
        <x:v>Lexus engine diagnostics in Dubai with model-specific inspection, confirmed parts options and a clear quote at Digi-Tec, Al Quoz.</x:v>
      </x:c>
      <x:c r="L1085" s="6" t="str">
        <x:v>Retain pending evidence; no specific content edit justified by this export.</x:v>
      </x:c>
      <x:c r="M1085" s="6" t="str">
        <x:v>Retain; inspect relevant context before adding links</x:v>
      </x:c>
      <x:c r="N1085" s="6" t="str">
        <x:v>Unconfirmed — no query/page pairing</x:v>
      </x:c>
      <x:c r="O1085" s="6" t="str">
        <x:v>Retain established booking / WhatsApp / call path; live behaviour untested</x:v>
      </x:c>
      <x:c r="P1085" s="6" t="str">
        <x:v>Retain canonical and indexation policy pending a live check.</x:v>
      </x:c>
      <x:c r="Q1085" s="6" t="str">
        <x:v>Proposed; no website change made</x:v>
      </x:c>
      <x:c r="R1085" s="14"/>
      <x:c r="S1085" s="14"/>
      <x:c r="T1085" s="15"/>
      <x:c r="U1085" s="16"/>
      <x:c r="V1085" s="6" t="str">
        <x:v>https://digitecme.com/brands/lexus-service-dubai/engine-diagnostics</x:v>
      </x:c>
      <x:c r="W1085" s="6" t="str">
        <x:v>Indexable directive</x:v>
      </x:c>
      <x:c r="X1085" s="6" t="n">
        <x:v>8</x:v>
      </x:c>
      <x:c r="Y1085" s="6" t="str">
        <x:v>Lexus Engine Diagnostics Dubai | Digi-Tec</x:v>
      </x:c>
      <x:c r="Z1085" s="6" t="str"/>
      <x:c r="AA1085" s="6" t="str">
        <x:v>No / not compared</x:v>
      </x:c>
    </x:row>
    <x:row r="1086" ht="42" customHeight="1">
      <x:c r="A1086" s="6" t="str">
        <x:v>https://digitecme.com/brands/lexus-service-dubai/oil-change</x:v>
      </x:c>
      <x:c r="B1086" s="6" t="str"/>
      <x:c r="C1086" s="6" t="str"/>
      <x:c r="D1086" s="6" t="str">
        <x:v>brand-service</x:v>
      </x:c>
      <x:c r="E1086" s="6" t="str">
        <x:v>Retain differentiated role</x:v>
      </x:c>
      <x:c r="F1086" s="6" t="str">
        <x:v>Local source render; live version unverified</x:v>
      </x:c>
      <x:c r="G1086" s="6" t="str">
        <x:v>Lexus Oil Change Dubai | Digi-Tec</x:v>
      </x:c>
      <x:c r="H1086" s="6" t="str">
        <x:v>Lexus Oil Change Dubai | Digi-Tec</x:v>
      </x:c>
      <x:c r="I1086" s="6" t="str">
        <x:v>Lexus Oil Change Dubai</x:v>
      </x:c>
      <x:c r="J1086" s="6" t="str">
        <x:v>Lexus Oil Change Dubai</x:v>
      </x:c>
      <x:c r="K1086" s="6" t="str">
        <x:v>Lexus oil change in Dubai with model-specific inspection, confirmed parts options and a clear quote at Digi-Tec, Al Quoz.</x:v>
      </x:c>
      <x:c r="L1086" s="6" t="str">
        <x:v>Retain pending evidence; no specific content edit justified by this export.</x:v>
      </x:c>
      <x:c r="M1086" s="6" t="str">
        <x:v>Retain; inspect relevant context before adding links</x:v>
      </x:c>
      <x:c r="N1086" s="6" t="str">
        <x:v>Unconfirmed — no query/page pairing</x:v>
      </x:c>
      <x:c r="O1086" s="6" t="str">
        <x:v>Retain established booking / WhatsApp / call path; live behaviour untested</x:v>
      </x:c>
      <x:c r="P1086" s="6" t="str">
        <x:v>Retain canonical and indexation policy pending a live check.</x:v>
      </x:c>
      <x:c r="Q1086" s="6" t="str">
        <x:v>Proposed; no website change made</x:v>
      </x:c>
      <x:c r="R1086" s="14" t="n">
        <x:v>0</x:v>
      </x:c>
      <x:c r="S1086" s="14" t="n">
        <x:v>18</x:v>
      </x:c>
      <x:c r="T1086" s="15" t="n">
        <x:v>0</x:v>
      </x:c>
      <x:c r="U1086" s="16" t="n">
        <x:v>16.94</x:v>
      </x:c>
      <x:c r="V1086" s="6" t="str">
        <x:v>https://digitecme.com/brands/lexus-service-dubai/oil-change</x:v>
      </x:c>
      <x:c r="W1086" s="6" t="str">
        <x:v>Indexable directive</x:v>
      </x:c>
      <x:c r="X1086" s="6" t="n">
        <x:v>8</x:v>
      </x:c>
      <x:c r="Y1086" s="6" t="str">
        <x:v>Lexus Oil Change Dubai | Digi-Tec</x:v>
      </x:c>
      <x:c r="Z1086" s="6" t="str"/>
      <x:c r="AA1086" s="6" t="str">
        <x:v>No / not compared</x:v>
      </x:c>
    </x:row>
    <x:row r="1087" ht="42" customHeight="1">
      <x:c r="A1087" s="6" t="str">
        <x:v>https://digitecme.com/brands/lexus-service-dubai/suspension-repair</x:v>
      </x:c>
      <x:c r="B1087" s="6" t="str"/>
      <x:c r="C1087" s="6" t="str"/>
      <x:c r="D1087" s="6" t="str">
        <x:v>brand-service</x:v>
      </x:c>
      <x:c r="E1087" s="6" t="str">
        <x:v>Retain differentiated role</x:v>
      </x:c>
      <x:c r="F1087" s="6" t="str">
        <x:v>Local source render; live version unverified</x:v>
      </x:c>
      <x:c r="G1087" s="6" t="str">
        <x:v>Lexus Suspension Repair Dubai | Digi-Tec</x:v>
      </x:c>
      <x:c r="H1087" s="6" t="str">
        <x:v>Lexus Suspension Repair Dubai | Digi-Tec</x:v>
      </x:c>
      <x:c r="I1087" s="6" t="str">
        <x:v>Lexus Suspension Repair Dubai</x:v>
      </x:c>
      <x:c r="J1087" s="6" t="str">
        <x:v>Lexus Suspension Repair Dubai</x:v>
      </x:c>
      <x:c r="K1087" s="6" t="str">
        <x:v>Lexus suspension repair in Dubai with model-specific inspection, confirmed parts options and a clear quote at Digi-Tec, Al Quoz.</x:v>
      </x:c>
      <x:c r="L1087" s="6" t="str">
        <x:v>Retain pending evidence; no specific content edit justified by this export.</x:v>
      </x:c>
      <x:c r="M1087" s="6" t="str">
        <x:v>Retain; inspect relevant context before adding links</x:v>
      </x:c>
      <x:c r="N1087" s="6" t="str">
        <x:v>Unconfirmed — no query/page pairing</x:v>
      </x:c>
      <x:c r="O1087" s="6" t="str">
        <x:v>Retain established booking / WhatsApp / call path; live behaviour untested</x:v>
      </x:c>
      <x:c r="P1087" s="6" t="str">
        <x:v>Retain canonical and indexation policy pending a live check.</x:v>
      </x:c>
      <x:c r="Q1087" s="6" t="str">
        <x:v>Proposed; no website change made</x:v>
      </x:c>
      <x:c r="R1087" s="14" t="n">
        <x:v>1</x:v>
      </x:c>
      <x:c r="S1087" s="14" t="n">
        <x:v>18</x:v>
      </x:c>
      <x:c r="T1087" s="15" t="n">
        <x:v>0.0556</x:v>
      </x:c>
      <x:c r="U1087" s="16" t="n">
        <x:v>12.44</x:v>
      </x:c>
      <x:c r="V1087" s="6" t="str">
        <x:v>https://digitecme.com/brands/lexus-service-dubai/suspension-repair</x:v>
      </x:c>
      <x:c r="W1087" s="6" t="str">
        <x:v>Indexable directive</x:v>
      </x:c>
      <x:c r="X1087" s="6" t="n">
        <x:v>8</x:v>
      </x:c>
      <x:c r="Y1087" s="6" t="str">
        <x:v>Lexus Suspension Repair Dubai | Digi-Tec</x:v>
      </x:c>
      <x:c r="Z1087" s="6" t="str"/>
      <x:c r="AA1087" s="6" t="str">
        <x:v>No / not compared</x:v>
      </x:c>
    </x:row>
    <x:row r="1088" ht="42" customHeight="1">
      <x:c r="A1088" s="6" t="str">
        <x:v>https://digitecme.com/brands/lexus-service-dubai/transmission-repair</x:v>
      </x:c>
      <x:c r="B1088" s="6" t="str"/>
      <x:c r="C1088" s="6" t="str"/>
      <x:c r="D1088" s="6" t="str">
        <x:v>brand-service</x:v>
      </x:c>
      <x:c r="E1088" s="6" t="str">
        <x:v>Retain differentiated role</x:v>
      </x:c>
      <x:c r="F1088" s="6" t="str">
        <x:v>Local source render; live version unverified</x:v>
      </x:c>
      <x:c r="G1088" s="6" t="str">
        <x:v>Lexus Transmission Repair Dubai | Digi-Tec</x:v>
      </x:c>
      <x:c r="H1088" s="6" t="str">
        <x:v>Lexus Transmission Repair Dubai | Digi-Tec</x:v>
      </x:c>
      <x:c r="I1088" s="6" t="str">
        <x:v>Lexus Transmission Repair Dubai</x:v>
      </x:c>
      <x:c r="J1088" s="6" t="str">
        <x:v>Lexus Transmission Repair Dubai</x:v>
      </x:c>
      <x:c r="K1088" s="6" t="str">
        <x:v>Lexus transmission repair in Dubai with model-specific inspection, confirmed parts options and a clear quote at Digi-Tec, Al Quoz.</x:v>
      </x:c>
      <x:c r="L1088" s="6" t="str">
        <x:v>Retain pending evidence; no specific content edit justified by this export.</x:v>
      </x:c>
      <x:c r="M1088" s="6" t="str">
        <x:v>Retain; inspect relevant context before adding links</x:v>
      </x:c>
      <x:c r="N1088" s="6" t="str">
        <x:v>Unconfirmed — no query/page pairing</x:v>
      </x:c>
      <x:c r="O1088" s="6" t="str">
        <x:v>Retain established booking / WhatsApp / call path; live behaviour untested</x:v>
      </x:c>
      <x:c r="P1088" s="6" t="str">
        <x:v>Retain canonical and indexation policy pending a live check.</x:v>
      </x:c>
      <x:c r="Q1088" s="6" t="str">
        <x:v>Proposed; no website change made</x:v>
      </x:c>
      <x:c r="R1088" s="14" t="n">
        <x:v>0</x:v>
      </x:c>
      <x:c r="S1088" s="14" t="n">
        <x:v>48</x:v>
      </x:c>
      <x:c r="T1088" s="15" t="n">
        <x:v>0</x:v>
      </x:c>
      <x:c r="U1088" s="16" t="n">
        <x:v>14.44</x:v>
      </x:c>
      <x:c r="V1088" s="6" t="str">
        <x:v>https://digitecme.com/brands/lexus-service-dubai/transmission-repair</x:v>
      </x:c>
      <x:c r="W1088" s="6" t="str">
        <x:v>Indexable directive</x:v>
      </x:c>
      <x:c r="X1088" s="6" t="n">
        <x:v>8</x:v>
      </x:c>
      <x:c r="Y1088" s="6" t="str">
        <x:v>Lexus Transmission Repair Dubai | Digi-Tec</x:v>
      </x:c>
      <x:c r="Z1088" s="6" t="str"/>
      <x:c r="AA1088" s="6" t="str">
        <x:v>No / not compared</x:v>
      </x:c>
    </x:row>
    <x:row r="1089" ht="42" customHeight="1">
      <x:c r="A1089" s="6" t="str">
        <x:v>https://digitecme.com/brands/lincoln-service-dubai</x:v>
      </x:c>
      <x:c r="B1089" s="6" t="str">
        <x:v>lincoln service dubai</x:v>
      </x:c>
      <x:c r="C1089" s="6" t="str">
        <x:v>lincoln: Service and repair (English)</x:v>
      </x:c>
      <x:c r="D1089" s="6" t="str">
        <x:v>brand</x:v>
      </x:c>
      <x:c r="E1089" s="6" t="str">
        <x:v>Primary owner for assigned intent</x:v>
      </x:c>
      <x:c r="F1089" s="6" t="str">
        <x:v>Local source render; live version unverified</x:v>
      </x:c>
      <x:c r="G1089" s="6" t="str">
        <x:v>Lincoln Repair Dubai | Digi-Tec</x:v>
      </x:c>
      <x:c r="H1089" s="6" t="str">
        <x:v>Lincoln Repair Dubai | Digi-Tec</x:v>
      </x:c>
      <x:c r="I1089" s="6" t="str">
        <x:v>Lincoln Repair &amp; Service Dubai</x:v>
      </x:c>
      <x:c r="J1089" s="6" t="str">
        <x:v>Lincoln Repair &amp; Service Dubai</x:v>
      </x:c>
      <x:c r="K1089" s="6" t="str">
        <x:v>Specialist Lincoln repair and service in Dubai: diagnostics, maintenance, brakes, transmission, suspension and AC at Digi-Tec, Al Quoz.</x:v>
      </x:c>
      <x:c r="L1089" s="6" t="str">
        <x:v>Retain pending evidence; no specific content edit justified by this export.</x:v>
      </x:c>
      <x:c r="M1089" s="6" t="str">
        <x:v>Retain; inspect relevant context before adding links</x:v>
      </x:c>
      <x:c r="N1089" s="6" t="str">
        <x:v>Unconfirmed — no query/page pairing</x:v>
      </x:c>
      <x:c r="O1089" s="6" t="str">
        <x:v>Retain established booking / WhatsApp / call path; live behaviour untested</x:v>
      </x:c>
      <x:c r="P1089" s="6" t="str">
        <x:v>Retain canonical and indexation policy pending a live check.</x:v>
      </x:c>
      <x:c r="Q1089" s="6" t="str">
        <x:v>Proposed; no website change made</x:v>
      </x:c>
      <x:c r="R1089" s="14" t="n">
        <x:v>0</x:v>
      </x:c>
      <x:c r="S1089" s="14" t="n">
        <x:v>110</x:v>
      </x:c>
      <x:c r="T1089" s="15" t="n">
        <x:v>0</x:v>
      </x:c>
      <x:c r="U1089" s="16" t="n">
        <x:v>31.54</x:v>
      </x:c>
      <x:c r="V1089" s="6" t="str">
        <x:v>https://digitecme.com/brands/lincoln-service-dubai</x:v>
      </x:c>
      <x:c r="W1089" s="6" t="str">
        <x:v>Indexable directive</x:v>
      </x:c>
      <x:c r="X1089" s="6" t="n">
        <x:v>28</x:v>
      </x:c>
      <x:c r="Y1089" s="6" t="str">
        <x:v>Lincoln Repair Dubai | Digi-Tec</x:v>
      </x:c>
      <x:c r="Z1089" s="6" t="str"/>
      <x:c r="AA1089" s="6" t="str">
        <x:v>No / not compared</x:v>
      </x:c>
    </x:row>
    <x:row r="1090" ht="42" customHeight="1">
      <x:c r="A1090" s="6" t="str">
        <x:v>https://digitecme.com/brands/lincoln-service-dubai/ac-repair</x:v>
      </x:c>
      <x:c r="B1090" s="6" t="str"/>
      <x:c r="C1090" s="6" t="str"/>
      <x:c r="D1090" s="6" t="str">
        <x:v>brand-service</x:v>
      </x:c>
      <x:c r="E1090" s="6" t="str">
        <x:v>Retain differentiated role</x:v>
      </x:c>
      <x:c r="F1090" s="6" t="str">
        <x:v>Local source render; live version unverified</x:v>
      </x:c>
      <x:c r="G1090" s="6" t="str">
        <x:v>Lincoln AC Repair Dubai | Digi-Tec</x:v>
      </x:c>
      <x:c r="H1090" s="6" t="str">
        <x:v>Lincoln AC Repair Dubai | Digi-Tec</x:v>
      </x:c>
      <x:c r="I1090" s="6" t="str">
        <x:v>Lincoln AC Repair Dubai</x:v>
      </x:c>
      <x:c r="J1090" s="6" t="str">
        <x:v>Lincoln AC Repair Dubai</x:v>
      </x:c>
      <x:c r="K1090" s="6" t="str">
        <x:v>Lincoln ac repair in Dubai with model-specific inspection, confirmed parts options and a clear quote at Digi-Tec, Al Quoz.</x:v>
      </x:c>
      <x:c r="L1090" s="6" t="str">
        <x:v>Retain pending evidence; no specific content edit justified by this export.</x:v>
      </x:c>
      <x:c r="M1090" s="6" t="str">
        <x:v>Retain; inspect relevant context before adding links</x:v>
      </x:c>
      <x:c r="N1090" s="6" t="str">
        <x:v>Unconfirmed — no query/page pairing</x:v>
      </x:c>
      <x:c r="O1090" s="6" t="str">
        <x:v>Retain established booking / WhatsApp / call path; live behaviour untested</x:v>
      </x:c>
      <x:c r="P1090" s="6" t="str">
        <x:v>Retain canonical and indexation policy pending a live check.</x:v>
      </x:c>
      <x:c r="Q1090" s="6" t="str">
        <x:v>Proposed; no website change made</x:v>
      </x:c>
      <x:c r="R1090" s="14" t="n">
        <x:v>0</x:v>
      </x:c>
      <x:c r="S1090" s="14" t="n">
        <x:v>6</x:v>
      </x:c>
      <x:c r="T1090" s="15" t="n">
        <x:v>0</x:v>
      </x:c>
      <x:c r="U1090" s="16" t="n">
        <x:v>14.33</x:v>
      </x:c>
      <x:c r="V1090" s="6" t="str">
        <x:v>https://digitecme.com/brands/lincoln-service-dubai/ac-repair</x:v>
      </x:c>
      <x:c r="W1090" s="6" t="str">
        <x:v>Indexable directive</x:v>
      </x:c>
      <x:c r="X1090" s="6" t="n">
        <x:v>8</x:v>
      </x:c>
      <x:c r="Y1090" s="6" t="str">
        <x:v>Lincoln AC Repair Dubai | Digi-Tec</x:v>
      </x:c>
      <x:c r="Z1090" s="6" t="str"/>
      <x:c r="AA1090" s="6" t="str">
        <x:v>No / not compared</x:v>
      </x:c>
    </x:row>
    <x:row r="1091" ht="42" customHeight="1">
      <x:c r="A1091" s="6" t="str">
        <x:v>https://digitecme.com/brands/lincoln-service-dubai/brake-repair</x:v>
      </x:c>
      <x:c r="B1091" s="6" t="str"/>
      <x:c r="C1091" s="6" t="str"/>
      <x:c r="D1091" s="6" t="str">
        <x:v>brand-service</x:v>
      </x:c>
      <x:c r="E1091" s="6" t="str">
        <x:v>Retain differentiated role</x:v>
      </x:c>
      <x:c r="F1091" s="6" t="str">
        <x:v>Local source render; live version unverified</x:v>
      </x:c>
      <x:c r="G1091" s="6" t="str">
        <x:v>Lincoln Brake Repair Dubai | Digi-Tec</x:v>
      </x:c>
      <x:c r="H1091" s="6" t="str">
        <x:v>Lincoln Brake Repair Dubai | Digi-Tec</x:v>
      </x:c>
      <x:c r="I1091" s="6" t="str">
        <x:v>Lincoln Brake Repair Dubai</x:v>
      </x:c>
      <x:c r="J1091" s="6" t="str">
        <x:v>Lincoln Brake Repair Dubai</x:v>
      </x:c>
      <x:c r="K1091" s="6" t="str">
        <x:v>Lincoln brake repair in Dubai with model-specific inspection, confirmed parts options and a clear quote at Digi-Tec, Al Quoz.</x:v>
      </x:c>
      <x:c r="L1091" s="6" t="str">
        <x:v>Retain pending evidence; no specific content edit justified by this export.</x:v>
      </x:c>
      <x:c r="M1091" s="6" t="str">
        <x:v>Retain; inspect relevant context before adding links</x:v>
      </x:c>
      <x:c r="N1091" s="6" t="str">
        <x:v>Unconfirmed — no query/page pairing</x:v>
      </x:c>
      <x:c r="O1091" s="6" t="str">
        <x:v>Retain established booking / WhatsApp / call path; live behaviour untested</x:v>
      </x:c>
      <x:c r="P1091" s="6" t="str">
        <x:v>Retain canonical and indexation policy pending a live check.</x:v>
      </x:c>
      <x:c r="Q1091" s="6" t="str">
        <x:v>Proposed; no website change made</x:v>
      </x:c>
      <x:c r="R1091" s="14" t="n">
        <x:v>0</x:v>
      </x:c>
      <x:c r="S1091" s="14" t="n">
        <x:v>7</x:v>
      </x:c>
      <x:c r="T1091" s="15" t="n">
        <x:v>0</x:v>
      </x:c>
      <x:c r="U1091" s="16" t="n">
        <x:v>15.57</x:v>
      </x:c>
      <x:c r="V1091" s="6" t="str">
        <x:v>https://digitecme.com/brands/lincoln-service-dubai/brake-repair</x:v>
      </x:c>
      <x:c r="W1091" s="6" t="str">
        <x:v>Indexable directive</x:v>
      </x:c>
      <x:c r="X1091" s="6" t="n">
        <x:v>8</x:v>
      </x:c>
      <x:c r="Y1091" s="6" t="str">
        <x:v>Lincoln Brake Repair Dubai | Digi-Tec</x:v>
      </x:c>
      <x:c r="Z1091" s="6" t="str"/>
      <x:c r="AA1091" s="6" t="str">
        <x:v>No / not compared</x:v>
      </x:c>
    </x:row>
    <x:row r="1092" ht="42" customHeight="1">
      <x:c r="A1092" s="6" t="str">
        <x:v>https://digitecme.com/brands/lincoln-service-dubai/engine-diagnostics</x:v>
      </x:c>
      <x:c r="B1092" s="6" t="str"/>
      <x:c r="C1092" s="6" t="str"/>
      <x:c r="D1092" s="6" t="str">
        <x:v>brand-service</x:v>
      </x:c>
      <x:c r="E1092" s="6" t="str">
        <x:v>Retain differentiated role</x:v>
      </x:c>
      <x:c r="F1092" s="6" t="str">
        <x:v>Local source render; live version unverified</x:v>
      </x:c>
      <x:c r="G1092" s="6" t="str">
        <x:v>Lincoln Engine Diagnostics Dubai | Digi-Tec</x:v>
      </x:c>
      <x:c r="H1092" s="6" t="str">
        <x:v>Lincoln Engine Diagnostics Dubai | Digi-Tec</x:v>
      </x:c>
      <x:c r="I1092" s="6" t="str">
        <x:v>Lincoln Engine Diagnostics Dubai</x:v>
      </x:c>
      <x:c r="J1092" s="6" t="str">
        <x:v>Lincoln Engine Diagnostics Dubai</x:v>
      </x:c>
      <x:c r="K1092" s="6" t="str">
        <x:v>Lincoln engine diagnostics in Dubai with model-specific inspection, confirmed parts options and a clear quote at Digi-Tec, Al Quoz.</x:v>
      </x:c>
      <x:c r="L1092" s="6" t="str">
        <x:v>Retain pending evidence; no specific content edit justified by this export.</x:v>
      </x:c>
      <x:c r="M1092" s="6" t="str">
        <x:v>Retain; inspect relevant context before adding links</x:v>
      </x:c>
      <x:c r="N1092" s="6" t="str">
        <x:v>Unconfirmed — no query/page pairing</x:v>
      </x:c>
      <x:c r="O1092" s="6" t="str">
        <x:v>Retain established booking / WhatsApp / call path; live behaviour untested</x:v>
      </x:c>
      <x:c r="P1092" s="6" t="str">
        <x:v>Retain canonical and indexation policy pending a live check.</x:v>
      </x:c>
      <x:c r="Q1092" s="6" t="str">
        <x:v>Proposed; no website change made</x:v>
      </x:c>
      <x:c r="R1092" s="14"/>
      <x:c r="S1092" s="14"/>
      <x:c r="T1092" s="15"/>
      <x:c r="U1092" s="16"/>
      <x:c r="V1092" s="6" t="str">
        <x:v>https://digitecme.com/brands/lincoln-service-dubai/engine-diagnostics</x:v>
      </x:c>
      <x:c r="W1092" s="6" t="str">
        <x:v>Indexable directive</x:v>
      </x:c>
      <x:c r="X1092" s="6" t="n">
        <x:v>8</x:v>
      </x:c>
      <x:c r="Y1092" s="6" t="str">
        <x:v>Lincoln Engine Diagnostics Dubai | Digi-Tec</x:v>
      </x:c>
      <x:c r="Z1092" s="6" t="str"/>
      <x:c r="AA1092" s="6" t="str">
        <x:v>No / not compared</x:v>
      </x:c>
    </x:row>
    <x:row r="1093" ht="42" customHeight="1">
      <x:c r="A1093" s="6" t="str">
        <x:v>https://digitecme.com/brands/lincoln-service-dubai/oil-change</x:v>
      </x:c>
      <x:c r="B1093" s="6" t="str"/>
      <x:c r="C1093" s="6" t="str"/>
      <x:c r="D1093" s="6" t="str">
        <x:v>brand-service</x:v>
      </x:c>
      <x:c r="E1093" s="6" t="str">
        <x:v>Retain differentiated role</x:v>
      </x:c>
      <x:c r="F1093" s="6" t="str">
        <x:v>Local source render; live version unverified</x:v>
      </x:c>
      <x:c r="G1093" s="6" t="str">
        <x:v>Lincoln Oil Change Dubai | Digi-Tec</x:v>
      </x:c>
      <x:c r="H1093" s="6" t="str">
        <x:v>Lincoln Oil Change Dubai | Digi-Tec</x:v>
      </x:c>
      <x:c r="I1093" s="6" t="str">
        <x:v>Lincoln Oil Change Dubai</x:v>
      </x:c>
      <x:c r="J1093" s="6" t="str">
        <x:v>Lincoln Oil Change Dubai</x:v>
      </x:c>
      <x:c r="K1093" s="6" t="str">
        <x:v>Lincoln oil change in Dubai with model-specific inspection, confirmed parts options and a clear quote at Digi-Tec, Al Quoz.</x:v>
      </x:c>
      <x:c r="L1093" s="6" t="str">
        <x:v>Retain pending evidence; no specific content edit justified by this export.</x:v>
      </x:c>
      <x:c r="M1093" s="6" t="str">
        <x:v>Retain; inspect relevant context before adding links</x:v>
      </x:c>
      <x:c r="N1093" s="6" t="str">
        <x:v>Unconfirmed — no query/page pairing</x:v>
      </x:c>
      <x:c r="O1093" s="6" t="str">
        <x:v>Retain established booking / WhatsApp / call path; live behaviour untested</x:v>
      </x:c>
      <x:c r="P1093" s="6" t="str">
        <x:v>Retain canonical and indexation policy pending a live check.</x:v>
      </x:c>
      <x:c r="Q1093" s="6" t="str">
        <x:v>Proposed; no website change made</x:v>
      </x:c>
      <x:c r="R1093" s="14" t="n">
        <x:v>0</x:v>
      </x:c>
      <x:c r="S1093" s="14" t="n">
        <x:v>1</x:v>
      </x:c>
      <x:c r="T1093" s="15" t="n">
        <x:v>0</x:v>
      </x:c>
      <x:c r="U1093" s="16" t="n">
        <x:v>15</x:v>
      </x:c>
      <x:c r="V1093" s="6" t="str">
        <x:v>https://digitecme.com/brands/lincoln-service-dubai/oil-change</x:v>
      </x:c>
      <x:c r="W1093" s="6" t="str">
        <x:v>Indexable directive</x:v>
      </x:c>
      <x:c r="X1093" s="6" t="n">
        <x:v>8</x:v>
      </x:c>
      <x:c r="Y1093" s="6" t="str">
        <x:v>Lincoln Oil Change Dubai | Digi-Tec</x:v>
      </x:c>
      <x:c r="Z1093" s="6" t="str"/>
      <x:c r="AA1093" s="6" t="str">
        <x:v>No / not compared</x:v>
      </x:c>
    </x:row>
    <x:row r="1094" ht="42" customHeight="1">
      <x:c r="A1094" s="6" t="str">
        <x:v>https://digitecme.com/brands/lincoln-service-dubai/suspension-repair</x:v>
      </x:c>
      <x:c r="B1094" s="6" t="str"/>
      <x:c r="C1094" s="6" t="str"/>
      <x:c r="D1094" s="6" t="str">
        <x:v>brand-service</x:v>
      </x:c>
      <x:c r="E1094" s="6" t="str">
        <x:v>Retain differentiated role</x:v>
      </x:c>
      <x:c r="F1094" s="6" t="str">
        <x:v>Local source render; live version unverified</x:v>
      </x:c>
      <x:c r="G1094" s="6" t="str">
        <x:v>Lincoln Suspension Repair Dubai | Digi-Tec</x:v>
      </x:c>
      <x:c r="H1094" s="6" t="str">
        <x:v>Lincoln Suspension Repair Dubai | Digi-Tec</x:v>
      </x:c>
      <x:c r="I1094" s="6" t="str">
        <x:v>Lincoln Suspension Repair Dubai</x:v>
      </x:c>
      <x:c r="J1094" s="6" t="str">
        <x:v>Lincoln Suspension Repair Dubai</x:v>
      </x:c>
      <x:c r="K1094" s="6" t="str">
        <x:v>Lincoln suspension repair in Dubai with model-specific inspection, confirmed parts options and a clear quote at Digi-Tec, Al Quoz.</x:v>
      </x:c>
      <x:c r="L1094" s="6" t="str">
        <x:v>Retain pending evidence; no specific content edit justified by this export.</x:v>
      </x:c>
      <x:c r="M1094" s="6" t="str">
        <x:v>Retain; inspect relevant context before adding links</x:v>
      </x:c>
      <x:c r="N1094" s="6" t="str">
        <x:v>Unconfirmed — no query/page pairing</x:v>
      </x:c>
      <x:c r="O1094" s="6" t="str">
        <x:v>Retain established booking / WhatsApp / call path; live behaviour untested</x:v>
      </x:c>
      <x:c r="P1094" s="6" t="str">
        <x:v>Retain canonical and indexation policy pending a live check.</x:v>
      </x:c>
      <x:c r="Q1094" s="6" t="str">
        <x:v>Proposed; no website change made</x:v>
      </x:c>
      <x:c r="R1094" s="14" t="n">
        <x:v>0</x:v>
      </x:c>
      <x:c r="S1094" s="14" t="n">
        <x:v>9</x:v>
      </x:c>
      <x:c r="T1094" s="15" t="n">
        <x:v>0</x:v>
      </x:c>
      <x:c r="U1094" s="16" t="n">
        <x:v>15.56</x:v>
      </x:c>
      <x:c r="V1094" s="6" t="str">
        <x:v>https://digitecme.com/brands/lincoln-service-dubai/suspension-repair</x:v>
      </x:c>
      <x:c r="W1094" s="6" t="str">
        <x:v>Noindex directive</x:v>
      </x:c>
      <x:c r="X1094" s="6" t="n">
        <x:v>8</x:v>
      </x:c>
      <x:c r="Y1094" s="6" t="str">
        <x:v>Lincoln Suspension Repair Dubai | Digi-Tec</x:v>
      </x:c>
      <x:c r="Z1094" s="6" t="str"/>
      <x:c r="AA1094" s="6" t="str">
        <x:v>No / not compared</x:v>
      </x:c>
    </x:row>
    <x:row r="1095" ht="42" customHeight="1">
      <x:c r="A1095" s="6" t="str">
        <x:v>https://digitecme.com/brands/lincoln-service-dubai/transmission-repair</x:v>
      </x:c>
      <x:c r="B1095" s="6" t="str"/>
      <x:c r="C1095" s="6" t="str"/>
      <x:c r="D1095" s="6" t="str">
        <x:v>brand-service</x:v>
      </x:c>
      <x:c r="E1095" s="6" t="str">
        <x:v>Retain differentiated role</x:v>
      </x:c>
      <x:c r="F1095" s="6" t="str">
        <x:v>Local source render; live version unverified</x:v>
      </x:c>
      <x:c r="G1095" s="6" t="str">
        <x:v>Lincoln Transmission Repair Dubai | Digi-Tec</x:v>
      </x:c>
      <x:c r="H1095" s="6" t="str">
        <x:v>Lincoln Transmission Repair Dubai | Digi-Tec</x:v>
      </x:c>
      <x:c r="I1095" s="6" t="str">
        <x:v>Lincoln Transmission Repair Dubai</x:v>
      </x:c>
      <x:c r="J1095" s="6" t="str">
        <x:v>Lincoln Transmission Repair Dubai</x:v>
      </x:c>
      <x:c r="K1095" s="6" t="str">
        <x:v>Lincoln transmission repair in Dubai with model-specific inspection, confirmed parts options and a clear quote at Digi-Tec, Al Quoz.</x:v>
      </x:c>
      <x:c r="L1095" s="6" t="str">
        <x:v>Retain pending evidence; no specific content edit justified by this export.</x:v>
      </x:c>
      <x:c r="M1095" s="6" t="str">
        <x:v>Retain; inspect relevant context before adding links</x:v>
      </x:c>
      <x:c r="N1095" s="6" t="str">
        <x:v>Unconfirmed — no query/page pairing</x:v>
      </x:c>
      <x:c r="O1095" s="6" t="str">
        <x:v>Retain established booking / WhatsApp / call path; live behaviour untested</x:v>
      </x:c>
      <x:c r="P1095" s="6" t="str">
        <x:v>Retain canonical and indexation policy pending a live check.</x:v>
      </x:c>
      <x:c r="Q1095" s="6" t="str">
        <x:v>Proposed; no website change made</x:v>
      </x:c>
      <x:c r="R1095" s="14" t="n">
        <x:v>0</x:v>
      </x:c>
      <x:c r="S1095" s="14" t="n">
        <x:v>4</x:v>
      </x:c>
      <x:c r="T1095" s="15" t="n">
        <x:v>0</x:v>
      </x:c>
      <x:c r="U1095" s="16" t="n">
        <x:v>19.75</x:v>
      </x:c>
      <x:c r="V1095" s="6" t="str">
        <x:v>https://digitecme.com/brands/lincoln-service-dubai/transmission-repair</x:v>
      </x:c>
      <x:c r="W1095" s="6" t="str">
        <x:v>Noindex directive</x:v>
      </x:c>
      <x:c r="X1095" s="6" t="n">
        <x:v>8</x:v>
      </x:c>
      <x:c r="Y1095" s="6" t="str">
        <x:v>Lincoln Transmission Repair Dubai | Digi-Tec</x:v>
      </x:c>
      <x:c r="Z1095" s="6" t="str"/>
      <x:c r="AA1095" s="6" t="str">
        <x:v>No / not compared</x:v>
      </x:c>
    </x:row>
    <x:row r="1096" ht="42" customHeight="1">
      <x:c r="A1096" s="6" t="str">
        <x:v>https://digitecme.com/brands/lotus-service-dubai</x:v>
      </x:c>
      <x:c r="B1096" s="6" t="str">
        <x:v>lotus repair dubai</x:v>
      </x:c>
      <x:c r="C1096" s="6" t="str">
        <x:v>lotus: Service and repair; lotus: Engine and mechanical repair</x:v>
      </x:c>
      <x:c r="D1096" s="6" t="str">
        <x:v>brand</x:v>
      </x:c>
      <x:c r="E1096" s="6" t="str">
        <x:v>Primary owner for assigned intent</x:v>
      </x:c>
      <x:c r="F1096" s="6" t="str">
        <x:v>Local source render; live version unverified</x:v>
      </x:c>
      <x:c r="G1096" s="6" t="str">
        <x:v>Lotus Repair Dubai | Digi-Tec</x:v>
      </x:c>
      <x:c r="H1096" s="6" t="str">
        <x:v>Lotus Repair Dubai | Digi-Tec</x:v>
      </x:c>
      <x:c r="I1096" s="6" t="str">
        <x:v>Lotus Repair &amp; Service Dubai</x:v>
      </x:c>
      <x:c r="J1096" s="6" t="str">
        <x:v>Lotus Repair &amp; Service Dubai</x:v>
      </x:c>
      <x:c r="K1096" s="6" t="str">
        <x:v>Specialist Lotus repair and service in Dubai: diagnostics, maintenance, brakes, transmission, suspension and AC at Digi-Tec, Al Quoz.</x:v>
      </x:c>
      <x:c r="L1096" s="6" t="str">
        <x:v>Retain pending evidence; no specific content edit justified by this export.</x:v>
      </x:c>
      <x:c r="M1096" s="6" t="str">
        <x:v>Retain; inspect relevant context before adding links</x:v>
      </x:c>
      <x:c r="N1096" s="6" t="str">
        <x:v>Unconfirmed — no query/page pairing</x:v>
      </x:c>
      <x:c r="O1096" s="6" t="str">
        <x:v>Retain established booking / WhatsApp / call path; live behaviour untested</x:v>
      </x:c>
      <x:c r="P1096" s="6" t="str">
        <x:v>Retain canonical and indexation policy pending a live check.</x:v>
      </x:c>
      <x:c r="Q1096" s="6" t="str">
        <x:v>Proposed; no website change made</x:v>
      </x:c>
      <x:c r="R1096" s="14" t="n">
        <x:v>1</x:v>
      </x:c>
      <x:c r="S1096" s="14" t="n">
        <x:v>156</x:v>
      </x:c>
      <x:c r="T1096" s="15" t="n">
        <x:v>0.0064</x:v>
      </x:c>
      <x:c r="U1096" s="16" t="n">
        <x:v>11.41</x:v>
      </x:c>
      <x:c r="V1096" s="6" t="str">
        <x:v>https://digitecme.com/brands/lotus-service-dubai</x:v>
      </x:c>
      <x:c r="W1096" s="6" t="str">
        <x:v>Indexable directive</x:v>
      </x:c>
      <x:c r="X1096" s="6" t="n">
        <x:v>28</x:v>
      </x:c>
      <x:c r="Y1096" s="6" t="str">
        <x:v>Lotus Repair Dubai | Digi-Tec</x:v>
      </x:c>
      <x:c r="Z1096" s="6" t="str"/>
      <x:c r="AA1096" s="6" t="str">
        <x:v>No / not compared</x:v>
      </x:c>
    </x:row>
    <x:row r="1097" ht="42" customHeight="1">
      <x:c r="A1097" s="6" t="str">
        <x:v>https://digitecme.com/brands/lotus-service-dubai/ac-repair</x:v>
      </x:c>
      <x:c r="B1097" s="6" t="str"/>
      <x:c r="C1097" s="6" t="str"/>
      <x:c r="D1097" s="6" t="str">
        <x:v>brand-service</x:v>
      </x:c>
      <x:c r="E1097" s="6" t="str">
        <x:v>Retain differentiated role</x:v>
      </x:c>
      <x:c r="F1097" s="6" t="str">
        <x:v>Local source render; live version unverified</x:v>
      </x:c>
      <x:c r="G1097" s="6" t="str">
        <x:v>Lotus AC Repair Dubai | Digi-Tec</x:v>
      </x:c>
      <x:c r="H1097" s="6" t="str">
        <x:v>Lotus AC Repair Dubai | Digi-Tec</x:v>
      </x:c>
      <x:c r="I1097" s="6" t="str">
        <x:v>Lotus AC Repair Dubai</x:v>
      </x:c>
      <x:c r="J1097" s="6" t="str">
        <x:v>Lotus AC Repair Dubai</x:v>
      </x:c>
      <x:c r="K1097" s="6" t="str">
        <x:v>Lotus ac repair in Dubai with model-specific inspection, confirmed parts options and a clear quote at Digi-Tec, Al Quoz.</x:v>
      </x:c>
      <x:c r="L1097" s="6" t="str">
        <x:v>Retain pending evidence; no specific content edit justified by this export.</x:v>
      </x:c>
      <x:c r="M1097" s="6" t="str">
        <x:v>Retain; inspect relevant context before adding links</x:v>
      </x:c>
      <x:c r="N1097" s="6" t="str">
        <x:v>Unconfirmed — no query/page pairing</x:v>
      </x:c>
      <x:c r="O1097" s="6" t="str">
        <x:v>Retain established booking / WhatsApp / call path; live behaviour untested</x:v>
      </x:c>
      <x:c r="P1097" s="6" t="str">
        <x:v>Retain canonical and indexation policy pending a live check.</x:v>
      </x:c>
      <x:c r="Q1097" s="6" t="str">
        <x:v>Proposed; no website change made</x:v>
      </x:c>
      <x:c r="R1097" s="14" t="n">
        <x:v>1</x:v>
      </x:c>
      <x:c r="S1097" s="14" t="n">
        <x:v>8</x:v>
      </x:c>
      <x:c r="T1097" s="15" t="n">
        <x:v>0.125</x:v>
      </x:c>
      <x:c r="U1097" s="16" t="n">
        <x:v>3.5</x:v>
      </x:c>
      <x:c r="V1097" s="6" t="str">
        <x:v>https://digitecme.com/brands/lotus-service-dubai/ac-repair</x:v>
      </x:c>
      <x:c r="W1097" s="6" t="str">
        <x:v>Indexable directive</x:v>
      </x:c>
      <x:c r="X1097" s="6" t="n">
        <x:v>8</x:v>
      </x:c>
      <x:c r="Y1097" s="6" t="str">
        <x:v>Lotus AC Repair Dubai | Digi-Tec</x:v>
      </x:c>
      <x:c r="Z1097" s="6" t="str"/>
      <x:c r="AA1097" s="6" t="str">
        <x:v>No / not compared</x:v>
      </x:c>
    </x:row>
    <x:row r="1098" ht="42" customHeight="1">
      <x:c r="A1098" s="6" t="str">
        <x:v>https://digitecme.com/brands/lotus-service-dubai/brake-repair</x:v>
      </x:c>
      <x:c r="B1098" s="6" t="str"/>
      <x:c r="C1098" s="6" t="str"/>
      <x:c r="D1098" s="6" t="str">
        <x:v>brand-service</x:v>
      </x:c>
      <x:c r="E1098" s="6" t="str">
        <x:v>Retain differentiated role</x:v>
      </x:c>
      <x:c r="F1098" s="6" t="str">
        <x:v>Local source render; live version unverified</x:v>
      </x:c>
      <x:c r="G1098" s="6" t="str">
        <x:v>Lotus Brake Repair Dubai | Digi-Tec</x:v>
      </x:c>
      <x:c r="H1098" s="6" t="str">
        <x:v>Lotus Brake Repair Dubai | Digi-Tec</x:v>
      </x:c>
      <x:c r="I1098" s="6" t="str">
        <x:v>Lotus Brake Repair Dubai</x:v>
      </x:c>
      <x:c r="J1098" s="6" t="str">
        <x:v>Lotus Brake Repair Dubai</x:v>
      </x:c>
      <x:c r="K1098" s="6" t="str">
        <x:v>Lotus brake repair in Dubai with model-specific inspection, confirmed parts options and a clear quote at Digi-Tec, Al Quoz.</x:v>
      </x:c>
      <x:c r="L1098" s="6" t="str">
        <x:v>Retain pending evidence; no specific content edit justified by this export.</x:v>
      </x:c>
      <x:c r="M1098" s="6" t="str">
        <x:v>Retain; inspect relevant context before adding links</x:v>
      </x:c>
      <x:c r="N1098" s="6" t="str">
        <x:v>Unconfirmed — no query/page pairing</x:v>
      </x:c>
      <x:c r="O1098" s="6" t="str">
        <x:v>Retain established booking / WhatsApp / call path; live behaviour untested</x:v>
      </x:c>
      <x:c r="P1098" s="6" t="str">
        <x:v>Retain canonical and indexation policy pending a live check.</x:v>
      </x:c>
      <x:c r="Q1098" s="6" t="str">
        <x:v>Proposed; no website change made</x:v>
      </x:c>
      <x:c r="R1098" s="14" t="n">
        <x:v>0</x:v>
      </x:c>
      <x:c r="S1098" s="14" t="n">
        <x:v>4</x:v>
      </x:c>
      <x:c r="T1098" s="15" t="n">
        <x:v>0</x:v>
      </x:c>
      <x:c r="U1098" s="16" t="n">
        <x:v>59</x:v>
      </x:c>
      <x:c r="V1098" s="6" t="str">
        <x:v>https://digitecme.com/brands/lotus-service-dubai/brake-repair</x:v>
      </x:c>
      <x:c r="W1098" s="6" t="str">
        <x:v>Indexable directive</x:v>
      </x:c>
      <x:c r="X1098" s="6" t="n">
        <x:v>8</x:v>
      </x:c>
      <x:c r="Y1098" s="6" t="str">
        <x:v>Lotus Brake Repair Dubai | Digi-Tec</x:v>
      </x:c>
      <x:c r="Z1098" s="6" t="str"/>
      <x:c r="AA1098" s="6" t="str">
        <x:v>No / not compared</x:v>
      </x:c>
    </x:row>
    <x:row r="1099" ht="42" customHeight="1">
      <x:c r="A1099" s="6" t="str">
        <x:v>https://digitecme.com/brands/lotus-service-dubai/engine-diagnostics</x:v>
      </x:c>
      <x:c r="B1099" s="6" t="str"/>
      <x:c r="C1099" s="6" t="str"/>
      <x:c r="D1099" s="6" t="str">
        <x:v>brand-service</x:v>
      </x:c>
      <x:c r="E1099" s="6" t="str">
        <x:v>Retain differentiated role</x:v>
      </x:c>
      <x:c r="F1099" s="6" t="str">
        <x:v>Local source render; live version unverified</x:v>
      </x:c>
      <x:c r="G1099" s="6" t="str">
        <x:v>Lotus Engine Diagnostics Dubai | Digi-Tec</x:v>
      </x:c>
      <x:c r="H1099" s="6" t="str">
        <x:v>Lotus Engine Diagnostics Dubai | Digi-Tec</x:v>
      </x:c>
      <x:c r="I1099" s="6" t="str">
        <x:v>Lotus Engine Diagnostics Dubai</x:v>
      </x:c>
      <x:c r="J1099" s="6" t="str">
        <x:v>Lotus Engine Diagnostics Dubai</x:v>
      </x:c>
      <x:c r="K1099" s="6" t="str">
        <x:v>Lotus engine diagnostics in Dubai with model-specific inspection, confirmed parts options and a clear quote at Digi-Tec, Al Quoz.</x:v>
      </x:c>
      <x:c r="L1099" s="6" t="str">
        <x:v>Retain pending evidence; no specific content edit justified by this export.</x:v>
      </x:c>
      <x:c r="M1099" s="6" t="str">
        <x:v>Retain; inspect relevant context before adding links</x:v>
      </x:c>
      <x:c r="N1099" s="6" t="str">
        <x:v>Unconfirmed — no query/page pairing</x:v>
      </x:c>
      <x:c r="O1099" s="6" t="str">
        <x:v>Retain established booking / WhatsApp / call path; live behaviour untested</x:v>
      </x:c>
      <x:c r="P1099" s="6" t="str">
        <x:v>Retain canonical and indexation policy pending a live check.</x:v>
      </x:c>
      <x:c r="Q1099" s="6" t="str">
        <x:v>Proposed; no website change made</x:v>
      </x:c>
      <x:c r="R1099" s="14" t="n">
        <x:v>1</x:v>
      </x:c>
      <x:c r="S1099" s="14" t="n">
        <x:v>4</x:v>
      </x:c>
      <x:c r="T1099" s="15" t="n">
        <x:v>0.25</x:v>
      </x:c>
      <x:c r="U1099" s="16" t="n">
        <x:v>14.75</x:v>
      </x:c>
      <x:c r="V1099" s="6" t="str">
        <x:v>https://digitecme.com/brands/lotus-service-dubai/engine-diagnostics</x:v>
      </x:c>
      <x:c r="W1099" s="6" t="str">
        <x:v>Indexable directive</x:v>
      </x:c>
      <x:c r="X1099" s="6" t="n">
        <x:v>8</x:v>
      </x:c>
      <x:c r="Y1099" s="6" t="str">
        <x:v>Lotus Engine Diagnostics Dubai | Digi-Tec</x:v>
      </x:c>
      <x:c r="Z1099" s="6" t="str"/>
      <x:c r="AA1099" s="6" t="str">
        <x:v>No / not compared</x:v>
      </x:c>
    </x:row>
    <x:row r="1100" ht="42" customHeight="1">
      <x:c r="A1100" s="6" t="str">
        <x:v>https://digitecme.com/brands/lotus-service-dubai/oil-change</x:v>
      </x:c>
      <x:c r="B1100" s="6" t="str"/>
      <x:c r="C1100" s="6" t="str"/>
      <x:c r="D1100" s="6" t="str">
        <x:v>brand-service</x:v>
      </x:c>
      <x:c r="E1100" s="6" t="str">
        <x:v>Retain differentiated role</x:v>
      </x:c>
      <x:c r="F1100" s="6" t="str">
        <x:v>Local source render; live version unverified</x:v>
      </x:c>
      <x:c r="G1100" s="6" t="str">
        <x:v>Lotus Oil Change Dubai | Digi-Tec</x:v>
      </x:c>
      <x:c r="H1100" s="6" t="str">
        <x:v>Lotus Oil Change Dubai | Digi-Tec</x:v>
      </x:c>
      <x:c r="I1100" s="6" t="str">
        <x:v>Lotus Oil Change Dubai</x:v>
      </x:c>
      <x:c r="J1100" s="6" t="str">
        <x:v>Lotus Oil Change Dubai</x:v>
      </x:c>
      <x:c r="K1100" s="6" t="str">
        <x:v>Lotus oil change in Dubai with model-specific inspection, confirmed parts options and a clear quote at Digi-Tec, Al Quoz.</x:v>
      </x:c>
      <x:c r="L1100" s="6" t="str">
        <x:v>Retain pending evidence; no specific content edit justified by this export.</x:v>
      </x:c>
      <x:c r="M1100" s="6" t="str">
        <x:v>Retain; inspect relevant context before adding links</x:v>
      </x:c>
      <x:c r="N1100" s="6" t="str">
        <x:v>Unconfirmed — no query/page pairing</x:v>
      </x:c>
      <x:c r="O1100" s="6" t="str">
        <x:v>Retain established booking / WhatsApp / call path; live behaviour untested</x:v>
      </x:c>
      <x:c r="P1100" s="6" t="str">
        <x:v>Retain canonical and indexation policy pending a live check.</x:v>
      </x:c>
      <x:c r="Q1100" s="6" t="str">
        <x:v>Proposed; no website change made</x:v>
      </x:c>
      <x:c r="R1100" s="14" t="n">
        <x:v>0</x:v>
      </x:c>
      <x:c r="S1100" s="14" t="n">
        <x:v>1</x:v>
      </x:c>
      <x:c r="T1100" s="15" t="n">
        <x:v>0</x:v>
      </x:c>
      <x:c r="U1100" s="16" t="n">
        <x:v>55</x:v>
      </x:c>
      <x:c r="V1100" s="6" t="str">
        <x:v>https://digitecme.com/brands/lotus-service-dubai/oil-change</x:v>
      </x:c>
      <x:c r="W1100" s="6" t="str">
        <x:v>Indexable directive</x:v>
      </x:c>
      <x:c r="X1100" s="6" t="n">
        <x:v>8</x:v>
      </x:c>
      <x:c r="Y1100" s="6" t="str">
        <x:v>Lotus Oil Change Dubai | Digi-Tec</x:v>
      </x:c>
      <x:c r="Z1100" s="6" t="str"/>
      <x:c r="AA1100" s="6" t="str">
        <x:v>No / not compared</x:v>
      </x:c>
    </x:row>
    <x:row r="1101" ht="42" customHeight="1">
      <x:c r="A1101" s="6" t="str">
        <x:v>https://digitecme.com/brands/lotus-service-dubai/suspension-repair</x:v>
      </x:c>
      <x:c r="B1101" s="6" t="str"/>
      <x:c r="C1101" s="6" t="str"/>
      <x:c r="D1101" s="6" t="str">
        <x:v>brand-service</x:v>
      </x:c>
      <x:c r="E1101" s="6" t="str">
        <x:v>Retain differentiated role</x:v>
      </x:c>
      <x:c r="F1101" s="6" t="str">
        <x:v>Local source render; live version unverified</x:v>
      </x:c>
      <x:c r="G1101" s="6" t="str">
        <x:v>Lotus Suspension Repair Dubai | Digi-Tec</x:v>
      </x:c>
      <x:c r="H1101" s="6" t="str">
        <x:v>Lotus Suspension Repair Dubai | Digi-Tec</x:v>
      </x:c>
      <x:c r="I1101" s="6" t="str">
        <x:v>Lotus Suspension Repair Dubai</x:v>
      </x:c>
      <x:c r="J1101" s="6" t="str">
        <x:v>Lotus Suspension Repair Dubai</x:v>
      </x:c>
      <x:c r="K1101" s="6" t="str">
        <x:v>Lotus suspension repair in Dubai with model-specific inspection, confirmed parts options and a clear quote at Digi-Tec, Al Quoz.</x:v>
      </x:c>
      <x:c r="L1101" s="6" t="str">
        <x:v>Retain pending evidence; no specific content edit justified by this export.</x:v>
      </x:c>
      <x:c r="M1101" s="6" t="str">
        <x:v>Retain; inspect relevant context before adding links</x:v>
      </x:c>
      <x:c r="N1101" s="6" t="str">
        <x:v>Unconfirmed — no query/page pairing</x:v>
      </x:c>
      <x:c r="O1101" s="6" t="str">
        <x:v>Retain established booking / WhatsApp / call path; live behaviour untested</x:v>
      </x:c>
      <x:c r="P1101" s="6" t="str">
        <x:v>Retain canonical and indexation policy pending a live check.</x:v>
      </x:c>
      <x:c r="Q1101" s="6" t="str">
        <x:v>Proposed; no website change made</x:v>
      </x:c>
      <x:c r="R1101" s="14" t="n">
        <x:v>0</x:v>
      </x:c>
      <x:c r="S1101" s="14" t="n">
        <x:v>9</x:v>
      </x:c>
      <x:c r="T1101" s="15" t="n">
        <x:v>0</x:v>
      </x:c>
      <x:c r="U1101" s="16" t="n">
        <x:v>38.56</x:v>
      </x:c>
      <x:c r="V1101" s="6" t="str">
        <x:v>https://digitecme.com/brands/lotus-service-dubai/suspension-repair</x:v>
      </x:c>
      <x:c r="W1101" s="6" t="str">
        <x:v>Noindex directive</x:v>
      </x:c>
      <x:c r="X1101" s="6" t="n">
        <x:v>8</x:v>
      </x:c>
      <x:c r="Y1101" s="6" t="str">
        <x:v>Lotus Suspension Repair Dubai | Digi-Tec</x:v>
      </x:c>
      <x:c r="Z1101" s="6" t="str"/>
      <x:c r="AA1101" s="6" t="str">
        <x:v>No / not compared</x:v>
      </x:c>
    </x:row>
    <x:row r="1102" ht="42" customHeight="1">
      <x:c r="A1102" s="6" t="str">
        <x:v>https://digitecme.com/brands/lotus-service-dubai/transmission-repair</x:v>
      </x:c>
      <x:c r="B1102" s="6" t="str">
        <x:v>lotus transmission repair dubai</x:v>
      </x:c>
      <x:c r="C1102" s="6" t="str">
        <x:v>lotus: Transmission and gearbox repair</x:v>
      </x:c>
      <x:c r="D1102" s="6" t="str">
        <x:v>brand-service</x:v>
      </x:c>
      <x:c r="E1102" s="6" t="str">
        <x:v>Primary owner for assigned intent</x:v>
      </x:c>
      <x:c r="F1102" s="6" t="str">
        <x:v>Local source render; live version unverified</x:v>
      </x:c>
      <x:c r="G1102" s="6" t="str">
        <x:v>Lotus Transmission Repair Dubai | Digi-Tec</x:v>
      </x:c>
      <x:c r="H1102" s="6" t="str">
        <x:v>Lotus Transmission Repair Dubai | Digi-Tec</x:v>
      </x:c>
      <x:c r="I1102" s="6" t="str">
        <x:v>Lotus Transmission Repair Dubai</x:v>
      </x:c>
      <x:c r="J1102" s="6" t="str">
        <x:v>Lotus Transmission Repair Dubai</x:v>
      </x:c>
      <x:c r="K1102" s="6" t="str">
        <x:v>Lotus transmission repair in Dubai with model-specific inspection, confirmed parts options and a clear quote at Digi-Tec, Al Quoz.</x:v>
      </x:c>
      <x:c r="L1102" s="6" t="str">
        <x:v>Retain pending evidence; no specific content edit justified by this export.</x:v>
      </x:c>
      <x:c r="M1102" s="6" t="str">
        <x:v>Retain; inspect relevant context before adding links</x:v>
      </x:c>
      <x:c r="N1102" s="6" t="str">
        <x:v>Unconfirmed — no query/page pairing</x:v>
      </x:c>
      <x:c r="O1102" s="6" t="str">
        <x:v>Retain established booking / WhatsApp / call path; live behaviour untested</x:v>
      </x:c>
      <x:c r="P1102" s="6" t="str">
        <x:v>Specific search demand maps to an existing noindex page. Verify live directives and unique business content; consider the existing indexable parent as interim owner.</x:v>
      </x:c>
      <x:c r="Q1102" s="6" t="str">
        <x:v>Proposed; no website change made</x:v>
      </x:c>
      <x:c r="R1102" s="14" t="n">
        <x:v>0</x:v>
      </x:c>
      <x:c r="S1102" s="14" t="n">
        <x:v>18</x:v>
      </x:c>
      <x:c r="T1102" s="15" t="n">
        <x:v>0</x:v>
      </x:c>
      <x:c r="U1102" s="16" t="n">
        <x:v>10.06</x:v>
      </x:c>
      <x:c r="V1102" s="6" t="str">
        <x:v>https://digitecme.com/brands/lotus-service-dubai/transmission-repair</x:v>
      </x:c>
      <x:c r="W1102" s="6" t="str">
        <x:v>Noindex directive</x:v>
      </x:c>
      <x:c r="X1102" s="6" t="n">
        <x:v>8</x:v>
      </x:c>
      <x:c r="Y1102" s="6" t="str">
        <x:v>Lotus Transmission Repair Dubai | Digi-Tec</x:v>
      </x:c>
      <x:c r="Z1102" s="6" t="str"/>
      <x:c r="AA1102" s="6" t="str">
        <x:v>No / not compared</x:v>
      </x:c>
    </x:row>
    <x:row r="1103" ht="57" customHeight="1">
      <x:c r="A1103" s="6" t="str">
        <x:v>https://digitecme.com/brands/maserati-service-dubai</x:v>
      </x:c>
      <x:c r="B1103" s="6" t="str">
        <x:v>maserati workshop dubai</x:v>
      </x:c>
      <x:c r="C1103" s="6" t="str">
        <x:v>maserati: Service and repair (English)</x:v>
      </x:c>
      <x:c r="D1103" s="6" t="str">
        <x:v>brand</x:v>
      </x:c>
      <x:c r="E1103" s="6" t="str">
        <x:v>Primary owner for assigned intent</x:v>
      </x:c>
      <x:c r="F1103" s="6" t="str">
        <x:v>Local source render; live version unverified</x:v>
      </x:c>
      <x:c r="G1103" s="6" t="str">
        <x:v>Maserati Service &amp; Repair Dubai | Digi-Tec Workshop</x:v>
      </x:c>
      <x:c r="H1103" s="6" t="str">
        <x:v>Maserati Service &amp; Repair Dubai | Digi-Tec Workshop</x:v>
      </x:c>
      <x:c r="I1103" s="6" t="str">
        <x:v>Maserati Repair &amp; Service Dubai</x:v>
      </x:c>
      <x:c r="J1103" s="6" t="str">
        <x:v>Maserati Repair &amp; Service Dubai</x:v>
      </x:c>
      <x:c r="K1103" s="6" t="str">
        <x:v>Maserati service and repair in Dubai for Ghibli, Quattroporte, Levante, Grecale, GranTurismo and MC20, with diagnostics and mechanical care in Al Quoz.</x:v>
      </x:c>
      <x:c r="L1103" s="6" t="str">
        <x:v>Retain pending evidence; no specific content edit justified by this export.</x:v>
      </x:c>
      <x:c r="M1103" s="6" t="str">
        <x:v>Retain; inspect relevant context before adding links</x:v>
      </x:c>
      <x:c r="N1103" s="6" t="str">
        <x:v>Unconfirmed — no query/page pairing</x:v>
      </x:c>
      <x:c r="O1103" s="6" t="str">
        <x:v>Retain established booking / WhatsApp / call path; live behaviour untested</x:v>
      </x:c>
      <x:c r="P1103" s="6" t="str">
        <x:v>Retain canonical and indexation policy pending a live check.</x:v>
      </x:c>
      <x:c r="Q1103" s="6" t="str">
        <x:v>Proposed; no website change made</x:v>
      </x:c>
      <x:c r="R1103" s="14" t="n">
        <x:v>0</x:v>
      </x:c>
      <x:c r="S1103" s="14" t="n">
        <x:v>42</x:v>
      </x:c>
      <x:c r="T1103" s="15" t="n">
        <x:v>0</x:v>
      </x:c>
      <x:c r="U1103" s="16" t="n">
        <x:v>41.5</x:v>
      </x:c>
      <x:c r="V1103" s="6" t="str">
        <x:v>https://digitecme.com/brands/maserati-service-dubai</x:v>
      </x:c>
      <x:c r="W1103" s="6" t="str">
        <x:v>Indexable directive</x:v>
      </x:c>
      <x:c r="X1103" s="6" t="n">
        <x:v>48</x:v>
      </x:c>
      <x:c r="Y1103" s="6" t="str">
        <x:v>Maserati Service &amp; Repair Dubai | Digi-Tec Workshop</x:v>
      </x:c>
      <x:c r="Z1103" s="6" t="str"/>
      <x:c r="AA1103" s="6" t="str">
        <x:v>No / not compared</x:v>
      </x:c>
    </x:row>
    <x:row r="1104" ht="42" customHeight="1">
      <x:c r="A1104" s="6" t="str">
        <x:v>https://digitecme.com/brands/maserati-service-dubai/ac-repair</x:v>
      </x:c>
      <x:c r="B1104" s="6" t="str"/>
      <x:c r="C1104" s="6" t="str"/>
      <x:c r="D1104" s="6" t="str">
        <x:v>brand-service</x:v>
      </x:c>
      <x:c r="E1104" s="6" t="str">
        <x:v>Retain differentiated role</x:v>
      </x:c>
      <x:c r="F1104" s="6" t="str">
        <x:v>Local source render; live version unverified</x:v>
      </x:c>
      <x:c r="G1104" s="6" t="str">
        <x:v>Maserati AC Repair Dubai | Digi-Tec</x:v>
      </x:c>
      <x:c r="H1104" s="6" t="str">
        <x:v>Maserati AC Repair Dubai | Digi-Tec</x:v>
      </x:c>
      <x:c r="I1104" s="6" t="str">
        <x:v>Maserati AC Repair Dubai</x:v>
      </x:c>
      <x:c r="J1104" s="6" t="str">
        <x:v>Maserati AC Repair Dubai</x:v>
      </x:c>
      <x:c r="K1104" s="6" t="str">
        <x:v>Maserati ac repair in Dubai with model-specific inspection, confirmed parts options and a clear quote at Digi-Tec, Al Quoz.</x:v>
      </x:c>
      <x:c r="L1104" s="6" t="str">
        <x:v>Retain pending evidence; no specific content edit justified by this export.</x:v>
      </x:c>
      <x:c r="M1104" s="6" t="str">
        <x:v>Retain; inspect relevant context before adding links</x:v>
      </x:c>
      <x:c r="N1104" s="6" t="str">
        <x:v>Unconfirmed — no query/page pairing</x:v>
      </x:c>
      <x:c r="O1104" s="6" t="str">
        <x:v>Retain established booking / WhatsApp / call path; live behaviour untested</x:v>
      </x:c>
      <x:c r="P1104" s="6" t="str">
        <x:v>Retain canonical and indexation policy pending a live check.</x:v>
      </x:c>
      <x:c r="Q1104" s="6" t="str">
        <x:v>Proposed; no website change made</x:v>
      </x:c>
      <x:c r="R1104" s="14" t="n">
        <x:v>0</x:v>
      </x:c>
      <x:c r="S1104" s="14" t="n">
        <x:v>9</x:v>
      </x:c>
      <x:c r="T1104" s="15" t="n">
        <x:v>0</x:v>
      </x:c>
      <x:c r="U1104" s="16" t="n">
        <x:v>15.11</x:v>
      </x:c>
      <x:c r="V1104" s="6" t="str">
        <x:v>https://digitecme.com/brands/maserati-service-dubai/ac-repair</x:v>
      </x:c>
      <x:c r="W1104" s="6" t="str">
        <x:v>Indexable directive</x:v>
      </x:c>
      <x:c r="X1104" s="6" t="n">
        <x:v>16</x:v>
      </x:c>
      <x:c r="Y1104" s="6" t="str">
        <x:v>Maserati AC Repair Dubai | Digi-Tec</x:v>
      </x:c>
      <x:c r="Z1104" s="6" t="str"/>
      <x:c r="AA1104" s="6" t="str">
        <x:v>No / not compared</x:v>
      </x:c>
    </x:row>
    <x:row r="1105" ht="42" customHeight="1">
      <x:c r="A1105" s="6" t="str">
        <x:v>https://digitecme.com/brands/maserati-service-dubai/battery-replacement</x:v>
      </x:c>
      <x:c r="B1105" s="6" t="str"/>
      <x:c r="C1105" s="6" t="str"/>
      <x:c r="D1105" s="6" t="str">
        <x:v>brand-service</x:v>
      </x:c>
      <x:c r="E1105" s="6" t="str">
        <x:v>Retain differentiated role</x:v>
      </x:c>
      <x:c r="F1105" s="6" t="str">
        <x:v>Local source render; live version unverified</x:v>
      </x:c>
      <x:c r="G1105" s="6" t="str">
        <x:v>Maserati Battery Replacement Dubai | Digi-Tec</x:v>
      </x:c>
      <x:c r="H1105" s="6" t="str">
        <x:v>Maserati Battery Replacement Dubai | Digi-Tec</x:v>
      </x:c>
      <x:c r="I1105" s="6" t="str">
        <x:v>Maserati Battery Replacement Dubai</x:v>
      </x:c>
      <x:c r="J1105" s="6" t="str">
        <x:v>Maserati Battery Replacement Dubai</x:v>
      </x:c>
      <x:c r="K1105" s="6" t="str">
        <x:v>Maserati battery replacement in Dubai with model-specific inspection, confirmed parts options and a clear quote at Digi-Tec, Al Quoz.</x:v>
      </x:c>
      <x:c r="L1105" s="6" t="str">
        <x:v>Retain pending evidence; no specific content edit justified by this export.</x:v>
      </x:c>
      <x:c r="M1105" s="6" t="str">
        <x:v>Retain; inspect relevant context before adding links</x:v>
      </x:c>
      <x:c r="N1105" s="6" t="str">
        <x:v>Unconfirmed — no query/page pairing</x:v>
      </x:c>
      <x:c r="O1105" s="6" t="str">
        <x:v>Retain established booking / WhatsApp / call path; live behaviour untested</x:v>
      </x:c>
      <x:c r="P1105" s="6" t="str">
        <x:v>Retain canonical and indexation policy pending a live check.</x:v>
      </x:c>
      <x:c r="Q1105" s="6" t="str">
        <x:v>Proposed; no website change made</x:v>
      </x:c>
      <x:c r="R1105" s="14" t="n">
        <x:v>0</x:v>
      </x:c>
      <x:c r="S1105" s="14" t="n">
        <x:v>10</x:v>
      </x:c>
      <x:c r="T1105" s="15" t="n">
        <x:v>0</x:v>
      </x:c>
      <x:c r="U1105" s="16" t="n">
        <x:v>13.6</x:v>
      </x:c>
      <x:c r="V1105" s="6" t="str">
        <x:v>https://digitecme.com/brands/maserati-service-dubai/battery-replacement</x:v>
      </x:c>
      <x:c r="W1105" s="6" t="str">
        <x:v>Indexable directive</x:v>
      </x:c>
      <x:c r="X1105" s="6" t="n">
        <x:v>16</x:v>
      </x:c>
      <x:c r="Y1105" s="6" t="str">
        <x:v>Maserati Battery Replacement Dubai | Digi-Tec</x:v>
      </x:c>
      <x:c r="Z1105" s="6" t="str"/>
      <x:c r="AA1105" s="6" t="str">
        <x:v>No / not compared</x:v>
      </x:c>
    </x:row>
    <x:row r="1106" ht="42" customHeight="1">
      <x:c r="A1106" s="6" t="str">
        <x:v>https://digitecme.com/brands/maserati-service-dubai/body-repair</x:v>
      </x:c>
      <x:c r="B1106" s="6" t="str"/>
      <x:c r="C1106" s="6" t="str"/>
      <x:c r="D1106" s="6" t="str">
        <x:v>brand-service</x:v>
      </x:c>
      <x:c r="E1106" s="6" t="str">
        <x:v>Retain differentiated role</x:v>
      </x:c>
      <x:c r="F1106" s="6" t="str">
        <x:v>Local source render; live version unverified</x:v>
      </x:c>
      <x:c r="G1106" s="6" t="str">
        <x:v>Maserati Body Repair Dubai | Digi-Tec</x:v>
      </x:c>
      <x:c r="H1106" s="6" t="str">
        <x:v>Maserati Body Repair Dubai | Digi-Tec</x:v>
      </x:c>
      <x:c r="I1106" s="6" t="str">
        <x:v>Maserati Body Repair Dubai</x:v>
      </x:c>
      <x:c r="J1106" s="6" t="str">
        <x:v>Maserati Body Repair Dubai</x:v>
      </x:c>
      <x:c r="K1106" s="6" t="str">
        <x:v>Maserati body repair in Dubai with model-specific inspection, confirmed parts options and a clear quote at Digi-Tec, Al Quoz.</x:v>
      </x:c>
      <x:c r="L1106" s="6" t="str">
        <x:v>Retain pending evidence; no specific content edit justified by this export.</x:v>
      </x:c>
      <x:c r="M1106" s="6" t="str">
        <x:v>Retain; inspect relevant context before adding links</x:v>
      </x:c>
      <x:c r="N1106" s="6" t="str">
        <x:v>Unconfirmed — no query/page pairing</x:v>
      </x:c>
      <x:c r="O1106" s="6" t="str">
        <x:v>Retain established booking / WhatsApp / call path; live behaviour untested</x:v>
      </x:c>
      <x:c r="P1106" s="6" t="str">
        <x:v>Retain canonical and indexation policy pending a live check.</x:v>
      </x:c>
      <x:c r="Q1106" s="6" t="str">
        <x:v>Proposed; no website change made</x:v>
      </x:c>
      <x:c r="R1106" s="14" t="n">
        <x:v>0</x:v>
      </x:c>
      <x:c r="S1106" s="14" t="n">
        <x:v>9</x:v>
      </x:c>
      <x:c r="T1106" s="15" t="n">
        <x:v>0</x:v>
      </x:c>
      <x:c r="U1106" s="16" t="n">
        <x:v>30.89</x:v>
      </x:c>
      <x:c r="V1106" s="6" t="str">
        <x:v>https://digitecme.com/brands/maserati-service-dubai/body-repair</x:v>
      </x:c>
      <x:c r="W1106" s="6" t="str">
        <x:v>Indexable directive</x:v>
      </x:c>
      <x:c r="X1106" s="6" t="n">
        <x:v>16</x:v>
      </x:c>
      <x:c r="Y1106" s="6" t="str">
        <x:v>Maserati Body Repair Dubai | Digi-Tec</x:v>
      </x:c>
      <x:c r="Z1106" s="6" t="str"/>
      <x:c r="AA1106" s="6" t="str">
        <x:v>No / not compared</x:v>
      </x:c>
    </x:row>
    <x:row r="1107" ht="42" customHeight="1">
      <x:c r="A1107" s="6" t="str">
        <x:v>https://digitecme.com/brands/maserati-service-dubai/brake-repair</x:v>
      </x:c>
      <x:c r="B1107" s="6" t="str"/>
      <x:c r="C1107" s="6" t="str"/>
      <x:c r="D1107" s="6" t="str">
        <x:v>brand-service</x:v>
      </x:c>
      <x:c r="E1107" s="6" t="str">
        <x:v>Retain differentiated role</x:v>
      </x:c>
      <x:c r="F1107" s="6" t="str">
        <x:v>Local source render; live version unverified</x:v>
      </x:c>
      <x:c r="G1107" s="6" t="str">
        <x:v>Maserati Brake Repair Dubai | Digi-Tec</x:v>
      </x:c>
      <x:c r="H1107" s="6" t="str">
        <x:v>Maserati Brake Repair Dubai | Digi-Tec</x:v>
      </x:c>
      <x:c r="I1107" s="6" t="str">
        <x:v>Maserati Brake Repair Dubai</x:v>
      </x:c>
      <x:c r="J1107" s="6" t="str">
        <x:v>Maserati Brake Repair Dubai</x:v>
      </x:c>
      <x:c r="K1107" s="6" t="str">
        <x:v>Maserati brake repair in Dubai with model-specific inspection, confirmed parts options and a clear quote at Digi-Tec, Al Quoz.</x:v>
      </x:c>
      <x:c r="L1107" s="6" t="str">
        <x:v>Retain pending evidence; no specific content edit justified by this export.</x:v>
      </x:c>
      <x:c r="M1107" s="6" t="str">
        <x:v>Retain; inspect relevant context before adding links</x:v>
      </x:c>
      <x:c r="N1107" s="6" t="str">
        <x:v>Unconfirmed — no query/page pairing</x:v>
      </x:c>
      <x:c r="O1107" s="6" t="str">
        <x:v>Retain established booking / WhatsApp / call path; live behaviour untested</x:v>
      </x:c>
      <x:c r="P1107" s="6" t="str">
        <x:v>Retain canonical and indexation policy pending a live check.</x:v>
      </x:c>
      <x:c r="Q1107" s="6" t="str">
        <x:v>Proposed; no website change made</x:v>
      </x:c>
      <x:c r="R1107" s="14" t="n">
        <x:v>0</x:v>
      </x:c>
      <x:c r="S1107" s="14" t="n">
        <x:v>10</x:v>
      </x:c>
      <x:c r="T1107" s="15" t="n">
        <x:v>0</x:v>
      </x:c>
      <x:c r="U1107" s="16" t="n">
        <x:v>14.4</x:v>
      </x:c>
      <x:c r="V1107" s="6" t="str">
        <x:v>https://digitecme.com/brands/maserati-service-dubai/brake-repair</x:v>
      </x:c>
      <x:c r="W1107" s="6" t="str">
        <x:v>Indexable directive</x:v>
      </x:c>
      <x:c r="X1107" s="6" t="n">
        <x:v>16</x:v>
      </x:c>
      <x:c r="Y1107" s="6" t="str">
        <x:v>Maserati Brake Repair Dubai | Digi-Tec</x:v>
      </x:c>
      <x:c r="Z1107" s="6" t="str"/>
      <x:c r="AA1107" s="6" t="str">
        <x:v>No / not compared</x:v>
      </x:c>
    </x:row>
    <x:row r="1108" ht="42" customHeight="1">
      <x:c r="A1108" s="6" t="str">
        <x:v>https://digitecme.com/brands/maserati-service-dubai/electrical-repair</x:v>
      </x:c>
      <x:c r="B1108" s="6" t="str"/>
      <x:c r="C1108" s="6" t="str"/>
      <x:c r="D1108" s="6" t="str">
        <x:v>brand-service</x:v>
      </x:c>
      <x:c r="E1108" s="6" t="str">
        <x:v>Retain differentiated role</x:v>
      </x:c>
      <x:c r="F1108" s="6" t="str">
        <x:v>Local source render; live version unverified</x:v>
      </x:c>
      <x:c r="G1108" s="6" t="str">
        <x:v>Maserati Electrical Repair Dubai | Digi-Tec</x:v>
      </x:c>
      <x:c r="H1108" s="6" t="str">
        <x:v>Maserati Electrical Repair Dubai | Digi-Tec</x:v>
      </x:c>
      <x:c r="I1108" s="6" t="str">
        <x:v>Maserati Electrical Repair Dubai</x:v>
      </x:c>
      <x:c r="J1108" s="6" t="str">
        <x:v>Maserati Electrical Repair Dubai</x:v>
      </x:c>
      <x:c r="K1108" s="6" t="str">
        <x:v>Maserati electrical repair in Dubai with model-specific inspection, confirmed parts options and a clear quote at Digi-Tec, Al Quoz.</x:v>
      </x:c>
      <x:c r="L1108" s="6" t="str">
        <x:v>Retain pending evidence; no specific content edit justified by this export.</x:v>
      </x:c>
      <x:c r="M1108" s="6" t="str">
        <x:v>Retain; inspect relevant context before adding links</x:v>
      </x:c>
      <x:c r="N1108" s="6" t="str">
        <x:v>Unconfirmed — no query/page pairing</x:v>
      </x:c>
      <x:c r="O1108" s="6" t="str">
        <x:v>Retain established booking / WhatsApp / call path; live behaviour untested</x:v>
      </x:c>
      <x:c r="P1108" s="6" t="str">
        <x:v>Retain canonical and indexation policy pending a live check.</x:v>
      </x:c>
      <x:c r="Q1108" s="6" t="str">
        <x:v>Proposed; no website change made</x:v>
      </x:c>
      <x:c r="R1108" s="14" t="n">
        <x:v>0</x:v>
      </x:c>
      <x:c r="S1108" s="14" t="n">
        <x:v>1</x:v>
      </x:c>
      <x:c r="T1108" s="15" t="n">
        <x:v>0</x:v>
      </x:c>
      <x:c r="U1108" s="16" t="n">
        <x:v>2</x:v>
      </x:c>
      <x:c r="V1108" s="6" t="str">
        <x:v>https://digitecme.com/brands/maserati-service-dubai/electrical-repair</x:v>
      </x:c>
      <x:c r="W1108" s="6" t="str">
        <x:v>Indexable directive</x:v>
      </x:c>
      <x:c r="X1108" s="6" t="n">
        <x:v>16</x:v>
      </x:c>
      <x:c r="Y1108" s="6" t="str">
        <x:v>Maserati Electrical Repair Dubai | Digi-Tec</x:v>
      </x:c>
      <x:c r="Z1108" s="6" t="str"/>
      <x:c r="AA1108" s="6" t="str">
        <x:v>No / not compared</x:v>
      </x:c>
    </x:row>
    <x:row r="1109" ht="42" customHeight="1">
      <x:c r="A1109" s="6" t="str">
        <x:v>https://digitecme.com/brands/maserati-service-dubai/engine-diagnostics</x:v>
      </x:c>
      <x:c r="B1109" s="6" t="str"/>
      <x:c r="C1109" s="6" t="str"/>
      <x:c r="D1109" s="6" t="str">
        <x:v>brand-service</x:v>
      </x:c>
      <x:c r="E1109" s="6" t="str">
        <x:v>Retain differentiated role</x:v>
      </x:c>
      <x:c r="F1109" s="6" t="str">
        <x:v>Local source render; live version unverified</x:v>
      </x:c>
      <x:c r="G1109" s="6" t="str">
        <x:v>Maserati Engine Diagnostics Dubai | Digi-Tec</x:v>
      </x:c>
      <x:c r="H1109" s="6" t="str">
        <x:v>Maserati Engine Diagnostics Dubai | Digi-Tec</x:v>
      </x:c>
      <x:c r="I1109" s="6" t="str">
        <x:v>Maserati Engine Diagnostics Dubai</x:v>
      </x:c>
      <x:c r="J1109" s="6" t="str">
        <x:v>Maserati Engine Diagnostics Dubai</x:v>
      </x:c>
      <x:c r="K1109" s="6" t="str">
        <x:v>Maserati engine diagnostics in Dubai with model-specific inspection, confirmed parts options and a clear quote at Digi-Tec, Al Quoz.</x:v>
      </x:c>
      <x:c r="L1109" s="6" t="str">
        <x:v>Retain pending evidence; no specific content edit justified by this export.</x:v>
      </x:c>
      <x:c r="M1109" s="6" t="str">
        <x:v>Retain; inspect relevant context before adding links</x:v>
      </x:c>
      <x:c r="N1109" s="6" t="str">
        <x:v>Unconfirmed — no query/page pairing</x:v>
      </x:c>
      <x:c r="O1109" s="6" t="str">
        <x:v>Retain established booking / WhatsApp / call path; live behaviour untested</x:v>
      </x:c>
      <x:c r="P1109" s="6" t="str">
        <x:v>Retain canonical and indexation policy pending a live check.</x:v>
      </x:c>
      <x:c r="Q1109" s="6" t="str">
        <x:v>Proposed; no website change made</x:v>
      </x:c>
      <x:c r="R1109" s="14" t="n">
        <x:v>0</x:v>
      </x:c>
      <x:c r="S1109" s="14" t="n">
        <x:v>1</x:v>
      </x:c>
      <x:c r="T1109" s="15" t="n">
        <x:v>0</x:v>
      </x:c>
      <x:c r="U1109" s="16" t="n">
        <x:v>17</x:v>
      </x:c>
      <x:c r="V1109" s="6" t="str">
        <x:v>https://digitecme.com/brands/maserati-service-dubai/engine-diagnostics</x:v>
      </x:c>
      <x:c r="W1109" s="6" t="str">
        <x:v>Indexable directive</x:v>
      </x:c>
      <x:c r="X1109" s="6" t="n">
        <x:v>16</x:v>
      </x:c>
      <x:c r="Y1109" s="6" t="str">
        <x:v>Maserati Engine Diagnostics Dubai | Digi-Tec</x:v>
      </x:c>
      <x:c r="Z1109" s="6" t="str"/>
      <x:c r="AA1109" s="6" t="str">
        <x:v>No / not compared</x:v>
      </x:c>
    </x:row>
    <x:row r="1110" ht="42" customHeight="1">
      <x:c r="A1110" s="6" t="str">
        <x:v>https://digitecme.com/brands/maserati-service-dubai/exhaust-repair</x:v>
      </x:c>
      <x:c r="B1110" s="6" t="str"/>
      <x:c r="C1110" s="6" t="str"/>
      <x:c r="D1110" s="6" t="str">
        <x:v>brand-service</x:v>
      </x:c>
      <x:c r="E1110" s="6" t="str">
        <x:v>Retain differentiated role</x:v>
      </x:c>
      <x:c r="F1110" s="6" t="str">
        <x:v>Local source render; live version unverified</x:v>
      </x:c>
      <x:c r="G1110" s="6" t="str">
        <x:v>Maserati Exhaust Repair Dubai | Digi-Tec</x:v>
      </x:c>
      <x:c r="H1110" s="6" t="str">
        <x:v>Maserati Exhaust Repair Dubai | Digi-Tec</x:v>
      </x:c>
      <x:c r="I1110" s="6" t="str">
        <x:v>Maserati Exhaust Repair Dubai</x:v>
      </x:c>
      <x:c r="J1110" s="6" t="str">
        <x:v>Maserati Exhaust Repair Dubai</x:v>
      </x:c>
      <x:c r="K1110" s="6" t="str">
        <x:v>Maserati exhaust repair in Dubai with model-specific inspection, confirmed parts options and a clear quote at Digi-Tec, Al Quoz.</x:v>
      </x:c>
      <x:c r="L1110" s="6" t="str">
        <x:v>Retain pending evidence; no specific content edit justified by this export.</x:v>
      </x:c>
      <x:c r="M1110" s="6" t="str">
        <x:v>Retain; inspect relevant context before adding links</x:v>
      </x:c>
      <x:c r="N1110" s="6" t="str">
        <x:v>Unconfirmed — no query/page pairing</x:v>
      </x:c>
      <x:c r="O1110" s="6" t="str">
        <x:v>Retain established booking / WhatsApp / call path; live behaviour untested</x:v>
      </x:c>
      <x:c r="P1110" s="6" t="str">
        <x:v>Retain canonical and indexation policy pending a live check.</x:v>
      </x:c>
      <x:c r="Q1110" s="6" t="str">
        <x:v>Proposed; no website change made</x:v>
      </x:c>
      <x:c r="R1110" s="14" t="n">
        <x:v>1</x:v>
      </x:c>
      <x:c r="S1110" s="14" t="n">
        <x:v>3</x:v>
      </x:c>
      <x:c r="T1110" s="15" t="n">
        <x:v>0.3333</x:v>
      </x:c>
      <x:c r="U1110" s="16" t="n">
        <x:v>12</x:v>
      </x:c>
      <x:c r="V1110" s="6" t="str">
        <x:v>https://digitecme.com/brands/maserati-service-dubai/exhaust-repair</x:v>
      </x:c>
      <x:c r="W1110" s="6" t="str">
        <x:v>Indexable directive</x:v>
      </x:c>
      <x:c r="X1110" s="6" t="n">
        <x:v>16</x:v>
      </x:c>
      <x:c r="Y1110" s="6" t="str">
        <x:v>Maserati Exhaust Repair Dubai | Digi-Tec</x:v>
      </x:c>
      <x:c r="Z1110" s="6" t="str"/>
      <x:c r="AA1110" s="6" t="str">
        <x:v>No / not compared</x:v>
      </x:c>
    </x:row>
    <x:row r="1111" ht="42" customHeight="1">
      <x:c r="A1111" s="6" t="str">
        <x:v>https://digitecme.com/brands/maserati-service-dubai/fuel-system-repair</x:v>
      </x:c>
      <x:c r="B1111" s="6" t="str"/>
      <x:c r="C1111" s="6" t="str"/>
      <x:c r="D1111" s="6" t="str">
        <x:v>brand-service</x:v>
      </x:c>
      <x:c r="E1111" s="6" t="str">
        <x:v>Retain differentiated role</x:v>
      </x:c>
      <x:c r="F1111" s="6" t="str">
        <x:v>Local source render; live version unverified</x:v>
      </x:c>
      <x:c r="G1111" s="6" t="str">
        <x:v>Maserati Fuel System Repair Dubai | Digi-Tec</x:v>
      </x:c>
      <x:c r="H1111" s="6" t="str">
        <x:v>Maserati Fuel System Repair Dubai | Digi-Tec</x:v>
      </x:c>
      <x:c r="I1111" s="6" t="str">
        <x:v>Maserati Fuel System Repair Dubai</x:v>
      </x:c>
      <x:c r="J1111" s="6" t="str">
        <x:v>Maserati Fuel System Repair Dubai</x:v>
      </x:c>
      <x:c r="K1111" s="6" t="str">
        <x:v>Maserati fuel system repair in Dubai with model-specific inspection, confirmed parts options and a clear quote at Digi-Tec, Al Quoz.</x:v>
      </x:c>
      <x:c r="L1111" s="6" t="str">
        <x:v>Retain pending evidence; no specific content edit justified by this export.</x:v>
      </x:c>
      <x:c r="M1111" s="6" t="str">
        <x:v>Retain; inspect relevant context before adding links</x:v>
      </x:c>
      <x:c r="N1111" s="6" t="str">
        <x:v>Unconfirmed — no query/page pairing</x:v>
      </x:c>
      <x:c r="O1111" s="6" t="str">
        <x:v>Retain established booking / WhatsApp / call path; live behaviour untested</x:v>
      </x:c>
      <x:c r="P1111" s="6" t="str">
        <x:v>Retain canonical and indexation policy pending a live check.</x:v>
      </x:c>
      <x:c r="Q1111" s="6" t="str">
        <x:v>Proposed; no website change made</x:v>
      </x:c>
      <x:c r="R1111" s="14" t="n">
        <x:v>0</x:v>
      </x:c>
      <x:c r="S1111" s="14" t="n">
        <x:v>7</x:v>
      </x:c>
      <x:c r="T1111" s="15" t="n">
        <x:v>0</x:v>
      </x:c>
      <x:c r="U1111" s="16" t="n">
        <x:v>71.71</x:v>
      </x:c>
      <x:c r="V1111" s="6" t="str">
        <x:v>https://digitecme.com/brands/maserati-service-dubai/fuel-system-repair</x:v>
      </x:c>
      <x:c r="W1111" s="6" t="str">
        <x:v>Indexable directive</x:v>
      </x:c>
      <x:c r="X1111" s="6" t="n">
        <x:v>16</x:v>
      </x:c>
      <x:c r="Y1111" s="6" t="str">
        <x:v>Maserati Fuel System Repair Dubai | Digi-Tec</x:v>
      </x:c>
      <x:c r="Z1111" s="6" t="str"/>
      <x:c r="AA1111" s="6" t="str">
        <x:v>No / not compared</x:v>
      </x:c>
    </x:row>
    <x:row r="1112" ht="42" customHeight="1">
      <x:c r="A1112" s="6" t="str">
        <x:v>https://digitecme.com/brands/maserati-service-dubai/mechanical-repair</x:v>
      </x:c>
      <x:c r="B1112" s="6" t="str">
        <x:v>maserati engine repair dubai</x:v>
      </x:c>
      <x:c r="C1112" s="6" t="str">
        <x:v>maserati: Engine and mechanical repair</x:v>
      </x:c>
      <x:c r="D1112" s="6" t="str">
        <x:v>brand-service</x:v>
      </x:c>
      <x:c r="E1112" s="6" t="str">
        <x:v>Primary owner for assigned intent</x:v>
      </x:c>
      <x:c r="F1112" s="6" t="str">
        <x:v>Local source render; live version unverified</x:v>
      </x:c>
      <x:c r="G1112" s="6" t="str">
        <x:v>Maserati Mechanical Repair Dubai | Digi-Tec</x:v>
      </x:c>
      <x:c r="H1112" s="6" t="str">
        <x:v>Maserati Mechanical Repair Dubai | Digi-Tec</x:v>
      </x:c>
      <x:c r="I1112" s="6" t="str">
        <x:v>Maserati Mechanical Repair Dubai</x:v>
      </x:c>
      <x:c r="J1112" s="6" t="str">
        <x:v>Maserati Mechanical Repair Dubai</x:v>
      </x:c>
      <x:c r="K1112" s="6" t="str">
        <x:v>Maserati mechanical repair in Dubai with model-specific inspection, confirmed parts options and a clear quote at Digi-Tec, Al Quoz.</x:v>
      </x:c>
      <x:c r="L1112" s="6" t="str">
        <x:v>Retain pending evidence; no specific content edit justified by this export.</x:v>
      </x:c>
      <x:c r="M1112" s="6" t="str">
        <x:v>Retain; inspect relevant context before adding links</x:v>
      </x:c>
      <x:c r="N1112" s="6" t="str">
        <x:v>Unconfirmed — no query/page pairing</x:v>
      </x:c>
      <x:c r="O1112" s="6" t="str">
        <x:v>Retain established booking / WhatsApp / call path; live behaviour untested</x:v>
      </x:c>
      <x:c r="P1112" s="6" t="str">
        <x:v>Retain canonical and indexation policy pending a live check.</x:v>
      </x:c>
      <x:c r="Q1112" s="6" t="str">
        <x:v>Proposed; no website change made</x:v>
      </x:c>
      <x:c r="R1112" s="14" t="n">
        <x:v>0</x:v>
      </x:c>
      <x:c r="S1112" s="14" t="n">
        <x:v>54</x:v>
      </x:c>
      <x:c r="T1112" s="15" t="n">
        <x:v>0</x:v>
      </x:c>
      <x:c r="U1112" s="16" t="n">
        <x:v>50.7</x:v>
      </x:c>
      <x:c r="V1112" s="6" t="str">
        <x:v>https://digitecme.com/brands/maserati-service-dubai/mechanical-repair</x:v>
      </x:c>
      <x:c r="W1112" s="6" t="str">
        <x:v>Indexable directive</x:v>
      </x:c>
      <x:c r="X1112" s="6" t="n">
        <x:v>16</x:v>
      </x:c>
      <x:c r="Y1112" s="6" t="str">
        <x:v>Maserati Mechanical Repair Dubai | Digi-Tec</x:v>
      </x:c>
      <x:c r="Z1112" s="6" t="str"/>
      <x:c r="AA1112" s="6" t="str">
        <x:v>No / not compared</x:v>
      </x:c>
    </x:row>
    <x:row r="1113" ht="42" customHeight="1">
      <x:c r="A1113" s="6" t="str">
        <x:v>https://digitecme.com/brands/maserati-service-dubai/oil-change</x:v>
      </x:c>
      <x:c r="B1113" s="6" t="str"/>
      <x:c r="C1113" s="6" t="str"/>
      <x:c r="D1113" s="6" t="str">
        <x:v>brand-service</x:v>
      </x:c>
      <x:c r="E1113" s="6" t="str">
        <x:v>Retain differentiated role</x:v>
      </x:c>
      <x:c r="F1113" s="6" t="str">
        <x:v>Local source render; live version unverified</x:v>
      </x:c>
      <x:c r="G1113" s="6" t="str">
        <x:v>Maserati Oil Change Dubai | Digi-Tec</x:v>
      </x:c>
      <x:c r="H1113" s="6" t="str">
        <x:v>Maserati Oil Change Dubai | Digi-Tec</x:v>
      </x:c>
      <x:c r="I1113" s="6" t="str">
        <x:v>Maserati Oil Change Dubai</x:v>
      </x:c>
      <x:c r="J1113" s="6" t="str">
        <x:v>Maserati Oil Change Dubai</x:v>
      </x:c>
      <x:c r="K1113" s="6" t="str">
        <x:v>Maserati oil change in Dubai with model-specific inspection, confirmed parts options and a clear quote at Digi-Tec, Al Quoz.</x:v>
      </x:c>
      <x:c r="L1113" s="6" t="str">
        <x:v>Retain pending evidence; no specific content edit justified by this export.</x:v>
      </x:c>
      <x:c r="M1113" s="6" t="str">
        <x:v>Retain; inspect relevant context before adding links</x:v>
      </x:c>
      <x:c r="N1113" s="6" t="str">
        <x:v>Unconfirmed — no query/page pairing</x:v>
      </x:c>
      <x:c r="O1113" s="6" t="str">
        <x:v>Retain established booking / WhatsApp / call path; live behaviour untested</x:v>
      </x:c>
      <x:c r="P1113" s="6" t="str">
        <x:v>Retain canonical and indexation policy pending a live check.</x:v>
      </x:c>
      <x:c r="Q1113" s="6" t="str">
        <x:v>Proposed; no website change made</x:v>
      </x:c>
      <x:c r="R1113" s="14" t="n">
        <x:v>0</x:v>
      </x:c>
      <x:c r="S1113" s="14" t="n">
        <x:v>3</x:v>
      </x:c>
      <x:c r="T1113" s="15" t="n">
        <x:v>0</x:v>
      </x:c>
      <x:c r="U1113" s="16" t="n">
        <x:v>7.67</x:v>
      </x:c>
      <x:c r="V1113" s="6" t="str">
        <x:v>https://digitecme.com/brands/maserati-service-dubai/oil-change</x:v>
      </x:c>
      <x:c r="W1113" s="6" t="str">
        <x:v>Indexable directive</x:v>
      </x:c>
      <x:c r="X1113" s="6" t="n">
        <x:v>16</x:v>
      </x:c>
      <x:c r="Y1113" s="6" t="str">
        <x:v>Maserati Oil Change Dubai | Digi-Tec</x:v>
      </x:c>
      <x:c r="Z1113" s="6" t="str"/>
      <x:c r="AA1113" s="6" t="str">
        <x:v>No / not compared</x:v>
      </x:c>
    </x:row>
    <x:row r="1114" ht="42" customHeight="1">
      <x:c r="A1114" s="6" t="str">
        <x:v>https://digitecme.com/brands/maserati-service-dubai/steering-repair</x:v>
      </x:c>
      <x:c r="B1114" s="6" t="str"/>
      <x:c r="C1114" s="6" t="str"/>
      <x:c r="D1114" s="6" t="str">
        <x:v>brand-service</x:v>
      </x:c>
      <x:c r="E1114" s="6" t="str">
        <x:v>Retain differentiated role</x:v>
      </x:c>
      <x:c r="F1114" s="6" t="str">
        <x:v>Local source render; live version unverified</x:v>
      </x:c>
      <x:c r="G1114" s="6" t="str">
        <x:v>Maserati Steering Repair Dubai | Digi-Tec</x:v>
      </x:c>
      <x:c r="H1114" s="6" t="str">
        <x:v>Maserati Steering Repair Dubai | Digi-Tec</x:v>
      </x:c>
      <x:c r="I1114" s="6" t="str">
        <x:v>Maserati Steering Repair Dubai</x:v>
      </x:c>
      <x:c r="J1114" s="6" t="str">
        <x:v>Maserati Steering Repair Dubai</x:v>
      </x:c>
      <x:c r="K1114" s="6" t="str">
        <x:v>Maserati steering repair in Dubai with model-specific inspection, confirmed parts options and a clear quote at Digi-Tec, Al Quoz.</x:v>
      </x:c>
      <x:c r="L1114" s="6" t="str">
        <x:v>Retain pending evidence; no specific content edit justified by this export.</x:v>
      </x:c>
      <x:c r="M1114" s="6" t="str">
        <x:v>Retain; inspect relevant context before adding links</x:v>
      </x:c>
      <x:c r="N1114" s="6" t="str">
        <x:v>Unconfirmed — no query/page pairing</x:v>
      </x:c>
      <x:c r="O1114" s="6" t="str">
        <x:v>Retain established booking / WhatsApp / call path; live behaviour untested</x:v>
      </x:c>
      <x:c r="P1114" s="6" t="str">
        <x:v>Retain canonical and indexation policy pending a live check.</x:v>
      </x:c>
      <x:c r="Q1114" s="6" t="str">
        <x:v>Proposed; no website change made</x:v>
      </x:c>
      <x:c r="R1114" s="14" t="n">
        <x:v>0</x:v>
      </x:c>
      <x:c r="S1114" s="14" t="n">
        <x:v>2</x:v>
      </x:c>
      <x:c r="T1114" s="15" t="n">
        <x:v>0</x:v>
      </x:c>
      <x:c r="U1114" s="16" t="n">
        <x:v>17</x:v>
      </x:c>
      <x:c r="V1114" s="6" t="str">
        <x:v>https://digitecme.com/brands/maserati-service-dubai/steering-repair</x:v>
      </x:c>
      <x:c r="W1114" s="6" t="str">
        <x:v>Indexable directive</x:v>
      </x:c>
      <x:c r="X1114" s="6" t="n">
        <x:v>16</x:v>
      </x:c>
      <x:c r="Y1114" s="6" t="str">
        <x:v>Maserati Steering Repair Dubai | Digi-Tec</x:v>
      </x:c>
      <x:c r="Z1114" s="6" t="str"/>
      <x:c r="AA1114" s="6" t="str">
        <x:v>No / not compared</x:v>
      </x:c>
    </x:row>
    <x:row r="1115" ht="42" customHeight="1">
      <x:c r="A1115" s="6" t="str">
        <x:v>https://digitecme.com/brands/maserati-service-dubai/suspension-repair</x:v>
      </x:c>
      <x:c r="B1115" s="6" t="str"/>
      <x:c r="C1115" s="6" t="str"/>
      <x:c r="D1115" s="6" t="str">
        <x:v>brand-service</x:v>
      </x:c>
      <x:c r="E1115" s="6" t="str">
        <x:v>Retain differentiated role</x:v>
      </x:c>
      <x:c r="F1115" s="6" t="str">
        <x:v>Local source render; live version unverified</x:v>
      </x:c>
      <x:c r="G1115" s="6" t="str">
        <x:v>Maserati Suspension Repair Dubai | Digi-Tec</x:v>
      </x:c>
      <x:c r="H1115" s="6" t="str">
        <x:v>Maserati Suspension Repair Dubai | Digi-Tec</x:v>
      </x:c>
      <x:c r="I1115" s="6" t="str">
        <x:v>Maserati Suspension Repair Dubai</x:v>
      </x:c>
      <x:c r="J1115" s="6" t="str">
        <x:v>Maserati Suspension Repair Dubai</x:v>
      </x:c>
      <x:c r="K1115" s="6" t="str">
        <x:v>Maserati suspension repair in Dubai with model-specific inspection, confirmed parts options and a clear quote at Digi-Tec, Al Quoz.</x:v>
      </x:c>
      <x:c r="L1115" s="6" t="str">
        <x:v>Retain pending evidence; no specific content edit justified by this export.</x:v>
      </x:c>
      <x:c r="M1115" s="6" t="str">
        <x:v>Retain; inspect relevant context before adding links</x:v>
      </x:c>
      <x:c r="N1115" s="6" t="str">
        <x:v>Unconfirmed — no query/page pairing</x:v>
      </x:c>
      <x:c r="O1115" s="6" t="str">
        <x:v>Retain established booking / WhatsApp / call path; live behaviour untested</x:v>
      </x:c>
      <x:c r="P1115" s="6" t="str">
        <x:v>Retain canonical and indexation policy pending a live check.</x:v>
      </x:c>
      <x:c r="Q1115" s="6" t="str">
        <x:v>Proposed; no website change made</x:v>
      </x:c>
      <x:c r="R1115" s="14" t="n">
        <x:v>0</x:v>
      </x:c>
      <x:c r="S1115" s="14" t="n">
        <x:v>7</x:v>
      </x:c>
      <x:c r="T1115" s="15" t="n">
        <x:v>0</x:v>
      </x:c>
      <x:c r="U1115" s="16" t="n">
        <x:v>9.14</x:v>
      </x:c>
      <x:c r="V1115" s="6" t="str">
        <x:v>https://digitecme.com/brands/maserati-service-dubai/suspension-repair</x:v>
      </x:c>
      <x:c r="W1115" s="6" t="str">
        <x:v>Indexable directive</x:v>
      </x:c>
      <x:c r="X1115" s="6" t="n">
        <x:v>16</x:v>
      </x:c>
      <x:c r="Y1115" s="6" t="str">
        <x:v>Maserati Suspension Repair Dubai | Digi-Tec</x:v>
      </x:c>
      <x:c r="Z1115" s="6" t="str"/>
      <x:c r="AA1115" s="6" t="str">
        <x:v>No / not compared</x:v>
      </x:c>
    </x:row>
    <x:row r="1116" ht="42" customHeight="1">
      <x:c r="A1116" s="6" t="str">
        <x:v>https://digitecme.com/brands/maserati-service-dubai/tire-repair</x:v>
      </x:c>
      <x:c r="B1116" s="6" t="str"/>
      <x:c r="C1116" s="6" t="str"/>
      <x:c r="D1116" s="6" t="str">
        <x:v>brand-service</x:v>
      </x:c>
      <x:c r="E1116" s="6" t="str">
        <x:v>Retain differentiated role</x:v>
      </x:c>
      <x:c r="F1116" s="6" t="str">
        <x:v>Local source render; live version unverified</x:v>
      </x:c>
      <x:c r="G1116" s="6" t="str">
        <x:v>Maserati Tyre Repair Dubai | Digi-Tec</x:v>
      </x:c>
      <x:c r="H1116" s="6" t="str">
        <x:v>Maserati Tyre Repair Dubai | Digi-Tec</x:v>
      </x:c>
      <x:c r="I1116" s="6" t="str">
        <x:v>Maserati Tyre Repair Dubai</x:v>
      </x:c>
      <x:c r="J1116" s="6" t="str">
        <x:v>Maserati Tyre Repair Dubai</x:v>
      </x:c>
      <x:c r="K1116" s="6" t="str">
        <x:v>Maserati tyre repair in Dubai with model-specific inspection, confirmed parts options and a clear quote at Digi-Tec, Al Quoz.</x:v>
      </x:c>
      <x:c r="L1116" s="6" t="str">
        <x:v>Retain pending evidence; no specific content edit justified by this export.</x:v>
      </x:c>
      <x:c r="M1116" s="6" t="str">
        <x:v>Retain; inspect relevant context before adding links</x:v>
      </x:c>
      <x:c r="N1116" s="6" t="str">
        <x:v>Unconfirmed — no query/page pairing</x:v>
      </x:c>
      <x:c r="O1116" s="6" t="str">
        <x:v>Retain established booking / WhatsApp / call path; live behaviour untested</x:v>
      </x:c>
      <x:c r="P1116" s="6" t="str">
        <x:v>Retain canonical and indexation policy pending a live check.</x:v>
      </x:c>
      <x:c r="Q1116" s="6" t="str">
        <x:v>Proposed; no website change made</x:v>
      </x:c>
      <x:c r="R1116" s="14" t="n">
        <x:v>0</x:v>
      </x:c>
      <x:c r="S1116" s="14" t="n">
        <x:v>4</x:v>
      </x:c>
      <x:c r="T1116" s="15" t="n">
        <x:v>0</x:v>
      </x:c>
      <x:c r="U1116" s="16" t="n">
        <x:v>37.75</x:v>
      </x:c>
      <x:c r="V1116" s="6" t="str">
        <x:v>https://digitecme.com/brands/maserati-service-dubai/tire-repair</x:v>
      </x:c>
      <x:c r="W1116" s="6" t="str">
        <x:v>Indexable directive</x:v>
      </x:c>
      <x:c r="X1116" s="6" t="n">
        <x:v>16</x:v>
      </x:c>
      <x:c r="Y1116" s="6" t="str">
        <x:v>Maserati Tyre Repair Dubai | Digi-Tec</x:v>
      </x:c>
      <x:c r="Z1116" s="6" t="str"/>
      <x:c r="AA1116" s="6" t="str">
        <x:v>No / not compared</x:v>
      </x:c>
    </x:row>
    <x:row r="1117" ht="42" customHeight="1">
      <x:c r="A1117" s="6" t="str">
        <x:v>https://digitecme.com/brands/maserati-service-dubai/transmission-repair</x:v>
      </x:c>
      <x:c r="B1117" s="6" t="str"/>
      <x:c r="C1117" s="6" t="str"/>
      <x:c r="D1117" s="6" t="str">
        <x:v>brand-service</x:v>
      </x:c>
      <x:c r="E1117" s="6" t="str">
        <x:v>Retain differentiated role</x:v>
      </x:c>
      <x:c r="F1117" s="6" t="str">
        <x:v>Local source render; live version unverified</x:v>
      </x:c>
      <x:c r="G1117" s="6" t="str">
        <x:v>Maserati Transmission Repair Dubai | Digi-Tec</x:v>
      </x:c>
      <x:c r="H1117" s="6" t="str">
        <x:v>Maserati Transmission Repair Dubai | Digi-Tec</x:v>
      </x:c>
      <x:c r="I1117" s="6" t="str">
        <x:v>Maserati Transmission Repair Dubai</x:v>
      </x:c>
      <x:c r="J1117" s="6" t="str">
        <x:v>Maserati Transmission Repair Dubai</x:v>
      </x:c>
      <x:c r="K1117" s="6" t="str">
        <x:v>Maserati transmission repair in Dubai with model-specific inspection, confirmed parts options and a clear quote at Digi-Tec, Al Quoz.</x:v>
      </x:c>
      <x:c r="L1117" s="6" t="str">
        <x:v>Retain pending evidence; no specific content edit justified by this export.</x:v>
      </x:c>
      <x:c r="M1117" s="6" t="str">
        <x:v>Retain; inspect relevant context before adding links</x:v>
      </x:c>
      <x:c r="N1117" s="6" t="str">
        <x:v>Unconfirmed — no query/page pairing</x:v>
      </x:c>
      <x:c r="O1117" s="6" t="str">
        <x:v>Retain established booking / WhatsApp / call path; live behaviour untested</x:v>
      </x:c>
      <x:c r="P1117" s="6" t="str">
        <x:v>Retain canonical and indexation policy pending a live check.</x:v>
      </x:c>
      <x:c r="Q1117" s="6" t="str">
        <x:v>Proposed; no website change made</x:v>
      </x:c>
      <x:c r="R1117" s="14" t="n">
        <x:v>0</x:v>
      </x:c>
      <x:c r="S1117" s="14" t="n">
        <x:v>20</x:v>
      </x:c>
      <x:c r="T1117" s="15" t="n">
        <x:v>0</x:v>
      </x:c>
      <x:c r="U1117" s="16" t="n">
        <x:v>12.85</x:v>
      </x:c>
      <x:c r="V1117" s="6" t="str">
        <x:v>https://digitecme.com/brands/maserati-service-dubai/transmission-repair</x:v>
      </x:c>
      <x:c r="W1117" s="6" t="str">
        <x:v>Indexable directive</x:v>
      </x:c>
      <x:c r="X1117" s="6" t="n">
        <x:v>16</x:v>
      </x:c>
      <x:c r="Y1117" s="6" t="str">
        <x:v>Maserati Transmission Repair Dubai | Digi-Tec</x:v>
      </x:c>
      <x:c r="Z1117" s="6" t="str"/>
      <x:c r="AA1117" s="6" t="str">
        <x:v>No / not compared</x:v>
      </x:c>
    </x:row>
    <x:row r="1118" ht="57" customHeight="1">
      <x:c r="A1118" s="6" t="str">
        <x:v>https://digitecme.com/brands/maybach-service-dubai</x:v>
      </x:c>
      <x:c r="B1118" s="6" t="str">
        <x:v>maybach service center dubai</x:v>
      </x:c>
      <x:c r="C1118" s="6" t="str">
        <x:v>maybach: Service and repair</x:v>
      </x:c>
      <x:c r="D1118" s="6" t="str">
        <x:v>brand</x:v>
      </x:c>
      <x:c r="E1118" s="6" t="str">
        <x:v>Primary owner for assigned intent</x:v>
      </x:c>
      <x:c r="F1118" s="6" t="str">
        <x:v>Local source render; live version unverified</x:v>
      </x:c>
      <x:c r="G1118" s="6" t="str">
        <x:v>Maybach Service &amp; Repair Dubai | Digi-Tec Workshop</x:v>
      </x:c>
      <x:c r="H1118" s="6" t="str">
        <x:v>Maybach Service &amp; Repair Dubai | Digi-Tec Workshop</x:v>
      </x:c>
      <x:c r="I1118" s="6" t="str">
        <x:v>Maybach Repair &amp; Service Dubai</x:v>
      </x:c>
      <x:c r="J1118" s="6" t="str">
        <x:v>Maybach Repair &amp; Service Dubai</x:v>
      </x:c>
      <x:c r="K1118" s="6" t="str">
        <x:v>Maybach service and repair in Dubai for S-Class, GLS, S580 and S680. Vehicle-specific diagnostics, suspension, AC and mechanical care in Al Quoz.</x:v>
      </x:c>
      <x:c r="L1118" s="6" t="str">
        <x:v>Retain pending evidence; no specific content edit justified by this export.</x:v>
      </x:c>
      <x:c r="M1118" s="6" t="str">
        <x:v>Retain; inspect relevant context before adding links</x:v>
      </x:c>
      <x:c r="N1118" s="6" t="str">
        <x:v>Unconfirmed — no query/page pairing</x:v>
      </x:c>
      <x:c r="O1118" s="6" t="str">
        <x:v>Retain established booking / WhatsApp / call path; live behaviour untested</x:v>
      </x:c>
      <x:c r="P1118" s="6" t="str">
        <x:v>Retain canonical and indexation policy pending a live check.</x:v>
      </x:c>
      <x:c r="Q1118" s="6" t="str">
        <x:v>Proposed; no website change made</x:v>
      </x:c>
      <x:c r="R1118" s="14" t="n">
        <x:v>2</x:v>
      </x:c>
      <x:c r="S1118" s="14" t="n">
        <x:v>106</x:v>
      </x:c>
      <x:c r="T1118" s="15" t="n">
        <x:v>0.0189</x:v>
      </x:c>
      <x:c r="U1118" s="16" t="n">
        <x:v>9.84</x:v>
      </x:c>
      <x:c r="V1118" s="6" t="str">
        <x:v>https://digitecme.com/brands/maybach-service-dubai</x:v>
      </x:c>
      <x:c r="W1118" s="6" t="str">
        <x:v>Indexable directive</x:v>
      </x:c>
      <x:c r="X1118" s="6" t="n">
        <x:v>84</x:v>
      </x:c>
      <x:c r="Y1118" s="6" t="str">
        <x:v>Maybach Service &amp; Repair Dubai | Digi-Tec Workshop</x:v>
      </x:c>
      <x:c r="Z1118" s="6" t="str"/>
      <x:c r="AA1118" s="6" t="str">
        <x:v>No / not compared</x:v>
      </x:c>
    </x:row>
    <x:row r="1119" ht="42" customHeight="1">
      <x:c r="A1119" s="6" t="str">
        <x:v>https://digitecme.com/brands/maybach-service-dubai/ac-repair</x:v>
      </x:c>
      <x:c r="B1119" s="6" t="str"/>
      <x:c r="C1119" s="6" t="str"/>
      <x:c r="D1119" s="6" t="str">
        <x:v>brand-service</x:v>
      </x:c>
      <x:c r="E1119" s="6" t="str">
        <x:v>Retain differentiated role</x:v>
      </x:c>
      <x:c r="F1119" s="6" t="str">
        <x:v>Local source render; live version unverified</x:v>
      </x:c>
      <x:c r="G1119" s="6" t="str">
        <x:v>Mercedes-Maybach AC Repair Dubai | Digi-Tec</x:v>
      </x:c>
      <x:c r="H1119" s="6" t="str">
        <x:v>Mercedes-Maybach AC Repair Dubai | Digi-Tec</x:v>
      </x:c>
      <x:c r="I1119" s="6" t="str">
        <x:v>Mercedes-Maybach AC Repair Dubai</x:v>
      </x:c>
      <x:c r="J1119" s="6" t="str">
        <x:v>Mercedes-Maybach AC Repair Dubai</x:v>
      </x:c>
      <x:c r="K1119" s="6" t="str">
        <x:v>Mercedes-Maybach ac repair in Dubai with model-specific inspection, confirmed parts options and a clear quote at Digi-Tec, Al Quoz.</x:v>
      </x:c>
      <x:c r="L1119" s="6" t="str">
        <x:v>Retain pending evidence; no specific content edit justified by this export.</x:v>
      </x:c>
      <x:c r="M1119" s="6" t="str">
        <x:v>Retain; inspect relevant context before adding links</x:v>
      </x:c>
      <x:c r="N1119" s="6" t="str">
        <x:v>Unconfirmed — no query/page pairing</x:v>
      </x:c>
      <x:c r="O1119" s="6" t="str">
        <x:v>Retain established booking / WhatsApp / call path; live behaviour untested</x:v>
      </x:c>
      <x:c r="P1119" s="6" t="str">
        <x:v>Retain canonical and indexation policy pending a live check.</x:v>
      </x:c>
      <x:c r="Q1119" s="6" t="str">
        <x:v>Proposed; no website change made</x:v>
      </x:c>
      <x:c r="R1119" s="14" t="n">
        <x:v>0</x:v>
      </x:c>
      <x:c r="S1119" s="14" t="n">
        <x:v>4</x:v>
      </x:c>
      <x:c r="T1119" s="15" t="n">
        <x:v>0</x:v>
      </x:c>
      <x:c r="U1119" s="16" t="n">
        <x:v>4</x:v>
      </x:c>
      <x:c r="V1119" s="6" t="str">
        <x:v>https://digitecme.com/brands/maybach-service-dubai/ac-repair</x:v>
      </x:c>
      <x:c r="W1119" s="6" t="str">
        <x:v>Indexable directive</x:v>
      </x:c>
      <x:c r="X1119" s="6" t="n">
        <x:v>16</x:v>
      </x:c>
      <x:c r="Y1119" s="6" t="str">
        <x:v>Mercedes-Maybach AC Repair Dubai | Digi-Tec</x:v>
      </x:c>
      <x:c r="Z1119" s="6" t="str"/>
      <x:c r="AA1119" s="6" t="str">
        <x:v>No / not compared</x:v>
      </x:c>
    </x:row>
    <x:row r="1120" ht="57" customHeight="1">
      <x:c r="A1120" s="6" t="str">
        <x:v>https://digitecme.com/brands/maybach-service-dubai/battery-replacement</x:v>
      </x:c>
      <x:c r="B1120" s="6" t="str"/>
      <x:c r="C1120" s="6" t="str"/>
      <x:c r="D1120" s="6" t="str">
        <x:v>brand-service</x:v>
      </x:c>
      <x:c r="E1120" s="6" t="str">
        <x:v>Retain differentiated role</x:v>
      </x:c>
      <x:c r="F1120" s="6" t="str">
        <x:v>Local source render; live version unverified</x:v>
      </x:c>
      <x:c r="G1120" s="6" t="str">
        <x:v>Mercedes-Maybach Battery Replacement Dubai | Digi-Tec</x:v>
      </x:c>
      <x:c r="H1120" s="6" t="str">
        <x:v>Mercedes-Maybach Battery Replacement Dubai | Digi-Tec</x:v>
      </x:c>
      <x:c r="I1120" s="6" t="str">
        <x:v>Mercedes-Maybach Battery Replacement Dubai</x:v>
      </x:c>
      <x:c r="J1120" s="6" t="str">
        <x:v>Mercedes-Maybach Battery Replacement Dubai</x:v>
      </x:c>
      <x:c r="K1120" s="6" t="str">
        <x:v>Mercedes-Maybach battery replacement in Dubai with model-specific inspection, confirmed parts options and a clear quote at Digi-Tec, Al Quoz.</x:v>
      </x:c>
      <x:c r="L1120" s="6" t="str">
        <x:v>Retain pending evidence; no specific content edit justified by this export.</x:v>
      </x:c>
      <x:c r="M1120" s="6" t="str">
        <x:v>Retain; inspect relevant context before adding links</x:v>
      </x:c>
      <x:c r="N1120" s="6" t="str">
        <x:v>Unconfirmed — no query/page pairing</x:v>
      </x:c>
      <x:c r="O1120" s="6" t="str">
        <x:v>Retain established booking / WhatsApp / call path; live behaviour untested</x:v>
      </x:c>
      <x:c r="P1120" s="6" t="str">
        <x:v>Retain canonical and indexation policy pending a live check.</x:v>
      </x:c>
      <x:c r="Q1120" s="6" t="str">
        <x:v>Proposed; no website change made</x:v>
      </x:c>
      <x:c r="R1120" s="14" t="n">
        <x:v>0</x:v>
      </x:c>
      <x:c r="S1120" s="14" t="n">
        <x:v>9</x:v>
      </x:c>
      <x:c r="T1120" s="15" t="n">
        <x:v>0</x:v>
      </x:c>
      <x:c r="U1120" s="16" t="n">
        <x:v>15.33</x:v>
      </x:c>
      <x:c r="V1120" s="6" t="str">
        <x:v>https://digitecme.com/brands/maybach-service-dubai/battery-replacement</x:v>
      </x:c>
      <x:c r="W1120" s="6" t="str">
        <x:v>Indexable directive</x:v>
      </x:c>
      <x:c r="X1120" s="6" t="n">
        <x:v>16</x:v>
      </x:c>
      <x:c r="Y1120" s="6" t="str">
        <x:v>Mercedes-Maybach Battery Replacement Dubai | Digi-Tec</x:v>
      </x:c>
      <x:c r="Z1120" s="6" t="str"/>
      <x:c r="AA1120" s="6" t="str">
        <x:v>No / not compared</x:v>
      </x:c>
    </x:row>
    <x:row r="1121" ht="42" customHeight="1">
      <x:c r="A1121" s="6" t="str">
        <x:v>https://digitecme.com/brands/maybach-service-dubai/body-repair</x:v>
      </x:c>
      <x:c r="B1121" s="6" t="str"/>
      <x:c r="C1121" s="6" t="str"/>
      <x:c r="D1121" s="6" t="str">
        <x:v>brand-service</x:v>
      </x:c>
      <x:c r="E1121" s="6" t="str">
        <x:v>Retain differentiated role</x:v>
      </x:c>
      <x:c r="F1121" s="6" t="str">
        <x:v>Local source render; live version unverified</x:v>
      </x:c>
      <x:c r="G1121" s="6" t="str">
        <x:v>Mercedes-Maybach Body Repair Dubai | Digi-Tec</x:v>
      </x:c>
      <x:c r="H1121" s="6" t="str">
        <x:v>Mercedes-Maybach Body Repair Dubai | Digi-Tec</x:v>
      </x:c>
      <x:c r="I1121" s="6" t="str">
        <x:v>Mercedes-Maybach Body Repair Dubai</x:v>
      </x:c>
      <x:c r="J1121" s="6" t="str">
        <x:v>Mercedes-Maybach Body Repair Dubai</x:v>
      </x:c>
      <x:c r="K1121" s="6" t="str">
        <x:v>Mercedes-Maybach body repair in Dubai with model-specific inspection, confirmed parts options and a clear quote at Digi-Tec, Al Quoz.</x:v>
      </x:c>
      <x:c r="L1121" s="6" t="str">
        <x:v>Retain pending evidence; no specific content edit justified by this export.</x:v>
      </x:c>
      <x:c r="M1121" s="6" t="str">
        <x:v>Retain; inspect relevant context before adding links</x:v>
      </x:c>
      <x:c r="N1121" s="6" t="str">
        <x:v>Unconfirmed — no query/page pairing</x:v>
      </x:c>
      <x:c r="O1121" s="6" t="str">
        <x:v>Retain established booking / WhatsApp / call path; live behaviour untested</x:v>
      </x:c>
      <x:c r="P1121" s="6" t="str">
        <x:v>Retain canonical and indexation policy pending a live check.</x:v>
      </x:c>
      <x:c r="Q1121" s="6" t="str">
        <x:v>Proposed; no website change made</x:v>
      </x:c>
      <x:c r="R1121" s="14" t="n">
        <x:v>0</x:v>
      </x:c>
      <x:c r="S1121" s="14" t="n">
        <x:v>32</x:v>
      </x:c>
      <x:c r="T1121" s="15" t="n">
        <x:v>0</x:v>
      </x:c>
      <x:c r="U1121" s="16" t="n">
        <x:v>23.28</x:v>
      </x:c>
      <x:c r="V1121" s="6" t="str">
        <x:v>https://digitecme.com/brands/maybach-service-dubai/body-repair</x:v>
      </x:c>
      <x:c r="W1121" s="6" t="str">
        <x:v>Indexable directive</x:v>
      </x:c>
      <x:c r="X1121" s="6" t="n">
        <x:v>16</x:v>
      </x:c>
      <x:c r="Y1121" s="6" t="str">
        <x:v>Mercedes-Maybach Body Repair Dubai | Digi-Tec</x:v>
      </x:c>
      <x:c r="Z1121" s="6" t="str"/>
      <x:c r="AA1121" s="6" t="str">
        <x:v>No / not compared</x:v>
      </x:c>
    </x:row>
    <x:row r="1122" ht="42" customHeight="1">
      <x:c r="A1122" s="6" t="str">
        <x:v>https://digitecme.com/brands/maybach-service-dubai/brake-repair</x:v>
      </x:c>
      <x:c r="B1122" s="6" t="str"/>
      <x:c r="C1122" s="6" t="str"/>
      <x:c r="D1122" s="6" t="str">
        <x:v>brand-service</x:v>
      </x:c>
      <x:c r="E1122" s="6" t="str">
        <x:v>Retain differentiated role</x:v>
      </x:c>
      <x:c r="F1122" s="6" t="str">
        <x:v>Local source render; live version unverified</x:v>
      </x:c>
      <x:c r="G1122" s="6" t="str">
        <x:v>Mercedes-Maybach Brake Repair Dubai | Digi-Tec</x:v>
      </x:c>
      <x:c r="H1122" s="6" t="str">
        <x:v>Mercedes-Maybach Brake Repair Dubai | Digi-Tec</x:v>
      </x:c>
      <x:c r="I1122" s="6" t="str">
        <x:v>Mercedes-Maybach Brake Repair Dubai</x:v>
      </x:c>
      <x:c r="J1122" s="6" t="str">
        <x:v>Mercedes-Maybach Brake Repair Dubai</x:v>
      </x:c>
      <x:c r="K1122" s="6" t="str">
        <x:v>Mercedes-Maybach brake repair in Dubai with model-specific inspection, confirmed parts options and a clear quote at Digi-Tec, Al Quoz.</x:v>
      </x:c>
      <x:c r="L1122" s="6" t="str">
        <x:v>Retain pending evidence; no specific content edit justified by this export.</x:v>
      </x:c>
      <x:c r="M1122" s="6" t="str">
        <x:v>Retain; inspect relevant context before adding links</x:v>
      </x:c>
      <x:c r="N1122" s="6" t="str">
        <x:v>Unconfirmed — no query/page pairing</x:v>
      </x:c>
      <x:c r="O1122" s="6" t="str">
        <x:v>Retain established booking / WhatsApp / call path; live behaviour untested</x:v>
      </x:c>
      <x:c r="P1122" s="6" t="str">
        <x:v>Retain canonical and indexation policy pending a live check.</x:v>
      </x:c>
      <x:c r="Q1122" s="6" t="str">
        <x:v>Proposed; no website change made</x:v>
      </x:c>
      <x:c r="R1122" s="14" t="n">
        <x:v>0</x:v>
      </x:c>
      <x:c r="S1122" s="14" t="n">
        <x:v>9</x:v>
      </x:c>
      <x:c r="T1122" s="15" t="n">
        <x:v>0</x:v>
      </x:c>
      <x:c r="U1122" s="16" t="n">
        <x:v>39.89</x:v>
      </x:c>
      <x:c r="V1122" s="6" t="str">
        <x:v>https://digitecme.com/brands/maybach-service-dubai/brake-repair</x:v>
      </x:c>
      <x:c r="W1122" s="6" t="str">
        <x:v>Indexable directive</x:v>
      </x:c>
      <x:c r="X1122" s="6" t="n">
        <x:v>16</x:v>
      </x:c>
      <x:c r="Y1122" s="6" t="str">
        <x:v>Mercedes-Maybach Brake Repair Dubai | Digi-Tec</x:v>
      </x:c>
      <x:c r="Z1122" s="6" t="str"/>
      <x:c r="AA1122" s="6" t="str">
        <x:v>No / not compared</x:v>
      </x:c>
    </x:row>
    <x:row r="1123" ht="42" customHeight="1">
      <x:c r="A1123" s="6" t="str">
        <x:v>https://digitecme.com/brands/maybach-service-dubai/electrical-repair</x:v>
      </x:c>
      <x:c r="B1123" s="6" t="str"/>
      <x:c r="C1123" s="6" t="str"/>
      <x:c r="D1123" s="6" t="str">
        <x:v>brand-service</x:v>
      </x:c>
      <x:c r="E1123" s="6" t="str">
        <x:v>Retain differentiated role</x:v>
      </x:c>
      <x:c r="F1123" s="6" t="str">
        <x:v>Local source render; live version unverified</x:v>
      </x:c>
      <x:c r="G1123" s="6" t="str">
        <x:v>Mercedes-Maybach Electrical Repair Dubai | Digi-Tec</x:v>
      </x:c>
      <x:c r="H1123" s="6" t="str">
        <x:v>Mercedes-Maybach Electrical Repair Dubai | Digi-Tec</x:v>
      </x:c>
      <x:c r="I1123" s="6" t="str">
        <x:v>Mercedes-Maybach Electrical Repair Dubai</x:v>
      </x:c>
      <x:c r="J1123" s="6" t="str">
        <x:v>Mercedes-Maybach Electrical Repair Dubai</x:v>
      </x:c>
      <x:c r="K1123" s="6" t="str">
        <x:v>Mercedes-Maybach electrical repair in Dubai with model-specific inspection, confirmed parts options and a clear quote at Digi-Tec, Al Quoz.</x:v>
      </x:c>
      <x:c r="L1123" s="6" t="str">
        <x:v>Retain pending evidence; no specific content edit justified by this export.</x:v>
      </x:c>
      <x:c r="M1123" s="6" t="str">
        <x:v>Retain; inspect relevant context before adding links</x:v>
      </x:c>
      <x:c r="N1123" s="6" t="str">
        <x:v>Unconfirmed — no query/page pairing</x:v>
      </x:c>
      <x:c r="O1123" s="6" t="str">
        <x:v>Retain established booking / WhatsApp / call path; live behaviour untested</x:v>
      </x:c>
      <x:c r="P1123" s="6" t="str">
        <x:v>Retain canonical and indexation policy pending a live check.</x:v>
      </x:c>
      <x:c r="Q1123" s="6" t="str">
        <x:v>Proposed; no website change made</x:v>
      </x:c>
      <x:c r="R1123" s="14" t="n">
        <x:v>0</x:v>
      </x:c>
      <x:c r="S1123" s="14" t="n">
        <x:v>4</x:v>
      </x:c>
      <x:c r="T1123" s="15" t="n">
        <x:v>0</x:v>
      </x:c>
      <x:c r="U1123" s="16" t="n">
        <x:v>12</x:v>
      </x:c>
      <x:c r="V1123" s="6" t="str">
        <x:v>https://digitecme.com/brands/maybach-service-dubai/electrical-repair</x:v>
      </x:c>
      <x:c r="W1123" s="6" t="str">
        <x:v>Indexable directive</x:v>
      </x:c>
      <x:c r="X1123" s="6" t="n">
        <x:v>16</x:v>
      </x:c>
      <x:c r="Y1123" s="6" t="str">
        <x:v>Mercedes-Maybach Electrical Repair Dubai | Digi-Tec</x:v>
      </x:c>
      <x:c r="Z1123" s="6" t="str"/>
      <x:c r="AA1123" s="6" t="str">
        <x:v>No / not compared</x:v>
      </x:c>
    </x:row>
    <x:row r="1124" ht="42" customHeight="1">
      <x:c r="A1124" s="6" t="str">
        <x:v>https://digitecme.com/brands/maybach-service-dubai/engine-diagnostics</x:v>
      </x:c>
      <x:c r="B1124" s="6" t="str"/>
      <x:c r="C1124" s="6" t="str"/>
      <x:c r="D1124" s="6" t="str">
        <x:v>brand-service</x:v>
      </x:c>
      <x:c r="E1124" s="6" t="str">
        <x:v>Retain differentiated role</x:v>
      </x:c>
      <x:c r="F1124" s="6" t="str">
        <x:v>Local source render; live version unverified</x:v>
      </x:c>
      <x:c r="G1124" s="6" t="str">
        <x:v>Mercedes-Maybach Engine Diagnostics Dubai | Digi-Tec</x:v>
      </x:c>
      <x:c r="H1124" s="6" t="str">
        <x:v>Mercedes-Maybach Engine Diagnostics Dubai | Digi-Tec</x:v>
      </x:c>
      <x:c r="I1124" s="6" t="str">
        <x:v>Mercedes-Maybach Engine Diagnostics Dubai</x:v>
      </x:c>
      <x:c r="J1124" s="6" t="str">
        <x:v>Mercedes-Maybach Engine Diagnostics Dubai</x:v>
      </x:c>
      <x:c r="K1124" s="6" t="str">
        <x:v>Mercedes-Maybach engine diagnostics in Dubai with model-specific inspection, confirmed parts options and a clear quote at Digi-Tec, Al Quoz.</x:v>
      </x:c>
      <x:c r="L1124" s="6" t="str">
        <x:v>Retain pending evidence; no specific content edit justified by this export.</x:v>
      </x:c>
      <x:c r="M1124" s="6" t="str">
        <x:v>Retain; inspect relevant context before adding links</x:v>
      </x:c>
      <x:c r="N1124" s="6" t="str">
        <x:v>Unconfirmed — no query/page pairing</x:v>
      </x:c>
      <x:c r="O1124" s="6" t="str">
        <x:v>Retain established booking / WhatsApp / call path; live behaviour untested</x:v>
      </x:c>
      <x:c r="P1124" s="6" t="str">
        <x:v>Retain canonical and indexation policy pending a live check.</x:v>
      </x:c>
      <x:c r="Q1124" s="6" t="str">
        <x:v>Proposed; no website change made</x:v>
      </x:c>
      <x:c r="R1124" s="14" t="n">
        <x:v>0</x:v>
      </x:c>
      <x:c r="S1124" s="14" t="n">
        <x:v>3</x:v>
      </x:c>
      <x:c r="T1124" s="15" t="n">
        <x:v>0</x:v>
      </x:c>
      <x:c r="U1124" s="16" t="n">
        <x:v>44.33</x:v>
      </x:c>
      <x:c r="V1124" s="6" t="str">
        <x:v>https://digitecme.com/brands/maybach-service-dubai/engine-diagnostics</x:v>
      </x:c>
      <x:c r="W1124" s="6" t="str">
        <x:v>Indexable directive</x:v>
      </x:c>
      <x:c r="X1124" s="6" t="n">
        <x:v>16</x:v>
      </x:c>
      <x:c r="Y1124" s="6" t="str">
        <x:v>Mercedes-Maybach Engine Diagnostics Dubai | Digi-Tec</x:v>
      </x:c>
      <x:c r="Z1124" s="6" t="str"/>
      <x:c r="AA1124" s="6" t="str">
        <x:v>No / not compared</x:v>
      </x:c>
    </x:row>
    <x:row r="1125" ht="42" customHeight="1">
      <x:c r="A1125" s="6" t="str">
        <x:v>https://digitecme.com/brands/maybach-service-dubai/exhaust-repair</x:v>
      </x:c>
      <x:c r="B1125" s="6" t="str"/>
      <x:c r="C1125" s="6" t="str"/>
      <x:c r="D1125" s="6" t="str">
        <x:v>brand-service</x:v>
      </x:c>
      <x:c r="E1125" s="6" t="str">
        <x:v>Retain differentiated role</x:v>
      </x:c>
      <x:c r="F1125" s="6" t="str">
        <x:v>Local source render; live version unverified</x:v>
      </x:c>
      <x:c r="G1125" s="6" t="str">
        <x:v>Mercedes-Maybach Exhaust Repair Dubai | Digi-Tec</x:v>
      </x:c>
      <x:c r="H1125" s="6" t="str">
        <x:v>Mercedes-Maybach Exhaust Repair Dubai | Digi-Tec</x:v>
      </x:c>
      <x:c r="I1125" s="6" t="str">
        <x:v>Mercedes-Maybach Exhaust Repair Dubai</x:v>
      </x:c>
      <x:c r="J1125" s="6" t="str">
        <x:v>Mercedes-Maybach Exhaust Repair Dubai</x:v>
      </x:c>
      <x:c r="K1125" s="6" t="str">
        <x:v>Mercedes-Maybach exhaust repair in Dubai with model-specific inspection, confirmed parts options and a clear quote at Digi-Tec, Al Quoz.</x:v>
      </x:c>
      <x:c r="L1125" s="6" t="str">
        <x:v>Retain pending evidence; no specific content edit justified by this export.</x:v>
      </x:c>
      <x:c r="M1125" s="6" t="str">
        <x:v>Retain; inspect relevant context before adding links</x:v>
      </x:c>
      <x:c r="N1125" s="6" t="str">
        <x:v>Unconfirmed — no query/page pairing</x:v>
      </x:c>
      <x:c r="O1125" s="6" t="str">
        <x:v>Retain established booking / WhatsApp / call path; live behaviour untested</x:v>
      </x:c>
      <x:c r="P1125" s="6" t="str">
        <x:v>Retain canonical and indexation policy pending a live check.</x:v>
      </x:c>
      <x:c r="Q1125" s="6" t="str">
        <x:v>Proposed; no website change made</x:v>
      </x:c>
      <x:c r="R1125" s="14" t="n">
        <x:v>0</x:v>
      </x:c>
      <x:c r="S1125" s="14" t="n">
        <x:v>7</x:v>
      </x:c>
      <x:c r="T1125" s="15" t="n">
        <x:v>0</x:v>
      </x:c>
      <x:c r="U1125" s="16" t="n">
        <x:v>13.71</x:v>
      </x:c>
      <x:c r="V1125" s="6" t="str">
        <x:v>https://digitecme.com/brands/maybach-service-dubai/exhaust-repair</x:v>
      </x:c>
      <x:c r="W1125" s="6" t="str">
        <x:v>Indexable directive</x:v>
      </x:c>
      <x:c r="X1125" s="6" t="n">
        <x:v>16</x:v>
      </x:c>
      <x:c r="Y1125" s="6" t="str">
        <x:v>Mercedes-Maybach Exhaust Repair Dubai | Digi-Tec</x:v>
      </x:c>
      <x:c r="Z1125" s="6" t="str"/>
      <x:c r="AA1125" s="6" t="str">
        <x:v>No / not compared</x:v>
      </x:c>
    </x:row>
    <x:row r="1126" ht="42" customHeight="1">
      <x:c r="A1126" s="6" t="str">
        <x:v>https://digitecme.com/brands/maybach-service-dubai/fuel-system-repair</x:v>
      </x:c>
      <x:c r="B1126" s="6" t="str"/>
      <x:c r="C1126" s="6" t="str"/>
      <x:c r="D1126" s="6" t="str">
        <x:v>brand-service</x:v>
      </x:c>
      <x:c r="E1126" s="6" t="str">
        <x:v>Retain differentiated role</x:v>
      </x:c>
      <x:c r="F1126" s="6" t="str">
        <x:v>Local source render; live version unverified</x:v>
      </x:c>
      <x:c r="G1126" s="6" t="str">
        <x:v>Mercedes-Maybach Fuel System Repair Dubai | Digi-Tec</x:v>
      </x:c>
      <x:c r="H1126" s="6" t="str">
        <x:v>Mercedes-Maybach Fuel System Repair Dubai | Digi-Tec</x:v>
      </x:c>
      <x:c r="I1126" s="6" t="str">
        <x:v>Mercedes-Maybach Fuel System Repair Dubai</x:v>
      </x:c>
      <x:c r="J1126" s="6" t="str">
        <x:v>Mercedes-Maybach Fuel System Repair Dubai</x:v>
      </x:c>
      <x:c r="K1126" s="6" t="str">
        <x:v>Mercedes-Maybach fuel system repair in Dubai with model-specific inspection, confirmed parts options and a clear quote at Digi-Tec, Al Quoz.</x:v>
      </x:c>
      <x:c r="L1126" s="6" t="str">
        <x:v>Retain pending evidence; no specific content edit justified by this export.</x:v>
      </x:c>
      <x:c r="M1126" s="6" t="str">
        <x:v>Retain; inspect relevant context before adding links</x:v>
      </x:c>
      <x:c r="N1126" s="6" t="str">
        <x:v>Unconfirmed — no query/page pairing</x:v>
      </x:c>
      <x:c r="O1126" s="6" t="str">
        <x:v>Retain established booking / WhatsApp / call path; live behaviour untested</x:v>
      </x:c>
      <x:c r="P1126" s="6" t="str">
        <x:v>Retain canonical and indexation policy pending a live check.</x:v>
      </x:c>
      <x:c r="Q1126" s="6" t="str">
        <x:v>Proposed; no website change made</x:v>
      </x:c>
      <x:c r="R1126" s="14"/>
      <x:c r="S1126" s="14"/>
      <x:c r="T1126" s="15"/>
      <x:c r="U1126" s="16"/>
      <x:c r="V1126" s="6" t="str">
        <x:v>https://digitecme.com/brands/maybach-service-dubai/fuel-system-repair</x:v>
      </x:c>
      <x:c r="W1126" s="6" t="str">
        <x:v>Indexable directive</x:v>
      </x:c>
      <x:c r="X1126" s="6" t="n">
        <x:v>16</x:v>
      </x:c>
      <x:c r="Y1126" s="6" t="str">
        <x:v>Mercedes-Maybach Fuel System Repair Dubai | Digi-Tec</x:v>
      </x:c>
      <x:c r="Z1126" s="6" t="str"/>
      <x:c r="AA1126" s="6" t="str">
        <x:v>No / not compared</x:v>
      </x:c>
    </x:row>
    <x:row r="1127" ht="42" customHeight="1">
      <x:c r="A1127" s="6" t="str">
        <x:v>https://digitecme.com/brands/maybach-service-dubai/mechanical-repair</x:v>
      </x:c>
      <x:c r="B1127" s="6" t="str"/>
      <x:c r="C1127" s="6" t="str"/>
      <x:c r="D1127" s="6" t="str">
        <x:v>brand-service</x:v>
      </x:c>
      <x:c r="E1127" s="6" t="str">
        <x:v>Retain differentiated role</x:v>
      </x:c>
      <x:c r="F1127" s="6" t="str">
        <x:v>Local source render; live version unverified</x:v>
      </x:c>
      <x:c r="G1127" s="6" t="str">
        <x:v>Mercedes-Maybach Mechanical Repair Dubai | Digi-Tec</x:v>
      </x:c>
      <x:c r="H1127" s="6" t="str">
        <x:v>Mercedes-Maybach Mechanical Repair Dubai | Digi-Tec</x:v>
      </x:c>
      <x:c r="I1127" s="6" t="str">
        <x:v>Mercedes-Maybach Mechanical Repair Dubai</x:v>
      </x:c>
      <x:c r="J1127" s="6" t="str">
        <x:v>Mercedes-Maybach Mechanical Repair Dubai</x:v>
      </x:c>
      <x:c r="K1127" s="6" t="str">
        <x:v>Mercedes-Maybach mechanical repair in Dubai with model-specific inspection, confirmed parts options and a clear quote at Digi-Tec, Al Quoz.</x:v>
      </x:c>
      <x:c r="L1127" s="6" t="str">
        <x:v>Retain pending evidence; no specific content edit justified by this export.</x:v>
      </x:c>
      <x:c r="M1127" s="6" t="str">
        <x:v>Retain; inspect relevant context before adding links</x:v>
      </x:c>
      <x:c r="N1127" s="6" t="str">
        <x:v>Unconfirmed — no query/page pairing</x:v>
      </x:c>
      <x:c r="O1127" s="6" t="str">
        <x:v>Retain established booking / WhatsApp / call path; live behaviour untested</x:v>
      </x:c>
      <x:c r="P1127" s="6" t="str">
        <x:v>Retain canonical and indexation policy pending a live check.</x:v>
      </x:c>
      <x:c r="Q1127" s="6" t="str">
        <x:v>Proposed; no website change made</x:v>
      </x:c>
      <x:c r="R1127" s="14" t="n">
        <x:v>0</x:v>
      </x:c>
      <x:c r="S1127" s="14" t="n">
        <x:v>5</x:v>
      </x:c>
      <x:c r="T1127" s="15" t="n">
        <x:v>0</x:v>
      </x:c>
      <x:c r="U1127" s="16" t="n">
        <x:v>32.4</x:v>
      </x:c>
      <x:c r="V1127" s="6" t="str">
        <x:v>https://digitecme.com/brands/maybach-service-dubai/mechanical-repair</x:v>
      </x:c>
      <x:c r="W1127" s="6" t="str">
        <x:v>Indexable directive</x:v>
      </x:c>
      <x:c r="X1127" s="6" t="n">
        <x:v>16</x:v>
      </x:c>
      <x:c r="Y1127" s="6" t="str">
        <x:v>Mercedes-Maybach Mechanical Repair Dubai | Digi-Tec</x:v>
      </x:c>
      <x:c r="Z1127" s="6" t="str"/>
      <x:c r="AA1127" s="6" t="str">
        <x:v>No / not compared</x:v>
      </x:c>
    </x:row>
    <x:row r="1128" ht="42" customHeight="1">
      <x:c r="A1128" s="6" t="str">
        <x:v>https://digitecme.com/brands/maybach-service-dubai/oil-change</x:v>
      </x:c>
      <x:c r="B1128" s="6" t="str"/>
      <x:c r="C1128" s="6" t="str"/>
      <x:c r="D1128" s="6" t="str">
        <x:v>brand-service</x:v>
      </x:c>
      <x:c r="E1128" s="6" t="str">
        <x:v>Retain differentiated role</x:v>
      </x:c>
      <x:c r="F1128" s="6" t="str">
        <x:v>Local source render; live version unverified</x:v>
      </x:c>
      <x:c r="G1128" s="6" t="str">
        <x:v>Mercedes-Maybach Oil Change Dubai | Digi-Tec</x:v>
      </x:c>
      <x:c r="H1128" s="6" t="str">
        <x:v>Mercedes-Maybach Oil Change Dubai | Digi-Tec</x:v>
      </x:c>
      <x:c r="I1128" s="6" t="str">
        <x:v>Mercedes-Maybach Oil Change Dubai</x:v>
      </x:c>
      <x:c r="J1128" s="6" t="str">
        <x:v>Mercedes-Maybach Oil Change Dubai</x:v>
      </x:c>
      <x:c r="K1128" s="6" t="str">
        <x:v>Mercedes-Maybach oil change in Dubai with model-specific inspection, confirmed parts options and a clear quote at Digi-Tec, Al Quoz.</x:v>
      </x:c>
      <x:c r="L1128" s="6" t="str">
        <x:v>Retain pending evidence; no specific content edit justified by this export.</x:v>
      </x:c>
      <x:c r="M1128" s="6" t="str">
        <x:v>Retain; inspect relevant context before adding links</x:v>
      </x:c>
      <x:c r="N1128" s="6" t="str">
        <x:v>Unconfirmed — no query/page pairing</x:v>
      </x:c>
      <x:c r="O1128" s="6" t="str">
        <x:v>Retain established booking / WhatsApp / call path; live behaviour untested</x:v>
      </x:c>
      <x:c r="P1128" s="6" t="str">
        <x:v>Retain canonical and indexation policy pending a live check.</x:v>
      </x:c>
      <x:c r="Q1128" s="6" t="str">
        <x:v>Proposed; no website change made</x:v>
      </x:c>
      <x:c r="R1128" s="14" t="n">
        <x:v>0</x:v>
      </x:c>
      <x:c r="S1128" s="14" t="n">
        <x:v>10</x:v>
      </x:c>
      <x:c r="T1128" s="15" t="n">
        <x:v>0</x:v>
      </x:c>
      <x:c r="U1128" s="16" t="n">
        <x:v>38.7</x:v>
      </x:c>
      <x:c r="V1128" s="6" t="str">
        <x:v>https://digitecme.com/brands/maybach-service-dubai/oil-change</x:v>
      </x:c>
      <x:c r="W1128" s="6" t="str">
        <x:v>Indexable directive</x:v>
      </x:c>
      <x:c r="X1128" s="6" t="n">
        <x:v>16</x:v>
      </x:c>
      <x:c r="Y1128" s="6" t="str">
        <x:v>Mercedes-Maybach Oil Change Dubai | Digi-Tec</x:v>
      </x:c>
      <x:c r="Z1128" s="6" t="str"/>
      <x:c r="AA1128" s="6" t="str">
        <x:v>No / not compared</x:v>
      </x:c>
    </x:row>
    <x:row r="1129" ht="42" customHeight="1">
      <x:c r="A1129" s="6" t="str">
        <x:v>https://digitecme.com/brands/maybach-service-dubai/steering-repair</x:v>
      </x:c>
      <x:c r="B1129" s="6" t="str"/>
      <x:c r="C1129" s="6" t="str"/>
      <x:c r="D1129" s="6" t="str">
        <x:v>brand-service</x:v>
      </x:c>
      <x:c r="E1129" s="6" t="str">
        <x:v>Retain differentiated role</x:v>
      </x:c>
      <x:c r="F1129" s="6" t="str">
        <x:v>Local source render; live version unverified</x:v>
      </x:c>
      <x:c r="G1129" s="6" t="str">
        <x:v>Mercedes-Maybach Steering Repair Dubai | Digi-Tec</x:v>
      </x:c>
      <x:c r="H1129" s="6" t="str">
        <x:v>Mercedes-Maybach Steering Repair Dubai | Digi-Tec</x:v>
      </x:c>
      <x:c r="I1129" s="6" t="str">
        <x:v>Mercedes-Maybach Steering Repair Dubai</x:v>
      </x:c>
      <x:c r="J1129" s="6" t="str">
        <x:v>Mercedes-Maybach Steering Repair Dubai</x:v>
      </x:c>
      <x:c r="K1129" s="6" t="str">
        <x:v>Mercedes-Maybach steering repair in Dubai with model-specific inspection, confirmed parts options and a clear quote at Digi-Tec, Al Quoz.</x:v>
      </x:c>
      <x:c r="L1129" s="6" t="str">
        <x:v>Retain pending evidence; no specific content edit justified by this export.</x:v>
      </x:c>
      <x:c r="M1129" s="6" t="str">
        <x:v>Retain; inspect relevant context before adding links</x:v>
      </x:c>
      <x:c r="N1129" s="6" t="str">
        <x:v>Unconfirmed — no query/page pairing</x:v>
      </x:c>
      <x:c r="O1129" s="6" t="str">
        <x:v>Retain established booking / WhatsApp / call path; live behaviour untested</x:v>
      </x:c>
      <x:c r="P1129" s="6" t="str">
        <x:v>Retain canonical and indexation policy pending a live check.</x:v>
      </x:c>
      <x:c r="Q1129" s="6" t="str">
        <x:v>Proposed; no website change made</x:v>
      </x:c>
      <x:c r="R1129" s="14" t="n">
        <x:v>0</x:v>
      </x:c>
      <x:c r="S1129" s="14" t="n">
        <x:v>2</x:v>
      </x:c>
      <x:c r="T1129" s="15" t="n">
        <x:v>0</x:v>
      </x:c>
      <x:c r="U1129" s="16" t="n">
        <x:v>13.5</x:v>
      </x:c>
      <x:c r="V1129" s="6" t="str">
        <x:v>https://digitecme.com/brands/maybach-service-dubai/steering-repair</x:v>
      </x:c>
      <x:c r="W1129" s="6" t="str">
        <x:v>Indexable directive</x:v>
      </x:c>
      <x:c r="X1129" s="6" t="n">
        <x:v>16</x:v>
      </x:c>
      <x:c r="Y1129" s="6" t="str">
        <x:v>Mercedes-Maybach Steering Repair Dubai | Digi-Tec</x:v>
      </x:c>
      <x:c r="Z1129" s="6" t="str"/>
      <x:c r="AA1129" s="6" t="str">
        <x:v>No / not compared</x:v>
      </x:c>
    </x:row>
    <x:row r="1130" ht="42" customHeight="1">
      <x:c r="A1130" s="6" t="str">
        <x:v>https://digitecme.com/brands/maybach-service-dubai/suspension-repair</x:v>
      </x:c>
      <x:c r="B1130" s="6" t="str"/>
      <x:c r="C1130" s="6" t="str"/>
      <x:c r="D1130" s="6" t="str">
        <x:v>brand-service</x:v>
      </x:c>
      <x:c r="E1130" s="6" t="str">
        <x:v>Retain differentiated role</x:v>
      </x:c>
      <x:c r="F1130" s="6" t="str">
        <x:v>Local source render; live version unverified</x:v>
      </x:c>
      <x:c r="G1130" s="6" t="str">
        <x:v>Mercedes-Maybach Suspension Repair Dubai | Digi-Tec</x:v>
      </x:c>
      <x:c r="H1130" s="6" t="str">
        <x:v>Mercedes-Maybach Suspension Repair Dubai | Digi-Tec</x:v>
      </x:c>
      <x:c r="I1130" s="6" t="str">
        <x:v>Mercedes-Maybach Suspension Repair Dubai</x:v>
      </x:c>
      <x:c r="J1130" s="6" t="str">
        <x:v>Mercedes-Maybach Suspension Repair Dubai</x:v>
      </x:c>
      <x:c r="K1130" s="6" t="str">
        <x:v>Mercedes-Maybach suspension repair in Dubai with model-specific inspection, confirmed parts options and a clear quote at Digi-Tec, Al Quoz.</x:v>
      </x:c>
      <x:c r="L1130" s="6" t="str">
        <x:v>Retain pending evidence; no specific content edit justified by this export.</x:v>
      </x:c>
      <x:c r="M1130" s="6" t="str">
        <x:v>Retain; inspect relevant context before adding links</x:v>
      </x:c>
      <x:c r="N1130" s="6" t="str">
        <x:v>Unconfirmed — no query/page pairing</x:v>
      </x:c>
      <x:c r="O1130" s="6" t="str">
        <x:v>Retain established booking / WhatsApp / call path; live behaviour untested</x:v>
      </x:c>
      <x:c r="P1130" s="6" t="str">
        <x:v>Retain canonical and indexation policy pending a live check.</x:v>
      </x:c>
      <x:c r="Q1130" s="6" t="str">
        <x:v>Proposed; no website change made</x:v>
      </x:c>
      <x:c r="R1130" s="14" t="n">
        <x:v>0</x:v>
      </x:c>
      <x:c r="S1130" s="14" t="n">
        <x:v>3</x:v>
      </x:c>
      <x:c r="T1130" s="15" t="n">
        <x:v>0</x:v>
      </x:c>
      <x:c r="U1130" s="16" t="n">
        <x:v>80.33</x:v>
      </x:c>
      <x:c r="V1130" s="6" t="str">
        <x:v>https://digitecme.com/brands/maybach-service-dubai/suspension-repair</x:v>
      </x:c>
      <x:c r="W1130" s="6" t="str">
        <x:v>Indexable directive</x:v>
      </x:c>
      <x:c r="X1130" s="6" t="n">
        <x:v>16</x:v>
      </x:c>
      <x:c r="Y1130" s="6" t="str">
        <x:v>Mercedes-Maybach Suspension Repair Dubai | Digi-Tec</x:v>
      </x:c>
      <x:c r="Z1130" s="6" t="str"/>
      <x:c r="AA1130" s="6" t="str">
        <x:v>No / not compared</x:v>
      </x:c>
    </x:row>
    <x:row r="1131" ht="42" customHeight="1">
      <x:c r="A1131" s="6" t="str">
        <x:v>https://digitecme.com/brands/maybach-service-dubai/tire-repair</x:v>
      </x:c>
      <x:c r="B1131" s="6" t="str"/>
      <x:c r="C1131" s="6" t="str"/>
      <x:c r="D1131" s="6" t="str">
        <x:v>brand-service</x:v>
      </x:c>
      <x:c r="E1131" s="6" t="str">
        <x:v>Retain differentiated role</x:v>
      </x:c>
      <x:c r="F1131" s="6" t="str">
        <x:v>Local source render; live version unverified</x:v>
      </x:c>
      <x:c r="G1131" s="6" t="str">
        <x:v>Mercedes-Maybach Tyre Repair Dubai | Digi-Tec</x:v>
      </x:c>
      <x:c r="H1131" s="6" t="str">
        <x:v>Mercedes-Maybach Tyre Repair Dubai | Digi-Tec</x:v>
      </x:c>
      <x:c r="I1131" s="6" t="str">
        <x:v>Mercedes-Maybach Tyre Repair Dubai</x:v>
      </x:c>
      <x:c r="J1131" s="6" t="str">
        <x:v>Mercedes-Maybach Tyre Repair Dubai</x:v>
      </x:c>
      <x:c r="K1131" s="6" t="str">
        <x:v>Mercedes-Maybach tyre repair in Dubai with model-specific inspection, confirmed parts options and a clear quote at Digi-Tec, Al Quoz.</x:v>
      </x:c>
      <x:c r="L1131" s="6" t="str">
        <x:v>Retain pending evidence; no specific content edit justified by this export.</x:v>
      </x:c>
      <x:c r="M1131" s="6" t="str">
        <x:v>Retain; inspect relevant context before adding links</x:v>
      </x:c>
      <x:c r="N1131" s="6" t="str">
        <x:v>Unconfirmed — no query/page pairing</x:v>
      </x:c>
      <x:c r="O1131" s="6" t="str">
        <x:v>Retain established booking / WhatsApp / call path; live behaviour untested</x:v>
      </x:c>
      <x:c r="P1131" s="6" t="str">
        <x:v>Retain canonical and indexation policy pending a live check.</x:v>
      </x:c>
      <x:c r="Q1131" s="6" t="str">
        <x:v>Proposed; no website change made</x:v>
      </x:c>
      <x:c r="R1131" s="14"/>
      <x:c r="S1131" s="14"/>
      <x:c r="T1131" s="15"/>
      <x:c r="U1131" s="16"/>
      <x:c r="V1131" s="6" t="str">
        <x:v>https://digitecme.com/brands/maybach-service-dubai/tire-repair</x:v>
      </x:c>
      <x:c r="W1131" s="6" t="str">
        <x:v>Indexable directive</x:v>
      </x:c>
      <x:c r="X1131" s="6" t="n">
        <x:v>16</x:v>
      </x:c>
      <x:c r="Y1131" s="6" t="str">
        <x:v>Mercedes-Maybach Tyre Repair Dubai | Digi-Tec</x:v>
      </x:c>
      <x:c r="Z1131" s="6" t="str"/>
      <x:c r="AA1131" s="6" t="str">
        <x:v>No / not compared</x:v>
      </x:c>
    </x:row>
    <x:row r="1132" ht="57" customHeight="1">
      <x:c r="A1132" s="6" t="str">
        <x:v>https://digitecme.com/brands/maybach-service-dubai/transmission-repair</x:v>
      </x:c>
      <x:c r="B1132" s="6" t="str"/>
      <x:c r="C1132" s="6" t="str"/>
      <x:c r="D1132" s="6" t="str">
        <x:v>brand-service</x:v>
      </x:c>
      <x:c r="E1132" s="6" t="str">
        <x:v>Retain differentiated role</x:v>
      </x:c>
      <x:c r="F1132" s="6" t="str">
        <x:v>Local source render; live version unverified</x:v>
      </x:c>
      <x:c r="G1132" s="6" t="str">
        <x:v>Mercedes-Maybach Transmission Repair Dubai | Digi-Tec</x:v>
      </x:c>
      <x:c r="H1132" s="6" t="str">
        <x:v>Mercedes-Maybach Transmission Repair Dubai | Digi-Tec</x:v>
      </x:c>
      <x:c r="I1132" s="6" t="str">
        <x:v>Mercedes-Maybach Transmission Repair Dubai</x:v>
      </x:c>
      <x:c r="J1132" s="6" t="str">
        <x:v>Mercedes-Maybach Transmission Repair Dubai</x:v>
      </x:c>
      <x:c r="K1132" s="6" t="str">
        <x:v>Mercedes-Maybach transmission repair in Dubai with model-specific inspection, confirmed parts options and a clear quote at Digi-Tec, Al Quoz.</x:v>
      </x:c>
      <x:c r="L1132" s="6" t="str">
        <x:v>Retain pending evidence; no specific content edit justified by this export.</x:v>
      </x:c>
      <x:c r="M1132" s="6" t="str">
        <x:v>Retain; inspect relevant context before adding links</x:v>
      </x:c>
      <x:c r="N1132" s="6" t="str">
        <x:v>Unconfirmed — no query/page pairing</x:v>
      </x:c>
      <x:c r="O1132" s="6" t="str">
        <x:v>Retain established booking / WhatsApp / call path; live behaviour untested</x:v>
      </x:c>
      <x:c r="P1132" s="6" t="str">
        <x:v>Retain canonical and indexation policy pending a live check.</x:v>
      </x:c>
      <x:c r="Q1132" s="6" t="str">
        <x:v>Proposed; no website change made</x:v>
      </x:c>
      <x:c r="R1132" s="14" t="n">
        <x:v>0</x:v>
      </x:c>
      <x:c r="S1132" s="14" t="n">
        <x:v>15</x:v>
      </x:c>
      <x:c r="T1132" s="15" t="n">
        <x:v>0</x:v>
      </x:c>
      <x:c r="U1132" s="16" t="n">
        <x:v>47.6</x:v>
      </x:c>
      <x:c r="V1132" s="6" t="str">
        <x:v>https://digitecme.com/brands/maybach-service-dubai/transmission-repair</x:v>
      </x:c>
      <x:c r="W1132" s="6" t="str">
        <x:v>Indexable directive</x:v>
      </x:c>
      <x:c r="X1132" s="6" t="n">
        <x:v>16</x:v>
      </x:c>
      <x:c r="Y1132" s="6" t="str">
        <x:v>Mercedes-Maybach Transmission Repair Dubai | Digi-Tec</x:v>
      </x:c>
      <x:c r="Z1132" s="6" t="str"/>
      <x:c r="AA1132" s="6" t="str">
        <x:v>No / not compared</x:v>
      </x:c>
    </x:row>
    <x:row r="1133" ht="42" customHeight="1">
      <x:c r="A1133" s="6" t="str">
        <x:v>https://digitecme.com/brands/mazda-service-dubai</x:v>
      </x:c>
      <x:c r="B1133" s="6" t="str">
        <x:v>mazda service centers in dubai</x:v>
      </x:c>
      <x:c r="C1133" s="6" t="str">
        <x:v>mazda: Service and repair (English)</x:v>
      </x:c>
      <x:c r="D1133" s="6" t="str">
        <x:v>brand</x:v>
      </x:c>
      <x:c r="E1133" s="6" t="str">
        <x:v>Primary owner for assigned intent</x:v>
      </x:c>
      <x:c r="F1133" s="6" t="str">
        <x:v>Local source render; live version unverified</x:v>
      </x:c>
      <x:c r="G1133" s="6" t="str">
        <x:v>Mazda Repair Dubai | Digi-Tec</x:v>
      </x:c>
      <x:c r="H1133" s="6" t="str">
        <x:v>Mazda Repair Dubai | Digi-Tec</x:v>
      </x:c>
      <x:c r="I1133" s="6" t="str">
        <x:v>Mazda Repair &amp; Service Dubai</x:v>
      </x:c>
      <x:c r="J1133" s="6" t="str">
        <x:v>Mazda Repair &amp; Service Dubai</x:v>
      </x:c>
      <x:c r="K1133" s="6" t="str">
        <x:v>Specialist Mazda repair and service in Dubai: diagnostics, maintenance, brakes, transmission, suspension and AC at Digi-Tec, Al Quoz.</x:v>
      </x:c>
      <x:c r="L1133" s="6" t="str">
        <x:v>Retain pending evidence; no specific content edit justified by this export.</x:v>
      </x:c>
      <x:c r="M1133" s="6" t="str">
        <x:v>Retain; inspect relevant context before adding links</x:v>
      </x:c>
      <x:c r="N1133" s="6" t="str">
        <x:v>Unconfirmed — no query/page pairing</x:v>
      </x:c>
      <x:c r="O1133" s="6" t="str">
        <x:v>Retain established booking / WhatsApp / call path; live behaviour untested</x:v>
      </x:c>
      <x:c r="P1133" s="6" t="str">
        <x:v>Retain canonical and indexation policy pending a live check.</x:v>
      </x:c>
      <x:c r="Q1133" s="6" t="str">
        <x:v>Proposed; no website change made</x:v>
      </x:c>
      <x:c r="R1133" s="14" t="n">
        <x:v>0</x:v>
      </x:c>
      <x:c r="S1133" s="14" t="n">
        <x:v>146</x:v>
      </x:c>
      <x:c r="T1133" s="15" t="n">
        <x:v>0</x:v>
      </x:c>
      <x:c r="U1133" s="16" t="n">
        <x:v>34.12</x:v>
      </x:c>
      <x:c r="V1133" s="6" t="str">
        <x:v>https://digitecme.com/brands/mazda-service-dubai</x:v>
      </x:c>
      <x:c r="W1133" s="6" t="str">
        <x:v>Indexable directive</x:v>
      </x:c>
      <x:c r="X1133" s="6" t="n">
        <x:v>28</x:v>
      </x:c>
      <x:c r="Y1133" s="6" t="str">
        <x:v>Mazda Repair Dubai | Digi-Tec</x:v>
      </x:c>
      <x:c r="Z1133" s="6" t="str"/>
      <x:c r="AA1133" s="6" t="str">
        <x:v>No / not compared</x:v>
      </x:c>
    </x:row>
    <x:row r="1134" ht="42" customHeight="1">
      <x:c r="A1134" s="6" t="str">
        <x:v>https://digitecme.com/brands/mazda-service-dubai/ac-repair</x:v>
      </x:c>
      <x:c r="B1134" s="6" t="str"/>
      <x:c r="C1134" s="6" t="str"/>
      <x:c r="D1134" s="6" t="str">
        <x:v>brand-service</x:v>
      </x:c>
      <x:c r="E1134" s="6" t="str">
        <x:v>Retain differentiated role</x:v>
      </x:c>
      <x:c r="F1134" s="6" t="str">
        <x:v>Local source render; live version unverified</x:v>
      </x:c>
      <x:c r="G1134" s="6" t="str">
        <x:v>Mazda AC Repair Dubai | Digi-Tec</x:v>
      </x:c>
      <x:c r="H1134" s="6" t="str">
        <x:v>Mazda AC Repair Dubai | Digi-Tec</x:v>
      </x:c>
      <x:c r="I1134" s="6" t="str">
        <x:v>Mazda AC Repair Dubai</x:v>
      </x:c>
      <x:c r="J1134" s="6" t="str">
        <x:v>Mazda AC Repair Dubai</x:v>
      </x:c>
      <x:c r="K1134" s="6" t="str">
        <x:v>Mazda ac repair in Dubai with model-specific inspection, confirmed parts options and a clear quote at Digi-Tec, Al Quoz.</x:v>
      </x:c>
      <x:c r="L1134" s="6" t="str">
        <x:v>Retain pending evidence; no specific content edit justified by this export.</x:v>
      </x:c>
      <x:c r="M1134" s="6" t="str">
        <x:v>Retain; inspect relevant context before adding links</x:v>
      </x:c>
      <x:c r="N1134" s="6" t="str">
        <x:v>Unconfirmed — no query/page pairing</x:v>
      </x:c>
      <x:c r="O1134" s="6" t="str">
        <x:v>Retain established booking / WhatsApp / call path; live behaviour untested</x:v>
      </x:c>
      <x:c r="P1134" s="6" t="str">
        <x:v>Retain canonical and indexation policy pending a live check.</x:v>
      </x:c>
      <x:c r="Q1134" s="6" t="str">
        <x:v>Proposed; no website change made</x:v>
      </x:c>
      <x:c r="R1134" s="14" t="n">
        <x:v>0</x:v>
      </x:c>
      <x:c r="S1134" s="14" t="n">
        <x:v>7</x:v>
      </x:c>
      <x:c r="T1134" s="15" t="n">
        <x:v>0</x:v>
      </x:c>
      <x:c r="U1134" s="16" t="n">
        <x:v>7.57</x:v>
      </x:c>
      <x:c r="V1134" s="6" t="str">
        <x:v>https://digitecme.com/brands/mazda-service-dubai/ac-repair</x:v>
      </x:c>
      <x:c r="W1134" s="6" t="str">
        <x:v>Indexable directive</x:v>
      </x:c>
      <x:c r="X1134" s="6" t="n">
        <x:v>8</x:v>
      </x:c>
      <x:c r="Y1134" s="6" t="str">
        <x:v>Mazda AC Repair Dubai | Digi-Tec</x:v>
      </x:c>
      <x:c r="Z1134" s="6" t="str"/>
      <x:c r="AA1134" s="6" t="str">
        <x:v>No / not compared</x:v>
      </x:c>
    </x:row>
    <x:row r="1135" ht="42" customHeight="1">
      <x:c r="A1135" s="6" t="str">
        <x:v>https://digitecme.com/brands/mazda-service-dubai/brake-repair</x:v>
      </x:c>
      <x:c r="B1135" s="6" t="str"/>
      <x:c r="C1135" s="6" t="str"/>
      <x:c r="D1135" s="6" t="str">
        <x:v>brand-service</x:v>
      </x:c>
      <x:c r="E1135" s="6" t="str">
        <x:v>Retain differentiated role</x:v>
      </x:c>
      <x:c r="F1135" s="6" t="str">
        <x:v>Local source render; live version unverified</x:v>
      </x:c>
      <x:c r="G1135" s="6" t="str">
        <x:v>Mazda Brake Repair Dubai | Digi-Tec</x:v>
      </x:c>
      <x:c r="H1135" s="6" t="str">
        <x:v>Mazda Brake Repair Dubai | Digi-Tec</x:v>
      </x:c>
      <x:c r="I1135" s="6" t="str">
        <x:v>Mazda Brake Repair Dubai</x:v>
      </x:c>
      <x:c r="J1135" s="6" t="str">
        <x:v>Mazda Brake Repair Dubai</x:v>
      </x:c>
      <x:c r="K1135" s="6" t="str">
        <x:v>Mazda brake repair in Dubai with model-specific inspection, confirmed parts options and a clear quote at Digi-Tec, Al Quoz.</x:v>
      </x:c>
      <x:c r="L1135" s="6" t="str">
        <x:v>Retain pending evidence; no specific content edit justified by this export.</x:v>
      </x:c>
      <x:c r="M1135" s="6" t="str">
        <x:v>Retain; inspect relevant context before adding links</x:v>
      </x:c>
      <x:c r="N1135" s="6" t="str">
        <x:v>Unconfirmed — no query/page pairing</x:v>
      </x:c>
      <x:c r="O1135" s="6" t="str">
        <x:v>Retain established booking / WhatsApp / call path; live behaviour untested</x:v>
      </x:c>
      <x:c r="P1135" s="6" t="str">
        <x:v>Retain canonical and indexation policy pending a live check.</x:v>
      </x:c>
      <x:c r="Q1135" s="6" t="str">
        <x:v>Proposed; no website change made</x:v>
      </x:c>
      <x:c r="R1135" s="14" t="n">
        <x:v>0</x:v>
      </x:c>
      <x:c r="S1135" s="14" t="n">
        <x:v>1</x:v>
      </x:c>
      <x:c r="T1135" s="15" t="n">
        <x:v>0</x:v>
      </x:c>
      <x:c r="U1135" s="16" t="n">
        <x:v>6</x:v>
      </x:c>
      <x:c r="V1135" s="6" t="str">
        <x:v>https://digitecme.com/brands/mazda-service-dubai/brake-repair</x:v>
      </x:c>
      <x:c r="W1135" s="6" t="str">
        <x:v>Indexable directive</x:v>
      </x:c>
      <x:c r="X1135" s="6" t="n">
        <x:v>8</x:v>
      </x:c>
      <x:c r="Y1135" s="6" t="str">
        <x:v>Mazda Brake Repair Dubai | Digi-Tec</x:v>
      </x:c>
      <x:c r="Z1135" s="6" t="str"/>
      <x:c r="AA1135" s="6" t="str">
        <x:v>No / not compared</x:v>
      </x:c>
    </x:row>
    <x:row r="1136" ht="42" customHeight="1">
      <x:c r="A1136" s="6" t="str">
        <x:v>https://digitecme.com/brands/mazda-service-dubai/engine-diagnostics</x:v>
      </x:c>
      <x:c r="B1136" s="6" t="str"/>
      <x:c r="C1136" s="6" t="str"/>
      <x:c r="D1136" s="6" t="str">
        <x:v>brand-service</x:v>
      </x:c>
      <x:c r="E1136" s="6" t="str">
        <x:v>Retain differentiated role</x:v>
      </x:c>
      <x:c r="F1136" s="6" t="str">
        <x:v>Local source render; live version unverified</x:v>
      </x:c>
      <x:c r="G1136" s="6" t="str">
        <x:v>Mazda Engine Diagnostics Dubai | Digi-Tec</x:v>
      </x:c>
      <x:c r="H1136" s="6" t="str">
        <x:v>Mazda Engine Diagnostics Dubai | Digi-Tec</x:v>
      </x:c>
      <x:c r="I1136" s="6" t="str">
        <x:v>Mazda Engine Diagnostics Dubai</x:v>
      </x:c>
      <x:c r="J1136" s="6" t="str">
        <x:v>Mazda Engine Diagnostics Dubai</x:v>
      </x:c>
      <x:c r="K1136" s="6" t="str">
        <x:v>Mazda engine diagnostics in Dubai with model-specific inspection, confirmed parts options and a clear quote at Digi-Tec, Al Quoz.</x:v>
      </x:c>
      <x:c r="L1136" s="6" t="str">
        <x:v>Retain pending evidence; no specific content edit justified by this export.</x:v>
      </x:c>
      <x:c r="M1136" s="6" t="str">
        <x:v>Retain; inspect relevant context before adding links</x:v>
      </x:c>
      <x:c r="N1136" s="6" t="str">
        <x:v>Unconfirmed — no query/page pairing</x:v>
      </x:c>
      <x:c r="O1136" s="6" t="str">
        <x:v>Retain established booking / WhatsApp / call path; live behaviour untested</x:v>
      </x:c>
      <x:c r="P1136" s="6" t="str">
        <x:v>Retain canonical and indexation policy pending a live check.</x:v>
      </x:c>
      <x:c r="Q1136" s="6" t="str">
        <x:v>Proposed; no website change made</x:v>
      </x:c>
      <x:c r="R1136" s="14" t="n">
        <x:v>0</x:v>
      </x:c>
      <x:c r="S1136" s="14" t="n">
        <x:v>1</x:v>
      </x:c>
      <x:c r="T1136" s="15" t="n">
        <x:v>0</x:v>
      </x:c>
      <x:c r="U1136" s="16" t="n">
        <x:v>6</x:v>
      </x:c>
      <x:c r="V1136" s="6" t="str">
        <x:v>https://digitecme.com/brands/mazda-service-dubai/engine-diagnostics</x:v>
      </x:c>
      <x:c r="W1136" s="6" t="str">
        <x:v>Indexable directive</x:v>
      </x:c>
      <x:c r="X1136" s="6" t="n">
        <x:v>8</x:v>
      </x:c>
      <x:c r="Y1136" s="6" t="str">
        <x:v>Mazda Engine Diagnostics Dubai | Digi-Tec</x:v>
      </x:c>
      <x:c r="Z1136" s="6" t="str"/>
      <x:c r="AA1136" s="6" t="str">
        <x:v>No / not compared</x:v>
      </x:c>
    </x:row>
    <x:row r="1137" ht="42" customHeight="1">
      <x:c r="A1137" s="6" t="str">
        <x:v>https://digitecme.com/brands/mazda-service-dubai/oil-change</x:v>
      </x:c>
      <x:c r="B1137" s="6" t="str"/>
      <x:c r="C1137" s="6" t="str"/>
      <x:c r="D1137" s="6" t="str">
        <x:v>brand-service</x:v>
      </x:c>
      <x:c r="E1137" s="6" t="str">
        <x:v>Retain differentiated role</x:v>
      </x:c>
      <x:c r="F1137" s="6" t="str">
        <x:v>Local source render; live version unverified</x:v>
      </x:c>
      <x:c r="G1137" s="6" t="str">
        <x:v>Mazda Oil Change Dubai | Digi-Tec</x:v>
      </x:c>
      <x:c r="H1137" s="6" t="str">
        <x:v>Mazda Oil Change Dubai | Digi-Tec</x:v>
      </x:c>
      <x:c r="I1137" s="6" t="str">
        <x:v>Mazda Oil Change Dubai</x:v>
      </x:c>
      <x:c r="J1137" s="6" t="str">
        <x:v>Mazda Oil Change Dubai</x:v>
      </x:c>
      <x:c r="K1137" s="6" t="str">
        <x:v>Mazda oil change in Dubai with model-specific inspection, confirmed parts options and a clear quote at Digi-Tec, Al Quoz.</x:v>
      </x:c>
      <x:c r="L1137" s="6" t="str">
        <x:v>Retain pending evidence; no specific content edit justified by this export.</x:v>
      </x:c>
      <x:c r="M1137" s="6" t="str">
        <x:v>Retain; inspect relevant context before adding links</x:v>
      </x:c>
      <x:c r="N1137" s="6" t="str">
        <x:v>Unconfirmed — no query/page pairing</x:v>
      </x:c>
      <x:c r="O1137" s="6" t="str">
        <x:v>Retain established booking / WhatsApp / call path; live behaviour untested</x:v>
      </x:c>
      <x:c r="P1137" s="6" t="str">
        <x:v>Retain canonical and indexation policy pending a live check.</x:v>
      </x:c>
      <x:c r="Q1137" s="6" t="str">
        <x:v>Proposed; no website change made</x:v>
      </x:c>
      <x:c r="R1137" s="14" t="n">
        <x:v>0</x:v>
      </x:c>
      <x:c r="S1137" s="14" t="n">
        <x:v>4</x:v>
      </x:c>
      <x:c r="T1137" s="15" t="n">
        <x:v>0</x:v>
      </x:c>
      <x:c r="U1137" s="16" t="n">
        <x:v>6</x:v>
      </x:c>
      <x:c r="V1137" s="6" t="str">
        <x:v>https://digitecme.com/brands/mazda-service-dubai/oil-change</x:v>
      </x:c>
      <x:c r="W1137" s="6" t="str">
        <x:v>Indexable directive</x:v>
      </x:c>
      <x:c r="X1137" s="6" t="n">
        <x:v>8</x:v>
      </x:c>
      <x:c r="Y1137" s="6" t="str">
        <x:v>Mazda Oil Change Dubai | Digi-Tec</x:v>
      </x:c>
      <x:c r="Z1137" s="6" t="str"/>
      <x:c r="AA1137" s="6" t="str">
        <x:v>No / not compared</x:v>
      </x:c>
    </x:row>
    <x:row r="1138" ht="42" customHeight="1">
      <x:c r="A1138" s="6" t="str">
        <x:v>https://digitecme.com/brands/mazda-service-dubai/suspension-repair</x:v>
      </x:c>
      <x:c r="B1138" s="6" t="str"/>
      <x:c r="C1138" s="6" t="str"/>
      <x:c r="D1138" s="6" t="str">
        <x:v>brand-service</x:v>
      </x:c>
      <x:c r="E1138" s="6" t="str">
        <x:v>Retain differentiated role</x:v>
      </x:c>
      <x:c r="F1138" s="6" t="str">
        <x:v>Local source render; live version unverified</x:v>
      </x:c>
      <x:c r="G1138" s="6" t="str">
        <x:v>Mazda Suspension Repair Dubai | Digi-Tec</x:v>
      </x:c>
      <x:c r="H1138" s="6" t="str">
        <x:v>Mazda Suspension Repair Dubai | Digi-Tec</x:v>
      </x:c>
      <x:c r="I1138" s="6" t="str">
        <x:v>Mazda Suspension Repair Dubai</x:v>
      </x:c>
      <x:c r="J1138" s="6" t="str">
        <x:v>Mazda Suspension Repair Dubai</x:v>
      </x:c>
      <x:c r="K1138" s="6" t="str">
        <x:v>Mazda suspension repair in Dubai with model-specific inspection, confirmed parts options and a clear quote at Digi-Tec, Al Quoz.</x:v>
      </x:c>
      <x:c r="L1138" s="6" t="str">
        <x:v>Retain pending evidence; no specific content edit justified by this export.</x:v>
      </x:c>
      <x:c r="M1138" s="6" t="str">
        <x:v>Retain; inspect relevant context before adding links</x:v>
      </x:c>
      <x:c r="N1138" s="6" t="str">
        <x:v>Unconfirmed — no query/page pairing</x:v>
      </x:c>
      <x:c r="O1138" s="6" t="str">
        <x:v>Retain established booking / WhatsApp / call path; live behaviour untested</x:v>
      </x:c>
      <x:c r="P1138" s="6" t="str">
        <x:v>Retain canonical and indexation policy pending a live check.</x:v>
      </x:c>
      <x:c r="Q1138" s="6" t="str">
        <x:v>Proposed; no website change made</x:v>
      </x:c>
      <x:c r="R1138" s="14" t="n">
        <x:v>0</x:v>
      </x:c>
      <x:c r="S1138" s="14" t="n">
        <x:v>10</x:v>
      </x:c>
      <x:c r="T1138" s="15" t="n">
        <x:v>0</x:v>
      </x:c>
      <x:c r="U1138" s="16" t="n">
        <x:v>10.3</x:v>
      </x:c>
      <x:c r="V1138" s="6" t="str">
        <x:v>https://digitecme.com/brands/mazda-service-dubai/suspension-repair</x:v>
      </x:c>
      <x:c r="W1138" s="6" t="str">
        <x:v>Noindex directive</x:v>
      </x:c>
      <x:c r="X1138" s="6" t="n">
        <x:v>8</x:v>
      </x:c>
      <x:c r="Y1138" s="6" t="str">
        <x:v>Mazda Suspension Repair Dubai | Digi-Tec</x:v>
      </x:c>
      <x:c r="Z1138" s="6" t="str"/>
      <x:c r="AA1138" s="6" t="str">
        <x:v>No / not compared</x:v>
      </x:c>
    </x:row>
    <x:row r="1139" ht="42" customHeight="1">
      <x:c r="A1139" s="6" t="str">
        <x:v>https://digitecme.com/brands/mazda-service-dubai/transmission-repair</x:v>
      </x:c>
      <x:c r="B1139" s="6" t="str"/>
      <x:c r="C1139" s="6" t="str"/>
      <x:c r="D1139" s="6" t="str">
        <x:v>brand-service</x:v>
      </x:c>
      <x:c r="E1139" s="6" t="str">
        <x:v>Retain differentiated role</x:v>
      </x:c>
      <x:c r="F1139" s="6" t="str">
        <x:v>Local source render; live version unverified</x:v>
      </x:c>
      <x:c r="G1139" s="6" t="str">
        <x:v>Mazda Transmission Repair Dubai | Digi-Tec</x:v>
      </x:c>
      <x:c r="H1139" s="6" t="str">
        <x:v>Mazda Transmission Repair Dubai | Digi-Tec</x:v>
      </x:c>
      <x:c r="I1139" s="6" t="str">
        <x:v>Mazda Transmission Repair Dubai</x:v>
      </x:c>
      <x:c r="J1139" s="6" t="str">
        <x:v>Mazda Transmission Repair Dubai</x:v>
      </x:c>
      <x:c r="K1139" s="6" t="str">
        <x:v>Mazda transmission repair in Dubai with model-specific inspection, confirmed parts options and a clear quote at Digi-Tec, Al Quoz.</x:v>
      </x:c>
      <x:c r="L1139" s="6" t="str">
        <x:v>Retain pending evidence; no specific content edit justified by this export.</x:v>
      </x:c>
      <x:c r="M1139" s="6" t="str">
        <x:v>Retain; inspect relevant context before adding links</x:v>
      </x:c>
      <x:c r="N1139" s="6" t="str">
        <x:v>Unconfirmed — no query/page pairing</x:v>
      </x:c>
      <x:c r="O1139" s="6" t="str">
        <x:v>Retain established booking / WhatsApp / call path; live behaviour untested</x:v>
      </x:c>
      <x:c r="P1139" s="6" t="str">
        <x:v>Retain canonical and indexation policy pending a live check.</x:v>
      </x:c>
      <x:c r="Q1139" s="6" t="str">
        <x:v>Proposed; no website change made</x:v>
      </x:c>
      <x:c r="R1139" s="14"/>
      <x:c r="S1139" s="14"/>
      <x:c r="T1139" s="15"/>
      <x:c r="U1139" s="16"/>
      <x:c r="V1139" s="6" t="str">
        <x:v>https://digitecme.com/brands/mazda-service-dubai/transmission-repair</x:v>
      </x:c>
      <x:c r="W1139" s="6" t="str">
        <x:v>Noindex directive</x:v>
      </x:c>
      <x:c r="X1139" s="6" t="n">
        <x:v>8</x:v>
      </x:c>
      <x:c r="Y1139" s="6" t="str">
        <x:v>Mazda Transmission Repair Dubai | Digi-Tec</x:v>
      </x:c>
      <x:c r="Z1139" s="6" t="str"/>
      <x:c r="AA1139" s="6" t="str">
        <x:v>No / not compared</x:v>
      </x:c>
    </x:row>
    <x:row r="1140" ht="57" customHeight="1">
      <x:c r="A1140" s="6" t="str">
        <x:v>https://digitecme.com/brands/mclaren-service-dubai</x:v>
      </x:c>
      <x:c r="B1140" s="6" t="str">
        <x:v>mclaren repair dubai</x:v>
      </x:c>
      <x:c r="C1140" s="6" t="str">
        <x:v>mclaren: Service and repair; mclaren: Service and repair (outside Dubai)</x:v>
      </x:c>
      <x:c r="D1140" s="6" t="str">
        <x:v>brand</x:v>
      </x:c>
      <x:c r="E1140" s="6" t="str">
        <x:v>Primary owner for assigned intent</x:v>
      </x:c>
      <x:c r="F1140" s="6" t="str">
        <x:v>Live HTML checked 9 Sep 2026</x:v>
      </x:c>
      <x:c r="G1140" s="6" t="str">
        <x:v>McLaren Service &amp; Repair Dubai | DIGI-TEC</x:v>
      </x:c>
      <x:c r="H1140" s="6" t="str">
        <x:v>McLaren Service &amp; Repair Dubai | DIGI-TEC</x:v>
      </x:c>
      <x:c r="I1140" s="6" t="str">
        <x:v>McLaren Service &amp; Repair Dubai</x:v>
      </x:c>
      <x:c r="J1140" s="6" t="str">
        <x:v>McLaren Service &amp; Repair Dubai</x:v>
      </x:c>
      <x:c r="K1140" s="6" t="str">
        <x:v>McLaren service and repair enquiries in Al Quoz, Dubai. Discuss maintenance, diagnostics and vehicle-specific repairs with DIGI-TEC. Request an assessment.</x:v>
      </x:c>
      <x:c r="L1140" s="6" t="str">
        <x:v>Retain the recently updated hub. Keep maintenance and repair scope distinct and preserve dedicated gearbox, diagnostics and oil links. Add genuine, permissioned workshop evidence when available.</x:v>
      </x:c>
      <x:c r="M1140" s="6" t="str">
        <x:v>Retain existing links</x:v>
      </x:c>
      <x:c r="N1140" s="6" t="str">
        <x:v>Unconfirmed — no query/page pairing</x:v>
      </x:c>
      <x:c r="O1140" s="6" t="str">
        <x:v>Request McLaren Service</x:v>
      </x:c>
      <x:c r="P1140" s="6" t="str">
        <x:v>Retain; verify against production before release</x:v>
      </x:c>
      <x:c r="Q1140" s="6" t="str">
        <x:v>Proposed; no website change made</x:v>
      </x:c>
      <x:c r="R1140" s="14" t="n">
        <x:v>2</x:v>
      </x:c>
      <x:c r="S1140" s="14" t="n">
        <x:v>1302</x:v>
      </x:c>
      <x:c r="T1140" s="15" t="n">
        <x:v>0.0015</x:v>
      </x:c>
      <x:c r="U1140" s="16" t="n">
        <x:v>16.8</x:v>
      </x:c>
      <x:c r="V1140" s="6" t="str">
        <x:v>https://digitecme.com/brands/mclaren-service-dubai</x:v>
      </x:c>
      <x:c r="W1140" s="6" t="str">
        <x:v>Indexable directive</x:v>
      </x:c>
      <x:c r="X1140" s="6" t="n">
        <x:v>88</x:v>
      </x:c>
      <x:c r="Y1140" s="6" t="str">
        <x:v>McLaren Service &amp; Repair Dubai | DIGI-TEC</x:v>
      </x:c>
      <x:c r="Z1140" s="6" t="str">
        <x:v>McLaren Service &amp; Repair Dubai | DIGI-TEC</x:v>
      </x:c>
      <x:c r="AA1140" s="6" t="str">
        <x:v>No / not compared</x:v>
      </x:c>
    </x:row>
    <x:row r="1141" ht="42" customHeight="1">
      <x:c r="A1141" s="6" t="str">
        <x:v>https://digitecme.com/brands/mclaren-service-dubai/ac-repair</x:v>
      </x:c>
      <x:c r="B1141" s="6" t="str"/>
      <x:c r="C1141" s="6" t="str"/>
      <x:c r="D1141" s="6" t="str">
        <x:v>brand-service</x:v>
      </x:c>
      <x:c r="E1141" s="6" t="str">
        <x:v>Retain differentiated role</x:v>
      </x:c>
      <x:c r="F1141" s="6" t="str">
        <x:v>Local source render; live version unverified</x:v>
      </x:c>
      <x:c r="G1141" s="6" t="str">
        <x:v>McLaren AC Repair Dubai | Digi-Tec</x:v>
      </x:c>
      <x:c r="H1141" s="6" t="str">
        <x:v>McLaren AC Repair Dubai | Digi-Tec</x:v>
      </x:c>
      <x:c r="I1141" s="6" t="str">
        <x:v>McLaren AC Repair Dubai</x:v>
      </x:c>
      <x:c r="J1141" s="6" t="str">
        <x:v>McLaren AC Repair Dubai</x:v>
      </x:c>
      <x:c r="K1141" s="6" t="str">
        <x:v>McLaren ac repair in Dubai with model-specific inspection, confirmed parts options and a clear quote at Digi-Tec, Al Quoz.</x:v>
      </x:c>
      <x:c r="L1141" s="6" t="str">
        <x:v>Retain pending evidence; no specific content edit justified by this export.</x:v>
      </x:c>
      <x:c r="M1141" s="6" t="str">
        <x:v>Retain; inspect relevant context before adding links</x:v>
      </x:c>
      <x:c r="N1141" s="6" t="str">
        <x:v>Unconfirmed — no query/page pairing</x:v>
      </x:c>
      <x:c r="O1141" s="6" t="str">
        <x:v>Retain established booking / WhatsApp / call path; live behaviour untested</x:v>
      </x:c>
      <x:c r="P1141" s="6" t="str">
        <x:v>Retain canonical and indexation policy pending a live check.</x:v>
      </x:c>
      <x:c r="Q1141" s="6" t="str">
        <x:v>Proposed; no website change made</x:v>
      </x:c>
      <x:c r="R1141" s="14" t="n">
        <x:v>0</x:v>
      </x:c>
      <x:c r="S1141" s="14" t="n">
        <x:v>15</x:v>
      </x:c>
      <x:c r="T1141" s="15" t="n">
        <x:v>0</x:v>
      </x:c>
      <x:c r="U1141" s="16" t="n">
        <x:v>13.73</x:v>
      </x:c>
      <x:c r="V1141" s="6" t="str">
        <x:v>https://digitecme.com/brands/mclaren-service-dubai/ac-repair</x:v>
      </x:c>
      <x:c r="W1141" s="6" t="str">
        <x:v>Indexable directive</x:v>
      </x:c>
      <x:c r="X1141" s="6" t="n">
        <x:v>16</x:v>
      </x:c>
      <x:c r="Y1141" s="6" t="str">
        <x:v>McLaren AC Repair Dubai | Digi-Tec</x:v>
      </x:c>
      <x:c r="Z1141" s="6" t="str"/>
      <x:c r="AA1141" s="6" t="str">
        <x:v>No / not compared</x:v>
      </x:c>
    </x:row>
    <x:row r="1142" ht="42" customHeight="1">
      <x:c r="A1142" s="6" t="str">
        <x:v>https://digitecme.com/brands/mclaren-service-dubai/battery-replacement</x:v>
      </x:c>
      <x:c r="B1142" s="6" t="str"/>
      <x:c r="C1142" s="6" t="str"/>
      <x:c r="D1142" s="6" t="str">
        <x:v>brand-service</x:v>
      </x:c>
      <x:c r="E1142" s="6" t="str">
        <x:v>Retain differentiated role</x:v>
      </x:c>
      <x:c r="F1142" s="6" t="str">
        <x:v>Local source render; live version unverified</x:v>
      </x:c>
      <x:c r="G1142" s="6" t="str">
        <x:v>McLaren Battery Replacement Dubai | Digi-Tec</x:v>
      </x:c>
      <x:c r="H1142" s="6" t="str">
        <x:v>McLaren Battery Replacement Dubai | Digi-Tec</x:v>
      </x:c>
      <x:c r="I1142" s="6" t="str">
        <x:v>McLaren Battery Replacement Dubai</x:v>
      </x:c>
      <x:c r="J1142" s="6" t="str">
        <x:v>McLaren Battery Replacement Dubai</x:v>
      </x:c>
      <x:c r="K1142" s="6" t="str">
        <x:v>McLaren battery replacement in Dubai with model-specific inspection, confirmed parts options and a clear quote at Digi-Tec, Al Quoz.</x:v>
      </x:c>
      <x:c r="L1142" s="6" t="str">
        <x:v>Retain pending evidence; no specific content edit justified by this export.</x:v>
      </x:c>
      <x:c r="M1142" s="6" t="str">
        <x:v>Retain; inspect relevant context before adding links</x:v>
      </x:c>
      <x:c r="N1142" s="6" t="str">
        <x:v>Unconfirmed — no query/page pairing</x:v>
      </x:c>
      <x:c r="O1142" s="6" t="str">
        <x:v>Retain established booking / WhatsApp / call path; live behaviour untested</x:v>
      </x:c>
      <x:c r="P1142" s="6" t="str">
        <x:v>Retain canonical and indexation policy pending a live check.</x:v>
      </x:c>
      <x:c r="Q1142" s="6" t="str">
        <x:v>Proposed; no website change made</x:v>
      </x:c>
      <x:c r="R1142" s="14" t="n">
        <x:v>0</x:v>
      </x:c>
      <x:c r="S1142" s="14" t="n">
        <x:v>12</x:v>
      </x:c>
      <x:c r="T1142" s="15" t="n">
        <x:v>0</x:v>
      </x:c>
      <x:c r="U1142" s="16" t="n">
        <x:v>11.17</x:v>
      </x:c>
      <x:c r="V1142" s="6" t="str">
        <x:v>https://digitecme.com/brands/mclaren-service-dubai/battery-replacement</x:v>
      </x:c>
      <x:c r="W1142" s="6" t="str">
        <x:v>Indexable directive</x:v>
      </x:c>
      <x:c r="X1142" s="6" t="n">
        <x:v>16</x:v>
      </x:c>
      <x:c r="Y1142" s="6" t="str">
        <x:v>McLaren Battery Replacement Dubai | Digi-Tec</x:v>
      </x:c>
      <x:c r="Z1142" s="6" t="str"/>
      <x:c r="AA1142" s="6" t="str">
        <x:v>No / not compared</x:v>
      </x:c>
    </x:row>
    <x:row r="1143" ht="42" customHeight="1">
      <x:c r="A1143" s="6" t="str">
        <x:v>https://digitecme.com/brands/mclaren-service-dubai/body-repair</x:v>
      </x:c>
      <x:c r="B1143" s="6" t="str"/>
      <x:c r="C1143" s="6" t="str"/>
      <x:c r="D1143" s="6" t="str">
        <x:v>brand-service</x:v>
      </x:c>
      <x:c r="E1143" s="6" t="str">
        <x:v>Retain differentiated role</x:v>
      </x:c>
      <x:c r="F1143" s="6" t="str">
        <x:v>Local source render; live version unverified</x:v>
      </x:c>
      <x:c r="G1143" s="6" t="str">
        <x:v>McLaren Body Repair Dubai | Digi-Tec</x:v>
      </x:c>
      <x:c r="H1143" s="6" t="str">
        <x:v>McLaren Body Repair Dubai | Digi-Tec</x:v>
      </x:c>
      <x:c r="I1143" s="6" t="str">
        <x:v>McLaren Body Repair Dubai</x:v>
      </x:c>
      <x:c r="J1143" s="6" t="str">
        <x:v>McLaren Body Repair Dubai</x:v>
      </x:c>
      <x:c r="K1143" s="6" t="str">
        <x:v>McLaren body repair in Dubai with model-specific inspection, confirmed parts options and a clear quote at Digi-Tec, Al Quoz.</x:v>
      </x:c>
      <x:c r="L1143" s="6" t="str">
        <x:v>Retain pending evidence; no specific content edit justified by this export.</x:v>
      </x:c>
      <x:c r="M1143" s="6" t="str">
        <x:v>Retain; inspect relevant context before adding links</x:v>
      </x:c>
      <x:c r="N1143" s="6" t="str">
        <x:v>Unconfirmed — no query/page pairing</x:v>
      </x:c>
      <x:c r="O1143" s="6" t="str">
        <x:v>Retain established booking / WhatsApp / call path; live behaviour untested</x:v>
      </x:c>
      <x:c r="P1143" s="6" t="str">
        <x:v>Retain canonical and indexation policy pending a live check.</x:v>
      </x:c>
      <x:c r="Q1143" s="6" t="str">
        <x:v>Proposed; no website change made</x:v>
      </x:c>
      <x:c r="R1143" s="14" t="n">
        <x:v>0</x:v>
      </x:c>
      <x:c r="S1143" s="14" t="n">
        <x:v>5</x:v>
      </x:c>
      <x:c r="T1143" s="15" t="n">
        <x:v>0</x:v>
      </x:c>
      <x:c r="U1143" s="16" t="n">
        <x:v>61.6</x:v>
      </x:c>
      <x:c r="V1143" s="6" t="str">
        <x:v>https://digitecme.com/brands/mclaren-service-dubai/body-repair</x:v>
      </x:c>
      <x:c r="W1143" s="6" t="str">
        <x:v>Indexable directive</x:v>
      </x:c>
      <x:c r="X1143" s="6" t="n">
        <x:v>16</x:v>
      </x:c>
      <x:c r="Y1143" s="6" t="str">
        <x:v>McLaren Body Repair Dubai | Digi-Tec</x:v>
      </x:c>
      <x:c r="Z1143" s="6" t="str"/>
      <x:c r="AA1143" s="6" t="str">
        <x:v>No / not compared</x:v>
      </x:c>
    </x:row>
    <x:row r="1144" ht="42" customHeight="1">
      <x:c r="A1144" s="6" t="str">
        <x:v>https://digitecme.com/brands/mclaren-service-dubai/brake-repair</x:v>
      </x:c>
      <x:c r="B1144" s="6" t="str"/>
      <x:c r="C1144" s="6" t="str"/>
      <x:c r="D1144" s="6" t="str">
        <x:v>brand-service</x:v>
      </x:c>
      <x:c r="E1144" s="6" t="str">
        <x:v>Retain differentiated role</x:v>
      </x:c>
      <x:c r="F1144" s="6" t="str">
        <x:v>Local source render; live version unverified</x:v>
      </x:c>
      <x:c r="G1144" s="6" t="str">
        <x:v>McLaren Brake Repair Dubai | Digi-Tec</x:v>
      </x:c>
      <x:c r="H1144" s="6" t="str">
        <x:v>McLaren Brake Repair Dubai | Digi-Tec</x:v>
      </x:c>
      <x:c r="I1144" s="6" t="str">
        <x:v>McLaren Brake Repair Dubai</x:v>
      </x:c>
      <x:c r="J1144" s="6" t="str">
        <x:v>McLaren Brake Repair Dubai</x:v>
      </x:c>
      <x:c r="K1144" s="6" t="str">
        <x:v>McLaren brake repair in Dubai with model-specific inspection, confirmed parts options and a clear quote at Digi-Tec, Al Quoz.</x:v>
      </x:c>
      <x:c r="L1144" s="6" t="str">
        <x:v>Retain pending evidence; no specific content edit justified by this export.</x:v>
      </x:c>
      <x:c r="M1144" s="6" t="str">
        <x:v>Retain; inspect relevant context before adding links</x:v>
      </x:c>
      <x:c r="N1144" s="6" t="str">
        <x:v>Unconfirmed — no query/page pairing</x:v>
      </x:c>
      <x:c r="O1144" s="6" t="str">
        <x:v>Retain established booking / WhatsApp / call path; live behaviour untested</x:v>
      </x:c>
      <x:c r="P1144" s="6" t="str">
        <x:v>Retain canonical and indexation policy pending a live check.</x:v>
      </x:c>
      <x:c r="Q1144" s="6" t="str">
        <x:v>Proposed; no website change made</x:v>
      </x:c>
      <x:c r="R1144" s="14" t="n">
        <x:v>0</x:v>
      </x:c>
      <x:c r="S1144" s="14" t="n">
        <x:v>1</x:v>
      </x:c>
      <x:c r="T1144" s="15" t="n">
        <x:v>0</x:v>
      </x:c>
      <x:c r="U1144" s="16" t="n">
        <x:v>72</x:v>
      </x:c>
      <x:c r="V1144" s="6" t="str">
        <x:v>https://digitecme.com/brands/mclaren-service-dubai/brake-repair</x:v>
      </x:c>
      <x:c r="W1144" s="6" t="str">
        <x:v>Indexable directive</x:v>
      </x:c>
      <x:c r="X1144" s="6" t="n">
        <x:v>16</x:v>
      </x:c>
      <x:c r="Y1144" s="6" t="str">
        <x:v>McLaren Brake Repair Dubai | Digi-Tec</x:v>
      </x:c>
      <x:c r="Z1144" s="6" t="str"/>
      <x:c r="AA1144" s="6" t="str">
        <x:v>No / not compared</x:v>
      </x:c>
    </x:row>
    <x:row r="1145" ht="42" customHeight="1">
      <x:c r="A1145" s="6" t="str">
        <x:v>https://digitecme.com/brands/mclaren-service-dubai/electrical-repair</x:v>
      </x:c>
      <x:c r="B1145" s="6" t="str"/>
      <x:c r="C1145" s="6" t="str"/>
      <x:c r="D1145" s="6" t="str">
        <x:v>brand-service</x:v>
      </x:c>
      <x:c r="E1145" s="6" t="str">
        <x:v>Retain differentiated role</x:v>
      </x:c>
      <x:c r="F1145" s="6" t="str">
        <x:v>Local source render; live version unverified</x:v>
      </x:c>
      <x:c r="G1145" s="6" t="str">
        <x:v>McLaren Electrical Repair Dubai | Digi-Tec</x:v>
      </x:c>
      <x:c r="H1145" s="6" t="str">
        <x:v>McLaren Electrical Repair Dubai | Digi-Tec</x:v>
      </x:c>
      <x:c r="I1145" s="6" t="str">
        <x:v>McLaren Electrical Repair Dubai</x:v>
      </x:c>
      <x:c r="J1145" s="6" t="str">
        <x:v>McLaren Electrical Repair Dubai</x:v>
      </x:c>
      <x:c r="K1145" s="6" t="str">
        <x:v>McLaren electrical repair in Dubai with model-specific inspection, confirmed parts options and a clear quote at Digi-Tec, Al Quoz.</x:v>
      </x:c>
      <x:c r="L1145" s="6" t="str">
        <x:v>Retain pending evidence; no specific content edit justified by this export.</x:v>
      </x:c>
      <x:c r="M1145" s="6" t="str">
        <x:v>Retain; inspect relevant context before adding links</x:v>
      </x:c>
      <x:c r="N1145" s="6" t="str">
        <x:v>Unconfirmed — no query/page pairing</x:v>
      </x:c>
      <x:c r="O1145" s="6" t="str">
        <x:v>Retain established booking / WhatsApp / call path; live behaviour untested</x:v>
      </x:c>
      <x:c r="P1145" s="6" t="str">
        <x:v>Retain canonical and indexation policy pending a live check.</x:v>
      </x:c>
      <x:c r="Q1145" s="6" t="str">
        <x:v>Proposed; no website change made</x:v>
      </x:c>
      <x:c r="R1145" s="14" t="n">
        <x:v>0</x:v>
      </x:c>
      <x:c r="S1145" s="14" t="n">
        <x:v>1</x:v>
      </x:c>
      <x:c r="T1145" s="15" t="n">
        <x:v>0</x:v>
      </x:c>
      <x:c r="U1145" s="16" t="n">
        <x:v>9</x:v>
      </x:c>
      <x:c r="V1145" s="6" t="str">
        <x:v>https://digitecme.com/brands/mclaren-service-dubai/electrical-repair</x:v>
      </x:c>
      <x:c r="W1145" s="6" t="str">
        <x:v>Indexable directive</x:v>
      </x:c>
      <x:c r="X1145" s="6" t="n">
        <x:v>16</x:v>
      </x:c>
      <x:c r="Y1145" s="6" t="str">
        <x:v>McLaren Electrical Repair Dubai | Digi-Tec</x:v>
      </x:c>
      <x:c r="Z1145" s="6" t="str"/>
      <x:c r="AA1145" s="6" t="str">
        <x:v>No / not compared</x:v>
      </x:c>
    </x:row>
    <x:row r="1146" ht="57" customHeight="1">
      <x:c r="A1146" s="6" t="str">
        <x:v>https://digitecme.com/brands/mclaren-service-dubai/engine-diagnostics</x:v>
      </x:c>
      <x:c r="B1146" s="6" t="str"/>
      <x:c r="C1146" s="6" t="str"/>
      <x:c r="D1146" s="6" t="str">
        <x:v>brand-service</x:v>
      </x:c>
      <x:c r="E1146" s="6" t="str">
        <x:v>Retain differentiated role</x:v>
      </x:c>
      <x:c r="F1146" s="6" t="str">
        <x:v>Local source render; live version unverified</x:v>
      </x:c>
      <x:c r="G1146" s="6" t="str">
        <x:v>McLaren Engine Diagnostics Dubai | DIGI-TEC</x:v>
      </x:c>
      <x:c r="H1146" s="6" t="str">
        <x:v>McLaren Engine Diagnostics Dubai | DIGI-TEC</x:v>
      </x:c>
      <x:c r="I1146" s="6" t="str">
        <x:v>McLaren Engine Diagnostics Dubai</x:v>
      </x:c>
      <x:c r="J1146" s="6" t="str">
        <x:v>McLaren Engine Diagnostics Dubai</x:v>
      </x:c>
      <x:c r="K1146" s="6" t="str">
        <x:v>McLaren warning-light and drivability diagnostics in Al Quoz, Dubai. Compatible scan coverage and physical testing are confirmed for the vehicle.</x:v>
      </x:c>
      <x:c r="L1146" s="6" t="str">
        <x:v>Retain pending evidence; no specific content edit justified by this export.</x:v>
      </x:c>
      <x:c r="M1146" s="6" t="str">
        <x:v>Retain; inspect relevant context before adding links</x:v>
      </x:c>
      <x:c r="N1146" s="6" t="str">
        <x:v>Unconfirmed — no query/page pairing</x:v>
      </x:c>
      <x:c r="O1146" s="6" t="str">
        <x:v>Retain established booking / WhatsApp / call path; live behaviour untested</x:v>
      </x:c>
      <x:c r="P1146" s="6" t="str">
        <x:v>Retain canonical and indexation policy pending a live check.</x:v>
      </x:c>
      <x:c r="Q1146" s="6" t="str">
        <x:v>Proposed; no website change made</x:v>
      </x:c>
      <x:c r="R1146" s="14"/>
      <x:c r="S1146" s="14"/>
      <x:c r="T1146" s="15"/>
      <x:c r="U1146" s="16"/>
      <x:c r="V1146" s="6" t="str">
        <x:v>https://digitecme.com/brands/mclaren-service-dubai/engine-diagnostics</x:v>
      </x:c>
      <x:c r="W1146" s="6" t="str">
        <x:v>Indexable directive</x:v>
      </x:c>
      <x:c r="X1146" s="6" t="n">
        <x:v>17</x:v>
      </x:c>
      <x:c r="Y1146" s="6" t="str">
        <x:v>McLaren Engine Diagnostics Dubai | DIGI-TEC</x:v>
      </x:c>
      <x:c r="Z1146" s="6" t="str"/>
      <x:c r="AA1146" s="6" t="str">
        <x:v>No / not compared</x:v>
      </x:c>
    </x:row>
    <x:row r="1147" ht="42" customHeight="1">
      <x:c r="A1147" s="6" t="str">
        <x:v>https://digitecme.com/brands/mclaren-service-dubai/exhaust-repair</x:v>
      </x:c>
      <x:c r="B1147" s="6" t="str"/>
      <x:c r="C1147" s="6" t="str"/>
      <x:c r="D1147" s="6" t="str">
        <x:v>brand-service</x:v>
      </x:c>
      <x:c r="E1147" s="6" t="str">
        <x:v>Retain differentiated role</x:v>
      </x:c>
      <x:c r="F1147" s="6" t="str">
        <x:v>Local source render; live version unverified</x:v>
      </x:c>
      <x:c r="G1147" s="6" t="str">
        <x:v>McLaren Exhaust Repair Dubai | Digi-Tec</x:v>
      </x:c>
      <x:c r="H1147" s="6" t="str">
        <x:v>McLaren Exhaust Repair Dubai | Digi-Tec</x:v>
      </x:c>
      <x:c r="I1147" s="6" t="str">
        <x:v>McLaren Exhaust Repair Dubai</x:v>
      </x:c>
      <x:c r="J1147" s="6" t="str">
        <x:v>McLaren Exhaust Repair Dubai</x:v>
      </x:c>
      <x:c r="K1147" s="6" t="str">
        <x:v>McLaren exhaust repair in Dubai with model-specific inspection, confirmed parts options and a clear quote at Digi-Tec, Al Quoz.</x:v>
      </x:c>
      <x:c r="L1147" s="6" t="str">
        <x:v>Retain pending evidence; no specific content edit justified by this export.</x:v>
      </x:c>
      <x:c r="M1147" s="6" t="str">
        <x:v>Retain; inspect relevant context before adding links</x:v>
      </x:c>
      <x:c r="N1147" s="6" t="str">
        <x:v>Unconfirmed — no query/page pairing</x:v>
      </x:c>
      <x:c r="O1147" s="6" t="str">
        <x:v>Retain established booking / WhatsApp / call path; live behaviour untested</x:v>
      </x:c>
      <x:c r="P1147" s="6" t="str">
        <x:v>Retain canonical and indexation policy pending a live check.</x:v>
      </x:c>
      <x:c r="Q1147" s="6" t="str">
        <x:v>Proposed; no website change made</x:v>
      </x:c>
      <x:c r="R1147" s="14" t="n">
        <x:v>0</x:v>
      </x:c>
      <x:c r="S1147" s="14" t="n">
        <x:v>3</x:v>
      </x:c>
      <x:c r="T1147" s="15" t="n">
        <x:v>0</x:v>
      </x:c>
      <x:c r="U1147" s="16" t="n">
        <x:v>9</x:v>
      </x:c>
      <x:c r="V1147" s="6" t="str">
        <x:v>https://digitecme.com/brands/mclaren-service-dubai/exhaust-repair</x:v>
      </x:c>
      <x:c r="W1147" s="6" t="str">
        <x:v>Indexable directive</x:v>
      </x:c>
      <x:c r="X1147" s="6" t="n">
        <x:v>16</x:v>
      </x:c>
      <x:c r="Y1147" s="6" t="str">
        <x:v>McLaren Exhaust Repair Dubai | Digi-Tec</x:v>
      </x:c>
      <x:c r="Z1147" s="6" t="str"/>
      <x:c r="AA1147" s="6" t="str">
        <x:v>No / not compared</x:v>
      </x:c>
    </x:row>
    <x:row r="1148" ht="42" customHeight="1">
      <x:c r="A1148" s="6" t="str">
        <x:v>https://digitecme.com/brands/mclaren-service-dubai/fuel-system-repair</x:v>
      </x:c>
      <x:c r="B1148" s="6" t="str"/>
      <x:c r="C1148" s="6" t="str"/>
      <x:c r="D1148" s="6" t="str">
        <x:v>brand-service</x:v>
      </x:c>
      <x:c r="E1148" s="6" t="str">
        <x:v>Retain differentiated role</x:v>
      </x:c>
      <x:c r="F1148" s="6" t="str">
        <x:v>Local source render; live version unverified</x:v>
      </x:c>
      <x:c r="G1148" s="6" t="str">
        <x:v>McLaren Fuel System Repair Dubai | Digi-Tec</x:v>
      </x:c>
      <x:c r="H1148" s="6" t="str">
        <x:v>McLaren Fuel System Repair Dubai | Digi-Tec</x:v>
      </x:c>
      <x:c r="I1148" s="6" t="str">
        <x:v>McLaren Fuel System Repair Dubai</x:v>
      </x:c>
      <x:c r="J1148" s="6" t="str">
        <x:v>McLaren Fuel System Repair Dubai</x:v>
      </x:c>
      <x:c r="K1148" s="6" t="str">
        <x:v>McLaren fuel system repair in Dubai with model-specific inspection, confirmed parts options and a clear quote at Digi-Tec, Al Quoz.</x:v>
      </x:c>
      <x:c r="L1148" s="6" t="str">
        <x:v>Retain pending evidence; no specific content edit justified by this export.</x:v>
      </x:c>
      <x:c r="M1148" s="6" t="str">
        <x:v>Retain; inspect relevant context before adding links</x:v>
      </x:c>
      <x:c r="N1148" s="6" t="str">
        <x:v>Unconfirmed — no query/page pairing</x:v>
      </x:c>
      <x:c r="O1148" s="6" t="str">
        <x:v>Retain established booking / WhatsApp / call path; live behaviour untested</x:v>
      </x:c>
      <x:c r="P1148" s="6" t="str">
        <x:v>Retain canonical and indexation policy pending a live check.</x:v>
      </x:c>
      <x:c r="Q1148" s="6" t="str">
        <x:v>Proposed; no website change made</x:v>
      </x:c>
      <x:c r="R1148" s="14"/>
      <x:c r="S1148" s="14"/>
      <x:c r="T1148" s="15"/>
      <x:c r="U1148" s="16"/>
      <x:c r="V1148" s="6" t="str">
        <x:v>https://digitecme.com/brands/mclaren-service-dubai/fuel-system-repair</x:v>
      </x:c>
      <x:c r="W1148" s="6" t="str">
        <x:v>Indexable directive</x:v>
      </x:c>
      <x:c r="X1148" s="6" t="n">
        <x:v>16</x:v>
      </x:c>
      <x:c r="Y1148" s="6" t="str">
        <x:v>McLaren Fuel System Repair Dubai | Digi-Tec</x:v>
      </x:c>
      <x:c r="Z1148" s="6" t="str"/>
      <x:c r="AA1148" s="6" t="str">
        <x:v>No / not compared</x:v>
      </x:c>
    </x:row>
    <x:row r="1149" ht="57" customHeight="1">
      <x:c r="A1149" s="6" t="str">
        <x:v>https://digitecme.com/brands/mclaren-service-dubai/mechanical-repair</x:v>
      </x:c>
      <x:c r="B1149" s="6" t="str">
        <x:v>mclaren engine repair dubai</x:v>
      </x:c>
      <x:c r="C1149" s="6" t="str">
        <x:v>mclaren: Engine and mechanical repair; mclaren: Engine and mechanical repair (outside Dubai)</x:v>
      </x:c>
      <x:c r="D1149" s="6" t="str">
        <x:v>brand-service</x:v>
      </x:c>
      <x:c r="E1149" s="6" t="str">
        <x:v>Primary owner for assigned intent</x:v>
      </x:c>
      <x:c r="F1149" s="6" t="str">
        <x:v>Local source render; live version unverified</x:v>
      </x:c>
      <x:c r="G1149" s="6" t="str">
        <x:v>McLaren Engine &amp; Mechanical Repair Dubai | DIGI-TEC</x:v>
      </x:c>
      <x:c r="H1149" s="6" t="str">
        <x:v>McLaren Engine &amp; Mechanical Repair Dubai | DIGI-TEC</x:v>
      </x:c>
      <x:c r="I1149" s="6" t="str">
        <x:v>McLaren Engine &amp; Mechanical Repair Dubai</x:v>
      </x:c>
      <x:c r="J1149" s="6" t="str">
        <x:v>McLaren Engine &amp; Mechanical Repair Dubai</x:v>
      </x:c>
      <x:c r="K1149" s="6" t="str">
        <x:v>McLaren engine, cooling and mechanical assessment in Al Quoz, Dubai. Repair scope is confirmed from the vehicle, symptoms and inspection findings.</x:v>
      </x:c>
      <x:c r="L1149" s="6" t="str">
        <x:v>Retain pending evidence; no specific content edit justified by this export.</x:v>
      </x:c>
      <x:c r="M1149" s="6" t="str">
        <x:v>Retain; inspect relevant context before adding links</x:v>
      </x:c>
      <x:c r="N1149" s="6" t="str">
        <x:v>Unconfirmed — no query/page pairing</x:v>
      </x:c>
      <x:c r="O1149" s="6" t="str">
        <x:v>Retain established booking / WhatsApp / call path; live behaviour untested</x:v>
      </x:c>
      <x:c r="P1149" s="6" t="str">
        <x:v>Retain canonical and indexation policy pending a live check.</x:v>
      </x:c>
      <x:c r="Q1149" s="6" t="str">
        <x:v>Proposed; no website change made</x:v>
      </x:c>
      <x:c r="R1149" s="14"/>
      <x:c r="S1149" s="14"/>
      <x:c r="T1149" s="15"/>
      <x:c r="U1149" s="16"/>
      <x:c r="V1149" s="6" t="str">
        <x:v>https://digitecme.com/brands/mclaren-service-dubai/mechanical-repair</x:v>
      </x:c>
      <x:c r="W1149" s="6" t="str">
        <x:v>Indexable directive</x:v>
      </x:c>
      <x:c r="X1149" s="6" t="n">
        <x:v>17</x:v>
      </x:c>
      <x:c r="Y1149" s="6" t="str">
        <x:v>McLaren Engine &amp; Mechanical Repair Dubai | DIGI-TEC</x:v>
      </x:c>
      <x:c r="Z1149" s="6" t="str"/>
      <x:c r="AA1149" s="6" t="str">
        <x:v>No / not compared</x:v>
      </x:c>
    </x:row>
    <x:row r="1150" ht="42" customHeight="1">
      <x:c r="A1150" s="6" t="str">
        <x:v>https://digitecme.com/brands/mclaren-service-dubai/oil-change</x:v>
      </x:c>
      <x:c r="B1150" s="6" t="str">
        <x:v>mclaren oil change service dubai</x:v>
      </x:c>
      <x:c r="C1150" s="6" t="str">
        <x:v>mclaren: Oil change</x:v>
      </x:c>
      <x:c r="D1150" s="6" t="str">
        <x:v>brand-service</x:v>
      </x:c>
      <x:c r="E1150" s="6" t="str">
        <x:v>Primary owner for assigned intent</x:v>
      </x:c>
      <x:c r="F1150" s="6" t="str">
        <x:v>Live HTML checked 9 Sep 2026</x:v>
      </x:c>
      <x:c r="G1150" s="6" t="str">
        <x:v>McLaren Oil Change &amp; Maintenance Dubai | DIGI-TEC</x:v>
      </x:c>
      <x:c r="H1150" s="6" t="str">
        <x:v>McLaren Oil Change &amp; Maintenance Dubai | DIGI-TEC</x:v>
      </x:c>
      <x:c r="I1150" s="6" t="str">
        <x:v>McLaren Oil Change &amp; Maintenance Dubai</x:v>
      </x:c>
      <x:c r="J1150" s="6" t="str">
        <x:v>McLaren Oil Change &amp; Maintenance Dubai</x:v>
      </x:c>
      <x:c r="K1150" s="6" t="str">
        <x:v>McLaren oil service and maintenance assessment in Al Quoz, Dubai. Oil, filters and service scope are matched to the exact model and year.</x:v>
      </x:c>
      <x:c r="L1150" s="6" t="str">
        <x:v>Retain the current model-specific oil/maintenance content. Keep oil selection and timing conditional on the exact vehicle and agreed scope.</x:v>
      </x:c>
      <x:c r="M1150" s="6" t="str">
        <x:v>Retain existing links</x:v>
      </x:c>
      <x:c r="N1150" s="6" t="str">
        <x:v>Unconfirmed — no query/page pairing</x:v>
      </x:c>
      <x:c r="O1150" s="6" t="str">
        <x:v>Request a McLaren Oil Service</x:v>
      </x:c>
      <x:c r="P1150" s="6" t="str">
        <x:v>Retain; verify against production before release</x:v>
      </x:c>
      <x:c r="Q1150" s="6" t="str">
        <x:v>Proposed; no website change made</x:v>
      </x:c>
      <x:c r="R1150" s="14" t="n">
        <x:v>0</x:v>
      </x:c>
      <x:c r="S1150" s="14" t="n">
        <x:v>12</x:v>
      </x:c>
      <x:c r="T1150" s="15" t="n">
        <x:v>0</x:v>
      </x:c>
      <x:c r="U1150" s="16" t="n">
        <x:v>25</x:v>
      </x:c>
      <x:c r="V1150" s="6" t="str">
        <x:v>https://digitecme.com/brands/mclaren-service-dubai/oil-change</x:v>
      </x:c>
      <x:c r="W1150" s="6" t="str">
        <x:v>Indexable directive</x:v>
      </x:c>
      <x:c r="X1150" s="6" t="n">
        <x:v>17</x:v>
      </x:c>
      <x:c r="Y1150" s="6" t="str">
        <x:v>McLaren Oil Change &amp; Maintenance Dubai | DIGI-TEC</x:v>
      </x:c>
      <x:c r="Z1150" s="6" t="str">
        <x:v>McLaren Oil Change &amp; Maintenance Dubai | DIGI-TEC</x:v>
      </x:c>
      <x:c r="AA1150" s="6" t="str">
        <x:v>No / not compared</x:v>
      </x:c>
    </x:row>
    <x:row r="1151" ht="42" customHeight="1">
      <x:c r="A1151" s="6" t="str">
        <x:v>https://digitecme.com/brands/mclaren-service-dubai/steering-repair</x:v>
      </x:c>
      <x:c r="B1151" s="6" t="str"/>
      <x:c r="C1151" s="6" t="str"/>
      <x:c r="D1151" s="6" t="str">
        <x:v>brand-service</x:v>
      </x:c>
      <x:c r="E1151" s="6" t="str">
        <x:v>Retain differentiated role</x:v>
      </x:c>
      <x:c r="F1151" s="6" t="str">
        <x:v>Local source render; live version unverified</x:v>
      </x:c>
      <x:c r="G1151" s="6" t="str">
        <x:v>McLaren Steering Repair Dubai | Digi-Tec</x:v>
      </x:c>
      <x:c r="H1151" s="6" t="str">
        <x:v>McLaren Steering Repair Dubai | Digi-Tec</x:v>
      </x:c>
      <x:c r="I1151" s="6" t="str">
        <x:v>McLaren Steering Repair Dubai</x:v>
      </x:c>
      <x:c r="J1151" s="6" t="str">
        <x:v>McLaren Steering Repair Dubai</x:v>
      </x:c>
      <x:c r="K1151" s="6" t="str">
        <x:v>McLaren steering repair in Dubai with model-specific inspection, confirmed parts options and a clear quote at Digi-Tec, Al Quoz.</x:v>
      </x:c>
      <x:c r="L1151" s="6" t="str">
        <x:v>Retain pending evidence; no specific content edit justified by this export.</x:v>
      </x:c>
      <x:c r="M1151" s="6" t="str">
        <x:v>Retain; inspect relevant context before adding links</x:v>
      </x:c>
      <x:c r="N1151" s="6" t="str">
        <x:v>Unconfirmed — no query/page pairing</x:v>
      </x:c>
      <x:c r="O1151" s="6" t="str">
        <x:v>Retain established booking / WhatsApp / call path; live behaviour untested</x:v>
      </x:c>
      <x:c r="P1151" s="6" t="str">
        <x:v>Retain canonical and indexation policy pending a live check.</x:v>
      </x:c>
      <x:c r="Q1151" s="6" t="str">
        <x:v>Proposed; no website change made</x:v>
      </x:c>
      <x:c r="R1151" s="14" t="n">
        <x:v>0</x:v>
      </x:c>
      <x:c r="S1151" s="14" t="n">
        <x:v>9</x:v>
      </x:c>
      <x:c r="T1151" s="15" t="n">
        <x:v>0</x:v>
      </x:c>
      <x:c r="U1151" s="16" t="n">
        <x:v>75.44</x:v>
      </x:c>
      <x:c r="V1151" s="6" t="str">
        <x:v>https://digitecme.com/brands/mclaren-service-dubai/steering-repair</x:v>
      </x:c>
      <x:c r="W1151" s="6" t="str">
        <x:v>Indexable directive</x:v>
      </x:c>
      <x:c r="X1151" s="6" t="n">
        <x:v>16</x:v>
      </x:c>
      <x:c r="Y1151" s="6" t="str">
        <x:v>McLaren Steering Repair Dubai | Digi-Tec</x:v>
      </x:c>
      <x:c r="Z1151" s="6" t="str"/>
      <x:c r="AA1151" s="6" t="str">
        <x:v>No / not compared</x:v>
      </x:c>
    </x:row>
    <x:row r="1152" ht="42" customHeight="1">
      <x:c r="A1152" s="6" t="str">
        <x:v>https://digitecme.com/brands/mclaren-service-dubai/suspension-repair</x:v>
      </x:c>
      <x:c r="B1152" s="6" t="str">
        <x:v>mclaren suspension specialist</x:v>
      </x:c>
      <x:c r="C1152" s="6" t="str">
        <x:v>mclaren: Suspension repair</x:v>
      </x:c>
      <x:c r="D1152" s="6" t="str">
        <x:v>brand-service</x:v>
      </x:c>
      <x:c r="E1152" s="6" t="str">
        <x:v>Primary owner for assigned intent</x:v>
      </x:c>
      <x:c r="F1152" s="6" t="str">
        <x:v>Local source render; live version unverified</x:v>
      </x:c>
      <x:c r="G1152" s="6" t="str">
        <x:v>McLaren Suspension Repair Dubai | Digi-Tec</x:v>
      </x:c>
      <x:c r="H1152" s="6" t="str">
        <x:v>McLaren Suspension Repair Dubai | Digi-Tec</x:v>
      </x:c>
      <x:c r="I1152" s="6" t="str">
        <x:v>McLaren Suspension Repair Dubai</x:v>
      </x:c>
      <x:c r="J1152" s="6" t="str">
        <x:v>McLaren Suspension Repair Dubai</x:v>
      </x:c>
      <x:c r="K1152" s="6" t="str">
        <x:v>McLaren suspension repair in Dubai with model-specific inspection, confirmed parts options and a clear quote at Digi-Tec, Al Quoz.</x:v>
      </x:c>
      <x:c r="L1152" s="6" t="str">
        <x:v>Retain pending evidence; no specific content edit justified by this export.</x:v>
      </x:c>
      <x:c r="M1152" s="6" t="str">
        <x:v>Retain; inspect relevant context before adding links</x:v>
      </x:c>
      <x:c r="N1152" s="6" t="str">
        <x:v>Unconfirmed — no query/page pairing</x:v>
      </x:c>
      <x:c r="O1152" s="6" t="str">
        <x:v>Retain established booking / WhatsApp / call path; live behaviour untested</x:v>
      </x:c>
      <x:c r="P1152" s="6" t="str">
        <x:v>Retain canonical and indexation policy pending a live check.</x:v>
      </x:c>
      <x:c r="Q1152" s="6" t="str">
        <x:v>Proposed; no website change made</x:v>
      </x:c>
      <x:c r="R1152" s="14" t="n">
        <x:v>0</x:v>
      </x:c>
      <x:c r="S1152" s="14" t="n">
        <x:v>24</x:v>
      </x:c>
      <x:c r="T1152" s="15" t="n">
        <x:v>0</x:v>
      </x:c>
      <x:c r="U1152" s="16" t="n">
        <x:v>28.71</x:v>
      </x:c>
      <x:c r="V1152" s="6" t="str">
        <x:v>https://digitecme.com/brands/mclaren-service-dubai/suspension-repair</x:v>
      </x:c>
      <x:c r="W1152" s="6" t="str">
        <x:v>Indexable directive</x:v>
      </x:c>
      <x:c r="X1152" s="6" t="n">
        <x:v>17</x:v>
      </x:c>
      <x:c r="Y1152" s="6" t="str">
        <x:v>McLaren Suspension Repair Dubai | Digi-Tec</x:v>
      </x:c>
      <x:c r="Z1152" s="6" t="str"/>
      <x:c r="AA1152" s="6" t="str">
        <x:v>No / not compared</x:v>
      </x:c>
    </x:row>
    <x:row r="1153" ht="42" customHeight="1">
      <x:c r="A1153" s="6" t="str">
        <x:v>https://digitecme.com/brands/mclaren-service-dubai/tire-repair</x:v>
      </x:c>
      <x:c r="B1153" s="6" t="str"/>
      <x:c r="C1153" s="6" t="str"/>
      <x:c r="D1153" s="6" t="str">
        <x:v>brand-service</x:v>
      </x:c>
      <x:c r="E1153" s="6" t="str">
        <x:v>Retain differentiated role</x:v>
      </x:c>
      <x:c r="F1153" s="6" t="str">
        <x:v>Local source render; live version unverified</x:v>
      </x:c>
      <x:c r="G1153" s="6" t="str">
        <x:v>McLaren Tyre Repair Dubai | Digi-Tec</x:v>
      </x:c>
      <x:c r="H1153" s="6" t="str">
        <x:v>McLaren Tyre Repair Dubai | Digi-Tec</x:v>
      </x:c>
      <x:c r="I1153" s="6" t="str">
        <x:v>McLaren Tyre Repair Dubai</x:v>
      </x:c>
      <x:c r="J1153" s="6" t="str">
        <x:v>McLaren Tyre Repair Dubai</x:v>
      </x:c>
      <x:c r="K1153" s="6" t="str">
        <x:v>McLaren tyre repair in Dubai with model-specific inspection, confirmed parts options and a clear quote at Digi-Tec, Al Quoz.</x:v>
      </x:c>
      <x:c r="L1153" s="6" t="str">
        <x:v>Retain pending evidence; no specific content edit justified by this export.</x:v>
      </x:c>
      <x:c r="M1153" s="6" t="str">
        <x:v>Retain; inspect relevant context before adding links</x:v>
      </x:c>
      <x:c r="N1153" s="6" t="str">
        <x:v>Unconfirmed — no query/page pairing</x:v>
      </x:c>
      <x:c r="O1153" s="6" t="str">
        <x:v>Retain established booking / WhatsApp / call path; live behaviour untested</x:v>
      </x:c>
      <x:c r="P1153" s="6" t="str">
        <x:v>Retain canonical and indexation policy pending a live check.</x:v>
      </x:c>
      <x:c r="Q1153" s="6" t="str">
        <x:v>Proposed; no website change made</x:v>
      </x:c>
      <x:c r="R1153" s="14" t="n">
        <x:v>0</x:v>
      </x:c>
      <x:c r="S1153" s="14" t="n">
        <x:v>7</x:v>
      </x:c>
      <x:c r="T1153" s="15" t="n">
        <x:v>0</x:v>
      </x:c>
      <x:c r="U1153" s="16" t="n">
        <x:v>25.14</x:v>
      </x:c>
      <x:c r="V1153" s="6" t="str">
        <x:v>https://digitecme.com/brands/mclaren-service-dubai/tire-repair</x:v>
      </x:c>
      <x:c r="W1153" s="6" t="str">
        <x:v>Indexable directive</x:v>
      </x:c>
      <x:c r="X1153" s="6" t="n">
        <x:v>16</x:v>
      </x:c>
      <x:c r="Y1153" s="6" t="str">
        <x:v>McLaren Tyre Repair Dubai | Digi-Tec</x:v>
      </x:c>
      <x:c r="Z1153" s="6" t="str"/>
      <x:c r="AA1153" s="6" t="str">
        <x:v>No / not compared</x:v>
      </x:c>
    </x:row>
    <x:row r="1154" ht="57" customHeight="1">
      <x:c r="A1154" s="6" t="str">
        <x:v>https://digitecme.com/brands/mclaren-service-dubai/transmission-repair</x:v>
      </x:c>
      <x:c r="B1154" s="6" t="str">
        <x:v>mclaren transmission repair dubai</x:v>
      </x:c>
      <x:c r="C1154" s="6" t="str">
        <x:v>mclaren: Transmission and gearbox repair</x:v>
      </x:c>
      <x:c r="D1154" s="6" t="str">
        <x:v>brand-service</x:v>
      </x:c>
      <x:c r="E1154" s="6" t="str">
        <x:v>Primary owner for assigned intent</x:v>
      </x:c>
      <x:c r="F1154" s="6" t="str">
        <x:v>Local source render; live version unverified</x:v>
      </x:c>
      <x:c r="G1154" s="6" t="str">
        <x:v>McLaren Transmission Repair Dubai | DIGI-TEC</x:v>
      </x:c>
      <x:c r="H1154" s="6" t="str">
        <x:v>McLaren Transmission Repair Dubai | DIGI-TEC</x:v>
      </x:c>
      <x:c r="I1154" s="6" t="str">
        <x:v>McLaren Transmission Repair Dubai</x:v>
      </x:c>
      <x:c r="J1154" s="6" t="str">
        <x:v>McLaren Transmission Repair Dubai</x:v>
      </x:c>
      <x:c r="K1154" s="6" t="str">
        <x:v>McLaren transmission and gearbox assessment in Al Quoz, Dubai. Discuss DCT or SSG warnings, shift concerns, leaks and service scope with DIGI-TEC.</x:v>
      </x:c>
      <x:c r="L1154" s="6" t="str">
        <x:v>Retain pending evidence; no specific content edit justified by this export.</x:v>
      </x:c>
      <x:c r="M1154" s="6" t="str">
        <x:v>Retain; inspect relevant context before adding links</x:v>
      </x:c>
      <x:c r="N1154" s="6" t="str">
        <x:v>Unconfirmed — no query/page pairing</x:v>
      </x:c>
      <x:c r="O1154" s="6" t="str">
        <x:v>Retain established booking / WhatsApp / call path; live behaviour untested</x:v>
      </x:c>
      <x:c r="P1154" s="6" t="str">
        <x:v>Retain canonical and indexation policy pending a live check.</x:v>
      </x:c>
      <x:c r="Q1154" s="6" t="str">
        <x:v>Proposed; no website change made</x:v>
      </x:c>
      <x:c r="R1154" s="14" t="n">
        <x:v>0</x:v>
      </x:c>
      <x:c r="S1154" s="14" t="n">
        <x:v>12</x:v>
      </x:c>
      <x:c r="T1154" s="15" t="n">
        <x:v>0</x:v>
      </x:c>
      <x:c r="U1154" s="16" t="n">
        <x:v>13.5</x:v>
      </x:c>
      <x:c r="V1154" s="6" t="str">
        <x:v>https://digitecme.com/brands/mclaren-service-dubai/transmission-repair</x:v>
      </x:c>
      <x:c r="W1154" s="6" t="str">
        <x:v>Indexable directive</x:v>
      </x:c>
      <x:c r="X1154" s="6" t="n">
        <x:v>17</x:v>
      </x:c>
      <x:c r="Y1154" s="6" t="str">
        <x:v>McLaren Transmission Repair Dubai | DIGI-TEC</x:v>
      </x:c>
      <x:c r="Z1154" s="6" t="str"/>
      <x:c r="AA1154" s="6" t="str">
        <x:v>No / not compared</x:v>
      </x:c>
    </x:row>
    <x:row r="1155" ht="57" customHeight="1">
      <x:c r="A1155" s="6" t="str">
        <x:v>https://digitecme.com/brands/mercedes-benz-service-dubai</x:v>
      </x:c>
      <x:c r="B1155" s="6" t="str">
        <x:v>mercedes repair dubai</x:v>
      </x:c>
      <x:c r="C1155" s="6" t="str">
        <x:v>mercedes-benz: Service and repair (English)</x:v>
      </x:c>
      <x:c r="D1155" s="6" t="str">
        <x:v>brand</x:v>
      </x:c>
      <x:c r="E1155" s="6" t="str">
        <x:v>Primary owner for assigned intent</x:v>
      </x:c>
      <x:c r="F1155" s="6" t="str">
        <x:v>Live HTML checked 9 Sep 2026</x:v>
      </x:c>
      <x:c r="G1155" s="6" t="str">
        <x:v>Mercedes Repair &amp; Service Dubai | Digi-Tec Specialists</x:v>
      </x:c>
      <x:c r="H1155" s="6" t="str">
        <x:v>Mercedes Repair &amp; Service Dubai | Digi-Tec Specialists</x:v>
      </x:c>
      <x:c r="I1155" s="6" t="str">
        <x:v>Mercedes-Benz Repair &amp; Service Dubai</x:v>
      </x:c>
      <x:c r="J1155" s="6" t="str">
        <x:v>Mercedes-Benz Repair &amp; Service Dubai</x:v>
      </x:c>
      <x:c r="K1155" s="6" t="str">
        <x:v>Specialist Mercedes repair and service in Dubai for C-Class, E-Class, S-Class, G-Class, GLE, GLS and AMG. XENTRY diagnostics at our Al Quoz workshop in Dubai.</x:v>
      </x:c>
      <x:c r="L1155" s="6" t="str">
        <x:v>Retain the live broad hub. Preserve its service scope and link each specific repair to its own owner. Verify XENTRY/tool-access wording against business evidence.</x:v>
      </x:c>
      <x:c r="M1155" s="6" t="str">
        <x:v>Keep engine, transmission, diagnostics, oil, suspension and AC links pointed to their canonical service owners.</x:v>
      </x:c>
      <x:c r="N1155" s="6" t="str">
        <x:v>Unconfirmed — no query/page pairing</x:v>
      </x:c>
      <x:c r="O1155" s="6" t="str">
        <x:v>Request a Mercedes Repair Quote</x:v>
      </x:c>
      <x:c r="P1155" s="6" t="str">
        <x:v>Reconcile the newer live release with this older checkout before editing. Repair old-URL server redirects separately.</x:v>
      </x:c>
      <x:c r="Q1155" s="6" t="str">
        <x:v>Proposed; no website change made</x:v>
      </x:c>
      <x:c r="R1155" s="14" t="n">
        <x:v>27</x:v>
      </x:c>
      <x:c r="S1155" s="14" t="n">
        <x:v>4991</x:v>
      </x:c>
      <x:c r="T1155" s="15" t="n">
        <x:v>0.0054</x:v>
      </x:c>
      <x:c r="U1155" s="16" t="n">
        <x:v>13.13</x:v>
      </x:c>
      <x:c r="V1155" s="6" t="str">
        <x:v>https://digitecme.com/brands/mercedes-benz-service-dubai</x:v>
      </x:c>
      <x:c r="W1155" s="6" t="str">
        <x:v>Indexable directive</x:v>
      </x:c>
      <x:c r="X1155" s="6" t="n">
        <x:v>771</x:v>
      </x:c>
      <x:c r="Y1155" s="6" t="str">
        <x:v>Mercedes Repair &amp; Service Dubai | Digi-Tec Specialists</x:v>
      </x:c>
      <x:c r="Z1155" s="6" t="str">
        <x:v>Mercedes Repair &amp; Service Dubai | Digi-Tec Specialists</x:v>
      </x:c>
      <x:c r="AA1155" s="6" t="str">
        <x:v>No / not compared</x:v>
      </x:c>
    </x:row>
    <x:row r="1156" ht="42" customHeight="1">
      <x:c r="A1156" s="6" t="str">
        <x:v>https://digitecme.com/brands/mercedes-benz-service-dubai/suspension-repair</x:v>
      </x:c>
      <x:c r="B1156" s="6" t="str"/>
      <x:c r="C1156" s="6" t="str"/>
      <x:c r="D1156" s="6" t="str">
        <x:v>Historical URL</x:v>
      </x:c>
      <x:c r="E1156" s="6" t="str">
        <x:v>Verify historical URL</x:v>
      </x:c>
      <x:c r="F1156" s="6" t="str">
        <x:v>Historical GSC URL; current page unverified</x:v>
      </x:c>
      <x:c r="G1156" s="6" t="str">
        <x:v>Not verified</x:v>
      </x:c>
      <x:c r="H1156" s="6" t="str">
        <x:v>Not verified</x:v>
      </x:c>
      <x:c r="I1156" s="6" t="str">
        <x:v>Not verified</x:v>
      </x:c>
      <x:c r="J1156" s="6" t="str">
        <x:v>Not verified</x:v>
      </x:c>
      <x:c r="K1156" s="6" t="str">
        <x:v>Not verified</x:v>
      </x:c>
      <x:c r="L1156" s="6" t="str">
        <x:v>Verify current HTTP response, canonical destination and URL history before changing or consolidating.</x:v>
      </x:c>
      <x:c r="M1156" s="6" t="str">
        <x:v>Retain; inspect relevant context before adding links</x:v>
      </x:c>
      <x:c r="N1156" s="6" t="str">
        <x:v>Unconfirmed — no query/page pairing</x:v>
      </x:c>
      <x:c r="O1156" s="6" t="str">
        <x:v>Retain established booking / WhatsApp / call path; live behaviour untested</x:v>
      </x:c>
      <x:c r="P1156" s="6" t="str">
        <x:v>Inspect live routing and canonical; do not infer a redirect from the URL shape.</x:v>
      </x:c>
      <x:c r="Q1156" s="6" t="str">
        <x:v>Proposed; no website change made</x:v>
      </x:c>
      <x:c r="R1156" s="14" t="n">
        <x:v>0</x:v>
      </x:c>
      <x:c r="S1156" s="14" t="n">
        <x:v>2</x:v>
      </x:c>
      <x:c r="T1156" s="15" t="n">
        <x:v>0</x:v>
      </x:c>
      <x:c r="U1156" s="16" t="n">
        <x:v>53.5</x:v>
      </x:c>
      <x:c r="V1156" s="6" t="str">
        <x:v>Not verified</x:v>
      </x:c>
      <x:c r="W1156" s="6" t="str">
        <x:v>Not verified</x:v>
      </x:c>
      <x:c r="X1156" s="6"/>
      <x:c r="Y1156" s="6" t="str"/>
      <x:c r="Z1156" s="6" t="str"/>
      <x:c r="AA1156" s="6" t="str">
        <x:v>No / not compared</x:v>
      </x:c>
    </x:row>
    <x:row r="1157" ht="42" customHeight="1">
      <x:c r="A1157" s="6" t="str">
        <x:v>https://digitecme.com/brands/mini-service-dubai</x:v>
      </x:c>
      <x:c r="B1157" s="6" t="str">
        <x:v>mini cooper service dubai</x:v>
      </x:c>
      <x:c r="C1157" s="6" t="str">
        <x:v>mini: Service and repair (English); mini: Engine and mechanical repair; mini: Service and repair (outside Dubai)</x:v>
      </x:c>
      <x:c r="D1157" s="6" t="str">
        <x:v>brand</x:v>
      </x:c>
      <x:c r="E1157" s="6" t="str">
        <x:v>Primary owner for assigned intent</x:v>
      </x:c>
      <x:c r="F1157" s="6" t="str">
        <x:v>Local source render; live version unverified</x:v>
      </x:c>
      <x:c r="G1157" s="6" t="str">
        <x:v>MINI Repair Dubai | Digi-Tec</x:v>
      </x:c>
      <x:c r="H1157" s="6" t="str">
        <x:v>MINI Repair Dubai | Digi-Tec</x:v>
      </x:c>
      <x:c r="I1157" s="6" t="str">
        <x:v>MINI Repair &amp; Service Dubai</x:v>
      </x:c>
      <x:c r="J1157" s="6" t="str">
        <x:v>MINI Repair &amp; Service Dubai</x:v>
      </x:c>
      <x:c r="K1157" s="6" t="str">
        <x:v>Specialist MINI repair and service in Dubai: diagnostics, maintenance, brakes, transmission, suspension and AC at Digi-Tec, Al Quoz.</x:v>
      </x:c>
      <x:c r="L1157" s="6" t="str">
        <x:v>Retain pending evidence; no specific content edit justified by this export.</x:v>
      </x:c>
      <x:c r="M1157" s="6" t="str">
        <x:v>Retain; inspect relevant context before adding links</x:v>
      </x:c>
      <x:c r="N1157" s="6" t="str">
        <x:v>Unconfirmed — no query/page pairing</x:v>
      </x:c>
      <x:c r="O1157" s="6" t="str">
        <x:v>Retain established booking / WhatsApp / call path; live behaviour untested</x:v>
      </x:c>
      <x:c r="P1157" s="6" t="str">
        <x:v>Retain canonical and indexation policy pending a live check.</x:v>
      </x:c>
      <x:c r="Q1157" s="6" t="str">
        <x:v>Proposed; no website change made</x:v>
      </x:c>
      <x:c r="R1157" s="14" t="n">
        <x:v>0</x:v>
      </x:c>
      <x:c r="S1157" s="14" t="n">
        <x:v>104</x:v>
      </x:c>
      <x:c r="T1157" s="15" t="n">
        <x:v>0</x:v>
      </x:c>
      <x:c r="U1157" s="16" t="n">
        <x:v>35.39</x:v>
      </x:c>
      <x:c r="V1157" s="6" t="str">
        <x:v>https://digitecme.com/brands/mini-service-dubai</x:v>
      </x:c>
      <x:c r="W1157" s="6" t="str">
        <x:v>Indexable directive</x:v>
      </x:c>
      <x:c r="X1157" s="6" t="n">
        <x:v>28</x:v>
      </x:c>
      <x:c r="Y1157" s="6" t="str">
        <x:v>MINI Repair Dubai | Digi-Tec</x:v>
      </x:c>
      <x:c r="Z1157" s="6" t="str"/>
      <x:c r="AA1157" s="6" t="str">
        <x:v>No / not compared</x:v>
      </x:c>
    </x:row>
    <x:row r="1158" ht="42" customHeight="1">
      <x:c r="A1158" s="6" t="str">
        <x:v>https://digitecme.com/brands/mini-service-dubai/ac-repair</x:v>
      </x:c>
      <x:c r="B1158" s="6" t="str"/>
      <x:c r="C1158" s="6" t="str"/>
      <x:c r="D1158" s="6" t="str">
        <x:v>brand-service</x:v>
      </x:c>
      <x:c r="E1158" s="6" t="str">
        <x:v>Retain differentiated role</x:v>
      </x:c>
      <x:c r="F1158" s="6" t="str">
        <x:v>Local source render; live version unverified</x:v>
      </x:c>
      <x:c r="G1158" s="6" t="str">
        <x:v>MINI AC Repair Dubai | Digi-Tec</x:v>
      </x:c>
      <x:c r="H1158" s="6" t="str">
        <x:v>MINI AC Repair Dubai | Digi-Tec</x:v>
      </x:c>
      <x:c r="I1158" s="6" t="str">
        <x:v>MINI AC Repair Dubai</x:v>
      </x:c>
      <x:c r="J1158" s="6" t="str">
        <x:v>MINI AC Repair Dubai</x:v>
      </x:c>
      <x:c r="K1158" s="6" t="str">
        <x:v>MINI ac repair in Dubai with model-specific inspection, confirmed parts options and a clear quote at Digi-Tec, Al Quoz.</x:v>
      </x:c>
      <x:c r="L1158" s="6" t="str">
        <x:v>Retain pending evidence; no specific content edit justified by this export.</x:v>
      </x:c>
      <x:c r="M1158" s="6" t="str">
        <x:v>Retain; inspect relevant context before adding links</x:v>
      </x:c>
      <x:c r="N1158" s="6" t="str">
        <x:v>Unconfirmed — no query/page pairing</x:v>
      </x:c>
      <x:c r="O1158" s="6" t="str">
        <x:v>Retain established booking / WhatsApp / call path; live behaviour untested</x:v>
      </x:c>
      <x:c r="P1158" s="6" t="str">
        <x:v>Retain canonical and indexation policy pending a live check.</x:v>
      </x:c>
      <x:c r="Q1158" s="6" t="str">
        <x:v>Proposed; no website change made</x:v>
      </x:c>
      <x:c r="R1158" s="14" t="n">
        <x:v>0</x:v>
      </x:c>
      <x:c r="S1158" s="14" t="n">
        <x:v>3</x:v>
      </x:c>
      <x:c r="T1158" s="15" t="n">
        <x:v>0</x:v>
      </x:c>
      <x:c r="U1158" s="16" t="n">
        <x:v>1.67</x:v>
      </x:c>
      <x:c r="V1158" s="6" t="str">
        <x:v>https://digitecme.com/brands/mini-service-dubai/ac-repair</x:v>
      </x:c>
      <x:c r="W1158" s="6" t="str">
        <x:v>Indexable directive</x:v>
      </x:c>
      <x:c r="X1158" s="6" t="n">
        <x:v>8</x:v>
      </x:c>
      <x:c r="Y1158" s="6" t="str">
        <x:v>MINI AC Repair Dubai | Digi-Tec</x:v>
      </x:c>
      <x:c r="Z1158" s="6" t="str"/>
      <x:c r="AA1158" s="6" t="str">
        <x:v>No / not compared</x:v>
      </x:c>
    </x:row>
    <x:row r="1159" ht="42" customHeight="1">
      <x:c r="A1159" s="6" t="str">
        <x:v>https://digitecme.com/brands/mini-service-dubai/brake-repair</x:v>
      </x:c>
      <x:c r="B1159" s="6" t="str"/>
      <x:c r="C1159" s="6" t="str"/>
      <x:c r="D1159" s="6" t="str">
        <x:v>brand-service</x:v>
      </x:c>
      <x:c r="E1159" s="6" t="str">
        <x:v>Retain differentiated role</x:v>
      </x:c>
      <x:c r="F1159" s="6" t="str">
        <x:v>Local source render; live version unverified</x:v>
      </x:c>
      <x:c r="G1159" s="6" t="str">
        <x:v>MINI Brake Repair Dubai | Digi-Tec</x:v>
      </x:c>
      <x:c r="H1159" s="6" t="str">
        <x:v>MINI Brake Repair Dubai | Digi-Tec</x:v>
      </x:c>
      <x:c r="I1159" s="6" t="str">
        <x:v>MINI Brake Repair Dubai</x:v>
      </x:c>
      <x:c r="J1159" s="6" t="str">
        <x:v>MINI Brake Repair Dubai</x:v>
      </x:c>
      <x:c r="K1159" s="6" t="str">
        <x:v>MINI brake repair in Dubai with model-specific inspection, confirmed parts options and a clear quote at Digi-Tec, Al Quoz.</x:v>
      </x:c>
      <x:c r="L1159" s="6" t="str">
        <x:v>Retain pending evidence; no specific content edit justified by this export.</x:v>
      </x:c>
      <x:c r="M1159" s="6" t="str">
        <x:v>Retain; inspect relevant context before adding links</x:v>
      </x:c>
      <x:c r="N1159" s="6" t="str">
        <x:v>Unconfirmed — no query/page pairing</x:v>
      </x:c>
      <x:c r="O1159" s="6" t="str">
        <x:v>Retain established booking / WhatsApp / call path; live behaviour untested</x:v>
      </x:c>
      <x:c r="P1159" s="6" t="str">
        <x:v>Retain canonical and indexation policy pending a live check.</x:v>
      </x:c>
      <x:c r="Q1159" s="6" t="str">
        <x:v>Proposed; no website change made</x:v>
      </x:c>
      <x:c r="R1159" s="14" t="n">
        <x:v>0</x:v>
      </x:c>
      <x:c r="S1159" s="14" t="n">
        <x:v>6</x:v>
      </x:c>
      <x:c r="T1159" s="15" t="n">
        <x:v>0</x:v>
      </x:c>
      <x:c r="U1159" s="16" t="n">
        <x:v>37.5</x:v>
      </x:c>
      <x:c r="V1159" s="6" t="str">
        <x:v>https://digitecme.com/brands/mini-service-dubai/brake-repair</x:v>
      </x:c>
      <x:c r="W1159" s="6" t="str">
        <x:v>Indexable directive</x:v>
      </x:c>
      <x:c r="X1159" s="6" t="n">
        <x:v>8</x:v>
      </x:c>
      <x:c r="Y1159" s="6" t="str">
        <x:v>MINI Brake Repair Dubai | Digi-Tec</x:v>
      </x:c>
      <x:c r="Z1159" s="6" t="str"/>
      <x:c r="AA1159" s="6" t="str">
        <x:v>No / not compared</x:v>
      </x:c>
    </x:row>
    <x:row r="1160" ht="42" customHeight="1">
      <x:c r="A1160" s="6" t="str">
        <x:v>https://digitecme.com/brands/mini-service-dubai/engine-diagnostics</x:v>
      </x:c>
      <x:c r="B1160" s="6" t="str"/>
      <x:c r="C1160" s="6" t="str"/>
      <x:c r="D1160" s="6" t="str">
        <x:v>brand-service</x:v>
      </x:c>
      <x:c r="E1160" s="6" t="str">
        <x:v>Retain differentiated role</x:v>
      </x:c>
      <x:c r="F1160" s="6" t="str">
        <x:v>Local source render; live version unverified</x:v>
      </x:c>
      <x:c r="G1160" s="6" t="str">
        <x:v>MINI Engine Diagnostics Dubai | Digi-Tec</x:v>
      </x:c>
      <x:c r="H1160" s="6" t="str">
        <x:v>MINI Engine Diagnostics Dubai | Digi-Tec</x:v>
      </x:c>
      <x:c r="I1160" s="6" t="str">
        <x:v>MINI Engine Diagnostics Dubai</x:v>
      </x:c>
      <x:c r="J1160" s="6" t="str">
        <x:v>MINI Engine Diagnostics Dubai</x:v>
      </x:c>
      <x:c r="K1160" s="6" t="str">
        <x:v>MINI engine diagnostics in Dubai with model-specific inspection, confirmed parts options and a clear quote at Digi-Tec, Al Quoz.</x:v>
      </x:c>
      <x:c r="L1160" s="6" t="str">
        <x:v>Retain pending evidence; no specific content edit justified by this export.</x:v>
      </x:c>
      <x:c r="M1160" s="6" t="str">
        <x:v>Retain; inspect relevant context before adding links</x:v>
      </x:c>
      <x:c r="N1160" s="6" t="str">
        <x:v>Unconfirmed — no query/page pairing</x:v>
      </x:c>
      <x:c r="O1160" s="6" t="str">
        <x:v>Retain established booking / WhatsApp / call path; live behaviour untested</x:v>
      </x:c>
      <x:c r="P1160" s="6" t="str">
        <x:v>Retain canonical and indexation policy pending a live check.</x:v>
      </x:c>
      <x:c r="Q1160" s="6" t="str">
        <x:v>Proposed; no website change made</x:v>
      </x:c>
      <x:c r="R1160" s="14" t="n">
        <x:v>0</x:v>
      </x:c>
      <x:c r="S1160" s="14" t="n">
        <x:v>9</x:v>
      </x:c>
      <x:c r="T1160" s="15" t="n">
        <x:v>0</x:v>
      </x:c>
      <x:c r="U1160" s="16" t="n">
        <x:v>12.56</x:v>
      </x:c>
      <x:c r="V1160" s="6" t="str">
        <x:v>https://digitecme.com/brands/mini-service-dubai/engine-diagnostics</x:v>
      </x:c>
      <x:c r="W1160" s="6" t="str">
        <x:v>Indexable directive</x:v>
      </x:c>
      <x:c r="X1160" s="6" t="n">
        <x:v>8</x:v>
      </x:c>
      <x:c r="Y1160" s="6" t="str">
        <x:v>MINI Engine Diagnostics Dubai | Digi-Tec</x:v>
      </x:c>
      <x:c r="Z1160" s="6" t="str"/>
      <x:c r="AA1160" s="6" t="str">
        <x:v>No / not compared</x:v>
      </x:c>
    </x:row>
    <x:row r="1161" ht="42" customHeight="1">
      <x:c r="A1161" s="6" t="str">
        <x:v>https://digitecme.com/brands/mini-service-dubai/oil-change</x:v>
      </x:c>
      <x:c r="B1161" s="6" t="str"/>
      <x:c r="C1161" s="6" t="str"/>
      <x:c r="D1161" s="6" t="str">
        <x:v>brand-service</x:v>
      </x:c>
      <x:c r="E1161" s="6" t="str">
        <x:v>Retain differentiated role</x:v>
      </x:c>
      <x:c r="F1161" s="6" t="str">
        <x:v>Local source render; live version unverified</x:v>
      </x:c>
      <x:c r="G1161" s="6" t="str">
        <x:v>MINI Oil Change Dubai | Digi-Tec</x:v>
      </x:c>
      <x:c r="H1161" s="6" t="str">
        <x:v>MINI Oil Change Dubai | Digi-Tec</x:v>
      </x:c>
      <x:c r="I1161" s="6" t="str">
        <x:v>MINI Oil Change Dubai</x:v>
      </x:c>
      <x:c r="J1161" s="6" t="str">
        <x:v>MINI Oil Change Dubai</x:v>
      </x:c>
      <x:c r="K1161" s="6" t="str">
        <x:v>MINI oil change in Dubai with model-specific inspection, confirmed parts options and a clear quote at Digi-Tec, Al Quoz.</x:v>
      </x:c>
      <x:c r="L1161" s="6" t="str">
        <x:v>Retain pending evidence; no specific content edit justified by this export.</x:v>
      </x:c>
      <x:c r="M1161" s="6" t="str">
        <x:v>Retain; inspect relevant context before adding links</x:v>
      </x:c>
      <x:c r="N1161" s="6" t="str">
        <x:v>Unconfirmed — no query/page pairing</x:v>
      </x:c>
      <x:c r="O1161" s="6" t="str">
        <x:v>Retain established booking / WhatsApp / call path; live behaviour untested</x:v>
      </x:c>
      <x:c r="P1161" s="6" t="str">
        <x:v>Retain canonical and indexation policy pending a live check.</x:v>
      </x:c>
      <x:c r="Q1161" s="6" t="str">
        <x:v>Proposed; no website change made</x:v>
      </x:c>
      <x:c r="R1161" s="14" t="n">
        <x:v>0</x:v>
      </x:c>
      <x:c r="S1161" s="14" t="n">
        <x:v>7</x:v>
      </x:c>
      <x:c r="T1161" s="15" t="n">
        <x:v>0</x:v>
      </x:c>
      <x:c r="U1161" s="16" t="n">
        <x:v>19.86</x:v>
      </x:c>
      <x:c r="V1161" s="6" t="str">
        <x:v>https://digitecme.com/brands/mini-service-dubai/oil-change</x:v>
      </x:c>
      <x:c r="W1161" s="6" t="str">
        <x:v>Indexable directive</x:v>
      </x:c>
      <x:c r="X1161" s="6" t="n">
        <x:v>8</x:v>
      </x:c>
      <x:c r="Y1161" s="6" t="str">
        <x:v>MINI Oil Change Dubai | Digi-Tec</x:v>
      </x:c>
      <x:c r="Z1161" s="6" t="str"/>
      <x:c r="AA1161" s="6" t="str">
        <x:v>No / not compared</x:v>
      </x:c>
    </x:row>
    <x:row r="1162" ht="42" customHeight="1">
      <x:c r="A1162" s="6" t="str">
        <x:v>https://digitecme.com/brands/mini-service-dubai/suspension-repair</x:v>
      </x:c>
      <x:c r="B1162" s="6" t="str"/>
      <x:c r="C1162" s="6" t="str"/>
      <x:c r="D1162" s="6" t="str">
        <x:v>brand-service</x:v>
      </x:c>
      <x:c r="E1162" s="6" t="str">
        <x:v>Retain differentiated role</x:v>
      </x:c>
      <x:c r="F1162" s="6" t="str">
        <x:v>Local source render; live version unverified</x:v>
      </x:c>
      <x:c r="G1162" s="6" t="str">
        <x:v>MINI Suspension Repair Dubai | Digi-Tec</x:v>
      </x:c>
      <x:c r="H1162" s="6" t="str">
        <x:v>MINI Suspension Repair Dubai | Digi-Tec</x:v>
      </x:c>
      <x:c r="I1162" s="6" t="str">
        <x:v>MINI Suspension Repair Dubai</x:v>
      </x:c>
      <x:c r="J1162" s="6" t="str">
        <x:v>MINI Suspension Repair Dubai</x:v>
      </x:c>
      <x:c r="K1162" s="6" t="str">
        <x:v>MINI suspension repair in Dubai with model-specific inspection, confirmed parts options and a clear quote at Digi-Tec, Al Quoz.</x:v>
      </x:c>
      <x:c r="L1162" s="6" t="str">
        <x:v>Retain pending evidence; no specific content edit justified by this export.</x:v>
      </x:c>
      <x:c r="M1162" s="6" t="str">
        <x:v>Retain; inspect relevant context before adding links</x:v>
      </x:c>
      <x:c r="N1162" s="6" t="str">
        <x:v>Unconfirmed — no query/page pairing</x:v>
      </x:c>
      <x:c r="O1162" s="6" t="str">
        <x:v>Retain established booking / WhatsApp / call path; live behaviour untested</x:v>
      </x:c>
      <x:c r="P1162" s="6" t="str">
        <x:v>Retain canonical and indexation policy pending a live check.</x:v>
      </x:c>
      <x:c r="Q1162" s="6" t="str">
        <x:v>Proposed; no website change made</x:v>
      </x:c>
      <x:c r="R1162" s="14"/>
      <x:c r="S1162" s="14"/>
      <x:c r="T1162" s="15"/>
      <x:c r="U1162" s="16"/>
      <x:c r="V1162" s="6" t="str">
        <x:v>https://digitecme.com/brands/mini-service-dubai/suspension-repair</x:v>
      </x:c>
      <x:c r="W1162" s="6" t="str">
        <x:v>Noindex directive</x:v>
      </x:c>
      <x:c r="X1162" s="6" t="n">
        <x:v>8</x:v>
      </x:c>
      <x:c r="Y1162" s="6" t="str">
        <x:v>MINI Suspension Repair Dubai | Digi-Tec</x:v>
      </x:c>
      <x:c r="Z1162" s="6" t="str"/>
      <x:c r="AA1162" s="6" t="str">
        <x:v>No / not compared</x:v>
      </x:c>
    </x:row>
    <x:row r="1163" ht="42" customHeight="1">
      <x:c r="A1163" s="6" t="str">
        <x:v>https://digitecme.com/brands/mini-service-dubai/transmission-repair</x:v>
      </x:c>
      <x:c r="B1163" s="6" t="str"/>
      <x:c r="C1163" s="6" t="str"/>
      <x:c r="D1163" s="6" t="str">
        <x:v>brand-service</x:v>
      </x:c>
      <x:c r="E1163" s="6" t="str">
        <x:v>Retain differentiated role</x:v>
      </x:c>
      <x:c r="F1163" s="6" t="str">
        <x:v>Local source render; live version unverified</x:v>
      </x:c>
      <x:c r="G1163" s="6" t="str">
        <x:v>MINI Transmission Repair Dubai | Digi-Tec</x:v>
      </x:c>
      <x:c r="H1163" s="6" t="str">
        <x:v>MINI Transmission Repair Dubai | Digi-Tec</x:v>
      </x:c>
      <x:c r="I1163" s="6" t="str">
        <x:v>MINI Transmission Repair Dubai</x:v>
      </x:c>
      <x:c r="J1163" s="6" t="str">
        <x:v>MINI Transmission Repair Dubai</x:v>
      </x:c>
      <x:c r="K1163" s="6" t="str">
        <x:v>MINI transmission repair in Dubai with model-specific inspection, confirmed parts options and a clear quote at Digi-Tec, Al Quoz.</x:v>
      </x:c>
      <x:c r="L1163" s="6" t="str">
        <x:v>Retain pending evidence; no specific content edit justified by this export.</x:v>
      </x:c>
      <x:c r="M1163" s="6" t="str">
        <x:v>Retain; inspect relevant context before adding links</x:v>
      </x:c>
      <x:c r="N1163" s="6" t="str">
        <x:v>Unconfirmed — no query/page pairing</x:v>
      </x:c>
      <x:c r="O1163" s="6" t="str">
        <x:v>Retain established booking / WhatsApp / call path; live behaviour untested</x:v>
      </x:c>
      <x:c r="P1163" s="6" t="str">
        <x:v>Retain canonical and indexation policy pending a live check.</x:v>
      </x:c>
      <x:c r="Q1163" s="6" t="str">
        <x:v>Proposed; no website change made</x:v>
      </x:c>
      <x:c r="R1163" s="14"/>
      <x:c r="S1163" s="14"/>
      <x:c r="T1163" s="15"/>
      <x:c r="U1163" s="16"/>
      <x:c r="V1163" s="6" t="str">
        <x:v>https://digitecme.com/brands/mini-service-dubai/transmission-repair</x:v>
      </x:c>
      <x:c r="W1163" s="6" t="str">
        <x:v>Noindex directive</x:v>
      </x:c>
      <x:c r="X1163" s="6" t="n">
        <x:v>8</x:v>
      </x:c>
      <x:c r="Y1163" s="6" t="str">
        <x:v>MINI Transmission Repair Dubai | Digi-Tec</x:v>
      </x:c>
      <x:c r="Z1163" s="6" t="str"/>
      <x:c r="AA1163" s="6" t="str">
        <x:v>No / not compared</x:v>
      </x:c>
    </x:row>
    <x:row r="1164" ht="42" customHeight="1">
      <x:c r="A1164" s="6" t="str">
        <x:v>https://digitecme.com/brands/mitsubishi-service-dubai</x:v>
      </x:c>
      <x:c r="B1164" s="6" t="str"/>
      <x:c r="C1164" s="6" t="str"/>
      <x:c r="D1164" s="6" t="str">
        <x:v>brand</x:v>
      </x:c>
      <x:c r="E1164" s="6" t="str">
        <x:v>Retain differentiated role</x:v>
      </x:c>
      <x:c r="F1164" s="6" t="str">
        <x:v>Local source render; live version unverified</x:v>
      </x:c>
      <x:c r="G1164" s="6" t="str">
        <x:v>Mitsubishi Repair Dubai | Digi-Tec</x:v>
      </x:c>
      <x:c r="H1164" s="6" t="str">
        <x:v>Mitsubishi Repair Dubai | Digi-Tec</x:v>
      </x:c>
      <x:c r="I1164" s="6" t="str">
        <x:v>Mitsubishi Repair &amp; Service Dubai</x:v>
      </x:c>
      <x:c r="J1164" s="6" t="str">
        <x:v>Mitsubishi Repair &amp; Service Dubai</x:v>
      </x:c>
      <x:c r="K1164" s="6" t="str">
        <x:v>Specialist Mitsubishi repair and service in Dubai: diagnostics, maintenance, brakes, transmission, suspension and AC at Digi-Tec, Al Quoz.</x:v>
      </x:c>
      <x:c r="L1164" s="6" t="str">
        <x:v>Retain pending evidence; no specific content edit justified by this export.</x:v>
      </x:c>
      <x:c r="M1164" s="6" t="str">
        <x:v>Retain; inspect relevant context before adding links</x:v>
      </x:c>
      <x:c r="N1164" s="6" t="str">
        <x:v>Unconfirmed — no query/page pairing</x:v>
      </x:c>
      <x:c r="O1164" s="6" t="str">
        <x:v>Retain established booking / WhatsApp / call path; live behaviour untested</x:v>
      </x:c>
      <x:c r="P1164" s="6" t="str">
        <x:v>Retain canonical and indexation policy pending a live check.</x:v>
      </x:c>
      <x:c r="Q1164" s="6" t="str">
        <x:v>Proposed; no website change made</x:v>
      </x:c>
      <x:c r="R1164" s="14" t="n">
        <x:v>0</x:v>
      </x:c>
      <x:c r="S1164" s="14" t="n">
        <x:v>26</x:v>
      </x:c>
      <x:c r="T1164" s="15" t="n">
        <x:v>0</x:v>
      </x:c>
      <x:c r="U1164" s="16" t="n">
        <x:v>15</x:v>
      </x:c>
      <x:c r="V1164" s="6" t="str">
        <x:v>https://digitecme.com/brands/mitsubishi-service-dubai</x:v>
      </x:c>
      <x:c r="W1164" s="6" t="str">
        <x:v>Indexable directive</x:v>
      </x:c>
      <x:c r="X1164" s="6" t="n">
        <x:v>28</x:v>
      </x:c>
      <x:c r="Y1164" s="6" t="str">
        <x:v>Mitsubishi Repair Dubai | Digi-Tec</x:v>
      </x:c>
      <x:c r="Z1164" s="6" t="str"/>
      <x:c r="AA1164" s="6" t="str">
        <x:v>No / not compared</x:v>
      </x:c>
    </x:row>
    <x:row r="1165" ht="42" customHeight="1">
      <x:c r="A1165" s="6" t="str">
        <x:v>https://digitecme.com/brands/mitsubishi-service-dubai/ac-repair</x:v>
      </x:c>
      <x:c r="B1165" s="6" t="str"/>
      <x:c r="C1165" s="6" t="str"/>
      <x:c r="D1165" s="6" t="str">
        <x:v>brand-service</x:v>
      </x:c>
      <x:c r="E1165" s="6" t="str">
        <x:v>Retain differentiated role</x:v>
      </x:c>
      <x:c r="F1165" s="6" t="str">
        <x:v>Local source render; live version unverified</x:v>
      </x:c>
      <x:c r="G1165" s="6" t="str">
        <x:v>Mitsubishi AC Repair Dubai | Digi-Tec</x:v>
      </x:c>
      <x:c r="H1165" s="6" t="str">
        <x:v>Mitsubishi AC Repair Dubai | Digi-Tec</x:v>
      </x:c>
      <x:c r="I1165" s="6" t="str">
        <x:v>Mitsubishi AC Repair Dubai</x:v>
      </x:c>
      <x:c r="J1165" s="6" t="str">
        <x:v>Mitsubishi AC Repair Dubai</x:v>
      </x:c>
      <x:c r="K1165" s="6" t="str">
        <x:v>Mitsubishi ac repair in Dubai with model-specific inspection, confirmed parts options and a clear quote at Digi-Tec, Al Quoz.</x:v>
      </x:c>
      <x:c r="L1165" s="6" t="str">
        <x:v>Retain pending evidence; no specific content edit justified by this export.</x:v>
      </x:c>
      <x:c r="M1165" s="6" t="str">
        <x:v>Retain; inspect relevant context before adding links</x:v>
      </x:c>
      <x:c r="N1165" s="6" t="str">
        <x:v>Unconfirmed — no query/page pairing</x:v>
      </x:c>
      <x:c r="O1165" s="6" t="str">
        <x:v>Retain established booking / WhatsApp / call path; live behaviour untested</x:v>
      </x:c>
      <x:c r="P1165" s="6" t="str">
        <x:v>Retain canonical and indexation policy pending a live check.</x:v>
      </x:c>
      <x:c r="Q1165" s="6" t="str">
        <x:v>Proposed; no website change made</x:v>
      </x:c>
      <x:c r="R1165" s="14" t="n">
        <x:v>0</x:v>
      </x:c>
      <x:c r="S1165" s="14" t="n">
        <x:v>7</x:v>
      </x:c>
      <x:c r="T1165" s="15" t="n">
        <x:v>0</x:v>
      </x:c>
      <x:c r="U1165" s="16" t="n">
        <x:v>9.29</x:v>
      </x:c>
      <x:c r="V1165" s="6" t="str">
        <x:v>https://digitecme.com/brands/mitsubishi-service-dubai/ac-repair</x:v>
      </x:c>
      <x:c r="W1165" s="6" t="str">
        <x:v>Indexable directive</x:v>
      </x:c>
      <x:c r="X1165" s="6" t="n">
        <x:v>8</x:v>
      </x:c>
      <x:c r="Y1165" s="6" t="str">
        <x:v>Mitsubishi AC Repair Dubai | Digi-Tec</x:v>
      </x:c>
      <x:c r="Z1165" s="6" t="str"/>
      <x:c r="AA1165" s="6" t="str">
        <x:v>No / not compared</x:v>
      </x:c>
    </x:row>
    <x:row r="1166" ht="42" customHeight="1">
      <x:c r="A1166" s="6" t="str">
        <x:v>https://digitecme.com/brands/mitsubishi-service-dubai/brake-repair</x:v>
      </x:c>
      <x:c r="B1166" s="6" t="str"/>
      <x:c r="C1166" s="6" t="str"/>
      <x:c r="D1166" s="6" t="str">
        <x:v>brand-service</x:v>
      </x:c>
      <x:c r="E1166" s="6" t="str">
        <x:v>Retain differentiated role</x:v>
      </x:c>
      <x:c r="F1166" s="6" t="str">
        <x:v>Local source render; live version unverified</x:v>
      </x:c>
      <x:c r="G1166" s="6" t="str">
        <x:v>Mitsubishi Brake Repair Dubai | Digi-Tec</x:v>
      </x:c>
      <x:c r="H1166" s="6" t="str">
        <x:v>Mitsubishi Brake Repair Dubai | Digi-Tec</x:v>
      </x:c>
      <x:c r="I1166" s="6" t="str">
        <x:v>Mitsubishi Brake Repair Dubai</x:v>
      </x:c>
      <x:c r="J1166" s="6" t="str">
        <x:v>Mitsubishi Brake Repair Dubai</x:v>
      </x:c>
      <x:c r="K1166" s="6" t="str">
        <x:v>Mitsubishi brake repair in Dubai with model-specific inspection, confirmed parts options and a clear quote at Digi-Tec, Al Quoz.</x:v>
      </x:c>
      <x:c r="L1166" s="6" t="str">
        <x:v>Retain pending evidence; no specific content edit justified by this export.</x:v>
      </x:c>
      <x:c r="M1166" s="6" t="str">
        <x:v>Retain; inspect relevant context before adding links</x:v>
      </x:c>
      <x:c r="N1166" s="6" t="str">
        <x:v>Unconfirmed — no query/page pairing</x:v>
      </x:c>
      <x:c r="O1166" s="6" t="str">
        <x:v>Retain established booking / WhatsApp / call path; live behaviour untested</x:v>
      </x:c>
      <x:c r="P1166" s="6" t="str">
        <x:v>Retain canonical and indexation policy pending a live check.</x:v>
      </x:c>
      <x:c r="Q1166" s="6" t="str">
        <x:v>Proposed; no website change made</x:v>
      </x:c>
      <x:c r="R1166" s="14" t="n">
        <x:v>0</x:v>
      </x:c>
      <x:c r="S1166" s="14" t="n">
        <x:v>1</x:v>
      </x:c>
      <x:c r="T1166" s="15" t="n">
        <x:v>0</x:v>
      </x:c>
      <x:c r="U1166" s="16" t="n">
        <x:v>5</x:v>
      </x:c>
      <x:c r="V1166" s="6" t="str">
        <x:v>https://digitecme.com/brands/mitsubishi-service-dubai/brake-repair</x:v>
      </x:c>
      <x:c r="W1166" s="6" t="str">
        <x:v>Indexable directive</x:v>
      </x:c>
      <x:c r="X1166" s="6" t="n">
        <x:v>8</x:v>
      </x:c>
      <x:c r="Y1166" s="6" t="str">
        <x:v>Mitsubishi Brake Repair Dubai | Digi-Tec</x:v>
      </x:c>
      <x:c r="Z1166" s="6" t="str"/>
      <x:c r="AA1166" s="6" t="str">
        <x:v>No / not compared</x:v>
      </x:c>
    </x:row>
    <x:row r="1167" ht="42" customHeight="1">
      <x:c r="A1167" s="6" t="str">
        <x:v>https://digitecme.com/brands/mitsubishi-service-dubai/engine-diagnostics</x:v>
      </x:c>
      <x:c r="B1167" s="6" t="str"/>
      <x:c r="C1167" s="6" t="str"/>
      <x:c r="D1167" s="6" t="str">
        <x:v>brand-service</x:v>
      </x:c>
      <x:c r="E1167" s="6" t="str">
        <x:v>Retain differentiated role</x:v>
      </x:c>
      <x:c r="F1167" s="6" t="str">
        <x:v>Local source render; live version unverified</x:v>
      </x:c>
      <x:c r="G1167" s="6" t="str">
        <x:v>Mitsubishi Engine Diagnostics Dubai | Digi-Tec</x:v>
      </x:c>
      <x:c r="H1167" s="6" t="str">
        <x:v>Mitsubishi Engine Diagnostics Dubai | Digi-Tec</x:v>
      </x:c>
      <x:c r="I1167" s="6" t="str">
        <x:v>Mitsubishi Engine Diagnostics Dubai</x:v>
      </x:c>
      <x:c r="J1167" s="6" t="str">
        <x:v>Mitsubishi Engine Diagnostics Dubai</x:v>
      </x:c>
      <x:c r="K1167" s="6" t="str">
        <x:v>Mitsubishi engine diagnostics in Dubai with model-specific inspection, confirmed parts options and a clear quote at Digi-Tec, Al Quoz.</x:v>
      </x:c>
      <x:c r="L1167" s="6" t="str">
        <x:v>Retain pending evidence; no specific content edit justified by this export.</x:v>
      </x:c>
      <x:c r="M1167" s="6" t="str">
        <x:v>Retain; inspect relevant context before adding links</x:v>
      </x:c>
      <x:c r="N1167" s="6" t="str">
        <x:v>Unconfirmed — no query/page pairing</x:v>
      </x:c>
      <x:c r="O1167" s="6" t="str">
        <x:v>Retain established booking / WhatsApp / call path; live behaviour untested</x:v>
      </x:c>
      <x:c r="P1167" s="6" t="str">
        <x:v>Retain canonical and indexation policy pending a live check.</x:v>
      </x:c>
      <x:c r="Q1167" s="6" t="str">
        <x:v>Proposed; no website change made</x:v>
      </x:c>
      <x:c r="R1167" s="14"/>
      <x:c r="S1167" s="14"/>
      <x:c r="T1167" s="15"/>
      <x:c r="U1167" s="16"/>
      <x:c r="V1167" s="6" t="str">
        <x:v>https://digitecme.com/brands/mitsubishi-service-dubai/engine-diagnostics</x:v>
      </x:c>
      <x:c r="W1167" s="6" t="str">
        <x:v>Indexable directive</x:v>
      </x:c>
      <x:c r="X1167" s="6" t="n">
        <x:v>8</x:v>
      </x:c>
      <x:c r="Y1167" s="6" t="str">
        <x:v>Mitsubishi Engine Diagnostics Dubai | Digi-Tec</x:v>
      </x:c>
      <x:c r="Z1167" s="6" t="str"/>
      <x:c r="AA1167" s="6" t="str">
        <x:v>No / not compared</x:v>
      </x:c>
    </x:row>
    <x:row r="1168" ht="42" customHeight="1">
      <x:c r="A1168" s="6" t="str">
        <x:v>https://digitecme.com/brands/mitsubishi-service-dubai/oil-change</x:v>
      </x:c>
      <x:c r="B1168" s="6" t="str"/>
      <x:c r="C1168" s="6" t="str"/>
      <x:c r="D1168" s="6" t="str">
        <x:v>brand-service</x:v>
      </x:c>
      <x:c r="E1168" s="6" t="str">
        <x:v>Retain differentiated role</x:v>
      </x:c>
      <x:c r="F1168" s="6" t="str">
        <x:v>Local source render; live version unverified</x:v>
      </x:c>
      <x:c r="G1168" s="6" t="str">
        <x:v>Mitsubishi Oil Change Dubai | Digi-Tec</x:v>
      </x:c>
      <x:c r="H1168" s="6" t="str">
        <x:v>Mitsubishi Oil Change Dubai | Digi-Tec</x:v>
      </x:c>
      <x:c r="I1168" s="6" t="str">
        <x:v>Mitsubishi Oil Change Dubai</x:v>
      </x:c>
      <x:c r="J1168" s="6" t="str">
        <x:v>Mitsubishi Oil Change Dubai</x:v>
      </x:c>
      <x:c r="K1168" s="6" t="str">
        <x:v>Mitsubishi oil change in Dubai with model-specific inspection, confirmed parts options and a clear quote at Digi-Tec, Al Quoz.</x:v>
      </x:c>
      <x:c r="L1168" s="6" t="str">
        <x:v>Retain pending evidence; no specific content edit justified by this export.</x:v>
      </x:c>
      <x:c r="M1168" s="6" t="str">
        <x:v>Retain; inspect relevant context before adding links</x:v>
      </x:c>
      <x:c r="N1168" s="6" t="str">
        <x:v>Unconfirmed — no query/page pairing</x:v>
      </x:c>
      <x:c r="O1168" s="6" t="str">
        <x:v>Retain established booking / WhatsApp / call path; live behaviour untested</x:v>
      </x:c>
      <x:c r="P1168" s="6" t="str">
        <x:v>Retain canonical and indexation policy pending a live check.</x:v>
      </x:c>
      <x:c r="Q1168" s="6" t="str">
        <x:v>Proposed; no website change made</x:v>
      </x:c>
      <x:c r="R1168" s="14" t="n">
        <x:v>0</x:v>
      </x:c>
      <x:c r="S1168" s="14" t="n">
        <x:v>11</x:v>
      </x:c>
      <x:c r="T1168" s="15" t="n">
        <x:v>0</x:v>
      </x:c>
      <x:c r="U1168" s="16" t="n">
        <x:v>5.64</x:v>
      </x:c>
      <x:c r="V1168" s="6" t="str">
        <x:v>https://digitecme.com/brands/mitsubishi-service-dubai/oil-change</x:v>
      </x:c>
      <x:c r="W1168" s="6" t="str">
        <x:v>Indexable directive</x:v>
      </x:c>
      <x:c r="X1168" s="6" t="n">
        <x:v>8</x:v>
      </x:c>
      <x:c r="Y1168" s="6" t="str">
        <x:v>Mitsubishi Oil Change Dubai | Digi-Tec</x:v>
      </x:c>
      <x:c r="Z1168" s="6" t="str"/>
      <x:c r="AA1168" s="6" t="str">
        <x:v>No / not compared</x:v>
      </x:c>
    </x:row>
    <x:row r="1169" ht="42" customHeight="1">
      <x:c r="A1169" s="6" t="str">
        <x:v>https://digitecme.com/brands/mitsubishi-service-dubai/suspension-repair</x:v>
      </x:c>
      <x:c r="B1169" s="6" t="str"/>
      <x:c r="C1169" s="6" t="str"/>
      <x:c r="D1169" s="6" t="str">
        <x:v>brand-service</x:v>
      </x:c>
      <x:c r="E1169" s="6" t="str">
        <x:v>Retain differentiated role</x:v>
      </x:c>
      <x:c r="F1169" s="6" t="str">
        <x:v>Local source render; live version unverified</x:v>
      </x:c>
      <x:c r="G1169" s="6" t="str">
        <x:v>Mitsubishi Suspension Repair Dubai | Digi-Tec</x:v>
      </x:c>
      <x:c r="H1169" s="6" t="str">
        <x:v>Mitsubishi Suspension Repair Dubai | Digi-Tec</x:v>
      </x:c>
      <x:c r="I1169" s="6" t="str">
        <x:v>Mitsubishi Suspension Repair Dubai</x:v>
      </x:c>
      <x:c r="J1169" s="6" t="str">
        <x:v>Mitsubishi Suspension Repair Dubai</x:v>
      </x:c>
      <x:c r="K1169" s="6" t="str">
        <x:v>Mitsubishi suspension repair in Dubai with model-specific inspection, confirmed parts options and a clear quote at Digi-Tec, Al Quoz.</x:v>
      </x:c>
      <x:c r="L1169" s="6" t="str">
        <x:v>Retain pending evidence; no specific content edit justified by this export.</x:v>
      </x:c>
      <x:c r="M1169" s="6" t="str">
        <x:v>Retain; inspect relevant context before adding links</x:v>
      </x:c>
      <x:c r="N1169" s="6" t="str">
        <x:v>Unconfirmed — no query/page pairing</x:v>
      </x:c>
      <x:c r="O1169" s="6" t="str">
        <x:v>Retain established booking / WhatsApp / call path; live behaviour untested</x:v>
      </x:c>
      <x:c r="P1169" s="6" t="str">
        <x:v>Retain canonical and indexation policy pending a live check.</x:v>
      </x:c>
      <x:c r="Q1169" s="6" t="str">
        <x:v>Proposed; no website change made</x:v>
      </x:c>
      <x:c r="R1169" s="14" t="n">
        <x:v>0</x:v>
      </x:c>
      <x:c r="S1169" s="14" t="n">
        <x:v>1</x:v>
      </x:c>
      <x:c r="T1169" s="15" t="n">
        <x:v>0</x:v>
      </x:c>
      <x:c r="U1169" s="16" t="n">
        <x:v>9</x:v>
      </x:c>
      <x:c r="V1169" s="6" t="str">
        <x:v>https://digitecme.com/brands/mitsubishi-service-dubai/suspension-repair</x:v>
      </x:c>
      <x:c r="W1169" s="6" t="str">
        <x:v>Noindex directive</x:v>
      </x:c>
      <x:c r="X1169" s="6" t="n">
        <x:v>8</x:v>
      </x:c>
      <x:c r="Y1169" s="6" t="str">
        <x:v>Mitsubishi Suspension Repair Dubai | Digi-Tec</x:v>
      </x:c>
      <x:c r="Z1169" s="6" t="str"/>
      <x:c r="AA1169" s="6" t="str">
        <x:v>No / not compared</x:v>
      </x:c>
    </x:row>
    <x:row r="1170" ht="42" customHeight="1">
      <x:c r="A1170" s="6" t="str">
        <x:v>https://digitecme.com/brands/mitsubishi-service-dubai/transmission-repair</x:v>
      </x:c>
      <x:c r="B1170" s="6" t="str"/>
      <x:c r="C1170" s="6" t="str"/>
      <x:c r="D1170" s="6" t="str">
        <x:v>brand-service</x:v>
      </x:c>
      <x:c r="E1170" s="6" t="str">
        <x:v>Retain differentiated role</x:v>
      </x:c>
      <x:c r="F1170" s="6" t="str">
        <x:v>Local source render; live version unverified</x:v>
      </x:c>
      <x:c r="G1170" s="6" t="str">
        <x:v>Mitsubishi Transmission Repair Dubai | Digi-Tec</x:v>
      </x:c>
      <x:c r="H1170" s="6" t="str">
        <x:v>Mitsubishi Transmission Repair Dubai | Digi-Tec</x:v>
      </x:c>
      <x:c r="I1170" s="6" t="str">
        <x:v>Mitsubishi Transmission Repair Dubai</x:v>
      </x:c>
      <x:c r="J1170" s="6" t="str">
        <x:v>Mitsubishi Transmission Repair Dubai</x:v>
      </x:c>
      <x:c r="K1170" s="6" t="str">
        <x:v>Mitsubishi transmission repair in Dubai with model-specific inspection, confirmed parts options and a clear quote at Digi-Tec, Al Quoz.</x:v>
      </x:c>
      <x:c r="L1170" s="6" t="str">
        <x:v>Retain pending evidence; no specific content edit justified by this export.</x:v>
      </x:c>
      <x:c r="M1170" s="6" t="str">
        <x:v>Retain; inspect relevant context before adding links</x:v>
      </x:c>
      <x:c r="N1170" s="6" t="str">
        <x:v>Unconfirmed — no query/page pairing</x:v>
      </x:c>
      <x:c r="O1170" s="6" t="str">
        <x:v>Retain established booking / WhatsApp / call path; live behaviour untested</x:v>
      </x:c>
      <x:c r="P1170" s="6" t="str">
        <x:v>Retain canonical and indexation policy pending a live check.</x:v>
      </x:c>
      <x:c r="Q1170" s="6" t="str">
        <x:v>Proposed; no website change made</x:v>
      </x:c>
      <x:c r="R1170" s="14" t="n">
        <x:v>0</x:v>
      </x:c>
      <x:c r="S1170" s="14" t="n">
        <x:v>2</x:v>
      </x:c>
      <x:c r="T1170" s="15" t="n">
        <x:v>0</x:v>
      </x:c>
      <x:c r="U1170" s="16" t="n">
        <x:v>12</x:v>
      </x:c>
      <x:c r="V1170" s="6" t="str">
        <x:v>https://digitecme.com/brands/mitsubishi-service-dubai/transmission-repair</x:v>
      </x:c>
      <x:c r="W1170" s="6" t="str">
        <x:v>Noindex directive</x:v>
      </x:c>
      <x:c r="X1170" s="6" t="n">
        <x:v>8</x:v>
      </x:c>
      <x:c r="Y1170" s="6" t="str">
        <x:v>Mitsubishi Transmission Repair Dubai | Digi-Tec</x:v>
      </x:c>
      <x:c r="Z1170" s="6" t="str"/>
      <x:c r="AA1170" s="6" t="str">
        <x:v>No / not compared</x:v>
      </x:c>
    </x:row>
    <x:row r="1171" ht="42" customHeight="1">
      <x:c r="A1171" s="6" t="str">
        <x:v>https://digitecme.com/brands/nissan-service-dubai</x:v>
      </x:c>
      <x:c r="B1171" s="6" t="str">
        <x:v>nissan service center dubai</x:v>
      </x:c>
      <x:c r="C1171" s="6" t="str">
        <x:v>nissan: Service and repair</x:v>
      </x:c>
      <x:c r="D1171" s="6" t="str">
        <x:v>brand</x:v>
      </x:c>
      <x:c r="E1171" s="6" t="str">
        <x:v>Primary owner for assigned intent</x:v>
      </x:c>
      <x:c r="F1171" s="6" t="str">
        <x:v>Local source render; live version unverified</x:v>
      </x:c>
      <x:c r="G1171" s="6" t="str">
        <x:v>Nissan Repair Dubai | Digi-Tec</x:v>
      </x:c>
      <x:c r="H1171" s="6" t="str">
        <x:v>Nissan Repair Dubai | Digi-Tec</x:v>
      </x:c>
      <x:c r="I1171" s="6" t="str">
        <x:v>Nissan Repair &amp; Service Dubai</x:v>
      </x:c>
      <x:c r="J1171" s="6" t="str">
        <x:v>Nissan Repair &amp; Service Dubai</x:v>
      </x:c>
      <x:c r="K1171" s="6" t="str">
        <x:v>Specialist Nissan repair and service in Dubai: diagnostics, maintenance, brakes, transmission, suspension and AC at Digi-Tec, Al Quoz.</x:v>
      </x:c>
      <x:c r="L1171" s="6" t="str">
        <x:v>Retain pending evidence; no specific content edit justified by this export.</x:v>
      </x:c>
      <x:c r="M1171" s="6" t="str">
        <x:v>Retain; inspect relevant context before adding links</x:v>
      </x:c>
      <x:c r="N1171" s="6" t="str">
        <x:v>Unconfirmed — no query/page pairing</x:v>
      </x:c>
      <x:c r="O1171" s="6" t="str">
        <x:v>Retain established booking / WhatsApp / call path; live behaviour untested</x:v>
      </x:c>
      <x:c r="P1171" s="6" t="str">
        <x:v>Retain canonical and indexation policy pending a live check.</x:v>
      </x:c>
      <x:c r="Q1171" s="6" t="str">
        <x:v>Proposed; no website change made</x:v>
      </x:c>
      <x:c r="R1171" s="14" t="n">
        <x:v>3</x:v>
      </x:c>
      <x:c r="S1171" s="14" t="n">
        <x:v>919</x:v>
      </x:c>
      <x:c r="T1171" s="15" t="n">
        <x:v>0.0033</x:v>
      </x:c>
      <x:c r="U1171" s="16" t="n">
        <x:v>19.79</x:v>
      </x:c>
      <x:c r="V1171" s="6" t="str">
        <x:v>https://digitecme.com/brands/nissan-service-dubai</x:v>
      </x:c>
      <x:c r="W1171" s="6" t="str">
        <x:v>Indexable directive</x:v>
      </x:c>
      <x:c r="X1171" s="6" t="n">
        <x:v>36</x:v>
      </x:c>
      <x:c r="Y1171" s="6" t="str">
        <x:v>Nissan Repair Dubai | Digi-Tec</x:v>
      </x:c>
      <x:c r="Z1171" s="6" t="str"/>
      <x:c r="AA1171" s="6" t="str">
        <x:v>No / not compared</x:v>
      </x:c>
    </x:row>
    <x:row r="1172" ht="42" customHeight="1">
      <x:c r="A1172" s="6" t="str">
        <x:v>https://digitecme.com/brands/nissan-service-dubai/ac-repair</x:v>
      </x:c>
      <x:c r="B1172" s="6" t="str"/>
      <x:c r="C1172" s="6" t="str"/>
      <x:c r="D1172" s="6" t="str">
        <x:v>brand-service</x:v>
      </x:c>
      <x:c r="E1172" s="6" t="str">
        <x:v>Retain differentiated role</x:v>
      </x:c>
      <x:c r="F1172" s="6" t="str">
        <x:v>Local source render; live version unverified</x:v>
      </x:c>
      <x:c r="G1172" s="6" t="str">
        <x:v>Nissan AC Repair Dubai | Digi-Tec</x:v>
      </x:c>
      <x:c r="H1172" s="6" t="str">
        <x:v>Nissan AC Repair Dubai | Digi-Tec</x:v>
      </x:c>
      <x:c r="I1172" s="6" t="str">
        <x:v>Nissan AC Repair Dubai</x:v>
      </x:c>
      <x:c r="J1172" s="6" t="str">
        <x:v>Nissan AC Repair Dubai</x:v>
      </x:c>
      <x:c r="K1172" s="6" t="str">
        <x:v>Nissan ac repair in Dubai with model-specific inspection, confirmed parts options and a clear quote at Digi-Tec, Al Quoz.</x:v>
      </x:c>
      <x:c r="L1172" s="6" t="str">
        <x:v>Retain pending evidence; no specific content edit justified by this export.</x:v>
      </x:c>
      <x:c r="M1172" s="6" t="str">
        <x:v>Retain; inspect relevant context before adding links</x:v>
      </x:c>
      <x:c r="N1172" s="6" t="str">
        <x:v>Unconfirmed — no query/page pairing</x:v>
      </x:c>
      <x:c r="O1172" s="6" t="str">
        <x:v>Retain established booking / WhatsApp / call path; live behaviour untested</x:v>
      </x:c>
      <x:c r="P1172" s="6" t="str">
        <x:v>Retain canonical and indexation policy pending a live check.</x:v>
      </x:c>
      <x:c r="Q1172" s="6" t="str">
        <x:v>Proposed; no website change made</x:v>
      </x:c>
      <x:c r="R1172" s="14" t="n">
        <x:v>1</x:v>
      </x:c>
      <x:c r="S1172" s="14" t="n">
        <x:v>23</x:v>
      </x:c>
      <x:c r="T1172" s="15" t="n">
        <x:v>0.0435</x:v>
      </x:c>
      <x:c r="U1172" s="16" t="n">
        <x:v>4.74</x:v>
      </x:c>
      <x:c r="V1172" s="6" t="str">
        <x:v>https://digitecme.com/brands/nissan-service-dubai/ac-repair</x:v>
      </x:c>
      <x:c r="W1172" s="6" t="str">
        <x:v>Indexable directive</x:v>
      </x:c>
      <x:c r="X1172" s="6" t="n">
        <x:v>16</x:v>
      </x:c>
      <x:c r="Y1172" s="6" t="str">
        <x:v>Nissan AC Repair Dubai | Digi-Tec</x:v>
      </x:c>
      <x:c r="Z1172" s="6" t="str"/>
      <x:c r="AA1172" s="6" t="str">
        <x:v>No / not compared</x:v>
      </x:c>
    </x:row>
    <x:row r="1173" ht="42" customHeight="1">
      <x:c r="A1173" s="6" t="str">
        <x:v>https://digitecme.com/brands/nissan-service-dubai/battery-replacement</x:v>
      </x:c>
      <x:c r="B1173" s="6" t="str">
        <x:v>nissan car battery dubai</x:v>
      </x:c>
      <x:c r="C1173" s="6" t="str">
        <x:v>nissan: Battery service</x:v>
      </x:c>
      <x:c r="D1173" s="6" t="str">
        <x:v>brand-service</x:v>
      </x:c>
      <x:c r="E1173" s="6" t="str">
        <x:v>Primary owner for assigned intent</x:v>
      </x:c>
      <x:c r="F1173" s="6" t="str">
        <x:v>Local source render; live version unverified</x:v>
      </x:c>
      <x:c r="G1173" s="6" t="str">
        <x:v>Nissan Battery Replacement Dubai | Digi-Tec</x:v>
      </x:c>
      <x:c r="H1173" s="6" t="str">
        <x:v>Nissan Battery Replacement Dubai | Digi-Tec</x:v>
      </x:c>
      <x:c r="I1173" s="6" t="str">
        <x:v>Nissan Battery Replacement Dubai</x:v>
      </x:c>
      <x:c r="J1173" s="6" t="str">
        <x:v>Nissan Battery Replacement Dubai</x:v>
      </x:c>
      <x:c r="K1173" s="6" t="str">
        <x:v>Nissan battery replacement in Dubai with model-specific inspection, confirmed parts options and a clear quote at Digi-Tec, Al Quoz.</x:v>
      </x:c>
      <x:c r="L1173" s="6" t="str">
        <x:v>Retain pending evidence; no specific content edit justified by this export.</x:v>
      </x:c>
      <x:c r="M1173" s="6" t="str">
        <x:v>Retain; inspect relevant context before adding links</x:v>
      </x:c>
      <x:c r="N1173" s="6" t="str">
        <x:v>Unconfirmed — no query/page pairing</x:v>
      </x:c>
      <x:c r="O1173" s="6" t="str">
        <x:v>Retain established booking / WhatsApp / call path; live behaviour untested</x:v>
      </x:c>
      <x:c r="P1173" s="6" t="str">
        <x:v>Retain canonical and indexation policy pending a live check.</x:v>
      </x:c>
      <x:c r="Q1173" s="6" t="str">
        <x:v>Proposed; no website change made</x:v>
      </x:c>
      <x:c r="R1173" s="14" t="n">
        <x:v>0</x:v>
      </x:c>
      <x:c r="S1173" s="14" t="n">
        <x:v>50</x:v>
      </x:c>
      <x:c r="T1173" s="15" t="n">
        <x:v>0</x:v>
      </x:c>
      <x:c r="U1173" s="16" t="n">
        <x:v>34.78</x:v>
      </x:c>
      <x:c r="V1173" s="6" t="str">
        <x:v>https://digitecme.com/brands/nissan-service-dubai/battery-replacement</x:v>
      </x:c>
      <x:c r="W1173" s="6" t="str">
        <x:v>Indexable directive</x:v>
      </x:c>
      <x:c r="X1173" s="6" t="n">
        <x:v>16</x:v>
      </x:c>
      <x:c r="Y1173" s="6" t="str">
        <x:v>Nissan Battery Replacement Dubai | Digi-Tec</x:v>
      </x:c>
      <x:c r="Z1173" s="6" t="str"/>
      <x:c r="AA1173" s="6" t="str">
        <x:v>No / not compared</x:v>
      </x:c>
    </x:row>
    <x:row r="1174" ht="42" customHeight="1">
      <x:c r="A1174" s="6" t="str">
        <x:v>https://digitecme.com/brands/nissan-service-dubai/body-repair</x:v>
      </x:c>
      <x:c r="B1174" s="6" t="str">
        <x:v>nissan body shop dubai</x:v>
      </x:c>
      <x:c r="C1174" s="6" t="str">
        <x:v>nissan: Body repair</x:v>
      </x:c>
      <x:c r="D1174" s="6" t="str">
        <x:v>brand-service</x:v>
      </x:c>
      <x:c r="E1174" s="6" t="str">
        <x:v>Primary owner for assigned intent</x:v>
      </x:c>
      <x:c r="F1174" s="6" t="str">
        <x:v>Local source render; live version unverified</x:v>
      </x:c>
      <x:c r="G1174" s="6" t="str">
        <x:v>Nissan Body Repair Dubai | Digi-Tec</x:v>
      </x:c>
      <x:c r="H1174" s="6" t="str">
        <x:v>Nissan Body Repair Dubai | Digi-Tec</x:v>
      </x:c>
      <x:c r="I1174" s="6" t="str">
        <x:v>Nissan Body Repair Dubai</x:v>
      </x:c>
      <x:c r="J1174" s="6" t="str">
        <x:v>Nissan Body Repair Dubai</x:v>
      </x:c>
      <x:c r="K1174" s="6" t="str">
        <x:v>Nissan body repair in Dubai with model-specific inspection, confirmed parts options and a clear quote at Digi-Tec, Al Quoz.</x:v>
      </x:c>
      <x:c r="L1174" s="6" t="str">
        <x:v>Retain pending evidence; no specific content edit justified by this export.</x:v>
      </x:c>
      <x:c r="M1174" s="6" t="str">
        <x:v>Retain; inspect relevant context before adding links</x:v>
      </x:c>
      <x:c r="N1174" s="6" t="str">
        <x:v>Unconfirmed — no query/page pairing</x:v>
      </x:c>
      <x:c r="O1174" s="6" t="str">
        <x:v>Retain established booking / WhatsApp / call path; live behaviour untested</x:v>
      </x:c>
      <x:c r="P1174" s="6" t="str">
        <x:v>Retain canonical and indexation policy pending a live check.</x:v>
      </x:c>
      <x:c r="Q1174" s="6" t="str">
        <x:v>Proposed; no website change made</x:v>
      </x:c>
      <x:c r="R1174" s="14" t="n">
        <x:v>0</x:v>
      </x:c>
      <x:c r="S1174" s="14" t="n">
        <x:v>108</x:v>
      </x:c>
      <x:c r="T1174" s="15" t="n">
        <x:v>0</x:v>
      </x:c>
      <x:c r="U1174" s="16" t="n">
        <x:v>10.49</x:v>
      </x:c>
      <x:c r="V1174" s="6" t="str">
        <x:v>https://digitecme.com/brands/nissan-service-dubai/body-repair</x:v>
      </x:c>
      <x:c r="W1174" s="6" t="str">
        <x:v>Indexable directive</x:v>
      </x:c>
      <x:c r="X1174" s="6" t="n">
        <x:v>16</x:v>
      </x:c>
      <x:c r="Y1174" s="6" t="str">
        <x:v>Nissan Body Repair Dubai | Digi-Tec</x:v>
      </x:c>
      <x:c r="Z1174" s="6" t="str"/>
      <x:c r="AA1174" s="6" t="str">
        <x:v>No / not compared</x:v>
      </x:c>
    </x:row>
    <x:row r="1175" ht="42" customHeight="1">
      <x:c r="A1175" s="6" t="str">
        <x:v>https://digitecme.com/brands/nissan-service-dubai/brake-repair</x:v>
      </x:c>
      <x:c r="B1175" s="6" t="str"/>
      <x:c r="C1175" s="6" t="str"/>
      <x:c r="D1175" s="6" t="str">
        <x:v>brand-service</x:v>
      </x:c>
      <x:c r="E1175" s="6" t="str">
        <x:v>Retain differentiated role</x:v>
      </x:c>
      <x:c r="F1175" s="6" t="str">
        <x:v>Local source render; live version unverified</x:v>
      </x:c>
      <x:c r="G1175" s="6" t="str">
        <x:v>Nissan Brake Repair Dubai | Digi-Tec</x:v>
      </x:c>
      <x:c r="H1175" s="6" t="str">
        <x:v>Nissan Brake Repair Dubai | Digi-Tec</x:v>
      </x:c>
      <x:c r="I1175" s="6" t="str">
        <x:v>Nissan Brake Repair Dubai</x:v>
      </x:c>
      <x:c r="J1175" s="6" t="str">
        <x:v>Nissan Brake Repair Dubai</x:v>
      </x:c>
      <x:c r="K1175" s="6" t="str">
        <x:v>Nissan brake repair in Dubai with model-specific inspection, confirmed parts options and a clear quote at Digi-Tec, Al Quoz.</x:v>
      </x:c>
      <x:c r="L1175" s="6" t="str">
        <x:v>Retain pending evidence; no specific content edit justified by this export.</x:v>
      </x:c>
      <x:c r="M1175" s="6" t="str">
        <x:v>Retain; inspect relevant context before adding links</x:v>
      </x:c>
      <x:c r="N1175" s="6" t="str">
        <x:v>Unconfirmed — no query/page pairing</x:v>
      </x:c>
      <x:c r="O1175" s="6" t="str">
        <x:v>Retain established booking / WhatsApp / call path; live behaviour untested</x:v>
      </x:c>
      <x:c r="P1175" s="6" t="str">
        <x:v>Retain canonical and indexation policy pending a live check.</x:v>
      </x:c>
      <x:c r="Q1175" s="6" t="str">
        <x:v>Proposed; no website change made</x:v>
      </x:c>
      <x:c r="R1175" s="14" t="n">
        <x:v>0</x:v>
      </x:c>
      <x:c r="S1175" s="14" t="n">
        <x:v>3</x:v>
      </x:c>
      <x:c r="T1175" s="15" t="n">
        <x:v>0</x:v>
      </x:c>
      <x:c r="U1175" s="16" t="n">
        <x:v>3.33</x:v>
      </x:c>
      <x:c r="V1175" s="6" t="str">
        <x:v>https://digitecme.com/brands/nissan-service-dubai/brake-repair</x:v>
      </x:c>
      <x:c r="W1175" s="6" t="str">
        <x:v>Indexable directive</x:v>
      </x:c>
      <x:c r="X1175" s="6" t="n">
        <x:v>16</x:v>
      </x:c>
      <x:c r="Y1175" s="6" t="str">
        <x:v>Nissan Brake Repair Dubai | Digi-Tec</x:v>
      </x:c>
      <x:c r="Z1175" s="6" t="str"/>
      <x:c r="AA1175" s="6" t="str">
        <x:v>No / not compared</x:v>
      </x:c>
    </x:row>
    <x:row r="1176" ht="42" customHeight="1">
      <x:c r="A1176" s="6" t="str">
        <x:v>https://digitecme.com/brands/nissan-service-dubai/electrical-repair</x:v>
      </x:c>
      <x:c r="B1176" s="6" t="str"/>
      <x:c r="C1176" s="6" t="str"/>
      <x:c r="D1176" s="6" t="str">
        <x:v>brand-service</x:v>
      </x:c>
      <x:c r="E1176" s="6" t="str">
        <x:v>Retain differentiated role</x:v>
      </x:c>
      <x:c r="F1176" s="6" t="str">
        <x:v>Local source render; live version unverified</x:v>
      </x:c>
      <x:c r="G1176" s="6" t="str">
        <x:v>Nissan Electrical Repair Dubai | Digi-Tec</x:v>
      </x:c>
      <x:c r="H1176" s="6" t="str">
        <x:v>Nissan Electrical Repair Dubai | Digi-Tec</x:v>
      </x:c>
      <x:c r="I1176" s="6" t="str">
        <x:v>Nissan Electrical Repair Dubai</x:v>
      </x:c>
      <x:c r="J1176" s="6" t="str">
        <x:v>Nissan Electrical Repair Dubai</x:v>
      </x:c>
      <x:c r="K1176" s="6" t="str">
        <x:v>Nissan electrical repair in Dubai with model-specific inspection, confirmed parts options and a clear quote at Digi-Tec, Al Quoz.</x:v>
      </x:c>
      <x:c r="L1176" s="6" t="str">
        <x:v>Retain pending evidence; no specific content edit justified by this export.</x:v>
      </x:c>
      <x:c r="M1176" s="6" t="str">
        <x:v>Retain; inspect relevant context before adding links</x:v>
      </x:c>
      <x:c r="N1176" s="6" t="str">
        <x:v>Unconfirmed — no query/page pairing</x:v>
      </x:c>
      <x:c r="O1176" s="6" t="str">
        <x:v>Retain established booking / WhatsApp / call path; live behaviour untested</x:v>
      </x:c>
      <x:c r="P1176" s="6" t="str">
        <x:v>Retain canonical and indexation policy pending a live check.</x:v>
      </x:c>
      <x:c r="Q1176" s="6" t="str">
        <x:v>Proposed; no website change made</x:v>
      </x:c>
      <x:c r="R1176" s="14" t="n">
        <x:v>1</x:v>
      </x:c>
      <x:c r="S1176" s="14" t="n">
        <x:v>9</x:v>
      </x:c>
      <x:c r="T1176" s="15" t="n">
        <x:v>0.11109999999999999</x:v>
      </x:c>
      <x:c r="U1176" s="16" t="n">
        <x:v>7.22</x:v>
      </x:c>
      <x:c r="V1176" s="6" t="str">
        <x:v>https://digitecme.com/brands/nissan-service-dubai/electrical-repair</x:v>
      </x:c>
      <x:c r="W1176" s="6" t="str">
        <x:v>Indexable directive</x:v>
      </x:c>
      <x:c r="X1176" s="6" t="n">
        <x:v>16</x:v>
      </x:c>
      <x:c r="Y1176" s="6" t="str">
        <x:v>Nissan Electrical Repair Dubai | Digi-Tec</x:v>
      </x:c>
      <x:c r="Z1176" s="6" t="str"/>
      <x:c r="AA1176" s="6" t="str">
        <x:v>No / not compared</x:v>
      </x:c>
    </x:row>
    <x:row r="1177" ht="42" customHeight="1">
      <x:c r="A1177" s="6" t="str">
        <x:v>https://digitecme.com/brands/nissan-service-dubai/engine-diagnostics</x:v>
      </x:c>
      <x:c r="B1177" s="6" t="str"/>
      <x:c r="C1177" s="6" t="str"/>
      <x:c r="D1177" s="6" t="str">
        <x:v>brand-service</x:v>
      </x:c>
      <x:c r="E1177" s="6" t="str">
        <x:v>Retain differentiated role</x:v>
      </x:c>
      <x:c r="F1177" s="6" t="str">
        <x:v>Local source render; live version unverified</x:v>
      </x:c>
      <x:c r="G1177" s="6" t="str">
        <x:v>Nissan Engine Diagnostics Dubai | Digi-Tec</x:v>
      </x:c>
      <x:c r="H1177" s="6" t="str">
        <x:v>Nissan Engine Diagnostics Dubai | Digi-Tec</x:v>
      </x:c>
      <x:c r="I1177" s="6" t="str">
        <x:v>Nissan Engine Diagnostics Dubai</x:v>
      </x:c>
      <x:c r="J1177" s="6" t="str">
        <x:v>Nissan Engine Diagnostics Dubai</x:v>
      </x:c>
      <x:c r="K1177" s="6" t="str">
        <x:v>Nissan engine diagnostics in Dubai with model-specific inspection, confirmed parts options and a clear quote at Digi-Tec, Al Quoz.</x:v>
      </x:c>
      <x:c r="L1177" s="6" t="str">
        <x:v>Retain pending evidence; no specific content edit justified by this export.</x:v>
      </x:c>
      <x:c r="M1177" s="6" t="str">
        <x:v>Retain; inspect relevant context before adding links</x:v>
      </x:c>
      <x:c r="N1177" s="6" t="str">
        <x:v>Unconfirmed — no query/page pairing</x:v>
      </x:c>
      <x:c r="O1177" s="6" t="str">
        <x:v>Retain established booking / WhatsApp / call path; live behaviour untested</x:v>
      </x:c>
      <x:c r="P1177" s="6" t="str">
        <x:v>Retain canonical and indexation policy pending a live check.</x:v>
      </x:c>
      <x:c r="Q1177" s="6" t="str">
        <x:v>Proposed; no website change made</x:v>
      </x:c>
      <x:c r="R1177" s="14" t="n">
        <x:v>0</x:v>
      </x:c>
      <x:c r="S1177" s="14" t="n">
        <x:v>5</x:v>
      </x:c>
      <x:c r="T1177" s="15" t="n">
        <x:v>0</x:v>
      </x:c>
      <x:c r="U1177" s="16" t="n">
        <x:v>15.2</x:v>
      </x:c>
      <x:c r="V1177" s="6" t="str">
        <x:v>https://digitecme.com/brands/nissan-service-dubai/engine-diagnostics</x:v>
      </x:c>
      <x:c r="W1177" s="6" t="str">
        <x:v>Indexable directive</x:v>
      </x:c>
      <x:c r="X1177" s="6" t="n">
        <x:v>16</x:v>
      </x:c>
      <x:c r="Y1177" s="6" t="str">
        <x:v>Nissan Engine Diagnostics Dubai | Digi-Tec</x:v>
      </x:c>
      <x:c r="Z1177" s="6" t="str"/>
      <x:c r="AA1177" s="6" t="str">
        <x:v>No / not compared</x:v>
      </x:c>
    </x:row>
    <x:row r="1178" ht="42" customHeight="1">
      <x:c r="A1178" s="6" t="str">
        <x:v>https://digitecme.com/brands/nissan-service-dubai/exhaust-repair</x:v>
      </x:c>
      <x:c r="B1178" s="6" t="str"/>
      <x:c r="C1178" s="6" t="str"/>
      <x:c r="D1178" s="6" t="str">
        <x:v>brand-service</x:v>
      </x:c>
      <x:c r="E1178" s="6" t="str">
        <x:v>Retain differentiated role</x:v>
      </x:c>
      <x:c r="F1178" s="6" t="str">
        <x:v>Local source render; live version unverified</x:v>
      </x:c>
      <x:c r="G1178" s="6" t="str">
        <x:v>Nissan Exhaust Repair Dubai | Digi-Tec</x:v>
      </x:c>
      <x:c r="H1178" s="6" t="str">
        <x:v>Nissan Exhaust Repair Dubai | Digi-Tec</x:v>
      </x:c>
      <x:c r="I1178" s="6" t="str">
        <x:v>Nissan Exhaust Repair Dubai</x:v>
      </x:c>
      <x:c r="J1178" s="6" t="str">
        <x:v>Nissan Exhaust Repair Dubai</x:v>
      </x:c>
      <x:c r="K1178" s="6" t="str">
        <x:v>Nissan exhaust repair in Dubai with model-specific inspection, confirmed parts options and a clear quote at Digi-Tec, Al Quoz.</x:v>
      </x:c>
      <x:c r="L1178" s="6" t="str">
        <x:v>Retain pending evidence; no specific content edit justified by this export.</x:v>
      </x:c>
      <x:c r="M1178" s="6" t="str">
        <x:v>Retain; inspect relevant context before adding links</x:v>
      </x:c>
      <x:c r="N1178" s="6" t="str">
        <x:v>Unconfirmed — no query/page pairing</x:v>
      </x:c>
      <x:c r="O1178" s="6" t="str">
        <x:v>Retain established booking / WhatsApp / call path; live behaviour untested</x:v>
      </x:c>
      <x:c r="P1178" s="6" t="str">
        <x:v>Retain canonical and indexation policy pending a live check.</x:v>
      </x:c>
      <x:c r="Q1178" s="6" t="str">
        <x:v>Proposed; no website change made</x:v>
      </x:c>
      <x:c r="R1178" s="14"/>
      <x:c r="S1178" s="14"/>
      <x:c r="T1178" s="15"/>
      <x:c r="U1178" s="16"/>
      <x:c r="V1178" s="6" t="str">
        <x:v>https://digitecme.com/brands/nissan-service-dubai/exhaust-repair</x:v>
      </x:c>
      <x:c r="W1178" s="6" t="str">
        <x:v>Indexable directive</x:v>
      </x:c>
      <x:c r="X1178" s="6" t="n">
        <x:v>16</x:v>
      </x:c>
      <x:c r="Y1178" s="6" t="str">
        <x:v>Nissan Exhaust Repair Dubai | Digi-Tec</x:v>
      </x:c>
      <x:c r="Z1178" s="6" t="str"/>
      <x:c r="AA1178" s="6" t="str">
        <x:v>No / not compared</x:v>
      </x:c>
    </x:row>
    <x:row r="1179" ht="42" customHeight="1">
      <x:c r="A1179" s="6" t="str">
        <x:v>https://digitecme.com/brands/nissan-service-dubai/fuel-system-repair</x:v>
      </x:c>
      <x:c r="B1179" s="6" t="str"/>
      <x:c r="C1179" s="6" t="str"/>
      <x:c r="D1179" s="6" t="str">
        <x:v>brand-service</x:v>
      </x:c>
      <x:c r="E1179" s="6" t="str">
        <x:v>Retain differentiated role</x:v>
      </x:c>
      <x:c r="F1179" s="6" t="str">
        <x:v>Local source render; live version unverified</x:v>
      </x:c>
      <x:c r="G1179" s="6" t="str">
        <x:v>Nissan Fuel System Repair Dubai | Digi-Tec</x:v>
      </x:c>
      <x:c r="H1179" s="6" t="str">
        <x:v>Nissan Fuel System Repair Dubai | Digi-Tec</x:v>
      </x:c>
      <x:c r="I1179" s="6" t="str">
        <x:v>Nissan Fuel System Repair Dubai</x:v>
      </x:c>
      <x:c r="J1179" s="6" t="str">
        <x:v>Nissan Fuel System Repair Dubai</x:v>
      </x:c>
      <x:c r="K1179" s="6" t="str">
        <x:v>Nissan fuel system repair in Dubai with model-specific inspection, confirmed parts options and a clear quote at Digi-Tec, Al Quoz.</x:v>
      </x:c>
      <x:c r="L1179" s="6" t="str">
        <x:v>Retain pending evidence; no specific content edit justified by this export.</x:v>
      </x:c>
      <x:c r="M1179" s="6" t="str">
        <x:v>Retain; inspect relevant context before adding links</x:v>
      </x:c>
      <x:c r="N1179" s="6" t="str">
        <x:v>Unconfirmed — no query/page pairing</x:v>
      </x:c>
      <x:c r="O1179" s="6" t="str">
        <x:v>Retain established booking / WhatsApp / call path; live behaviour untested</x:v>
      </x:c>
      <x:c r="P1179" s="6" t="str">
        <x:v>Retain canonical and indexation policy pending a live check.</x:v>
      </x:c>
      <x:c r="Q1179" s="6" t="str">
        <x:v>Proposed; no website change made</x:v>
      </x:c>
      <x:c r="R1179" s="14" t="n">
        <x:v>0</x:v>
      </x:c>
      <x:c r="S1179" s="14" t="n">
        <x:v>4</x:v>
      </x:c>
      <x:c r="T1179" s="15" t="n">
        <x:v>0</x:v>
      </x:c>
      <x:c r="U1179" s="16" t="n">
        <x:v>9.75</x:v>
      </x:c>
      <x:c r="V1179" s="6" t="str">
        <x:v>https://digitecme.com/brands/nissan-service-dubai/fuel-system-repair</x:v>
      </x:c>
      <x:c r="W1179" s="6" t="str">
        <x:v>Indexable directive</x:v>
      </x:c>
      <x:c r="X1179" s="6" t="n">
        <x:v>16</x:v>
      </x:c>
      <x:c r="Y1179" s="6" t="str">
        <x:v>Nissan Fuel System Repair Dubai | Digi-Tec</x:v>
      </x:c>
      <x:c r="Z1179" s="6" t="str"/>
      <x:c r="AA1179" s="6" t="str">
        <x:v>No / not compared</x:v>
      </x:c>
    </x:row>
    <x:row r="1180" ht="42" customHeight="1">
      <x:c r="A1180" s="6" t="str">
        <x:v>https://digitecme.com/brands/nissan-service-dubai/mechanical-repair</x:v>
      </x:c>
      <x:c r="B1180" s="6" t="str"/>
      <x:c r="C1180" s="6" t="str"/>
      <x:c r="D1180" s="6" t="str">
        <x:v>brand-service</x:v>
      </x:c>
      <x:c r="E1180" s="6" t="str">
        <x:v>Retain differentiated role</x:v>
      </x:c>
      <x:c r="F1180" s="6" t="str">
        <x:v>Local source render; live version unverified</x:v>
      </x:c>
      <x:c r="G1180" s="6" t="str">
        <x:v>Nissan Mechanical Repair Dubai | Digi-Tec</x:v>
      </x:c>
      <x:c r="H1180" s="6" t="str">
        <x:v>Nissan Mechanical Repair Dubai | Digi-Tec</x:v>
      </x:c>
      <x:c r="I1180" s="6" t="str">
        <x:v>Nissan Mechanical Repair Dubai</x:v>
      </x:c>
      <x:c r="J1180" s="6" t="str">
        <x:v>Nissan Mechanical Repair Dubai</x:v>
      </x:c>
      <x:c r="K1180" s="6" t="str">
        <x:v>Nissan mechanical repair in Dubai with model-specific inspection, confirmed parts options and a clear quote at Digi-Tec, Al Quoz.</x:v>
      </x:c>
      <x:c r="L1180" s="6" t="str">
        <x:v>Retain pending evidence; no specific content edit justified by this export.</x:v>
      </x:c>
      <x:c r="M1180" s="6" t="str">
        <x:v>Retain; inspect relevant context before adding links</x:v>
      </x:c>
      <x:c r="N1180" s="6" t="str">
        <x:v>Unconfirmed — no query/page pairing</x:v>
      </x:c>
      <x:c r="O1180" s="6" t="str">
        <x:v>Retain established booking / WhatsApp / call path; live behaviour untested</x:v>
      </x:c>
      <x:c r="P1180" s="6" t="str">
        <x:v>Retain canonical and indexation policy pending a live check.</x:v>
      </x:c>
      <x:c r="Q1180" s="6" t="str">
        <x:v>Proposed; no website change made</x:v>
      </x:c>
      <x:c r="R1180" s="14" t="n">
        <x:v>0</x:v>
      </x:c>
      <x:c r="S1180" s="14" t="n">
        <x:v>38</x:v>
      </x:c>
      <x:c r="T1180" s="15" t="n">
        <x:v>0</x:v>
      </x:c>
      <x:c r="U1180" s="16" t="n">
        <x:v>72.68</x:v>
      </x:c>
      <x:c r="V1180" s="6" t="str">
        <x:v>https://digitecme.com/brands/nissan-service-dubai/mechanical-repair</x:v>
      </x:c>
      <x:c r="W1180" s="6" t="str">
        <x:v>Indexable directive</x:v>
      </x:c>
      <x:c r="X1180" s="6" t="n">
        <x:v>16</x:v>
      </x:c>
      <x:c r="Y1180" s="6" t="str">
        <x:v>Nissan Mechanical Repair Dubai | Digi-Tec</x:v>
      </x:c>
      <x:c r="Z1180" s="6" t="str"/>
      <x:c r="AA1180" s="6" t="str">
        <x:v>No / not compared</x:v>
      </x:c>
    </x:row>
    <x:row r="1181" ht="42" customHeight="1">
      <x:c r="A1181" s="6" t="str">
        <x:v>https://digitecme.com/brands/nissan-service-dubai/oil-change</x:v>
      </x:c>
      <x:c r="B1181" s="6" t="str"/>
      <x:c r="C1181" s="6" t="str"/>
      <x:c r="D1181" s="6" t="str">
        <x:v>brand-service</x:v>
      </x:c>
      <x:c r="E1181" s="6" t="str">
        <x:v>Retain differentiated role</x:v>
      </x:c>
      <x:c r="F1181" s="6" t="str">
        <x:v>Local source render; live version unverified</x:v>
      </x:c>
      <x:c r="G1181" s="6" t="str">
        <x:v>Nissan Oil Change Dubai | Digi-Tec</x:v>
      </x:c>
      <x:c r="H1181" s="6" t="str">
        <x:v>Nissan Oil Change Dubai | Digi-Tec</x:v>
      </x:c>
      <x:c r="I1181" s="6" t="str">
        <x:v>Nissan Oil Change Dubai</x:v>
      </x:c>
      <x:c r="J1181" s="6" t="str">
        <x:v>Nissan Oil Change Dubai</x:v>
      </x:c>
      <x:c r="K1181" s="6" t="str">
        <x:v>Nissan oil change in Dubai with model-specific inspection, confirmed parts options and a clear quote at Digi-Tec, Al Quoz.</x:v>
      </x:c>
      <x:c r="L1181" s="6" t="str">
        <x:v>Retain pending evidence; no specific content edit justified by this export.</x:v>
      </x:c>
      <x:c r="M1181" s="6" t="str">
        <x:v>Retain; inspect relevant context before adding links</x:v>
      </x:c>
      <x:c r="N1181" s="6" t="str">
        <x:v>Unconfirmed — no query/page pairing</x:v>
      </x:c>
      <x:c r="O1181" s="6" t="str">
        <x:v>Retain established booking / WhatsApp / call path; live behaviour untested</x:v>
      </x:c>
      <x:c r="P1181" s="6" t="str">
        <x:v>Retain canonical and indexation policy pending a live check.</x:v>
      </x:c>
      <x:c r="Q1181" s="6" t="str">
        <x:v>Proposed; no website change made</x:v>
      </x:c>
      <x:c r="R1181" s="14" t="n">
        <x:v>0</x:v>
      </x:c>
      <x:c r="S1181" s="14" t="n">
        <x:v>7</x:v>
      </x:c>
      <x:c r="T1181" s="15" t="n">
        <x:v>0</x:v>
      </x:c>
      <x:c r="U1181" s="16" t="n">
        <x:v>12</x:v>
      </x:c>
      <x:c r="V1181" s="6" t="str">
        <x:v>https://digitecme.com/brands/nissan-service-dubai/oil-change</x:v>
      </x:c>
      <x:c r="W1181" s="6" t="str">
        <x:v>Indexable directive</x:v>
      </x:c>
      <x:c r="X1181" s="6" t="n">
        <x:v>16</x:v>
      </x:c>
      <x:c r="Y1181" s="6" t="str">
        <x:v>Nissan Oil Change Dubai | Digi-Tec</x:v>
      </x:c>
      <x:c r="Z1181" s="6" t="str"/>
      <x:c r="AA1181" s="6" t="str">
        <x:v>No / not compared</x:v>
      </x:c>
    </x:row>
    <x:row r="1182" ht="42" customHeight="1">
      <x:c r="A1182" s="6" t="str">
        <x:v>https://digitecme.com/brands/nissan-service-dubai/steering-repair</x:v>
      </x:c>
      <x:c r="B1182" s="6" t="str"/>
      <x:c r="C1182" s="6" t="str"/>
      <x:c r="D1182" s="6" t="str">
        <x:v>brand-service</x:v>
      </x:c>
      <x:c r="E1182" s="6" t="str">
        <x:v>Retain differentiated role</x:v>
      </x:c>
      <x:c r="F1182" s="6" t="str">
        <x:v>Local source render; live version unverified</x:v>
      </x:c>
      <x:c r="G1182" s="6" t="str">
        <x:v>Nissan Steering Repair Dubai | Digi-Tec</x:v>
      </x:c>
      <x:c r="H1182" s="6" t="str">
        <x:v>Nissan Steering Repair Dubai | Digi-Tec</x:v>
      </x:c>
      <x:c r="I1182" s="6" t="str">
        <x:v>Nissan Steering Repair Dubai</x:v>
      </x:c>
      <x:c r="J1182" s="6" t="str">
        <x:v>Nissan Steering Repair Dubai</x:v>
      </x:c>
      <x:c r="K1182" s="6" t="str">
        <x:v>Nissan steering repair in Dubai with model-specific inspection, confirmed parts options and a clear quote at Digi-Tec, Al Quoz.</x:v>
      </x:c>
      <x:c r="L1182" s="6" t="str">
        <x:v>Retain pending evidence; no specific content edit justified by this export.</x:v>
      </x:c>
      <x:c r="M1182" s="6" t="str">
        <x:v>Retain; inspect relevant context before adding links</x:v>
      </x:c>
      <x:c r="N1182" s="6" t="str">
        <x:v>Unconfirmed — no query/page pairing</x:v>
      </x:c>
      <x:c r="O1182" s="6" t="str">
        <x:v>Retain established booking / WhatsApp / call path; live behaviour untested</x:v>
      </x:c>
      <x:c r="P1182" s="6" t="str">
        <x:v>Retain canonical and indexation policy pending a live check.</x:v>
      </x:c>
      <x:c r="Q1182" s="6" t="str">
        <x:v>Proposed; no website change made</x:v>
      </x:c>
      <x:c r="R1182" s="14" t="n">
        <x:v>0</x:v>
      </x:c>
      <x:c r="S1182" s="14" t="n">
        <x:v>5</x:v>
      </x:c>
      <x:c r="T1182" s="15" t="n">
        <x:v>0</x:v>
      </x:c>
      <x:c r="U1182" s="16" t="n">
        <x:v>6.6</x:v>
      </x:c>
      <x:c r="V1182" s="6" t="str">
        <x:v>https://digitecme.com/brands/nissan-service-dubai/steering-repair</x:v>
      </x:c>
      <x:c r="W1182" s="6" t="str">
        <x:v>Indexable directive</x:v>
      </x:c>
      <x:c r="X1182" s="6" t="n">
        <x:v>16</x:v>
      </x:c>
      <x:c r="Y1182" s="6" t="str">
        <x:v>Nissan Steering Repair Dubai | Digi-Tec</x:v>
      </x:c>
      <x:c r="Z1182" s="6" t="str"/>
      <x:c r="AA1182" s="6" t="str">
        <x:v>No / not compared</x:v>
      </x:c>
    </x:row>
    <x:row r="1183" ht="42" customHeight="1">
      <x:c r="A1183" s="6" t="str">
        <x:v>https://digitecme.com/brands/nissan-service-dubai/suspension-repair</x:v>
      </x:c>
      <x:c r="B1183" s="6" t="str"/>
      <x:c r="C1183" s="6" t="str"/>
      <x:c r="D1183" s="6" t="str">
        <x:v>brand-service</x:v>
      </x:c>
      <x:c r="E1183" s="6" t="str">
        <x:v>Retain differentiated role</x:v>
      </x:c>
      <x:c r="F1183" s="6" t="str">
        <x:v>Local source render; live version unverified</x:v>
      </x:c>
      <x:c r="G1183" s="6" t="str">
        <x:v>Nissan Suspension Repair Dubai | Digi-Tec</x:v>
      </x:c>
      <x:c r="H1183" s="6" t="str">
        <x:v>Nissan Suspension Repair Dubai | Digi-Tec</x:v>
      </x:c>
      <x:c r="I1183" s="6" t="str">
        <x:v>Nissan Suspension Repair Dubai</x:v>
      </x:c>
      <x:c r="J1183" s="6" t="str">
        <x:v>Nissan Suspension Repair Dubai</x:v>
      </x:c>
      <x:c r="K1183" s="6" t="str">
        <x:v>Nissan suspension repair in Dubai with model-specific inspection, confirmed parts options and a clear quote at Digi-Tec, Al Quoz.</x:v>
      </x:c>
      <x:c r="L1183" s="6" t="str">
        <x:v>Retain pending evidence; no specific content edit justified by this export.</x:v>
      </x:c>
      <x:c r="M1183" s="6" t="str">
        <x:v>Retain; inspect relevant context before adding links</x:v>
      </x:c>
      <x:c r="N1183" s="6" t="str">
        <x:v>Unconfirmed — no query/page pairing</x:v>
      </x:c>
      <x:c r="O1183" s="6" t="str">
        <x:v>Retain established booking / WhatsApp / call path; live behaviour untested</x:v>
      </x:c>
      <x:c r="P1183" s="6" t="str">
        <x:v>Retain canonical and indexation policy pending a live check.</x:v>
      </x:c>
      <x:c r="Q1183" s="6" t="str">
        <x:v>Proposed; no website change made</x:v>
      </x:c>
      <x:c r="R1183" s="14" t="n">
        <x:v>0</x:v>
      </x:c>
      <x:c r="S1183" s="14" t="n">
        <x:v>1</x:v>
      </x:c>
      <x:c r="T1183" s="15" t="n">
        <x:v>0</x:v>
      </x:c>
      <x:c r="U1183" s="16" t="n">
        <x:v>2</x:v>
      </x:c>
      <x:c r="V1183" s="6" t="str">
        <x:v>https://digitecme.com/brands/nissan-service-dubai/suspension-repair</x:v>
      </x:c>
      <x:c r="W1183" s="6" t="str">
        <x:v>Indexable directive</x:v>
      </x:c>
      <x:c r="X1183" s="6" t="n">
        <x:v>16</x:v>
      </x:c>
      <x:c r="Y1183" s="6" t="str">
        <x:v>Nissan Suspension Repair Dubai | Digi-Tec</x:v>
      </x:c>
      <x:c r="Z1183" s="6" t="str"/>
      <x:c r="AA1183" s="6" t="str">
        <x:v>No / not compared</x:v>
      </x:c>
    </x:row>
    <x:row r="1184" ht="42" customHeight="1">
      <x:c r="A1184" s="6" t="str">
        <x:v>https://digitecme.com/brands/nissan-service-dubai/tire-repair</x:v>
      </x:c>
      <x:c r="B1184" s="6" t="str"/>
      <x:c r="C1184" s="6" t="str"/>
      <x:c r="D1184" s="6" t="str">
        <x:v>brand-service</x:v>
      </x:c>
      <x:c r="E1184" s="6" t="str">
        <x:v>Retain differentiated role</x:v>
      </x:c>
      <x:c r="F1184" s="6" t="str">
        <x:v>Local source render; live version unverified</x:v>
      </x:c>
      <x:c r="G1184" s="6" t="str">
        <x:v>Nissan Tyre Repair Dubai | Digi-Tec</x:v>
      </x:c>
      <x:c r="H1184" s="6" t="str">
        <x:v>Nissan Tyre Repair Dubai | Digi-Tec</x:v>
      </x:c>
      <x:c r="I1184" s="6" t="str">
        <x:v>Nissan Tyre Repair Dubai</x:v>
      </x:c>
      <x:c r="J1184" s="6" t="str">
        <x:v>Nissan Tyre Repair Dubai</x:v>
      </x:c>
      <x:c r="K1184" s="6" t="str">
        <x:v>Nissan tyre repair in Dubai with model-specific inspection, confirmed parts options and a clear quote at Digi-Tec, Al Quoz.</x:v>
      </x:c>
      <x:c r="L1184" s="6" t="str">
        <x:v>Retain pending evidence; no specific content edit justified by this export.</x:v>
      </x:c>
      <x:c r="M1184" s="6" t="str">
        <x:v>Retain; inspect relevant context before adding links</x:v>
      </x:c>
      <x:c r="N1184" s="6" t="str">
        <x:v>Unconfirmed — no query/page pairing</x:v>
      </x:c>
      <x:c r="O1184" s="6" t="str">
        <x:v>Retain established booking / WhatsApp / call path; live behaviour untested</x:v>
      </x:c>
      <x:c r="P1184" s="6" t="str">
        <x:v>Retain canonical and indexation policy pending a live check.</x:v>
      </x:c>
      <x:c r="Q1184" s="6" t="str">
        <x:v>Proposed; no website change made</x:v>
      </x:c>
      <x:c r="R1184" s="14" t="n">
        <x:v>0</x:v>
      </x:c>
      <x:c r="S1184" s="14" t="n">
        <x:v>3</x:v>
      </x:c>
      <x:c r="T1184" s="15" t="n">
        <x:v>0</x:v>
      </x:c>
      <x:c r="U1184" s="16" t="n">
        <x:v>8</x:v>
      </x:c>
      <x:c r="V1184" s="6" t="str">
        <x:v>https://digitecme.com/brands/nissan-service-dubai/tire-repair</x:v>
      </x:c>
      <x:c r="W1184" s="6" t="str">
        <x:v>Indexable directive</x:v>
      </x:c>
      <x:c r="X1184" s="6" t="n">
        <x:v>16</x:v>
      </x:c>
      <x:c r="Y1184" s="6" t="str">
        <x:v>Nissan Tyre Repair Dubai | Digi-Tec</x:v>
      </x:c>
      <x:c r="Z1184" s="6" t="str"/>
      <x:c r="AA1184" s="6" t="str">
        <x:v>No / not compared</x:v>
      </x:c>
    </x:row>
    <x:row r="1185" ht="42" customHeight="1">
      <x:c r="A1185" s="6" t="str">
        <x:v>https://digitecme.com/brands/nissan-service-dubai/transmission-repair</x:v>
      </x:c>
      <x:c r="B1185" s="6" t="str"/>
      <x:c r="C1185" s="6" t="str"/>
      <x:c r="D1185" s="6" t="str">
        <x:v>brand-service</x:v>
      </x:c>
      <x:c r="E1185" s="6" t="str">
        <x:v>Retain differentiated role</x:v>
      </x:c>
      <x:c r="F1185" s="6" t="str">
        <x:v>Local source render; live version unverified</x:v>
      </x:c>
      <x:c r="G1185" s="6" t="str">
        <x:v>Nissan Transmission Repair Dubai | Digi-Tec</x:v>
      </x:c>
      <x:c r="H1185" s="6" t="str">
        <x:v>Nissan Transmission Repair Dubai | Digi-Tec</x:v>
      </x:c>
      <x:c r="I1185" s="6" t="str">
        <x:v>Nissan Transmission Repair Dubai</x:v>
      </x:c>
      <x:c r="J1185" s="6" t="str">
        <x:v>Nissan Transmission Repair Dubai</x:v>
      </x:c>
      <x:c r="K1185" s="6" t="str">
        <x:v>Nissan transmission repair in Dubai with model-specific inspection, confirmed parts options and a clear quote at Digi-Tec, Al Quoz.</x:v>
      </x:c>
      <x:c r="L1185" s="6" t="str">
        <x:v>Retain pending evidence; no specific content edit justified by this export.</x:v>
      </x:c>
      <x:c r="M1185" s="6" t="str">
        <x:v>Retain; inspect relevant context before adding links</x:v>
      </x:c>
      <x:c r="N1185" s="6" t="str">
        <x:v>Unconfirmed — no query/page pairing</x:v>
      </x:c>
      <x:c r="O1185" s="6" t="str">
        <x:v>Retain established booking / WhatsApp / call path; live behaviour untested</x:v>
      </x:c>
      <x:c r="P1185" s="6" t="str">
        <x:v>Retain canonical and indexation policy pending a live check.</x:v>
      </x:c>
      <x:c r="Q1185" s="6" t="str">
        <x:v>Proposed; no website change made</x:v>
      </x:c>
      <x:c r="R1185" s="14" t="n">
        <x:v>0</x:v>
      </x:c>
      <x:c r="S1185" s="14" t="n">
        <x:v>4</x:v>
      </x:c>
      <x:c r="T1185" s="15" t="n">
        <x:v>0</x:v>
      </x:c>
      <x:c r="U1185" s="16" t="n">
        <x:v>15.25</x:v>
      </x:c>
      <x:c r="V1185" s="6" t="str">
        <x:v>https://digitecme.com/brands/nissan-service-dubai/transmission-repair</x:v>
      </x:c>
      <x:c r="W1185" s="6" t="str">
        <x:v>Indexable directive</x:v>
      </x:c>
      <x:c r="X1185" s="6" t="n">
        <x:v>16</x:v>
      </x:c>
      <x:c r="Y1185" s="6" t="str">
        <x:v>Nissan Transmission Repair Dubai | Digi-Tec</x:v>
      </x:c>
      <x:c r="Z1185" s="6" t="str"/>
      <x:c r="AA1185" s="6" t="str">
        <x:v>No / not compared</x:v>
      </x:c>
    </x:row>
    <x:row r="1186" ht="42" customHeight="1">
      <x:c r="A1186" s="6" t="str">
        <x:v>https://digitecme.com/brands/pagani-service-dubai</x:v>
      </x:c>
      <x:c r="B1186" s="6" t="str">
        <x:v>pagani repair dubai</x:v>
      </x:c>
      <x:c r="C1186" s="6" t="str">
        <x:v>pagani: Service and repair</x:v>
      </x:c>
      <x:c r="D1186" s="6" t="str">
        <x:v>brand</x:v>
      </x:c>
      <x:c r="E1186" s="6" t="str">
        <x:v>Primary owner for assigned intent</x:v>
      </x:c>
      <x:c r="F1186" s="6" t="str">
        <x:v>Local source render; live version unverified</x:v>
      </x:c>
      <x:c r="G1186" s="6" t="str">
        <x:v>Pagani Repair Dubai | Digi-Tec</x:v>
      </x:c>
      <x:c r="H1186" s="6" t="str">
        <x:v>Pagani Repair Dubai | Digi-Tec</x:v>
      </x:c>
      <x:c r="I1186" s="6" t="str">
        <x:v>Pagani Repair &amp; Service Dubai</x:v>
      </x:c>
      <x:c r="J1186" s="6" t="str">
        <x:v>Pagani Repair &amp; Service Dubai</x:v>
      </x:c>
      <x:c r="K1186" s="6" t="str">
        <x:v>Specialist Pagani repair and service in Dubai: diagnostics, maintenance, brakes, transmission, suspension and AC at Digi-Tec, Al Quoz.</x:v>
      </x:c>
      <x:c r="L1186" s="6" t="str">
        <x:v>Retain pending evidence; no specific content edit justified by this export.</x:v>
      </x:c>
      <x:c r="M1186" s="6" t="str">
        <x:v>Retain; inspect relevant context before adding links</x:v>
      </x:c>
      <x:c r="N1186" s="6" t="str">
        <x:v>Unconfirmed — no query/page pairing</x:v>
      </x:c>
      <x:c r="O1186" s="6" t="str">
        <x:v>Retain established booking / WhatsApp / call path; live behaviour untested</x:v>
      </x:c>
      <x:c r="P1186" s="6" t="str">
        <x:v>Retain canonical and indexation policy pending a live check.</x:v>
      </x:c>
      <x:c r="Q1186" s="6" t="str">
        <x:v>Proposed; no website change made</x:v>
      </x:c>
      <x:c r="R1186" s="14"/>
      <x:c r="S1186" s="14"/>
      <x:c r="T1186" s="15"/>
      <x:c r="U1186" s="16"/>
      <x:c r="V1186" s="6" t="str">
        <x:v>https://digitecme.com/brands/pagani-service-dubai</x:v>
      </x:c>
      <x:c r="W1186" s="6" t="str">
        <x:v>Indexable directive</x:v>
      </x:c>
      <x:c r="X1186" s="6" t="n">
        <x:v>36</x:v>
      </x:c>
      <x:c r="Y1186" s="6" t="str">
        <x:v>Pagani Repair Dubai | Digi-Tec</x:v>
      </x:c>
      <x:c r="Z1186" s="6" t="str"/>
      <x:c r="AA1186" s="6" t="str">
        <x:v>No / not compared</x:v>
      </x:c>
    </x:row>
    <x:row r="1187" ht="42" customHeight="1">
      <x:c r="A1187" s="6" t="str">
        <x:v>https://digitecme.com/brands/pagani-service-dubai/ac-repair</x:v>
      </x:c>
      <x:c r="B1187" s="6" t="str"/>
      <x:c r="C1187" s="6" t="str"/>
      <x:c r="D1187" s="6" t="str">
        <x:v>brand-service</x:v>
      </x:c>
      <x:c r="E1187" s="6" t="str">
        <x:v>Retain differentiated role</x:v>
      </x:c>
      <x:c r="F1187" s="6" t="str">
        <x:v>Local source render; live version unverified</x:v>
      </x:c>
      <x:c r="G1187" s="6" t="str">
        <x:v>Pagani AC Repair Dubai | Digi-Tec</x:v>
      </x:c>
      <x:c r="H1187" s="6" t="str">
        <x:v>Pagani AC Repair Dubai | Digi-Tec</x:v>
      </x:c>
      <x:c r="I1187" s="6" t="str">
        <x:v>Pagani AC Repair Dubai</x:v>
      </x:c>
      <x:c r="J1187" s="6" t="str">
        <x:v>Pagani AC Repair Dubai</x:v>
      </x:c>
      <x:c r="K1187" s="6" t="str">
        <x:v>Pagani ac repair in Dubai with model-specific inspection, confirmed parts options and a clear quote at Digi-Tec, Al Quoz.</x:v>
      </x:c>
      <x:c r="L1187" s="6" t="str">
        <x:v>Retain pending evidence; no specific content edit justified by this export.</x:v>
      </x:c>
      <x:c r="M1187" s="6" t="str">
        <x:v>Retain; inspect relevant context before adding links</x:v>
      </x:c>
      <x:c r="N1187" s="6" t="str">
        <x:v>Unconfirmed — no query/page pairing</x:v>
      </x:c>
      <x:c r="O1187" s="6" t="str">
        <x:v>Retain established booking / WhatsApp / call path; live behaviour untested</x:v>
      </x:c>
      <x:c r="P1187" s="6" t="str">
        <x:v>Retain canonical and indexation policy pending a live check.</x:v>
      </x:c>
      <x:c r="Q1187" s="6" t="str">
        <x:v>Proposed; no website change made</x:v>
      </x:c>
      <x:c r="R1187" s="14" t="n">
        <x:v>0</x:v>
      </x:c>
      <x:c r="S1187" s="14" t="n">
        <x:v>4</x:v>
      </x:c>
      <x:c r="T1187" s="15" t="n">
        <x:v>0</x:v>
      </x:c>
      <x:c r="U1187" s="16" t="n">
        <x:v>57</x:v>
      </x:c>
      <x:c r="V1187" s="6" t="str">
        <x:v>https://digitecme.com/brands/pagani-service-dubai/ac-repair</x:v>
      </x:c>
      <x:c r="W1187" s="6" t="str">
        <x:v>Indexable directive</x:v>
      </x:c>
      <x:c r="X1187" s="6" t="n">
        <x:v>16</x:v>
      </x:c>
      <x:c r="Y1187" s="6" t="str">
        <x:v>Pagani AC Repair Dubai | Digi-Tec</x:v>
      </x:c>
      <x:c r="Z1187" s="6" t="str"/>
      <x:c r="AA1187" s="6" t="str">
        <x:v>No / not compared</x:v>
      </x:c>
    </x:row>
    <x:row r="1188" ht="42" customHeight="1">
      <x:c r="A1188" s="6" t="str">
        <x:v>https://digitecme.com/brands/pagani-service-dubai/battery-replacement</x:v>
      </x:c>
      <x:c r="B1188" s="6" t="str"/>
      <x:c r="C1188" s="6" t="str"/>
      <x:c r="D1188" s="6" t="str">
        <x:v>brand-service</x:v>
      </x:c>
      <x:c r="E1188" s="6" t="str">
        <x:v>Retain differentiated role</x:v>
      </x:c>
      <x:c r="F1188" s="6" t="str">
        <x:v>Local source render; live version unverified</x:v>
      </x:c>
      <x:c r="G1188" s="6" t="str">
        <x:v>Pagani Battery Replacement Dubai | Digi-Tec</x:v>
      </x:c>
      <x:c r="H1188" s="6" t="str">
        <x:v>Pagani Battery Replacement Dubai | Digi-Tec</x:v>
      </x:c>
      <x:c r="I1188" s="6" t="str">
        <x:v>Pagani Battery Replacement Dubai</x:v>
      </x:c>
      <x:c r="J1188" s="6" t="str">
        <x:v>Pagani Battery Replacement Dubai</x:v>
      </x:c>
      <x:c r="K1188" s="6" t="str">
        <x:v>Pagani battery replacement in Dubai with model-specific inspection, confirmed parts options and a clear quote at Digi-Tec, Al Quoz.</x:v>
      </x:c>
      <x:c r="L1188" s="6" t="str">
        <x:v>Retain pending evidence; no specific content edit justified by this export.</x:v>
      </x:c>
      <x:c r="M1188" s="6" t="str">
        <x:v>Retain; inspect relevant context before adding links</x:v>
      </x:c>
      <x:c r="N1188" s="6" t="str">
        <x:v>Unconfirmed — no query/page pairing</x:v>
      </x:c>
      <x:c r="O1188" s="6" t="str">
        <x:v>Retain established booking / WhatsApp / call path; live behaviour untested</x:v>
      </x:c>
      <x:c r="P1188" s="6" t="str">
        <x:v>Retain canonical and indexation policy pending a live check.</x:v>
      </x:c>
      <x:c r="Q1188" s="6" t="str">
        <x:v>Proposed; no website change made</x:v>
      </x:c>
      <x:c r="R1188" s="14"/>
      <x:c r="S1188" s="14"/>
      <x:c r="T1188" s="15"/>
      <x:c r="U1188" s="16"/>
      <x:c r="V1188" s="6" t="str">
        <x:v>https://digitecme.com/brands/pagani-service-dubai/battery-replacement</x:v>
      </x:c>
      <x:c r="W1188" s="6" t="str">
        <x:v>Noindex directive</x:v>
      </x:c>
      <x:c r="X1188" s="6" t="n">
        <x:v>16</x:v>
      </x:c>
      <x:c r="Y1188" s="6" t="str">
        <x:v>Pagani Battery Replacement Dubai | Digi-Tec</x:v>
      </x:c>
      <x:c r="Z1188" s="6" t="str"/>
      <x:c r="AA1188" s="6" t="str">
        <x:v>No / not compared</x:v>
      </x:c>
    </x:row>
    <x:row r="1189" ht="42" customHeight="1">
      <x:c r="A1189" s="6" t="str">
        <x:v>https://digitecme.com/brands/pagani-service-dubai/body-repair</x:v>
      </x:c>
      <x:c r="B1189" s="6" t="str"/>
      <x:c r="C1189" s="6" t="str"/>
      <x:c r="D1189" s="6" t="str">
        <x:v>brand-service</x:v>
      </x:c>
      <x:c r="E1189" s="6" t="str">
        <x:v>Retain differentiated role</x:v>
      </x:c>
      <x:c r="F1189" s="6" t="str">
        <x:v>Local source render; live version unverified</x:v>
      </x:c>
      <x:c r="G1189" s="6" t="str">
        <x:v>Pagani Body Repair Dubai | Digi-Tec</x:v>
      </x:c>
      <x:c r="H1189" s="6" t="str">
        <x:v>Pagani Body Repair Dubai | Digi-Tec</x:v>
      </x:c>
      <x:c r="I1189" s="6" t="str">
        <x:v>Pagani Body Repair Dubai</x:v>
      </x:c>
      <x:c r="J1189" s="6" t="str">
        <x:v>Pagani Body Repair Dubai</x:v>
      </x:c>
      <x:c r="K1189" s="6" t="str">
        <x:v>Pagani body repair in Dubai with model-specific inspection, confirmed parts options and a clear quote at Digi-Tec, Al Quoz.</x:v>
      </x:c>
      <x:c r="L1189" s="6" t="str">
        <x:v>Retain pending evidence; no specific content edit justified by this export.</x:v>
      </x:c>
      <x:c r="M1189" s="6" t="str">
        <x:v>Retain; inspect relevant context before adding links</x:v>
      </x:c>
      <x:c r="N1189" s="6" t="str">
        <x:v>Unconfirmed — no query/page pairing</x:v>
      </x:c>
      <x:c r="O1189" s="6" t="str">
        <x:v>Retain established booking / WhatsApp / call path; live behaviour untested</x:v>
      </x:c>
      <x:c r="P1189" s="6" t="str">
        <x:v>Retain canonical and indexation policy pending a live check.</x:v>
      </x:c>
      <x:c r="Q1189" s="6" t="str">
        <x:v>Proposed; no website change made</x:v>
      </x:c>
      <x:c r="R1189" s="14" t="n">
        <x:v>0</x:v>
      </x:c>
      <x:c r="S1189" s="14" t="n">
        <x:v>5</x:v>
      </x:c>
      <x:c r="T1189" s="15" t="n">
        <x:v>0</x:v>
      </x:c>
      <x:c r="U1189" s="16" t="n">
        <x:v>34.4</x:v>
      </x:c>
      <x:c r="V1189" s="6" t="str">
        <x:v>https://digitecme.com/brands/pagani-service-dubai/body-repair</x:v>
      </x:c>
      <x:c r="W1189" s="6" t="str">
        <x:v>Noindex directive</x:v>
      </x:c>
      <x:c r="X1189" s="6" t="n">
        <x:v>16</x:v>
      </x:c>
      <x:c r="Y1189" s="6" t="str">
        <x:v>Pagani Body Repair Dubai | Digi-Tec</x:v>
      </x:c>
      <x:c r="Z1189" s="6" t="str"/>
      <x:c r="AA1189" s="6" t="str">
        <x:v>No / not compared</x:v>
      </x:c>
    </x:row>
    <x:row r="1190" ht="42" customHeight="1">
      <x:c r="A1190" s="6" t="str">
        <x:v>https://digitecme.com/brands/pagani-service-dubai/brake-repair</x:v>
      </x:c>
      <x:c r="B1190" s="6" t="str"/>
      <x:c r="C1190" s="6" t="str"/>
      <x:c r="D1190" s="6" t="str">
        <x:v>brand-service</x:v>
      </x:c>
      <x:c r="E1190" s="6" t="str">
        <x:v>Retain differentiated role</x:v>
      </x:c>
      <x:c r="F1190" s="6" t="str">
        <x:v>Local source render; live version unverified</x:v>
      </x:c>
      <x:c r="G1190" s="6" t="str">
        <x:v>Pagani Brake Repair Dubai | Digi-Tec</x:v>
      </x:c>
      <x:c r="H1190" s="6" t="str">
        <x:v>Pagani Brake Repair Dubai | Digi-Tec</x:v>
      </x:c>
      <x:c r="I1190" s="6" t="str">
        <x:v>Pagani Brake Repair Dubai</x:v>
      </x:c>
      <x:c r="J1190" s="6" t="str">
        <x:v>Pagani Brake Repair Dubai</x:v>
      </x:c>
      <x:c r="K1190" s="6" t="str">
        <x:v>Pagani brake repair in Dubai with model-specific inspection, confirmed parts options and a clear quote at Digi-Tec, Al Quoz.</x:v>
      </x:c>
      <x:c r="L1190" s="6" t="str">
        <x:v>Retain pending evidence; no specific content edit justified by this export.</x:v>
      </x:c>
      <x:c r="M1190" s="6" t="str">
        <x:v>Retain; inspect relevant context before adding links</x:v>
      </x:c>
      <x:c r="N1190" s="6" t="str">
        <x:v>Unconfirmed — no query/page pairing</x:v>
      </x:c>
      <x:c r="O1190" s="6" t="str">
        <x:v>Retain established booking / WhatsApp / call path; live behaviour untested</x:v>
      </x:c>
      <x:c r="P1190" s="6" t="str">
        <x:v>Retain canonical and indexation policy pending a live check.</x:v>
      </x:c>
      <x:c r="Q1190" s="6" t="str">
        <x:v>Proposed; no website change made</x:v>
      </x:c>
      <x:c r="R1190" s="14" t="n">
        <x:v>0</x:v>
      </x:c>
      <x:c r="S1190" s="14" t="n">
        <x:v>1</x:v>
      </x:c>
      <x:c r="T1190" s="15" t="n">
        <x:v>0</x:v>
      </x:c>
      <x:c r="U1190" s="16" t="n">
        <x:v>9</x:v>
      </x:c>
      <x:c r="V1190" s="6" t="str">
        <x:v>https://digitecme.com/brands/pagani-service-dubai/brake-repair</x:v>
      </x:c>
      <x:c r="W1190" s="6" t="str">
        <x:v>Indexable directive</x:v>
      </x:c>
      <x:c r="X1190" s="6" t="n">
        <x:v>16</x:v>
      </x:c>
      <x:c r="Y1190" s="6" t="str">
        <x:v>Pagani Brake Repair Dubai | Digi-Tec</x:v>
      </x:c>
      <x:c r="Z1190" s="6" t="str"/>
      <x:c r="AA1190" s="6" t="str">
        <x:v>No / not compared</x:v>
      </x:c>
    </x:row>
    <x:row r="1191" ht="42" customHeight="1">
      <x:c r="A1191" s="6" t="str">
        <x:v>https://digitecme.com/brands/pagani-service-dubai/electrical-repair</x:v>
      </x:c>
      <x:c r="B1191" s="6" t="str"/>
      <x:c r="C1191" s="6" t="str"/>
      <x:c r="D1191" s="6" t="str">
        <x:v>brand-service</x:v>
      </x:c>
      <x:c r="E1191" s="6" t="str">
        <x:v>Retain differentiated role</x:v>
      </x:c>
      <x:c r="F1191" s="6" t="str">
        <x:v>Local source render; live version unverified</x:v>
      </x:c>
      <x:c r="G1191" s="6" t="str">
        <x:v>Pagani Electrical Repair Dubai | Digi-Tec</x:v>
      </x:c>
      <x:c r="H1191" s="6" t="str">
        <x:v>Pagani Electrical Repair Dubai | Digi-Tec</x:v>
      </x:c>
      <x:c r="I1191" s="6" t="str">
        <x:v>Pagani Electrical Repair Dubai</x:v>
      </x:c>
      <x:c r="J1191" s="6" t="str">
        <x:v>Pagani Electrical Repair Dubai</x:v>
      </x:c>
      <x:c r="K1191" s="6" t="str">
        <x:v>Pagani electrical repair in Dubai with model-specific inspection, confirmed parts options and a clear quote at Digi-Tec, Al Quoz.</x:v>
      </x:c>
      <x:c r="L1191" s="6" t="str">
        <x:v>Retain pending evidence; no specific content edit justified by this export.</x:v>
      </x:c>
      <x:c r="M1191" s="6" t="str">
        <x:v>Retain; inspect relevant context before adding links</x:v>
      </x:c>
      <x:c r="N1191" s="6" t="str">
        <x:v>Unconfirmed — no query/page pairing</x:v>
      </x:c>
      <x:c r="O1191" s="6" t="str">
        <x:v>Retain established booking / WhatsApp / call path; live behaviour untested</x:v>
      </x:c>
      <x:c r="P1191" s="6" t="str">
        <x:v>Retain canonical and indexation policy pending a live check.</x:v>
      </x:c>
      <x:c r="Q1191" s="6" t="str">
        <x:v>Proposed; no website change made</x:v>
      </x:c>
      <x:c r="R1191" s="14" t="n">
        <x:v>0</x:v>
      </x:c>
      <x:c r="S1191" s="14" t="n">
        <x:v>1</x:v>
      </x:c>
      <x:c r="T1191" s="15" t="n">
        <x:v>0</x:v>
      </x:c>
      <x:c r="U1191" s="16" t="n">
        <x:v>42</x:v>
      </x:c>
      <x:c r="V1191" s="6" t="str">
        <x:v>https://digitecme.com/brands/pagani-service-dubai/electrical-repair</x:v>
      </x:c>
      <x:c r="W1191" s="6" t="str">
        <x:v>Noindex directive</x:v>
      </x:c>
      <x:c r="X1191" s="6" t="n">
        <x:v>16</x:v>
      </x:c>
      <x:c r="Y1191" s="6" t="str">
        <x:v>Pagani Electrical Repair Dubai | Digi-Tec</x:v>
      </x:c>
      <x:c r="Z1191" s="6" t="str"/>
      <x:c r="AA1191" s="6" t="str">
        <x:v>No / not compared</x:v>
      </x:c>
    </x:row>
    <x:row r="1192" ht="42" customHeight="1">
      <x:c r="A1192" s="6" t="str">
        <x:v>https://digitecme.com/brands/pagani-service-dubai/engine-diagnostics</x:v>
      </x:c>
      <x:c r="B1192" s="6" t="str"/>
      <x:c r="C1192" s="6" t="str"/>
      <x:c r="D1192" s="6" t="str">
        <x:v>brand-service</x:v>
      </x:c>
      <x:c r="E1192" s="6" t="str">
        <x:v>Retain differentiated role</x:v>
      </x:c>
      <x:c r="F1192" s="6" t="str">
        <x:v>Local source render; live version unverified</x:v>
      </x:c>
      <x:c r="G1192" s="6" t="str">
        <x:v>Pagani Engine Diagnostics Dubai | Digi-Tec</x:v>
      </x:c>
      <x:c r="H1192" s="6" t="str">
        <x:v>Pagani Engine Diagnostics Dubai | Digi-Tec</x:v>
      </x:c>
      <x:c r="I1192" s="6" t="str">
        <x:v>Pagani Engine Diagnostics Dubai</x:v>
      </x:c>
      <x:c r="J1192" s="6" t="str">
        <x:v>Pagani Engine Diagnostics Dubai</x:v>
      </x:c>
      <x:c r="K1192" s="6" t="str">
        <x:v>Pagani engine diagnostics in Dubai with model-specific inspection, confirmed parts options and a clear quote at Digi-Tec, Al Quoz.</x:v>
      </x:c>
      <x:c r="L1192" s="6" t="str">
        <x:v>Retain pending evidence; no specific content edit justified by this export.</x:v>
      </x:c>
      <x:c r="M1192" s="6" t="str">
        <x:v>Retain; inspect relevant context before adding links</x:v>
      </x:c>
      <x:c r="N1192" s="6" t="str">
        <x:v>Unconfirmed — no query/page pairing</x:v>
      </x:c>
      <x:c r="O1192" s="6" t="str">
        <x:v>Retain established booking / WhatsApp / call path; live behaviour untested</x:v>
      </x:c>
      <x:c r="P1192" s="6" t="str">
        <x:v>Retain canonical and indexation policy pending a live check.</x:v>
      </x:c>
      <x:c r="Q1192" s="6" t="str">
        <x:v>Proposed; no website change made</x:v>
      </x:c>
      <x:c r="R1192" s="14"/>
      <x:c r="S1192" s="14"/>
      <x:c r="T1192" s="15"/>
      <x:c r="U1192" s="16"/>
      <x:c r="V1192" s="6" t="str">
        <x:v>https://digitecme.com/brands/pagani-service-dubai/engine-diagnostics</x:v>
      </x:c>
      <x:c r="W1192" s="6" t="str">
        <x:v>Indexable directive</x:v>
      </x:c>
      <x:c r="X1192" s="6" t="n">
        <x:v>16</x:v>
      </x:c>
      <x:c r="Y1192" s="6" t="str">
        <x:v>Pagani Engine Diagnostics Dubai | Digi-Tec</x:v>
      </x:c>
      <x:c r="Z1192" s="6" t="str"/>
      <x:c r="AA1192" s="6" t="str">
        <x:v>No / not compared</x:v>
      </x:c>
    </x:row>
    <x:row r="1193" ht="42" customHeight="1">
      <x:c r="A1193" s="6" t="str">
        <x:v>https://digitecme.com/brands/pagani-service-dubai/exhaust-repair</x:v>
      </x:c>
      <x:c r="B1193" s="6" t="str"/>
      <x:c r="C1193" s="6" t="str"/>
      <x:c r="D1193" s="6" t="str">
        <x:v>brand-service</x:v>
      </x:c>
      <x:c r="E1193" s="6" t="str">
        <x:v>Retain differentiated role</x:v>
      </x:c>
      <x:c r="F1193" s="6" t="str">
        <x:v>Local source render; live version unverified</x:v>
      </x:c>
      <x:c r="G1193" s="6" t="str">
        <x:v>Pagani Exhaust Repair Dubai | Digi-Tec</x:v>
      </x:c>
      <x:c r="H1193" s="6" t="str">
        <x:v>Pagani Exhaust Repair Dubai | Digi-Tec</x:v>
      </x:c>
      <x:c r="I1193" s="6" t="str">
        <x:v>Pagani Exhaust Repair Dubai</x:v>
      </x:c>
      <x:c r="J1193" s="6" t="str">
        <x:v>Pagani Exhaust Repair Dubai</x:v>
      </x:c>
      <x:c r="K1193" s="6" t="str">
        <x:v>Pagani exhaust repair in Dubai with model-specific inspection, confirmed parts options and a clear quote at Digi-Tec, Al Quoz.</x:v>
      </x:c>
      <x:c r="L1193" s="6" t="str">
        <x:v>Retain pending evidence; no specific content edit justified by this export.</x:v>
      </x:c>
      <x:c r="M1193" s="6" t="str">
        <x:v>Retain; inspect relevant context before adding links</x:v>
      </x:c>
      <x:c r="N1193" s="6" t="str">
        <x:v>Unconfirmed — no query/page pairing</x:v>
      </x:c>
      <x:c r="O1193" s="6" t="str">
        <x:v>Retain established booking / WhatsApp / call path; live behaviour untested</x:v>
      </x:c>
      <x:c r="P1193" s="6" t="str">
        <x:v>Retain canonical and indexation policy pending a live check.</x:v>
      </x:c>
      <x:c r="Q1193" s="6" t="str">
        <x:v>Proposed; no website change made</x:v>
      </x:c>
      <x:c r="R1193" s="14" t="n">
        <x:v>0</x:v>
      </x:c>
      <x:c r="S1193" s="14" t="n">
        <x:v>7</x:v>
      </x:c>
      <x:c r="T1193" s="15" t="n">
        <x:v>0</x:v>
      </x:c>
      <x:c r="U1193" s="16" t="n">
        <x:v>15</x:v>
      </x:c>
      <x:c r="V1193" s="6" t="str">
        <x:v>https://digitecme.com/brands/pagani-service-dubai/exhaust-repair</x:v>
      </x:c>
      <x:c r="W1193" s="6" t="str">
        <x:v>Noindex directive</x:v>
      </x:c>
      <x:c r="X1193" s="6" t="n">
        <x:v>16</x:v>
      </x:c>
      <x:c r="Y1193" s="6" t="str">
        <x:v>Pagani Exhaust Repair Dubai | Digi-Tec</x:v>
      </x:c>
      <x:c r="Z1193" s="6" t="str"/>
      <x:c r="AA1193" s="6" t="str">
        <x:v>No / not compared</x:v>
      </x:c>
    </x:row>
    <x:row r="1194" ht="42" customHeight="1">
      <x:c r="A1194" s="6" t="str">
        <x:v>https://digitecme.com/brands/pagani-service-dubai/fuel-system-repair</x:v>
      </x:c>
      <x:c r="B1194" s="6" t="str"/>
      <x:c r="C1194" s="6" t="str"/>
      <x:c r="D1194" s="6" t="str">
        <x:v>brand-service</x:v>
      </x:c>
      <x:c r="E1194" s="6" t="str">
        <x:v>Retain differentiated role</x:v>
      </x:c>
      <x:c r="F1194" s="6" t="str">
        <x:v>Local source render; live version unverified</x:v>
      </x:c>
      <x:c r="G1194" s="6" t="str">
        <x:v>Pagani Fuel System Repair Dubai | Digi-Tec</x:v>
      </x:c>
      <x:c r="H1194" s="6" t="str">
        <x:v>Pagani Fuel System Repair Dubai | Digi-Tec</x:v>
      </x:c>
      <x:c r="I1194" s="6" t="str">
        <x:v>Pagani Fuel System Repair Dubai</x:v>
      </x:c>
      <x:c r="J1194" s="6" t="str">
        <x:v>Pagani Fuel System Repair Dubai</x:v>
      </x:c>
      <x:c r="K1194" s="6" t="str">
        <x:v>Pagani fuel system repair in Dubai with model-specific inspection, confirmed parts options and a clear quote at Digi-Tec, Al Quoz.</x:v>
      </x:c>
      <x:c r="L1194" s="6" t="str">
        <x:v>Retain pending evidence; no specific content edit justified by this export.</x:v>
      </x:c>
      <x:c r="M1194" s="6" t="str">
        <x:v>Retain; inspect relevant context before adding links</x:v>
      </x:c>
      <x:c r="N1194" s="6" t="str">
        <x:v>Unconfirmed — no query/page pairing</x:v>
      </x:c>
      <x:c r="O1194" s="6" t="str">
        <x:v>Retain established booking / WhatsApp / call path; live behaviour untested</x:v>
      </x:c>
      <x:c r="P1194" s="6" t="str">
        <x:v>Retain canonical and indexation policy pending a live check.</x:v>
      </x:c>
      <x:c r="Q1194" s="6" t="str">
        <x:v>Proposed; no website change made</x:v>
      </x:c>
      <x:c r="R1194" s="14"/>
      <x:c r="S1194" s="14"/>
      <x:c r="T1194" s="15"/>
      <x:c r="U1194" s="16"/>
      <x:c r="V1194" s="6" t="str">
        <x:v>https://digitecme.com/brands/pagani-service-dubai/fuel-system-repair</x:v>
      </x:c>
      <x:c r="W1194" s="6" t="str">
        <x:v>Noindex directive</x:v>
      </x:c>
      <x:c r="X1194" s="6" t="n">
        <x:v>16</x:v>
      </x:c>
      <x:c r="Y1194" s="6" t="str">
        <x:v>Pagani Fuel System Repair Dubai | Digi-Tec</x:v>
      </x:c>
      <x:c r="Z1194" s="6" t="str"/>
      <x:c r="AA1194" s="6" t="str">
        <x:v>No / not compared</x:v>
      </x:c>
    </x:row>
    <x:row r="1195" ht="42" customHeight="1">
      <x:c r="A1195" s="6" t="str">
        <x:v>https://digitecme.com/brands/pagani-service-dubai/mechanical-repair</x:v>
      </x:c>
      <x:c r="B1195" s="6" t="str"/>
      <x:c r="C1195" s="6" t="str"/>
      <x:c r="D1195" s="6" t="str">
        <x:v>brand-service</x:v>
      </x:c>
      <x:c r="E1195" s="6" t="str">
        <x:v>Retain differentiated role</x:v>
      </x:c>
      <x:c r="F1195" s="6" t="str">
        <x:v>Local source render; live version unverified</x:v>
      </x:c>
      <x:c r="G1195" s="6" t="str">
        <x:v>Pagani Mechanical Repair Dubai | Digi-Tec</x:v>
      </x:c>
      <x:c r="H1195" s="6" t="str">
        <x:v>Pagani Mechanical Repair Dubai | Digi-Tec</x:v>
      </x:c>
      <x:c r="I1195" s="6" t="str">
        <x:v>Pagani Mechanical Repair Dubai</x:v>
      </x:c>
      <x:c r="J1195" s="6" t="str">
        <x:v>Pagani Mechanical Repair Dubai</x:v>
      </x:c>
      <x:c r="K1195" s="6" t="str">
        <x:v>Pagani mechanical repair in Dubai with model-specific inspection, confirmed parts options and a clear quote at Digi-Tec, Al Quoz.</x:v>
      </x:c>
      <x:c r="L1195" s="6" t="str">
        <x:v>Retain pending evidence; no specific content edit justified by this export.</x:v>
      </x:c>
      <x:c r="M1195" s="6" t="str">
        <x:v>Retain; inspect relevant context before adding links</x:v>
      </x:c>
      <x:c r="N1195" s="6" t="str">
        <x:v>Unconfirmed — no query/page pairing</x:v>
      </x:c>
      <x:c r="O1195" s="6" t="str">
        <x:v>Retain established booking / WhatsApp / call path; live behaviour untested</x:v>
      </x:c>
      <x:c r="P1195" s="6" t="str">
        <x:v>Retain canonical and indexation policy pending a live check.</x:v>
      </x:c>
      <x:c r="Q1195" s="6" t="str">
        <x:v>Proposed; no website change made</x:v>
      </x:c>
      <x:c r="R1195" s="14"/>
      <x:c r="S1195" s="14"/>
      <x:c r="T1195" s="15"/>
      <x:c r="U1195" s="16"/>
      <x:c r="V1195" s="6" t="str">
        <x:v>https://digitecme.com/brands/pagani-service-dubai/mechanical-repair</x:v>
      </x:c>
      <x:c r="W1195" s="6" t="str">
        <x:v>Noindex directive</x:v>
      </x:c>
      <x:c r="X1195" s="6" t="n">
        <x:v>16</x:v>
      </x:c>
      <x:c r="Y1195" s="6" t="str">
        <x:v>Pagani Mechanical Repair Dubai | Digi-Tec</x:v>
      </x:c>
      <x:c r="Z1195" s="6" t="str"/>
      <x:c r="AA1195" s="6" t="str">
        <x:v>No / not compared</x:v>
      </x:c>
    </x:row>
    <x:row r="1196" ht="42" customHeight="1">
      <x:c r="A1196" s="6" t="str">
        <x:v>https://digitecme.com/brands/pagani-service-dubai/oil-change</x:v>
      </x:c>
      <x:c r="B1196" s="6" t="str"/>
      <x:c r="C1196" s="6" t="str"/>
      <x:c r="D1196" s="6" t="str">
        <x:v>brand-service</x:v>
      </x:c>
      <x:c r="E1196" s="6" t="str">
        <x:v>Retain differentiated role</x:v>
      </x:c>
      <x:c r="F1196" s="6" t="str">
        <x:v>Local source render; live version unverified</x:v>
      </x:c>
      <x:c r="G1196" s="6" t="str">
        <x:v>Pagani Oil Change Dubai | Digi-Tec</x:v>
      </x:c>
      <x:c r="H1196" s="6" t="str">
        <x:v>Pagani Oil Change Dubai | Digi-Tec</x:v>
      </x:c>
      <x:c r="I1196" s="6" t="str">
        <x:v>Pagani Oil Change Dubai</x:v>
      </x:c>
      <x:c r="J1196" s="6" t="str">
        <x:v>Pagani Oil Change Dubai</x:v>
      </x:c>
      <x:c r="K1196" s="6" t="str">
        <x:v>Pagani oil change in Dubai with model-specific inspection, confirmed parts options and a clear quote at Digi-Tec, Al Quoz.</x:v>
      </x:c>
      <x:c r="L1196" s="6" t="str">
        <x:v>Retain pending evidence; no specific content edit justified by this export.</x:v>
      </x:c>
      <x:c r="M1196" s="6" t="str">
        <x:v>Retain; inspect relevant context before adding links</x:v>
      </x:c>
      <x:c r="N1196" s="6" t="str">
        <x:v>Unconfirmed — no query/page pairing</x:v>
      </x:c>
      <x:c r="O1196" s="6" t="str">
        <x:v>Retain established booking / WhatsApp / call path; live behaviour untested</x:v>
      </x:c>
      <x:c r="P1196" s="6" t="str">
        <x:v>Retain canonical and indexation policy pending a live check.</x:v>
      </x:c>
      <x:c r="Q1196" s="6" t="str">
        <x:v>Proposed; no website change made</x:v>
      </x:c>
      <x:c r="R1196" s="14" t="n">
        <x:v>1</x:v>
      </x:c>
      <x:c r="S1196" s="14" t="n">
        <x:v>18</x:v>
      </x:c>
      <x:c r="T1196" s="15" t="n">
        <x:v>0.0556</x:v>
      </x:c>
      <x:c r="U1196" s="16" t="n">
        <x:v>5.67</x:v>
      </x:c>
      <x:c r="V1196" s="6" t="str">
        <x:v>https://digitecme.com/brands/pagani-service-dubai/oil-change</x:v>
      </x:c>
      <x:c r="W1196" s="6" t="str">
        <x:v>Indexable directive</x:v>
      </x:c>
      <x:c r="X1196" s="6" t="n">
        <x:v>16</x:v>
      </x:c>
      <x:c r="Y1196" s="6" t="str">
        <x:v>Pagani Oil Change Dubai | Digi-Tec</x:v>
      </x:c>
      <x:c r="Z1196" s="6" t="str"/>
      <x:c r="AA1196" s="6" t="str">
        <x:v>No / not compared</x:v>
      </x:c>
    </x:row>
    <x:row r="1197" ht="42" customHeight="1">
      <x:c r="A1197" s="6" t="str">
        <x:v>https://digitecme.com/brands/pagani-service-dubai/steering-repair</x:v>
      </x:c>
      <x:c r="B1197" s="6" t="str"/>
      <x:c r="C1197" s="6" t="str"/>
      <x:c r="D1197" s="6" t="str">
        <x:v>brand-service</x:v>
      </x:c>
      <x:c r="E1197" s="6" t="str">
        <x:v>Retain differentiated role</x:v>
      </x:c>
      <x:c r="F1197" s="6" t="str">
        <x:v>Local source render; live version unverified</x:v>
      </x:c>
      <x:c r="G1197" s="6" t="str">
        <x:v>Pagani Steering Repair Dubai | Digi-Tec</x:v>
      </x:c>
      <x:c r="H1197" s="6" t="str">
        <x:v>Pagani Steering Repair Dubai | Digi-Tec</x:v>
      </x:c>
      <x:c r="I1197" s="6" t="str">
        <x:v>Pagani Steering Repair Dubai</x:v>
      </x:c>
      <x:c r="J1197" s="6" t="str">
        <x:v>Pagani Steering Repair Dubai</x:v>
      </x:c>
      <x:c r="K1197" s="6" t="str">
        <x:v>Pagani steering repair in Dubai with model-specific inspection, confirmed parts options and a clear quote at Digi-Tec, Al Quoz.</x:v>
      </x:c>
      <x:c r="L1197" s="6" t="str">
        <x:v>Retain pending evidence; no specific content edit justified by this export.</x:v>
      </x:c>
      <x:c r="M1197" s="6" t="str">
        <x:v>Retain; inspect relevant context before adding links</x:v>
      </x:c>
      <x:c r="N1197" s="6" t="str">
        <x:v>Unconfirmed — no query/page pairing</x:v>
      </x:c>
      <x:c r="O1197" s="6" t="str">
        <x:v>Retain established booking / WhatsApp / call path; live behaviour untested</x:v>
      </x:c>
      <x:c r="P1197" s="6" t="str">
        <x:v>Retain canonical and indexation policy pending a live check.</x:v>
      </x:c>
      <x:c r="Q1197" s="6" t="str">
        <x:v>Proposed; no website change made</x:v>
      </x:c>
      <x:c r="R1197" s="14" t="n">
        <x:v>0</x:v>
      </x:c>
      <x:c r="S1197" s="14" t="n">
        <x:v>5</x:v>
      </x:c>
      <x:c r="T1197" s="15" t="n">
        <x:v>0</x:v>
      </x:c>
      <x:c r="U1197" s="16" t="n">
        <x:v>22</x:v>
      </x:c>
      <x:c r="V1197" s="6" t="str">
        <x:v>https://digitecme.com/brands/pagani-service-dubai/steering-repair</x:v>
      </x:c>
      <x:c r="W1197" s="6" t="str">
        <x:v>Noindex directive</x:v>
      </x:c>
      <x:c r="X1197" s="6" t="n">
        <x:v>16</x:v>
      </x:c>
      <x:c r="Y1197" s="6" t="str">
        <x:v>Pagani Steering Repair Dubai | Digi-Tec</x:v>
      </x:c>
      <x:c r="Z1197" s="6" t="str"/>
      <x:c r="AA1197" s="6" t="str">
        <x:v>No / not compared</x:v>
      </x:c>
    </x:row>
    <x:row r="1198" ht="42" customHeight="1">
      <x:c r="A1198" s="6" t="str">
        <x:v>https://digitecme.com/brands/pagani-service-dubai/suspension-repair</x:v>
      </x:c>
      <x:c r="B1198" s="6" t="str"/>
      <x:c r="C1198" s="6" t="str"/>
      <x:c r="D1198" s="6" t="str">
        <x:v>brand-service</x:v>
      </x:c>
      <x:c r="E1198" s="6" t="str">
        <x:v>Retain differentiated role</x:v>
      </x:c>
      <x:c r="F1198" s="6" t="str">
        <x:v>Local source render; live version unverified</x:v>
      </x:c>
      <x:c r="G1198" s="6" t="str">
        <x:v>Pagani Suspension Repair Dubai | Digi-Tec</x:v>
      </x:c>
      <x:c r="H1198" s="6" t="str">
        <x:v>Pagani Suspension Repair Dubai | Digi-Tec</x:v>
      </x:c>
      <x:c r="I1198" s="6" t="str">
        <x:v>Pagani Suspension Repair Dubai</x:v>
      </x:c>
      <x:c r="J1198" s="6" t="str">
        <x:v>Pagani Suspension Repair Dubai</x:v>
      </x:c>
      <x:c r="K1198" s="6" t="str">
        <x:v>Pagani suspension repair in Dubai with model-specific inspection, confirmed parts options and a clear quote at Digi-Tec, Al Quoz.</x:v>
      </x:c>
      <x:c r="L1198" s="6" t="str">
        <x:v>Retain pending evidence; no specific content edit justified by this export.</x:v>
      </x:c>
      <x:c r="M1198" s="6" t="str">
        <x:v>Retain; inspect relevant context before adding links</x:v>
      </x:c>
      <x:c r="N1198" s="6" t="str">
        <x:v>Unconfirmed — no query/page pairing</x:v>
      </x:c>
      <x:c r="O1198" s="6" t="str">
        <x:v>Retain established booking / WhatsApp / call path; live behaviour untested</x:v>
      </x:c>
      <x:c r="P1198" s="6" t="str">
        <x:v>Retain canonical and indexation policy pending a live check.</x:v>
      </x:c>
      <x:c r="Q1198" s="6" t="str">
        <x:v>Proposed; no website change made</x:v>
      </x:c>
      <x:c r="R1198" s="14"/>
      <x:c r="S1198" s="14"/>
      <x:c r="T1198" s="15"/>
      <x:c r="U1198" s="16"/>
      <x:c r="V1198" s="6" t="str">
        <x:v>https://digitecme.com/brands/pagani-service-dubai/suspension-repair</x:v>
      </x:c>
      <x:c r="W1198" s="6" t="str">
        <x:v>Noindex directive</x:v>
      </x:c>
      <x:c r="X1198" s="6" t="n">
        <x:v>16</x:v>
      </x:c>
      <x:c r="Y1198" s="6" t="str">
        <x:v>Pagani Suspension Repair Dubai | Digi-Tec</x:v>
      </x:c>
      <x:c r="Z1198" s="6" t="str"/>
      <x:c r="AA1198" s="6" t="str">
        <x:v>No / not compared</x:v>
      </x:c>
    </x:row>
    <x:row r="1199" ht="42" customHeight="1">
      <x:c r="A1199" s="6" t="str">
        <x:v>https://digitecme.com/brands/pagani-service-dubai/tire-repair</x:v>
      </x:c>
      <x:c r="B1199" s="6" t="str"/>
      <x:c r="C1199" s="6" t="str"/>
      <x:c r="D1199" s="6" t="str">
        <x:v>brand-service</x:v>
      </x:c>
      <x:c r="E1199" s="6" t="str">
        <x:v>Retain differentiated role</x:v>
      </x:c>
      <x:c r="F1199" s="6" t="str">
        <x:v>Local source render; live version unverified</x:v>
      </x:c>
      <x:c r="G1199" s="6" t="str">
        <x:v>Pagani Tyre Repair Dubai | Digi-Tec</x:v>
      </x:c>
      <x:c r="H1199" s="6" t="str">
        <x:v>Pagani Tyre Repair Dubai | Digi-Tec</x:v>
      </x:c>
      <x:c r="I1199" s="6" t="str">
        <x:v>Pagani Tyre Repair Dubai</x:v>
      </x:c>
      <x:c r="J1199" s="6" t="str">
        <x:v>Pagani Tyre Repair Dubai</x:v>
      </x:c>
      <x:c r="K1199" s="6" t="str">
        <x:v>Pagani tyre repair in Dubai with model-specific inspection, confirmed parts options and a clear quote at Digi-Tec, Al Quoz.</x:v>
      </x:c>
      <x:c r="L1199" s="6" t="str">
        <x:v>Retain pending evidence; no specific content edit justified by this export.</x:v>
      </x:c>
      <x:c r="M1199" s="6" t="str">
        <x:v>Retain; inspect relevant context before adding links</x:v>
      </x:c>
      <x:c r="N1199" s="6" t="str">
        <x:v>Unconfirmed — no query/page pairing</x:v>
      </x:c>
      <x:c r="O1199" s="6" t="str">
        <x:v>Retain established booking / WhatsApp / call path; live behaviour untested</x:v>
      </x:c>
      <x:c r="P1199" s="6" t="str">
        <x:v>Retain canonical and indexation policy pending a live check.</x:v>
      </x:c>
      <x:c r="Q1199" s="6" t="str">
        <x:v>Proposed; no website change made</x:v>
      </x:c>
      <x:c r="R1199" s="14" t="n">
        <x:v>0</x:v>
      </x:c>
      <x:c r="S1199" s="14" t="n">
        <x:v>13</x:v>
      </x:c>
      <x:c r="T1199" s="15" t="n">
        <x:v>0</x:v>
      </x:c>
      <x:c r="U1199" s="16" t="n">
        <x:v>10.23</x:v>
      </x:c>
      <x:c r="V1199" s="6" t="str">
        <x:v>https://digitecme.com/brands/pagani-service-dubai/tire-repair</x:v>
      </x:c>
      <x:c r="W1199" s="6" t="str">
        <x:v>Noindex directive</x:v>
      </x:c>
      <x:c r="X1199" s="6" t="n">
        <x:v>16</x:v>
      </x:c>
      <x:c r="Y1199" s="6" t="str">
        <x:v>Pagani Tyre Repair Dubai | Digi-Tec</x:v>
      </x:c>
      <x:c r="Z1199" s="6" t="str"/>
      <x:c r="AA1199" s="6" t="str">
        <x:v>No / not compared</x:v>
      </x:c>
    </x:row>
    <x:row r="1200" ht="42" customHeight="1">
      <x:c r="A1200" s="6" t="str">
        <x:v>https://digitecme.com/brands/pagani-service-dubai/transmission-repair</x:v>
      </x:c>
      <x:c r="B1200" s="6" t="str"/>
      <x:c r="C1200" s="6" t="str"/>
      <x:c r="D1200" s="6" t="str">
        <x:v>brand-service</x:v>
      </x:c>
      <x:c r="E1200" s="6" t="str">
        <x:v>Retain differentiated role</x:v>
      </x:c>
      <x:c r="F1200" s="6" t="str">
        <x:v>Local source render; live version unverified</x:v>
      </x:c>
      <x:c r="G1200" s="6" t="str">
        <x:v>Pagani Transmission Repair Dubai | Digi-Tec</x:v>
      </x:c>
      <x:c r="H1200" s="6" t="str">
        <x:v>Pagani Transmission Repair Dubai | Digi-Tec</x:v>
      </x:c>
      <x:c r="I1200" s="6" t="str">
        <x:v>Pagani Transmission Repair Dubai</x:v>
      </x:c>
      <x:c r="J1200" s="6" t="str">
        <x:v>Pagani Transmission Repair Dubai</x:v>
      </x:c>
      <x:c r="K1200" s="6" t="str">
        <x:v>Pagani transmission repair in Dubai with model-specific inspection, confirmed parts options and a clear quote at Digi-Tec, Al Quoz.</x:v>
      </x:c>
      <x:c r="L1200" s="6" t="str">
        <x:v>Retain pending evidence; no specific content edit justified by this export.</x:v>
      </x:c>
      <x:c r="M1200" s="6" t="str">
        <x:v>Retain; inspect relevant context before adding links</x:v>
      </x:c>
      <x:c r="N1200" s="6" t="str">
        <x:v>Unconfirmed — no query/page pairing</x:v>
      </x:c>
      <x:c r="O1200" s="6" t="str">
        <x:v>Retain established booking / WhatsApp / call path; live behaviour untested</x:v>
      </x:c>
      <x:c r="P1200" s="6" t="str">
        <x:v>Retain canonical and indexation policy pending a live check.</x:v>
      </x:c>
      <x:c r="Q1200" s="6" t="str">
        <x:v>Proposed; no website change made</x:v>
      </x:c>
      <x:c r="R1200" s="14" t="n">
        <x:v>0</x:v>
      </x:c>
      <x:c r="S1200" s="14" t="n">
        <x:v>1</x:v>
      </x:c>
      <x:c r="T1200" s="15" t="n">
        <x:v>0</x:v>
      </x:c>
      <x:c r="U1200" s="16" t="n">
        <x:v>8</x:v>
      </x:c>
      <x:c r="V1200" s="6" t="str">
        <x:v>https://digitecme.com/brands/pagani-service-dubai/transmission-repair</x:v>
      </x:c>
      <x:c r="W1200" s="6" t="str">
        <x:v>Noindex directive</x:v>
      </x:c>
      <x:c r="X1200" s="6" t="n">
        <x:v>16</x:v>
      </x:c>
      <x:c r="Y1200" s="6" t="str">
        <x:v>Pagani Transmission Repair Dubai | Digi-Tec</x:v>
      </x:c>
      <x:c r="Z1200" s="6" t="str"/>
      <x:c r="AA1200" s="6" t="str">
        <x:v>No / not compared</x:v>
      </x:c>
    </x:row>
    <x:row r="1201" ht="57" customHeight="1">
      <x:c r="A1201" s="6" t="str">
        <x:v>https://digitecme.com/brands/porsche-service-dubai</x:v>
      </x:c>
      <x:c r="B1201" s="6" t="str">
        <x:v>porsche repair dubai</x:v>
      </x:c>
      <x:c r="C1201" s="6" t="str">
        <x:v>porsche: Service and repair (English); porsche: Service and repair (outside Dubai)</x:v>
      </x:c>
      <x:c r="D1201" s="6" t="str">
        <x:v>brand</x:v>
      </x:c>
      <x:c r="E1201" s="6" t="str">
        <x:v>Primary owner for assigned intent</x:v>
      </x:c>
      <x:c r="F1201" s="6" t="str">
        <x:v>Live HTML checked 9 Sep 2026</x:v>
      </x:c>
      <x:c r="G1201" s="6" t="str">
        <x:v>Porsche Service &amp; Repair Dubai | Digi-Tec Workshop</x:v>
      </x:c>
      <x:c r="H1201" s="6" t="str">
        <x:v>Porsche Service &amp; Repair Dubai | Digi-Tec Workshop</x:v>
      </x:c>
      <x:c r="I1201" s="6" t="str">
        <x:v>Porsche Repair &amp; Service Dubai</x:v>
      </x:c>
      <x:c r="J1201" s="6" t="str">
        <x:v>Porsche Repair &amp; Service Dubai</x:v>
      </x:c>
      <x:c r="K1201" s="6" t="str">
        <x:v>Porsche service and repair in Dubai for 911, Cayenne, Macan, Panamera, Cayman and Taycan, with diagnostics, PDK, brakes and suspension care in Al Quoz.</x:v>
      </x:c>
      <x:c r="L1201" s="6" t="str">
        <x:v>Retain pending evidence; no specific content edit justified by this export.</x:v>
      </x:c>
      <x:c r="M1201" s="6" t="str">
        <x:v>Retain; inspect relevant context before adding links</x:v>
      </x:c>
      <x:c r="N1201" s="6" t="str">
        <x:v>Unconfirmed — no query/page pairing</x:v>
      </x:c>
      <x:c r="O1201" s="6" t="str">
        <x:v>Retain established booking / WhatsApp / call path; live behaviour untested</x:v>
      </x:c>
      <x:c r="P1201" s="6" t="str">
        <x:v>Retain canonical and indexation policy pending a live check.</x:v>
      </x:c>
      <x:c r="Q1201" s="6" t="str">
        <x:v>Proposed; no website change made</x:v>
      </x:c>
      <x:c r="R1201" s="14" t="n">
        <x:v>2</x:v>
      </x:c>
      <x:c r="S1201" s="14" t="n">
        <x:v>1219</x:v>
      </x:c>
      <x:c r="T1201" s="15" t="n">
        <x:v>0.0016</x:v>
      </x:c>
      <x:c r="U1201" s="16" t="n">
        <x:v>21.76</x:v>
      </x:c>
      <x:c r="V1201" s="6" t="str">
        <x:v>https://digitecme.com/brands/porsche-service-dubai</x:v>
      </x:c>
      <x:c r="W1201" s="6" t="str">
        <x:v>Indexable directive</x:v>
      </x:c>
      <x:c r="X1201" s="6" t="n">
        <x:v>152</x:v>
      </x:c>
      <x:c r="Y1201" s="6" t="str">
        <x:v>Porsche Service &amp; Repair Dubai | Digi-Tec Workshop</x:v>
      </x:c>
      <x:c r="Z1201" s="6" t="str">
        <x:v>Porsche Service &amp; Repair Dubai | Digi-Tec Workshop</x:v>
      </x:c>
      <x:c r="AA1201" s="6" t="str">
        <x:v>No / not compared</x:v>
      </x:c>
    </x:row>
    <x:row r="1202" ht="42" customHeight="1">
      <x:c r="A1202" s="6" t="str">
        <x:v>https://digitecme.com/brands/porsche-service-dubai/ac-repair</x:v>
      </x:c>
      <x:c r="B1202" s="6" t="str">
        <x:v>porsche ac repair dubai</x:v>
      </x:c>
      <x:c r="C1202" s="6" t="str">
        <x:v>porsche: AC repair (English)</x:v>
      </x:c>
      <x:c r="D1202" s="6" t="str">
        <x:v>brand-service</x:v>
      </x:c>
      <x:c r="E1202" s="6" t="str">
        <x:v>Primary owner for assigned intent</x:v>
      </x:c>
      <x:c r="F1202" s="6" t="str">
        <x:v>Local source render; live version unverified</x:v>
      </x:c>
      <x:c r="G1202" s="6" t="str">
        <x:v>Porsche AC Repair Dubai | Digi-Tec</x:v>
      </x:c>
      <x:c r="H1202" s="6" t="str">
        <x:v>Porsche AC Repair Dubai | Digi-Tec</x:v>
      </x:c>
      <x:c r="I1202" s="6" t="str">
        <x:v>Porsche AC Repair Dubai</x:v>
      </x:c>
      <x:c r="J1202" s="6" t="str">
        <x:v>Porsche AC Repair Dubai</x:v>
      </x:c>
      <x:c r="K1202" s="6" t="str">
        <x:v>Porsche ac repair in Dubai with model-specific inspection, confirmed parts options and a clear quote at Digi-Tec, Al Quoz.</x:v>
      </x:c>
      <x:c r="L1202" s="6" t="str">
        <x:v>Retain pending evidence; no specific content edit justified by this export.</x:v>
      </x:c>
      <x:c r="M1202" s="6" t="str">
        <x:v>Retain; inspect relevant context before adding links</x:v>
      </x:c>
      <x:c r="N1202" s="6" t="str">
        <x:v>Unconfirmed — no query/page pairing</x:v>
      </x:c>
      <x:c r="O1202" s="6" t="str">
        <x:v>Retain established booking / WhatsApp / call path; live behaviour untested</x:v>
      </x:c>
      <x:c r="P1202" s="6" t="str">
        <x:v>Retain canonical and indexation policy pending a live check.</x:v>
      </x:c>
      <x:c r="Q1202" s="6" t="str">
        <x:v>Proposed; no website change made</x:v>
      </x:c>
      <x:c r="R1202" s="14" t="n">
        <x:v>0</x:v>
      </x:c>
      <x:c r="S1202" s="14" t="n">
        <x:v>55</x:v>
      </x:c>
      <x:c r="T1202" s="15" t="n">
        <x:v>0</x:v>
      </x:c>
      <x:c r="U1202" s="16" t="n">
        <x:v>17.04</x:v>
      </x:c>
      <x:c r="V1202" s="6" t="str">
        <x:v>https://digitecme.com/brands/porsche-service-dubai/ac-repair</x:v>
      </x:c>
      <x:c r="W1202" s="6" t="str">
        <x:v>Indexable directive</x:v>
      </x:c>
      <x:c r="X1202" s="6" t="n">
        <x:v>18</x:v>
      </x:c>
      <x:c r="Y1202" s="6" t="str">
        <x:v>Porsche AC Repair Dubai | Digi-Tec</x:v>
      </x:c>
      <x:c r="Z1202" s="6" t="str"/>
      <x:c r="AA1202" s="6" t="str">
        <x:v>No / not compared</x:v>
      </x:c>
    </x:row>
    <x:row r="1203" ht="42" customHeight="1">
      <x:c r="A1203" s="6" t="str">
        <x:v>https://digitecme.com/brands/porsche-service-dubai/battery-replacement</x:v>
      </x:c>
      <x:c r="B1203" s="6" t="str">
        <x:v>porsche battery replacement dubai</x:v>
      </x:c>
      <x:c r="C1203" s="6" t="str">
        <x:v>porsche: Battery service</x:v>
      </x:c>
      <x:c r="D1203" s="6" t="str">
        <x:v>brand-service</x:v>
      </x:c>
      <x:c r="E1203" s="6" t="str">
        <x:v>Primary owner for assigned intent</x:v>
      </x:c>
      <x:c r="F1203" s="6" t="str">
        <x:v>Local source render; live version unverified</x:v>
      </x:c>
      <x:c r="G1203" s="6" t="str">
        <x:v>Porsche Battery Replacement Dubai | Digi-Tec</x:v>
      </x:c>
      <x:c r="H1203" s="6" t="str">
        <x:v>Porsche Battery Replacement Dubai | Digi-Tec</x:v>
      </x:c>
      <x:c r="I1203" s="6" t="str">
        <x:v>Porsche Battery Replacement Dubai</x:v>
      </x:c>
      <x:c r="J1203" s="6" t="str">
        <x:v>Porsche Battery Replacement Dubai</x:v>
      </x:c>
      <x:c r="K1203" s="6" t="str">
        <x:v>Porsche battery replacement in Dubai with model-specific inspection, confirmed parts options and a clear quote at Digi-Tec, Al Quoz.</x:v>
      </x:c>
      <x:c r="L1203" s="6" t="str">
        <x:v>Retain pending evidence; no specific content edit justified by this export.</x:v>
      </x:c>
      <x:c r="M1203" s="6" t="str">
        <x:v>Retain; inspect relevant context before adding links</x:v>
      </x:c>
      <x:c r="N1203" s="6" t="str">
        <x:v>Unconfirmed — no query/page pairing</x:v>
      </x:c>
      <x:c r="O1203" s="6" t="str">
        <x:v>Retain established booking / WhatsApp / call path; live behaviour untested</x:v>
      </x:c>
      <x:c r="P1203" s="6" t="str">
        <x:v>Retain canonical and indexation policy pending a live check.</x:v>
      </x:c>
      <x:c r="Q1203" s="6" t="str">
        <x:v>Proposed; no website change made</x:v>
      </x:c>
      <x:c r="R1203" s="14" t="n">
        <x:v>1</x:v>
      </x:c>
      <x:c r="S1203" s="14" t="n">
        <x:v>145</x:v>
      </x:c>
      <x:c r="T1203" s="15" t="n">
        <x:v>0.0069</x:v>
      </x:c>
      <x:c r="U1203" s="16" t="n">
        <x:v>23.67</x:v>
      </x:c>
      <x:c r="V1203" s="6" t="str">
        <x:v>https://digitecme.com/brands/porsche-service-dubai/battery-replacement</x:v>
      </x:c>
      <x:c r="W1203" s="6" t="str">
        <x:v>Indexable directive</x:v>
      </x:c>
      <x:c r="X1203" s="6" t="n">
        <x:v>19</x:v>
      </x:c>
      <x:c r="Y1203" s="6" t="str">
        <x:v>Porsche Battery Replacement Dubai | Digi-Tec</x:v>
      </x:c>
      <x:c r="Z1203" s="6" t="str"/>
      <x:c r="AA1203" s="6" t="str">
        <x:v>No / not compared</x:v>
      </x:c>
    </x:row>
    <x:row r="1204" ht="42" customHeight="1">
      <x:c r="A1204" s="6" t="str">
        <x:v>https://digitecme.com/brands/porsche-service-dubai/body-repair</x:v>
      </x:c>
      <x:c r="B1204" s="6" t="str">
        <x:v>porsche body repair dubai</x:v>
      </x:c>
      <x:c r="C1204" s="6" t="str">
        <x:v>porsche: Body repair (English)</x:v>
      </x:c>
      <x:c r="D1204" s="6" t="str">
        <x:v>brand-service</x:v>
      </x:c>
      <x:c r="E1204" s="6" t="str">
        <x:v>Primary owner for assigned intent</x:v>
      </x:c>
      <x:c r="F1204" s="6" t="str">
        <x:v>Local source render; live version unverified</x:v>
      </x:c>
      <x:c r="G1204" s="6" t="str">
        <x:v>Porsche Body Repair Dubai | Digi-Tec</x:v>
      </x:c>
      <x:c r="H1204" s="6" t="str">
        <x:v>Porsche Body Repair Dubai | Digi-Tec</x:v>
      </x:c>
      <x:c r="I1204" s="6" t="str">
        <x:v>Porsche Body Repair Dubai</x:v>
      </x:c>
      <x:c r="J1204" s="6" t="str">
        <x:v>Porsche Body Repair Dubai</x:v>
      </x:c>
      <x:c r="K1204" s="6" t="str">
        <x:v>Porsche body repair in Dubai with model-specific inspection, confirmed parts options and a clear quote at Digi-Tec, Al Quoz.</x:v>
      </x:c>
      <x:c r="L1204" s="6" t="str">
        <x:v>Retain pending evidence; no specific content edit justified by this export.</x:v>
      </x:c>
      <x:c r="M1204" s="6" t="str">
        <x:v>Retain; inspect relevant context before adding links</x:v>
      </x:c>
      <x:c r="N1204" s="6" t="str">
        <x:v>Unconfirmed — no query/page pairing</x:v>
      </x:c>
      <x:c r="O1204" s="6" t="str">
        <x:v>Retain established booking / WhatsApp / call path; live behaviour untested</x:v>
      </x:c>
      <x:c r="P1204" s="6" t="str">
        <x:v>Retain canonical and indexation policy pending a live check.</x:v>
      </x:c>
      <x:c r="Q1204" s="6" t="str">
        <x:v>Proposed; no website change made</x:v>
      </x:c>
      <x:c r="R1204" s="14" t="n">
        <x:v>0</x:v>
      </x:c>
      <x:c r="S1204" s="14" t="n">
        <x:v>68</x:v>
      </x:c>
      <x:c r="T1204" s="15" t="n">
        <x:v>0</x:v>
      </x:c>
      <x:c r="U1204" s="16" t="n">
        <x:v>18.81</x:v>
      </x:c>
      <x:c r="V1204" s="6" t="str">
        <x:v>https://digitecme.com/brands/porsche-service-dubai/body-repair</x:v>
      </x:c>
      <x:c r="W1204" s="6" t="str">
        <x:v>Indexable directive</x:v>
      </x:c>
      <x:c r="X1204" s="6" t="n">
        <x:v>16</x:v>
      </x:c>
      <x:c r="Y1204" s="6" t="str">
        <x:v>Porsche Body Repair Dubai | Digi-Tec</x:v>
      </x:c>
      <x:c r="Z1204" s="6" t="str"/>
      <x:c r="AA1204" s="6" t="str">
        <x:v>No / not compared</x:v>
      </x:c>
    </x:row>
    <x:row r="1205" ht="42" customHeight="1">
      <x:c r="A1205" s="6" t="str">
        <x:v>https://digitecme.com/brands/porsche-service-dubai/brake-repair</x:v>
      </x:c>
      <x:c r="B1205" s="6" t="str">
        <x:v>porsche brake repair dubai</x:v>
      </x:c>
      <x:c r="C1205" s="6" t="str">
        <x:v>porsche: Brake repair</x:v>
      </x:c>
      <x:c r="D1205" s="6" t="str">
        <x:v>brand-service</x:v>
      </x:c>
      <x:c r="E1205" s="6" t="str">
        <x:v>Primary owner for assigned intent</x:v>
      </x:c>
      <x:c r="F1205" s="6" t="str">
        <x:v>Local source render; live version unverified</x:v>
      </x:c>
      <x:c r="G1205" s="6" t="str">
        <x:v>Porsche Brake Repair Dubai | Digi-Tec</x:v>
      </x:c>
      <x:c r="H1205" s="6" t="str">
        <x:v>Porsche Brake Repair Dubai | Digi-Tec</x:v>
      </x:c>
      <x:c r="I1205" s="6" t="str">
        <x:v>Porsche Brake Repair Dubai</x:v>
      </x:c>
      <x:c r="J1205" s="6" t="str">
        <x:v>Porsche Brake Repair Dubai</x:v>
      </x:c>
      <x:c r="K1205" s="6" t="str">
        <x:v>Porsche brake repair in Dubai with model-specific inspection, confirmed parts options and a clear quote at Digi-Tec, Al Quoz.</x:v>
      </x:c>
      <x:c r="L1205" s="6" t="str">
        <x:v>Retain pending evidence; no specific content edit justified by this export.</x:v>
      </x:c>
      <x:c r="M1205" s="6" t="str">
        <x:v>Retain; inspect relevant context before adding links</x:v>
      </x:c>
      <x:c r="N1205" s="6" t="str">
        <x:v>Unconfirmed — no query/page pairing</x:v>
      </x:c>
      <x:c r="O1205" s="6" t="str">
        <x:v>Retain established booking / WhatsApp / call path; live behaviour untested</x:v>
      </x:c>
      <x:c r="P1205" s="6" t="str">
        <x:v>Retain canonical and indexation policy pending a live check.</x:v>
      </x:c>
      <x:c r="Q1205" s="6" t="str">
        <x:v>Proposed; no website change made</x:v>
      </x:c>
      <x:c r="R1205" s="14" t="n">
        <x:v>0</x:v>
      </x:c>
      <x:c r="S1205" s="14" t="n">
        <x:v>21</x:v>
      </x:c>
      <x:c r="T1205" s="15" t="n">
        <x:v>0</x:v>
      </x:c>
      <x:c r="U1205" s="16" t="n">
        <x:v>34.43</x:v>
      </x:c>
      <x:c r="V1205" s="6" t="str">
        <x:v>https://digitecme.com/brands/porsche-service-dubai/brake-repair</x:v>
      </x:c>
      <x:c r="W1205" s="6" t="str">
        <x:v>Indexable directive</x:v>
      </x:c>
      <x:c r="X1205" s="6" t="n">
        <x:v>20</x:v>
      </x:c>
      <x:c r="Y1205" s="6" t="str">
        <x:v>Porsche Brake Repair Dubai | Digi-Tec</x:v>
      </x:c>
      <x:c r="Z1205" s="6" t="str"/>
      <x:c r="AA1205" s="6" t="str">
        <x:v>No / not compared</x:v>
      </x:c>
    </x:row>
    <x:row r="1206" ht="42" customHeight="1">
      <x:c r="A1206" s="6" t="str">
        <x:v>https://digitecme.com/brands/porsche-service-dubai/electrical-repair</x:v>
      </x:c>
      <x:c r="B1206" s="6" t="str">
        <x:v>porsche electrical repair dubai</x:v>
      </x:c>
      <x:c r="C1206" s="6" t="str">
        <x:v>porsche: Electrical repair</x:v>
      </x:c>
      <x:c r="D1206" s="6" t="str">
        <x:v>brand-service</x:v>
      </x:c>
      <x:c r="E1206" s="6" t="str">
        <x:v>Primary owner for assigned intent</x:v>
      </x:c>
      <x:c r="F1206" s="6" t="str">
        <x:v>Local source render; live version unverified</x:v>
      </x:c>
      <x:c r="G1206" s="6" t="str">
        <x:v>Porsche Electrical Repair Dubai | Digi-Tec</x:v>
      </x:c>
      <x:c r="H1206" s="6" t="str">
        <x:v>Porsche Electrical Repair Dubai | Digi-Tec</x:v>
      </x:c>
      <x:c r="I1206" s="6" t="str">
        <x:v>Porsche Electrical Repair Dubai</x:v>
      </x:c>
      <x:c r="J1206" s="6" t="str">
        <x:v>Porsche Electrical Repair Dubai</x:v>
      </x:c>
      <x:c r="K1206" s="6" t="str">
        <x:v>Porsche electrical repair in Dubai with model-specific inspection, confirmed parts options and a clear quote at Digi-Tec, Al Quoz.</x:v>
      </x:c>
      <x:c r="L1206" s="6" t="str">
        <x:v>Retain pending evidence; no specific content edit justified by this export.</x:v>
      </x:c>
      <x:c r="M1206" s="6" t="str">
        <x:v>Retain; inspect relevant context before adding links</x:v>
      </x:c>
      <x:c r="N1206" s="6" t="str">
        <x:v>Unconfirmed — no query/page pairing</x:v>
      </x:c>
      <x:c r="O1206" s="6" t="str">
        <x:v>Retain established booking / WhatsApp / call path; live behaviour untested</x:v>
      </x:c>
      <x:c r="P1206" s="6" t="str">
        <x:v>Retain canonical and indexation policy pending a live check.</x:v>
      </x:c>
      <x:c r="Q1206" s="6" t="str">
        <x:v>Proposed; no website change made</x:v>
      </x:c>
      <x:c r="R1206" s="14" t="n">
        <x:v>0</x:v>
      </x:c>
      <x:c r="S1206" s="14" t="n">
        <x:v>27</x:v>
      </x:c>
      <x:c r="T1206" s="15" t="n">
        <x:v>0</x:v>
      </x:c>
      <x:c r="U1206" s="16" t="n">
        <x:v>14.48</x:v>
      </x:c>
      <x:c r="V1206" s="6" t="str">
        <x:v>https://digitecme.com/brands/porsche-service-dubai/electrical-repair</x:v>
      </x:c>
      <x:c r="W1206" s="6" t="str">
        <x:v>Indexable directive</x:v>
      </x:c>
      <x:c r="X1206" s="6" t="n">
        <x:v>19</x:v>
      </x:c>
      <x:c r="Y1206" s="6" t="str">
        <x:v>Porsche Electrical Repair Dubai | Digi-Tec</x:v>
      </x:c>
      <x:c r="Z1206" s="6" t="str"/>
      <x:c r="AA1206" s="6" t="str">
        <x:v>No / not compared</x:v>
      </x:c>
    </x:row>
    <x:row r="1207" ht="57" customHeight="1">
      <x:c r="A1207" s="6" t="str">
        <x:v>https://digitecme.com/brands/porsche-service-dubai/engine-diagnostics</x:v>
      </x:c>
      <x:c r="B1207" s="6" t="str">
        <x:v>porsche diagnostic dubai</x:v>
      </x:c>
      <x:c r="C1207" s="6" t="str">
        <x:v>porsche: Diagnostics and supported coding</x:v>
      </x:c>
      <x:c r="D1207" s="6" t="str">
        <x:v>brand-service</x:v>
      </x:c>
      <x:c r="E1207" s="6" t="str">
        <x:v>Primary owner for assigned intent</x:v>
      </x:c>
      <x:c r="F1207" s="6" t="str">
        <x:v>Live HTML checked 9 Sep 2026</x:v>
      </x:c>
      <x:c r="G1207" s="6" t="str">
        <x:v>Porsche Engine Diagnostics Dubai | Digi-Tec</x:v>
      </x:c>
      <x:c r="H1207" s="6" t="str">
        <x:v>Porsche Diagnostics Dubai | DIGI-TEC Al Quoz</x:v>
      </x:c>
      <x:c r="I1207" s="6" t="str">
        <x:v>Porsche Engine Diagnostics Dubai</x:v>
      </x:c>
      <x:c r="J1207" s="6" t="str">
        <x:v>Porsche Diagnostics in Dubai</x:v>
      </x:c>
      <x:c r="K1207" s="6" t="str">
        <x:v>Porsche engine diagnostics in Dubai with model-specific inspection, confirmed parts options and a clear quote at Digi-Tec, Al Quoz.</x:v>
      </x:c>
      <x:c r="L1207" s="6" t="str">
        <x:v>Keep the fitted-system and access qualifications. Explain warning-light, drivability and relevant module checks without implying a DIP2 branch. Route physical electrical repairs to the electrical page.</x:v>
      </x:c>
      <x:c r="M1207" s="6" t="str">
        <x:v>Retain existing links</x:v>
      </x:c>
      <x:c r="N1207" s="6" t="str">
        <x:v>Unconfirmed — no query/page pairing</x:v>
      </x:c>
      <x:c r="O1207" s="6" t="str">
        <x:v>Book Porsche Diagnostics</x:v>
      </x:c>
      <x:c r="P1207" s="6" t="str">
        <x:v>Retain; verify against production before release</x:v>
      </x:c>
      <x:c r="Q1207" s="6" t="str">
        <x:v>Proposed; no website change made</x:v>
      </x:c>
      <x:c r="R1207" s="14" t="n">
        <x:v>0</x:v>
      </x:c>
      <x:c r="S1207" s="14" t="n">
        <x:v>24</x:v>
      </x:c>
      <x:c r="T1207" s="15" t="n">
        <x:v>0</x:v>
      </x:c>
      <x:c r="U1207" s="16" t="n">
        <x:v>27.58</x:v>
      </x:c>
      <x:c r="V1207" s="6" t="str">
        <x:v>https://digitecme.com/brands/porsche-service-dubai/engine-diagnostics</x:v>
      </x:c>
      <x:c r="W1207" s="6" t="str">
        <x:v>Indexable directive</x:v>
      </x:c>
      <x:c r="X1207" s="6" t="n">
        <x:v>31</x:v>
      </x:c>
      <x:c r="Y1207" s="6" t="str">
        <x:v>Porsche Engine Diagnostics Dubai | Digi-Tec</x:v>
      </x:c>
      <x:c r="Z1207" s="6" t="str">
        <x:v>Porsche Engine Diagnostics Dubai | Digi-Tec</x:v>
      </x:c>
      <x:c r="AA1207" s="6" t="str">
        <x:v>No / not compared</x:v>
      </x:c>
    </x:row>
    <x:row r="1208" ht="42" customHeight="1">
      <x:c r="A1208" s="6" t="str">
        <x:v>https://digitecme.com/brands/porsche-service-dubai/exhaust-repair</x:v>
      </x:c>
      <x:c r="B1208" s="6" t="str"/>
      <x:c r="C1208" s="6" t="str"/>
      <x:c r="D1208" s="6" t="str">
        <x:v>brand-service</x:v>
      </x:c>
      <x:c r="E1208" s="6" t="str">
        <x:v>Retain differentiated role</x:v>
      </x:c>
      <x:c r="F1208" s="6" t="str">
        <x:v>Local source render; live version unverified</x:v>
      </x:c>
      <x:c r="G1208" s="6" t="str">
        <x:v>Porsche Exhaust Repair Dubai | Digi-Tec</x:v>
      </x:c>
      <x:c r="H1208" s="6" t="str">
        <x:v>Porsche Exhaust Repair Dubai | Digi-Tec</x:v>
      </x:c>
      <x:c r="I1208" s="6" t="str">
        <x:v>Porsche Exhaust Repair Dubai</x:v>
      </x:c>
      <x:c r="J1208" s="6" t="str">
        <x:v>Porsche Exhaust Repair Dubai</x:v>
      </x:c>
      <x:c r="K1208" s="6" t="str">
        <x:v>Porsche exhaust repair in Dubai with model-specific inspection, confirmed parts options and a clear quote at Digi-Tec, Al Quoz.</x:v>
      </x:c>
      <x:c r="L1208" s="6" t="str">
        <x:v>Retain pending evidence; no specific content edit justified by this export.</x:v>
      </x:c>
      <x:c r="M1208" s="6" t="str">
        <x:v>Retain; inspect relevant context before adding links</x:v>
      </x:c>
      <x:c r="N1208" s="6" t="str">
        <x:v>Unconfirmed — no query/page pairing</x:v>
      </x:c>
      <x:c r="O1208" s="6" t="str">
        <x:v>Retain established booking / WhatsApp / call path; live behaviour untested</x:v>
      </x:c>
      <x:c r="P1208" s="6" t="str">
        <x:v>Retain canonical and indexation policy pending a live check.</x:v>
      </x:c>
      <x:c r="Q1208" s="6" t="str">
        <x:v>Proposed; no website change made</x:v>
      </x:c>
      <x:c r="R1208" s="14" t="n">
        <x:v>0</x:v>
      </x:c>
      <x:c r="S1208" s="14" t="n">
        <x:v>18</x:v>
      </x:c>
      <x:c r="T1208" s="15" t="n">
        <x:v>0</x:v>
      </x:c>
      <x:c r="U1208" s="16" t="n">
        <x:v>36.33</x:v>
      </x:c>
      <x:c r="V1208" s="6" t="str">
        <x:v>https://digitecme.com/brands/porsche-service-dubai/exhaust-repair</x:v>
      </x:c>
      <x:c r="W1208" s="6" t="str">
        <x:v>Indexable directive</x:v>
      </x:c>
      <x:c r="X1208" s="6" t="n">
        <x:v>16</x:v>
      </x:c>
      <x:c r="Y1208" s="6" t="str">
        <x:v>Porsche Exhaust Repair Dubai | Digi-Tec</x:v>
      </x:c>
      <x:c r="Z1208" s="6" t="str"/>
      <x:c r="AA1208" s="6" t="str">
        <x:v>No / not compared</x:v>
      </x:c>
    </x:row>
    <x:row r="1209" ht="42" customHeight="1">
      <x:c r="A1209" s="6" t="str">
        <x:v>https://digitecme.com/brands/porsche-service-dubai/fuel-system-repair</x:v>
      </x:c>
      <x:c r="B1209" s="6" t="str"/>
      <x:c r="C1209" s="6" t="str"/>
      <x:c r="D1209" s="6" t="str">
        <x:v>brand-service</x:v>
      </x:c>
      <x:c r="E1209" s="6" t="str">
        <x:v>Retain differentiated role</x:v>
      </x:c>
      <x:c r="F1209" s="6" t="str">
        <x:v>Local source render; live version unverified</x:v>
      </x:c>
      <x:c r="G1209" s="6" t="str">
        <x:v>Porsche Fuel System Repair Dubai | Digi-Tec</x:v>
      </x:c>
      <x:c r="H1209" s="6" t="str">
        <x:v>Porsche Fuel System Repair Dubai | Digi-Tec</x:v>
      </x:c>
      <x:c r="I1209" s="6" t="str">
        <x:v>Porsche Fuel System Repair Dubai</x:v>
      </x:c>
      <x:c r="J1209" s="6" t="str">
        <x:v>Porsche Fuel System Repair Dubai</x:v>
      </x:c>
      <x:c r="K1209" s="6" t="str">
        <x:v>Porsche fuel system repair in Dubai with model-specific inspection, confirmed parts options and a clear quote at Digi-Tec, Al Quoz.</x:v>
      </x:c>
      <x:c r="L1209" s="6" t="str">
        <x:v>Retain pending evidence; no specific content edit justified by this export.</x:v>
      </x:c>
      <x:c r="M1209" s="6" t="str">
        <x:v>Retain; inspect relevant context before adding links</x:v>
      </x:c>
      <x:c r="N1209" s="6" t="str">
        <x:v>Unconfirmed — no query/page pairing</x:v>
      </x:c>
      <x:c r="O1209" s="6" t="str">
        <x:v>Retain established booking / WhatsApp / call path; live behaviour untested</x:v>
      </x:c>
      <x:c r="P1209" s="6" t="str">
        <x:v>Retain canonical and indexation policy pending a live check.</x:v>
      </x:c>
      <x:c r="Q1209" s="6" t="str">
        <x:v>Proposed; no website change made</x:v>
      </x:c>
      <x:c r="R1209" s="14" t="n">
        <x:v>0</x:v>
      </x:c>
      <x:c r="S1209" s="14" t="n">
        <x:v>4</x:v>
      </x:c>
      <x:c r="T1209" s="15" t="n">
        <x:v>0</x:v>
      </x:c>
      <x:c r="U1209" s="16" t="n">
        <x:v>16</x:v>
      </x:c>
      <x:c r="V1209" s="6" t="str">
        <x:v>https://digitecme.com/brands/porsche-service-dubai/fuel-system-repair</x:v>
      </x:c>
      <x:c r="W1209" s="6" t="str">
        <x:v>Indexable directive</x:v>
      </x:c>
      <x:c r="X1209" s="6" t="n">
        <x:v>16</x:v>
      </x:c>
      <x:c r="Y1209" s="6" t="str">
        <x:v>Porsche Fuel System Repair Dubai | Digi-Tec</x:v>
      </x:c>
      <x:c r="Z1209" s="6" t="str"/>
      <x:c r="AA1209" s="6" t="str">
        <x:v>No / not compared</x:v>
      </x:c>
    </x:row>
    <x:row r="1210" ht="42" customHeight="1">
      <x:c r="A1210" s="6" t="str">
        <x:v>https://digitecme.com/brands/porsche-service-dubai/mechanical-repair</x:v>
      </x:c>
      <x:c r="B1210" s="6" t="str">
        <x:v>porsche engine repair dubai</x:v>
      </x:c>
      <x:c r="C1210" s="6" t="str">
        <x:v>porsche: Engine and mechanical repair</x:v>
      </x:c>
      <x:c r="D1210" s="6" t="str">
        <x:v>brand-service</x:v>
      </x:c>
      <x:c r="E1210" s="6" t="str">
        <x:v>Primary owner for assigned intent</x:v>
      </x:c>
      <x:c r="F1210" s="6" t="str">
        <x:v>Local source render; live version unverified</x:v>
      </x:c>
      <x:c r="G1210" s="6" t="str">
        <x:v>Porsche Mechanical Repair Dubai | Digi-Tec</x:v>
      </x:c>
      <x:c r="H1210" s="6" t="str">
        <x:v>Porsche Mechanical Repair Dubai | Digi-Tec</x:v>
      </x:c>
      <x:c r="I1210" s="6" t="str">
        <x:v>Porsche Mechanical Repair Dubai</x:v>
      </x:c>
      <x:c r="J1210" s="6" t="str">
        <x:v>Porsche Mechanical Repair Dubai</x:v>
      </x:c>
      <x:c r="K1210" s="6" t="str">
        <x:v>Porsche mechanical repair in Dubai with model-specific inspection, confirmed parts options and a clear quote at Digi-Tec, Al Quoz.</x:v>
      </x:c>
      <x:c r="L1210" s="6" t="str">
        <x:v>Retain pending evidence; no specific content edit justified by this export.</x:v>
      </x:c>
      <x:c r="M1210" s="6" t="str">
        <x:v>Retain; inspect relevant context before adding links</x:v>
      </x:c>
      <x:c r="N1210" s="6" t="str">
        <x:v>Unconfirmed — no query/page pairing</x:v>
      </x:c>
      <x:c r="O1210" s="6" t="str">
        <x:v>Retain established booking / WhatsApp / call path; live behaviour untested</x:v>
      </x:c>
      <x:c r="P1210" s="6" t="str">
        <x:v>Retain canonical and indexation policy pending a live check.</x:v>
      </x:c>
      <x:c r="Q1210" s="6" t="str">
        <x:v>Proposed; no website change made</x:v>
      </x:c>
      <x:c r="R1210" s="14" t="n">
        <x:v>0</x:v>
      </x:c>
      <x:c r="S1210" s="14" t="n">
        <x:v>182</x:v>
      </x:c>
      <x:c r="T1210" s="15" t="n">
        <x:v>0</x:v>
      </x:c>
      <x:c r="U1210" s="16" t="n">
        <x:v>74.48</x:v>
      </x:c>
      <x:c r="V1210" s="6" t="str">
        <x:v>https://digitecme.com/brands/porsche-service-dubai/mechanical-repair</x:v>
      </x:c>
      <x:c r="W1210" s="6" t="str">
        <x:v>Indexable directive</x:v>
      </x:c>
      <x:c r="X1210" s="6" t="n">
        <x:v>25</x:v>
      </x:c>
      <x:c r="Y1210" s="6" t="str">
        <x:v>Porsche Mechanical Repair Dubai | Digi-Tec</x:v>
      </x:c>
      <x:c r="Z1210" s="6" t="str"/>
      <x:c r="AA1210" s="6" t="str">
        <x:v>No / not compared</x:v>
      </x:c>
    </x:row>
    <x:row r="1211" ht="42" customHeight="1">
      <x:c r="A1211" s="6" t="str">
        <x:v>https://digitecme.com/brands/porsche-service-dubai/oil-change</x:v>
      </x:c>
      <x:c r="B1211" s="6" t="str">
        <x:v>porsche oil change dubai</x:v>
      </x:c>
      <x:c r="C1211" s="6" t="str">
        <x:v>porsche: Oil change</x:v>
      </x:c>
      <x:c r="D1211" s="6" t="str">
        <x:v>brand-service</x:v>
      </x:c>
      <x:c r="E1211" s="6" t="str">
        <x:v>Primary owner for assigned intent</x:v>
      </x:c>
      <x:c r="F1211" s="6" t="str">
        <x:v>Local source render; live version unverified</x:v>
      </x:c>
      <x:c r="G1211" s="6" t="str">
        <x:v>Porsche Oil Change Dubai | Digi-Tec</x:v>
      </x:c>
      <x:c r="H1211" s="6" t="str">
        <x:v>Porsche Oil Change Dubai | Digi-Tec</x:v>
      </x:c>
      <x:c r="I1211" s="6" t="str">
        <x:v>Porsche Oil Change Dubai</x:v>
      </x:c>
      <x:c r="J1211" s="6" t="str">
        <x:v>Porsche Oil Change Dubai</x:v>
      </x:c>
      <x:c r="K1211" s="6" t="str">
        <x:v>Porsche oil change in Dubai with model-specific inspection, confirmed parts options and a clear quote at Digi-Tec, Al Quoz.</x:v>
      </x:c>
      <x:c r="L1211" s="6" t="str">
        <x:v>Retain pending evidence; no specific content edit justified by this export.</x:v>
      </x:c>
      <x:c r="M1211" s="6" t="str">
        <x:v>Retain; inspect relevant context before adding links</x:v>
      </x:c>
      <x:c r="N1211" s="6" t="str">
        <x:v>Unconfirmed — no query/page pairing</x:v>
      </x:c>
      <x:c r="O1211" s="6" t="str">
        <x:v>Retain established booking / WhatsApp / call path; live behaviour untested</x:v>
      </x:c>
      <x:c r="P1211" s="6" t="str">
        <x:v>Retain canonical and indexation policy pending a live check.</x:v>
      </x:c>
      <x:c r="Q1211" s="6" t="str">
        <x:v>Proposed; no website change made</x:v>
      </x:c>
      <x:c r="R1211" s="14" t="n">
        <x:v>0</x:v>
      </x:c>
      <x:c r="S1211" s="14" t="n">
        <x:v>37</x:v>
      </x:c>
      <x:c r="T1211" s="15" t="n">
        <x:v>0</x:v>
      </x:c>
      <x:c r="U1211" s="16" t="n">
        <x:v>37.19</x:v>
      </x:c>
      <x:c r="V1211" s="6" t="str">
        <x:v>https://digitecme.com/brands/porsche-service-dubai/oil-change</x:v>
      </x:c>
      <x:c r="W1211" s="6" t="str">
        <x:v>Indexable directive</x:v>
      </x:c>
      <x:c r="X1211" s="6" t="n">
        <x:v>26</x:v>
      </x:c>
      <x:c r="Y1211" s="6" t="str">
        <x:v>Porsche Oil Change Dubai | Digi-Tec</x:v>
      </x:c>
      <x:c r="Z1211" s="6" t="str"/>
      <x:c r="AA1211" s="6" t="str">
        <x:v>No / not compared</x:v>
      </x:c>
    </x:row>
    <x:row r="1212" ht="72" customHeight="1">
      <x:c r="A1212" s="6" t="str">
        <x:v>https://digitecme.com/brands/porsche-service-dubai/steering-repair</x:v>
      </x:c>
      <x:c r="B1212" s="6" t="str">
        <x:v>porsche steering repair dubai</x:v>
      </x:c>
      <x:c r="C1212" s="6" t="str">
        <x:v>porsche: Steering repair</x:v>
      </x:c>
      <x:c r="D1212" s="6" t="str">
        <x:v>brand-service</x:v>
      </x:c>
      <x:c r="E1212" s="6" t="str">
        <x:v>Primary owner for assigned intent</x:v>
      </x:c>
      <x:c r="F1212" s="6" t="str">
        <x:v>Live HTML checked 9 Sep 2026</x:v>
      </x:c>
      <x:c r="G1212" s="6" t="str">
        <x:v>Porsche Steering Repair Dubai | Digi-Tec</x:v>
      </x:c>
      <x:c r="H1212" s="6" t="str">
        <x:v>Porsche Steering Repair Dubai | Digi-Tec</x:v>
      </x:c>
      <x:c r="I1212" s="6" t="str">
        <x:v>Porsche Steering Repair Dubai</x:v>
      </x:c>
      <x:c r="J1212" s="6" t="str">
        <x:v>Porsche Steering Repair Dubai</x:v>
      </x:c>
      <x:c r="K1212" s="6" t="str">
        <x:v>Porsche steering repair in Dubai with model-specific inspection, confirmed parts options and a clear quote at Digi-Tec, Al Quoz.</x:v>
      </x:c>
      <x:c r="L1212" s="6" t="str">
        <x:v>Replace the unrelated Cayenne air-suspension/GT3 heat sentence in the opening with steering-specific symptoms and fitted-system identification. Explain rack, assistance, wiring, suspension and alignment checks; repair-versus-replacement and quote factors. Correct the malformed models heading.</x:v>
      </x:c>
      <x:c r="M1212" s="6" t="str">
        <x:v>Link here from the Porsche hub steering section and relevant chassis guides; retain a hub return link.</x:v>
      </x:c>
      <x:c r="N1212" s="6" t="str">
        <x:v>Unconfirmed — no query/page pairing</x:v>
      </x:c>
      <x:c r="O1212" s="6" t="str">
        <x:v>Request a Porsche Steering Inspection</x:v>
      </x:c>
      <x:c r="P1212" s="6" t="str">
        <x:v>Retain; verify against production before release</x:v>
      </x:c>
      <x:c r="Q1212" s="6" t="str">
        <x:v>Proposed; no website change made</x:v>
      </x:c>
      <x:c r="R1212" s="14" t="n">
        <x:v>1</x:v>
      </x:c>
      <x:c r="S1212" s="14" t="n">
        <x:v>31</x:v>
      </x:c>
      <x:c r="T1212" s="15" t="n">
        <x:v>0.0323</x:v>
      </x:c>
      <x:c r="U1212" s="16" t="n">
        <x:v>35.9</x:v>
      </x:c>
      <x:c r="V1212" s="6" t="str">
        <x:v>https://digitecme.com/brands/porsche-service-dubai/steering-repair</x:v>
      </x:c>
      <x:c r="W1212" s="6" t="str">
        <x:v>Indexable directive</x:v>
      </x:c>
      <x:c r="X1212" s="6" t="n">
        <x:v>18</x:v>
      </x:c>
      <x:c r="Y1212" s="6" t="str">
        <x:v>Porsche Steering Repair Dubai | Digi-Tec</x:v>
      </x:c>
      <x:c r="Z1212" s="6" t="str">
        <x:v>Porsche Steering Repair Dubai | Digi-Tec</x:v>
      </x:c>
      <x:c r="AA1212" s="6" t="str">
        <x:v>No / not compared</x:v>
      </x:c>
    </x:row>
    <x:row r="1213" ht="42" customHeight="1">
      <x:c r="A1213" s="6" t="str">
        <x:v>https://digitecme.com/brands/porsche-service-dubai/suspension-repair</x:v>
      </x:c>
      <x:c r="B1213" s="6" t="str">
        <x:v>porsche suspension repair dubai</x:v>
      </x:c>
      <x:c r="C1213" s="6" t="str">
        <x:v>porsche: Suspension repair</x:v>
      </x:c>
      <x:c r="D1213" s="6" t="str">
        <x:v>brand-service</x:v>
      </x:c>
      <x:c r="E1213" s="6" t="str">
        <x:v>Primary owner for assigned intent</x:v>
      </x:c>
      <x:c r="F1213" s="6" t="str">
        <x:v>Local source render; live version unverified</x:v>
      </x:c>
      <x:c r="G1213" s="6" t="str">
        <x:v>Porsche Suspension Repair Dubai | Digi-Tec</x:v>
      </x:c>
      <x:c r="H1213" s="6" t="str">
        <x:v>Porsche Suspension Repair Dubai | Digi-Tec</x:v>
      </x:c>
      <x:c r="I1213" s="6" t="str">
        <x:v>Porsche Suspension Repair Dubai</x:v>
      </x:c>
      <x:c r="J1213" s="6" t="str">
        <x:v>Porsche Suspension Repair Dubai</x:v>
      </x:c>
      <x:c r="K1213" s="6" t="str">
        <x:v>Porsche suspension repair in Dubai with model-specific inspection, confirmed parts options and a clear quote at Digi-Tec, Al Quoz.</x:v>
      </x:c>
      <x:c r="L1213" s="6" t="str">
        <x:v>Retain pending evidence; no specific content edit justified by this export.</x:v>
      </x:c>
      <x:c r="M1213" s="6" t="str">
        <x:v>Retain; inspect relevant context before adding links</x:v>
      </x:c>
      <x:c r="N1213" s="6" t="str">
        <x:v>Unconfirmed — no query/page pairing</x:v>
      </x:c>
      <x:c r="O1213" s="6" t="str">
        <x:v>Retain established booking / WhatsApp / call path; live behaviour untested</x:v>
      </x:c>
      <x:c r="P1213" s="6" t="str">
        <x:v>Retain canonical and indexation policy pending a live check.</x:v>
      </x:c>
      <x:c r="Q1213" s="6" t="str">
        <x:v>Proposed; no website change made</x:v>
      </x:c>
      <x:c r="R1213" s="14" t="n">
        <x:v>0</x:v>
      </x:c>
      <x:c r="S1213" s="14" t="n">
        <x:v>64</x:v>
      </x:c>
      <x:c r="T1213" s="15" t="n">
        <x:v>0</x:v>
      </x:c>
      <x:c r="U1213" s="16" t="n">
        <x:v>11.56</x:v>
      </x:c>
      <x:c r="V1213" s="6" t="str">
        <x:v>https://digitecme.com/brands/porsche-service-dubai/suspension-repair</x:v>
      </x:c>
      <x:c r="W1213" s="6" t="str">
        <x:v>Indexable directive</x:v>
      </x:c>
      <x:c r="X1213" s="6" t="n">
        <x:v>33</x:v>
      </x:c>
      <x:c r="Y1213" s="6" t="str">
        <x:v>Porsche Suspension Repair Dubai | Digi-Tec</x:v>
      </x:c>
      <x:c r="Z1213" s="6" t="str"/>
      <x:c r="AA1213" s="6" t="str">
        <x:v>No / not compared</x:v>
      </x:c>
    </x:row>
    <x:row r="1214" ht="42" customHeight="1">
      <x:c r="A1214" s="6" t="str">
        <x:v>https://digitecme.com/brands/porsche-service-dubai/tire-repair</x:v>
      </x:c>
      <x:c r="B1214" s="6" t="str">
        <x:v>porsche tyre replacement dubai</x:v>
      </x:c>
      <x:c r="C1214" s="6" t="str">
        <x:v>porsche: Tyre repair</x:v>
      </x:c>
      <x:c r="D1214" s="6" t="str">
        <x:v>brand-service</x:v>
      </x:c>
      <x:c r="E1214" s="6" t="str">
        <x:v>Primary owner for assigned intent</x:v>
      </x:c>
      <x:c r="F1214" s="6" t="str">
        <x:v>Local source render; live version unverified</x:v>
      </x:c>
      <x:c r="G1214" s="6" t="str">
        <x:v>Porsche Tyre Repair Dubai | Digi-Tec</x:v>
      </x:c>
      <x:c r="H1214" s="6" t="str">
        <x:v>Porsche Tyre Repair Dubai | Digi-Tec</x:v>
      </x:c>
      <x:c r="I1214" s="6" t="str">
        <x:v>Porsche Tyre Repair Dubai</x:v>
      </x:c>
      <x:c r="J1214" s="6" t="str">
        <x:v>Porsche Tyre Repair Dubai</x:v>
      </x:c>
      <x:c r="K1214" s="6" t="str">
        <x:v>Porsche tyre repair in Dubai with model-specific inspection, confirmed parts options and a clear quote at Digi-Tec, Al Quoz.</x:v>
      </x:c>
      <x:c r="L1214" s="6" t="str">
        <x:v>Retain pending evidence; no specific content edit justified by this export.</x:v>
      </x:c>
      <x:c r="M1214" s="6" t="str">
        <x:v>Retain; inspect relevant context before adding links</x:v>
      </x:c>
      <x:c r="N1214" s="6" t="str">
        <x:v>Unconfirmed — no query/page pairing</x:v>
      </x:c>
      <x:c r="O1214" s="6" t="str">
        <x:v>Retain established booking / WhatsApp / call path; live behaviour untested</x:v>
      </x:c>
      <x:c r="P1214" s="6" t="str">
        <x:v>Retain canonical and indexation policy pending a live check.</x:v>
      </x:c>
      <x:c r="Q1214" s="6" t="str">
        <x:v>Proposed; no website change made</x:v>
      </x:c>
      <x:c r="R1214" s="14" t="n">
        <x:v>0</x:v>
      </x:c>
      <x:c r="S1214" s="14" t="n">
        <x:v>33</x:v>
      </x:c>
      <x:c r="T1214" s="15" t="n">
        <x:v>0</x:v>
      </x:c>
      <x:c r="U1214" s="16" t="n">
        <x:v>24.24</x:v>
      </x:c>
      <x:c r="V1214" s="6" t="str">
        <x:v>https://digitecme.com/brands/porsche-service-dubai/tire-repair</x:v>
      </x:c>
      <x:c r="W1214" s="6" t="str">
        <x:v>Indexable directive</x:v>
      </x:c>
      <x:c r="X1214" s="6" t="n">
        <x:v>17</x:v>
      </x:c>
      <x:c r="Y1214" s="6" t="str">
        <x:v>Porsche Tyre Repair Dubai | Digi-Tec</x:v>
      </x:c>
      <x:c r="Z1214" s="6" t="str"/>
      <x:c r="AA1214" s="6" t="str">
        <x:v>No / not compared</x:v>
      </x:c>
    </x:row>
    <x:row r="1215" ht="42" customHeight="1">
      <x:c r="A1215" s="6" t="str">
        <x:v>https://digitecme.com/brands/porsche-service-dubai/transmission-repair</x:v>
      </x:c>
      <x:c r="B1215" s="6" t="str">
        <x:v>porsche gearbox repair dubai</x:v>
      </x:c>
      <x:c r="C1215" s="6" t="str">
        <x:v>porsche: Transmission and gearbox repair</x:v>
      </x:c>
      <x:c r="D1215" s="6" t="str">
        <x:v>brand-service</x:v>
      </x:c>
      <x:c r="E1215" s="6" t="str">
        <x:v>Primary owner for assigned intent</x:v>
      </x:c>
      <x:c r="F1215" s="6" t="str">
        <x:v>Local source render; live version unverified</x:v>
      </x:c>
      <x:c r="G1215" s="6" t="str">
        <x:v>Porsche Transmission Repair Dubai | Digi-Tec</x:v>
      </x:c>
      <x:c r="H1215" s="6" t="str">
        <x:v>Porsche Transmission Repair Dubai | Digi-Tec</x:v>
      </x:c>
      <x:c r="I1215" s="6" t="str">
        <x:v>Porsche Transmission Repair Dubai</x:v>
      </x:c>
      <x:c r="J1215" s="6" t="str">
        <x:v>Porsche Transmission Repair Dubai</x:v>
      </x:c>
      <x:c r="K1215" s="6" t="str">
        <x:v>Porsche transmission repair in Dubai with model-specific inspection, confirmed parts options and a clear quote at Digi-Tec, Al Quoz.</x:v>
      </x:c>
      <x:c r="L1215" s="6" t="str">
        <x:v>Retain pending evidence; no specific content edit justified by this export.</x:v>
      </x:c>
      <x:c r="M1215" s="6" t="str">
        <x:v>Retain; inspect relevant context before adding links</x:v>
      </x:c>
      <x:c r="N1215" s="6" t="str">
        <x:v>Unconfirmed — no query/page pairing</x:v>
      </x:c>
      <x:c r="O1215" s="6" t="str">
        <x:v>Retain established booking / WhatsApp / call path; live behaviour untested</x:v>
      </x:c>
      <x:c r="P1215" s="6" t="str">
        <x:v>Retain canonical and indexation policy pending a live check.</x:v>
      </x:c>
      <x:c r="Q1215" s="6" t="str">
        <x:v>Proposed; no website change made</x:v>
      </x:c>
      <x:c r="R1215" s="14" t="n">
        <x:v>0</x:v>
      </x:c>
      <x:c r="S1215" s="14" t="n">
        <x:v>41</x:v>
      </x:c>
      <x:c r="T1215" s="15" t="n">
        <x:v>0</x:v>
      </x:c>
      <x:c r="U1215" s="16" t="n">
        <x:v>16.32</x:v>
      </x:c>
      <x:c r="V1215" s="6" t="str">
        <x:v>https://digitecme.com/brands/porsche-service-dubai/transmission-repair</x:v>
      </x:c>
      <x:c r="W1215" s="6" t="str">
        <x:v>Indexable directive</x:v>
      </x:c>
      <x:c r="X1215" s="6" t="n">
        <x:v>31</x:v>
      </x:c>
      <x:c r="Y1215" s="6" t="str">
        <x:v>Porsche Transmission Repair Dubai | Digi-Tec</x:v>
      </x:c>
      <x:c r="Z1215" s="6" t="str"/>
      <x:c r="AA1215" s="6" t="str">
        <x:v>No / not compared</x:v>
      </x:c>
    </x:row>
    <x:row r="1216" ht="57" customHeight="1">
      <x:c r="A1216" s="6" t="str">
        <x:v>https://digitecme.com/brands/range-rover-service-dubai</x:v>
      </x:c>
      <x:c r="B1216" s="6" t="str">
        <x:v>range rover repair dubai</x:v>
      </x:c>
      <x:c r="C1216" s="6" t="str">
        <x:v>range-rover: Service and repair</x:v>
      </x:c>
      <x:c r="D1216" s="6" t="str">
        <x:v>brand</x:v>
      </x:c>
      <x:c r="E1216" s="6" t="str">
        <x:v>Primary owner for assigned intent</x:v>
      </x:c>
      <x:c r="F1216" s="6" t="str">
        <x:v>Local source render; live version unverified</x:v>
      </x:c>
      <x:c r="G1216" s="6" t="str">
        <x:v>Range Rover Repair Dubai | JLR Specialist Workshop</x:v>
      </x:c>
      <x:c r="H1216" s="6" t="str">
        <x:v>Range Rover Repair Dubai | JLR Specialist Workshop</x:v>
      </x:c>
      <x:c r="I1216" s="6" t="str">
        <x:v>Range Rover Repair &amp; Service Dubai</x:v>
      </x:c>
      <x:c r="J1216" s="6" t="str">
        <x:v>Range Rover Repair &amp; Service Dubai</x:v>
      </x:c>
      <x:c r="K1216" s="6" t="str">
        <x:v>Range Rover repair and service in Dubai for Range Rover, Sport, Velar and Evoque. JLR diagnostics, air suspension, cooling and ZF care in Al Quoz.</x:v>
      </x:c>
      <x:c r="L1216" s="6" t="str">
        <x:v>Retain pending evidence; no specific content edit justified by this export.</x:v>
      </x:c>
      <x:c r="M1216" s="6" t="str">
        <x:v>Retain; inspect relevant context before adding links</x:v>
      </x:c>
      <x:c r="N1216" s="6" t="str">
        <x:v>Unconfirmed — no query/page pairing</x:v>
      </x:c>
      <x:c r="O1216" s="6" t="str">
        <x:v>Retain established booking / WhatsApp / call path; live behaviour untested</x:v>
      </x:c>
      <x:c r="P1216" s="6" t="str">
        <x:v>Retain canonical and indexation policy pending a live check.</x:v>
      </x:c>
      <x:c r="Q1216" s="6" t="str">
        <x:v>Proposed; no website change made</x:v>
      </x:c>
      <x:c r="R1216" s="14" t="n">
        <x:v>1</x:v>
      </x:c>
      <x:c r="S1216" s="14" t="n">
        <x:v>221</x:v>
      </x:c>
      <x:c r="T1216" s="15" t="n">
        <x:v>0.0045000000000000005</x:v>
      </x:c>
      <x:c r="U1216" s="16" t="n">
        <x:v>30.18</x:v>
      </x:c>
      <x:c r="V1216" s="6" t="str">
        <x:v>https://digitecme.com/brands/range-rover-service-dubai</x:v>
      </x:c>
      <x:c r="W1216" s="6" t="str">
        <x:v>Indexable directive</x:v>
      </x:c>
      <x:c r="X1216" s="6" t="n">
        <x:v>54</x:v>
      </x:c>
      <x:c r="Y1216" s="6" t="str">
        <x:v>Range Rover Repair Dubai | JLR Specialist Workshop</x:v>
      </x:c>
      <x:c r="Z1216" s="6" t="str"/>
      <x:c r="AA1216" s="6" t="str">
        <x:v>No / not compared</x:v>
      </x:c>
    </x:row>
    <x:row r="1217" ht="42" customHeight="1">
      <x:c r="A1217" s="6" t="str">
        <x:v>https://digitecme.com/brands/range-rover-service-dubai/ac-repair</x:v>
      </x:c>
      <x:c r="B1217" s="6" t="str">
        <x:v>range rover ac repair</x:v>
      </x:c>
      <x:c r="C1217" s="6" t="str">
        <x:v>range-rover: AC repair</x:v>
      </x:c>
      <x:c r="D1217" s="6" t="str">
        <x:v>brand-service</x:v>
      </x:c>
      <x:c r="E1217" s="6" t="str">
        <x:v>Primary owner for assigned intent</x:v>
      </x:c>
      <x:c r="F1217" s="6" t="str">
        <x:v>Local source render; live version unverified</x:v>
      </x:c>
      <x:c r="G1217" s="6" t="str">
        <x:v>Range Rover AC Repair Dubai | Digi-Tec</x:v>
      </x:c>
      <x:c r="H1217" s="6" t="str">
        <x:v>Range Rover AC Repair Dubai | Digi-Tec</x:v>
      </x:c>
      <x:c r="I1217" s="6" t="str">
        <x:v>Range Rover AC Repair Dubai</x:v>
      </x:c>
      <x:c r="J1217" s="6" t="str">
        <x:v>Range Rover AC Repair Dubai</x:v>
      </x:c>
      <x:c r="K1217" s="6" t="str">
        <x:v>Range Rover ac repair in Dubai with model-specific inspection, confirmed parts options and a clear quote at Digi-Tec, Al Quoz.</x:v>
      </x:c>
      <x:c r="L1217" s="6" t="str">
        <x:v>Retain pending evidence; no specific content edit justified by this export.</x:v>
      </x:c>
      <x:c r="M1217" s="6" t="str">
        <x:v>Retain; inspect relevant context before adding links</x:v>
      </x:c>
      <x:c r="N1217" s="6" t="str">
        <x:v>Unconfirmed — no query/page pairing</x:v>
      </x:c>
      <x:c r="O1217" s="6" t="str">
        <x:v>Retain established booking / WhatsApp / call path; live behaviour untested</x:v>
      </x:c>
      <x:c r="P1217" s="6" t="str">
        <x:v>Retain canonical and indexation policy pending a live check.</x:v>
      </x:c>
      <x:c r="Q1217" s="6" t="str">
        <x:v>Proposed; no website change made</x:v>
      </x:c>
      <x:c r="R1217" s="14" t="n">
        <x:v>0</x:v>
      </x:c>
      <x:c r="S1217" s="14" t="n">
        <x:v>28</x:v>
      </x:c>
      <x:c r="T1217" s="15" t="n">
        <x:v>0</x:v>
      </x:c>
      <x:c r="U1217" s="16" t="n">
        <x:v>22.39</x:v>
      </x:c>
      <x:c r="V1217" s="6" t="str">
        <x:v>https://digitecme.com/brands/range-rover-service-dubai/ac-repair</x:v>
      </x:c>
      <x:c r="W1217" s="6" t="str">
        <x:v>Indexable directive</x:v>
      </x:c>
      <x:c r="X1217" s="6" t="n">
        <x:v>16</x:v>
      </x:c>
      <x:c r="Y1217" s="6" t="str">
        <x:v>Range Rover AC Repair Dubai | Digi-Tec</x:v>
      </x:c>
      <x:c r="Z1217" s="6" t="str"/>
      <x:c r="AA1217" s="6" t="str">
        <x:v>No / not compared</x:v>
      </x:c>
    </x:row>
    <x:row r="1218" ht="42" customHeight="1">
      <x:c r="A1218" s="6" t="str">
        <x:v>https://digitecme.com/brands/range-rover-service-dubai/battery-replacement</x:v>
      </x:c>
      <x:c r="B1218" s="6" t="str"/>
      <x:c r="C1218" s="6" t="str"/>
      <x:c r="D1218" s="6" t="str">
        <x:v>brand-service</x:v>
      </x:c>
      <x:c r="E1218" s="6" t="str">
        <x:v>Retain differentiated role</x:v>
      </x:c>
      <x:c r="F1218" s="6" t="str">
        <x:v>Local source render; live version unverified</x:v>
      </x:c>
      <x:c r="G1218" s="6" t="str">
        <x:v>Range Rover Battery Replacement Dubai | Digi-Tec</x:v>
      </x:c>
      <x:c r="H1218" s="6" t="str">
        <x:v>Range Rover Battery Replacement Dubai | Digi-Tec</x:v>
      </x:c>
      <x:c r="I1218" s="6" t="str">
        <x:v>Range Rover Battery Replacement Dubai</x:v>
      </x:c>
      <x:c r="J1218" s="6" t="str">
        <x:v>Range Rover Battery Replacement Dubai</x:v>
      </x:c>
      <x:c r="K1218" s="6" t="str">
        <x:v>Range Rover battery replacement in Dubai with model-specific inspection, confirmed parts options and a clear quote at Digi-Tec, Al Quoz.</x:v>
      </x:c>
      <x:c r="L1218" s="6" t="str">
        <x:v>Retain pending evidence; no specific content edit justified by this export.</x:v>
      </x:c>
      <x:c r="M1218" s="6" t="str">
        <x:v>Retain; inspect relevant context before adding links</x:v>
      </x:c>
      <x:c r="N1218" s="6" t="str">
        <x:v>Unconfirmed — no query/page pairing</x:v>
      </x:c>
      <x:c r="O1218" s="6" t="str">
        <x:v>Retain established booking / WhatsApp / call path; live behaviour untested</x:v>
      </x:c>
      <x:c r="P1218" s="6" t="str">
        <x:v>Retain canonical and indexation policy pending a live check.</x:v>
      </x:c>
      <x:c r="Q1218" s="6" t="str">
        <x:v>Proposed; no website change made</x:v>
      </x:c>
      <x:c r="R1218" s="14"/>
      <x:c r="S1218" s="14"/>
      <x:c r="T1218" s="15"/>
      <x:c r="U1218" s="16"/>
      <x:c r="V1218" s="6" t="str">
        <x:v>https://digitecme.com/brands/range-rover-service-dubai/battery-replacement</x:v>
      </x:c>
      <x:c r="W1218" s="6" t="str">
        <x:v>Indexable directive</x:v>
      </x:c>
      <x:c r="X1218" s="6" t="n">
        <x:v>16</x:v>
      </x:c>
      <x:c r="Y1218" s="6" t="str">
        <x:v>Range Rover Battery Replacement Dubai | Digi-Tec</x:v>
      </x:c>
      <x:c r="Z1218" s="6" t="str"/>
      <x:c r="AA1218" s="6" t="str">
        <x:v>No / not compared</x:v>
      </x:c>
    </x:row>
    <x:row r="1219" ht="42" customHeight="1">
      <x:c r="A1219" s="6" t="str">
        <x:v>https://digitecme.com/brands/range-rover-service-dubai/body-repair</x:v>
      </x:c>
      <x:c r="B1219" s="6" t="str">
        <x:v>range rover body repair dubai</x:v>
      </x:c>
      <x:c r="C1219" s="6" t="str">
        <x:v>range-rover: Body repair</x:v>
      </x:c>
      <x:c r="D1219" s="6" t="str">
        <x:v>brand-service</x:v>
      </x:c>
      <x:c r="E1219" s="6" t="str">
        <x:v>Primary owner for assigned intent</x:v>
      </x:c>
      <x:c r="F1219" s="6" t="str">
        <x:v>Local source render; live version unverified</x:v>
      </x:c>
      <x:c r="G1219" s="6" t="str">
        <x:v>Range Rover Body Repair Dubai | Digi-Tec</x:v>
      </x:c>
      <x:c r="H1219" s="6" t="str">
        <x:v>Range Rover Body Repair Dubai | Digi-Tec</x:v>
      </x:c>
      <x:c r="I1219" s="6" t="str">
        <x:v>Range Rover Body Repair Dubai</x:v>
      </x:c>
      <x:c r="J1219" s="6" t="str">
        <x:v>Range Rover Body Repair Dubai</x:v>
      </x:c>
      <x:c r="K1219" s="6" t="str">
        <x:v>Range Rover body repair in Dubai with model-specific inspection, confirmed parts options and a clear quote at Digi-Tec, Al Quoz.</x:v>
      </x:c>
      <x:c r="L1219" s="6" t="str">
        <x:v>Retain pending evidence; no specific content edit justified by this export.</x:v>
      </x:c>
      <x:c r="M1219" s="6" t="str">
        <x:v>Retain; inspect relevant context before adding links</x:v>
      </x:c>
      <x:c r="N1219" s="6" t="str">
        <x:v>Unconfirmed — no query/page pairing</x:v>
      </x:c>
      <x:c r="O1219" s="6" t="str">
        <x:v>Retain established booking / WhatsApp / call path; live behaviour untested</x:v>
      </x:c>
      <x:c r="P1219" s="6" t="str">
        <x:v>Retain canonical and indexation policy pending a live check.</x:v>
      </x:c>
      <x:c r="Q1219" s="6" t="str">
        <x:v>Proposed; no website change made</x:v>
      </x:c>
      <x:c r="R1219" s="14" t="n">
        <x:v>0</x:v>
      </x:c>
      <x:c r="S1219" s="14" t="n">
        <x:v>31</x:v>
      </x:c>
      <x:c r="T1219" s="15" t="n">
        <x:v>0</x:v>
      </x:c>
      <x:c r="U1219" s="16" t="n">
        <x:v>16.48</x:v>
      </x:c>
      <x:c r="V1219" s="6" t="str">
        <x:v>https://digitecme.com/brands/range-rover-service-dubai/body-repair</x:v>
      </x:c>
      <x:c r="W1219" s="6" t="str">
        <x:v>Indexable directive</x:v>
      </x:c>
      <x:c r="X1219" s="6" t="n">
        <x:v>16</x:v>
      </x:c>
      <x:c r="Y1219" s="6" t="str">
        <x:v>Range Rover Body Repair Dubai | Digi-Tec</x:v>
      </x:c>
      <x:c r="Z1219" s="6" t="str"/>
      <x:c r="AA1219" s="6" t="str">
        <x:v>No / not compared</x:v>
      </x:c>
    </x:row>
    <x:row r="1220" ht="42" customHeight="1">
      <x:c r="A1220" s="6" t="str">
        <x:v>https://digitecme.com/brands/range-rover-service-dubai/brake-repair</x:v>
      </x:c>
      <x:c r="B1220" s="6" t="str">
        <x:v>land rover range rover sport svr brake pads replacement dubai</x:v>
      </x:c>
      <x:c r="C1220" s="6" t="str">
        <x:v>range-rover: Brake repair</x:v>
      </x:c>
      <x:c r="D1220" s="6" t="str">
        <x:v>brand-service</x:v>
      </x:c>
      <x:c r="E1220" s="6" t="str">
        <x:v>Primary owner for assigned intent</x:v>
      </x:c>
      <x:c r="F1220" s="6" t="str">
        <x:v>Local source render; live version unverified</x:v>
      </x:c>
      <x:c r="G1220" s="6" t="str">
        <x:v>Range Rover Brake Repair Dubai | Digi-Tec</x:v>
      </x:c>
      <x:c r="H1220" s="6" t="str">
        <x:v>Range Rover Brake Repair Dubai | Digi-Tec</x:v>
      </x:c>
      <x:c r="I1220" s="6" t="str">
        <x:v>Range Rover Brake Repair Dubai</x:v>
      </x:c>
      <x:c r="J1220" s="6" t="str">
        <x:v>Range Rover Brake Repair Dubai</x:v>
      </x:c>
      <x:c r="K1220" s="6" t="str">
        <x:v>Range Rover brake repair in Dubai with model-specific inspection, confirmed parts options and a clear quote at Digi-Tec, Al Quoz.</x:v>
      </x:c>
      <x:c r="L1220" s="6" t="str">
        <x:v>Retain pending evidence; no specific content edit justified by this export.</x:v>
      </x:c>
      <x:c r="M1220" s="6" t="str">
        <x:v>Retain; inspect relevant context before adding links</x:v>
      </x:c>
      <x:c r="N1220" s="6" t="str">
        <x:v>Unconfirmed — no query/page pairing</x:v>
      </x:c>
      <x:c r="O1220" s="6" t="str">
        <x:v>Retain established booking / WhatsApp / call path; live behaviour untested</x:v>
      </x:c>
      <x:c r="P1220" s="6" t="str">
        <x:v>Retain canonical and indexation policy pending a live check.</x:v>
      </x:c>
      <x:c r="Q1220" s="6" t="str">
        <x:v>Proposed; no website change made</x:v>
      </x:c>
      <x:c r="R1220" s="14"/>
      <x:c r="S1220" s="14"/>
      <x:c r="T1220" s="15"/>
      <x:c r="U1220" s="16"/>
      <x:c r="V1220" s="6" t="str">
        <x:v>https://digitecme.com/brands/range-rover-service-dubai/brake-repair</x:v>
      </x:c>
      <x:c r="W1220" s="6" t="str">
        <x:v>Indexable directive</x:v>
      </x:c>
      <x:c r="X1220" s="6" t="n">
        <x:v>16</x:v>
      </x:c>
      <x:c r="Y1220" s="6" t="str">
        <x:v>Range Rover Brake Repair Dubai | Digi-Tec</x:v>
      </x:c>
      <x:c r="Z1220" s="6" t="str"/>
      <x:c r="AA1220" s="6" t="str">
        <x:v>No / not compared</x:v>
      </x:c>
    </x:row>
    <x:row r="1221" ht="42" customHeight="1">
      <x:c r="A1221" s="6" t="str">
        <x:v>https://digitecme.com/brands/range-rover-service-dubai/electrical-repair</x:v>
      </x:c>
      <x:c r="B1221" s="6" t="str"/>
      <x:c r="C1221" s="6" t="str"/>
      <x:c r="D1221" s="6" t="str">
        <x:v>brand-service</x:v>
      </x:c>
      <x:c r="E1221" s="6" t="str">
        <x:v>Retain differentiated role</x:v>
      </x:c>
      <x:c r="F1221" s="6" t="str">
        <x:v>Local source render; live version unverified</x:v>
      </x:c>
      <x:c r="G1221" s="6" t="str">
        <x:v>Range Rover Electrical Repair Dubai | Digi-Tec</x:v>
      </x:c>
      <x:c r="H1221" s="6" t="str">
        <x:v>Range Rover Electrical Repair Dubai | Digi-Tec</x:v>
      </x:c>
      <x:c r="I1221" s="6" t="str">
        <x:v>Range Rover Electrical Repair Dubai</x:v>
      </x:c>
      <x:c r="J1221" s="6" t="str">
        <x:v>Range Rover Electrical Repair Dubai</x:v>
      </x:c>
      <x:c r="K1221" s="6" t="str">
        <x:v>Range Rover electrical repair in Dubai with model-specific inspection, confirmed parts options and a clear quote at Digi-Tec, Al Quoz.</x:v>
      </x:c>
      <x:c r="L1221" s="6" t="str">
        <x:v>Retain pending evidence; no specific content edit justified by this export.</x:v>
      </x:c>
      <x:c r="M1221" s="6" t="str">
        <x:v>Retain; inspect relevant context before adding links</x:v>
      </x:c>
      <x:c r="N1221" s="6" t="str">
        <x:v>Unconfirmed — no query/page pairing</x:v>
      </x:c>
      <x:c r="O1221" s="6" t="str">
        <x:v>Retain established booking / WhatsApp / call path; live behaviour untested</x:v>
      </x:c>
      <x:c r="P1221" s="6" t="str">
        <x:v>Retain canonical and indexation policy pending a live check.</x:v>
      </x:c>
      <x:c r="Q1221" s="6" t="str">
        <x:v>Proposed; no website change made</x:v>
      </x:c>
      <x:c r="R1221" s="14" t="n">
        <x:v>0</x:v>
      </x:c>
      <x:c r="S1221" s="14" t="n">
        <x:v>2</x:v>
      </x:c>
      <x:c r="T1221" s="15" t="n">
        <x:v>0</x:v>
      </x:c>
      <x:c r="U1221" s="16" t="n">
        <x:v>21</x:v>
      </x:c>
      <x:c r="V1221" s="6" t="str">
        <x:v>https://digitecme.com/brands/range-rover-service-dubai/electrical-repair</x:v>
      </x:c>
      <x:c r="W1221" s="6" t="str">
        <x:v>Indexable directive</x:v>
      </x:c>
      <x:c r="X1221" s="6" t="n">
        <x:v>16</x:v>
      </x:c>
      <x:c r="Y1221" s="6" t="str">
        <x:v>Range Rover Electrical Repair Dubai | Digi-Tec</x:v>
      </x:c>
      <x:c r="Z1221" s="6" t="str"/>
      <x:c r="AA1221" s="6" t="str">
        <x:v>No / not compared</x:v>
      </x:c>
    </x:row>
    <x:row r="1222" ht="42" customHeight="1">
      <x:c r="A1222" s="6" t="str">
        <x:v>https://digitecme.com/brands/range-rover-service-dubai/engine-diagnostics</x:v>
      </x:c>
      <x:c r="B1222" s="6" t="str"/>
      <x:c r="C1222" s="6" t="str"/>
      <x:c r="D1222" s="6" t="str">
        <x:v>brand-service</x:v>
      </x:c>
      <x:c r="E1222" s="6" t="str">
        <x:v>Retain differentiated role</x:v>
      </x:c>
      <x:c r="F1222" s="6" t="str">
        <x:v>Local source render; live version unverified</x:v>
      </x:c>
      <x:c r="G1222" s="6" t="str">
        <x:v>Range Rover Engine Diagnostics Dubai | Digi-Tec</x:v>
      </x:c>
      <x:c r="H1222" s="6" t="str">
        <x:v>Range Rover Engine Diagnostics Dubai | Digi-Tec</x:v>
      </x:c>
      <x:c r="I1222" s="6" t="str">
        <x:v>Range Rover Engine Diagnostics Dubai</x:v>
      </x:c>
      <x:c r="J1222" s="6" t="str">
        <x:v>Range Rover Engine Diagnostics Dubai</x:v>
      </x:c>
      <x:c r="K1222" s="6" t="str">
        <x:v>Range Rover engine diagnostics in Dubai with model-specific inspection, confirmed parts options and a clear quote at Digi-Tec, Al Quoz.</x:v>
      </x:c>
      <x:c r="L1222" s="6" t="str">
        <x:v>Retain pending evidence; no specific content edit justified by this export.</x:v>
      </x:c>
      <x:c r="M1222" s="6" t="str">
        <x:v>Retain; inspect relevant context before adding links</x:v>
      </x:c>
      <x:c r="N1222" s="6" t="str">
        <x:v>Unconfirmed — no query/page pairing</x:v>
      </x:c>
      <x:c r="O1222" s="6" t="str">
        <x:v>Retain established booking / WhatsApp / call path; live behaviour untested</x:v>
      </x:c>
      <x:c r="P1222" s="6" t="str">
        <x:v>Retain canonical and indexation policy pending a live check.</x:v>
      </x:c>
      <x:c r="Q1222" s="6" t="str">
        <x:v>Proposed; no website change made</x:v>
      </x:c>
      <x:c r="R1222" s="14"/>
      <x:c r="S1222" s="14"/>
      <x:c r="T1222" s="15"/>
      <x:c r="U1222" s="16"/>
      <x:c r="V1222" s="6" t="str">
        <x:v>https://digitecme.com/brands/range-rover-service-dubai/engine-diagnostics</x:v>
      </x:c>
      <x:c r="W1222" s="6" t="str">
        <x:v>Indexable directive</x:v>
      </x:c>
      <x:c r="X1222" s="6" t="n">
        <x:v>16</x:v>
      </x:c>
      <x:c r="Y1222" s="6" t="str">
        <x:v>Range Rover Engine Diagnostics Dubai | Digi-Tec</x:v>
      </x:c>
      <x:c r="Z1222" s="6" t="str"/>
      <x:c r="AA1222" s="6" t="str">
        <x:v>No / not compared</x:v>
      </x:c>
    </x:row>
    <x:row r="1223" ht="42" customHeight="1">
      <x:c r="A1223" s="6" t="str">
        <x:v>https://digitecme.com/brands/range-rover-service-dubai/exhaust-repair</x:v>
      </x:c>
      <x:c r="B1223" s="6" t="str"/>
      <x:c r="C1223" s="6" t="str"/>
      <x:c r="D1223" s="6" t="str">
        <x:v>brand-service</x:v>
      </x:c>
      <x:c r="E1223" s="6" t="str">
        <x:v>Retain differentiated role</x:v>
      </x:c>
      <x:c r="F1223" s="6" t="str">
        <x:v>Local source render; live version unverified</x:v>
      </x:c>
      <x:c r="G1223" s="6" t="str">
        <x:v>Range Rover Exhaust Repair Dubai | Digi-Tec</x:v>
      </x:c>
      <x:c r="H1223" s="6" t="str">
        <x:v>Range Rover Exhaust Repair Dubai | Digi-Tec</x:v>
      </x:c>
      <x:c r="I1223" s="6" t="str">
        <x:v>Range Rover Exhaust Repair Dubai</x:v>
      </x:c>
      <x:c r="J1223" s="6" t="str">
        <x:v>Range Rover Exhaust Repair Dubai</x:v>
      </x:c>
      <x:c r="K1223" s="6" t="str">
        <x:v>Range Rover exhaust repair in Dubai with model-specific inspection, confirmed parts options and a clear quote at Digi-Tec, Al Quoz.</x:v>
      </x:c>
      <x:c r="L1223" s="6" t="str">
        <x:v>Retain pending evidence; no specific content edit justified by this export.</x:v>
      </x:c>
      <x:c r="M1223" s="6" t="str">
        <x:v>Retain; inspect relevant context before adding links</x:v>
      </x:c>
      <x:c r="N1223" s="6" t="str">
        <x:v>Unconfirmed — no query/page pairing</x:v>
      </x:c>
      <x:c r="O1223" s="6" t="str">
        <x:v>Retain established booking / WhatsApp / call path; live behaviour untested</x:v>
      </x:c>
      <x:c r="P1223" s="6" t="str">
        <x:v>Retain canonical and indexation policy pending a live check.</x:v>
      </x:c>
      <x:c r="Q1223" s="6" t="str">
        <x:v>Proposed; no website change made</x:v>
      </x:c>
      <x:c r="R1223" s="14"/>
      <x:c r="S1223" s="14"/>
      <x:c r="T1223" s="15"/>
      <x:c r="U1223" s="16"/>
      <x:c r="V1223" s="6" t="str">
        <x:v>https://digitecme.com/brands/range-rover-service-dubai/exhaust-repair</x:v>
      </x:c>
      <x:c r="W1223" s="6" t="str">
        <x:v>Indexable directive</x:v>
      </x:c>
      <x:c r="X1223" s="6" t="n">
        <x:v>16</x:v>
      </x:c>
      <x:c r="Y1223" s="6" t="str">
        <x:v>Range Rover Exhaust Repair Dubai | Digi-Tec</x:v>
      </x:c>
      <x:c r="Z1223" s="6" t="str"/>
      <x:c r="AA1223" s="6" t="str">
        <x:v>No / not compared</x:v>
      </x:c>
    </x:row>
    <x:row r="1224" ht="42" customHeight="1">
      <x:c r="A1224" s="6" t="str">
        <x:v>https://digitecme.com/brands/range-rover-service-dubai/fuel-system-repair</x:v>
      </x:c>
      <x:c r="B1224" s="6" t="str"/>
      <x:c r="C1224" s="6" t="str"/>
      <x:c r="D1224" s="6" t="str">
        <x:v>brand-service</x:v>
      </x:c>
      <x:c r="E1224" s="6" t="str">
        <x:v>Retain differentiated role</x:v>
      </x:c>
      <x:c r="F1224" s="6" t="str">
        <x:v>Local source render; live version unverified</x:v>
      </x:c>
      <x:c r="G1224" s="6" t="str">
        <x:v>Range Rover Fuel System Repair Dubai | Digi-Tec</x:v>
      </x:c>
      <x:c r="H1224" s="6" t="str">
        <x:v>Range Rover Fuel System Repair Dubai | Digi-Tec</x:v>
      </x:c>
      <x:c r="I1224" s="6" t="str">
        <x:v>Range Rover Fuel System Repair Dubai</x:v>
      </x:c>
      <x:c r="J1224" s="6" t="str">
        <x:v>Range Rover Fuel System Repair Dubai</x:v>
      </x:c>
      <x:c r="K1224" s="6" t="str">
        <x:v>Range Rover fuel system repair in Dubai with model-specific inspection, confirmed parts options and a clear quote at Digi-Tec, Al Quoz.</x:v>
      </x:c>
      <x:c r="L1224" s="6" t="str">
        <x:v>Retain pending evidence; no specific content edit justified by this export.</x:v>
      </x:c>
      <x:c r="M1224" s="6" t="str">
        <x:v>Retain; inspect relevant context before adding links</x:v>
      </x:c>
      <x:c r="N1224" s="6" t="str">
        <x:v>Unconfirmed — no query/page pairing</x:v>
      </x:c>
      <x:c r="O1224" s="6" t="str">
        <x:v>Retain established booking / WhatsApp / call path; live behaviour untested</x:v>
      </x:c>
      <x:c r="P1224" s="6" t="str">
        <x:v>Retain canonical and indexation policy pending a live check.</x:v>
      </x:c>
      <x:c r="Q1224" s="6" t="str">
        <x:v>Proposed; no website change made</x:v>
      </x:c>
      <x:c r="R1224" s="14" t="n">
        <x:v>0</x:v>
      </x:c>
      <x:c r="S1224" s="14" t="n">
        <x:v>5</x:v>
      </x:c>
      <x:c r="T1224" s="15" t="n">
        <x:v>0</x:v>
      </x:c>
      <x:c r="U1224" s="16" t="n">
        <x:v>30.8</x:v>
      </x:c>
      <x:c r="V1224" s="6" t="str">
        <x:v>https://digitecme.com/brands/range-rover-service-dubai/fuel-system-repair</x:v>
      </x:c>
      <x:c r="W1224" s="6" t="str">
        <x:v>Indexable directive</x:v>
      </x:c>
      <x:c r="X1224" s="6" t="n">
        <x:v>16</x:v>
      </x:c>
      <x:c r="Y1224" s="6" t="str">
        <x:v>Range Rover Fuel System Repair Dubai | Digi-Tec</x:v>
      </x:c>
      <x:c r="Z1224" s="6" t="str"/>
      <x:c r="AA1224" s="6" t="str">
        <x:v>No / not compared</x:v>
      </x:c>
    </x:row>
    <x:row r="1225" ht="42" customHeight="1">
      <x:c r="A1225" s="6" t="str">
        <x:v>https://digitecme.com/brands/range-rover-service-dubai/mechanical-repair</x:v>
      </x:c>
      <x:c r="B1225" s="6" t="str">
        <x:v>range rover engine repair dubai</x:v>
      </x:c>
      <x:c r="C1225" s="6" t="str">
        <x:v>range-rover: Engine and mechanical repair</x:v>
      </x:c>
      <x:c r="D1225" s="6" t="str">
        <x:v>brand-service</x:v>
      </x:c>
      <x:c r="E1225" s="6" t="str">
        <x:v>Primary owner for assigned intent</x:v>
      </x:c>
      <x:c r="F1225" s="6" t="str">
        <x:v>Local source render; live version unverified</x:v>
      </x:c>
      <x:c r="G1225" s="6" t="str">
        <x:v>Range Rover Mechanical Repair Dubai | Digi-Tec</x:v>
      </x:c>
      <x:c r="H1225" s="6" t="str">
        <x:v>Range Rover Mechanical Repair Dubai | Digi-Tec</x:v>
      </x:c>
      <x:c r="I1225" s="6" t="str">
        <x:v>Range Rover Mechanical Repair Dubai</x:v>
      </x:c>
      <x:c r="J1225" s="6" t="str">
        <x:v>Range Rover Mechanical Repair Dubai</x:v>
      </x:c>
      <x:c r="K1225" s="6" t="str">
        <x:v>Range Rover mechanical repair in Dubai with model-specific inspection, confirmed parts options and a clear quote at Digi-Tec, Al Quoz.</x:v>
      </x:c>
      <x:c r="L1225" s="6" t="str">
        <x:v>Retain pending evidence; no specific content edit justified by this export.</x:v>
      </x:c>
      <x:c r="M1225" s="6" t="str">
        <x:v>Retain; inspect relevant context before adding links</x:v>
      </x:c>
      <x:c r="N1225" s="6" t="str">
        <x:v>Unconfirmed — no query/page pairing</x:v>
      </x:c>
      <x:c r="O1225" s="6" t="str">
        <x:v>Retain established booking / WhatsApp / call path; live behaviour untested</x:v>
      </x:c>
      <x:c r="P1225" s="6" t="str">
        <x:v>Retain canonical and indexation policy pending a live check.</x:v>
      </x:c>
      <x:c r="Q1225" s="6" t="str">
        <x:v>Proposed; no website change made</x:v>
      </x:c>
      <x:c r="R1225" s="14" t="n">
        <x:v>0</x:v>
      </x:c>
      <x:c r="S1225" s="14" t="n">
        <x:v>13</x:v>
      </x:c>
      <x:c r="T1225" s="15" t="n">
        <x:v>0</x:v>
      </x:c>
      <x:c r="U1225" s="16" t="n">
        <x:v>68.23</x:v>
      </x:c>
      <x:c r="V1225" s="6" t="str">
        <x:v>https://digitecme.com/brands/range-rover-service-dubai/mechanical-repair</x:v>
      </x:c>
      <x:c r="W1225" s="6" t="str">
        <x:v>Indexable directive</x:v>
      </x:c>
      <x:c r="X1225" s="6" t="n">
        <x:v>16</x:v>
      </x:c>
      <x:c r="Y1225" s="6" t="str">
        <x:v>Range Rover Mechanical Repair Dubai | Digi-Tec</x:v>
      </x:c>
      <x:c r="Z1225" s="6" t="str"/>
      <x:c r="AA1225" s="6" t="str">
        <x:v>No / not compared</x:v>
      </x:c>
    </x:row>
    <x:row r="1226" ht="42" customHeight="1">
      <x:c r="A1226" s="6" t="str">
        <x:v>https://digitecme.com/brands/range-rover-service-dubai/oil-change</x:v>
      </x:c>
      <x:c r="B1226" s="6" t="str"/>
      <x:c r="C1226" s="6" t="str"/>
      <x:c r="D1226" s="6" t="str">
        <x:v>brand-service</x:v>
      </x:c>
      <x:c r="E1226" s="6" t="str">
        <x:v>Retain differentiated role</x:v>
      </x:c>
      <x:c r="F1226" s="6" t="str">
        <x:v>Local source render; live version unverified</x:v>
      </x:c>
      <x:c r="G1226" s="6" t="str">
        <x:v>Range Rover Oil Change Dubai | Digi-Tec</x:v>
      </x:c>
      <x:c r="H1226" s="6" t="str">
        <x:v>Range Rover Oil Change Dubai | Digi-Tec</x:v>
      </x:c>
      <x:c r="I1226" s="6" t="str">
        <x:v>Range Rover Oil Change Dubai</x:v>
      </x:c>
      <x:c r="J1226" s="6" t="str">
        <x:v>Range Rover Oil Change Dubai</x:v>
      </x:c>
      <x:c r="K1226" s="6" t="str">
        <x:v>Range Rover oil change in Dubai with model-specific inspection, confirmed parts options and a clear quote at Digi-Tec, Al Quoz.</x:v>
      </x:c>
      <x:c r="L1226" s="6" t="str">
        <x:v>Retain pending evidence; no specific content edit justified by this export.</x:v>
      </x:c>
      <x:c r="M1226" s="6" t="str">
        <x:v>Retain; inspect relevant context before adding links</x:v>
      </x:c>
      <x:c r="N1226" s="6" t="str">
        <x:v>Unconfirmed — no query/page pairing</x:v>
      </x:c>
      <x:c r="O1226" s="6" t="str">
        <x:v>Retain established booking / WhatsApp / call path; live behaviour untested</x:v>
      </x:c>
      <x:c r="P1226" s="6" t="str">
        <x:v>Retain canonical and indexation policy pending a live check.</x:v>
      </x:c>
      <x:c r="Q1226" s="6" t="str">
        <x:v>Proposed; no website change made</x:v>
      </x:c>
      <x:c r="R1226" s="14"/>
      <x:c r="S1226" s="14"/>
      <x:c r="T1226" s="15"/>
      <x:c r="U1226" s="16"/>
      <x:c r="V1226" s="6" t="str">
        <x:v>https://digitecme.com/brands/range-rover-service-dubai/oil-change</x:v>
      </x:c>
      <x:c r="W1226" s="6" t="str">
        <x:v>Indexable directive</x:v>
      </x:c>
      <x:c r="X1226" s="6" t="n">
        <x:v>16</x:v>
      </x:c>
      <x:c r="Y1226" s="6" t="str">
        <x:v>Range Rover Oil Change Dubai | Digi-Tec</x:v>
      </x:c>
      <x:c r="Z1226" s="6" t="str"/>
      <x:c r="AA1226" s="6" t="str">
        <x:v>No / not compared</x:v>
      </x:c>
    </x:row>
    <x:row r="1227" ht="42" customHeight="1">
      <x:c r="A1227" s="6" t="str">
        <x:v>https://digitecme.com/brands/range-rover-service-dubai/steering-repair</x:v>
      </x:c>
      <x:c r="B1227" s="6" t="str"/>
      <x:c r="C1227" s="6" t="str"/>
      <x:c r="D1227" s="6" t="str">
        <x:v>brand-service</x:v>
      </x:c>
      <x:c r="E1227" s="6" t="str">
        <x:v>Retain differentiated role</x:v>
      </x:c>
      <x:c r="F1227" s="6" t="str">
        <x:v>Local source render; live version unverified</x:v>
      </x:c>
      <x:c r="G1227" s="6" t="str">
        <x:v>Range Rover Steering Repair Dubai | Digi-Tec</x:v>
      </x:c>
      <x:c r="H1227" s="6" t="str">
        <x:v>Range Rover Steering Repair Dubai | Digi-Tec</x:v>
      </x:c>
      <x:c r="I1227" s="6" t="str">
        <x:v>Range Rover Steering Repair Dubai</x:v>
      </x:c>
      <x:c r="J1227" s="6" t="str">
        <x:v>Range Rover Steering Repair Dubai</x:v>
      </x:c>
      <x:c r="K1227" s="6" t="str">
        <x:v>Range Rover steering repair in Dubai with model-specific inspection, confirmed parts options and a clear quote at Digi-Tec, Al Quoz.</x:v>
      </x:c>
      <x:c r="L1227" s="6" t="str">
        <x:v>Retain pending evidence; no specific content edit justified by this export.</x:v>
      </x:c>
      <x:c r="M1227" s="6" t="str">
        <x:v>Retain; inspect relevant context before adding links</x:v>
      </x:c>
      <x:c r="N1227" s="6" t="str">
        <x:v>Unconfirmed — no query/page pairing</x:v>
      </x:c>
      <x:c r="O1227" s="6" t="str">
        <x:v>Retain established booking / WhatsApp / call path; live behaviour untested</x:v>
      </x:c>
      <x:c r="P1227" s="6" t="str">
        <x:v>Retain canonical and indexation policy pending a live check.</x:v>
      </x:c>
      <x:c r="Q1227" s="6" t="str">
        <x:v>Proposed; no website change made</x:v>
      </x:c>
      <x:c r="R1227" s="14" t="n">
        <x:v>0</x:v>
      </x:c>
      <x:c r="S1227" s="14" t="n">
        <x:v>1</x:v>
      </x:c>
      <x:c r="T1227" s="15" t="n">
        <x:v>0</x:v>
      </x:c>
      <x:c r="U1227" s="16" t="n">
        <x:v>3</x:v>
      </x:c>
      <x:c r="V1227" s="6" t="str">
        <x:v>https://digitecme.com/brands/range-rover-service-dubai/steering-repair</x:v>
      </x:c>
      <x:c r="W1227" s="6" t="str">
        <x:v>Indexable directive</x:v>
      </x:c>
      <x:c r="X1227" s="6" t="n">
        <x:v>16</x:v>
      </x:c>
      <x:c r="Y1227" s="6" t="str">
        <x:v>Range Rover Steering Repair Dubai | Digi-Tec</x:v>
      </x:c>
      <x:c r="Z1227" s="6" t="str"/>
      <x:c r="AA1227" s="6" t="str">
        <x:v>No / not compared</x:v>
      </x:c>
    </x:row>
    <x:row r="1228" ht="42" customHeight="1">
      <x:c r="A1228" s="6" t="str">
        <x:v>https://digitecme.com/brands/range-rover-service-dubai/suspension-repair</x:v>
      </x:c>
      <x:c r="B1228" s="6" t="str">
        <x:v>range rover suspension repair</x:v>
      </x:c>
      <x:c r="C1228" s="6" t="str">
        <x:v>range-rover: Suspension repair</x:v>
      </x:c>
      <x:c r="D1228" s="6" t="str">
        <x:v>brand-service</x:v>
      </x:c>
      <x:c r="E1228" s="6" t="str">
        <x:v>Primary owner for assigned intent</x:v>
      </x:c>
      <x:c r="F1228" s="6" t="str">
        <x:v>Local source render; live version unverified</x:v>
      </x:c>
      <x:c r="G1228" s="6" t="str">
        <x:v>Range Rover Suspension Repair Dubai | Digi-Tec</x:v>
      </x:c>
      <x:c r="H1228" s="6" t="str">
        <x:v>Range Rover Suspension Repair Dubai | Digi-Tec</x:v>
      </x:c>
      <x:c r="I1228" s="6" t="str">
        <x:v>Range Rover Suspension Repair Dubai</x:v>
      </x:c>
      <x:c r="J1228" s="6" t="str">
        <x:v>Range Rover Suspension Repair Dubai</x:v>
      </x:c>
      <x:c r="K1228" s="6" t="str">
        <x:v>Range Rover suspension repair in Dubai with model-specific inspection, confirmed parts options and a clear quote at Digi-Tec, Al Quoz.</x:v>
      </x:c>
      <x:c r="L1228" s="6" t="str">
        <x:v>Retain pending evidence; no specific content edit justified by this export.</x:v>
      </x:c>
      <x:c r="M1228" s="6" t="str">
        <x:v>Retain; inspect relevant context before adding links</x:v>
      </x:c>
      <x:c r="N1228" s="6" t="str">
        <x:v>Unconfirmed — no query/page pairing</x:v>
      </x:c>
      <x:c r="O1228" s="6" t="str">
        <x:v>Retain established booking / WhatsApp / call path; live behaviour untested</x:v>
      </x:c>
      <x:c r="P1228" s="6" t="str">
        <x:v>Retain canonical and indexation policy pending a live check.</x:v>
      </x:c>
      <x:c r="Q1228" s="6" t="str">
        <x:v>Proposed; no website change made</x:v>
      </x:c>
      <x:c r="R1228" s="14" t="n">
        <x:v>0</x:v>
      </x:c>
      <x:c r="S1228" s="14" t="n">
        <x:v>2</x:v>
      </x:c>
      <x:c r="T1228" s="15" t="n">
        <x:v>0</x:v>
      </x:c>
      <x:c r="U1228" s="16" t="n">
        <x:v>89.5</x:v>
      </x:c>
      <x:c r="V1228" s="6" t="str">
        <x:v>https://digitecme.com/brands/range-rover-service-dubai/suspension-repair</x:v>
      </x:c>
      <x:c r="W1228" s="6" t="str">
        <x:v>Indexable directive</x:v>
      </x:c>
      <x:c r="X1228" s="6" t="n">
        <x:v>16</x:v>
      </x:c>
      <x:c r="Y1228" s="6" t="str">
        <x:v>Range Rover Suspension Repair Dubai | Digi-Tec</x:v>
      </x:c>
      <x:c r="Z1228" s="6" t="str"/>
      <x:c r="AA1228" s="6" t="str">
        <x:v>No / not compared</x:v>
      </x:c>
    </x:row>
    <x:row r="1229" ht="42" customHeight="1">
      <x:c r="A1229" s="6" t="str">
        <x:v>https://digitecme.com/brands/range-rover-service-dubai/tire-repair</x:v>
      </x:c>
      <x:c r="B1229" s="6" t="str"/>
      <x:c r="C1229" s="6" t="str"/>
      <x:c r="D1229" s="6" t="str">
        <x:v>brand-service</x:v>
      </x:c>
      <x:c r="E1229" s="6" t="str">
        <x:v>Retain differentiated role</x:v>
      </x:c>
      <x:c r="F1229" s="6" t="str">
        <x:v>Local source render; live version unverified</x:v>
      </x:c>
      <x:c r="G1229" s="6" t="str">
        <x:v>Range Rover Tyre Repair Dubai | Digi-Tec</x:v>
      </x:c>
      <x:c r="H1229" s="6" t="str">
        <x:v>Range Rover Tyre Repair Dubai | Digi-Tec</x:v>
      </x:c>
      <x:c r="I1229" s="6" t="str">
        <x:v>Range Rover Tyre Repair Dubai</x:v>
      </x:c>
      <x:c r="J1229" s="6" t="str">
        <x:v>Range Rover Tyre Repair Dubai</x:v>
      </x:c>
      <x:c r="K1229" s="6" t="str">
        <x:v>Range Rover tyre repair in Dubai with model-specific inspection, confirmed parts options and a clear quote at Digi-Tec, Al Quoz.</x:v>
      </x:c>
      <x:c r="L1229" s="6" t="str">
        <x:v>Retain pending evidence; no specific content edit justified by this export.</x:v>
      </x:c>
      <x:c r="M1229" s="6" t="str">
        <x:v>Retain; inspect relevant context before adding links</x:v>
      </x:c>
      <x:c r="N1229" s="6" t="str">
        <x:v>Unconfirmed — no query/page pairing</x:v>
      </x:c>
      <x:c r="O1229" s="6" t="str">
        <x:v>Retain established booking / WhatsApp / call path; live behaviour untested</x:v>
      </x:c>
      <x:c r="P1229" s="6" t="str">
        <x:v>Retain canonical and indexation policy pending a live check.</x:v>
      </x:c>
      <x:c r="Q1229" s="6" t="str">
        <x:v>Proposed; no website change made</x:v>
      </x:c>
      <x:c r="R1229" s="14" t="n">
        <x:v>0</x:v>
      </x:c>
      <x:c r="S1229" s="14" t="n">
        <x:v>5</x:v>
      </x:c>
      <x:c r="T1229" s="15" t="n">
        <x:v>0</x:v>
      </x:c>
      <x:c r="U1229" s="16" t="n">
        <x:v>40</x:v>
      </x:c>
      <x:c r="V1229" s="6" t="str">
        <x:v>https://digitecme.com/brands/range-rover-service-dubai/tire-repair</x:v>
      </x:c>
      <x:c r="W1229" s="6" t="str">
        <x:v>Indexable directive</x:v>
      </x:c>
      <x:c r="X1229" s="6" t="n">
        <x:v>16</x:v>
      </x:c>
      <x:c r="Y1229" s="6" t="str">
        <x:v>Range Rover Tyre Repair Dubai | Digi-Tec</x:v>
      </x:c>
      <x:c r="Z1229" s="6" t="str"/>
      <x:c r="AA1229" s="6" t="str">
        <x:v>No / not compared</x:v>
      </x:c>
    </x:row>
    <x:row r="1230" ht="42" customHeight="1">
      <x:c r="A1230" s="6" t="str">
        <x:v>https://digitecme.com/brands/range-rover-service-dubai/transmission-repair</x:v>
      </x:c>
      <x:c r="B1230" s="6" t="str">
        <x:v>range rover transmission repair dubai</x:v>
      </x:c>
      <x:c r="C1230" s="6" t="str">
        <x:v>range-rover: Transmission and gearbox repair</x:v>
      </x:c>
      <x:c r="D1230" s="6" t="str">
        <x:v>brand-service</x:v>
      </x:c>
      <x:c r="E1230" s="6" t="str">
        <x:v>Primary owner for assigned intent</x:v>
      </x:c>
      <x:c r="F1230" s="6" t="str">
        <x:v>Local source render; live version unverified</x:v>
      </x:c>
      <x:c r="G1230" s="6" t="str">
        <x:v>Range Rover Transmission Repair Dubai | Digi-Tec</x:v>
      </x:c>
      <x:c r="H1230" s="6" t="str">
        <x:v>Range Rover Transmission Repair Dubai | Digi-Tec</x:v>
      </x:c>
      <x:c r="I1230" s="6" t="str">
        <x:v>Range Rover Transmission Repair Dubai</x:v>
      </x:c>
      <x:c r="J1230" s="6" t="str">
        <x:v>Range Rover Transmission Repair Dubai</x:v>
      </x:c>
      <x:c r="K1230" s="6" t="str">
        <x:v>Range Rover transmission repair in Dubai with model-specific inspection, confirmed parts options and a clear quote at Digi-Tec, Al Quoz.</x:v>
      </x:c>
      <x:c r="L1230" s="6" t="str">
        <x:v>Retain pending evidence; no specific content edit justified by this export.</x:v>
      </x:c>
      <x:c r="M1230" s="6" t="str">
        <x:v>Retain; inspect relevant context before adding links</x:v>
      </x:c>
      <x:c r="N1230" s="6" t="str">
        <x:v>Unconfirmed — no query/page pairing</x:v>
      </x:c>
      <x:c r="O1230" s="6" t="str">
        <x:v>Retain established booking / WhatsApp / call path; live behaviour untested</x:v>
      </x:c>
      <x:c r="P1230" s="6" t="str">
        <x:v>Retain canonical and indexation policy pending a live check.</x:v>
      </x:c>
      <x:c r="Q1230" s="6" t="str">
        <x:v>Proposed; no website change made</x:v>
      </x:c>
      <x:c r="R1230" s="14" t="n">
        <x:v>0</x:v>
      </x:c>
      <x:c r="S1230" s="14" t="n">
        <x:v>11</x:v>
      </x:c>
      <x:c r="T1230" s="15" t="n">
        <x:v>0</x:v>
      </x:c>
      <x:c r="U1230" s="16" t="n">
        <x:v>19.91</x:v>
      </x:c>
      <x:c r="V1230" s="6" t="str">
        <x:v>https://digitecme.com/brands/range-rover-service-dubai/transmission-repair</x:v>
      </x:c>
      <x:c r="W1230" s="6" t="str">
        <x:v>Indexable directive</x:v>
      </x:c>
      <x:c r="X1230" s="6" t="n">
        <x:v>16</x:v>
      </x:c>
      <x:c r="Y1230" s="6" t="str">
        <x:v>Range Rover Transmission Repair Dubai | Digi-Tec</x:v>
      </x:c>
      <x:c r="Z1230" s="6" t="str"/>
      <x:c r="AA1230" s="6" t="str">
        <x:v>No / not compared</x:v>
      </x:c>
    </x:row>
    <x:row r="1231" ht="42" customHeight="1">
      <x:c r="A1231" s="6" t="str">
        <x:v>https://digitecme.com/brands/renault-service-dubai</x:v>
      </x:c>
      <x:c r="B1231" s="6" t="str"/>
      <x:c r="C1231" s="6" t="str"/>
      <x:c r="D1231" s="6" t="str">
        <x:v>brand</x:v>
      </x:c>
      <x:c r="E1231" s="6" t="str">
        <x:v>Retain differentiated role</x:v>
      </x:c>
      <x:c r="F1231" s="6" t="str">
        <x:v>Local source render; live version unverified</x:v>
      </x:c>
      <x:c r="G1231" s="6" t="str">
        <x:v>Renault Repair Dubai | Digi-Tec</x:v>
      </x:c>
      <x:c r="H1231" s="6" t="str">
        <x:v>Renault Repair Dubai | Digi-Tec</x:v>
      </x:c>
      <x:c r="I1231" s="6" t="str">
        <x:v>Renault Repair &amp; Service Dubai</x:v>
      </x:c>
      <x:c r="J1231" s="6" t="str">
        <x:v>Renault Repair &amp; Service Dubai</x:v>
      </x:c>
      <x:c r="K1231" s="6" t="str">
        <x:v>Specialist Renault repair and service in Dubai: diagnostics, maintenance, brakes, transmission, suspension and AC at Digi-Tec, Al Quoz.</x:v>
      </x:c>
      <x:c r="L1231" s="6" t="str">
        <x:v>Retain pending evidence; no specific content edit justified by this export.</x:v>
      </x:c>
      <x:c r="M1231" s="6" t="str">
        <x:v>Retain; inspect relevant context before adding links</x:v>
      </x:c>
      <x:c r="N1231" s="6" t="str">
        <x:v>Unconfirmed — no query/page pairing</x:v>
      </x:c>
      <x:c r="O1231" s="6" t="str">
        <x:v>Retain established booking / WhatsApp / call path; live behaviour untested</x:v>
      </x:c>
      <x:c r="P1231" s="6" t="str">
        <x:v>Retain canonical and indexation policy pending a live check.</x:v>
      </x:c>
      <x:c r="Q1231" s="6" t="str">
        <x:v>Proposed; no website change made</x:v>
      </x:c>
      <x:c r="R1231" s="14" t="n">
        <x:v>0</x:v>
      </x:c>
      <x:c r="S1231" s="14" t="n">
        <x:v>35</x:v>
      </x:c>
      <x:c r="T1231" s="15" t="n">
        <x:v>0</x:v>
      </x:c>
      <x:c r="U1231" s="16" t="n">
        <x:v>20.29</x:v>
      </x:c>
      <x:c r="V1231" s="6" t="str">
        <x:v>https://digitecme.com/brands/renault-service-dubai</x:v>
      </x:c>
      <x:c r="W1231" s="6" t="str">
        <x:v>Indexable directive</x:v>
      </x:c>
      <x:c r="X1231" s="6" t="n">
        <x:v>28</x:v>
      </x:c>
      <x:c r="Y1231" s="6" t="str">
        <x:v>Renault Repair Dubai | Digi-Tec</x:v>
      </x:c>
      <x:c r="Z1231" s="6" t="str"/>
      <x:c r="AA1231" s="6" t="str">
        <x:v>No / not compared</x:v>
      </x:c>
    </x:row>
    <x:row r="1232" ht="42" customHeight="1">
      <x:c r="A1232" s="6" t="str">
        <x:v>https://digitecme.com/brands/renault-service-dubai/ac-repair</x:v>
      </x:c>
      <x:c r="B1232" s="6" t="str"/>
      <x:c r="C1232" s="6" t="str"/>
      <x:c r="D1232" s="6" t="str">
        <x:v>brand-service</x:v>
      </x:c>
      <x:c r="E1232" s="6" t="str">
        <x:v>Retain differentiated role</x:v>
      </x:c>
      <x:c r="F1232" s="6" t="str">
        <x:v>Local source render; live version unverified</x:v>
      </x:c>
      <x:c r="G1232" s="6" t="str">
        <x:v>Renault AC Repair Dubai | Digi-Tec</x:v>
      </x:c>
      <x:c r="H1232" s="6" t="str">
        <x:v>Renault AC Repair Dubai | Digi-Tec</x:v>
      </x:c>
      <x:c r="I1232" s="6" t="str">
        <x:v>Renault AC Repair Dubai</x:v>
      </x:c>
      <x:c r="J1232" s="6" t="str">
        <x:v>Renault AC Repair Dubai</x:v>
      </x:c>
      <x:c r="K1232" s="6" t="str">
        <x:v>Renault ac repair in Dubai with model-specific inspection, confirmed parts options and a clear quote at Digi-Tec, Al Quoz.</x:v>
      </x:c>
      <x:c r="L1232" s="6" t="str">
        <x:v>Retain pending evidence; no specific content edit justified by this export.</x:v>
      </x:c>
      <x:c r="M1232" s="6" t="str">
        <x:v>Retain; inspect relevant context before adding links</x:v>
      </x:c>
      <x:c r="N1232" s="6" t="str">
        <x:v>Unconfirmed — no query/page pairing</x:v>
      </x:c>
      <x:c r="O1232" s="6" t="str">
        <x:v>Retain established booking / WhatsApp / call path; live behaviour untested</x:v>
      </x:c>
      <x:c r="P1232" s="6" t="str">
        <x:v>Retain canonical and indexation policy pending a live check.</x:v>
      </x:c>
      <x:c r="Q1232" s="6" t="str">
        <x:v>Proposed; no website change made</x:v>
      </x:c>
      <x:c r="R1232" s="14" t="n">
        <x:v>0</x:v>
      </x:c>
      <x:c r="S1232" s="14" t="n">
        <x:v>7</x:v>
      </x:c>
      <x:c r="T1232" s="15" t="n">
        <x:v>0</x:v>
      </x:c>
      <x:c r="U1232" s="16" t="n">
        <x:v>5.14</x:v>
      </x:c>
      <x:c r="V1232" s="6" t="str">
        <x:v>https://digitecme.com/brands/renault-service-dubai/ac-repair</x:v>
      </x:c>
      <x:c r="W1232" s="6" t="str">
        <x:v>Indexable directive</x:v>
      </x:c>
      <x:c r="X1232" s="6" t="n">
        <x:v>8</x:v>
      </x:c>
      <x:c r="Y1232" s="6" t="str">
        <x:v>Renault AC Repair Dubai | Digi-Tec</x:v>
      </x:c>
      <x:c r="Z1232" s="6" t="str"/>
      <x:c r="AA1232" s="6" t="str">
        <x:v>No / not compared</x:v>
      </x:c>
    </x:row>
    <x:row r="1233" ht="42" customHeight="1">
      <x:c r="A1233" s="6" t="str">
        <x:v>https://digitecme.com/brands/renault-service-dubai/brake-repair</x:v>
      </x:c>
      <x:c r="B1233" s="6" t="str"/>
      <x:c r="C1233" s="6" t="str"/>
      <x:c r="D1233" s="6" t="str">
        <x:v>brand-service</x:v>
      </x:c>
      <x:c r="E1233" s="6" t="str">
        <x:v>Retain differentiated role</x:v>
      </x:c>
      <x:c r="F1233" s="6" t="str">
        <x:v>Local source render; live version unverified</x:v>
      </x:c>
      <x:c r="G1233" s="6" t="str">
        <x:v>Renault Brake Repair Dubai | Digi-Tec</x:v>
      </x:c>
      <x:c r="H1233" s="6" t="str">
        <x:v>Renault Brake Repair Dubai | Digi-Tec</x:v>
      </x:c>
      <x:c r="I1233" s="6" t="str">
        <x:v>Renault Brake Repair Dubai</x:v>
      </x:c>
      <x:c r="J1233" s="6" t="str">
        <x:v>Renault Brake Repair Dubai</x:v>
      </x:c>
      <x:c r="K1233" s="6" t="str">
        <x:v>Renault brake repair in Dubai with model-specific inspection, confirmed parts options and a clear quote at Digi-Tec, Al Quoz.</x:v>
      </x:c>
      <x:c r="L1233" s="6" t="str">
        <x:v>Retain pending evidence; no specific content edit justified by this export.</x:v>
      </x:c>
      <x:c r="M1233" s="6" t="str">
        <x:v>Retain; inspect relevant context before adding links</x:v>
      </x:c>
      <x:c r="N1233" s="6" t="str">
        <x:v>Unconfirmed — no query/page pairing</x:v>
      </x:c>
      <x:c r="O1233" s="6" t="str">
        <x:v>Retain established booking / WhatsApp / call path; live behaviour untested</x:v>
      </x:c>
      <x:c r="P1233" s="6" t="str">
        <x:v>Retain canonical and indexation policy pending a live check.</x:v>
      </x:c>
      <x:c r="Q1233" s="6" t="str">
        <x:v>Proposed; no website change made</x:v>
      </x:c>
      <x:c r="R1233" s="14" t="n">
        <x:v>1</x:v>
      </x:c>
      <x:c r="S1233" s="14" t="n">
        <x:v>2</x:v>
      </x:c>
      <x:c r="T1233" s="15" t="n">
        <x:v>0.5</x:v>
      </x:c>
      <x:c r="U1233" s="16" t="n">
        <x:v>3</x:v>
      </x:c>
      <x:c r="V1233" s="6" t="str">
        <x:v>https://digitecme.com/brands/renault-service-dubai/brake-repair</x:v>
      </x:c>
      <x:c r="W1233" s="6" t="str">
        <x:v>Indexable directive</x:v>
      </x:c>
      <x:c r="X1233" s="6" t="n">
        <x:v>8</x:v>
      </x:c>
      <x:c r="Y1233" s="6" t="str">
        <x:v>Renault Brake Repair Dubai | Digi-Tec</x:v>
      </x:c>
      <x:c r="Z1233" s="6" t="str"/>
      <x:c r="AA1233" s="6" t="str">
        <x:v>No / not compared</x:v>
      </x:c>
    </x:row>
    <x:row r="1234" ht="42" customHeight="1">
      <x:c r="A1234" s="6" t="str">
        <x:v>https://digitecme.com/brands/renault-service-dubai/engine-diagnostics</x:v>
      </x:c>
      <x:c r="B1234" s="6" t="str"/>
      <x:c r="C1234" s="6" t="str"/>
      <x:c r="D1234" s="6" t="str">
        <x:v>brand-service</x:v>
      </x:c>
      <x:c r="E1234" s="6" t="str">
        <x:v>Retain differentiated role</x:v>
      </x:c>
      <x:c r="F1234" s="6" t="str">
        <x:v>Local source render; live version unverified</x:v>
      </x:c>
      <x:c r="G1234" s="6" t="str">
        <x:v>Renault Engine Diagnostics Dubai | Digi-Tec</x:v>
      </x:c>
      <x:c r="H1234" s="6" t="str">
        <x:v>Renault Engine Diagnostics Dubai | Digi-Tec</x:v>
      </x:c>
      <x:c r="I1234" s="6" t="str">
        <x:v>Renault Engine Diagnostics Dubai</x:v>
      </x:c>
      <x:c r="J1234" s="6" t="str">
        <x:v>Renault Engine Diagnostics Dubai</x:v>
      </x:c>
      <x:c r="K1234" s="6" t="str">
        <x:v>Renault engine diagnostics in Dubai with model-specific inspection, confirmed parts options and a clear quote at Digi-Tec, Al Quoz.</x:v>
      </x:c>
      <x:c r="L1234" s="6" t="str">
        <x:v>Retain pending evidence; no specific content edit justified by this export.</x:v>
      </x:c>
      <x:c r="M1234" s="6" t="str">
        <x:v>Retain; inspect relevant context before adding links</x:v>
      </x:c>
      <x:c r="N1234" s="6" t="str">
        <x:v>Unconfirmed — no query/page pairing</x:v>
      </x:c>
      <x:c r="O1234" s="6" t="str">
        <x:v>Retain established booking / WhatsApp / call path; live behaviour untested</x:v>
      </x:c>
      <x:c r="P1234" s="6" t="str">
        <x:v>Retain canonical and indexation policy pending a live check.</x:v>
      </x:c>
      <x:c r="Q1234" s="6" t="str">
        <x:v>Proposed; no website change made</x:v>
      </x:c>
      <x:c r="R1234" s="14"/>
      <x:c r="S1234" s="14"/>
      <x:c r="T1234" s="15"/>
      <x:c r="U1234" s="16"/>
      <x:c r="V1234" s="6" t="str">
        <x:v>https://digitecme.com/brands/renault-service-dubai/engine-diagnostics</x:v>
      </x:c>
      <x:c r="W1234" s="6" t="str">
        <x:v>Indexable directive</x:v>
      </x:c>
      <x:c r="X1234" s="6" t="n">
        <x:v>8</x:v>
      </x:c>
      <x:c r="Y1234" s="6" t="str">
        <x:v>Renault Engine Diagnostics Dubai | Digi-Tec</x:v>
      </x:c>
      <x:c r="Z1234" s="6" t="str"/>
      <x:c r="AA1234" s="6" t="str">
        <x:v>No / not compared</x:v>
      </x:c>
    </x:row>
    <x:row r="1235" ht="42" customHeight="1">
      <x:c r="A1235" s="6" t="str">
        <x:v>https://digitecme.com/brands/renault-service-dubai/oil-change</x:v>
      </x:c>
      <x:c r="B1235" s="6" t="str"/>
      <x:c r="C1235" s="6" t="str"/>
      <x:c r="D1235" s="6" t="str">
        <x:v>brand-service</x:v>
      </x:c>
      <x:c r="E1235" s="6" t="str">
        <x:v>Retain differentiated role</x:v>
      </x:c>
      <x:c r="F1235" s="6" t="str">
        <x:v>Local source render; live version unverified</x:v>
      </x:c>
      <x:c r="G1235" s="6" t="str">
        <x:v>Renault Oil Change Dubai | Digi-Tec</x:v>
      </x:c>
      <x:c r="H1235" s="6" t="str">
        <x:v>Renault Oil Change Dubai | Digi-Tec</x:v>
      </x:c>
      <x:c r="I1235" s="6" t="str">
        <x:v>Renault Oil Change Dubai</x:v>
      </x:c>
      <x:c r="J1235" s="6" t="str">
        <x:v>Renault Oil Change Dubai</x:v>
      </x:c>
      <x:c r="K1235" s="6" t="str">
        <x:v>Renault oil change in Dubai with model-specific inspection, confirmed parts options and a clear quote at Digi-Tec, Al Quoz.</x:v>
      </x:c>
      <x:c r="L1235" s="6" t="str">
        <x:v>Retain pending evidence; no specific content edit justified by this export.</x:v>
      </x:c>
      <x:c r="M1235" s="6" t="str">
        <x:v>Retain; inspect relevant context before adding links</x:v>
      </x:c>
      <x:c r="N1235" s="6" t="str">
        <x:v>Unconfirmed — no query/page pairing</x:v>
      </x:c>
      <x:c r="O1235" s="6" t="str">
        <x:v>Retain established booking / WhatsApp / call path; live behaviour untested</x:v>
      </x:c>
      <x:c r="P1235" s="6" t="str">
        <x:v>Retain canonical and indexation policy pending a live check.</x:v>
      </x:c>
      <x:c r="Q1235" s="6" t="str">
        <x:v>Proposed; no website change made</x:v>
      </x:c>
      <x:c r="R1235" s="14" t="n">
        <x:v>0</x:v>
      </x:c>
      <x:c r="S1235" s="14" t="n">
        <x:v>4</x:v>
      </x:c>
      <x:c r="T1235" s="15" t="n">
        <x:v>0</x:v>
      </x:c>
      <x:c r="U1235" s="16" t="n">
        <x:v>6</x:v>
      </x:c>
      <x:c r="V1235" s="6" t="str">
        <x:v>https://digitecme.com/brands/renault-service-dubai/oil-change</x:v>
      </x:c>
      <x:c r="W1235" s="6" t="str">
        <x:v>Indexable directive</x:v>
      </x:c>
      <x:c r="X1235" s="6" t="n">
        <x:v>8</x:v>
      </x:c>
      <x:c r="Y1235" s="6" t="str">
        <x:v>Renault Oil Change Dubai | Digi-Tec</x:v>
      </x:c>
      <x:c r="Z1235" s="6" t="str"/>
      <x:c r="AA1235" s="6" t="str">
        <x:v>No / not compared</x:v>
      </x:c>
    </x:row>
    <x:row r="1236" ht="42" customHeight="1">
      <x:c r="A1236" s="6" t="str">
        <x:v>https://digitecme.com/brands/renault-service-dubai/suspension-repair</x:v>
      </x:c>
      <x:c r="B1236" s="6" t="str"/>
      <x:c r="C1236" s="6" t="str"/>
      <x:c r="D1236" s="6" t="str">
        <x:v>brand-service</x:v>
      </x:c>
      <x:c r="E1236" s="6" t="str">
        <x:v>Retain differentiated role</x:v>
      </x:c>
      <x:c r="F1236" s="6" t="str">
        <x:v>Local source render; live version unverified</x:v>
      </x:c>
      <x:c r="G1236" s="6" t="str">
        <x:v>Renault Suspension Repair Dubai | Digi-Tec</x:v>
      </x:c>
      <x:c r="H1236" s="6" t="str">
        <x:v>Renault Suspension Repair Dubai | Digi-Tec</x:v>
      </x:c>
      <x:c r="I1236" s="6" t="str">
        <x:v>Renault Suspension Repair Dubai</x:v>
      </x:c>
      <x:c r="J1236" s="6" t="str">
        <x:v>Renault Suspension Repair Dubai</x:v>
      </x:c>
      <x:c r="K1236" s="6" t="str">
        <x:v>Renault suspension repair in Dubai with model-specific inspection, confirmed parts options and a clear quote at Digi-Tec, Al Quoz.</x:v>
      </x:c>
      <x:c r="L1236" s="6" t="str">
        <x:v>Retain pending evidence; no specific content edit justified by this export.</x:v>
      </x:c>
      <x:c r="M1236" s="6" t="str">
        <x:v>Retain; inspect relevant context before adding links</x:v>
      </x:c>
      <x:c r="N1236" s="6" t="str">
        <x:v>Unconfirmed — no query/page pairing</x:v>
      </x:c>
      <x:c r="O1236" s="6" t="str">
        <x:v>Retain established booking / WhatsApp / call path; live behaviour untested</x:v>
      </x:c>
      <x:c r="P1236" s="6" t="str">
        <x:v>Retain canonical and indexation policy pending a live check.</x:v>
      </x:c>
      <x:c r="Q1236" s="6" t="str">
        <x:v>Proposed; no website change made</x:v>
      </x:c>
      <x:c r="R1236" s="14" t="n">
        <x:v>1</x:v>
      </x:c>
      <x:c r="S1236" s="14" t="n">
        <x:v>1</x:v>
      </x:c>
      <x:c r="T1236" s="15" t="n">
        <x:v>1</x:v>
      </x:c>
      <x:c r="U1236" s="16" t="n">
        <x:v>4</x:v>
      </x:c>
      <x:c r="V1236" s="6" t="str">
        <x:v>https://digitecme.com/brands/renault-service-dubai/suspension-repair</x:v>
      </x:c>
      <x:c r="W1236" s="6" t="str">
        <x:v>Noindex directive</x:v>
      </x:c>
      <x:c r="X1236" s="6" t="n">
        <x:v>8</x:v>
      </x:c>
      <x:c r="Y1236" s="6" t="str">
        <x:v>Renault Suspension Repair Dubai | Digi-Tec</x:v>
      </x:c>
      <x:c r="Z1236" s="6" t="str"/>
      <x:c r="AA1236" s="6" t="str">
        <x:v>No / not compared</x:v>
      </x:c>
    </x:row>
    <x:row r="1237" ht="42" customHeight="1">
      <x:c r="A1237" s="6" t="str">
        <x:v>https://digitecme.com/brands/renault-service-dubai/transmission-repair</x:v>
      </x:c>
      <x:c r="B1237" s="6" t="str"/>
      <x:c r="C1237" s="6" t="str"/>
      <x:c r="D1237" s="6" t="str">
        <x:v>brand-service</x:v>
      </x:c>
      <x:c r="E1237" s="6" t="str">
        <x:v>Retain differentiated role</x:v>
      </x:c>
      <x:c r="F1237" s="6" t="str">
        <x:v>Local source render; live version unverified</x:v>
      </x:c>
      <x:c r="G1237" s="6" t="str">
        <x:v>Renault Transmission Repair Dubai | Digi-Tec</x:v>
      </x:c>
      <x:c r="H1237" s="6" t="str">
        <x:v>Renault Transmission Repair Dubai | Digi-Tec</x:v>
      </x:c>
      <x:c r="I1237" s="6" t="str">
        <x:v>Renault Transmission Repair Dubai</x:v>
      </x:c>
      <x:c r="J1237" s="6" t="str">
        <x:v>Renault Transmission Repair Dubai</x:v>
      </x:c>
      <x:c r="K1237" s="6" t="str">
        <x:v>Renault transmission repair in Dubai with model-specific inspection, confirmed parts options and a clear quote at Digi-Tec, Al Quoz.</x:v>
      </x:c>
      <x:c r="L1237" s="6" t="str">
        <x:v>Retain pending evidence; no specific content edit justified by this export.</x:v>
      </x:c>
      <x:c r="M1237" s="6" t="str">
        <x:v>Retain; inspect relevant context before adding links</x:v>
      </x:c>
      <x:c r="N1237" s="6" t="str">
        <x:v>Unconfirmed — no query/page pairing</x:v>
      </x:c>
      <x:c r="O1237" s="6" t="str">
        <x:v>Retain established booking / WhatsApp / call path; live behaviour untested</x:v>
      </x:c>
      <x:c r="P1237" s="6" t="str">
        <x:v>Retain canonical and indexation policy pending a live check.</x:v>
      </x:c>
      <x:c r="Q1237" s="6" t="str">
        <x:v>Proposed; no website change made</x:v>
      </x:c>
      <x:c r="R1237" s="14"/>
      <x:c r="S1237" s="14"/>
      <x:c r="T1237" s="15"/>
      <x:c r="U1237" s="16"/>
      <x:c r="V1237" s="6" t="str">
        <x:v>https://digitecme.com/brands/renault-service-dubai/transmission-repair</x:v>
      </x:c>
      <x:c r="W1237" s="6" t="str">
        <x:v>Noindex directive</x:v>
      </x:c>
      <x:c r="X1237" s="6" t="n">
        <x:v>8</x:v>
      </x:c>
      <x:c r="Y1237" s="6" t="str">
        <x:v>Renault Transmission Repair Dubai | Digi-Tec</x:v>
      </x:c>
      <x:c r="Z1237" s="6" t="str"/>
      <x:c r="AA1237" s="6" t="str">
        <x:v>No / not compared</x:v>
      </x:c>
    </x:row>
    <x:row r="1238" ht="57" customHeight="1">
      <x:c r="A1238" s="6" t="str">
        <x:v>https://digitecme.com/brands/rolls-royce-service-dubai</x:v>
      </x:c>
      <x:c r="B1238" s="6" t="str">
        <x:v>rolls royce service dubai</x:v>
      </x:c>
      <x:c r="C1238" s="6" t="str">
        <x:v>rolls-royce: Service and repair</x:v>
      </x:c>
      <x:c r="D1238" s="6" t="str">
        <x:v>brand</x:v>
      </x:c>
      <x:c r="E1238" s="6" t="str">
        <x:v>Primary owner for assigned intent</x:v>
      </x:c>
      <x:c r="F1238" s="6" t="str">
        <x:v>Live HTML checked 9 Sep 2026</x:v>
      </x:c>
      <x:c r="G1238" s="6" t="str">
        <x:v>Rolls-Royce Service &amp; Repair Dubai | DIGI-TEC</x:v>
      </x:c>
      <x:c r="H1238" s="6" t="str">
        <x:v>Rolls-Royce Service &amp; Repair Dubai | DIGI-TEC</x:v>
      </x:c>
      <x:c r="I1238" s="6" t="str">
        <x:v>Rolls-Royce Service &amp; Repair Dubai</x:v>
      </x:c>
      <x:c r="J1238" s="6" t="str">
        <x:v>Rolls-Royce Service &amp; Repair Dubai</x:v>
      </x:c>
      <x:c r="K1238" s="6" t="str">
        <x:v>Independent Rolls-Royce service and repair in Al Quoz, Dubai. Contact DIGI-TEC for maintenance, diagnostics and a vehicle-specific service estimate.</x:v>
      </x:c>
      <x:c r="L1238" s="6" t="str">
        <x:v>Retain pending evidence; no specific content edit justified by this export.</x:v>
      </x:c>
      <x:c r="M1238" s="6" t="str">
        <x:v>Retain; inspect relevant context before adding links</x:v>
      </x:c>
      <x:c r="N1238" s="6" t="str">
        <x:v>Unconfirmed — no query/page pairing</x:v>
      </x:c>
      <x:c r="O1238" s="6" t="str">
        <x:v>Retain established booking / WhatsApp / call path; live behaviour untested</x:v>
      </x:c>
      <x:c r="P1238" s="6" t="str">
        <x:v>Retain canonical and indexation policy pending a live check.</x:v>
      </x:c>
      <x:c r="Q1238" s="6" t="str">
        <x:v>Proposed; no website change made</x:v>
      </x:c>
      <x:c r="R1238" s="14" t="n">
        <x:v>3</x:v>
      </x:c>
      <x:c r="S1238" s="14" t="n">
        <x:v>1020</x:v>
      </x:c>
      <x:c r="T1238" s="15" t="n">
        <x:v>0.0029</x:v>
      </x:c>
      <x:c r="U1238" s="16" t="n">
        <x:v>20.82</x:v>
      </x:c>
      <x:c r="V1238" s="6" t="str">
        <x:v>https://digitecme.com/brands/rolls-royce-service-dubai</x:v>
      </x:c>
      <x:c r="W1238" s="6" t="str">
        <x:v>Indexable directive</x:v>
      </x:c>
      <x:c r="X1238" s="6" t="n">
        <x:v>89</x:v>
      </x:c>
      <x:c r="Y1238" s="6" t="str">
        <x:v>Rolls-Royce Service &amp; Repair Dubai | DIGI-TEC</x:v>
      </x:c>
      <x:c r="Z1238" s="6" t="str">
        <x:v>Rolls-Royce Service &amp; Repair Dubai | DIGI-TEC</x:v>
      </x:c>
      <x:c r="AA1238" s="6" t="str">
        <x:v>No / not compared</x:v>
      </x:c>
    </x:row>
    <x:row r="1239" ht="42" customHeight="1">
      <x:c r="A1239" s="6" t="str">
        <x:v>https://digitecme.com/brands/rolls-royce-service-dubai/ac-repair</x:v>
      </x:c>
      <x:c r="B1239" s="6" t="str"/>
      <x:c r="C1239" s="6" t="str"/>
      <x:c r="D1239" s="6" t="str">
        <x:v>brand-service</x:v>
      </x:c>
      <x:c r="E1239" s="6" t="str">
        <x:v>Retain differentiated role</x:v>
      </x:c>
      <x:c r="F1239" s="6" t="str">
        <x:v>Local source render; live version unverified</x:v>
      </x:c>
      <x:c r="G1239" s="6" t="str">
        <x:v>Rolls-Royce AC Repair Dubai | DIGI-TEC</x:v>
      </x:c>
      <x:c r="H1239" s="6" t="str">
        <x:v>Rolls-Royce AC Repair Dubai | DIGI-TEC</x:v>
      </x:c>
      <x:c r="I1239" s="6" t="str">
        <x:v>Rolls-Royce AC Repair Dubai</x:v>
      </x:c>
      <x:c r="J1239" s="6" t="str">
        <x:v>Rolls-Royce AC Repair Dubai</x:v>
      </x:c>
      <x:c r="K1239" s="6" t="str">
        <x:v>Rolls-Royce air-conditioning assessment in Al Quoz, Dubai for weak cooling, airflow, leaks, compressor and cabin-zone concerns.</x:v>
      </x:c>
      <x:c r="L1239" s="6" t="str">
        <x:v>Retain pending evidence; no specific content edit justified by this export.</x:v>
      </x:c>
      <x:c r="M1239" s="6" t="str">
        <x:v>Retain; inspect relevant context before adding links</x:v>
      </x:c>
      <x:c r="N1239" s="6" t="str">
        <x:v>Unconfirmed — no query/page pairing</x:v>
      </x:c>
      <x:c r="O1239" s="6" t="str">
        <x:v>Retain established booking / WhatsApp / call path; live behaviour untested</x:v>
      </x:c>
      <x:c r="P1239" s="6" t="str">
        <x:v>Retain canonical and indexation policy pending a live check.</x:v>
      </x:c>
      <x:c r="Q1239" s="6" t="str">
        <x:v>Proposed; no website change made</x:v>
      </x:c>
      <x:c r="R1239" s="14" t="n">
        <x:v>0</x:v>
      </x:c>
      <x:c r="S1239" s="14" t="n">
        <x:v>13</x:v>
      </x:c>
      <x:c r="T1239" s="15" t="n">
        <x:v>0</x:v>
      </x:c>
      <x:c r="U1239" s="16" t="n">
        <x:v>14.38</x:v>
      </x:c>
      <x:c r="V1239" s="6" t="str">
        <x:v>https://digitecme.com/brands/rolls-royce-service-dubai/ac-repair</x:v>
      </x:c>
      <x:c r="W1239" s="6" t="str">
        <x:v>Indexable directive</x:v>
      </x:c>
      <x:c r="X1239" s="6" t="n">
        <x:v>17</x:v>
      </x:c>
      <x:c r="Y1239" s="6" t="str">
        <x:v>Rolls-Royce AC Repair Dubai | DIGI-TEC</x:v>
      </x:c>
      <x:c r="Z1239" s="6" t="str"/>
      <x:c r="AA1239" s="6" t="str">
        <x:v>No / not compared</x:v>
      </x:c>
    </x:row>
    <x:row r="1240" ht="57" customHeight="1">
      <x:c r="A1240" s="6" t="str">
        <x:v>https://digitecme.com/brands/rolls-royce-service-dubai/battery-replacement</x:v>
      </x:c>
      <x:c r="B1240" s="6" t="str"/>
      <x:c r="C1240" s="6" t="str"/>
      <x:c r="D1240" s="6" t="str">
        <x:v>brand-service</x:v>
      </x:c>
      <x:c r="E1240" s="6" t="str">
        <x:v>Retain differentiated role</x:v>
      </x:c>
      <x:c r="F1240" s="6" t="str">
        <x:v>Local source render; live version unverified</x:v>
      </x:c>
      <x:c r="G1240" s="6" t="str">
        <x:v>Rolls-Royce Battery Replacement Dubai | DIGI-TEC</x:v>
      </x:c>
      <x:c r="H1240" s="6" t="str">
        <x:v>Rolls-Royce Battery Replacement Dubai | DIGI-TEC</x:v>
      </x:c>
      <x:c r="I1240" s="6" t="str">
        <x:v>Rolls-Royce Battery Replacement &amp; Diagnosis Dubai</x:v>
      </x:c>
      <x:c r="J1240" s="6" t="str">
        <x:v>Rolls-Royce Battery Replacement &amp; Diagnosis Dubai</x:v>
      </x:c>
      <x:c r="K1240" s="6" t="str">
        <x:v>Rolls-Royce low-voltage battery, charging and battery-drain assessment in Al Quoz, Dubai. Specification and supported functions are confirmed.</x:v>
      </x:c>
      <x:c r="L1240" s="6" t="str">
        <x:v>Retain pending evidence; no specific content edit justified by this export.</x:v>
      </x:c>
      <x:c r="M1240" s="6" t="str">
        <x:v>Retain; inspect relevant context before adding links</x:v>
      </x:c>
      <x:c r="N1240" s="6" t="str">
        <x:v>Unconfirmed — no query/page pairing</x:v>
      </x:c>
      <x:c r="O1240" s="6" t="str">
        <x:v>Retain established booking / WhatsApp / call path; live behaviour untested</x:v>
      </x:c>
      <x:c r="P1240" s="6" t="str">
        <x:v>Retain canonical and indexation policy pending a live check.</x:v>
      </x:c>
      <x:c r="Q1240" s="6" t="str">
        <x:v>Proposed; no website change made</x:v>
      </x:c>
      <x:c r="R1240" s="14"/>
      <x:c r="S1240" s="14"/>
      <x:c r="T1240" s="15"/>
      <x:c r="U1240" s="16"/>
      <x:c r="V1240" s="6" t="str">
        <x:v>https://digitecme.com/brands/rolls-royce-service-dubai/battery-replacement</x:v>
      </x:c>
      <x:c r="W1240" s="6" t="str">
        <x:v>Indexable directive</x:v>
      </x:c>
      <x:c r="X1240" s="6" t="n">
        <x:v>16</x:v>
      </x:c>
      <x:c r="Y1240" s="6" t="str">
        <x:v>Rolls-Royce Battery Replacement Dubai | DIGI-TEC</x:v>
      </x:c>
      <x:c r="Z1240" s="6" t="str"/>
      <x:c r="AA1240" s="6" t="str">
        <x:v>No / not compared</x:v>
      </x:c>
    </x:row>
    <x:row r="1241" ht="42" customHeight="1">
      <x:c r="A1241" s="6" t="str">
        <x:v>https://digitecme.com/brands/rolls-royce-service-dubai/body-repair</x:v>
      </x:c>
      <x:c r="B1241" s="6" t="str"/>
      <x:c r="C1241" s="6" t="str"/>
      <x:c r="D1241" s="6" t="str">
        <x:v>brand-service</x:v>
      </x:c>
      <x:c r="E1241" s="6" t="str">
        <x:v>Retain differentiated role</x:v>
      </x:c>
      <x:c r="F1241" s="6" t="str">
        <x:v>Local source render; live version unverified</x:v>
      </x:c>
      <x:c r="G1241" s="6" t="str">
        <x:v>Rolls-Royce Body Repair Dubai | Digi-Tec</x:v>
      </x:c>
      <x:c r="H1241" s="6" t="str">
        <x:v>Rolls-Royce Body Repair Dubai | Digi-Tec</x:v>
      </x:c>
      <x:c r="I1241" s="6" t="str">
        <x:v>Rolls-Royce Body Repair Dubai</x:v>
      </x:c>
      <x:c r="J1241" s="6" t="str">
        <x:v>Rolls-Royce Body Repair Dubai</x:v>
      </x:c>
      <x:c r="K1241" s="6" t="str">
        <x:v>Rolls-Royce body repair in Dubai with model-specific inspection, confirmed parts options and a clear quote at Digi-Tec, Al Quoz.</x:v>
      </x:c>
      <x:c r="L1241" s="6" t="str">
        <x:v>Retain pending evidence; no specific content edit justified by this export.</x:v>
      </x:c>
      <x:c r="M1241" s="6" t="str">
        <x:v>Retain; inspect relevant context before adding links</x:v>
      </x:c>
      <x:c r="N1241" s="6" t="str">
        <x:v>Unconfirmed — no query/page pairing</x:v>
      </x:c>
      <x:c r="O1241" s="6" t="str">
        <x:v>Retain established booking / WhatsApp / call path; live behaviour untested</x:v>
      </x:c>
      <x:c r="P1241" s="6" t="str">
        <x:v>Retain canonical and indexation policy pending a live check.</x:v>
      </x:c>
      <x:c r="Q1241" s="6" t="str">
        <x:v>Proposed; no website change made</x:v>
      </x:c>
      <x:c r="R1241" s="14" t="n">
        <x:v>0</x:v>
      </x:c>
      <x:c r="S1241" s="14" t="n">
        <x:v>20</x:v>
      </x:c>
      <x:c r="T1241" s="15" t="n">
        <x:v>0</x:v>
      </x:c>
      <x:c r="U1241" s="16" t="n">
        <x:v>58.9</x:v>
      </x:c>
      <x:c r="V1241" s="6" t="str">
        <x:v>https://digitecme.com/brands/rolls-royce-service-dubai/body-repair</x:v>
      </x:c>
      <x:c r="W1241" s="6" t="str">
        <x:v>Indexable directive</x:v>
      </x:c>
      <x:c r="X1241" s="6" t="n">
        <x:v>16</x:v>
      </x:c>
      <x:c r="Y1241" s="6" t="str">
        <x:v>Rolls-Royce Body Repair Dubai | Digi-Tec</x:v>
      </x:c>
      <x:c r="Z1241" s="6" t="str"/>
      <x:c r="AA1241" s="6" t="str">
        <x:v>No / not compared</x:v>
      </x:c>
    </x:row>
    <x:row r="1242" ht="42" customHeight="1">
      <x:c r="A1242" s="6" t="str">
        <x:v>https://digitecme.com/brands/rolls-royce-service-dubai/brake-repair</x:v>
      </x:c>
      <x:c r="B1242" s="6" t="str"/>
      <x:c r="C1242" s="6" t="str"/>
      <x:c r="D1242" s="6" t="str">
        <x:v>brand-service</x:v>
      </x:c>
      <x:c r="E1242" s="6" t="str">
        <x:v>Retain differentiated role</x:v>
      </x:c>
      <x:c r="F1242" s="6" t="str">
        <x:v>Local source render; live version unverified</x:v>
      </x:c>
      <x:c r="G1242" s="6" t="str">
        <x:v>Rolls-Royce Brake Repair Dubai | Digi-Tec</x:v>
      </x:c>
      <x:c r="H1242" s="6" t="str">
        <x:v>Rolls-Royce Brake Repair Dubai | Digi-Tec</x:v>
      </x:c>
      <x:c r="I1242" s="6" t="str">
        <x:v>Rolls-Royce Brake Repair Dubai</x:v>
      </x:c>
      <x:c r="J1242" s="6" t="str">
        <x:v>Rolls-Royce Brake Repair Dubai</x:v>
      </x:c>
      <x:c r="K1242" s="6" t="str">
        <x:v>Rolls-Royce brake repair in Dubai with model-specific inspection, confirmed parts options and a clear quote at Digi-Tec, Al Quoz.</x:v>
      </x:c>
      <x:c r="L1242" s="6" t="str">
        <x:v>Retain pending evidence; no specific content edit justified by this export.</x:v>
      </x:c>
      <x:c r="M1242" s="6" t="str">
        <x:v>Retain; inspect relevant context before adding links</x:v>
      </x:c>
      <x:c r="N1242" s="6" t="str">
        <x:v>Unconfirmed — no query/page pairing</x:v>
      </x:c>
      <x:c r="O1242" s="6" t="str">
        <x:v>Retain established booking / WhatsApp / call path; live behaviour untested</x:v>
      </x:c>
      <x:c r="P1242" s="6" t="str">
        <x:v>Retain canonical and indexation policy pending a live check.</x:v>
      </x:c>
      <x:c r="Q1242" s="6" t="str">
        <x:v>Proposed; no website change made</x:v>
      </x:c>
      <x:c r="R1242" s="14"/>
      <x:c r="S1242" s="14"/>
      <x:c r="T1242" s="15"/>
      <x:c r="U1242" s="16"/>
      <x:c r="V1242" s="6" t="str">
        <x:v>https://digitecme.com/brands/rolls-royce-service-dubai/brake-repair</x:v>
      </x:c>
      <x:c r="W1242" s="6" t="str">
        <x:v>Indexable directive</x:v>
      </x:c>
      <x:c r="X1242" s="6" t="n">
        <x:v>16</x:v>
      </x:c>
      <x:c r="Y1242" s="6" t="str">
        <x:v>Rolls-Royce Brake Repair Dubai | Digi-Tec</x:v>
      </x:c>
      <x:c r="Z1242" s="6" t="str"/>
      <x:c r="AA1242" s="6" t="str">
        <x:v>No / not compared</x:v>
      </x:c>
    </x:row>
    <x:row r="1243" ht="42" customHeight="1">
      <x:c r="A1243" s="6" t="str">
        <x:v>https://digitecme.com/brands/rolls-royce-service-dubai/electrical-repair</x:v>
      </x:c>
      <x:c r="B1243" s="6" t="str"/>
      <x:c r="C1243" s="6" t="str"/>
      <x:c r="D1243" s="6" t="str">
        <x:v>brand-service</x:v>
      </x:c>
      <x:c r="E1243" s="6" t="str">
        <x:v>Retain differentiated role</x:v>
      </x:c>
      <x:c r="F1243" s="6" t="str">
        <x:v>Local source render; live version unverified</x:v>
      </x:c>
      <x:c r="G1243" s="6" t="str">
        <x:v>Rolls-Royce Electrical Repair Dubai | DIGI-TEC</x:v>
      </x:c>
      <x:c r="H1243" s="6" t="str">
        <x:v>Rolls-Royce Electrical Repair Dubai | DIGI-TEC</x:v>
      </x:c>
      <x:c r="I1243" s="6" t="str">
        <x:v>Rolls-Royce Electrical Repair Dubai</x:v>
      </x:c>
      <x:c r="J1243" s="6" t="str">
        <x:v>Rolls-Royce Electrical Repair Dubai</x:v>
      </x:c>
      <x:c r="K1243" s="6" t="str">
        <x:v>Rolls-Royce electrical fault and low-voltage assessment in Al Quoz, Dubai. Wiring, charging and module concerns are tested before repair.</x:v>
      </x:c>
      <x:c r="L1243" s="6" t="str">
        <x:v>Retain pending evidence; no specific content edit justified by this export.</x:v>
      </x:c>
      <x:c r="M1243" s="6" t="str">
        <x:v>Retain; inspect relevant context before adding links</x:v>
      </x:c>
      <x:c r="N1243" s="6" t="str">
        <x:v>Unconfirmed — no query/page pairing</x:v>
      </x:c>
      <x:c r="O1243" s="6" t="str">
        <x:v>Retain established booking / WhatsApp / call path; live behaviour untested</x:v>
      </x:c>
      <x:c r="P1243" s="6" t="str">
        <x:v>Retain canonical and indexation policy pending a live check.</x:v>
      </x:c>
      <x:c r="Q1243" s="6" t="str">
        <x:v>Proposed; no website change made</x:v>
      </x:c>
      <x:c r="R1243" s="14"/>
      <x:c r="S1243" s="14"/>
      <x:c r="T1243" s="15"/>
      <x:c r="U1243" s="16"/>
      <x:c r="V1243" s="6" t="str">
        <x:v>https://digitecme.com/brands/rolls-royce-service-dubai/electrical-repair</x:v>
      </x:c>
      <x:c r="W1243" s="6" t="str">
        <x:v>Indexable directive</x:v>
      </x:c>
      <x:c r="X1243" s="6" t="n">
        <x:v>16</x:v>
      </x:c>
      <x:c r="Y1243" s="6" t="str">
        <x:v>Rolls-Royce Electrical Repair Dubai | DIGI-TEC</x:v>
      </x:c>
      <x:c r="Z1243" s="6" t="str"/>
      <x:c r="AA1243" s="6" t="str">
        <x:v>No / not compared</x:v>
      </x:c>
    </x:row>
    <x:row r="1244" ht="57" customHeight="1">
      <x:c r="A1244" s="6" t="str">
        <x:v>https://digitecme.com/brands/rolls-royce-service-dubai/engine-diagnostics</x:v>
      </x:c>
      <x:c r="B1244" s="6" t="str"/>
      <x:c r="C1244" s="6" t="str"/>
      <x:c r="D1244" s="6" t="str">
        <x:v>brand-service</x:v>
      </x:c>
      <x:c r="E1244" s="6" t="str">
        <x:v>Retain differentiated role</x:v>
      </x:c>
      <x:c r="F1244" s="6" t="str">
        <x:v>Local source render; live version unverified</x:v>
      </x:c>
      <x:c r="G1244" s="6" t="str">
        <x:v>Rolls-Royce Engine Diagnostics Dubai | DIGI-TEC</x:v>
      </x:c>
      <x:c r="H1244" s="6" t="str">
        <x:v>Rolls-Royce Engine Diagnostics Dubai | DIGI-TEC</x:v>
      </x:c>
      <x:c r="I1244" s="6" t="str">
        <x:v>Rolls-Royce Engine Diagnostics Dubai</x:v>
      </x:c>
      <x:c r="J1244" s="6" t="str">
        <x:v>Rolls-Royce Engine Diagnostics Dubai</x:v>
      </x:c>
      <x:c r="K1244" s="6" t="str">
        <x:v>Rolls-Royce warning-light and drivability diagnostics in Al Quoz, Dubai. Compatible scan coverage and physical testing are confirmed for the vehicle.</x:v>
      </x:c>
      <x:c r="L1244" s="6" t="str">
        <x:v>Retain pending evidence; no specific content edit justified by this export.</x:v>
      </x:c>
      <x:c r="M1244" s="6" t="str">
        <x:v>Retain; inspect relevant context before adding links</x:v>
      </x:c>
      <x:c r="N1244" s="6" t="str">
        <x:v>Unconfirmed — no query/page pairing</x:v>
      </x:c>
      <x:c r="O1244" s="6" t="str">
        <x:v>Retain established booking / WhatsApp / call path; live behaviour untested</x:v>
      </x:c>
      <x:c r="P1244" s="6" t="str">
        <x:v>Retain canonical and indexation policy pending a live check.</x:v>
      </x:c>
      <x:c r="Q1244" s="6" t="str">
        <x:v>Proposed; no website change made</x:v>
      </x:c>
      <x:c r="R1244" s="14" t="n">
        <x:v>0</x:v>
      </x:c>
      <x:c r="S1244" s="14" t="n">
        <x:v>15</x:v>
      </x:c>
      <x:c r="T1244" s="15" t="n">
        <x:v>0</x:v>
      </x:c>
      <x:c r="U1244" s="16" t="n">
        <x:v>3.87</x:v>
      </x:c>
      <x:c r="V1244" s="6" t="str">
        <x:v>https://digitecme.com/brands/rolls-royce-service-dubai/engine-diagnostics</x:v>
      </x:c>
      <x:c r="W1244" s="6" t="str">
        <x:v>Indexable directive</x:v>
      </x:c>
      <x:c r="X1244" s="6" t="n">
        <x:v>17</x:v>
      </x:c>
      <x:c r="Y1244" s="6" t="str">
        <x:v>Rolls-Royce Engine Diagnostics Dubai | DIGI-TEC</x:v>
      </x:c>
      <x:c r="Z1244" s="6" t="str"/>
      <x:c r="AA1244" s="6" t="str">
        <x:v>No / not compared</x:v>
      </x:c>
    </x:row>
    <x:row r="1245" ht="42" customHeight="1">
      <x:c r="A1245" s="6" t="str">
        <x:v>https://digitecme.com/brands/rolls-royce-service-dubai/exhaust-repair</x:v>
      </x:c>
      <x:c r="B1245" s="6" t="str"/>
      <x:c r="C1245" s="6" t="str"/>
      <x:c r="D1245" s="6" t="str">
        <x:v>brand-service</x:v>
      </x:c>
      <x:c r="E1245" s="6" t="str">
        <x:v>Retain differentiated role</x:v>
      </x:c>
      <x:c r="F1245" s="6" t="str">
        <x:v>Local source render; live version unverified</x:v>
      </x:c>
      <x:c r="G1245" s="6" t="str">
        <x:v>Rolls-Royce Exhaust Repair Dubai | Digi-Tec</x:v>
      </x:c>
      <x:c r="H1245" s="6" t="str">
        <x:v>Rolls-Royce Exhaust Repair Dubai | Digi-Tec</x:v>
      </x:c>
      <x:c r="I1245" s="6" t="str">
        <x:v>Rolls-Royce Exhaust Repair Dubai</x:v>
      </x:c>
      <x:c r="J1245" s="6" t="str">
        <x:v>Rolls-Royce Exhaust Repair Dubai</x:v>
      </x:c>
      <x:c r="K1245" s="6" t="str">
        <x:v>Rolls-Royce exhaust repair in Dubai with model-specific inspection, confirmed parts options and a clear quote at Digi-Tec, Al Quoz.</x:v>
      </x:c>
      <x:c r="L1245" s="6" t="str">
        <x:v>Retain pending evidence; no specific content edit justified by this export.</x:v>
      </x:c>
      <x:c r="M1245" s="6" t="str">
        <x:v>Retain; inspect relevant context before adding links</x:v>
      </x:c>
      <x:c r="N1245" s="6" t="str">
        <x:v>Unconfirmed — no query/page pairing</x:v>
      </x:c>
      <x:c r="O1245" s="6" t="str">
        <x:v>Retain established booking / WhatsApp / call path; live behaviour untested</x:v>
      </x:c>
      <x:c r="P1245" s="6" t="str">
        <x:v>Retain canonical and indexation policy pending a live check.</x:v>
      </x:c>
      <x:c r="Q1245" s="6" t="str">
        <x:v>Proposed; no website change made</x:v>
      </x:c>
      <x:c r="R1245" s="14" t="n">
        <x:v>0</x:v>
      </x:c>
      <x:c r="S1245" s="14" t="n">
        <x:v>7</x:v>
      </x:c>
      <x:c r="T1245" s="15" t="n">
        <x:v>0</x:v>
      </x:c>
      <x:c r="U1245" s="16" t="n">
        <x:v>58</x:v>
      </x:c>
      <x:c r="V1245" s="6" t="str">
        <x:v>https://digitecme.com/brands/rolls-royce-service-dubai/exhaust-repair</x:v>
      </x:c>
      <x:c r="W1245" s="6" t="str">
        <x:v>Indexable directive</x:v>
      </x:c>
      <x:c r="X1245" s="6" t="n">
        <x:v>16</x:v>
      </x:c>
      <x:c r="Y1245" s="6" t="str">
        <x:v>Rolls-Royce Exhaust Repair Dubai | Digi-Tec</x:v>
      </x:c>
      <x:c r="Z1245" s="6" t="str"/>
      <x:c r="AA1245" s="6" t="str">
        <x:v>No / not compared</x:v>
      </x:c>
    </x:row>
    <x:row r="1246" ht="42" customHeight="1">
      <x:c r="A1246" s="6" t="str">
        <x:v>https://digitecme.com/brands/rolls-royce-service-dubai/fuel-system-repair</x:v>
      </x:c>
      <x:c r="B1246" s="6" t="str"/>
      <x:c r="C1246" s="6" t="str"/>
      <x:c r="D1246" s="6" t="str">
        <x:v>brand-service</x:v>
      </x:c>
      <x:c r="E1246" s="6" t="str">
        <x:v>Retain differentiated role</x:v>
      </x:c>
      <x:c r="F1246" s="6" t="str">
        <x:v>Local source render; live version unverified</x:v>
      </x:c>
      <x:c r="G1246" s="6" t="str">
        <x:v>Rolls-Royce Fuel System Repair Dubai | Digi-Tec</x:v>
      </x:c>
      <x:c r="H1246" s="6" t="str">
        <x:v>Rolls-Royce Fuel System Repair Dubai | Digi-Tec</x:v>
      </x:c>
      <x:c r="I1246" s="6" t="str">
        <x:v>Rolls-Royce Fuel System Repair Dubai</x:v>
      </x:c>
      <x:c r="J1246" s="6" t="str">
        <x:v>Rolls-Royce Fuel System Repair Dubai</x:v>
      </x:c>
      <x:c r="K1246" s="6" t="str">
        <x:v>Rolls-Royce fuel system repair in Dubai with model-specific inspection, confirmed parts options and a clear quote at Digi-Tec, Al Quoz.</x:v>
      </x:c>
      <x:c r="L1246" s="6" t="str">
        <x:v>Retain pending evidence; no specific content edit justified by this export.</x:v>
      </x:c>
      <x:c r="M1246" s="6" t="str">
        <x:v>Retain; inspect relevant context before adding links</x:v>
      </x:c>
      <x:c r="N1246" s="6" t="str">
        <x:v>Unconfirmed — no query/page pairing</x:v>
      </x:c>
      <x:c r="O1246" s="6" t="str">
        <x:v>Retain established booking / WhatsApp / call path; live behaviour untested</x:v>
      </x:c>
      <x:c r="P1246" s="6" t="str">
        <x:v>Retain canonical and indexation policy pending a live check.</x:v>
      </x:c>
      <x:c r="Q1246" s="6" t="str">
        <x:v>Proposed; no website change made</x:v>
      </x:c>
      <x:c r="R1246" s="14"/>
      <x:c r="S1246" s="14"/>
      <x:c r="T1246" s="15"/>
      <x:c r="U1246" s="16"/>
      <x:c r="V1246" s="6" t="str">
        <x:v>https://digitecme.com/brands/rolls-royce-service-dubai/fuel-system-repair</x:v>
      </x:c>
      <x:c r="W1246" s="6" t="str">
        <x:v>Indexable directive</x:v>
      </x:c>
      <x:c r="X1246" s="6" t="n">
        <x:v>16</x:v>
      </x:c>
      <x:c r="Y1246" s="6" t="str">
        <x:v>Rolls-Royce Fuel System Repair Dubai | Digi-Tec</x:v>
      </x:c>
      <x:c r="Z1246" s="6" t="str"/>
      <x:c r="AA1246" s="6" t="str">
        <x:v>No / not compared</x:v>
      </x:c>
    </x:row>
    <x:row r="1247" ht="57" customHeight="1">
      <x:c r="A1247" s="6" t="str">
        <x:v>https://digitecme.com/brands/rolls-royce-service-dubai/mechanical-repair</x:v>
      </x:c>
      <x:c r="B1247" s="6" t="str">
        <x:v>rolls royce engine repair dubai</x:v>
      </x:c>
      <x:c r="C1247" s="6" t="str">
        <x:v>rolls-royce: Engine and mechanical repair</x:v>
      </x:c>
      <x:c r="D1247" s="6" t="str">
        <x:v>brand-service</x:v>
      </x:c>
      <x:c r="E1247" s="6" t="str">
        <x:v>Primary owner for assigned intent</x:v>
      </x:c>
      <x:c r="F1247" s="6" t="str">
        <x:v>Local source render; live version unverified</x:v>
      </x:c>
      <x:c r="G1247" s="6" t="str">
        <x:v>Rolls-Royce Engine Repair Dubai | DIGI-TEC</x:v>
      </x:c>
      <x:c r="H1247" s="6" t="str">
        <x:v>Rolls-Royce Engine Repair Dubai | DIGI-TEC</x:v>
      </x:c>
      <x:c r="I1247" s="6" t="str">
        <x:v>Rolls-Royce Engine &amp; Mechanical Repair Dubai</x:v>
      </x:c>
      <x:c r="J1247" s="6" t="str">
        <x:v>Rolls-Royce Engine &amp; Mechanical Repair Dubai</x:v>
      </x:c>
      <x:c r="K1247" s="6" t="str">
        <x:v>Rolls-Royce engine, cooling and mechanical assessment in Al Quoz, Dubai. Repair scope follows vehicle identification and inspection findings.</x:v>
      </x:c>
      <x:c r="L1247" s="6" t="str">
        <x:v>Retain pending evidence; no specific content edit justified by this export.</x:v>
      </x:c>
      <x:c r="M1247" s="6" t="str">
        <x:v>Retain; inspect relevant context before adding links</x:v>
      </x:c>
      <x:c r="N1247" s="6" t="str">
        <x:v>Unconfirmed — no query/page pairing</x:v>
      </x:c>
      <x:c r="O1247" s="6" t="str">
        <x:v>Retain established booking / WhatsApp / call path; live behaviour untested</x:v>
      </x:c>
      <x:c r="P1247" s="6" t="str">
        <x:v>Retain canonical and indexation policy pending a live check.</x:v>
      </x:c>
      <x:c r="Q1247" s="6" t="str">
        <x:v>Proposed; no website change made</x:v>
      </x:c>
      <x:c r="R1247" s="14"/>
      <x:c r="S1247" s="14"/>
      <x:c r="T1247" s="15"/>
      <x:c r="U1247" s="16"/>
      <x:c r="V1247" s="6" t="str">
        <x:v>https://digitecme.com/brands/rolls-royce-service-dubai/mechanical-repair</x:v>
      </x:c>
      <x:c r="W1247" s="6" t="str">
        <x:v>Indexable directive</x:v>
      </x:c>
      <x:c r="X1247" s="6" t="n">
        <x:v>16</x:v>
      </x:c>
      <x:c r="Y1247" s="6" t="str">
        <x:v>Rolls-Royce Engine Repair Dubai | DIGI-TEC</x:v>
      </x:c>
      <x:c r="Z1247" s="6" t="str"/>
      <x:c r="AA1247" s="6" t="str">
        <x:v>No / not compared</x:v>
      </x:c>
    </x:row>
    <x:row r="1248" ht="42" customHeight="1">
      <x:c r="A1248" s="6" t="str">
        <x:v>https://digitecme.com/brands/rolls-royce-service-dubai/oil-change</x:v>
      </x:c>
      <x:c r="B1248" s="6" t="str"/>
      <x:c r="C1248" s="6" t="str"/>
      <x:c r="D1248" s="6" t="str">
        <x:v>brand-service</x:v>
      </x:c>
      <x:c r="E1248" s="6" t="str">
        <x:v>Retain differentiated role</x:v>
      </x:c>
      <x:c r="F1248" s="6" t="str">
        <x:v>Local source render; live version unverified</x:v>
      </x:c>
      <x:c r="G1248" s="6" t="str">
        <x:v>Rolls-Royce Oil Change &amp; Maintenance Dubai | DIGI-TEC</x:v>
      </x:c>
      <x:c r="H1248" s="6" t="str">
        <x:v>Rolls-Royce Oil Change &amp; Maintenance Dubai | DIGI-TEC</x:v>
      </x:c>
      <x:c r="I1248" s="6" t="str">
        <x:v>Rolls-Royce Oil Change &amp; Maintenance Dubai</x:v>
      </x:c>
      <x:c r="J1248" s="6" t="str">
        <x:v>Rolls-Royce Oil Change &amp; Maintenance Dubai</x:v>
      </x:c>
      <x:c r="K1248" s="6" t="str">
        <x:v>Rolls-Royce oil service and maintenance assessment in Al Quoz, Dubai. Oil, filters and due items are matched to the exact combustion model.</x:v>
      </x:c>
      <x:c r="L1248" s="6" t="str">
        <x:v>Retain pending evidence; no specific content edit justified by this export.</x:v>
      </x:c>
      <x:c r="M1248" s="6" t="str">
        <x:v>Retain; inspect relevant context before adding links</x:v>
      </x:c>
      <x:c r="N1248" s="6" t="str">
        <x:v>Unconfirmed — no query/page pairing</x:v>
      </x:c>
      <x:c r="O1248" s="6" t="str">
        <x:v>Retain established booking / WhatsApp / call path; live behaviour untested</x:v>
      </x:c>
      <x:c r="P1248" s="6" t="str">
        <x:v>Retain canonical and indexation policy pending a live check.</x:v>
      </x:c>
      <x:c r="Q1248" s="6" t="str">
        <x:v>Proposed; no website change made</x:v>
      </x:c>
      <x:c r="R1248" s="14" t="n">
        <x:v>0</x:v>
      </x:c>
      <x:c r="S1248" s="14" t="n">
        <x:v>14</x:v>
      </x:c>
      <x:c r="T1248" s="15" t="n">
        <x:v>0</x:v>
      </x:c>
      <x:c r="U1248" s="16" t="n">
        <x:v>9.43</x:v>
      </x:c>
      <x:c r="V1248" s="6" t="str">
        <x:v>https://digitecme.com/brands/rolls-royce-service-dubai/oil-change</x:v>
      </x:c>
      <x:c r="W1248" s="6" t="str">
        <x:v>Indexable directive</x:v>
      </x:c>
      <x:c r="X1248" s="6" t="n">
        <x:v>17</x:v>
      </x:c>
      <x:c r="Y1248" s="6" t="str">
        <x:v>Rolls-Royce Oil Change &amp; Maintenance Dubai | DIGI-TEC</x:v>
      </x:c>
      <x:c r="Z1248" s="6" t="str"/>
      <x:c r="AA1248" s="6" t="str">
        <x:v>No / not compared</x:v>
      </x:c>
    </x:row>
    <x:row r="1249" ht="42" customHeight="1">
      <x:c r="A1249" s="6" t="str">
        <x:v>https://digitecme.com/brands/rolls-royce-service-dubai/steering-repair</x:v>
      </x:c>
      <x:c r="B1249" s="6" t="str"/>
      <x:c r="C1249" s="6" t="str"/>
      <x:c r="D1249" s="6" t="str">
        <x:v>brand-service</x:v>
      </x:c>
      <x:c r="E1249" s="6" t="str">
        <x:v>Retain differentiated role</x:v>
      </x:c>
      <x:c r="F1249" s="6" t="str">
        <x:v>Local source render; live version unverified</x:v>
      </x:c>
      <x:c r="G1249" s="6" t="str">
        <x:v>Rolls-Royce Steering Repair Dubai | Digi-Tec</x:v>
      </x:c>
      <x:c r="H1249" s="6" t="str">
        <x:v>Rolls-Royce Steering Repair Dubai | Digi-Tec</x:v>
      </x:c>
      <x:c r="I1249" s="6" t="str">
        <x:v>Rolls-Royce Steering Repair Dubai</x:v>
      </x:c>
      <x:c r="J1249" s="6" t="str">
        <x:v>Rolls-Royce Steering Repair Dubai</x:v>
      </x:c>
      <x:c r="K1249" s="6" t="str">
        <x:v>Rolls-Royce steering repair in Dubai with model-specific inspection, confirmed parts options and a clear quote at Digi-Tec, Al Quoz.</x:v>
      </x:c>
      <x:c r="L1249" s="6" t="str">
        <x:v>Retain pending evidence; no specific content edit justified by this export.</x:v>
      </x:c>
      <x:c r="M1249" s="6" t="str">
        <x:v>Retain; inspect relevant context before adding links</x:v>
      </x:c>
      <x:c r="N1249" s="6" t="str">
        <x:v>Unconfirmed — no query/page pairing</x:v>
      </x:c>
      <x:c r="O1249" s="6" t="str">
        <x:v>Retain established booking / WhatsApp / call path; live behaviour untested</x:v>
      </x:c>
      <x:c r="P1249" s="6" t="str">
        <x:v>Retain canonical and indexation policy pending a live check.</x:v>
      </x:c>
      <x:c r="Q1249" s="6" t="str">
        <x:v>Proposed; no website change made</x:v>
      </x:c>
      <x:c r="R1249" s="14" t="n">
        <x:v>0</x:v>
      </x:c>
      <x:c r="S1249" s="14" t="n">
        <x:v>44</x:v>
      </x:c>
      <x:c r="T1249" s="15" t="n">
        <x:v>0</x:v>
      </x:c>
      <x:c r="U1249" s="16" t="n">
        <x:v>71.91</x:v>
      </x:c>
      <x:c r="V1249" s="6" t="str">
        <x:v>https://digitecme.com/brands/rolls-royce-service-dubai/steering-repair</x:v>
      </x:c>
      <x:c r="W1249" s="6" t="str">
        <x:v>Indexable directive</x:v>
      </x:c>
      <x:c r="X1249" s="6" t="n">
        <x:v>16</x:v>
      </x:c>
      <x:c r="Y1249" s="6" t="str">
        <x:v>Rolls-Royce Steering Repair Dubai | Digi-Tec</x:v>
      </x:c>
      <x:c r="Z1249" s="6" t="str"/>
      <x:c r="AA1249" s="6" t="str">
        <x:v>No / not compared</x:v>
      </x:c>
    </x:row>
    <x:row r="1250" ht="42" customHeight="1">
      <x:c r="A1250" s="6" t="str">
        <x:v>https://digitecme.com/brands/rolls-royce-service-dubai/suspension-repair</x:v>
      </x:c>
      <x:c r="B1250" s="6" t="str">
        <x:v>rolls royce suspension repair dubai</x:v>
      </x:c>
      <x:c r="C1250" s="6" t="str">
        <x:v>rolls-royce: Suspension repair</x:v>
      </x:c>
      <x:c r="D1250" s="6" t="str">
        <x:v>brand-service</x:v>
      </x:c>
      <x:c r="E1250" s="6" t="str">
        <x:v>Primary owner for assigned intent</x:v>
      </x:c>
      <x:c r="F1250" s="6" t="str">
        <x:v>Local source render; live version unverified</x:v>
      </x:c>
      <x:c r="G1250" s="6" t="str">
        <x:v>Rolls-Royce Suspension Repair Dubai | DIGI-TEC</x:v>
      </x:c>
      <x:c r="H1250" s="6" t="str">
        <x:v>Rolls-Royce Suspension Repair Dubai | DIGI-TEC</x:v>
      </x:c>
      <x:c r="I1250" s="6" t="str">
        <x:v>Rolls-Royce Air Suspension Repair Dubai</x:v>
      </x:c>
      <x:c r="J1250" s="6" t="str">
        <x:v>Rolls-Royce Air Suspension Repair Dubai</x:v>
      </x:c>
      <x:c r="K1250" s="6" t="str">
        <x:v>Rolls-Royce ride-height, air-suspension and ride-quality assessment in Al Quoz, Dubai. Fitted systems and repair scope are confirmed first.</x:v>
      </x:c>
      <x:c r="L1250" s="6" t="str">
        <x:v>Retain pending evidence; no specific content edit justified by this export.</x:v>
      </x:c>
      <x:c r="M1250" s="6" t="str">
        <x:v>Retain; inspect relevant context before adding links</x:v>
      </x:c>
      <x:c r="N1250" s="6" t="str">
        <x:v>Unconfirmed — no query/page pairing</x:v>
      </x:c>
      <x:c r="O1250" s="6" t="str">
        <x:v>Retain established booking / WhatsApp / call path; live behaviour untested</x:v>
      </x:c>
      <x:c r="P1250" s="6" t="str">
        <x:v>Retain canonical and indexation policy pending a live check.</x:v>
      </x:c>
      <x:c r="Q1250" s="6" t="str">
        <x:v>Proposed; no website change made</x:v>
      </x:c>
      <x:c r="R1250" s="14"/>
      <x:c r="S1250" s="14"/>
      <x:c r="T1250" s="15"/>
      <x:c r="U1250" s="16"/>
      <x:c r="V1250" s="6" t="str">
        <x:v>https://digitecme.com/brands/rolls-royce-service-dubai/suspension-repair</x:v>
      </x:c>
      <x:c r="W1250" s="6" t="str">
        <x:v>Indexable directive</x:v>
      </x:c>
      <x:c r="X1250" s="6" t="n">
        <x:v>17</x:v>
      </x:c>
      <x:c r="Y1250" s="6" t="str">
        <x:v>Rolls-Royce Suspension Repair Dubai | DIGI-TEC</x:v>
      </x:c>
      <x:c r="Z1250" s="6" t="str"/>
      <x:c r="AA1250" s="6" t="str">
        <x:v>No / not compared</x:v>
      </x:c>
    </x:row>
    <x:row r="1251" ht="42" customHeight="1">
      <x:c r="A1251" s="6" t="str">
        <x:v>https://digitecme.com/brands/rolls-royce-service-dubai/tire-repair</x:v>
      </x:c>
      <x:c r="B1251" s="6" t="str"/>
      <x:c r="C1251" s="6" t="str"/>
      <x:c r="D1251" s="6" t="str">
        <x:v>brand-service</x:v>
      </x:c>
      <x:c r="E1251" s="6" t="str">
        <x:v>Retain differentiated role</x:v>
      </x:c>
      <x:c r="F1251" s="6" t="str">
        <x:v>Local source render; live version unverified</x:v>
      </x:c>
      <x:c r="G1251" s="6" t="str">
        <x:v>Rolls-Royce Tyre Repair Dubai | Digi-Tec</x:v>
      </x:c>
      <x:c r="H1251" s="6" t="str">
        <x:v>Rolls-Royce Tyre Repair Dubai | Digi-Tec</x:v>
      </x:c>
      <x:c r="I1251" s="6" t="str">
        <x:v>Rolls-Royce Tyre Repair Dubai</x:v>
      </x:c>
      <x:c r="J1251" s="6" t="str">
        <x:v>Rolls-Royce Tyre Repair Dubai</x:v>
      </x:c>
      <x:c r="K1251" s="6" t="str">
        <x:v>Rolls-Royce tyre repair in Dubai with model-specific inspection, confirmed parts options and a clear quote at Digi-Tec, Al Quoz.</x:v>
      </x:c>
      <x:c r="L1251" s="6" t="str">
        <x:v>Retain pending evidence; no specific content edit justified by this export.</x:v>
      </x:c>
      <x:c r="M1251" s="6" t="str">
        <x:v>Retain; inspect relevant context before adding links</x:v>
      </x:c>
      <x:c r="N1251" s="6" t="str">
        <x:v>Unconfirmed — no query/page pairing</x:v>
      </x:c>
      <x:c r="O1251" s="6" t="str">
        <x:v>Retain established booking / WhatsApp / call path; live behaviour untested</x:v>
      </x:c>
      <x:c r="P1251" s="6" t="str">
        <x:v>Retain canonical and indexation policy pending a live check.</x:v>
      </x:c>
      <x:c r="Q1251" s="6" t="str">
        <x:v>Proposed; no website change made</x:v>
      </x:c>
      <x:c r="R1251" s="14" t="n">
        <x:v>0</x:v>
      </x:c>
      <x:c r="S1251" s="14" t="n">
        <x:v>3</x:v>
      </x:c>
      <x:c r="T1251" s="15" t="n">
        <x:v>0</x:v>
      </x:c>
      <x:c r="U1251" s="16" t="n">
        <x:v>21</x:v>
      </x:c>
      <x:c r="V1251" s="6" t="str">
        <x:v>https://digitecme.com/brands/rolls-royce-service-dubai/tire-repair</x:v>
      </x:c>
      <x:c r="W1251" s="6" t="str">
        <x:v>Indexable directive</x:v>
      </x:c>
      <x:c r="X1251" s="6" t="n">
        <x:v>16</x:v>
      </x:c>
      <x:c r="Y1251" s="6" t="str">
        <x:v>Rolls-Royce Tyre Repair Dubai | Digi-Tec</x:v>
      </x:c>
      <x:c r="Z1251" s="6" t="str"/>
      <x:c r="AA1251" s="6" t="str">
        <x:v>No / not compared</x:v>
      </x:c>
    </x:row>
    <x:row r="1252" ht="42" customHeight="1">
      <x:c r="A1252" s="6" t="str">
        <x:v>https://digitecme.com/brands/rolls-royce-service-dubai/transmission-repair</x:v>
      </x:c>
      <x:c r="B1252" s="6" t="str">
        <x:v>rolls royce transmission repair dubai</x:v>
      </x:c>
      <x:c r="C1252" s="6" t="str">
        <x:v>rolls-royce: Transmission and gearbox repair</x:v>
      </x:c>
      <x:c r="D1252" s="6" t="str">
        <x:v>brand-service</x:v>
      </x:c>
      <x:c r="E1252" s="6" t="str">
        <x:v>Primary owner for assigned intent</x:v>
      </x:c>
      <x:c r="F1252" s="6" t="str">
        <x:v>Local source render; live version unverified</x:v>
      </x:c>
      <x:c r="G1252" s="6" t="str">
        <x:v>Rolls-Royce Transmission Repair Dubai | DIGI-TEC</x:v>
      </x:c>
      <x:c r="H1252" s="6" t="str">
        <x:v>Rolls-Royce Transmission Repair Dubai | DIGI-TEC</x:v>
      </x:c>
      <x:c r="I1252" s="6" t="str">
        <x:v>Rolls-Royce Transmission Repair Dubai</x:v>
      </x:c>
      <x:c r="J1252" s="6" t="str">
        <x:v>Rolls-Royce Transmission Repair Dubai</x:v>
      </x:c>
      <x:c r="K1252" s="6" t="str">
        <x:v>Rolls-Royce transmission and gearbox assessment in Al Quoz, Dubai for warnings, leaks, engagement and shift-quality concerns.</x:v>
      </x:c>
      <x:c r="L1252" s="6" t="str">
        <x:v>Retain pending evidence; no specific content edit justified by this export.</x:v>
      </x:c>
      <x:c r="M1252" s="6" t="str">
        <x:v>Retain; inspect relevant context before adding links</x:v>
      </x:c>
      <x:c r="N1252" s="6" t="str">
        <x:v>Unconfirmed — no query/page pairing</x:v>
      </x:c>
      <x:c r="O1252" s="6" t="str">
        <x:v>Retain established booking / WhatsApp / call path; live behaviour untested</x:v>
      </x:c>
      <x:c r="P1252" s="6" t="str">
        <x:v>Retain canonical and indexation policy pending a live check.</x:v>
      </x:c>
      <x:c r="Q1252" s="6" t="str">
        <x:v>Proposed; no website change made</x:v>
      </x:c>
      <x:c r="R1252" s="14" t="n">
        <x:v>0</x:v>
      </x:c>
      <x:c r="S1252" s="14" t="n">
        <x:v>16</x:v>
      </x:c>
      <x:c r="T1252" s="15" t="n">
        <x:v>0</x:v>
      </x:c>
      <x:c r="U1252" s="16" t="n">
        <x:v>11.12</x:v>
      </x:c>
      <x:c r="V1252" s="6" t="str">
        <x:v>https://digitecme.com/brands/rolls-royce-service-dubai/transmission-repair</x:v>
      </x:c>
      <x:c r="W1252" s="6" t="str">
        <x:v>Indexable directive</x:v>
      </x:c>
      <x:c r="X1252" s="6" t="n">
        <x:v>17</x:v>
      </x:c>
      <x:c r="Y1252" s="6" t="str">
        <x:v>Rolls-Royce Transmission Repair Dubai | DIGI-TEC</x:v>
      </x:c>
      <x:c r="Z1252" s="6" t="str"/>
      <x:c r="AA1252" s="6" t="str">
        <x:v>No / not compared</x:v>
      </x:c>
    </x:row>
    <x:row r="1253" ht="57" customHeight="1">
      <x:c r="A1253" s="6" t="str">
        <x:v>https://digitecme.com/brands/rox-service-dubai</x:v>
      </x:c>
      <x:c r="B1253" s="6" t="str"/>
      <x:c r="C1253" s="6" t="str"/>
      <x:c r="D1253" s="6" t="str">
        <x:v>brand</x:v>
      </x:c>
      <x:c r="E1253" s="6" t="str">
        <x:v>Retain differentiated role</x:v>
      </x:c>
      <x:c r="F1253" s="6" t="str">
        <x:v>Local source render; live version unverified</x:v>
      </x:c>
      <x:c r="G1253" s="6" t="str">
        <x:v>ROX 01 Service &amp; Repair Dubai | DIGI-TEC Al Quoz</x:v>
      </x:c>
      <x:c r="H1253" s="6" t="str">
        <x:v>ROX 01 Service &amp; Repair Dubai | DIGI-TEC Al Quoz</x:v>
      </x:c>
      <x:c r="I1253" s="6" t="str">
        <x:v>ROX 01 Service &amp; Repair Dubai</x:v>
      </x:c>
      <x:c r="J1253" s="6" t="str">
        <x:v>ROX 01 Service &amp; Repair Dubai</x:v>
      </x:c>
      <x:c r="K1253" s="6" t="str">
        <x:v>ROX 01 service, repair and diagnostics in Al Quoz, Dubai. Discuss maintenance, AC, brakes, warning lights and soft-close-door concerns with DIGI-TEC.</x:v>
      </x:c>
      <x:c r="L1253" s="6" t="str">
        <x:v>Retain pending evidence; no specific content edit justified by this export.</x:v>
      </x:c>
      <x:c r="M1253" s="6" t="str">
        <x:v>Retain; inspect relevant context before adding links</x:v>
      </x:c>
      <x:c r="N1253" s="6" t="str">
        <x:v>Unconfirmed — no query/page pairing</x:v>
      </x:c>
      <x:c r="O1253" s="6" t="str">
        <x:v>Retain established booking / WhatsApp / call path; live behaviour untested</x:v>
      </x:c>
      <x:c r="P1253" s="6" t="str">
        <x:v>Retain canonical and indexation policy pending a live check.</x:v>
      </x:c>
      <x:c r="Q1253" s="6" t="str">
        <x:v>Proposed; no website change made</x:v>
      </x:c>
      <x:c r="R1253" s="14" t="n">
        <x:v>0</x:v>
      </x:c>
      <x:c r="S1253" s="14" t="n">
        <x:v>6</x:v>
      </x:c>
      <x:c r="T1253" s="15" t="n">
        <x:v>0</x:v>
      </x:c>
      <x:c r="U1253" s="16" t="n">
        <x:v>16.17</x:v>
      </x:c>
      <x:c r="V1253" s="6" t="str">
        <x:v>https://digitecme.com/brands/rox-service-dubai</x:v>
      </x:c>
      <x:c r="W1253" s="6" t="str">
        <x:v>Indexable directive</x:v>
      </x:c>
      <x:c r="X1253" s="6" t="n">
        <x:v>37</x:v>
      </x:c>
      <x:c r="Y1253" s="6" t="str">
        <x:v>ROX 01 Service &amp; Repair Dubai | DIGI-TEC Al Quoz</x:v>
      </x:c>
      <x:c r="Z1253" s="6" t="str"/>
      <x:c r="AA1253" s="6" t="str">
        <x:v>No / not compared</x:v>
      </x:c>
    </x:row>
    <x:row r="1254" ht="42" customHeight="1">
      <x:c r="A1254" s="6" t="str">
        <x:v>https://digitecme.com/brands/rox-service-dubai/ac-repair</x:v>
      </x:c>
      <x:c r="B1254" s="6" t="str"/>
      <x:c r="C1254" s="6" t="str"/>
      <x:c r="D1254" s="6" t="str">
        <x:v>brand-service</x:v>
      </x:c>
      <x:c r="E1254" s="6" t="str">
        <x:v>Retain differentiated role</x:v>
      </x:c>
      <x:c r="F1254" s="6" t="str">
        <x:v>Local source render; live version unverified</x:v>
      </x:c>
      <x:c r="G1254" s="6" t="str">
        <x:v>ROX AC Repair Dubai | Digi-Tec</x:v>
      </x:c>
      <x:c r="H1254" s="6" t="str">
        <x:v>ROX AC Repair Dubai | Digi-Tec</x:v>
      </x:c>
      <x:c r="I1254" s="6" t="str">
        <x:v>ROX AC Repair Dubai</x:v>
      </x:c>
      <x:c r="J1254" s="6" t="str">
        <x:v>ROX AC Repair Dubai</x:v>
      </x:c>
      <x:c r="K1254" s="6" t="str">
        <x:v>ROX ac repair in Dubai with model-specific inspection, confirmed parts options and a clear quote at Digi-Tec, Al Quoz.</x:v>
      </x:c>
      <x:c r="L1254" s="6" t="str">
        <x:v>Retain pending evidence; no specific content edit justified by this export.</x:v>
      </x:c>
      <x:c r="M1254" s="6" t="str">
        <x:v>Retain; inspect relevant context before adding links</x:v>
      </x:c>
      <x:c r="N1254" s="6" t="str">
        <x:v>Unconfirmed — no query/page pairing</x:v>
      </x:c>
      <x:c r="O1254" s="6" t="str">
        <x:v>Retain established booking / WhatsApp / call path; live behaviour untested</x:v>
      </x:c>
      <x:c r="P1254" s="6" t="str">
        <x:v>Retain canonical and indexation policy pending a live check.</x:v>
      </x:c>
      <x:c r="Q1254" s="6" t="str">
        <x:v>Proposed; no website change made</x:v>
      </x:c>
      <x:c r="R1254" s="14" t="n">
        <x:v>0</x:v>
      </x:c>
      <x:c r="S1254" s="14" t="n">
        <x:v>3</x:v>
      </x:c>
      <x:c r="T1254" s="15" t="n">
        <x:v>0</x:v>
      </x:c>
      <x:c r="U1254" s="16" t="n">
        <x:v>3.67</x:v>
      </x:c>
      <x:c r="V1254" s="6" t="str">
        <x:v>https://digitecme.com/brands/rox-service-dubai/ac-repair</x:v>
      </x:c>
      <x:c r="W1254" s="6" t="str">
        <x:v>Indexable directive</x:v>
      </x:c>
      <x:c r="X1254" s="6" t="n">
        <x:v>17</x:v>
      </x:c>
      <x:c r="Y1254" s="6" t="str">
        <x:v>ROX AC Repair Dubai | Digi-Tec</x:v>
      </x:c>
      <x:c r="Z1254" s="6" t="str"/>
      <x:c r="AA1254" s="6" t="str">
        <x:v>No / not compared</x:v>
      </x:c>
    </x:row>
    <x:row r="1255" ht="42" customHeight="1">
      <x:c r="A1255" s="6" t="str">
        <x:v>https://digitecme.com/brands/rox-service-dubai/battery-replacement</x:v>
      </x:c>
      <x:c r="B1255" s="6" t="str"/>
      <x:c r="C1255" s="6" t="str"/>
      <x:c r="D1255" s="6" t="str">
        <x:v>brand-service</x:v>
      </x:c>
      <x:c r="E1255" s="6" t="str">
        <x:v>Retain differentiated role</x:v>
      </x:c>
      <x:c r="F1255" s="6" t="str">
        <x:v>Local source render; live version unverified</x:v>
      </x:c>
      <x:c r="G1255" s="6" t="str">
        <x:v>ROX Battery Replacement Dubai | Digi-Tec</x:v>
      </x:c>
      <x:c r="H1255" s="6" t="str">
        <x:v>ROX Battery Replacement Dubai | Digi-Tec</x:v>
      </x:c>
      <x:c r="I1255" s="6" t="str">
        <x:v>ROX Battery Replacement Dubai</x:v>
      </x:c>
      <x:c r="J1255" s="6" t="str">
        <x:v>ROX Battery Replacement Dubai</x:v>
      </x:c>
      <x:c r="K1255" s="6" t="str">
        <x:v>ROX battery replacement in Dubai with model-specific inspection, confirmed parts options and a clear quote at Digi-Tec, Al Quoz.</x:v>
      </x:c>
      <x:c r="L1255" s="6" t="str">
        <x:v>Retain pending evidence; no specific content edit justified by this export.</x:v>
      </x:c>
      <x:c r="M1255" s="6" t="str">
        <x:v>Retain; inspect relevant context before adding links</x:v>
      </x:c>
      <x:c r="N1255" s="6" t="str">
        <x:v>Unconfirmed — no query/page pairing</x:v>
      </x:c>
      <x:c r="O1255" s="6" t="str">
        <x:v>Retain established booking / WhatsApp / call path; live behaviour untested</x:v>
      </x:c>
      <x:c r="P1255" s="6" t="str">
        <x:v>Retain canonical and indexation policy pending a live check.</x:v>
      </x:c>
      <x:c r="Q1255" s="6" t="str">
        <x:v>Proposed; no website change made</x:v>
      </x:c>
      <x:c r="R1255" s="14" t="n">
        <x:v>0</x:v>
      </x:c>
      <x:c r="S1255" s="14" t="n">
        <x:v>19</x:v>
      </x:c>
      <x:c r="T1255" s="15" t="n">
        <x:v>0</x:v>
      </x:c>
      <x:c r="U1255" s="16" t="n">
        <x:v>5.05</x:v>
      </x:c>
      <x:c r="V1255" s="6" t="str">
        <x:v>https://digitecme.com/brands/rox-service-dubai/battery-replacement</x:v>
      </x:c>
      <x:c r="W1255" s="6" t="str">
        <x:v>Noindex directive</x:v>
      </x:c>
      <x:c r="X1255" s="6" t="n">
        <x:v>16</x:v>
      </x:c>
      <x:c r="Y1255" s="6" t="str">
        <x:v>ROX Battery Replacement Dubai | Digi-Tec</x:v>
      </x:c>
      <x:c r="Z1255" s="6" t="str"/>
      <x:c r="AA1255" s="6" t="str">
        <x:v>No / not compared</x:v>
      </x:c>
    </x:row>
    <x:row r="1256" ht="42" customHeight="1">
      <x:c r="A1256" s="6" t="str">
        <x:v>https://digitecme.com/brands/rox-service-dubai/body-repair</x:v>
      </x:c>
      <x:c r="B1256" s="6" t="str"/>
      <x:c r="C1256" s="6" t="str"/>
      <x:c r="D1256" s="6" t="str">
        <x:v>brand-service</x:v>
      </x:c>
      <x:c r="E1256" s="6" t="str">
        <x:v>Retain differentiated role</x:v>
      </x:c>
      <x:c r="F1256" s="6" t="str">
        <x:v>Local source render; live version unverified</x:v>
      </x:c>
      <x:c r="G1256" s="6" t="str">
        <x:v>ROX Body Repair Dubai | Digi-Tec</x:v>
      </x:c>
      <x:c r="H1256" s="6" t="str">
        <x:v>ROX Body Repair Dubai | Digi-Tec</x:v>
      </x:c>
      <x:c r="I1256" s="6" t="str">
        <x:v>ROX Body Repair Dubai</x:v>
      </x:c>
      <x:c r="J1256" s="6" t="str">
        <x:v>ROX Body Repair Dubai</x:v>
      </x:c>
      <x:c r="K1256" s="6" t="str">
        <x:v>ROX body repair in Dubai with model-specific inspection, confirmed parts options and a clear quote at Digi-Tec, Al Quoz.</x:v>
      </x:c>
      <x:c r="L1256" s="6" t="str">
        <x:v>Retain pending evidence; no specific content edit justified by this export.</x:v>
      </x:c>
      <x:c r="M1256" s="6" t="str">
        <x:v>Retain; inspect relevant context before adding links</x:v>
      </x:c>
      <x:c r="N1256" s="6" t="str">
        <x:v>Unconfirmed — no query/page pairing</x:v>
      </x:c>
      <x:c r="O1256" s="6" t="str">
        <x:v>Retain established booking / WhatsApp / call path; live behaviour untested</x:v>
      </x:c>
      <x:c r="P1256" s="6" t="str">
        <x:v>Retain canonical and indexation policy pending a live check.</x:v>
      </x:c>
      <x:c r="Q1256" s="6" t="str">
        <x:v>Proposed; no website change made</x:v>
      </x:c>
      <x:c r="R1256" s="14" t="n">
        <x:v>0</x:v>
      </x:c>
      <x:c r="S1256" s="14" t="n">
        <x:v>6</x:v>
      </x:c>
      <x:c r="T1256" s="15" t="n">
        <x:v>0</x:v>
      </x:c>
      <x:c r="U1256" s="16" t="n">
        <x:v>6.33</x:v>
      </x:c>
      <x:c r="V1256" s="6" t="str">
        <x:v>https://digitecme.com/brands/rox-service-dubai/body-repair</x:v>
      </x:c>
      <x:c r="W1256" s="6" t="str">
        <x:v>Noindex directive</x:v>
      </x:c>
      <x:c r="X1256" s="6" t="n">
        <x:v>16</x:v>
      </x:c>
      <x:c r="Y1256" s="6" t="str">
        <x:v>ROX Body Repair Dubai | Digi-Tec</x:v>
      </x:c>
      <x:c r="Z1256" s="6" t="str"/>
      <x:c r="AA1256" s="6" t="str">
        <x:v>No / not compared</x:v>
      </x:c>
    </x:row>
    <x:row r="1257" ht="42" customHeight="1">
      <x:c r="A1257" s="6" t="str">
        <x:v>https://digitecme.com/brands/rox-service-dubai/brake-repair</x:v>
      </x:c>
      <x:c r="B1257" s="6" t="str"/>
      <x:c r="C1257" s="6" t="str"/>
      <x:c r="D1257" s="6" t="str">
        <x:v>brand-service</x:v>
      </x:c>
      <x:c r="E1257" s="6" t="str">
        <x:v>Retain differentiated role</x:v>
      </x:c>
      <x:c r="F1257" s="6" t="str">
        <x:v>Local source render; live version unverified</x:v>
      </x:c>
      <x:c r="G1257" s="6" t="str">
        <x:v>ROX Brake Repair Dubai | Digi-Tec</x:v>
      </x:c>
      <x:c r="H1257" s="6" t="str">
        <x:v>ROX Brake Repair Dubai | Digi-Tec</x:v>
      </x:c>
      <x:c r="I1257" s="6" t="str">
        <x:v>ROX Brake Repair Dubai</x:v>
      </x:c>
      <x:c r="J1257" s="6" t="str">
        <x:v>ROX Brake Repair Dubai</x:v>
      </x:c>
      <x:c r="K1257" s="6" t="str">
        <x:v>ROX brake repair in Dubai with model-specific inspection, confirmed parts options and a clear quote at Digi-Tec, Al Quoz.</x:v>
      </x:c>
      <x:c r="L1257" s="6" t="str">
        <x:v>Retain pending evidence; no specific content edit justified by this export.</x:v>
      </x:c>
      <x:c r="M1257" s="6" t="str">
        <x:v>Retain; inspect relevant context before adding links</x:v>
      </x:c>
      <x:c r="N1257" s="6" t="str">
        <x:v>Unconfirmed — no query/page pairing</x:v>
      </x:c>
      <x:c r="O1257" s="6" t="str">
        <x:v>Retain established booking / WhatsApp / call path; live behaviour untested</x:v>
      </x:c>
      <x:c r="P1257" s="6" t="str">
        <x:v>Retain canonical and indexation policy pending a live check.</x:v>
      </x:c>
      <x:c r="Q1257" s="6" t="str">
        <x:v>Proposed; no website change made</x:v>
      </x:c>
      <x:c r="R1257" s="14" t="n">
        <x:v>1</x:v>
      </x:c>
      <x:c r="S1257" s="14" t="n">
        <x:v>23</x:v>
      </x:c>
      <x:c r="T1257" s="15" t="n">
        <x:v>0.0435</x:v>
      </x:c>
      <x:c r="U1257" s="16" t="n">
        <x:v>3.35</x:v>
      </x:c>
      <x:c r="V1257" s="6" t="str">
        <x:v>https://digitecme.com/brands/rox-service-dubai/brake-repair</x:v>
      </x:c>
      <x:c r="W1257" s="6" t="str">
        <x:v>Indexable directive</x:v>
      </x:c>
      <x:c r="X1257" s="6" t="n">
        <x:v>17</x:v>
      </x:c>
      <x:c r="Y1257" s="6" t="str">
        <x:v>ROX Brake Repair Dubai | Digi-Tec</x:v>
      </x:c>
      <x:c r="Z1257" s="6" t="str"/>
      <x:c r="AA1257" s="6" t="str">
        <x:v>No / not compared</x:v>
      </x:c>
    </x:row>
    <x:row r="1258" ht="42" customHeight="1">
      <x:c r="A1258" s="6" t="str">
        <x:v>https://digitecme.com/brands/rox-service-dubai/electrical-repair</x:v>
      </x:c>
      <x:c r="B1258" s="6" t="str"/>
      <x:c r="C1258" s="6" t="str"/>
      <x:c r="D1258" s="6" t="str">
        <x:v>brand-service</x:v>
      </x:c>
      <x:c r="E1258" s="6" t="str">
        <x:v>Retain differentiated role</x:v>
      </x:c>
      <x:c r="F1258" s="6" t="str">
        <x:v>Local source render; live version unverified</x:v>
      </x:c>
      <x:c r="G1258" s="6" t="str">
        <x:v>ROX Electrical Repair Dubai | Digi-Tec</x:v>
      </x:c>
      <x:c r="H1258" s="6" t="str">
        <x:v>ROX Electrical Repair Dubai | Digi-Tec</x:v>
      </x:c>
      <x:c r="I1258" s="6" t="str">
        <x:v>ROX Electrical Repair Dubai</x:v>
      </x:c>
      <x:c r="J1258" s="6" t="str">
        <x:v>ROX Electrical Repair Dubai</x:v>
      </x:c>
      <x:c r="K1258" s="6" t="str">
        <x:v>ROX electrical repair in Dubai with model-specific inspection, confirmed parts options and a clear quote at Digi-Tec, Al Quoz.</x:v>
      </x:c>
      <x:c r="L1258" s="6" t="str">
        <x:v>Retain pending evidence; no specific content edit justified by this export.</x:v>
      </x:c>
      <x:c r="M1258" s="6" t="str">
        <x:v>Retain; inspect relevant context before adding links</x:v>
      </x:c>
      <x:c r="N1258" s="6" t="str">
        <x:v>Unconfirmed — no query/page pairing</x:v>
      </x:c>
      <x:c r="O1258" s="6" t="str">
        <x:v>Retain established booking / WhatsApp / call path; live behaviour untested</x:v>
      </x:c>
      <x:c r="P1258" s="6" t="str">
        <x:v>Retain canonical and indexation policy pending a live check.</x:v>
      </x:c>
      <x:c r="Q1258" s="6" t="str">
        <x:v>Proposed; no website change made</x:v>
      </x:c>
      <x:c r="R1258" s="14" t="n">
        <x:v>0</x:v>
      </x:c>
      <x:c r="S1258" s="14" t="n">
        <x:v>12</x:v>
      </x:c>
      <x:c r="T1258" s="15" t="n">
        <x:v>0</x:v>
      </x:c>
      <x:c r="U1258" s="16" t="n">
        <x:v>8</x:v>
      </x:c>
      <x:c r="V1258" s="6" t="str">
        <x:v>https://digitecme.com/brands/rox-service-dubai/electrical-repair</x:v>
      </x:c>
      <x:c r="W1258" s="6" t="str">
        <x:v>Noindex directive</x:v>
      </x:c>
      <x:c r="X1258" s="6" t="n">
        <x:v>16</x:v>
      </x:c>
      <x:c r="Y1258" s="6" t="str">
        <x:v>ROX Electrical Repair Dubai | Digi-Tec</x:v>
      </x:c>
      <x:c r="Z1258" s="6" t="str"/>
      <x:c r="AA1258" s="6" t="str">
        <x:v>No / not compared</x:v>
      </x:c>
    </x:row>
    <x:row r="1259" ht="42" customHeight="1">
      <x:c r="A1259" s="6" t="str">
        <x:v>https://digitecme.com/brands/rox-service-dubai/engine-diagnostics</x:v>
      </x:c>
      <x:c r="B1259" s="6" t="str"/>
      <x:c r="C1259" s="6" t="str"/>
      <x:c r="D1259" s="6" t="str">
        <x:v>brand-service</x:v>
      </x:c>
      <x:c r="E1259" s="6" t="str">
        <x:v>Retain differentiated role</x:v>
      </x:c>
      <x:c r="F1259" s="6" t="str">
        <x:v>Local source render; live version unverified</x:v>
      </x:c>
      <x:c r="G1259" s="6" t="str">
        <x:v>ROX Engine Diagnostics Dubai | Digi-Tec</x:v>
      </x:c>
      <x:c r="H1259" s="6" t="str">
        <x:v>ROX Engine Diagnostics Dubai | Digi-Tec</x:v>
      </x:c>
      <x:c r="I1259" s="6" t="str">
        <x:v>ROX Engine Diagnostics Dubai</x:v>
      </x:c>
      <x:c r="J1259" s="6" t="str">
        <x:v>ROX Engine Diagnostics Dubai</x:v>
      </x:c>
      <x:c r="K1259" s="6" t="str">
        <x:v>ROX engine diagnostics in Dubai with model-specific inspection, confirmed parts options and a clear quote at Digi-Tec, Al Quoz.</x:v>
      </x:c>
      <x:c r="L1259" s="6" t="str">
        <x:v>Retain pending evidence; no specific content edit justified by this export.</x:v>
      </x:c>
      <x:c r="M1259" s="6" t="str">
        <x:v>Retain; inspect relevant context before adding links</x:v>
      </x:c>
      <x:c r="N1259" s="6" t="str">
        <x:v>Unconfirmed — no query/page pairing</x:v>
      </x:c>
      <x:c r="O1259" s="6" t="str">
        <x:v>Retain established booking / WhatsApp / call path; live behaviour untested</x:v>
      </x:c>
      <x:c r="P1259" s="6" t="str">
        <x:v>Retain canonical and indexation policy pending a live check.</x:v>
      </x:c>
      <x:c r="Q1259" s="6" t="str">
        <x:v>Proposed; no website change made</x:v>
      </x:c>
      <x:c r="R1259" s="14" t="n">
        <x:v>5</x:v>
      </x:c>
      <x:c r="S1259" s="14" t="n">
        <x:v>62</x:v>
      </x:c>
      <x:c r="T1259" s="15" t="n">
        <x:v>0.0806</x:v>
      </x:c>
      <x:c r="U1259" s="16" t="n">
        <x:v>7.97</x:v>
      </x:c>
      <x:c r="V1259" s="6" t="str">
        <x:v>https://digitecme.com/brands/rox-service-dubai/engine-diagnostics</x:v>
      </x:c>
      <x:c r="W1259" s="6" t="str">
        <x:v>Indexable directive</x:v>
      </x:c>
      <x:c r="X1259" s="6" t="n">
        <x:v>17</x:v>
      </x:c>
      <x:c r="Y1259" s="6" t="str">
        <x:v>ROX Engine Diagnostics Dubai | Digi-Tec</x:v>
      </x:c>
      <x:c r="Z1259" s="6" t="str"/>
      <x:c r="AA1259" s="6" t="str">
        <x:v>No / not compared</x:v>
      </x:c>
    </x:row>
    <x:row r="1260" ht="42" customHeight="1">
      <x:c r="A1260" s="6" t="str">
        <x:v>https://digitecme.com/brands/rox-service-dubai/exhaust-repair</x:v>
      </x:c>
      <x:c r="B1260" s="6" t="str"/>
      <x:c r="C1260" s="6" t="str"/>
      <x:c r="D1260" s="6" t="str">
        <x:v>brand-service</x:v>
      </x:c>
      <x:c r="E1260" s="6" t="str">
        <x:v>Retain differentiated role</x:v>
      </x:c>
      <x:c r="F1260" s="6" t="str">
        <x:v>Local source render; live version unverified</x:v>
      </x:c>
      <x:c r="G1260" s="6" t="str">
        <x:v>ROX Exhaust Repair Dubai | Digi-Tec</x:v>
      </x:c>
      <x:c r="H1260" s="6" t="str">
        <x:v>ROX Exhaust Repair Dubai | Digi-Tec</x:v>
      </x:c>
      <x:c r="I1260" s="6" t="str">
        <x:v>ROX Exhaust Repair Dubai</x:v>
      </x:c>
      <x:c r="J1260" s="6" t="str">
        <x:v>ROX Exhaust Repair Dubai</x:v>
      </x:c>
      <x:c r="K1260" s="6" t="str">
        <x:v>ROX exhaust repair in Dubai with model-specific inspection, confirmed parts options and a clear quote at Digi-Tec, Al Quoz.</x:v>
      </x:c>
      <x:c r="L1260" s="6" t="str">
        <x:v>Retain pending evidence; no specific content edit justified by this export.</x:v>
      </x:c>
      <x:c r="M1260" s="6" t="str">
        <x:v>Retain; inspect relevant context before adding links</x:v>
      </x:c>
      <x:c r="N1260" s="6" t="str">
        <x:v>Unconfirmed — no query/page pairing</x:v>
      </x:c>
      <x:c r="O1260" s="6" t="str">
        <x:v>Retain established booking / WhatsApp / call path; live behaviour untested</x:v>
      </x:c>
      <x:c r="P1260" s="6" t="str">
        <x:v>Retain canonical and indexation policy pending a live check.</x:v>
      </x:c>
      <x:c r="Q1260" s="6" t="str">
        <x:v>Proposed; no website change made</x:v>
      </x:c>
      <x:c r="R1260" s="14" t="n">
        <x:v>0</x:v>
      </x:c>
      <x:c r="S1260" s="14" t="n">
        <x:v>3</x:v>
      </x:c>
      <x:c r="T1260" s="15" t="n">
        <x:v>0</x:v>
      </x:c>
      <x:c r="U1260" s="16" t="n">
        <x:v>7</x:v>
      </x:c>
      <x:c r="V1260" s="6" t="str">
        <x:v>https://digitecme.com/brands/rox-service-dubai/exhaust-repair</x:v>
      </x:c>
      <x:c r="W1260" s="6" t="str">
        <x:v>Noindex directive</x:v>
      </x:c>
      <x:c r="X1260" s="6" t="n">
        <x:v>16</x:v>
      </x:c>
      <x:c r="Y1260" s="6" t="str">
        <x:v>ROX Exhaust Repair Dubai | Digi-Tec</x:v>
      </x:c>
      <x:c r="Z1260" s="6" t="str"/>
      <x:c r="AA1260" s="6" t="str">
        <x:v>No / not compared</x:v>
      </x:c>
    </x:row>
    <x:row r="1261" ht="42" customHeight="1">
      <x:c r="A1261" s="6" t="str">
        <x:v>https://digitecme.com/brands/rox-service-dubai/fuel-system-repair</x:v>
      </x:c>
      <x:c r="B1261" s="6" t="str"/>
      <x:c r="C1261" s="6" t="str"/>
      <x:c r="D1261" s="6" t="str">
        <x:v>brand-service</x:v>
      </x:c>
      <x:c r="E1261" s="6" t="str">
        <x:v>Retain differentiated role</x:v>
      </x:c>
      <x:c r="F1261" s="6" t="str">
        <x:v>Local source render; live version unverified</x:v>
      </x:c>
      <x:c r="G1261" s="6" t="str">
        <x:v>ROX Fuel System Repair Dubai | Digi-Tec</x:v>
      </x:c>
      <x:c r="H1261" s="6" t="str">
        <x:v>ROX Fuel System Repair Dubai | Digi-Tec</x:v>
      </x:c>
      <x:c r="I1261" s="6" t="str">
        <x:v>ROX Fuel System Repair Dubai</x:v>
      </x:c>
      <x:c r="J1261" s="6" t="str">
        <x:v>ROX Fuel System Repair Dubai</x:v>
      </x:c>
      <x:c r="K1261" s="6" t="str">
        <x:v>ROX fuel system repair in Dubai with model-specific inspection, confirmed parts options and a clear quote at Digi-Tec, Al Quoz.</x:v>
      </x:c>
      <x:c r="L1261" s="6" t="str">
        <x:v>Retain pending evidence; no specific content edit justified by this export.</x:v>
      </x:c>
      <x:c r="M1261" s="6" t="str">
        <x:v>Retain; inspect relevant context before adding links</x:v>
      </x:c>
      <x:c r="N1261" s="6" t="str">
        <x:v>Unconfirmed — no query/page pairing</x:v>
      </x:c>
      <x:c r="O1261" s="6" t="str">
        <x:v>Retain established booking / WhatsApp / call path; live behaviour untested</x:v>
      </x:c>
      <x:c r="P1261" s="6" t="str">
        <x:v>Retain canonical and indexation policy pending a live check.</x:v>
      </x:c>
      <x:c r="Q1261" s="6" t="str">
        <x:v>Proposed; no website change made</x:v>
      </x:c>
      <x:c r="R1261" s="14" t="n">
        <x:v>0</x:v>
      </x:c>
      <x:c r="S1261" s="14" t="n">
        <x:v>6</x:v>
      </x:c>
      <x:c r="T1261" s="15" t="n">
        <x:v>0</x:v>
      </x:c>
      <x:c r="U1261" s="16" t="n">
        <x:v>12.5</x:v>
      </x:c>
      <x:c r="V1261" s="6" t="str">
        <x:v>https://digitecme.com/brands/rox-service-dubai/fuel-system-repair</x:v>
      </x:c>
      <x:c r="W1261" s="6" t="str">
        <x:v>Noindex directive</x:v>
      </x:c>
      <x:c r="X1261" s="6" t="n">
        <x:v>16</x:v>
      </x:c>
      <x:c r="Y1261" s="6" t="str">
        <x:v>ROX Fuel System Repair Dubai | Digi-Tec</x:v>
      </x:c>
      <x:c r="Z1261" s="6" t="str"/>
      <x:c r="AA1261" s="6" t="str">
        <x:v>No / not compared</x:v>
      </x:c>
    </x:row>
    <x:row r="1262" ht="42" customHeight="1">
      <x:c r="A1262" s="6" t="str">
        <x:v>https://digitecme.com/brands/rox-service-dubai/mechanical-repair</x:v>
      </x:c>
      <x:c r="B1262" s="6" t="str"/>
      <x:c r="C1262" s="6" t="str"/>
      <x:c r="D1262" s="6" t="str">
        <x:v>brand-service</x:v>
      </x:c>
      <x:c r="E1262" s="6" t="str">
        <x:v>Retain differentiated role</x:v>
      </x:c>
      <x:c r="F1262" s="6" t="str">
        <x:v>Local source render; live version unverified</x:v>
      </x:c>
      <x:c r="G1262" s="6" t="str">
        <x:v>ROX Mechanical Repair Dubai | Digi-Tec</x:v>
      </x:c>
      <x:c r="H1262" s="6" t="str">
        <x:v>ROX Mechanical Repair Dubai | Digi-Tec</x:v>
      </x:c>
      <x:c r="I1262" s="6" t="str">
        <x:v>ROX Mechanical Repair Dubai</x:v>
      </x:c>
      <x:c r="J1262" s="6" t="str">
        <x:v>ROX Mechanical Repair Dubai</x:v>
      </x:c>
      <x:c r="K1262" s="6" t="str">
        <x:v>ROX mechanical repair in Dubai with model-specific inspection, confirmed parts options and a clear quote at Digi-Tec, Al Quoz.</x:v>
      </x:c>
      <x:c r="L1262" s="6" t="str">
        <x:v>Retain pending evidence; no specific content edit justified by this export.</x:v>
      </x:c>
      <x:c r="M1262" s="6" t="str">
        <x:v>Retain; inspect relevant context before adding links</x:v>
      </x:c>
      <x:c r="N1262" s="6" t="str">
        <x:v>Unconfirmed — no query/page pairing</x:v>
      </x:c>
      <x:c r="O1262" s="6" t="str">
        <x:v>Retain established booking / WhatsApp / call path; live behaviour untested</x:v>
      </x:c>
      <x:c r="P1262" s="6" t="str">
        <x:v>Retain canonical and indexation policy pending a live check.</x:v>
      </x:c>
      <x:c r="Q1262" s="6" t="str">
        <x:v>Proposed; no website change made</x:v>
      </x:c>
      <x:c r="R1262" s="14" t="n">
        <x:v>1</x:v>
      </x:c>
      <x:c r="S1262" s="14" t="n">
        <x:v>53</x:v>
      </x:c>
      <x:c r="T1262" s="15" t="n">
        <x:v>0.0189</x:v>
      </x:c>
      <x:c r="U1262" s="16" t="n">
        <x:v>8.25</x:v>
      </x:c>
      <x:c r="V1262" s="6" t="str">
        <x:v>https://digitecme.com/brands/rox-service-dubai/mechanical-repair</x:v>
      </x:c>
      <x:c r="W1262" s="6" t="str">
        <x:v>Noindex directive</x:v>
      </x:c>
      <x:c r="X1262" s="6" t="n">
        <x:v>16</x:v>
      </x:c>
      <x:c r="Y1262" s="6" t="str">
        <x:v>ROX Mechanical Repair Dubai | Digi-Tec</x:v>
      </x:c>
      <x:c r="Z1262" s="6" t="str"/>
      <x:c r="AA1262" s="6" t="str">
        <x:v>No / not compared</x:v>
      </x:c>
    </x:row>
    <x:row r="1263" ht="42" customHeight="1">
      <x:c r="A1263" s="6" t="str">
        <x:v>https://digitecme.com/brands/rox-service-dubai/oil-change</x:v>
      </x:c>
      <x:c r="B1263" s="6" t="str"/>
      <x:c r="C1263" s="6" t="str"/>
      <x:c r="D1263" s="6" t="str">
        <x:v>brand-service</x:v>
      </x:c>
      <x:c r="E1263" s="6" t="str">
        <x:v>Retain differentiated role</x:v>
      </x:c>
      <x:c r="F1263" s="6" t="str">
        <x:v>Local source render; live version unverified</x:v>
      </x:c>
      <x:c r="G1263" s="6" t="str">
        <x:v>ROX Oil Change Dubai | Digi-Tec</x:v>
      </x:c>
      <x:c r="H1263" s="6" t="str">
        <x:v>ROX Oil Change Dubai | Digi-Tec</x:v>
      </x:c>
      <x:c r="I1263" s="6" t="str">
        <x:v>ROX Oil Change Dubai</x:v>
      </x:c>
      <x:c r="J1263" s="6" t="str">
        <x:v>ROX Oil Change Dubai</x:v>
      </x:c>
      <x:c r="K1263" s="6" t="str">
        <x:v>ROX oil change in Dubai with model-specific inspection, confirmed parts options and a clear quote at Digi-Tec, Al Quoz.</x:v>
      </x:c>
      <x:c r="L1263" s="6" t="str">
        <x:v>Retain pending evidence; no specific content edit justified by this export.</x:v>
      </x:c>
      <x:c r="M1263" s="6" t="str">
        <x:v>Retain; inspect relevant context before adding links</x:v>
      </x:c>
      <x:c r="N1263" s="6" t="str">
        <x:v>Unconfirmed — no query/page pairing</x:v>
      </x:c>
      <x:c r="O1263" s="6" t="str">
        <x:v>Retain established booking / WhatsApp / call path; live behaviour untested</x:v>
      </x:c>
      <x:c r="P1263" s="6" t="str">
        <x:v>Retain canonical and indexation policy pending a live check.</x:v>
      </x:c>
      <x:c r="Q1263" s="6" t="str">
        <x:v>Proposed; no website change made</x:v>
      </x:c>
      <x:c r="R1263" s="14" t="n">
        <x:v>2</x:v>
      </x:c>
      <x:c r="S1263" s="14" t="n">
        <x:v>69</x:v>
      </x:c>
      <x:c r="T1263" s="15" t="n">
        <x:v>0.028999999999999998</x:v>
      </x:c>
      <x:c r="U1263" s="16" t="n">
        <x:v>5.12</x:v>
      </x:c>
      <x:c r="V1263" s="6" t="str">
        <x:v>https://digitecme.com/brands/rox-service-dubai/oil-change</x:v>
      </x:c>
      <x:c r="W1263" s="6" t="str">
        <x:v>Indexable directive</x:v>
      </x:c>
      <x:c r="X1263" s="6" t="n">
        <x:v>17</x:v>
      </x:c>
      <x:c r="Y1263" s="6" t="str">
        <x:v>ROX Oil Change Dubai | Digi-Tec</x:v>
      </x:c>
      <x:c r="Z1263" s="6" t="str"/>
      <x:c r="AA1263" s="6" t="str">
        <x:v>No / not compared</x:v>
      </x:c>
    </x:row>
    <x:row r="1264" ht="42" customHeight="1">
      <x:c r="A1264" s="6" t="str">
        <x:v>https://digitecme.com/brands/rox-service-dubai/soft-close-door-installation</x:v>
      </x:c>
      <x:c r="B1264" s="6" t="str">
        <x:v>rox01 soft close door</x:v>
      </x:c>
      <x:c r="C1264" s="6" t="str">
        <x:v>rox: Soft close doors</x:v>
      </x:c>
      <x:c r="D1264" s="6" t="str">
        <x:v>brand-service</x:v>
      </x:c>
      <x:c r="E1264" s="6" t="str">
        <x:v>Primary owner for assigned intent</x:v>
      </x:c>
      <x:c r="F1264" s="6" t="str">
        <x:v>Local source render; live version unverified</x:v>
      </x:c>
      <x:c r="G1264" s="6" t="str">
        <x:v>ROX 01 Soft Close Installation Dubai | Digi-Tec</x:v>
      </x:c>
      <x:c r="H1264" s="6" t="str">
        <x:v>ROX 01 Soft Close Installation Dubai | Digi-Tec</x:v>
      </x:c>
      <x:c r="I1264" s="6" t="str">
        <x:v>ROX 01 Soft Close Installation Dubai</x:v>
      </x:c>
      <x:c r="J1264" s="6" t="str">
        <x:v>ROX 01 Soft Close Installation Dubai</x:v>
      </x:c>
      <x:c r="K1264" s="6" t="str">
        <x:v>ROX 01 soft close installation in Dubai. Digi-Tec fits, diagnoses and repairs soft close door systems with compatibility checks in Al Quoz.</x:v>
      </x:c>
      <x:c r="L1264" s="6" t="str">
        <x:v>Retain pending evidence; no specific content edit justified by this export.</x:v>
      </x:c>
      <x:c r="M1264" s="6" t="str">
        <x:v>Retain; inspect relevant context before adding links</x:v>
      </x:c>
      <x:c r="N1264" s="6" t="str">
        <x:v>Unconfirmed — no query/page pairing</x:v>
      </x:c>
      <x:c r="O1264" s="6" t="str">
        <x:v>Retain established booking / WhatsApp / call path; live behaviour untested</x:v>
      </x:c>
      <x:c r="P1264" s="6" t="str">
        <x:v>Specific search demand maps to an existing noindex page. Verify live directives and unique business content; consider the existing indexable parent as interim owner.</x:v>
      </x:c>
      <x:c r="Q1264" s="6" t="str">
        <x:v>Proposed; no website change made</x:v>
      </x:c>
      <x:c r="R1264" s="14"/>
      <x:c r="S1264" s="14"/>
      <x:c r="T1264" s="15"/>
      <x:c r="U1264" s="16"/>
      <x:c r="V1264" s="6" t="str">
        <x:v>https://digitecme.com/brands/rox-service-dubai/soft-close-door-installation</x:v>
      </x:c>
      <x:c r="W1264" s="6" t="str">
        <x:v>Noindex directive</x:v>
      </x:c>
      <x:c r="X1264" s="6" t="n">
        <x:v>18</x:v>
      </x:c>
      <x:c r="Y1264" s="6" t="str">
        <x:v>ROX 01 Soft Close Installation Dubai | Digi-Tec</x:v>
      </x:c>
      <x:c r="Z1264" s="6" t="str"/>
      <x:c r="AA1264" s="6" t="str">
        <x:v>No / not compared</x:v>
      </x:c>
    </x:row>
    <x:row r="1265" ht="42" customHeight="1">
      <x:c r="A1265" s="6" t="str">
        <x:v>https://digitecme.com/brands/rox-service-dubai/steering-repair</x:v>
      </x:c>
      <x:c r="B1265" s="6" t="str"/>
      <x:c r="C1265" s="6" t="str"/>
      <x:c r="D1265" s="6" t="str">
        <x:v>brand-service</x:v>
      </x:c>
      <x:c r="E1265" s="6" t="str">
        <x:v>Retain differentiated role</x:v>
      </x:c>
      <x:c r="F1265" s="6" t="str">
        <x:v>Local source render; live version unverified</x:v>
      </x:c>
      <x:c r="G1265" s="6" t="str">
        <x:v>ROX Steering Repair Dubai | Digi-Tec</x:v>
      </x:c>
      <x:c r="H1265" s="6" t="str">
        <x:v>ROX Steering Repair Dubai | Digi-Tec</x:v>
      </x:c>
      <x:c r="I1265" s="6" t="str">
        <x:v>ROX Steering Repair Dubai</x:v>
      </x:c>
      <x:c r="J1265" s="6" t="str">
        <x:v>ROX Steering Repair Dubai</x:v>
      </x:c>
      <x:c r="K1265" s="6" t="str">
        <x:v>ROX steering repair in Dubai with model-specific inspection, confirmed parts options and a clear quote at Digi-Tec, Al Quoz.</x:v>
      </x:c>
      <x:c r="L1265" s="6" t="str">
        <x:v>Retain pending evidence; no specific content edit justified by this export.</x:v>
      </x:c>
      <x:c r="M1265" s="6" t="str">
        <x:v>Retain; inspect relevant context before adding links</x:v>
      </x:c>
      <x:c r="N1265" s="6" t="str">
        <x:v>Unconfirmed — no query/page pairing</x:v>
      </x:c>
      <x:c r="O1265" s="6" t="str">
        <x:v>Retain established booking / WhatsApp / call path; live behaviour untested</x:v>
      </x:c>
      <x:c r="P1265" s="6" t="str">
        <x:v>Retain canonical and indexation policy pending a live check.</x:v>
      </x:c>
      <x:c r="Q1265" s="6" t="str">
        <x:v>Proposed; no website change made</x:v>
      </x:c>
      <x:c r="R1265" s="14" t="n">
        <x:v>0</x:v>
      </x:c>
      <x:c r="S1265" s="14" t="n">
        <x:v>4</x:v>
      </x:c>
      <x:c r="T1265" s="15" t="n">
        <x:v>0</x:v>
      </x:c>
      <x:c r="U1265" s="16" t="n">
        <x:v>2.75</x:v>
      </x:c>
      <x:c r="V1265" s="6" t="str">
        <x:v>https://digitecme.com/brands/rox-service-dubai/steering-repair</x:v>
      </x:c>
      <x:c r="W1265" s="6" t="str">
        <x:v>Noindex directive</x:v>
      </x:c>
      <x:c r="X1265" s="6" t="n">
        <x:v>16</x:v>
      </x:c>
      <x:c r="Y1265" s="6" t="str">
        <x:v>ROX Steering Repair Dubai | Digi-Tec</x:v>
      </x:c>
      <x:c r="Z1265" s="6" t="str"/>
      <x:c r="AA1265" s="6" t="str">
        <x:v>No / not compared</x:v>
      </x:c>
    </x:row>
    <x:row r="1266" ht="42" customHeight="1">
      <x:c r="A1266" s="6" t="str">
        <x:v>https://digitecme.com/brands/rox-service-dubai/suspension-repair</x:v>
      </x:c>
      <x:c r="B1266" s="6" t="str"/>
      <x:c r="C1266" s="6" t="str"/>
      <x:c r="D1266" s="6" t="str">
        <x:v>brand-service</x:v>
      </x:c>
      <x:c r="E1266" s="6" t="str">
        <x:v>Retain differentiated role</x:v>
      </x:c>
      <x:c r="F1266" s="6" t="str">
        <x:v>Local source render; live version unverified</x:v>
      </x:c>
      <x:c r="G1266" s="6" t="str">
        <x:v>ROX Suspension Repair Dubai | Digi-Tec</x:v>
      </x:c>
      <x:c r="H1266" s="6" t="str">
        <x:v>ROX Suspension Repair Dubai | Digi-Tec</x:v>
      </x:c>
      <x:c r="I1266" s="6" t="str">
        <x:v>ROX Suspension Repair Dubai</x:v>
      </x:c>
      <x:c r="J1266" s="6" t="str">
        <x:v>ROX Suspension Repair Dubai</x:v>
      </x:c>
      <x:c r="K1266" s="6" t="str">
        <x:v>ROX suspension repair in Dubai with model-specific inspection, confirmed parts options and a clear quote at Digi-Tec, Al Quoz.</x:v>
      </x:c>
      <x:c r="L1266" s="6" t="str">
        <x:v>Retain pending evidence; no specific content edit justified by this export.</x:v>
      </x:c>
      <x:c r="M1266" s="6" t="str">
        <x:v>Retain; inspect relevant context before adding links</x:v>
      </x:c>
      <x:c r="N1266" s="6" t="str">
        <x:v>Unconfirmed — no query/page pairing</x:v>
      </x:c>
      <x:c r="O1266" s="6" t="str">
        <x:v>Retain established booking / WhatsApp / call path; live behaviour untested</x:v>
      </x:c>
      <x:c r="P1266" s="6" t="str">
        <x:v>Retain canonical and indexation policy pending a live check.</x:v>
      </x:c>
      <x:c r="Q1266" s="6" t="str">
        <x:v>Proposed; no website change made</x:v>
      </x:c>
      <x:c r="R1266" s="14" t="n">
        <x:v>1</x:v>
      </x:c>
      <x:c r="S1266" s="14" t="n">
        <x:v>14</x:v>
      </x:c>
      <x:c r="T1266" s="15" t="n">
        <x:v>0.07139999999999999</x:v>
      </x:c>
      <x:c r="U1266" s="16" t="n">
        <x:v>11.29</x:v>
      </x:c>
      <x:c r="V1266" s="6" t="str">
        <x:v>https://digitecme.com/brands/rox-service-dubai/suspension-repair</x:v>
      </x:c>
      <x:c r="W1266" s="6" t="str">
        <x:v>Noindex directive</x:v>
      </x:c>
      <x:c r="X1266" s="6" t="n">
        <x:v>16</x:v>
      </x:c>
      <x:c r="Y1266" s="6" t="str">
        <x:v>ROX Suspension Repair Dubai | Digi-Tec</x:v>
      </x:c>
      <x:c r="Z1266" s="6" t="str"/>
      <x:c r="AA1266" s="6" t="str">
        <x:v>No / not compared</x:v>
      </x:c>
    </x:row>
    <x:row r="1267" ht="42" customHeight="1">
      <x:c r="A1267" s="6" t="str">
        <x:v>https://digitecme.com/brands/rox-service-dubai/tire-repair</x:v>
      </x:c>
      <x:c r="B1267" s="6" t="str"/>
      <x:c r="C1267" s="6" t="str"/>
      <x:c r="D1267" s="6" t="str">
        <x:v>brand-service</x:v>
      </x:c>
      <x:c r="E1267" s="6" t="str">
        <x:v>Retain differentiated role</x:v>
      </x:c>
      <x:c r="F1267" s="6" t="str">
        <x:v>Local source render; live version unverified</x:v>
      </x:c>
      <x:c r="G1267" s="6" t="str">
        <x:v>ROX Tyre Repair Dubai | Digi-Tec</x:v>
      </x:c>
      <x:c r="H1267" s="6" t="str">
        <x:v>ROX Tyre Repair Dubai | Digi-Tec</x:v>
      </x:c>
      <x:c r="I1267" s="6" t="str">
        <x:v>ROX Tyre Repair Dubai</x:v>
      </x:c>
      <x:c r="J1267" s="6" t="str">
        <x:v>ROX Tyre Repair Dubai</x:v>
      </x:c>
      <x:c r="K1267" s="6" t="str">
        <x:v>ROX tyre repair in Dubai with model-specific inspection, confirmed parts options and a clear quote at Digi-Tec, Al Quoz.</x:v>
      </x:c>
      <x:c r="L1267" s="6" t="str">
        <x:v>Retain pending evidence; no specific content edit justified by this export.</x:v>
      </x:c>
      <x:c r="M1267" s="6" t="str">
        <x:v>Retain; inspect relevant context before adding links</x:v>
      </x:c>
      <x:c r="N1267" s="6" t="str">
        <x:v>Unconfirmed — no query/page pairing</x:v>
      </x:c>
      <x:c r="O1267" s="6" t="str">
        <x:v>Retain established booking / WhatsApp / call path; live behaviour untested</x:v>
      </x:c>
      <x:c r="P1267" s="6" t="str">
        <x:v>Retain canonical and indexation policy pending a live check.</x:v>
      </x:c>
      <x:c r="Q1267" s="6" t="str">
        <x:v>Proposed; no website change made</x:v>
      </x:c>
      <x:c r="R1267" s="14" t="n">
        <x:v>0</x:v>
      </x:c>
      <x:c r="S1267" s="14" t="n">
        <x:v>38</x:v>
      </x:c>
      <x:c r="T1267" s="15" t="n">
        <x:v>0</x:v>
      </x:c>
      <x:c r="U1267" s="16" t="n">
        <x:v>10.58</x:v>
      </x:c>
      <x:c r="V1267" s="6" t="str">
        <x:v>https://digitecme.com/brands/rox-service-dubai/tire-repair</x:v>
      </x:c>
      <x:c r="W1267" s="6" t="str">
        <x:v>Noindex directive</x:v>
      </x:c>
      <x:c r="X1267" s="6" t="n">
        <x:v>16</x:v>
      </x:c>
      <x:c r="Y1267" s="6" t="str">
        <x:v>ROX Tyre Repair Dubai | Digi-Tec</x:v>
      </x:c>
      <x:c r="Z1267" s="6" t="str"/>
      <x:c r="AA1267" s="6" t="str">
        <x:v>No / not compared</x:v>
      </x:c>
    </x:row>
    <x:row r="1268" ht="42" customHeight="1">
      <x:c r="A1268" s="6" t="str">
        <x:v>https://digitecme.com/brands/rox-service-dubai/transmission-repair</x:v>
      </x:c>
      <x:c r="B1268" s="6" t="str"/>
      <x:c r="C1268" s="6" t="str"/>
      <x:c r="D1268" s="6" t="str">
        <x:v>brand-service</x:v>
      </x:c>
      <x:c r="E1268" s="6" t="str">
        <x:v>Retain differentiated role</x:v>
      </x:c>
      <x:c r="F1268" s="6" t="str">
        <x:v>Local source render; live version unverified</x:v>
      </x:c>
      <x:c r="G1268" s="6" t="str">
        <x:v>ROX Transmission Repair Dubai | Digi-Tec</x:v>
      </x:c>
      <x:c r="H1268" s="6" t="str">
        <x:v>ROX Transmission Repair Dubai | Digi-Tec</x:v>
      </x:c>
      <x:c r="I1268" s="6" t="str">
        <x:v>ROX Transmission Repair Dubai</x:v>
      </x:c>
      <x:c r="J1268" s="6" t="str">
        <x:v>ROX Transmission Repair Dubai</x:v>
      </x:c>
      <x:c r="K1268" s="6" t="str">
        <x:v>ROX transmission repair in Dubai with model-specific inspection, confirmed parts options and a clear quote at Digi-Tec, Al Quoz.</x:v>
      </x:c>
      <x:c r="L1268" s="6" t="str">
        <x:v>Retain pending evidence; no specific content edit justified by this export.</x:v>
      </x:c>
      <x:c r="M1268" s="6" t="str">
        <x:v>Retain; inspect relevant context before adding links</x:v>
      </x:c>
      <x:c r="N1268" s="6" t="str">
        <x:v>Unconfirmed — no query/page pairing</x:v>
      </x:c>
      <x:c r="O1268" s="6" t="str">
        <x:v>Retain established booking / WhatsApp / call path; live behaviour untested</x:v>
      </x:c>
      <x:c r="P1268" s="6" t="str">
        <x:v>Retain canonical and indexation policy pending a live check.</x:v>
      </x:c>
      <x:c r="Q1268" s="6" t="str">
        <x:v>Proposed; no website change made</x:v>
      </x:c>
      <x:c r="R1268" s="14"/>
      <x:c r="S1268" s="14"/>
      <x:c r="T1268" s="15"/>
      <x:c r="U1268" s="16"/>
      <x:c r="V1268" s="6" t="str">
        <x:v>https://digitecme.com/brands/rox-service-dubai/transmission-repair</x:v>
      </x:c>
      <x:c r="W1268" s="6" t="str">
        <x:v>Noindex directive</x:v>
      </x:c>
      <x:c r="X1268" s="6" t="n">
        <x:v>16</x:v>
      </x:c>
      <x:c r="Y1268" s="6" t="str">
        <x:v>ROX Transmission Repair Dubai | Digi-Tec</x:v>
      </x:c>
      <x:c r="Z1268" s="6" t="str"/>
      <x:c r="AA1268" s="6" t="str">
        <x:v>No / not compared</x:v>
      </x:c>
    </x:row>
    <x:row r="1269" ht="42" customHeight="1">
      <x:c r="A1269" s="6" t="str">
        <x:v>https://digitecme.com/brands/subaru-service-dubai</x:v>
      </x:c>
      <x:c r="B1269" s="6" t="str"/>
      <x:c r="C1269" s="6" t="str"/>
      <x:c r="D1269" s="6" t="str">
        <x:v>brand</x:v>
      </x:c>
      <x:c r="E1269" s="6" t="str">
        <x:v>Retain differentiated role</x:v>
      </x:c>
      <x:c r="F1269" s="6" t="str">
        <x:v>Local source render; live version unverified</x:v>
      </x:c>
      <x:c r="G1269" s="6" t="str">
        <x:v>Subaru Repair Dubai | Digi-Tec</x:v>
      </x:c>
      <x:c r="H1269" s="6" t="str">
        <x:v>Subaru Repair Dubai | Digi-Tec</x:v>
      </x:c>
      <x:c r="I1269" s="6" t="str">
        <x:v>Subaru Repair &amp; Service Dubai</x:v>
      </x:c>
      <x:c r="J1269" s="6" t="str">
        <x:v>Subaru Repair &amp; Service Dubai</x:v>
      </x:c>
      <x:c r="K1269" s="6" t="str">
        <x:v>Specialist Subaru repair and service in Dubai: diagnostics, maintenance, brakes, transmission, suspension and AC at Digi-Tec, Al Quoz.</x:v>
      </x:c>
      <x:c r="L1269" s="6" t="str">
        <x:v>Retain pending evidence; no specific content edit justified by this export.</x:v>
      </x:c>
      <x:c r="M1269" s="6" t="str">
        <x:v>Retain; inspect relevant context before adding links</x:v>
      </x:c>
      <x:c r="N1269" s="6" t="str">
        <x:v>Unconfirmed — no query/page pairing</x:v>
      </x:c>
      <x:c r="O1269" s="6" t="str">
        <x:v>Retain established booking / WhatsApp / call path; live behaviour untested</x:v>
      </x:c>
      <x:c r="P1269" s="6" t="str">
        <x:v>Retain canonical and indexation policy pending a live check.</x:v>
      </x:c>
      <x:c r="Q1269" s="6" t="str">
        <x:v>Proposed; no website change made</x:v>
      </x:c>
      <x:c r="R1269" s="14" t="n">
        <x:v>0</x:v>
      </x:c>
      <x:c r="S1269" s="14" t="n">
        <x:v>11</x:v>
      </x:c>
      <x:c r="T1269" s="15" t="n">
        <x:v>0</x:v>
      </x:c>
      <x:c r="U1269" s="16" t="n">
        <x:v>25.55</x:v>
      </x:c>
      <x:c r="V1269" s="6" t="str">
        <x:v>https://digitecme.com/brands/subaru-service-dubai</x:v>
      </x:c>
      <x:c r="W1269" s="6" t="str">
        <x:v>Indexable directive</x:v>
      </x:c>
      <x:c r="X1269" s="6" t="n">
        <x:v>28</x:v>
      </x:c>
      <x:c r="Y1269" s="6" t="str">
        <x:v>Subaru Repair Dubai | Digi-Tec</x:v>
      </x:c>
      <x:c r="Z1269" s="6" t="str"/>
      <x:c r="AA1269" s="6" t="str">
        <x:v>No / not compared</x:v>
      </x:c>
    </x:row>
    <x:row r="1270" ht="42" customHeight="1">
      <x:c r="A1270" s="6" t="str">
        <x:v>https://digitecme.com/brands/subaru-service-dubai/ac-repair</x:v>
      </x:c>
      <x:c r="B1270" s="6" t="str"/>
      <x:c r="C1270" s="6" t="str"/>
      <x:c r="D1270" s="6" t="str">
        <x:v>brand-service</x:v>
      </x:c>
      <x:c r="E1270" s="6" t="str">
        <x:v>Retain differentiated role</x:v>
      </x:c>
      <x:c r="F1270" s="6" t="str">
        <x:v>Local source render; live version unverified</x:v>
      </x:c>
      <x:c r="G1270" s="6" t="str">
        <x:v>Subaru AC Repair Dubai | Digi-Tec</x:v>
      </x:c>
      <x:c r="H1270" s="6" t="str">
        <x:v>Subaru AC Repair Dubai | Digi-Tec</x:v>
      </x:c>
      <x:c r="I1270" s="6" t="str">
        <x:v>Subaru AC Repair Dubai</x:v>
      </x:c>
      <x:c r="J1270" s="6" t="str">
        <x:v>Subaru AC Repair Dubai</x:v>
      </x:c>
      <x:c r="K1270" s="6" t="str">
        <x:v>Subaru ac repair in Dubai with model-specific inspection, confirmed parts options and a clear quote at Digi-Tec, Al Quoz.</x:v>
      </x:c>
      <x:c r="L1270" s="6" t="str">
        <x:v>Retain pending evidence; no specific content edit justified by this export.</x:v>
      </x:c>
      <x:c r="M1270" s="6" t="str">
        <x:v>Retain; inspect relevant context before adding links</x:v>
      </x:c>
      <x:c r="N1270" s="6" t="str">
        <x:v>Unconfirmed — no query/page pairing</x:v>
      </x:c>
      <x:c r="O1270" s="6" t="str">
        <x:v>Retain established booking / WhatsApp / call path; live behaviour untested</x:v>
      </x:c>
      <x:c r="P1270" s="6" t="str">
        <x:v>Retain canonical and indexation policy pending a live check.</x:v>
      </x:c>
      <x:c r="Q1270" s="6" t="str">
        <x:v>Proposed; no website change made</x:v>
      </x:c>
      <x:c r="R1270" s="14" t="n">
        <x:v>0</x:v>
      </x:c>
      <x:c r="S1270" s="14" t="n">
        <x:v>7</x:v>
      </x:c>
      <x:c r="T1270" s="15" t="n">
        <x:v>0</x:v>
      </x:c>
      <x:c r="U1270" s="16" t="n">
        <x:v>5.14</x:v>
      </x:c>
      <x:c r="V1270" s="6" t="str">
        <x:v>https://digitecme.com/brands/subaru-service-dubai/ac-repair</x:v>
      </x:c>
      <x:c r="W1270" s="6" t="str">
        <x:v>Indexable directive</x:v>
      </x:c>
      <x:c r="X1270" s="6" t="n">
        <x:v>8</x:v>
      </x:c>
      <x:c r="Y1270" s="6" t="str">
        <x:v>Subaru AC Repair Dubai | Digi-Tec</x:v>
      </x:c>
      <x:c r="Z1270" s="6" t="str"/>
      <x:c r="AA1270" s="6" t="str">
        <x:v>No / not compared</x:v>
      </x:c>
    </x:row>
    <x:row r="1271" ht="42" customHeight="1">
      <x:c r="A1271" s="6" t="str">
        <x:v>https://digitecme.com/brands/subaru-service-dubai/brake-repair</x:v>
      </x:c>
      <x:c r="B1271" s="6" t="str"/>
      <x:c r="C1271" s="6" t="str"/>
      <x:c r="D1271" s="6" t="str">
        <x:v>brand-service</x:v>
      </x:c>
      <x:c r="E1271" s="6" t="str">
        <x:v>Retain differentiated role</x:v>
      </x:c>
      <x:c r="F1271" s="6" t="str">
        <x:v>Local source render; live version unverified</x:v>
      </x:c>
      <x:c r="G1271" s="6" t="str">
        <x:v>Subaru Brake Repair Dubai | Digi-Tec</x:v>
      </x:c>
      <x:c r="H1271" s="6" t="str">
        <x:v>Subaru Brake Repair Dubai | Digi-Tec</x:v>
      </x:c>
      <x:c r="I1271" s="6" t="str">
        <x:v>Subaru Brake Repair Dubai</x:v>
      </x:c>
      <x:c r="J1271" s="6" t="str">
        <x:v>Subaru Brake Repair Dubai</x:v>
      </x:c>
      <x:c r="K1271" s="6" t="str">
        <x:v>Subaru brake repair in Dubai with model-specific inspection, confirmed parts options and a clear quote at Digi-Tec, Al Quoz.</x:v>
      </x:c>
      <x:c r="L1271" s="6" t="str">
        <x:v>Retain pending evidence; no specific content edit justified by this export.</x:v>
      </x:c>
      <x:c r="M1271" s="6" t="str">
        <x:v>Retain; inspect relevant context before adding links</x:v>
      </x:c>
      <x:c r="N1271" s="6" t="str">
        <x:v>Unconfirmed — no query/page pairing</x:v>
      </x:c>
      <x:c r="O1271" s="6" t="str">
        <x:v>Retain established booking / WhatsApp / call path; live behaviour untested</x:v>
      </x:c>
      <x:c r="P1271" s="6" t="str">
        <x:v>Retain canonical and indexation policy pending a live check.</x:v>
      </x:c>
      <x:c r="Q1271" s="6" t="str">
        <x:v>Proposed; no website change made</x:v>
      </x:c>
      <x:c r="R1271" s="14" t="n">
        <x:v>0</x:v>
      </x:c>
      <x:c r="S1271" s="14" t="n">
        <x:v>4</x:v>
      </x:c>
      <x:c r="T1271" s="15" t="n">
        <x:v>0</x:v>
      </x:c>
      <x:c r="U1271" s="16" t="n">
        <x:v>44.75</x:v>
      </x:c>
      <x:c r="V1271" s="6" t="str">
        <x:v>https://digitecme.com/brands/subaru-service-dubai/brake-repair</x:v>
      </x:c>
      <x:c r="W1271" s="6" t="str">
        <x:v>Indexable directive</x:v>
      </x:c>
      <x:c r="X1271" s="6" t="n">
        <x:v>8</x:v>
      </x:c>
      <x:c r="Y1271" s="6" t="str">
        <x:v>Subaru Brake Repair Dubai | Digi-Tec</x:v>
      </x:c>
      <x:c r="Z1271" s="6" t="str"/>
      <x:c r="AA1271" s="6" t="str">
        <x:v>No / not compared</x:v>
      </x:c>
    </x:row>
    <x:row r="1272" ht="42" customHeight="1">
      <x:c r="A1272" s="6" t="str">
        <x:v>https://digitecme.com/brands/subaru-service-dubai/engine-diagnostics</x:v>
      </x:c>
      <x:c r="B1272" s="6" t="str"/>
      <x:c r="C1272" s="6" t="str"/>
      <x:c r="D1272" s="6" t="str">
        <x:v>brand-service</x:v>
      </x:c>
      <x:c r="E1272" s="6" t="str">
        <x:v>Retain differentiated role</x:v>
      </x:c>
      <x:c r="F1272" s="6" t="str">
        <x:v>Local source render; live version unverified</x:v>
      </x:c>
      <x:c r="G1272" s="6" t="str">
        <x:v>Subaru Engine Diagnostics Dubai | Digi-Tec</x:v>
      </x:c>
      <x:c r="H1272" s="6" t="str">
        <x:v>Subaru Engine Diagnostics Dubai | Digi-Tec</x:v>
      </x:c>
      <x:c r="I1272" s="6" t="str">
        <x:v>Subaru Engine Diagnostics Dubai</x:v>
      </x:c>
      <x:c r="J1272" s="6" t="str">
        <x:v>Subaru Engine Diagnostics Dubai</x:v>
      </x:c>
      <x:c r="K1272" s="6" t="str">
        <x:v>Subaru engine diagnostics in Dubai with model-specific inspection, confirmed parts options and a clear quote at Digi-Tec, Al Quoz.</x:v>
      </x:c>
      <x:c r="L1272" s="6" t="str">
        <x:v>Retain pending evidence; no specific content edit justified by this export.</x:v>
      </x:c>
      <x:c r="M1272" s="6" t="str">
        <x:v>Retain; inspect relevant context before adding links</x:v>
      </x:c>
      <x:c r="N1272" s="6" t="str">
        <x:v>Unconfirmed — no query/page pairing</x:v>
      </x:c>
      <x:c r="O1272" s="6" t="str">
        <x:v>Retain established booking / WhatsApp / call path; live behaviour untested</x:v>
      </x:c>
      <x:c r="P1272" s="6" t="str">
        <x:v>Retain canonical and indexation policy pending a live check.</x:v>
      </x:c>
      <x:c r="Q1272" s="6" t="str">
        <x:v>Proposed; no website change made</x:v>
      </x:c>
      <x:c r="R1272" s="14"/>
      <x:c r="S1272" s="14"/>
      <x:c r="T1272" s="15"/>
      <x:c r="U1272" s="16"/>
      <x:c r="V1272" s="6" t="str">
        <x:v>https://digitecme.com/brands/subaru-service-dubai/engine-diagnostics</x:v>
      </x:c>
      <x:c r="W1272" s="6" t="str">
        <x:v>Indexable directive</x:v>
      </x:c>
      <x:c r="X1272" s="6" t="n">
        <x:v>8</x:v>
      </x:c>
      <x:c r="Y1272" s="6" t="str">
        <x:v>Subaru Engine Diagnostics Dubai | Digi-Tec</x:v>
      </x:c>
      <x:c r="Z1272" s="6" t="str"/>
      <x:c r="AA1272" s="6" t="str">
        <x:v>No / not compared</x:v>
      </x:c>
    </x:row>
    <x:row r="1273" ht="42" customHeight="1">
      <x:c r="A1273" s="6" t="str">
        <x:v>https://digitecme.com/brands/subaru-service-dubai/oil-change</x:v>
      </x:c>
      <x:c r="B1273" s="6" t="str"/>
      <x:c r="C1273" s="6" t="str"/>
      <x:c r="D1273" s="6" t="str">
        <x:v>brand-service</x:v>
      </x:c>
      <x:c r="E1273" s="6" t="str">
        <x:v>Retain differentiated role</x:v>
      </x:c>
      <x:c r="F1273" s="6" t="str">
        <x:v>Local source render; live version unverified</x:v>
      </x:c>
      <x:c r="G1273" s="6" t="str">
        <x:v>Subaru Oil Change Dubai | Digi-Tec</x:v>
      </x:c>
      <x:c r="H1273" s="6" t="str">
        <x:v>Subaru Oil Change Dubai | Digi-Tec</x:v>
      </x:c>
      <x:c r="I1273" s="6" t="str">
        <x:v>Subaru Oil Change Dubai</x:v>
      </x:c>
      <x:c r="J1273" s="6" t="str">
        <x:v>Subaru Oil Change Dubai</x:v>
      </x:c>
      <x:c r="K1273" s="6" t="str">
        <x:v>Subaru oil change in Dubai with model-specific inspection, confirmed parts options and a clear quote at Digi-Tec, Al Quoz.</x:v>
      </x:c>
      <x:c r="L1273" s="6" t="str">
        <x:v>Retain pending evidence; no specific content edit justified by this export.</x:v>
      </x:c>
      <x:c r="M1273" s="6" t="str">
        <x:v>Retain; inspect relevant context before adding links</x:v>
      </x:c>
      <x:c r="N1273" s="6" t="str">
        <x:v>Unconfirmed — no query/page pairing</x:v>
      </x:c>
      <x:c r="O1273" s="6" t="str">
        <x:v>Retain established booking / WhatsApp / call path; live behaviour untested</x:v>
      </x:c>
      <x:c r="P1273" s="6" t="str">
        <x:v>Retain canonical and indexation policy pending a live check.</x:v>
      </x:c>
      <x:c r="Q1273" s="6" t="str">
        <x:v>Proposed; no website change made</x:v>
      </x:c>
      <x:c r="R1273" s="14"/>
      <x:c r="S1273" s="14"/>
      <x:c r="T1273" s="15"/>
      <x:c r="U1273" s="16"/>
      <x:c r="V1273" s="6" t="str">
        <x:v>https://digitecme.com/brands/subaru-service-dubai/oil-change</x:v>
      </x:c>
      <x:c r="W1273" s="6" t="str">
        <x:v>Indexable directive</x:v>
      </x:c>
      <x:c r="X1273" s="6" t="n">
        <x:v>8</x:v>
      </x:c>
      <x:c r="Y1273" s="6" t="str">
        <x:v>Subaru Oil Change Dubai | Digi-Tec</x:v>
      </x:c>
      <x:c r="Z1273" s="6" t="str"/>
      <x:c r="AA1273" s="6" t="str">
        <x:v>No / not compared</x:v>
      </x:c>
    </x:row>
    <x:row r="1274" ht="42" customHeight="1">
      <x:c r="A1274" s="6" t="str">
        <x:v>https://digitecme.com/brands/subaru-service-dubai/suspension-repair</x:v>
      </x:c>
      <x:c r="B1274" s="6" t="str"/>
      <x:c r="C1274" s="6" t="str"/>
      <x:c r="D1274" s="6" t="str">
        <x:v>brand-service</x:v>
      </x:c>
      <x:c r="E1274" s="6" t="str">
        <x:v>Retain differentiated role</x:v>
      </x:c>
      <x:c r="F1274" s="6" t="str">
        <x:v>Local source render; live version unverified</x:v>
      </x:c>
      <x:c r="G1274" s="6" t="str">
        <x:v>Subaru Suspension Repair Dubai | Digi-Tec</x:v>
      </x:c>
      <x:c r="H1274" s="6" t="str">
        <x:v>Subaru Suspension Repair Dubai | Digi-Tec</x:v>
      </x:c>
      <x:c r="I1274" s="6" t="str">
        <x:v>Subaru Suspension Repair Dubai</x:v>
      </x:c>
      <x:c r="J1274" s="6" t="str">
        <x:v>Subaru Suspension Repair Dubai</x:v>
      </x:c>
      <x:c r="K1274" s="6" t="str">
        <x:v>Subaru suspension repair in Dubai with model-specific inspection, confirmed parts options and a clear quote at Digi-Tec, Al Quoz.</x:v>
      </x:c>
      <x:c r="L1274" s="6" t="str">
        <x:v>Retain pending evidence; no specific content edit justified by this export.</x:v>
      </x:c>
      <x:c r="M1274" s="6" t="str">
        <x:v>Retain; inspect relevant context before adding links</x:v>
      </x:c>
      <x:c r="N1274" s="6" t="str">
        <x:v>Unconfirmed — no query/page pairing</x:v>
      </x:c>
      <x:c r="O1274" s="6" t="str">
        <x:v>Retain established booking / WhatsApp / call path; live behaviour untested</x:v>
      </x:c>
      <x:c r="P1274" s="6" t="str">
        <x:v>Retain canonical and indexation policy pending a live check.</x:v>
      </x:c>
      <x:c r="Q1274" s="6" t="str">
        <x:v>Proposed; no website change made</x:v>
      </x:c>
      <x:c r="R1274" s="14" t="n">
        <x:v>1</x:v>
      </x:c>
      <x:c r="S1274" s="14" t="n">
        <x:v>1</x:v>
      </x:c>
      <x:c r="T1274" s="15" t="n">
        <x:v>1</x:v>
      </x:c>
      <x:c r="U1274" s="16" t="n">
        <x:v>11</x:v>
      </x:c>
      <x:c r="V1274" s="6" t="str">
        <x:v>https://digitecme.com/brands/subaru-service-dubai/suspension-repair</x:v>
      </x:c>
      <x:c r="W1274" s="6" t="str">
        <x:v>Noindex directive</x:v>
      </x:c>
      <x:c r="X1274" s="6" t="n">
        <x:v>8</x:v>
      </x:c>
      <x:c r="Y1274" s="6" t="str">
        <x:v>Subaru Suspension Repair Dubai | Digi-Tec</x:v>
      </x:c>
      <x:c r="Z1274" s="6" t="str"/>
      <x:c r="AA1274" s="6" t="str">
        <x:v>No / not compared</x:v>
      </x:c>
    </x:row>
    <x:row r="1275" ht="42" customHeight="1">
      <x:c r="A1275" s="6" t="str">
        <x:v>https://digitecme.com/brands/subaru-service-dubai/transmission-repair</x:v>
      </x:c>
      <x:c r="B1275" s="6" t="str"/>
      <x:c r="C1275" s="6" t="str"/>
      <x:c r="D1275" s="6" t="str">
        <x:v>brand-service</x:v>
      </x:c>
      <x:c r="E1275" s="6" t="str">
        <x:v>Retain differentiated role</x:v>
      </x:c>
      <x:c r="F1275" s="6" t="str">
        <x:v>Local source render; live version unverified</x:v>
      </x:c>
      <x:c r="G1275" s="6" t="str">
        <x:v>Subaru Transmission Repair Dubai | Digi-Tec</x:v>
      </x:c>
      <x:c r="H1275" s="6" t="str">
        <x:v>Subaru Transmission Repair Dubai | Digi-Tec</x:v>
      </x:c>
      <x:c r="I1275" s="6" t="str">
        <x:v>Subaru Transmission Repair Dubai</x:v>
      </x:c>
      <x:c r="J1275" s="6" t="str">
        <x:v>Subaru Transmission Repair Dubai</x:v>
      </x:c>
      <x:c r="K1275" s="6" t="str">
        <x:v>Subaru transmission repair in Dubai with model-specific inspection, confirmed parts options and a clear quote at Digi-Tec, Al Quoz.</x:v>
      </x:c>
      <x:c r="L1275" s="6" t="str">
        <x:v>Retain pending evidence; no specific content edit justified by this export.</x:v>
      </x:c>
      <x:c r="M1275" s="6" t="str">
        <x:v>Retain; inspect relevant context before adding links</x:v>
      </x:c>
      <x:c r="N1275" s="6" t="str">
        <x:v>Unconfirmed — no query/page pairing</x:v>
      </x:c>
      <x:c r="O1275" s="6" t="str">
        <x:v>Retain established booking / WhatsApp / call path; live behaviour untested</x:v>
      </x:c>
      <x:c r="P1275" s="6" t="str">
        <x:v>Retain canonical and indexation policy pending a live check.</x:v>
      </x:c>
      <x:c r="Q1275" s="6" t="str">
        <x:v>Proposed; no website change made</x:v>
      </x:c>
      <x:c r="R1275" s="14" t="n">
        <x:v>0</x:v>
      </x:c>
      <x:c r="S1275" s="14" t="n">
        <x:v>1</x:v>
      </x:c>
      <x:c r="T1275" s="15" t="n">
        <x:v>0</x:v>
      </x:c>
      <x:c r="U1275" s="16" t="n">
        <x:v>1</x:v>
      </x:c>
      <x:c r="V1275" s="6" t="str">
        <x:v>https://digitecme.com/brands/subaru-service-dubai/transmission-repair</x:v>
      </x:c>
      <x:c r="W1275" s="6" t="str">
        <x:v>Noindex directive</x:v>
      </x:c>
      <x:c r="X1275" s="6" t="n">
        <x:v>8</x:v>
      </x:c>
      <x:c r="Y1275" s="6" t="str">
        <x:v>Subaru Transmission Repair Dubai | Digi-Tec</x:v>
      </x:c>
      <x:c r="Z1275" s="6" t="str"/>
      <x:c r="AA1275" s="6" t="str">
        <x:v>No / not compared</x:v>
      </x:c>
    </x:row>
    <x:row r="1276" ht="42" customHeight="1">
      <x:c r="A1276" s="6" t="str">
        <x:v>https://digitecme.com/brands/tesla-service-dubai</x:v>
      </x:c>
      <x:c r="B1276" s="6" t="str"/>
      <x:c r="C1276" s="6" t="str"/>
      <x:c r="D1276" s="6" t="str">
        <x:v>brand</x:v>
      </x:c>
      <x:c r="E1276" s="6" t="str">
        <x:v>Retain differentiated role</x:v>
      </x:c>
      <x:c r="F1276" s="6" t="str">
        <x:v>Local source render; live version unverified</x:v>
      </x:c>
      <x:c r="G1276" s="6" t="str">
        <x:v>Tesla Repair Dubai | Digi-Tec</x:v>
      </x:c>
      <x:c r="H1276" s="6" t="str">
        <x:v>Tesla Repair Dubai | Digi-Tec</x:v>
      </x:c>
      <x:c r="I1276" s="6" t="str">
        <x:v>Tesla Repair &amp; Service Dubai</x:v>
      </x:c>
      <x:c r="J1276" s="6" t="str">
        <x:v>Tesla Repair &amp; Service Dubai</x:v>
      </x:c>
      <x:c r="K1276" s="6" t="str">
        <x:v>Specialist Tesla repair and service in Dubai: diagnostics, maintenance, brakes, transmission, suspension and AC at Digi-Tec, Al Quoz.</x:v>
      </x:c>
      <x:c r="L1276" s="6" t="str">
        <x:v>Retain pending evidence; no specific content edit justified by this export.</x:v>
      </x:c>
      <x:c r="M1276" s="6" t="str">
        <x:v>Retain; inspect relevant context before adding links</x:v>
      </x:c>
      <x:c r="N1276" s="6" t="str">
        <x:v>Unconfirmed — no query/page pairing</x:v>
      </x:c>
      <x:c r="O1276" s="6" t="str">
        <x:v>Retain established booking / WhatsApp / call path; live behaviour untested</x:v>
      </x:c>
      <x:c r="P1276" s="6" t="str">
        <x:v>Retain canonical and indexation policy pending a live check.</x:v>
      </x:c>
      <x:c r="Q1276" s="6" t="str">
        <x:v>Proposed; no website change made</x:v>
      </x:c>
      <x:c r="R1276" s="14" t="n">
        <x:v>0</x:v>
      </x:c>
      <x:c r="S1276" s="14" t="n">
        <x:v>45</x:v>
      </x:c>
      <x:c r="T1276" s="15" t="n">
        <x:v>0</x:v>
      </x:c>
      <x:c r="U1276" s="16" t="n">
        <x:v>18.67</x:v>
      </x:c>
      <x:c r="V1276" s="6" t="str">
        <x:v>https://digitecme.com/brands/tesla-service-dubai</x:v>
      </x:c>
      <x:c r="W1276" s="6" t="str">
        <x:v>Indexable directive</x:v>
      </x:c>
      <x:c r="X1276" s="6" t="n">
        <x:v>31</x:v>
      </x:c>
      <x:c r="Y1276" s="6" t="str">
        <x:v>Tesla Repair Dubai | Digi-Tec</x:v>
      </x:c>
      <x:c r="Z1276" s="6" t="str"/>
      <x:c r="AA1276" s="6" t="str">
        <x:v>No / not compared</x:v>
      </x:c>
    </x:row>
    <x:row r="1277" ht="42" customHeight="1">
      <x:c r="A1277" s="6" t="str">
        <x:v>https://digitecme.com/brands/tesla-service-dubai/ac-repair</x:v>
      </x:c>
      <x:c r="B1277" s="6" t="str"/>
      <x:c r="C1277" s="6" t="str"/>
      <x:c r="D1277" s="6" t="str">
        <x:v>brand-service</x:v>
      </x:c>
      <x:c r="E1277" s="6" t="str">
        <x:v>Retain differentiated role</x:v>
      </x:c>
      <x:c r="F1277" s="6" t="str">
        <x:v>Local source render; live version unverified</x:v>
      </x:c>
      <x:c r="G1277" s="6" t="str">
        <x:v>Tesla AC Repair Dubai | Digi-Tec</x:v>
      </x:c>
      <x:c r="H1277" s="6" t="str">
        <x:v>Tesla AC Repair Dubai | Digi-Tec</x:v>
      </x:c>
      <x:c r="I1277" s="6" t="str">
        <x:v>Tesla AC Repair Dubai</x:v>
      </x:c>
      <x:c r="J1277" s="6" t="str">
        <x:v>Tesla AC Repair Dubai</x:v>
      </x:c>
      <x:c r="K1277" s="6" t="str">
        <x:v>Tesla ac repair in Dubai with model-specific inspection, confirmed parts options and a clear quote at Digi-Tec, Al Quoz.</x:v>
      </x:c>
      <x:c r="L1277" s="6" t="str">
        <x:v>Retain pending evidence; no specific content edit justified by this export.</x:v>
      </x:c>
      <x:c r="M1277" s="6" t="str">
        <x:v>Retain; inspect relevant context before adding links</x:v>
      </x:c>
      <x:c r="N1277" s="6" t="str">
        <x:v>Unconfirmed — no query/page pairing</x:v>
      </x:c>
      <x:c r="O1277" s="6" t="str">
        <x:v>Retain established booking / WhatsApp / call path; live behaviour untested</x:v>
      </x:c>
      <x:c r="P1277" s="6" t="str">
        <x:v>Retain canonical and indexation policy pending a live check.</x:v>
      </x:c>
      <x:c r="Q1277" s="6" t="str">
        <x:v>Proposed; no website change made</x:v>
      </x:c>
      <x:c r="R1277" s="14" t="n">
        <x:v>2</x:v>
      </x:c>
      <x:c r="S1277" s="14" t="n">
        <x:v>43</x:v>
      </x:c>
      <x:c r="T1277" s="15" t="n">
        <x:v>0.04650000000000001</x:v>
      </x:c>
      <x:c r="U1277" s="16" t="n">
        <x:v>7.21</x:v>
      </x:c>
      <x:c r="V1277" s="6" t="str">
        <x:v>https://digitecme.com/brands/tesla-service-dubai/ac-repair</x:v>
      </x:c>
      <x:c r="W1277" s="6" t="str">
        <x:v>Indexable directive</x:v>
      </x:c>
      <x:c r="X1277" s="6" t="n">
        <x:v>11</x:v>
      </x:c>
      <x:c r="Y1277" s="6" t="str">
        <x:v>Tesla AC Repair Dubai | Digi-Tec</x:v>
      </x:c>
      <x:c r="Z1277" s="6" t="str"/>
      <x:c r="AA1277" s="6" t="str">
        <x:v>No / not compared</x:v>
      </x:c>
    </x:row>
    <x:row r="1278" ht="42" customHeight="1">
      <x:c r="A1278" s="6" t="str">
        <x:v>https://digitecme.com/brands/tesla-service-dubai/battery-replacement</x:v>
      </x:c>
      <x:c r="B1278" s="6" t="str">
        <x:v>tesla battery</x:v>
      </x:c>
      <x:c r="C1278" s="6" t="str">
        <x:v>tesla: Battery service</x:v>
      </x:c>
      <x:c r="D1278" s="6" t="str">
        <x:v>brand-service</x:v>
      </x:c>
      <x:c r="E1278" s="6" t="str">
        <x:v>Primary owner for assigned intent</x:v>
      </x:c>
      <x:c r="F1278" s="6" t="str">
        <x:v>Local source render; live version unverified</x:v>
      </x:c>
      <x:c r="G1278" s="6" t="str">
        <x:v>Tesla Battery Replacement Dubai | Digi-Tec</x:v>
      </x:c>
      <x:c r="H1278" s="6" t="str">
        <x:v>Tesla Battery Replacement Dubai | Digi-Tec</x:v>
      </x:c>
      <x:c r="I1278" s="6" t="str">
        <x:v>Tesla Battery Replacement Dubai</x:v>
      </x:c>
      <x:c r="J1278" s="6" t="str">
        <x:v>Tesla Battery Replacement Dubai</x:v>
      </x:c>
      <x:c r="K1278" s="6" t="str">
        <x:v>Tesla battery replacement in Dubai with model-specific inspection, confirmed parts options and a clear quote at Digi-Tec, Al Quoz.</x:v>
      </x:c>
      <x:c r="L1278" s="6" t="str">
        <x:v>Retain pending evidence; no specific content edit justified by this export.</x:v>
      </x:c>
      <x:c r="M1278" s="6" t="str">
        <x:v>Retain; inspect relevant context before adding links</x:v>
      </x:c>
      <x:c r="N1278" s="6" t="str">
        <x:v>Unconfirmed — no query/page pairing</x:v>
      </x:c>
      <x:c r="O1278" s="6" t="str">
        <x:v>Retain established booking / WhatsApp / call path; live behaviour untested</x:v>
      </x:c>
      <x:c r="P1278" s="6" t="str">
        <x:v>Specific search demand maps to an existing noindex page. Verify live directives and unique business content; consider the existing indexable parent as interim owner.</x:v>
      </x:c>
      <x:c r="Q1278" s="6" t="str">
        <x:v>Proposed; no website change made</x:v>
      </x:c>
      <x:c r="R1278" s="14" t="n">
        <x:v>4</x:v>
      </x:c>
      <x:c r="S1278" s="14" t="n">
        <x:v>52</x:v>
      </x:c>
      <x:c r="T1278" s="15" t="n">
        <x:v>0.07690000000000001</x:v>
      </x:c>
      <x:c r="U1278" s="16" t="n">
        <x:v>20.35</x:v>
      </x:c>
      <x:c r="V1278" s="6" t="str">
        <x:v>https://digitecme.com/brands/tesla-service-dubai/battery-replacement</x:v>
      </x:c>
      <x:c r="W1278" s="6" t="str">
        <x:v>Noindex directive</x:v>
      </x:c>
      <x:c r="X1278" s="6" t="n">
        <x:v>11</x:v>
      </x:c>
      <x:c r="Y1278" s="6" t="str">
        <x:v>Tesla Battery Replacement Dubai | Digi-Tec</x:v>
      </x:c>
      <x:c r="Z1278" s="6" t="str"/>
      <x:c r="AA1278" s="6" t="str">
        <x:v>No / not compared</x:v>
      </x:c>
    </x:row>
    <x:row r="1279" ht="42" customHeight="1">
      <x:c r="A1279" s="6" t="str">
        <x:v>https://digitecme.com/brands/tesla-service-dubai/body-repair</x:v>
      </x:c>
      <x:c r="B1279" s="6" t="str"/>
      <x:c r="C1279" s="6" t="str"/>
      <x:c r="D1279" s="6" t="str">
        <x:v>brand-service</x:v>
      </x:c>
      <x:c r="E1279" s="6" t="str">
        <x:v>Retain differentiated role</x:v>
      </x:c>
      <x:c r="F1279" s="6" t="str">
        <x:v>Local source render; live version unverified</x:v>
      </x:c>
      <x:c r="G1279" s="6" t="str">
        <x:v>Tesla Body Repair Dubai | Digi-Tec</x:v>
      </x:c>
      <x:c r="H1279" s="6" t="str">
        <x:v>Tesla Body Repair Dubai | Digi-Tec</x:v>
      </x:c>
      <x:c r="I1279" s="6" t="str">
        <x:v>Tesla Body Repair Dubai</x:v>
      </x:c>
      <x:c r="J1279" s="6" t="str">
        <x:v>Tesla Body Repair Dubai</x:v>
      </x:c>
      <x:c r="K1279" s="6" t="str">
        <x:v>Tesla body repair in Dubai with model-specific inspection, confirmed parts options and a clear quote at Digi-Tec, Al Quoz.</x:v>
      </x:c>
      <x:c r="L1279" s="6" t="str">
        <x:v>Retain pending evidence; no specific content edit justified by this export.</x:v>
      </x:c>
      <x:c r="M1279" s="6" t="str">
        <x:v>Retain; inspect relevant context before adding links</x:v>
      </x:c>
      <x:c r="N1279" s="6" t="str">
        <x:v>Unconfirmed — no query/page pairing</x:v>
      </x:c>
      <x:c r="O1279" s="6" t="str">
        <x:v>Retain established booking / WhatsApp / call path; live behaviour untested</x:v>
      </x:c>
      <x:c r="P1279" s="6" t="str">
        <x:v>Retain canonical and indexation policy pending a live check.</x:v>
      </x:c>
      <x:c r="Q1279" s="6" t="str">
        <x:v>Proposed; no website change made</x:v>
      </x:c>
      <x:c r="R1279" s="14" t="n">
        <x:v>0</x:v>
      </x:c>
      <x:c r="S1279" s="14" t="n">
        <x:v>7</x:v>
      </x:c>
      <x:c r="T1279" s="15" t="n">
        <x:v>0</x:v>
      </x:c>
      <x:c r="U1279" s="16" t="n">
        <x:v>10.57</x:v>
      </x:c>
      <x:c r="V1279" s="6" t="str">
        <x:v>https://digitecme.com/brands/tesla-service-dubai/body-repair</x:v>
      </x:c>
      <x:c r="W1279" s="6" t="str">
        <x:v>Noindex directive</x:v>
      </x:c>
      <x:c r="X1279" s="6" t="n">
        <x:v>11</x:v>
      </x:c>
      <x:c r="Y1279" s="6" t="str">
        <x:v>Tesla Body Repair Dubai | Digi-Tec</x:v>
      </x:c>
      <x:c r="Z1279" s="6" t="str"/>
      <x:c r="AA1279" s="6" t="str">
        <x:v>No / not compared</x:v>
      </x:c>
    </x:row>
    <x:row r="1280" ht="42" customHeight="1">
      <x:c r="A1280" s="6" t="str">
        <x:v>https://digitecme.com/brands/tesla-service-dubai/brake-repair</x:v>
      </x:c>
      <x:c r="B1280" s="6" t="str"/>
      <x:c r="C1280" s="6" t="str"/>
      <x:c r="D1280" s="6" t="str">
        <x:v>brand-service</x:v>
      </x:c>
      <x:c r="E1280" s="6" t="str">
        <x:v>Retain differentiated role</x:v>
      </x:c>
      <x:c r="F1280" s="6" t="str">
        <x:v>Local source render; live version unverified</x:v>
      </x:c>
      <x:c r="G1280" s="6" t="str">
        <x:v>Tesla Brake Repair Dubai | Digi-Tec</x:v>
      </x:c>
      <x:c r="H1280" s="6" t="str">
        <x:v>Tesla Brake Repair Dubai | Digi-Tec</x:v>
      </x:c>
      <x:c r="I1280" s="6" t="str">
        <x:v>Tesla Brake Repair Dubai</x:v>
      </x:c>
      <x:c r="J1280" s="6" t="str">
        <x:v>Tesla Brake Repair Dubai</x:v>
      </x:c>
      <x:c r="K1280" s="6" t="str">
        <x:v>Tesla brake repair in Dubai with model-specific inspection, confirmed parts options and a clear quote at Digi-Tec, Al Quoz.</x:v>
      </x:c>
      <x:c r="L1280" s="6" t="str">
        <x:v>Retain pending evidence; no specific content edit justified by this export.</x:v>
      </x:c>
      <x:c r="M1280" s="6" t="str">
        <x:v>Retain; inspect relevant context before adding links</x:v>
      </x:c>
      <x:c r="N1280" s="6" t="str">
        <x:v>Unconfirmed — no query/page pairing</x:v>
      </x:c>
      <x:c r="O1280" s="6" t="str">
        <x:v>Retain established booking / WhatsApp / call path; live behaviour untested</x:v>
      </x:c>
      <x:c r="P1280" s="6" t="str">
        <x:v>Retain canonical and indexation policy pending a live check.</x:v>
      </x:c>
      <x:c r="Q1280" s="6" t="str">
        <x:v>Proposed; no website change made</x:v>
      </x:c>
      <x:c r="R1280" s="14" t="n">
        <x:v>0</x:v>
      </x:c>
      <x:c r="S1280" s="14" t="n">
        <x:v>2</x:v>
      </x:c>
      <x:c r="T1280" s="15" t="n">
        <x:v>0</x:v>
      </x:c>
      <x:c r="U1280" s="16" t="n">
        <x:v>5.5</x:v>
      </x:c>
      <x:c r="V1280" s="6" t="str">
        <x:v>https://digitecme.com/brands/tesla-service-dubai/brake-repair</x:v>
      </x:c>
      <x:c r="W1280" s="6" t="str">
        <x:v>Indexable directive</x:v>
      </x:c>
      <x:c r="X1280" s="6" t="n">
        <x:v>11</x:v>
      </x:c>
      <x:c r="Y1280" s="6" t="str">
        <x:v>Tesla Brake Repair Dubai | Digi-Tec</x:v>
      </x:c>
      <x:c r="Z1280" s="6" t="str"/>
      <x:c r="AA1280" s="6" t="str">
        <x:v>No / not compared</x:v>
      </x:c>
    </x:row>
    <x:row r="1281" ht="42" customHeight="1">
      <x:c r="A1281" s="6" t="str">
        <x:v>https://digitecme.com/brands/tesla-service-dubai/electrical-repair</x:v>
      </x:c>
      <x:c r="B1281" s="6" t="str"/>
      <x:c r="C1281" s="6" t="str"/>
      <x:c r="D1281" s="6" t="str">
        <x:v>brand-service</x:v>
      </x:c>
      <x:c r="E1281" s="6" t="str">
        <x:v>Retain differentiated role</x:v>
      </x:c>
      <x:c r="F1281" s="6" t="str">
        <x:v>Local source render; live version unverified</x:v>
      </x:c>
      <x:c r="G1281" s="6" t="str">
        <x:v>Tesla Electrical Repair Dubai | Digi-Tec</x:v>
      </x:c>
      <x:c r="H1281" s="6" t="str">
        <x:v>Tesla Electrical Repair Dubai | Digi-Tec</x:v>
      </x:c>
      <x:c r="I1281" s="6" t="str">
        <x:v>Tesla Electrical Repair Dubai</x:v>
      </x:c>
      <x:c r="J1281" s="6" t="str">
        <x:v>Tesla Electrical Repair Dubai</x:v>
      </x:c>
      <x:c r="K1281" s="6" t="str">
        <x:v>Tesla electrical repair in Dubai with model-specific inspection, confirmed parts options and a clear quote at Digi-Tec, Al Quoz.</x:v>
      </x:c>
      <x:c r="L1281" s="6" t="str">
        <x:v>Retain pending evidence; no specific content edit justified by this export.</x:v>
      </x:c>
      <x:c r="M1281" s="6" t="str">
        <x:v>Retain; inspect relevant context before adding links</x:v>
      </x:c>
      <x:c r="N1281" s="6" t="str">
        <x:v>Unconfirmed — no query/page pairing</x:v>
      </x:c>
      <x:c r="O1281" s="6" t="str">
        <x:v>Retain established booking / WhatsApp / call path; live behaviour untested</x:v>
      </x:c>
      <x:c r="P1281" s="6" t="str">
        <x:v>Retain canonical and indexation policy pending a live check.</x:v>
      </x:c>
      <x:c r="Q1281" s="6" t="str">
        <x:v>Proposed; no website change made</x:v>
      </x:c>
      <x:c r="R1281" s="14" t="n">
        <x:v>0</x:v>
      </x:c>
      <x:c r="S1281" s="14" t="n">
        <x:v>7</x:v>
      </x:c>
      <x:c r="T1281" s="15" t="n">
        <x:v>0</x:v>
      </x:c>
      <x:c r="U1281" s="16" t="n">
        <x:v>35.14</x:v>
      </x:c>
      <x:c r="V1281" s="6" t="str">
        <x:v>https://digitecme.com/brands/tesla-service-dubai/electrical-repair</x:v>
      </x:c>
      <x:c r="W1281" s="6" t="str">
        <x:v>Noindex directive</x:v>
      </x:c>
      <x:c r="X1281" s="6" t="n">
        <x:v>11</x:v>
      </x:c>
      <x:c r="Y1281" s="6" t="str">
        <x:v>Tesla Electrical Repair Dubai | Digi-Tec</x:v>
      </x:c>
      <x:c r="Z1281" s="6" t="str"/>
      <x:c r="AA1281" s="6" t="str">
        <x:v>No / not compared</x:v>
      </x:c>
    </x:row>
    <x:row r="1282" ht="42" customHeight="1">
      <x:c r="A1282" s="6" t="str">
        <x:v>https://digitecme.com/brands/tesla-service-dubai/mechanical-repair</x:v>
      </x:c>
      <x:c r="B1282" s="6" t="str"/>
      <x:c r="C1282" s="6" t="str"/>
      <x:c r="D1282" s="6" t="str">
        <x:v>brand-service</x:v>
      </x:c>
      <x:c r="E1282" s="6" t="str">
        <x:v>Retain differentiated role</x:v>
      </x:c>
      <x:c r="F1282" s="6" t="str">
        <x:v>Local source render; live version unverified</x:v>
      </x:c>
      <x:c r="G1282" s="6" t="str">
        <x:v>Tesla Mechanical Repair Dubai | Digi-Tec</x:v>
      </x:c>
      <x:c r="H1282" s="6" t="str">
        <x:v>Tesla Mechanical Repair Dubai | Digi-Tec</x:v>
      </x:c>
      <x:c r="I1282" s="6" t="str">
        <x:v>Tesla Mechanical Repair Dubai</x:v>
      </x:c>
      <x:c r="J1282" s="6" t="str">
        <x:v>Tesla Mechanical Repair Dubai</x:v>
      </x:c>
      <x:c r="K1282" s="6" t="str">
        <x:v>Tesla mechanical repair in Dubai with model-specific inspection, confirmed parts options and a clear quote at Digi-Tec, Al Quoz.</x:v>
      </x:c>
      <x:c r="L1282" s="6" t="str">
        <x:v>Retain pending evidence; no specific content edit justified by this export.</x:v>
      </x:c>
      <x:c r="M1282" s="6" t="str">
        <x:v>Retain; inspect relevant context before adding links</x:v>
      </x:c>
      <x:c r="N1282" s="6" t="str">
        <x:v>Unconfirmed — no query/page pairing</x:v>
      </x:c>
      <x:c r="O1282" s="6" t="str">
        <x:v>Retain established booking / WhatsApp / call path; live behaviour untested</x:v>
      </x:c>
      <x:c r="P1282" s="6" t="str">
        <x:v>Retain canonical and indexation policy pending a live check.</x:v>
      </x:c>
      <x:c r="Q1282" s="6" t="str">
        <x:v>Proposed; no website change made</x:v>
      </x:c>
      <x:c r="R1282" s="14" t="n">
        <x:v>0</x:v>
      </x:c>
      <x:c r="S1282" s="14" t="n">
        <x:v>4</x:v>
      </x:c>
      <x:c r="T1282" s="15" t="n">
        <x:v>0</x:v>
      </x:c>
      <x:c r="U1282" s="16" t="n">
        <x:v>37.75</x:v>
      </x:c>
      <x:c r="V1282" s="6" t="str">
        <x:v>https://digitecme.com/brands/tesla-service-dubai/mechanical-repair</x:v>
      </x:c>
      <x:c r="W1282" s="6" t="str">
        <x:v>Noindex directive</x:v>
      </x:c>
      <x:c r="X1282" s="6" t="n">
        <x:v>11</x:v>
      </x:c>
      <x:c r="Y1282" s="6" t="str">
        <x:v>Tesla Mechanical Repair Dubai | Digi-Tec</x:v>
      </x:c>
      <x:c r="Z1282" s="6" t="str"/>
      <x:c r="AA1282" s="6" t="str">
        <x:v>No / not compared</x:v>
      </x:c>
    </x:row>
    <x:row r="1283" ht="42" customHeight="1">
      <x:c r="A1283" s="6" t="str">
        <x:v>https://digitecme.com/brands/tesla-service-dubai/steering-repair</x:v>
      </x:c>
      <x:c r="B1283" s="6" t="str"/>
      <x:c r="C1283" s="6" t="str"/>
      <x:c r="D1283" s="6" t="str">
        <x:v>brand-service</x:v>
      </x:c>
      <x:c r="E1283" s="6" t="str">
        <x:v>Retain differentiated role</x:v>
      </x:c>
      <x:c r="F1283" s="6" t="str">
        <x:v>Local source render; live version unverified</x:v>
      </x:c>
      <x:c r="G1283" s="6" t="str">
        <x:v>Tesla Steering Repair Dubai | Digi-Tec</x:v>
      </x:c>
      <x:c r="H1283" s="6" t="str">
        <x:v>Tesla Steering Repair Dubai | Digi-Tec</x:v>
      </x:c>
      <x:c r="I1283" s="6" t="str">
        <x:v>Tesla Steering Repair Dubai</x:v>
      </x:c>
      <x:c r="J1283" s="6" t="str">
        <x:v>Tesla Steering Repair Dubai</x:v>
      </x:c>
      <x:c r="K1283" s="6" t="str">
        <x:v>Tesla steering repair in Dubai with model-specific inspection, confirmed parts options and a clear quote at Digi-Tec, Al Quoz.</x:v>
      </x:c>
      <x:c r="L1283" s="6" t="str">
        <x:v>Retain pending evidence; no specific content edit justified by this export.</x:v>
      </x:c>
      <x:c r="M1283" s="6" t="str">
        <x:v>Retain; inspect relevant context before adding links</x:v>
      </x:c>
      <x:c r="N1283" s="6" t="str">
        <x:v>Unconfirmed — no query/page pairing</x:v>
      </x:c>
      <x:c r="O1283" s="6" t="str">
        <x:v>Retain established booking / WhatsApp / call path; live behaviour untested</x:v>
      </x:c>
      <x:c r="P1283" s="6" t="str">
        <x:v>Retain canonical and indexation policy pending a live check.</x:v>
      </x:c>
      <x:c r="Q1283" s="6" t="str">
        <x:v>Proposed; no website change made</x:v>
      </x:c>
      <x:c r="R1283" s="14"/>
      <x:c r="S1283" s="14"/>
      <x:c r="T1283" s="15"/>
      <x:c r="U1283" s="16"/>
      <x:c r="V1283" s="6" t="str">
        <x:v>https://digitecme.com/brands/tesla-service-dubai/steering-repair</x:v>
      </x:c>
      <x:c r="W1283" s="6" t="str">
        <x:v>Noindex directive</x:v>
      </x:c>
      <x:c r="X1283" s="6" t="n">
        <x:v>11</x:v>
      </x:c>
      <x:c r="Y1283" s="6" t="str">
        <x:v>Tesla Steering Repair Dubai | Digi-Tec</x:v>
      </x:c>
      <x:c r="Z1283" s="6" t="str"/>
      <x:c r="AA1283" s="6" t="str">
        <x:v>No / not compared</x:v>
      </x:c>
    </x:row>
    <x:row r="1284" ht="42" customHeight="1">
      <x:c r="A1284" s="6" t="str">
        <x:v>https://digitecme.com/brands/tesla-service-dubai/suspension-repair</x:v>
      </x:c>
      <x:c r="B1284" s="6" t="str"/>
      <x:c r="C1284" s="6" t="str"/>
      <x:c r="D1284" s="6" t="str">
        <x:v>brand-service</x:v>
      </x:c>
      <x:c r="E1284" s="6" t="str">
        <x:v>Retain differentiated role</x:v>
      </x:c>
      <x:c r="F1284" s="6" t="str">
        <x:v>Local source render; live version unverified</x:v>
      </x:c>
      <x:c r="G1284" s="6" t="str">
        <x:v>Tesla Suspension Repair Dubai | Digi-Tec</x:v>
      </x:c>
      <x:c r="H1284" s="6" t="str">
        <x:v>Tesla Suspension Repair Dubai | Digi-Tec</x:v>
      </x:c>
      <x:c r="I1284" s="6" t="str">
        <x:v>Tesla Suspension Repair Dubai</x:v>
      </x:c>
      <x:c r="J1284" s="6" t="str">
        <x:v>Tesla Suspension Repair Dubai</x:v>
      </x:c>
      <x:c r="K1284" s="6" t="str">
        <x:v>Tesla suspension repair in Dubai with model-specific inspection, confirmed parts options and a clear quote at Digi-Tec, Al Quoz.</x:v>
      </x:c>
      <x:c r="L1284" s="6" t="str">
        <x:v>Retain pending evidence; no specific content edit justified by this export.</x:v>
      </x:c>
      <x:c r="M1284" s="6" t="str">
        <x:v>Retain; inspect relevant context before adding links</x:v>
      </x:c>
      <x:c r="N1284" s="6" t="str">
        <x:v>Unconfirmed — no query/page pairing</x:v>
      </x:c>
      <x:c r="O1284" s="6" t="str">
        <x:v>Retain established booking / WhatsApp / call path; live behaviour untested</x:v>
      </x:c>
      <x:c r="P1284" s="6" t="str">
        <x:v>Retain canonical and indexation policy pending a live check.</x:v>
      </x:c>
      <x:c r="Q1284" s="6" t="str">
        <x:v>Proposed; no website change made</x:v>
      </x:c>
      <x:c r="R1284" s="14"/>
      <x:c r="S1284" s="14"/>
      <x:c r="T1284" s="15"/>
      <x:c r="U1284" s="16"/>
      <x:c r="V1284" s="6" t="str">
        <x:v>https://digitecme.com/brands/tesla-service-dubai/suspension-repair</x:v>
      </x:c>
      <x:c r="W1284" s="6" t="str">
        <x:v>Noindex directive</x:v>
      </x:c>
      <x:c r="X1284" s="6" t="n">
        <x:v>11</x:v>
      </x:c>
      <x:c r="Y1284" s="6" t="str">
        <x:v>Tesla Suspension Repair Dubai | Digi-Tec</x:v>
      </x:c>
      <x:c r="Z1284" s="6" t="str"/>
      <x:c r="AA1284" s="6" t="str">
        <x:v>No / not compared</x:v>
      </x:c>
    </x:row>
    <x:row r="1285" ht="42" customHeight="1">
      <x:c r="A1285" s="6" t="str">
        <x:v>https://digitecme.com/brands/tesla-service-dubai/tire-repair</x:v>
      </x:c>
      <x:c r="B1285" s="6" t="str"/>
      <x:c r="C1285" s="6" t="str"/>
      <x:c r="D1285" s="6" t="str">
        <x:v>brand-service</x:v>
      </x:c>
      <x:c r="E1285" s="6" t="str">
        <x:v>Retain differentiated role</x:v>
      </x:c>
      <x:c r="F1285" s="6" t="str">
        <x:v>Local source render; live version unverified</x:v>
      </x:c>
      <x:c r="G1285" s="6" t="str">
        <x:v>Tesla Tyre Repair Dubai | Digi-Tec</x:v>
      </x:c>
      <x:c r="H1285" s="6" t="str">
        <x:v>Tesla Tyre Repair Dubai | Digi-Tec</x:v>
      </x:c>
      <x:c r="I1285" s="6" t="str">
        <x:v>Tesla Tyre Repair Dubai</x:v>
      </x:c>
      <x:c r="J1285" s="6" t="str">
        <x:v>Tesla Tyre Repair Dubai</x:v>
      </x:c>
      <x:c r="K1285" s="6" t="str">
        <x:v>Tesla tyre repair in Dubai with model-specific inspection, confirmed parts options and a clear quote at Digi-Tec, Al Quoz.</x:v>
      </x:c>
      <x:c r="L1285" s="6" t="str">
        <x:v>Retain pending evidence; no specific content edit justified by this export.</x:v>
      </x:c>
      <x:c r="M1285" s="6" t="str">
        <x:v>Retain; inspect relevant context before adding links</x:v>
      </x:c>
      <x:c r="N1285" s="6" t="str">
        <x:v>Unconfirmed — no query/page pairing</x:v>
      </x:c>
      <x:c r="O1285" s="6" t="str">
        <x:v>Retain established booking / WhatsApp / call path; live behaviour untested</x:v>
      </x:c>
      <x:c r="P1285" s="6" t="str">
        <x:v>Retain canonical and indexation policy pending a live check.</x:v>
      </x:c>
      <x:c r="Q1285" s="6" t="str">
        <x:v>Proposed; no website change made</x:v>
      </x:c>
      <x:c r="R1285" s="14" t="n">
        <x:v>2</x:v>
      </x:c>
      <x:c r="S1285" s="14" t="n">
        <x:v>49</x:v>
      </x:c>
      <x:c r="T1285" s="15" t="n">
        <x:v>0.0408</x:v>
      </x:c>
      <x:c r="U1285" s="16" t="n">
        <x:v>10</x:v>
      </x:c>
      <x:c r="V1285" s="6" t="str">
        <x:v>https://digitecme.com/brands/tesla-service-dubai/tire-repair</x:v>
      </x:c>
      <x:c r="W1285" s="6" t="str">
        <x:v>Noindex directive</x:v>
      </x:c>
      <x:c r="X1285" s="6" t="n">
        <x:v>11</x:v>
      </x:c>
      <x:c r="Y1285" s="6" t="str">
        <x:v>Tesla Tyre Repair Dubai | Digi-Tec</x:v>
      </x:c>
      <x:c r="Z1285" s="6" t="str"/>
      <x:c r="AA1285" s="6" t="str">
        <x:v>No / not compared</x:v>
      </x:c>
    </x:row>
    <x:row r="1286" ht="42" customHeight="1">
      <x:c r="A1286" s="6" t="str">
        <x:v>https://digitecme.com/brands/toyota-service-dubai</x:v>
      </x:c>
      <x:c r="B1286" s="6" t="str"/>
      <x:c r="C1286" s="6" t="str"/>
      <x:c r="D1286" s="6" t="str">
        <x:v>brand</x:v>
      </x:c>
      <x:c r="E1286" s="6" t="str">
        <x:v>Retain differentiated role</x:v>
      </x:c>
      <x:c r="F1286" s="6" t="str">
        <x:v>Local source render; live version unverified</x:v>
      </x:c>
      <x:c r="G1286" s="6" t="str">
        <x:v>Toyota Repair Dubai | Digi-Tec</x:v>
      </x:c>
      <x:c r="H1286" s="6" t="str">
        <x:v>Toyota Repair Dubai | Digi-Tec</x:v>
      </x:c>
      <x:c r="I1286" s="6" t="str">
        <x:v>Toyota Repair &amp; Service Dubai</x:v>
      </x:c>
      <x:c r="J1286" s="6" t="str">
        <x:v>Toyota Repair &amp; Service Dubai</x:v>
      </x:c>
      <x:c r="K1286" s="6" t="str">
        <x:v>Specialist Toyota repair and service in Dubai: diagnostics, maintenance, brakes, transmission, suspension and AC at Digi-Tec, Al Quoz.</x:v>
      </x:c>
      <x:c r="L1286" s="6" t="str">
        <x:v>Retain pending evidence; no specific content edit justified by this export.</x:v>
      </x:c>
      <x:c r="M1286" s="6" t="str">
        <x:v>Retain; inspect relevant context before adding links</x:v>
      </x:c>
      <x:c r="N1286" s="6" t="str">
        <x:v>Unconfirmed — no query/page pairing</x:v>
      </x:c>
      <x:c r="O1286" s="6" t="str">
        <x:v>Retain established booking / WhatsApp / call path; live behaviour untested</x:v>
      </x:c>
      <x:c r="P1286" s="6" t="str">
        <x:v>Retain canonical and indexation policy pending a live check.</x:v>
      </x:c>
      <x:c r="Q1286" s="6" t="str">
        <x:v>Proposed; no website change made</x:v>
      </x:c>
      <x:c r="R1286" s="14" t="n">
        <x:v>0</x:v>
      </x:c>
      <x:c r="S1286" s="14" t="n">
        <x:v>21</x:v>
      </x:c>
      <x:c r="T1286" s="15" t="n">
        <x:v>0</x:v>
      </x:c>
      <x:c r="U1286" s="16" t="n">
        <x:v>33.29</x:v>
      </x:c>
      <x:c r="V1286" s="6" t="str">
        <x:v>https://digitecme.com/brands/toyota-service-dubai</x:v>
      </x:c>
      <x:c r="W1286" s="6" t="str">
        <x:v>Indexable directive</x:v>
      </x:c>
      <x:c r="X1286" s="6" t="n">
        <x:v>36</x:v>
      </x:c>
      <x:c r="Y1286" s="6" t="str">
        <x:v>Toyota Repair Dubai | Digi-Tec</x:v>
      </x:c>
      <x:c r="Z1286" s="6" t="str"/>
      <x:c r="AA1286" s="6" t="str">
        <x:v>No / not compared</x:v>
      </x:c>
    </x:row>
    <x:row r="1287" ht="42" customHeight="1">
      <x:c r="A1287" s="6" t="str">
        <x:v>https://digitecme.com/brands/toyota-service-dubai/ac-repair</x:v>
      </x:c>
      <x:c r="B1287" s="6" t="str"/>
      <x:c r="C1287" s="6" t="str"/>
      <x:c r="D1287" s="6" t="str">
        <x:v>brand-service</x:v>
      </x:c>
      <x:c r="E1287" s="6" t="str">
        <x:v>Retain differentiated role</x:v>
      </x:c>
      <x:c r="F1287" s="6" t="str">
        <x:v>Local source render; live version unverified</x:v>
      </x:c>
      <x:c r="G1287" s="6" t="str">
        <x:v>Toyota AC Repair Dubai | Digi-Tec</x:v>
      </x:c>
      <x:c r="H1287" s="6" t="str">
        <x:v>Toyota AC Repair Dubai | Digi-Tec</x:v>
      </x:c>
      <x:c r="I1287" s="6" t="str">
        <x:v>Toyota AC Repair Dubai</x:v>
      </x:c>
      <x:c r="J1287" s="6" t="str">
        <x:v>Toyota AC Repair Dubai</x:v>
      </x:c>
      <x:c r="K1287" s="6" t="str">
        <x:v>Toyota ac repair in Dubai with model-specific inspection, confirmed parts options and a clear quote at Digi-Tec, Al Quoz.</x:v>
      </x:c>
      <x:c r="L1287" s="6" t="str">
        <x:v>Retain pending evidence; no specific content edit justified by this export.</x:v>
      </x:c>
      <x:c r="M1287" s="6" t="str">
        <x:v>Retain; inspect relevant context before adding links</x:v>
      </x:c>
      <x:c r="N1287" s="6" t="str">
        <x:v>Unconfirmed — no query/page pairing</x:v>
      </x:c>
      <x:c r="O1287" s="6" t="str">
        <x:v>Retain established booking / WhatsApp / call path; live behaviour untested</x:v>
      </x:c>
      <x:c r="P1287" s="6" t="str">
        <x:v>Retain canonical and indexation policy pending a live check.</x:v>
      </x:c>
      <x:c r="Q1287" s="6" t="str">
        <x:v>Proposed; no website change made</x:v>
      </x:c>
      <x:c r="R1287" s="14" t="n">
        <x:v>1</x:v>
      </x:c>
      <x:c r="S1287" s="14" t="n">
        <x:v>13</x:v>
      </x:c>
      <x:c r="T1287" s="15" t="n">
        <x:v>0.07690000000000001</x:v>
      </x:c>
      <x:c r="U1287" s="16" t="n">
        <x:v>14.15</x:v>
      </x:c>
      <x:c r="V1287" s="6" t="str">
        <x:v>https://digitecme.com/brands/toyota-service-dubai/ac-repair</x:v>
      </x:c>
      <x:c r="W1287" s="6" t="str">
        <x:v>Indexable directive</x:v>
      </x:c>
      <x:c r="X1287" s="6" t="n">
        <x:v>16</x:v>
      </x:c>
      <x:c r="Y1287" s="6" t="str">
        <x:v>Toyota AC Repair Dubai | Digi-Tec</x:v>
      </x:c>
      <x:c r="Z1287" s="6" t="str"/>
      <x:c r="AA1287" s="6" t="str">
        <x:v>No / not compared</x:v>
      </x:c>
    </x:row>
    <x:row r="1288" ht="42" customHeight="1">
      <x:c r="A1288" s="6" t="str">
        <x:v>https://digitecme.com/brands/toyota-service-dubai/battery-replacement</x:v>
      </x:c>
      <x:c r="B1288" s="6" t="str">
        <x:v>toyota car battery dubai</x:v>
      </x:c>
      <x:c r="C1288" s="6" t="str">
        <x:v>toyota: Battery service</x:v>
      </x:c>
      <x:c r="D1288" s="6" t="str">
        <x:v>brand-service</x:v>
      </x:c>
      <x:c r="E1288" s="6" t="str">
        <x:v>Primary owner for assigned intent</x:v>
      </x:c>
      <x:c r="F1288" s="6" t="str">
        <x:v>Local source render; live version unverified</x:v>
      </x:c>
      <x:c r="G1288" s="6" t="str">
        <x:v>Toyota Battery Replacement Dubai | Digi-Tec</x:v>
      </x:c>
      <x:c r="H1288" s="6" t="str">
        <x:v>Toyota Battery Replacement Dubai | Digi-Tec</x:v>
      </x:c>
      <x:c r="I1288" s="6" t="str">
        <x:v>Toyota Battery Replacement Dubai</x:v>
      </x:c>
      <x:c r="J1288" s="6" t="str">
        <x:v>Toyota Battery Replacement Dubai</x:v>
      </x:c>
      <x:c r="K1288" s="6" t="str">
        <x:v>Toyota battery replacement in Dubai with model-specific inspection, confirmed parts options and a clear quote at Digi-Tec, Al Quoz.</x:v>
      </x:c>
      <x:c r="L1288" s="6" t="str">
        <x:v>Retain pending evidence; no specific content edit justified by this export.</x:v>
      </x:c>
      <x:c r="M1288" s="6" t="str">
        <x:v>Retain; inspect relevant context before adding links</x:v>
      </x:c>
      <x:c r="N1288" s="6" t="str">
        <x:v>Unconfirmed — no query/page pairing</x:v>
      </x:c>
      <x:c r="O1288" s="6" t="str">
        <x:v>Retain established booking / WhatsApp / call path; live behaviour untested</x:v>
      </x:c>
      <x:c r="P1288" s="6" t="str">
        <x:v>Retain canonical and indexation policy pending a live check.</x:v>
      </x:c>
      <x:c r="Q1288" s="6" t="str">
        <x:v>Proposed; no website change made</x:v>
      </x:c>
      <x:c r="R1288" s="14" t="n">
        <x:v>0</x:v>
      </x:c>
      <x:c r="S1288" s="14" t="n">
        <x:v>40</x:v>
      </x:c>
      <x:c r="T1288" s="15" t="n">
        <x:v>0</x:v>
      </x:c>
      <x:c r="U1288" s="16" t="n">
        <x:v>40.75</x:v>
      </x:c>
      <x:c r="V1288" s="6" t="str">
        <x:v>https://digitecme.com/brands/toyota-service-dubai/battery-replacement</x:v>
      </x:c>
      <x:c r="W1288" s="6" t="str">
        <x:v>Indexable directive</x:v>
      </x:c>
      <x:c r="X1288" s="6" t="n">
        <x:v>16</x:v>
      </x:c>
      <x:c r="Y1288" s="6" t="str">
        <x:v>Toyota Battery Replacement Dubai | Digi-Tec</x:v>
      </x:c>
      <x:c r="Z1288" s="6" t="str"/>
      <x:c r="AA1288" s="6" t="str">
        <x:v>No / not compared</x:v>
      </x:c>
    </x:row>
    <x:row r="1289" ht="42" customHeight="1">
      <x:c r="A1289" s="6" t="str">
        <x:v>https://digitecme.com/brands/toyota-service-dubai/body-repair</x:v>
      </x:c>
      <x:c r="B1289" s="6" t="str"/>
      <x:c r="C1289" s="6" t="str"/>
      <x:c r="D1289" s="6" t="str">
        <x:v>brand-service</x:v>
      </x:c>
      <x:c r="E1289" s="6" t="str">
        <x:v>Retain differentiated role</x:v>
      </x:c>
      <x:c r="F1289" s="6" t="str">
        <x:v>Local source render; live version unverified</x:v>
      </x:c>
      <x:c r="G1289" s="6" t="str">
        <x:v>Toyota Body Repair Dubai | Digi-Tec</x:v>
      </x:c>
      <x:c r="H1289" s="6" t="str">
        <x:v>Toyota Body Repair Dubai | Digi-Tec</x:v>
      </x:c>
      <x:c r="I1289" s="6" t="str">
        <x:v>Toyota Body Repair Dubai</x:v>
      </x:c>
      <x:c r="J1289" s="6" t="str">
        <x:v>Toyota Body Repair Dubai</x:v>
      </x:c>
      <x:c r="K1289" s="6" t="str">
        <x:v>Toyota body repair in Dubai with model-specific inspection, confirmed parts options and a clear quote at Digi-Tec, Al Quoz.</x:v>
      </x:c>
      <x:c r="L1289" s="6" t="str">
        <x:v>Retain pending evidence; no specific content edit justified by this export.</x:v>
      </x:c>
      <x:c r="M1289" s="6" t="str">
        <x:v>Retain; inspect relevant context before adding links</x:v>
      </x:c>
      <x:c r="N1289" s="6" t="str">
        <x:v>Unconfirmed — no query/page pairing</x:v>
      </x:c>
      <x:c r="O1289" s="6" t="str">
        <x:v>Retain established booking / WhatsApp / call path; live behaviour untested</x:v>
      </x:c>
      <x:c r="P1289" s="6" t="str">
        <x:v>Retain canonical and indexation policy pending a live check.</x:v>
      </x:c>
      <x:c r="Q1289" s="6" t="str">
        <x:v>Proposed; no website change made</x:v>
      </x:c>
      <x:c r="R1289" s="14" t="n">
        <x:v>0</x:v>
      </x:c>
      <x:c r="S1289" s="14" t="n">
        <x:v>47</x:v>
      </x:c>
      <x:c r="T1289" s="15" t="n">
        <x:v>0</x:v>
      </x:c>
      <x:c r="U1289" s="16" t="n">
        <x:v>11.79</x:v>
      </x:c>
      <x:c r="V1289" s="6" t="str">
        <x:v>https://digitecme.com/brands/toyota-service-dubai/body-repair</x:v>
      </x:c>
      <x:c r="W1289" s="6" t="str">
        <x:v>Indexable directive</x:v>
      </x:c>
      <x:c r="X1289" s="6" t="n">
        <x:v>16</x:v>
      </x:c>
      <x:c r="Y1289" s="6" t="str">
        <x:v>Toyota Body Repair Dubai | Digi-Tec</x:v>
      </x:c>
      <x:c r="Z1289" s="6" t="str"/>
      <x:c r="AA1289" s="6" t="str">
        <x:v>No / not compared</x:v>
      </x:c>
    </x:row>
    <x:row r="1290" ht="42" customHeight="1">
      <x:c r="A1290" s="6" t="str">
        <x:v>https://digitecme.com/brands/toyota-service-dubai/brake-repair</x:v>
      </x:c>
      <x:c r="B1290" s="6" t="str"/>
      <x:c r="C1290" s="6" t="str"/>
      <x:c r="D1290" s="6" t="str">
        <x:v>brand-service</x:v>
      </x:c>
      <x:c r="E1290" s="6" t="str">
        <x:v>Retain differentiated role</x:v>
      </x:c>
      <x:c r="F1290" s="6" t="str">
        <x:v>Local source render; live version unverified</x:v>
      </x:c>
      <x:c r="G1290" s="6" t="str">
        <x:v>Toyota Brake Repair Dubai | Digi-Tec</x:v>
      </x:c>
      <x:c r="H1290" s="6" t="str">
        <x:v>Toyota Brake Repair Dubai | Digi-Tec</x:v>
      </x:c>
      <x:c r="I1290" s="6" t="str">
        <x:v>Toyota Brake Repair Dubai</x:v>
      </x:c>
      <x:c r="J1290" s="6" t="str">
        <x:v>Toyota Brake Repair Dubai</x:v>
      </x:c>
      <x:c r="K1290" s="6" t="str">
        <x:v>Toyota brake repair in Dubai with model-specific inspection, confirmed parts options and a clear quote at Digi-Tec, Al Quoz.</x:v>
      </x:c>
      <x:c r="L1290" s="6" t="str">
        <x:v>Retain pending evidence; no specific content edit justified by this export.</x:v>
      </x:c>
      <x:c r="M1290" s="6" t="str">
        <x:v>Retain; inspect relevant context before adding links</x:v>
      </x:c>
      <x:c r="N1290" s="6" t="str">
        <x:v>Unconfirmed — no query/page pairing</x:v>
      </x:c>
      <x:c r="O1290" s="6" t="str">
        <x:v>Retain established booking / WhatsApp / call path; live behaviour untested</x:v>
      </x:c>
      <x:c r="P1290" s="6" t="str">
        <x:v>Retain canonical and indexation policy pending a live check.</x:v>
      </x:c>
      <x:c r="Q1290" s="6" t="str">
        <x:v>Proposed; no website change made</x:v>
      </x:c>
      <x:c r="R1290" s="14" t="n">
        <x:v>0</x:v>
      </x:c>
      <x:c r="S1290" s="14" t="n">
        <x:v>3</x:v>
      </x:c>
      <x:c r="T1290" s="15" t="n">
        <x:v>0</x:v>
      </x:c>
      <x:c r="U1290" s="16" t="n">
        <x:v>10.67</x:v>
      </x:c>
      <x:c r="V1290" s="6" t="str">
        <x:v>https://digitecme.com/brands/toyota-service-dubai/brake-repair</x:v>
      </x:c>
      <x:c r="W1290" s="6" t="str">
        <x:v>Indexable directive</x:v>
      </x:c>
      <x:c r="X1290" s="6" t="n">
        <x:v>16</x:v>
      </x:c>
      <x:c r="Y1290" s="6" t="str">
        <x:v>Toyota Brake Repair Dubai | Digi-Tec</x:v>
      </x:c>
      <x:c r="Z1290" s="6" t="str"/>
      <x:c r="AA1290" s="6" t="str">
        <x:v>No / not compared</x:v>
      </x:c>
    </x:row>
    <x:row r="1291" ht="42" customHeight="1">
      <x:c r="A1291" s="6" t="str">
        <x:v>https://digitecme.com/brands/toyota-service-dubai/electrical-repair</x:v>
      </x:c>
      <x:c r="B1291" s="6" t="str"/>
      <x:c r="C1291" s="6" t="str"/>
      <x:c r="D1291" s="6" t="str">
        <x:v>brand-service</x:v>
      </x:c>
      <x:c r="E1291" s="6" t="str">
        <x:v>Retain differentiated role</x:v>
      </x:c>
      <x:c r="F1291" s="6" t="str">
        <x:v>Local source render; live version unverified</x:v>
      </x:c>
      <x:c r="G1291" s="6" t="str">
        <x:v>Toyota Electrical Repair Dubai | Digi-Tec</x:v>
      </x:c>
      <x:c r="H1291" s="6" t="str">
        <x:v>Toyota Electrical Repair Dubai | Digi-Tec</x:v>
      </x:c>
      <x:c r="I1291" s="6" t="str">
        <x:v>Toyota Electrical Repair Dubai</x:v>
      </x:c>
      <x:c r="J1291" s="6" t="str">
        <x:v>Toyota Electrical Repair Dubai</x:v>
      </x:c>
      <x:c r="K1291" s="6" t="str">
        <x:v>Toyota electrical repair in Dubai with model-specific inspection, confirmed parts options and a clear quote at Digi-Tec, Al Quoz.</x:v>
      </x:c>
      <x:c r="L1291" s="6" t="str">
        <x:v>Retain pending evidence; no specific content edit justified by this export.</x:v>
      </x:c>
      <x:c r="M1291" s="6" t="str">
        <x:v>Retain; inspect relevant context before adding links</x:v>
      </x:c>
      <x:c r="N1291" s="6" t="str">
        <x:v>Unconfirmed — no query/page pairing</x:v>
      </x:c>
      <x:c r="O1291" s="6" t="str">
        <x:v>Retain established booking / WhatsApp / call path; live behaviour untested</x:v>
      </x:c>
      <x:c r="P1291" s="6" t="str">
        <x:v>Retain canonical and indexation policy pending a live check.</x:v>
      </x:c>
      <x:c r="Q1291" s="6" t="str">
        <x:v>Proposed; no website change made</x:v>
      </x:c>
      <x:c r="R1291" s="14" t="n">
        <x:v>0</x:v>
      </x:c>
      <x:c r="S1291" s="14" t="n">
        <x:v>5</x:v>
      </x:c>
      <x:c r="T1291" s="15" t="n">
        <x:v>0</x:v>
      </x:c>
      <x:c r="U1291" s="16" t="n">
        <x:v>3.6</x:v>
      </x:c>
      <x:c r="V1291" s="6" t="str">
        <x:v>https://digitecme.com/brands/toyota-service-dubai/electrical-repair</x:v>
      </x:c>
      <x:c r="W1291" s="6" t="str">
        <x:v>Indexable directive</x:v>
      </x:c>
      <x:c r="X1291" s="6" t="n">
        <x:v>16</x:v>
      </x:c>
      <x:c r="Y1291" s="6" t="str">
        <x:v>Toyota Electrical Repair Dubai | Digi-Tec</x:v>
      </x:c>
      <x:c r="Z1291" s="6" t="str"/>
      <x:c r="AA1291" s="6" t="str">
        <x:v>No / not compared</x:v>
      </x:c>
    </x:row>
    <x:row r="1292" ht="42" customHeight="1">
      <x:c r="A1292" s="6" t="str">
        <x:v>https://digitecme.com/brands/toyota-service-dubai/engine-diagnostics</x:v>
      </x:c>
      <x:c r="B1292" s="6" t="str"/>
      <x:c r="C1292" s="6" t="str"/>
      <x:c r="D1292" s="6" t="str">
        <x:v>brand-service</x:v>
      </x:c>
      <x:c r="E1292" s="6" t="str">
        <x:v>Retain differentiated role</x:v>
      </x:c>
      <x:c r="F1292" s="6" t="str">
        <x:v>Local source render; live version unverified</x:v>
      </x:c>
      <x:c r="G1292" s="6" t="str">
        <x:v>Toyota Engine Diagnostics Dubai | Digi-Tec</x:v>
      </x:c>
      <x:c r="H1292" s="6" t="str">
        <x:v>Toyota Engine Diagnostics Dubai | Digi-Tec</x:v>
      </x:c>
      <x:c r="I1292" s="6" t="str">
        <x:v>Toyota Engine Diagnostics Dubai</x:v>
      </x:c>
      <x:c r="J1292" s="6" t="str">
        <x:v>Toyota Engine Diagnostics Dubai</x:v>
      </x:c>
      <x:c r="K1292" s="6" t="str">
        <x:v>Toyota engine diagnostics in Dubai with model-specific inspection, confirmed parts options and a clear quote at Digi-Tec, Al Quoz.</x:v>
      </x:c>
      <x:c r="L1292" s="6" t="str">
        <x:v>Retain pending evidence; no specific content edit justified by this export.</x:v>
      </x:c>
      <x:c r="M1292" s="6" t="str">
        <x:v>Retain; inspect relevant context before adding links</x:v>
      </x:c>
      <x:c r="N1292" s="6" t="str">
        <x:v>Unconfirmed — no query/page pairing</x:v>
      </x:c>
      <x:c r="O1292" s="6" t="str">
        <x:v>Retain established booking / WhatsApp / call path; live behaviour untested</x:v>
      </x:c>
      <x:c r="P1292" s="6" t="str">
        <x:v>Retain canonical and indexation policy pending a live check.</x:v>
      </x:c>
      <x:c r="Q1292" s="6" t="str">
        <x:v>Proposed; no website change made</x:v>
      </x:c>
      <x:c r="R1292" s="14" t="n">
        <x:v>0</x:v>
      </x:c>
      <x:c r="S1292" s="14" t="n">
        <x:v>1</x:v>
      </x:c>
      <x:c r="T1292" s="15" t="n">
        <x:v>0</x:v>
      </x:c>
      <x:c r="U1292" s="16" t="n">
        <x:v>10</x:v>
      </x:c>
      <x:c r="V1292" s="6" t="str">
        <x:v>https://digitecme.com/brands/toyota-service-dubai/engine-diagnostics</x:v>
      </x:c>
      <x:c r="W1292" s="6" t="str">
        <x:v>Indexable directive</x:v>
      </x:c>
      <x:c r="X1292" s="6" t="n">
        <x:v>16</x:v>
      </x:c>
      <x:c r="Y1292" s="6" t="str">
        <x:v>Toyota Engine Diagnostics Dubai | Digi-Tec</x:v>
      </x:c>
      <x:c r="Z1292" s="6" t="str"/>
      <x:c r="AA1292" s="6" t="str">
        <x:v>No / not compared</x:v>
      </x:c>
    </x:row>
    <x:row r="1293" ht="42" customHeight="1">
      <x:c r="A1293" s="6" t="str">
        <x:v>https://digitecme.com/brands/toyota-service-dubai/exhaust-repair</x:v>
      </x:c>
      <x:c r="B1293" s="6" t="str"/>
      <x:c r="C1293" s="6" t="str"/>
      <x:c r="D1293" s="6" t="str">
        <x:v>brand-service</x:v>
      </x:c>
      <x:c r="E1293" s="6" t="str">
        <x:v>Retain differentiated role</x:v>
      </x:c>
      <x:c r="F1293" s="6" t="str">
        <x:v>Local source render; live version unverified</x:v>
      </x:c>
      <x:c r="G1293" s="6" t="str">
        <x:v>Toyota Exhaust Repair Dubai | Digi-Tec</x:v>
      </x:c>
      <x:c r="H1293" s="6" t="str">
        <x:v>Toyota Exhaust Repair Dubai | Digi-Tec</x:v>
      </x:c>
      <x:c r="I1293" s="6" t="str">
        <x:v>Toyota Exhaust Repair Dubai</x:v>
      </x:c>
      <x:c r="J1293" s="6" t="str">
        <x:v>Toyota Exhaust Repair Dubai</x:v>
      </x:c>
      <x:c r="K1293" s="6" t="str">
        <x:v>Toyota exhaust repair in Dubai with model-specific inspection, confirmed parts options and a clear quote at Digi-Tec, Al Quoz.</x:v>
      </x:c>
      <x:c r="L1293" s="6" t="str">
        <x:v>Retain pending evidence; no specific content edit justified by this export.</x:v>
      </x:c>
      <x:c r="M1293" s="6" t="str">
        <x:v>Retain; inspect relevant context before adding links</x:v>
      </x:c>
      <x:c r="N1293" s="6" t="str">
        <x:v>Unconfirmed — no query/page pairing</x:v>
      </x:c>
      <x:c r="O1293" s="6" t="str">
        <x:v>Retain established booking / WhatsApp / call path; live behaviour untested</x:v>
      </x:c>
      <x:c r="P1293" s="6" t="str">
        <x:v>Retain canonical and indexation policy pending a live check.</x:v>
      </x:c>
      <x:c r="Q1293" s="6" t="str">
        <x:v>Proposed; no website change made</x:v>
      </x:c>
      <x:c r="R1293" s="14" t="n">
        <x:v>0</x:v>
      </x:c>
      <x:c r="S1293" s="14" t="n">
        <x:v>2</x:v>
      </x:c>
      <x:c r="T1293" s="15" t="n">
        <x:v>0</x:v>
      </x:c>
      <x:c r="U1293" s="16" t="n">
        <x:v>23.5</x:v>
      </x:c>
      <x:c r="V1293" s="6" t="str">
        <x:v>https://digitecme.com/brands/toyota-service-dubai/exhaust-repair</x:v>
      </x:c>
      <x:c r="W1293" s="6" t="str">
        <x:v>Indexable directive</x:v>
      </x:c>
      <x:c r="X1293" s="6" t="n">
        <x:v>16</x:v>
      </x:c>
      <x:c r="Y1293" s="6" t="str">
        <x:v>Toyota Exhaust Repair Dubai | Digi-Tec</x:v>
      </x:c>
      <x:c r="Z1293" s="6" t="str"/>
      <x:c r="AA1293" s="6" t="str">
        <x:v>No / not compared</x:v>
      </x:c>
    </x:row>
    <x:row r="1294" ht="42" customHeight="1">
      <x:c r="A1294" s="6" t="str">
        <x:v>https://digitecme.com/brands/toyota-service-dubai/fuel-system-repair</x:v>
      </x:c>
      <x:c r="B1294" s="6" t="str"/>
      <x:c r="C1294" s="6" t="str"/>
      <x:c r="D1294" s="6" t="str">
        <x:v>brand-service</x:v>
      </x:c>
      <x:c r="E1294" s="6" t="str">
        <x:v>Retain differentiated role</x:v>
      </x:c>
      <x:c r="F1294" s="6" t="str">
        <x:v>Local source render; live version unverified</x:v>
      </x:c>
      <x:c r="G1294" s="6" t="str">
        <x:v>Toyota Fuel System Repair Dubai | Digi-Tec</x:v>
      </x:c>
      <x:c r="H1294" s="6" t="str">
        <x:v>Toyota Fuel System Repair Dubai | Digi-Tec</x:v>
      </x:c>
      <x:c r="I1294" s="6" t="str">
        <x:v>Toyota Fuel System Repair Dubai</x:v>
      </x:c>
      <x:c r="J1294" s="6" t="str">
        <x:v>Toyota Fuel System Repair Dubai</x:v>
      </x:c>
      <x:c r="K1294" s="6" t="str">
        <x:v>Toyota fuel system repair in Dubai with model-specific inspection, confirmed parts options and a clear quote at Digi-Tec, Al Quoz.</x:v>
      </x:c>
      <x:c r="L1294" s="6" t="str">
        <x:v>Retain pending evidence; no specific content edit justified by this export.</x:v>
      </x:c>
      <x:c r="M1294" s="6" t="str">
        <x:v>Retain; inspect relevant context before adding links</x:v>
      </x:c>
      <x:c r="N1294" s="6" t="str">
        <x:v>Unconfirmed — no query/page pairing</x:v>
      </x:c>
      <x:c r="O1294" s="6" t="str">
        <x:v>Retain established booking / WhatsApp / call path; live behaviour untested</x:v>
      </x:c>
      <x:c r="P1294" s="6" t="str">
        <x:v>Retain canonical and indexation policy pending a live check.</x:v>
      </x:c>
      <x:c r="Q1294" s="6" t="str">
        <x:v>Proposed; no website change made</x:v>
      </x:c>
      <x:c r="R1294" s="14" t="n">
        <x:v>0</x:v>
      </x:c>
      <x:c r="S1294" s="14" t="n">
        <x:v>3</x:v>
      </x:c>
      <x:c r="T1294" s="15" t="n">
        <x:v>0</x:v>
      </x:c>
      <x:c r="U1294" s="16" t="n">
        <x:v>5.33</x:v>
      </x:c>
      <x:c r="V1294" s="6" t="str">
        <x:v>https://digitecme.com/brands/toyota-service-dubai/fuel-system-repair</x:v>
      </x:c>
      <x:c r="W1294" s="6" t="str">
        <x:v>Indexable directive</x:v>
      </x:c>
      <x:c r="X1294" s="6" t="n">
        <x:v>16</x:v>
      </x:c>
      <x:c r="Y1294" s="6" t="str">
        <x:v>Toyota Fuel System Repair Dubai | Digi-Tec</x:v>
      </x:c>
      <x:c r="Z1294" s="6" t="str"/>
      <x:c r="AA1294" s="6" t="str">
        <x:v>No / not compared</x:v>
      </x:c>
    </x:row>
    <x:row r="1295" ht="42" customHeight="1">
      <x:c r="A1295" s="6" t="str">
        <x:v>https://digitecme.com/brands/toyota-service-dubai/mechanical-repair</x:v>
      </x:c>
      <x:c r="B1295" s="6" t="str"/>
      <x:c r="C1295" s="6" t="str"/>
      <x:c r="D1295" s="6" t="str">
        <x:v>brand-service</x:v>
      </x:c>
      <x:c r="E1295" s="6" t="str">
        <x:v>Retain differentiated role</x:v>
      </x:c>
      <x:c r="F1295" s="6" t="str">
        <x:v>Local source render; live version unverified</x:v>
      </x:c>
      <x:c r="G1295" s="6" t="str">
        <x:v>Toyota Mechanical Repair Dubai | Digi-Tec</x:v>
      </x:c>
      <x:c r="H1295" s="6" t="str">
        <x:v>Toyota Mechanical Repair Dubai | Digi-Tec</x:v>
      </x:c>
      <x:c r="I1295" s="6" t="str">
        <x:v>Toyota Mechanical Repair Dubai</x:v>
      </x:c>
      <x:c r="J1295" s="6" t="str">
        <x:v>Toyota Mechanical Repair Dubai</x:v>
      </x:c>
      <x:c r="K1295" s="6" t="str">
        <x:v>Toyota mechanical repair in Dubai with model-specific inspection, confirmed parts options and a clear quote at Digi-Tec, Al Quoz.</x:v>
      </x:c>
      <x:c r="L1295" s="6" t="str">
        <x:v>Retain pending evidence; no specific content edit justified by this export.</x:v>
      </x:c>
      <x:c r="M1295" s="6" t="str">
        <x:v>Retain; inspect relevant context before adding links</x:v>
      </x:c>
      <x:c r="N1295" s="6" t="str">
        <x:v>Unconfirmed — no query/page pairing</x:v>
      </x:c>
      <x:c r="O1295" s="6" t="str">
        <x:v>Retain established booking / WhatsApp / call path; live behaviour untested</x:v>
      </x:c>
      <x:c r="P1295" s="6" t="str">
        <x:v>Retain canonical and indexation policy pending a live check.</x:v>
      </x:c>
      <x:c r="Q1295" s="6" t="str">
        <x:v>Proposed; no website change made</x:v>
      </x:c>
      <x:c r="R1295" s="14" t="n">
        <x:v>0</x:v>
      </x:c>
      <x:c r="S1295" s="14" t="n">
        <x:v>7</x:v>
      </x:c>
      <x:c r="T1295" s="15" t="n">
        <x:v>0</x:v>
      </x:c>
      <x:c r="U1295" s="16" t="n">
        <x:v>54.71</x:v>
      </x:c>
      <x:c r="V1295" s="6" t="str">
        <x:v>https://digitecme.com/brands/toyota-service-dubai/mechanical-repair</x:v>
      </x:c>
      <x:c r="W1295" s="6" t="str">
        <x:v>Indexable directive</x:v>
      </x:c>
      <x:c r="X1295" s="6" t="n">
        <x:v>16</x:v>
      </x:c>
      <x:c r="Y1295" s="6" t="str">
        <x:v>Toyota Mechanical Repair Dubai | Digi-Tec</x:v>
      </x:c>
      <x:c r="Z1295" s="6" t="str"/>
      <x:c r="AA1295" s="6" t="str">
        <x:v>No / not compared</x:v>
      </x:c>
    </x:row>
    <x:row r="1296" ht="42" customHeight="1">
      <x:c r="A1296" s="6" t="str">
        <x:v>https://digitecme.com/brands/toyota-service-dubai/oil-change</x:v>
      </x:c>
      <x:c r="B1296" s="6" t="str">
        <x:v>toyota lubricants dubai</x:v>
      </x:c>
      <x:c r="C1296" s="6" t="str">
        <x:v>toyota: Oil change</x:v>
      </x:c>
      <x:c r="D1296" s="6" t="str">
        <x:v>brand-service</x:v>
      </x:c>
      <x:c r="E1296" s="6" t="str">
        <x:v>Primary owner for assigned intent</x:v>
      </x:c>
      <x:c r="F1296" s="6" t="str">
        <x:v>Local source render; live version unverified</x:v>
      </x:c>
      <x:c r="G1296" s="6" t="str">
        <x:v>Toyota Oil Change Dubai | Digi-Tec</x:v>
      </x:c>
      <x:c r="H1296" s="6" t="str">
        <x:v>Toyota Oil Change Dubai | Digi-Tec</x:v>
      </x:c>
      <x:c r="I1296" s="6" t="str">
        <x:v>Toyota Oil Change Dubai</x:v>
      </x:c>
      <x:c r="J1296" s="6" t="str">
        <x:v>Toyota Oil Change Dubai</x:v>
      </x:c>
      <x:c r="K1296" s="6" t="str">
        <x:v>Toyota oil change in Dubai with model-specific inspection, confirmed parts options and a clear quote at Digi-Tec, Al Quoz.</x:v>
      </x:c>
      <x:c r="L1296" s="6" t="str">
        <x:v>Retain pending evidence; no specific content edit justified by this export.</x:v>
      </x:c>
      <x:c r="M1296" s="6" t="str">
        <x:v>Retain; inspect relevant context before adding links</x:v>
      </x:c>
      <x:c r="N1296" s="6" t="str">
        <x:v>Unconfirmed — no query/page pairing</x:v>
      </x:c>
      <x:c r="O1296" s="6" t="str">
        <x:v>Retain established booking / WhatsApp / call path; live behaviour untested</x:v>
      </x:c>
      <x:c r="P1296" s="6" t="str">
        <x:v>Retain canonical and indexation policy pending a live check.</x:v>
      </x:c>
      <x:c r="Q1296" s="6" t="str">
        <x:v>Proposed; no website change made</x:v>
      </x:c>
      <x:c r="R1296" s="14" t="n">
        <x:v>0</x:v>
      </x:c>
      <x:c r="S1296" s="14" t="n">
        <x:v>35</x:v>
      </x:c>
      <x:c r="T1296" s="15" t="n">
        <x:v>0</x:v>
      </x:c>
      <x:c r="U1296" s="16" t="n">
        <x:v>17.06</x:v>
      </x:c>
      <x:c r="V1296" s="6" t="str">
        <x:v>https://digitecme.com/brands/toyota-service-dubai/oil-change</x:v>
      </x:c>
      <x:c r="W1296" s="6" t="str">
        <x:v>Indexable directive</x:v>
      </x:c>
      <x:c r="X1296" s="6" t="n">
        <x:v>16</x:v>
      </x:c>
      <x:c r="Y1296" s="6" t="str">
        <x:v>Toyota Oil Change Dubai | Digi-Tec</x:v>
      </x:c>
      <x:c r="Z1296" s="6" t="str"/>
      <x:c r="AA1296" s="6" t="str">
        <x:v>No / not compared</x:v>
      </x:c>
    </x:row>
    <x:row r="1297" ht="42" customHeight="1">
      <x:c r="A1297" s="6" t="str">
        <x:v>https://digitecme.com/brands/toyota-service-dubai/steering-repair</x:v>
      </x:c>
      <x:c r="B1297" s="6" t="str"/>
      <x:c r="C1297" s="6" t="str"/>
      <x:c r="D1297" s="6" t="str">
        <x:v>brand-service</x:v>
      </x:c>
      <x:c r="E1297" s="6" t="str">
        <x:v>Retain differentiated role</x:v>
      </x:c>
      <x:c r="F1297" s="6" t="str">
        <x:v>Local source render; live version unverified</x:v>
      </x:c>
      <x:c r="G1297" s="6" t="str">
        <x:v>Toyota Steering Repair Dubai | Digi-Tec</x:v>
      </x:c>
      <x:c r="H1297" s="6" t="str">
        <x:v>Toyota Steering Repair Dubai | Digi-Tec</x:v>
      </x:c>
      <x:c r="I1297" s="6" t="str">
        <x:v>Toyota Steering Repair Dubai</x:v>
      </x:c>
      <x:c r="J1297" s="6" t="str">
        <x:v>Toyota Steering Repair Dubai</x:v>
      </x:c>
      <x:c r="K1297" s="6" t="str">
        <x:v>Toyota steering repair in Dubai with model-specific inspection, confirmed parts options and a clear quote at Digi-Tec, Al Quoz.</x:v>
      </x:c>
      <x:c r="L1297" s="6" t="str">
        <x:v>Retain pending evidence; no specific content edit justified by this export.</x:v>
      </x:c>
      <x:c r="M1297" s="6" t="str">
        <x:v>Retain; inspect relevant context before adding links</x:v>
      </x:c>
      <x:c r="N1297" s="6" t="str">
        <x:v>Unconfirmed — no query/page pairing</x:v>
      </x:c>
      <x:c r="O1297" s="6" t="str">
        <x:v>Retain established booking / WhatsApp / call path; live behaviour untested</x:v>
      </x:c>
      <x:c r="P1297" s="6" t="str">
        <x:v>Retain canonical and indexation policy pending a live check.</x:v>
      </x:c>
      <x:c r="Q1297" s="6" t="str">
        <x:v>Proposed; no website change made</x:v>
      </x:c>
      <x:c r="R1297" s="14" t="n">
        <x:v>0</x:v>
      </x:c>
      <x:c r="S1297" s="14" t="n">
        <x:v>5</x:v>
      </x:c>
      <x:c r="T1297" s="15" t="n">
        <x:v>0</x:v>
      </x:c>
      <x:c r="U1297" s="16" t="n">
        <x:v>34.8</x:v>
      </x:c>
      <x:c r="V1297" s="6" t="str">
        <x:v>https://digitecme.com/brands/toyota-service-dubai/steering-repair</x:v>
      </x:c>
      <x:c r="W1297" s="6" t="str">
        <x:v>Indexable directive</x:v>
      </x:c>
      <x:c r="X1297" s="6" t="n">
        <x:v>16</x:v>
      </x:c>
      <x:c r="Y1297" s="6" t="str">
        <x:v>Toyota Steering Repair Dubai | Digi-Tec</x:v>
      </x:c>
      <x:c r="Z1297" s="6" t="str"/>
      <x:c r="AA1297" s="6" t="str">
        <x:v>No / not compared</x:v>
      </x:c>
    </x:row>
    <x:row r="1298" ht="42" customHeight="1">
      <x:c r="A1298" s="6" t="str">
        <x:v>https://digitecme.com/brands/toyota-service-dubai/suspension-repair</x:v>
      </x:c>
      <x:c r="B1298" s="6" t="str"/>
      <x:c r="C1298" s="6" t="str"/>
      <x:c r="D1298" s="6" t="str">
        <x:v>brand-service</x:v>
      </x:c>
      <x:c r="E1298" s="6" t="str">
        <x:v>Retain differentiated role</x:v>
      </x:c>
      <x:c r="F1298" s="6" t="str">
        <x:v>Local source render; live version unverified</x:v>
      </x:c>
      <x:c r="G1298" s="6" t="str">
        <x:v>Toyota Suspension Repair Dubai | Digi-Tec</x:v>
      </x:c>
      <x:c r="H1298" s="6" t="str">
        <x:v>Toyota Suspension Repair Dubai | Digi-Tec</x:v>
      </x:c>
      <x:c r="I1298" s="6" t="str">
        <x:v>Toyota Suspension Repair Dubai</x:v>
      </x:c>
      <x:c r="J1298" s="6" t="str">
        <x:v>Toyota Suspension Repair Dubai</x:v>
      </x:c>
      <x:c r="K1298" s="6" t="str">
        <x:v>Toyota suspension repair in Dubai with model-specific inspection, confirmed parts options and a clear quote at Digi-Tec, Al Quoz.</x:v>
      </x:c>
      <x:c r="L1298" s="6" t="str">
        <x:v>Retain pending evidence; no specific content edit justified by this export.</x:v>
      </x:c>
      <x:c r="M1298" s="6" t="str">
        <x:v>Retain; inspect relevant context before adding links</x:v>
      </x:c>
      <x:c r="N1298" s="6" t="str">
        <x:v>Unconfirmed — no query/page pairing</x:v>
      </x:c>
      <x:c r="O1298" s="6" t="str">
        <x:v>Retain established booking / WhatsApp / call path; live behaviour untested</x:v>
      </x:c>
      <x:c r="P1298" s="6" t="str">
        <x:v>Retain canonical and indexation policy pending a live check.</x:v>
      </x:c>
      <x:c r="Q1298" s="6" t="str">
        <x:v>Proposed; no website change made</x:v>
      </x:c>
      <x:c r="R1298" s="14" t="n">
        <x:v>0</x:v>
      </x:c>
      <x:c r="S1298" s="14" t="n">
        <x:v>2</x:v>
      </x:c>
      <x:c r="T1298" s="15" t="n">
        <x:v>0</x:v>
      </x:c>
      <x:c r="U1298" s="16" t="n">
        <x:v>6</x:v>
      </x:c>
      <x:c r="V1298" s="6" t="str">
        <x:v>https://digitecme.com/brands/toyota-service-dubai/suspension-repair</x:v>
      </x:c>
      <x:c r="W1298" s="6" t="str">
        <x:v>Indexable directive</x:v>
      </x:c>
      <x:c r="X1298" s="6" t="n">
        <x:v>16</x:v>
      </x:c>
      <x:c r="Y1298" s="6" t="str">
        <x:v>Toyota Suspension Repair Dubai | Digi-Tec</x:v>
      </x:c>
      <x:c r="Z1298" s="6" t="str"/>
      <x:c r="AA1298" s="6" t="str">
        <x:v>No / not compared</x:v>
      </x:c>
    </x:row>
    <x:row r="1299" ht="42" customHeight="1">
      <x:c r="A1299" s="6" t="str">
        <x:v>https://digitecme.com/brands/toyota-service-dubai/tire-repair</x:v>
      </x:c>
      <x:c r="B1299" s="6" t="str"/>
      <x:c r="C1299" s="6" t="str"/>
      <x:c r="D1299" s="6" t="str">
        <x:v>brand-service</x:v>
      </x:c>
      <x:c r="E1299" s="6" t="str">
        <x:v>Retain differentiated role</x:v>
      </x:c>
      <x:c r="F1299" s="6" t="str">
        <x:v>Local source render; live version unverified</x:v>
      </x:c>
      <x:c r="G1299" s="6" t="str">
        <x:v>Toyota Tyre Repair Dubai | Digi-Tec</x:v>
      </x:c>
      <x:c r="H1299" s="6" t="str">
        <x:v>Toyota Tyre Repair Dubai | Digi-Tec</x:v>
      </x:c>
      <x:c r="I1299" s="6" t="str">
        <x:v>Toyota Tyre Repair Dubai</x:v>
      </x:c>
      <x:c r="J1299" s="6" t="str">
        <x:v>Toyota Tyre Repair Dubai</x:v>
      </x:c>
      <x:c r="K1299" s="6" t="str">
        <x:v>Toyota tyre repair in Dubai with model-specific inspection, confirmed parts options and a clear quote at Digi-Tec, Al Quoz.</x:v>
      </x:c>
      <x:c r="L1299" s="6" t="str">
        <x:v>Retain pending evidence; no specific content edit justified by this export.</x:v>
      </x:c>
      <x:c r="M1299" s="6" t="str">
        <x:v>Retain; inspect relevant context before adding links</x:v>
      </x:c>
      <x:c r="N1299" s="6" t="str">
        <x:v>Unconfirmed — no query/page pairing</x:v>
      </x:c>
      <x:c r="O1299" s="6" t="str">
        <x:v>Retain established booking / WhatsApp / call path; live behaviour untested</x:v>
      </x:c>
      <x:c r="P1299" s="6" t="str">
        <x:v>Retain canonical and indexation policy pending a live check.</x:v>
      </x:c>
      <x:c r="Q1299" s="6" t="str">
        <x:v>Proposed; no website change made</x:v>
      </x:c>
      <x:c r="R1299" s="14" t="n">
        <x:v>0</x:v>
      </x:c>
      <x:c r="S1299" s="14" t="n">
        <x:v>4</x:v>
      </x:c>
      <x:c r="T1299" s="15" t="n">
        <x:v>0</x:v>
      </x:c>
      <x:c r="U1299" s="16" t="n">
        <x:v>25.25</x:v>
      </x:c>
      <x:c r="V1299" s="6" t="str">
        <x:v>https://digitecme.com/brands/toyota-service-dubai/tire-repair</x:v>
      </x:c>
      <x:c r="W1299" s="6" t="str">
        <x:v>Indexable directive</x:v>
      </x:c>
      <x:c r="X1299" s="6" t="n">
        <x:v>16</x:v>
      </x:c>
      <x:c r="Y1299" s="6" t="str">
        <x:v>Toyota Tyre Repair Dubai | Digi-Tec</x:v>
      </x:c>
      <x:c r="Z1299" s="6" t="str"/>
      <x:c r="AA1299" s="6" t="str">
        <x:v>No / not compared</x:v>
      </x:c>
    </x:row>
    <x:row r="1300" ht="42" customHeight="1">
      <x:c r="A1300" s="6" t="str">
        <x:v>https://digitecme.com/brands/toyota-service-dubai/transmission-repair</x:v>
      </x:c>
      <x:c r="B1300" s="6" t="str"/>
      <x:c r="C1300" s="6" t="str"/>
      <x:c r="D1300" s="6" t="str">
        <x:v>brand-service</x:v>
      </x:c>
      <x:c r="E1300" s="6" t="str">
        <x:v>Retain differentiated role</x:v>
      </x:c>
      <x:c r="F1300" s="6" t="str">
        <x:v>Local source render; live version unverified</x:v>
      </x:c>
      <x:c r="G1300" s="6" t="str">
        <x:v>Toyota Transmission Repair Dubai | Digi-Tec</x:v>
      </x:c>
      <x:c r="H1300" s="6" t="str">
        <x:v>Toyota Transmission Repair Dubai | Digi-Tec</x:v>
      </x:c>
      <x:c r="I1300" s="6" t="str">
        <x:v>Toyota Transmission Repair Dubai</x:v>
      </x:c>
      <x:c r="J1300" s="6" t="str">
        <x:v>Toyota Transmission Repair Dubai</x:v>
      </x:c>
      <x:c r="K1300" s="6" t="str">
        <x:v>Toyota transmission repair in Dubai with model-specific inspection, confirmed parts options and a clear quote at Digi-Tec, Al Quoz.</x:v>
      </x:c>
      <x:c r="L1300" s="6" t="str">
        <x:v>Retain pending evidence; no specific content edit justified by this export.</x:v>
      </x:c>
      <x:c r="M1300" s="6" t="str">
        <x:v>Retain; inspect relevant context before adding links</x:v>
      </x:c>
      <x:c r="N1300" s="6" t="str">
        <x:v>Unconfirmed — no query/page pairing</x:v>
      </x:c>
      <x:c r="O1300" s="6" t="str">
        <x:v>Retain established booking / WhatsApp / call path; live behaviour untested</x:v>
      </x:c>
      <x:c r="P1300" s="6" t="str">
        <x:v>Retain canonical and indexation policy pending a live check.</x:v>
      </x:c>
      <x:c r="Q1300" s="6" t="str">
        <x:v>Proposed; no website change made</x:v>
      </x:c>
      <x:c r="R1300" s="14" t="n">
        <x:v>0</x:v>
      </x:c>
      <x:c r="S1300" s="14" t="n">
        <x:v>7</x:v>
      </x:c>
      <x:c r="T1300" s="15" t="n">
        <x:v>0</x:v>
      </x:c>
      <x:c r="U1300" s="16" t="n">
        <x:v>7.14</x:v>
      </x:c>
      <x:c r="V1300" s="6" t="str">
        <x:v>https://digitecme.com/brands/toyota-service-dubai/transmission-repair</x:v>
      </x:c>
      <x:c r="W1300" s="6" t="str">
        <x:v>Indexable directive</x:v>
      </x:c>
      <x:c r="X1300" s="6" t="n">
        <x:v>16</x:v>
      </x:c>
      <x:c r="Y1300" s="6" t="str">
        <x:v>Toyota Transmission Repair Dubai | Digi-Tec</x:v>
      </x:c>
      <x:c r="Z1300" s="6" t="str"/>
      <x:c r="AA1300" s="6" t="str">
        <x:v>No / not compared</x:v>
      </x:c>
    </x:row>
    <x:row r="1301" ht="42" customHeight="1">
      <x:c r="A1301" s="6" t="str">
        <x:v>https://digitecme.com/brands/volkswagen-service-dubai</x:v>
      </x:c>
      <x:c r="B1301" s="6" t="str">
        <x:v>volkswagen service dubai</x:v>
      </x:c>
      <x:c r="C1301" s="6" t="str">
        <x:v>volkswagen: Service and repair (English)</x:v>
      </x:c>
      <x:c r="D1301" s="6" t="str">
        <x:v>brand</x:v>
      </x:c>
      <x:c r="E1301" s="6" t="str">
        <x:v>Primary owner for assigned intent</x:v>
      </x:c>
      <x:c r="F1301" s="6" t="str">
        <x:v>Local source render; live version unverified</x:v>
      </x:c>
      <x:c r="G1301" s="6" t="str">
        <x:v>Volkswagen Repair Dubai | Digi-Tec</x:v>
      </x:c>
      <x:c r="H1301" s="6" t="str">
        <x:v>Volkswagen Repair Dubai | Digi-Tec</x:v>
      </x:c>
      <x:c r="I1301" s="6" t="str">
        <x:v>Volkswagen Repair &amp; Service Dubai</x:v>
      </x:c>
      <x:c r="J1301" s="6" t="str">
        <x:v>Volkswagen Repair &amp; Service Dubai</x:v>
      </x:c>
      <x:c r="K1301" s="6" t="str">
        <x:v>Specialist Volkswagen repair and service in Dubai: diagnostics, maintenance, brakes, transmission, suspension and AC at Digi-Tec, Al Quoz.</x:v>
      </x:c>
      <x:c r="L1301" s="6" t="str">
        <x:v>Retain pending evidence; no specific content edit justified by this export.</x:v>
      </x:c>
      <x:c r="M1301" s="6" t="str">
        <x:v>Retain; inspect relevant context before adding links</x:v>
      </x:c>
      <x:c r="N1301" s="6" t="str">
        <x:v>Unconfirmed — no query/page pairing</x:v>
      </x:c>
      <x:c r="O1301" s="6" t="str">
        <x:v>Retain established booking / WhatsApp / call path; live behaviour untested</x:v>
      </x:c>
      <x:c r="P1301" s="6" t="str">
        <x:v>Retain canonical and indexation policy pending a live check.</x:v>
      </x:c>
      <x:c r="Q1301" s="6" t="str">
        <x:v>Proposed; no website change made</x:v>
      </x:c>
      <x:c r="R1301" s="14" t="n">
        <x:v>1</x:v>
      </x:c>
      <x:c r="S1301" s="14" t="n">
        <x:v>465</x:v>
      </x:c>
      <x:c r="T1301" s="15" t="n">
        <x:v>0.0022</x:v>
      </x:c>
      <x:c r="U1301" s="16" t="n">
        <x:v>40.69</x:v>
      </x:c>
      <x:c r="V1301" s="6" t="str">
        <x:v>https://digitecme.com/brands/volkswagen-service-dubai</x:v>
      </x:c>
      <x:c r="W1301" s="6" t="str">
        <x:v>Indexable directive</x:v>
      </x:c>
      <x:c r="X1301" s="6" t="n">
        <x:v>36</x:v>
      </x:c>
      <x:c r="Y1301" s="6" t="str">
        <x:v>Volkswagen Repair Dubai | Digi-Tec</x:v>
      </x:c>
      <x:c r="Z1301" s="6" t="str"/>
      <x:c r="AA1301" s="6" t="str">
        <x:v>No / not compared</x:v>
      </x:c>
    </x:row>
    <x:row r="1302" ht="42" customHeight="1">
      <x:c r="A1302" s="6" t="str">
        <x:v>https://digitecme.com/brands/volkswagen-service-dubai/ac-repair</x:v>
      </x:c>
      <x:c r="B1302" s="6" t="str">
        <x:v>volkswagen ac repair dubai</x:v>
      </x:c>
      <x:c r="C1302" s="6" t="str">
        <x:v>volkswagen: AC repair</x:v>
      </x:c>
      <x:c r="D1302" s="6" t="str">
        <x:v>brand-service</x:v>
      </x:c>
      <x:c r="E1302" s="6" t="str">
        <x:v>Primary owner for assigned intent</x:v>
      </x:c>
      <x:c r="F1302" s="6" t="str">
        <x:v>Local source render; live version unverified</x:v>
      </x:c>
      <x:c r="G1302" s="6" t="str">
        <x:v>Volkswagen AC Repair Dubai | Digi-Tec</x:v>
      </x:c>
      <x:c r="H1302" s="6" t="str">
        <x:v>Volkswagen AC Repair Dubai | Digi-Tec</x:v>
      </x:c>
      <x:c r="I1302" s="6" t="str">
        <x:v>Volkswagen AC Repair Dubai</x:v>
      </x:c>
      <x:c r="J1302" s="6" t="str">
        <x:v>Volkswagen AC Repair Dubai</x:v>
      </x:c>
      <x:c r="K1302" s="6" t="str">
        <x:v>Volkswagen ac repair in Dubai with model-specific inspection, confirmed parts options and a clear quote at Digi-Tec, Al Quoz.</x:v>
      </x:c>
      <x:c r="L1302" s="6" t="str">
        <x:v>Retain pending evidence; no specific content edit justified by this export.</x:v>
      </x:c>
      <x:c r="M1302" s="6" t="str">
        <x:v>Retain; inspect relevant context before adding links</x:v>
      </x:c>
      <x:c r="N1302" s="6" t="str">
        <x:v>Unconfirmed — no query/page pairing</x:v>
      </x:c>
      <x:c r="O1302" s="6" t="str">
        <x:v>Retain established booking / WhatsApp / call path; live behaviour untested</x:v>
      </x:c>
      <x:c r="P1302" s="6" t="str">
        <x:v>Retain canonical and indexation policy pending a live check.</x:v>
      </x:c>
      <x:c r="Q1302" s="6" t="str">
        <x:v>Proposed; no website change made</x:v>
      </x:c>
      <x:c r="R1302" s="14" t="n">
        <x:v>0</x:v>
      </x:c>
      <x:c r="S1302" s="14" t="n">
        <x:v>61</x:v>
      </x:c>
      <x:c r="T1302" s="15" t="n">
        <x:v>0</x:v>
      </x:c>
      <x:c r="U1302" s="16" t="n">
        <x:v>12.77</x:v>
      </x:c>
      <x:c r="V1302" s="6" t="str">
        <x:v>https://digitecme.com/brands/volkswagen-service-dubai/ac-repair</x:v>
      </x:c>
      <x:c r="W1302" s="6" t="str">
        <x:v>Indexable directive</x:v>
      </x:c>
      <x:c r="X1302" s="6" t="n">
        <x:v>16</x:v>
      </x:c>
      <x:c r="Y1302" s="6" t="str">
        <x:v>Volkswagen AC Repair Dubai | Digi-Tec</x:v>
      </x:c>
      <x:c r="Z1302" s="6" t="str"/>
      <x:c r="AA1302" s="6" t="str">
        <x:v>No / not compared</x:v>
      </x:c>
    </x:row>
    <x:row r="1303" ht="42" customHeight="1">
      <x:c r="A1303" s="6" t="str">
        <x:v>https://digitecme.com/brands/volkswagen-service-dubai/battery-replacement</x:v>
      </x:c>
      <x:c r="B1303" s="6" t="str">
        <x:v>volkswagen car battery dubai</x:v>
      </x:c>
      <x:c r="C1303" s="6" t="str">
        <x:v>volkswagen: Battery service</x:v>
      </x:c>
      <x:c r="D1303" s="6" t="str">
        <x:v>brand-service</x:v>
      </x:c>
      <x:c r="E1303" s="6" t="str">
        <x:v>Primary owner for assigned intent</x:v>
      </x:c>
      <x:c r="F1303" s="6" t="str">
        <x:v>Local source render; live version unverified</x:v>
      </x:c>
      <x:c r="G1303" s="6" t="str">
        <x:v>Volkswagen Battery Replacement Dubai | Digi-Tec</x:v>
      </x:c>
      <x:c r="H1303" s="6" t="str">
        <x:v>Volkswagen Battery Replacement Dubai | Digi-Tec</x:v>
      </x:c>
      <x:c r="I1303" s="6" t="str">
        <x:v>Volkswagen Battery Replacement Dubai</x:v>
      </x:c>
      <x:c r="J1303" s="6" t="str">
        <x:v>Volkswagen Battery Replacement Dubai</x:v>
      </x:c>
      <x:c r="K1303" s="6" t="str">
        <x:v>Volkswagen battery replacement in Dubai with model-specific inspection, confirmed parts options and a clear quote at Digi-Tec, Al Quoz.</x:v>
      </x:c>
      <x:c r="L1303" s="6" t="str">
        <x:v>Retain pending evidence; no specific content edit justified by this export.</x:v>
      </x:c>
      <x:c r="M1303" s="6" t="str">
        <x:v>Retain; inspect relevant context before adding links</x:v>
      </x:c>
      <x:c r="N1303" s="6" t="str">
        <x:v>Unconfirmed — no query/page pairing</x:v>
      </x:c>
      <x:c r="O1303" s="6" t="str">
        <x:v>Retain established booking / WhatsApp / call path; live behaviour untested</x:v>
      </x:c>
      <x:c r="P1303" s="6" t="str">
        <x:v>Specific search demand maps to an existing noindex page. Verify live directives and unique business content; consider the existing indexable parent as interim owner.</x:v>
      </x:c>
      <x:c r="Q1303" s="6" t="str">
        <x:v>Proposed; no website change made</x:v>
      </x:c>
      <x:c r="R1303" s="14" t="n">
        <x:v>0</x:v>
      </x:c>
      <x:c r="S1303" s="14" t="n">
        <x:v>91</x:v>
      </x:c>
      <x:c r="T1303" s="15" t="n">
        <x:v>0</x:v>
      </x:c>
      <x:c r="U1303" s="16" t="n">
        <x:v>31.2</x:v>
      </x:c>
      <x:c r="V1303" s="6" t="str">
        <x:v>https://digitecme.com/brands/volkswagen-service-dubai/battery-replacement</x:v>
      </x:c>
      <x:c r="W1303" s="6" t="str">
        <x:v>Noindex directive</x:v>
      </x:c>
      <x:c r="X1303" s="6" t="n">
        <x:v>16</x:v>
      </x:c>
      <x:c r="Y1303" s="6" t="str">
        <x:v>Volkswagen Battery Replacement Dubai | Digi-Tec</x:v>
      </x:c>
      <x:c r="Z1303" s="6" t="str"/>
      <x:c r="AA1303" s="6" t="str">
        <x:v>No / not compared</x:v>
      </x:c>
    </x:row>
    <x:row r="1304" ht="42" customHeight="1">
      <x:c r="A1304" s="6" t="str">
        <x:v>https://digitecme.com/brands/volkswagen-service-dubai/body-repair</x:v>
      </x:c>
      <x:c r="B1304" s="6" t="str"/>
      <x:c r="C1304" s="6" t="str"/>
      <x:c r="D1304" s="6" t="str">
        <x:v>brand-service</x:v>
      </x:c>
      <x:c r="E1304" s="6" t="str">
        <x:v>Retain differentiated role</x:v>
      </x:c>
      <x:c r="F1304" s="6" t="str">
        <x:v>Local source render; live version unverified</x:v>
      </x:c>
      <x:c r="G1304" s="6" t="str">
        <x:v>Volkswagen Body Repair Dubai | Digi-Tec</x:v>
      </x:c>
      <x:c r="H1304" s="6" t="str">
        <x:v>Volkswagen Body Repair Dubai | Digi-Tec</x:v>
      </x:c>
      <x:c r="I1304" s="6" t="str">
        <x:v>Volkswagen Body Repair Dubai</x:v>
      </x:c>
      <x:c r="J1304" s="6" t="str">
        <x:v>Volkswagen Body Repair Dubai</x:v>
      </x:c>
      <x:c r="K1304" s="6" t="str">
        <x:v>Volkswagen body repair in Dubai with model-specific inspection, confirmed parts options and a clear quote at Digi-Tec, Al Quoz.</x:v>
      </x:c>
      <x:c r="L1304" s="6" t="str">
        <x:v>Retain pending evidence; no specific content edit justified by this export.</x:v>
      </x:c>
      <x:c r="M1304" s="6" t="str">
        <x:v>Retain; inspect relevant context before adding links</x:v>
      </x:c>
      <x:c r="N1304" s="6" t="str">
        <x:v>Unconfirmed — no query/page pairing</x:v>
      </x:c>
      <x:c r="O1304" s="6" t="str">
        <x:v>Retain established booking / WhatsApp / call path; live behaviour untested</x:v>
      </x:c>
      <x:c r="P1304" s="6" t="str">
        <x:v>Retain canonical and indexation policy pending a live check.</x:v>
      </x:c>
      <x:c r="Q1304" s="6" t="str">
        <x:v>Proposed; no website change made</x:v>
      </x:c>
      <x:c r="R1304" s="14" t="n">
        <x:v>0</x:v>
      </x:c>
      <x:c r="S1304" s="14" t="n">
        <x:v>33</x:v>
      </x:c>
      <x:c r="T1304" s="15" t="n">
        <x:v>0</x:v>
      </x:c>
      <x:c r="U1304" s="16" t="n">
        <x:v>9.12</x:v>
      </x:c>
      <x:c r="V1304" s="6" t="str">
        <x:v>https://digitecme.com/brands/volkswagen-service-dubai/body-repair</x:v>
      </x:c>
      <x:c r="W1304" s="6" t="str">
        <x:v>Noindex directive</x:v>
      </x:c>
      <x:c r="X1304" s="6" t="n">
        <x:v>16</x:v>
      </x:c>
      <x:c r="Y1304" s="6" t="str">
        <x:v>Volkswagen Body Repair Dubai | Digi-Tec</x:v>
      </x:c>
      <x:c r="Z1304" s="6" t="str"/>
      <x:c r="AA1304" s="6" t="str">
        <x:v>No / not compared</x:v>
      </x:c>
    </x:row>
    <x:row r="1305" ht="42" customHeight="1">
      <x:c r="A1305" s="6" t="str">
        <x:v>https://digitecme.com/brands/volkswagen-service-dubai/brake-repair</x:v>
      </x:c>
      <x:c r="B1305" s="6" t="str">
        <x:v>volkswagen brake repair</x:v>
      </x:c>
      <x:c r="C1305" s="6" t="str">
        <x:v>volkswagen: Brake repair</x:v>
      </x:c>
      <x:c r="D1305" s="6" t="str">
        <x:v>brand-service</x:v>
      </x:c>
      <x:c r="E1305" s="6" t="str">
        <x:v>Primary owner for assigned intent</x:v>
      </x:c>
      <x:c r="F1305" s="6" t="str">
        <x:v>Local source render; live version unverified</x:v>
      </x:c>
      <x:c r="G1305" s="6" t="str">
        <x:v>Volkswagen Brake Repair Dubai | Digi-Tec</x:v>
      </x:c>
      <x:c r="H1305" s="6" t="str">
        <x:v>Volkswagen Brake Repair Dubai | Digi-Tec</x:v>
      </x:c>
      <x:c r="I1305" s="6" t="str">
        <x:v>Volkswagen Brake Repair Dubai</x:v>
      </x:c>
      <x:c r="J1305" s="6" t="str">
        <x:v>Volkswagen Brake Repair Dubai</x:v>
      </x:c>
      <x:c r="K1305" s="6" t="str">
        <x:v>Volkswagen brake repair in Dubai with model-specific inspection, confirmed parts options and a clear quote at Digi-Tec, Al Quoz.</x:v>
      </x:c>
      <x:c r="L1305" s="6" t="str">
        <x:v>Retain pending evidence; no specific content edit justified by this export.</x:v>
      </x:c>
      <x:c r="M1305" s="6" t="str">
        <x:v>Retain; inspect relevant context before adding links</x:v>
      </x:c>
      <x:c r="N1305" s="6" t="str">
        <x:v>Unconfirmed — no query/page pairing</x:v>
      </x:c>
      <x:c r="O1305" s="6" t="str">
        <x:v>Retain established booking / WhatsApp / call path; live behaviour untested</x:v>
      </x:c>
      <x:c r="P1305" s="6" t="str">
        <x:v>Retain canonical and indexation policy pending a live check.</x:v>
      </x:c>
      <x:c r="Q1305" s="6" t="str">
        <x:v>Proposed; no website change made</x:v>
      </x:c>
      <x:c r="R1305" s="14" t="n">
        <x:v>0</x:v>
      </x:c>
      <x:c r="S1305" s="14" t="n">
        <x:v>44</x:v>
      </x:c>
      <x:c r="T1305" s="15" t="n">
        <x:v>0</x:v>
      </x:c>
      <x:c r="U1305" s="16" t="n">
        <x:v>16.27</x:v>
      </x:c>
      <x:c r="V1305" s="6" t="str">
        <x:v>https://digitecme.com/brands/volkswagen-service-dubai/brake-repair</x:v>
      </x:c>
      <x:c r="W1305" s="6" t="str">
        <x:v>Indexable directive</x:v>
      </x:c>
      <x:c r="X1305" s="6" t="n">
        <x:v>16</x:v>
      </x:c>
      <x:c r="Y1305" s="6" t="str">
        <x:v>Volkswagen Brake Repair Dubai | Digi-Tec</x:v>
      </x:c>
      <x:c r="Z1305" s="6" t="str"/>
      <x:c r="AA1305" s="6" t="str">
        <x:v>No / not compared</x:v>
      </x:c>
    </x:row>
    <x:row r="1306" ht="42" customHeight="1">
      <x:c r="A1306" s="6" t="str">
        <x:v>https://digitecme.com/brands/volkswagen-service-dubai/electrical-repair</x:v>
      </x:c>
      <x:c r="B1306" s="6" t="str"/>
      <x:c r="C1306" s="6" t="str"/>
      <x:c r="D1306" s="6" t="str">
        <x:v>brand-service</x:v>
      </x:c>
      <x:c r="E1306" s="6" t="str">
        <x:v>Retain differentiated role</x:v>
      </x:c>
      <x:c r="F1306" s="6" t="str">
        <x:v>Local source render; live version unverified</x:v>
      </x:c>
      <x:c r="G1306" s="6" t="str">
        <x:v>Volkswagen Electrical Repair Dubai | Digi-Tec</x:v>
      </x:c>
      <x:c r="H1306" s="6" t="str">
        <x:v>Volkswagen Electrical Repair Dubai | Digi-Tec</x:v>
      </x:c>
      <x:c r="I1306" s="6" t="str">
        <x:v>Volkswagen Electrical Repair Dubai</x:v>
      </x:c>
      <x:c r="J1306" s="6" t="str">
        <x:v>Volkswagen Electrical Repair Dubai</x:v>
      </x:c>
      <x:c r="K1306" s="6" t="str">
        <x:v>Volkswagen electrical repair in Dubai with model-specific inspection, confirmed parts options and a clear quote at Digi-Tec, Al Quoz.</x:v>
      </x:c>
      <x:c r="L1306" s="6" t="str">
        <x:v>Retain pending evidence; no specific content edit justified by this export.</x:v>
      </x:c>
      <x:c r="M1306" s="6" t="str">
        <x:v>Retain; inspect relevant context before adding links</x:v>
      </x:c>
      <x:c r="N1306" s="6" t="str">
        <x:v>Unconfirmed — no query/page pairing</x:v>
      </x:c>
      <x:c r="O1306" s="6" t="str">
        <x:v>Retain established booking / WhatsApp / call path; live behaviour untested</x:v>
      </x:c>
      <x:c r="P1306" s="6" t="str">
        <x:v>Retain canonical and indexation policy pending a live check.</x:v>
      </x:c>
      <x:c r="Q1306" s="6" t="str">
        <x:v>Proposed; no website change made</x:v>
      </x:c>
      <x:c r="R1306" s="14"/>
      <x:c r="S1306" s="14"/>
      <x:c r="T1306" s="15"/>
      <x:c r="U1306" s="16"/>
      <x:c r="V1306" s="6" t="str">
        <x:v>https://digitecme.com/brands/volkswagen-service-dubai/electrical-repair</x:v>
      </x:c>
      <x:c r="W1306" s="6" t="str">
        <x:v>Noindex directive</x:v>
      </x:c>
      <x:c r="X1306" s="6" t="n">
        <x:v>16</x:v>
      </x:c>
      <x:c r="Y1306" s="6" t="str">
        <x:v>Volkswagen Electrical Repair Dubai | Digi-Tec</x:v>
      </x:c>
      <x:c r="Z1306" s="6" t="str"/>
      <x:c r="AA1306" s="6" t="str">
        <x:v>No / not compared</x:v>
      </x:c>
    </x:row>
    <x:row r="1307" ht="42" customHeight="1">
      <x:c r="A1307" s="6" t="str">
        <x:v>https://digitecme.com/brands/volkswagen-service-dubai/engine-diagnostics</x:v>
      </x:c>
      <x:c r="B1307" s="6" t="str"/>
      <x:c r="C1307" s="6" t="str"/>
      <x:c r="D1307" s="6" t="str">
        <x:v>brand-service</x:v>
      </x:c>
      <x:c r="E1307" s="6" t="str">
        <x:v>Retain differentiated role</x:v>
      </x:c>
      <x:c r="F1307" s="6" t="str">
        <x:v>Local source render; live version unverified</x:v>
      </x:c>
      <x:c r="G1307" s="6" t="str">
        <x:v>Volkswagen Engine Diagnostics Dubai | Digi-Tec</x:v>
      </x:c>
      <x:c r="H1307" s="6" t="str">
        <x:v>Volkswagen Engine Diagnostics Dubai | Digi-Tec</x:v>
      </x:c>
      <x:c r="I1307" s="6" t="str">
        <x:v>Volkswagen Engine Diagnostics Dubai</x:v>
      </x:c>
      <x:c r="J1307" s="6" t="str">
        <x:v>Volkswagen Engine Diagnostics Dubai</x:v>
      </x:c>
      <x:c r="K1307" s="6" t="str">
        <x:v>Volkswagen engine diagnostics in Dubai with model-specific inspection, confirmed parts options and a clear quote at Digi-Tec, Al Quoz.</x:v>
      </x:c>
      <x:c r="L1307" s="6" t="str">
        <x:v>Retain pending evidence; no specific content edit justified by this export.</x:v>
      </x:c>
      <x:c r="M1307" s="6" t="str">
        <x:v>Retain; inspect relevant context before adding links</x:v>
      </x:c>
      <x:c r="N1307" s="6" t="str">
        <x:v>Unconfirmed — no query/page pairing</x:v>
      </x:c>
      <x:c r="O1307" s="6" t="str">
        <x:v>Retain established booking / WhatsApp / call path; live behaviour untested</x:v>
      </x:c>
      <x:c r="P1307" s="6" t="str">
        <x:v>Retain canonical and indexation policy pending a live check.</x:v>
      </x:c>
      <x:c r="Q1307" s="6" t="str">
        <x:v>Proposed; no website change made</x:v>
      </x:c>
      <x:c r="R1307" s="14" t="n">
        <x:v>0</x:v>
      </x:c>
      <x:c r="S1307" s="14" t="n">
        <x:v>3</x:v>
      </x:c>
      <x:c r="T1307" s="15" t="n">
        <x:v>0</x:v>
      </x:c>
      <x:c r="U1307" s="16" t="n">
        <x:v>23</x:v>
      </x:c>
      <x:c r="V1307" s="6" t="str">
        <x:v>https://digitecme.com/brands/volkswagen-service-dubai/engine-diagnostics</x:v>
      </x:c>
      <x:c r="W1307" s="6" t="str">
        <x:v>Indexable directive</x:v>
      </x:c>
      <x:c r="X1307" s="6" t="n">
        <x:v>16</x:v>
      </x:c>
      <x:c r="Y1307" s="6" t="str">
        <x:v>Volkswagen Engine Diagnostics Dubai | Digi-Tec</x:v>
      </x:c>
      <x:c r="Z1307" s="6" t="str"/>
      <x:c r="AA1307" s="6" t="str">
        <x:v>No / not compared</x:v>
      </x:c>
    </x:row>
    <x:row r="1308" ht="42" customHeight="1">
      <x:c r="A1308" s="6" t="str">
        <x:v>https://digitecme.com/brands/volkswagen-service-dubai/exhaust-repair</x:v>
      </x:c>
      <x:c r="B1308" s="6" t="str"/>
      <x:c r="C1308" s="6" t="str"/>
      <x:c r="D1308" s="6" t="str">
        <x:v>brand-service</x:v>
      </x:c>
      <x:c r="E1308" s="6" t="str">
        <x:v>Retain differentiated role</x:v>
      </x:c>
      <x:c r="F1308" s="6" t="str">
        <x:v>Local source render; live version unverified</x:v>
      </x:c>
      <x:c r="G1308" s="6" t="str">
        <x:v>Volkswagen Exhaust Repair Dubai | Digi-Tec</x:v>
      </x:c>
      <x:c r="H1308" s="6" t="str">
        <x:v>Volkswagen Exhaust Repair Dubai | Digi-Tec</x:v>
      </x:c>
      <x:c r="I1308" s="6" t="str">
        <x:v>Volkswagen Exhaust Repair Dubai</x:v>
      </x:c>
      <x:c r="J1308" s="6" t="str">
        <x:v>Volkswagen Exhaust Repair Dubai</x:v>
      </x:c>
      <x:c r="K1308" s="6" t="str">
        <x:v>Volkswagen exhaust repair in Dubai with model-specific inspection, confirmed parts options and a clear quote at Digi-Tec, Al Quoz.</x:v>
      </x:c>
      <x:c r="L1308" s="6" t="str">
        <x:v>Retain pending evidence; no specific content edit justified by this export.</x:v>
      </x:c>
      <x:c r="M1308" s="6" t="str">
        <x:v>Retain; inspect relevant context before adding links</x:v>
      </x:c>
      <x:c r="N1308" s="6" t="str">
        <x:v>Unconfirmed — no query/page pairing</x:v>
      </x:c>
      <x:c r="O1308" s="6" t="str">
        <x:v>Retain established booking / WhatsApp / call path; live behaviour untested</x:v>
      </x:c>
      <x:c r="P1308" s="6" t="str">
        <x:v>Retain canonical and indexation policy pending a live check.</x:v>
      </x:c>
      <x:c r="Q1308" s="6" t="str">
        <x:v>Proposed; no website change made</x:v>
      </x:c>
      <x:c r="R1308" s="14" t="n">
        <x:v>0</x:v>
      </x:c>
      <x:c r="S1308" s="14" t="n">
        <x:v>2</x:v>
      </x:c>
      <x:c r="T1308" s="15" t="n">
        <x:v>0</x:v>
      </x:c>
      <x:c r="U1308" s="16" t="n">
        <x:v>8</x:v>
      </x:c>
      <x:c r="V1308" s="6" t="str">
        <x:v>https://digitecme.com/brands/volkswagen-service-dubai/exhaust-repair</x:v>
      </x:c>
      <x:c r="W1308" s="6" t="str">
        <x:v>Noindex directive</x:v>
      </x:c>
      <x:c r="X1308" s="6" t="n">
        <x:v>16</x:v>
      </x:c>
      <x:c r="Y1308" s="6" t="str">
        <x:v>Volkswagen Exhaust Repair Dubai | Digi-Tec</x:v>
      </x:c>
      <x:c r="Z1308" s="6" t="str"/>
      <x:c r="AA1308" s="6" t="str">
        <x:v>No / not compared</x:v>
      </x:c>
    </x:row>
    <x:row r="1309" ht="42" customHeight="1">
      <x:c r="A1309" s="6" t="str">
        <x:v>https://digitecme.com/brands/volkswagen-service-dubai/fuel-system-repair</x:v>
      </x:c>
      <x:c r="B1309" s="6" t="str"/>
      <x:c r="C1309" s="6" t="str"/>
      <x:c r="D1309" s="6" t="str">
        <x:v>brand-service</x:v>
      </x:c>
      <x:c r="E1309" s="6" t="str">
        <x:v>Retain differentiated role</x:v>
      </x:c>
      <x:c r="F1309" s="6" t="str">
        <x:v>Local source render; live version unverified</x:v>
      </x:c>
      <x:c r="G1309" s="6" t="str">
        <x:v>Volkswagen Fuel System Repair Dubai | Digi-Tec</x:v>
      </x:c>
      <x:c r="H1309" s="6" t="str">
        <x:v>Volkswagen Fuel System Repair Dubai | Digi-Tec</x:v>
      </x:c>
      <x:c r="I1309" s="6" t="str">
        <x:v>Volkswagen Fuel System Repair Dubai</x:v>
      </x:c>
      <x:c r="J1309" s="6" t="str">
        <x:v>Volkswagen Fuel System Repair Dubai</x:v>
      </x:c>
      <x:c r="K1309" s="6" t="str">
        <x:v>Volkswagen fuel system repair in Dubai with model-specific inspection, confirmed parts options and a clear quote at Digi-Tec, Al Quoz.</x:v>
      </x:c>
      <x:c r="L1309" s="6" t="str">
        <x:v>Retain pending evidence; no specific content edit justified by this export.</x:v>
      </x:c>
      <x:c r="M1309" s="6" t="str">
        <x:v>Retain; inspect relevant context before adding links</x:v>
      </x:c>
      <x:c r="N1309" s="6" t="str">
        <x:v>Unconfirmed — no query/page pairing</x:v>
      </x:c>
      <x:c r="O1309" s="6" t="str">
        <x:v>Retain established booking / WhatsApp / call path; live behaviour untested</x:v>
      </x:c>
      <x:c r="P1309" s="6" t="str">
        <x:v>Retain canonical and indexation policy pending a live check.</x:v>
      </x:c>
      <x:c r="Q1309" s="6" t="str">
        <x:v>Proposed; no website change made</x:v>
      </x:c>
      <x:c r="R1309" s="14"/>
      <x:c r="S1309" s="14"/>
      <x:c r="T1309" s="15"/>
      <x:c r="U1309" s="16"/>
      <x:c r="V1309" s="6" t="str">
        <x:v>https://digitecme.com/brands/volkswagen-service-dubai/fuel-system-repair</x:v>
      </x:c>
      <x:c r="W1309" s="6" t="str">
        <x:v>Noindex directive</x:v>
      </x:c>
      <x:c r="X1309" s="6" t="n">
        <x:v>16</x:v>
      </x:c>
      <x:c r="Y1309" s="6" t="str">
        <x:v>Volkswagen Fuel System Repair Dubai | Digi-Tec</x:v>
      </x:c>
      <x:c r="Z1309" s="6" t="str"/>
      <x:c r="AA1309" s="6" t="str">
        <x:v>No / not compared</x:v>
      </x:c>
    </x:row>
    <x:row r="1310" ht="42" customHeight="1">
      <x:c r="A1310" s="6" t="str">
        <x:v>https://digitecme.com/brands/volkswagen-service-dubai/mechanical-repair</x:v>
      </x:c>
      <x:c r="B1310" s="6" t="str"/>
      <x:c r="C1310" s="6" t="str"/>
      <x:c r="D1310" s="6" t="str">
        <x:v>brand-service</x:v>
      </x:c>
      <x:c r="E1310" s="6" t="str">
        <x:v>Retain differentiated role</x:v>
      </x:c>
      <x:c r="F1310" s="6" t="str">
        <x:v>Local source render; live version unverified</x:v>
      </x:c>
      <x:c r="G1310" s="6" t="str">
        <x:v>Volkswagen Mechanical Repair Dubai | Digi-Tec</x:v>
      </x:c>
      <x:c r="H1310" s="6" t="str">
        <x:v>Volkswagen Mechanical Repair Dubai | Digi-Tec</x:v>
      </x:c>
      <x:c r="I1310" s="6" t="str">
        <x:v>Volkswagen Mechanical Repair Dubai</x:v>
      </x:c>
      <x:c r="J1310" s="6" t="str">
        <x:v>Volkswagen Mechanical Repair Dubai</x:v>
      </x:c>
      <x:c r="K1310" s="6" t="str">
        <x:v>Volkswagen mechanical repair in Dubai with model-specific inspection, confirmed parts options and a clear quote at Digi-Tec, Al Quoz.</x:v>
      </x:c>
      <x:c r="L1310" s="6" t="str">
        <x:v>Retain pending evidence; no specific content edit justified by this export.</x:v>
      </x:c>
      <x:c r="M1310" s="6" t="str">
        <x:v>Retain; inspect relevant context before adding links</x:v>
      </x:c>
      <x:c r="N1310" s="6" t="str">
        <x:v>Unconfirmed — no query/page pairing</x:v>
      </x:c>
      <x:c r="O1310" s="6" t="str">
        <x:v>Retain established booking / WhatsApp / call path; live behaviour untested</x:v>
      </x:c>
      <x:c r="P1310" s="6" t="str">
        <x:v>Retain canonical and indexation policy pending a live check.</x:v>
      </x:c>
      <x:c r="Q1310" s="6" t="str">
        <x:v>Proposed; no website change made</x:v>
      </x:c>
      <x:c r="R1310" s="14" t="n">
        <x:v>0</x:v>
      </x:c>
      <x:c r="S1310" s="14" t="n">
        <x:v>58</x:v>
      </x:c>
      <x:c r="T1310" s="15" t="n">
        <x:v>0</x:v>
      </x:c>
      <x:c r="U1310" s="16" t="n">
        <x:v>89.09</x:v>
      </x:c>
      <x:c r="V1310" s="6" t="str">
        <x:v>https://digitecme.com/brands/volkswagen-service-dubai/mechanical-repair</x:v>
      </x:c>
      <x:c r="W1310" s="6" t="str">
        <x:v>Noindex directive</x:v>
      </x:c>
      <x:c r="X1310" s="6" t="n">
        <x:v>16</x:v>
      </x:c>
      <x:c r="Y1310" s="6" t="str">
        <x:v>Volkswagen Mechanical Repair Dubai | Digi-Tec</x:v>
      </x:c>
      <x:c r="Z1310" s="6" t="str"/>
      <x:c r="AA1310" s="6" t="str">
        <x:v>No / not compared</x:v>
      </x:c>
    </x:row>
    <x:row r="1311" ht="42" customHeight="1">
      <x:c r="A1311" s="6" t="str">
        <x:v>https://digitecme.com/brands/volkswagen-service-dubai/oil-change</x:v>
      </x:c>
      <x:c r="B1311" s="6" t="str">
        <x:v>volkswagen oil change dubai</x:v>
      </x:c>
      <x:c r="C1311" s="6" t="str">
        <x:v>volkswagen: Oil change</x:v>
      </x:c>
      <x:c r="D1311" s="6" t="str">
        <x:v>brand-service</x:v>
      </x:c>
      <x:c r="E1311" s="6" t="str">
        <x:v>Primary owner for assigned intent</x:v>
      </x:c>
      <x:c r="F1311" s="6" t="str">
        <x:v>Local source render; live version unverified</x:v>
      </x:c>
      <x:c r="G1311" s="6" t="str">
        <x:v>Volkswagen Oil Change Dubai | Digi-Tec</x:v>
      </x:c>
      <x:c r="H1311" s="6" t="str">
        <x:v>Volkswagen Oil Change Dubai | Digi-Tec</x:v>
      </x:c>
      <x:c r="I1311" s="6" t="str">
        <x:v>Volkswagen Oil Change Dubai</x:v>
      </x:c>
      <x:c r="J1311" s="6" t="str">
        <x:v>Volkswagen Oil Change Dubai</x:v>
      </x:c>
      <x:c r="K1311" s="6" t="str">
        <x:v>Volkswagen oil change in Dubai with model-specific inspection, confirmed parts options and a clear quote at Digi-Tec, Al Quoz.</x:v>
      </x:c>
      <x:c r="L1311" s="6" t="str">
        <x:v>Retain pending evidence; no specific content edit justified by this export.</x:v>
      </x:c>
      <x:c r="M1311" s="6" t="str">
        <x:v>Retain; inspect relevant context before adding links</x:v>
      </x:c>
      <x:c r="N1311" s="6" t="str">
        <x:v>Unconfirmed — no query/page pairing</x:v>
      </x:c>
      <x:c r="O1311" s="6" t="str">
        <x:v>Retain established booking / WhatsApp / call path; live behaviour untested</x:v>
      </x:c>
      <x:c r="P1311" s="6" t="str">
        <x:v>Retain canonical and indexation policy pending a live check.</x:v>
      </x:c>
      <x:c r="Q1311" s="6" t="str">
        <x:v>Proposed; no website change made</x:v>
      </x:c>
      <x:c r="R1311" s="14" t="n">
        <x:v>0</x:v>
      </x:c>
      <x:c r="S1311" s="14" t="n">
        <x:v>75</x:v>
      </x:c>
      <x:c r="T1311" s="15" t="n">
        <x:v>0</x:v>
      </x:c>
      <x:c r="U1311" s="16" t="n">
        <x:v>19.61</x:v>
      </x:c>
      <x:c r="V1311" s="6" t="str">
        <x:v>https://digitecme.com/brands/volkswagen-service-dubai/oil-change</x:v>
      </x:c>
      <x:c r="W1311" s="6" t="str">
        <x:v>Indexable directive</x:v>
      </x:c>
      <x:c r="X1311" s="6" t="n">
        <x:v>16</x:v>
      </x:c>
      <x:c r="Y1311" s="6" t="str">
        <x:v>Volkswagen Oil Change Dubai | Digi-Tec</x:v>
      </x:c>
      <x:c r="Z1311" s="6" t="str"/>
      <x:c r="AA1311" s="6" t="str">
        <x:v>No / not compared</x:v>
      </x:c>
    </x:row>
    <x:row r="1312" ht="42" customHeight="1">
      <x:c r="A1312" s="6" t="str">
        <x:v>https://digitecme.com/brands/volkswagen-service-dubai/steering-repair</x:v>
      </x:c>
      <x:c r="B1312" s="6" t="str"/>
      <x:c r="C1312" s="6" t="str"/>
      <x:c r="D1312" s="6" t="str">
        <x:v>brand-service</x:v>
      </x:c>
      <x:c r="E1312" s="6" t="str">
        <x:v>Retain differentiated role</x:v>
      </x:c>
      <x:c r="F1312" s="6" t="str">
        <x:v>Local source render; live version unverified</x:v>
      </x:c>
      <x:c r="G1312" s="6" t="str">
        <x:v>Volkswagen Steering Repair Dubai | Digi-Tec</x:v>
      </x:c>
      <x:c r="H1312" s="6" t="str">
        <x:v>Volkswagen Steering Repair Dubai | Digi-Tec</x:v>
      </x:c>
      <x:c r="I1312" s="6" t="str">
        <x:v>Volkswagen Steering Repair Dubai</x:v>
      </x:c>
      <x:c r="J1312" s="6" t="str">
        <x:v>Volkswagen Steering Repair Dubai</x:v>
      </x:c>
      <x:c r="K1312" s="6" t="str">
        <x:v>Volkswagen steering repair in Dubai with model-specific inspection, confirmed parts options and a clear quote at Digi-Tec, Al Quoz.</x:v>
      </x:c>
      <x:c r="L1312" s="6" t="str">
        <x:v>Retain pending evidence; no specific content edit justified by this export.</x:v>
      </x:c>
      <x:c r="M1312" s="6" t="str">
        <x:v>Retain; inspect relevant context before adding links</x:v>
      </x:c>
      <x:c r="N1312" s="6" t="str">
        <x:v>Unconfirmed — no query/page pairing</x:v>
      </x:c>
      <x:c r="O1312" s="6" t="str">
        <x:v>Retain established booking / WhatsApp / call path; live behaviour untested</x:v>
      </x:c>
      <x:c r="P1312" s="6" t="str">
        <x:v>Retain canonical and indexation policy pending a live check.</x:v>
      </x:c>
      <x:c r="Q1312" s="6" t="str">
        <x:v>Proposed; no website change made</x:v>
      </x:c>
      <x:c r="R1312" s="14" t="n">
        <x:v>0</x:v>
      </x:c>
      <x:c r="S1312" s="14" t="n">
        <x:v>3</x:v>
      </x:c>
      <x:c r="T1312" s="15" t="n">
        <x:v>0</x:v>
      </x:c>
      <x:c r="U1312" s="16" t="n">
        <x:v>12.67</x:v>
      </x:c>
      <x:c r="V1312" s="6" t="str">
        <x:v>https://digitecme.com/brands/volkswagen-service-dubai/steering-repair</x:v>
      </x:c>
      <x:c r="W1312" s="6" t="str">
        <x:v>Noindex directive</x:v>
      </x:c>
      <x:c r="X1312" s="6" t="n">
        <x:v>16</x:v>
      </x:c>
      <x:c r="Y1312" s="6" t="str">
        <x:v>Volkswagen Steering Repair Dubai | Digi-Tec</x:v>
      </x:c>
      <x:c r="Z1312" s="6" t="str"/>
      <x:c r="AA1312" s="6" t="str">
        <x:v>No / not compared</x:v>
      </x:c>
    </x:row>
    <x:row r="1313" ht="42" customHeight="1">
      <x:c r="A1313" s="6" t="str">
        <x:v>https://digitecme.com/brands/volkswagen-service-dubai/suspension-repair</x:v>
      </x:c>
      <x:c r="B1313" s="6" t="str"/>
      <x:c r="C1313" s="6" t="str"/>
      <x:c r="D1313" s="6" t="str">
        <x:v>brand-service</x:v>
      </x:c>
      <x:c r="E1313" s="6" t="str">
        <x:v>Retain differentiated role</x:v>
      </x:c>
      <x:c r="F1313" s="6" t="str">
        <x:v>Local source render; live version unverified</x:v>
      </x:c>
      <x:c r="G1313" s="6" t="str">
        <x:v>Volkswagen Suspension Repair Dubai | Digi-Tec</x:v>
      </x:c>
      <x:c r="H1313" s="6" t="str">
        <x:v>Volkswagen Suspension Repair Dubai | Digi-Tec</x:v>
      </x:c>
      <x:c r="I1313" s="6" t="str">
        <x:v>Volkswagen Suspension Repair Dubai</x:v>
      </x:c>
      <x:c r="J1313" s="6" t="str">
        <x:v>Volkswagen Suspension Repair Dubai</x:v>
      </x:c>
      <x:c r="K1313" s="6" t="str">
        <x:v>Volkswagen suspension repair in Dubai with model-specific inspection, confirmed parts options and a clear quote at Digi-Tec, Al Quoz.</x:v>
      </x:c>
      <x:c r="L1313" s="6" t="str">
        <x:v>Retain pending evidence; no specific content edit justified by this export.</x:v>
      </x:c>
      <x:c r="M1313" s="6" t="str">
        <x:v>Retain; inspect relevant context before adding links</x:v>
      </x:c>
      <x:c r="N1313" s="6" t="str">
        <x:v>Unconfirmed — no query/page pairing</x:v>
      </x:c>
      <x:c r="O1313" s="6" t="str">
        <x:v>Retain established booking / WhatsApp / call path; live behaviour untested</x:v>
      </x:c>
      <x:c r="P1313" s="6" t="str">
        <x:v>Retain canonical and indexation policy pending a live check.</x:v>
      </x:c>
      <x:c r="Q1313" s="6" t="str">
        <x:v>Proposed; no website change made</x:v>
      </x:c>
      <x:c r="R1313" s="14" t="n">
        <x:v>0</x:v>
      </x:c>
      <x:c r="S1313" s="14" t="n">
        <x:v>7</x:v>
      </x:c>
      <x:c r="T1313" s="15" t="n">
        <x:v>0</x:v>
      </x:c>
      <x:c r="U1313" s="16" t="n">
        <x:v>7.29</x:v>
      </x:c>
      <x:c r="V1313" s="6" t="str">
        <x:v>https://digitecme.com/brands/volkswagen-service-dubai/suspension-repair</x:v>
      </x:c>
      <x:c r="W1313" s="6" t="str">
        <x:v>Noindex directive</x:v>
      </x:c>
      <x:c r="X1313" s="6" t="n">
        <x:v>16</x:v>
      </x:c>
      <x:c r="Y1313" s="6" t="str">
        <x:v>Volkswagen Suspension Repair Dubai | Digi-Tec</x:v>
      </x:c>
      <x:c r="Z1313" s="6" t="str"/>
      <x:c r="AA1313" s="6" t="str">
        <x:v>No / not compared</x:v>
      </x:c>
    </x:row>
    <x:row r="1314" ht="42" customHeight="1">
      <x:c r="A1314" s="6" t="str">
        <x:v>https://digitecme.com/brands/volkswagen-service-dubai/tire-repair</x:v>
      </x:c>
      <x:c r="B1314" s="6" t="str"/>
      <x:c r="C1314" s="6" t="str"/>
      <x:c r="D1314" s="6" t="str">
        <x:v>brand-service</x:v>
      </x:c>
      <x:c r="E1314" s="6" t="str">
        <x:v>Retain differentiated role</x:v>
      </x:c>
      <x:c r="F1314" s="6" t="str">
        <x:v>Local source render; live version unverified</x:v>
      </x:c>
      <x:c r="G1314" s="6" t="str">
        <x:v>Volkswagen Tyre Repair Dubai | Digi-Tec</x:v>
      </x:c>
      <x:c r="H1314" s="6" t="str">
        <x:v>Volkswagen Tyre Repair Dubai | Digi-Tec</x:v>
      </x:c>
      <x:c r="I1314" s="6" t="str">
        <x:v>Volkswagen Tyre Repair Dubai</x:v>
      </x:c>
      <x:c r="J1314" s="6" t="str">
        <x:v>Volkswagen Tyre Repair Dubai</x:v>
      </x:c>
      <x:c r="K1314" s="6" t="str">
        <x:v>Volkswagen tyre repair in Dubai with model-specific inspection, confirmed parts options and a clear quote at Digi-Tec, Al Quoz.</x:v>
      </x:c>
      <x:c r="L1314" s="6" t="str">
        <x:v>Retain pending evidence; no specific content edit justified by this export.</x:v>
      </x:c>
      <x:c r="M1314" s="6" t="str">
        <x:v>Retain; inspect relevant context before adding links</x:v>
      </x:c>
      <x:c r="N1314" s="6" t="str">
        <x:v>Unconfirmed — no query/page pairing</x:v>
      </x:c>
      <x:c r="O1314" s="6" t="str">
        <x:v>Retain established booking / WhatsApp / call path; live behaviour untested</x:v>
      </x:c>
      <x:c r="P1314" s="6" t="str">
        <x:v>Retain canonical and indexation policy pending a live check.</x:v>
      </x:c>
      <x:c r="Q1314" s="6" t="str">
        <x:v>Proposed; no website change made</x:v>
      </x:c>
      <x:c r="R1314" s="14" t="n">
        <x:v>0</x:v>
      </x:c>
      <x:c r="S1314" s="14" t="n">
        <x:v>11</x:v>
      </x:c>
      <x:c r="T1314" s="15" t="n">
        <x:v>0</x:v>
      </x:c>
      <x:c r="U1314" s="16" t="n">
        <x:v>7.73</x:v>
      </x:c>
      <x:c r="V1314" s="6" t="str">
        <x:v>https://digitecme.com/brands/volkswagen-service-dubai/tire-repair</x:v>
      </x:c>
      <x:c r="W1314" s="6" t="str">
        <x:v>Noindex directive</x:v>
      </x:c>
      <x:c r="X1314" s="6" t="n">
        <x:v>16</x:v>
      </x:c>
      <x:c r="Y1314" s="6" t="str">
        <x:v>Volkswagen Tyre Repair Dubai | Digi-Tec</x:v>
      </x:c>
      <x:c r="Z1314" s="6" t="str"/>
      <x:c r="AA1314" s="6" t="str">
        <x:v>No / not compared</x:v>
      </x:c>
    </x:row>
    <x:row r="1315" ht="42" customHeight="1">
      <x:c r="A1315" s="6" t="str">
        <x:v>https://digitecme.com/brands/volkswagen-service-dubai/transmission-repair</x:v>
      </x:c>
      <x:c r="B1315" s="6" t="str">
        <x:v>volkswagen transmission repair dubai</x:v>
      </x:c>
      <x:c r="C1315" s="6" t="str">
        <x:v>volkswagen: Transmission and gearbox repair</x:v>
      </x:c>
      <x:c r="D1315" s="6" t="str">
        <x:v>brand-service</x:v>
      </x:c>
      <x:c r="E1315" s="6" t="str">
        <x:v>Primary owner for assigned intent</x:v>
      </x:c>
      <x:c r="F1315" s="6" t="str">
        <x:v>Local source render; live version unverified</x:v>
      </x:c>
      <x:c r="G1315" s="6" t="str">
        <x:v>Volkswagen Transmission Repair Dubai | Digi-Tec</x:v>
      </x:c>
      <x:c r="H1315" s="6" t="str">
        <x:v>Volkswagen Transmission Repair Dubai | Digi-Tec</x:v>
      </x:c>
      <x:c r="I1315" s="6" t="str">
        <x:v>Volkswagen Transmission Repair Dubai</x:v>
      </x:c>
      <x:c r="J1315" s="6" t="str">
        <x:v>Volkswagen Transmission Repair Dubai</x:v>
      </x:c>
      <x:c r="K1315" s="6" t="str">
        <x:v>Volkswagen transmission repair in Dubai with model-specific inspection, confirmed parts options and a clear quote at Digi-Tec, Al Quoz.</x:v>
      </x:c>
      <x:c r="L1315" s="6" t="str">
        <x:v>Retain pending evidence; no specific content edit justified by this export.</x:v>
      </x:c>
      <x:c r="M1315" s="6" t="str">
        <x:v>Retain; inspect relevant context before adding links</x:v>
      </x:c>
      <x:c r="N1315" s="6" t="str">
        <x:v>Unconfirmed — no query/page pairing</x:v>
      </x:c>
      <x:c r="O1315" s="6" t="str">
        <x:v>Retain established booking / WhatsApp / call path; live behaviour untested</x:v>
      </x:c>
      <x:c r="P1315" s="6" t="str">
        <x:v>Specific search demand maps to an existing noindex page. Verify live directives and unique business content; consider the existing indexable parent as interim owner.</x:v>
      </x:c>
      <x:c r="Q1315" s="6" t="str">
        <x:v>Proposed; no website change made</x:v>
      </x:c>
      <x:c r="R1315" s="14" t="n">
        <x:v>0</x:v>
      </x:c>
      <x:c r="S1315" s="14" t="n">
        <x:v>41</x:v>
      </x:c>
      <x:c r="T1315" s="15" t="n">
        <x:v>0</x:v>
      </x:c>
      <x:c r="U1315" s="16" t="n">
        <x:v>11.56</x:v>
      </x:c>
      <x:c r="V1315" s="6" t="str">
        <x:v>https://digitecme.com/brands/volkswagen-service-dubai/transmission-repair</x:v>
      </x:c>
      <x:c r="W1315" s="6" t="str">
        <x:v>Noindex directive</x:v>
      </x:c>
      <x:c r="X1315" s="6" t="n">
        <x:v>16</x:v>
      </x:c>
      <x:c r="Y1315" s="6" t="str">
        <x:v>Volkswagen Transmission Repair Dubai | Digi-Tec</x:v>
      </x:c>
      <x:c r="Z1315" s="6" t="str"/>
      <x:c r="AA1315" s="6" t="str">
        <x:v>No / not compared</x:v>
      </x:c>
    </x:row>
    <x:row r="1316" ht="42" customHeight="1">
      <x:c r="A1316" s="6" t="str">
        <x:v>https://digitecme.com/brands/volvo-service-dubai</x:v>
      </x:c>
      <x:c r="B1316" s="6" t="str">
        <x:v>volvo service dubai</x:v>
      </x:c>
      <x:c r="C1316" s="6" t="str">
        <x:v>volvo: Service and repair</x:v>
      </x:c>
      <x:c r="D1316" s="6" t="str">
        <x:v>brand</x:v>
      </x:c>
      <x:c r="E1316" s="6" t="str">
        <x:v>Primary owner for assigned intent</x:v>
      </x:c>
      <x:c r="F1316" s="6" t="str">
        <x:v>Local source render; live version unverified</x:v>
      </x:c>
      <x:c r="G1316" s="6" t="str">
        <x:v>Volvo Repair Dubai | Digi-Tec</x:v>
      </x:c>
      <x:c r="H1316" s="6" t="str">
        <x:v>Volvo Repair Dubai | Digi-Tec</x:v>
      </x:c>
      <x:c r="I1316" s="6" t="str">
        <x:v>Volvo Repair &amp; Service Dubai</x:v>
      </x:c>
      <x:c r="J1316" s="6" t="str">
        <x:v>Volvo Repair &amp; Service Dubai</x:v>
      </x:c>
      <x:c r="K1316" s="6" t="str">
        <x:v>Specialist Volvo repair and service in Dubai: diagnostics, maintenance, brakes, transmission, suspension and AC at Digi-Tec, Al Quoz.</x:v>
      </x:c>
      <x:c r="L1316" s="6" t="str">
        <x:v>Retain pending evidence; no specific content edit justified by this export.</x:v>
      </x:c>
      <x:c r="M1316" s="6" t="str">
        <x:v>Retain; inspect relevant context before adding links</x:v>
      </x:c>
      <x:c r="N1316" s="6" t="str">
        <x:v>Unconfirmed — no query/page pairing</x:v>
      </x:c>
      <x:c r="O1316" s="6" t="str">
        <x:v>Retain established booking / WhatsApp / call path; live behaviour untested</x:v>
      </x:c>
      <x:c r="P1316" s="6" t="str">
        <x:v>Retain canonical and indexation policy pending a live check.</x:v>
      </x:c>
      <x:c r="Q1316" s="6" t="str">
        <x:v>Proposed; no website change made</x:v>
      </x:c>
      <x:c r="R1316" s="14" t="n">
        <x:v>0</x:v>
      </x:c>
      <x:c r="S1316" s="14" t="n">
        <x:v>166</x:v>
      </x:c>
      <x:c r="T1316" s="15" t="n">
        <x:v>0</x:v>
      </x:c>
      <x:c r="U1316" s="16" t="n">
        <x:v>34.73</x:v>
      </x:c>
      <x:c r="V1316" s="6" t="str">
        <x:v>https://digitecme.com/brands/volvo-service-dubai</x:v>
      </x:c>
      <x:c r="W1316" s="6" t="str">
        <x:v>Indexable directive</x:v>
      </x:c>
      <x:c r="X1316" s="6" t="n">
        <x:v>36</x:v>
      </x:c>
      <x:c r="Y1316" s="6" t="str">
        <x:v>Volvo Repair Dubai | Digi-Tec</x:v>
      </x:c>
      <x:c r="Z1316" s="6" t="str"/>
      <x:c r="AA1316" s="6" t="str">
        <x:v>No / not compared</x:v>
      </x:c>
    </x:row>
    <x:row r="1317" ht="42" customHeight="1">
      <x:c r="A1317" s="6" t="str">
        <x:v>https://digitecme.com/brands/volvo-service-dubai/ac-repair</x:v>
      </x:c>
      <x:c r="B1317" s="6" t="str"/>
      <x:c r="C1317" s="6" t="str"/>
      <x:c r="D1317" s="6" t="str">
        <x:v>brand-service</x:v>
      </x:c>
      <x:c r="E1317" s="6" t="str">
        <x:v>Retain differentiated role</x:v>
      </x:c>
      <x:c r="F1317" s="6" t="str">
        <x:v>Local source render; live version unverified</x:v>
      </x:c>
      <x:c r="G1317" s="6" t="str">
        <x:v>Volvo AC Repair Dubai | Digi-Tec</x:v>
      </x:c>
      <x:c r="H1317" s="6" t="str">
        <x:v>Volvo AC Repair Dubai | Digi-Tec</x:v>
      </x:c>
      <x:c r="I1317" s="6" t="str">
        <x:v>Volvo AC Repair Dubai</x:v>
      </x:c>
      <x:c r="J1317" s="6" t="str">
        <x:v>Volvo AC Repair Dubai</x:v>
      </x:c>
      <x:c r="K1317" s="6" t="str">
        <x:v>Volvo ac repair in Dubai with model-specific inspection, confirmed parts options and a clear quote at Digi-Tec, Al Quoz.</x:v>
      </x:c>
      <x:c r="L1317" s="6" t="str">
        <x:v>Retain pending evidence; no specific content edit justified by this export.</x:v>
      </x:c>
      <x:c r="M1317" s="6" t="str">
        <x:v>Retain; inspect relevant context before adding links</x:v>
      </x:c>
      <x:c r="N1317" s="6" t="str">
        <x:v>Unconfirmed — no query/page pairing</x:v>
      </x:c>
      <x:c r="O1317" s="6" t="str">
        <x:v>Retain established booking / WhatsApp / call path; live behaviour untested</x:v>
      </x:c>
      <x:c r="P1317" s="6" t="str">
        <x:v>Retain canonical and indexation policy pending a live check.</x:v>
      </x:c>
      <x:c r="Q1317" s="6" t="str">
        <x:v>Proposed; no website change made</x:v>
      </x:c>
      <x:c r="R1317" s="14" t="n">
        <x:v>0</x:v>
      </x:c>
      <x:c r="S1317" s="14" t="n">
        <x:v>12</x:v>
      </x:c>
      <x:c r="T1317" s="15" t="n">
        <x:v>0</x:v>
      </x:c>
      <x:c r="U1317" s="16" t="n">
        <x:v>6.75</x:v>
      </x:c>
      <x:c r="V1317" s="6" t="str">
        <x:v>https://digitecme.com/brands/volvo-service-dubai/ac-repair</x:v>
      </x:c>
      <x:c r="W1317" s="6" t="str">
        <x:v>Indexable directive</x:v>
      </x:c>
      <x:c r="X1317" s="6" t="n">
        <x:v>16</x:v>
      </x:c>
      <x:c r="Y1317" s="6" t="str">
        <x:v>Volvo AC Repair Dubai | Digi-Tec</x:v>
      </x:c>
      <x:c r="Z1317" s="6" t="str"/>
      <x:c r="AA1317" s="6" t="str">
        <x:v>No / not compared</x:v>
      </x:c>
    </x:row>
    <x:row r="1318" ht="42" customHeight="1">
      <x:c r="A1318" s="6" t="str">
        <x:v>https://digitecme.com/brands/volvo-service-dubai/battery-replacement</x:v>
      </x:c>
      <x:c r="B1318" s="6" t="str">
        <x:v>volvo battery dubai</x:v>
      </x:c>
      <x:c r="C1318" s="6" t="str">
        <x:v>volvo: Battery service</x:v>
      </x:c>
      <x:c r="D1318" s="6" t="str">
        <x:v>brand-service</x:v>
      </x:c>
      <x:c r="E1318" s="6" t="str">
        <x:v>Primary owner for assigned intent</x:v>
      </x:c>
      <x:c r="F1318" s="6" t="str">
        <x:v>Local source render; live version unverified</x:v>
      </x:c>
      <x:c r="G1318" s="6" t="str">
        <x:v>Volvo Battery Replacement Dubai | Digi-Tec</x:v>
      </x:c>
      <x:c r="H1318" s="6" t="str">
        <x:v>Volvo Battery Replacement Dubai | Digi-Tec</x:v>
      </x:c>
      <x:c r="I1318" s="6" t="str">
        <x:v>Volvo Battery Replacement Dubai</x:v>
      </x:c>
      <x:c r="J1318" s="6" t="str">
        <x:v>Volvo Battery Replacement Dubai</x:v>
      </x:c>
      <x:c r="K1318" s="6" t="str">
        <x:v>Volvo battery replacement in Dubai with model-specific inspection, confirmed parts options and a clear quote at Digi-Tec, Al Quoz.</x:v>
      </x:c>
      <x:c r="L1318" s="6" t="str">
        <x:v>Retain pending evidence; no specific content edit justified by this export.</x:v>
      </x:c>
      <x:c r="M1318" s="6" t="str">
        <x:v>Retain; inspect relevant context before adding links</x:v>
      </x:c>
      <x:c r="N1318" s="6" t="str">
        <x:v>Unconfirmed — no query/page pairing</x:v>
      </x:c>
      <x:c r="O1318" s="6" t="str">
        <x:v>Retain established booking / WhatsApp / call path; live behaviour untested</x:v>
      </x:c>
      <x:c r="P1318" s="6" t="str">
        <x:v>Specific search demand maps to an existing noindex page. Verify live directives and unique business content; consider the existing indexable parent as interim owner.</x:v>
      </x:c>
      <x:c r="Q1318" s="6" t="str">
        <x:v>Proposed; no website change made</x:v>
      </x:c>
      <x:c r="R1318" s="14" t="n">
        <x:v>0</x:v>
      </x:c>
      <x:c r="S1318" s="14" t="n">
        <x:v>64</x:v>
      </x:c>
      <x:c r="T1318" s="15" t="n">
        <x:v>0</x:v>
      </x:c>
      <x:c r="U1318" s="16" t="n">
        <x:v>16.22</x:v>
      </x:c>
      <x:c r="V1318" s="6" t="str">
        <x:v>https://digitecme.com/brands/volvo-service-dubai/battery-replacement</x:v>
      </x:c>
      <x:c r="W1318" s="6" t="str">
        <x:v>Noindex directive</x:v>
      </x:c>
      <x:c r="X1318" s="6" t="n">
        <x:v>16</x:v>
      </x:c>
      <x:c r="Y1318" s="6" t="str">
        <x:v>Volvo Battery Replacement Dubai | Digi-Tec</x:v>
      </x:c>
      <x:c r="Z1318" s="6" t="str"/>
      <x:c r="AA1318" s="6" t="str">
        <x:v>No / not compared</x:v>
      </x:c>
    </x:row>
    <x:row r="1319" ht="42" customHeight="1">
      <x:c r="A1319" s="6" t="str">
        <x:v>https://digitecme.com/brands/volvo-service-dubai/body-repair</x:v>
      </x:c>
      <x:c r="B1319" s="6" t="str"/>
      <x:c r="C1319" s="6" t="str"/>
      <x:c r="D1319" s="6" t="str">
        <x:v>brand-service</x:v>
      </x:c>
      <x:c r="E1319" s="6" t="str">
        <x:v>Retain differentiated role</x:v>
      </x:c>
      <x:c r="F1319" s="6" t="str">
        <x:v>Local source render; live version unverified</x:v>
      </x:c>
      <x:c r="G1319" s="6" t="str">
        <x:v>Volvo Body Repair Dubai | Digi-Tec</x:v>
      </x:c>
      <x:c r="H1319" s="6" t="str">
        <x:v>Volvo Body Repair Dubai | Digi-Tec</x:v>
      </x:c>
      <x:c r="I1319" s="6" t="str">
        <x:v>Volvo Body Repair Dubai</x:v>
      </x:c>
      <x:c r="J1319" s="6" t="str">
        <x:v>Volvo Body Repair Dubai</x:v>
      </x:c>
      <x:c r="K1319" s="6" t="str">
        <x:v>Volvo body repair in Dubai with model-specific inspection, confirmed parts options and a clear quote at Digi-Tec, Al Quoz.</x:v>
      </x:c>
      <x:c r="L1319" s="6" t="str">
        <x:v>Retain pending evidence; no specific content edit justified by this export.</x:v>
      </x:c>
      <x:c r="M1319" s="6" t="str">
        <x:v>Retain; inspect relevant context before adding links</x:v>
      </x:c>
      <x:c r="N1319" s="6" t="str">
        <x:v>Unconfirmed — no query/page pairing</x:v>
      </x:c>
      <x:c r="O1319" s="6" t="str">
        <x:v>Retain established booking / WhatsApp / call path; live behaviour untested</x:v>
      </x:c>
      <x:c r="P1319" s="6" t="str">
        <x:v>Retain canonical and indexation policy pending a live check.</x:v>
      </x:c>
      <x:c r="Q1319" s="6" t="str">
        <x:v>Proposed; no website change made</x:v>
      </x:c>
      <x:c r="R1319" s="14"/>
      <x:c r="S1319" s="14"/>
      <x:c r="T1319" s="15"/>
      <x:c r="U1319" s="16"/>
      <x:c r="V1319" s="6" t="str">
        <x:v>https://digitecme.com/brands/volvo-service-dubai/body-repair</x:v>
      </x:c>
      <x:c r="W1319" s="6" t="str">
        <x:v>Noindex directive</x:v>
      </x:c>
      <x:c r="X1319" s="6" t="n">
        <x:v>16</x:v>
      </x:c>
      <x:c r="Y1319" s="6" t="str">
        <x:v>Volvo Body Repair Dubai | Digi-Tec</x:v>
      </x:c>
      <x:c r="Z1319" s="6" t="str"/>
      <x:c r="AA1319" s="6" t="str">
        <x:v>No / not compared</x:v>
      </x:c>
    </x:row>
    <x:row r="1320" ht="42" customHeight="1">
      <x:c r="A1320" s="6" t="str">
        <x:v>https://digitecme.com/brands/volvo-service-dubai/brake-repair</x:v>
      </x:c>
      <x:c r="B1320" s="6" t="str"/>
      <x:c r="C1320" s="6" t="str"/>
      <x:c r="D1320" s="6" t="str">
        <x:v>brand-service</x:v>
      </x:c>
      <x:c r="E1320" s="6" t="str">
        <x:v>Retain differentiated role</x:v>
      </x:c>
      <x:c r="F1320" s="6" t="str">
        <x:v>Local source render; live version unverified</x:v>
      </x:c>
      <x:c r="G1320" s="6" t="str">
        <x:v>Volvo Brake Repair Dubai | Digi-Tec</x:v>
      </x:c>
      <x:c r="H1320" s="6" t="str">
        <x:v>Volvo Brake Repair Dubai | Digi-Tec</x:v>
      </x:c>
      <x:c r="I1320" s="6" t="str">
        <x:v>Volvo Brake Repair Dubai</x:v>
      </x:c>
      <x:c r="J1320" s="6" t="str">
        <x:v>Volvo Brake Repair Dubai</x:v>
      </x:c>
      <x:c r="K1320" s="6" t="str">
        <x:v>Volvo brake repair in Dubai with model-specific inspection, confirmed parts options and a clear quote at Digi-Tec, Al Quoz.</x:v>
      </x:c>
      <x:c r="L1320" s="6" t="str">
        <x:v>Retain pending evidence; no specific content edit justified by this export.</x:v>
      </x:c>
      <x:c r="M1320" s="6" t="str">
        <x:v>Retain; inspect relevant context before adding links</x:v>
      </x:c>
      <x:c r="N1320" s="6" t="str">
        <x:v>Unconfirmed — no query/page pairing</x:v>
      </x:c>
      <x:c r="O1320" s="6" t="str">
        <x:v>Retain established booking / WhatsApp / call path; live behaviour untested</x:v>
      </x:c>
      <x:c r="P1320" s="6" t="str">
        <x:v>Retain canonical and indexation policy pending a live check.</x:v>
      </x:c>
      <x:c r="Q1320" s="6" t="str">
        <x:v>Proposed; no website change made</x:v>
      </x:c>
      <x:c r="R1320" s="14" t="n">
        <x:v>0</x:v>
      </x:c>
      <x:c r="S1320" s="14" t="n">
        <x:v>6</x:v>
      </x:c>
      <x:c r="T1320" s="15" t="n">
        <x:v>0</x:v>
      </x:c>
      <x:c r="U1320" s="16" t="n">
        <x:v>8.67</x:v>
      </x:c>
      <x:c r="V1320" s="6" t="str">
        <x:v>https://digitecme.com/brands/volvo-service-dubai/brake-repair</x:v>
      </x:c>
      <x:c r="W1320" s="6" t="str">
        <x:v>Indexable directive</x:v>
      </x:c>
      <x:c r="X1320" s="6" t="n">
        <x:v>16</x:v>
      </x:c>
      <x:c r="Y1320" s="6" t="str">
        <x:v>Volvo Brake Repair Dubai | Digi-Tec</x:v>
      </x:c>
      <x:c r="Z1320" s="6" t="str"/>
      <x:c r="AA1320" s="6" t="str">
        <x:v>No / not compared</x:v>
      </x:c>
    </x:row>
    <x:row r="1321" ht="42" customHeight="1">
      <x:c r="A1321" s="6" t="str">
        <x:v>https://digitecme.com/brands/volvo-service-dubai/electrical-repair</x:v>
      </x:c>
      <x:c r="B1321" s="6" t="str"/>
      <x:c r="C1321" s="6" t="str"/>
      <x:c r="D1321" s="6" t="str">
        <x:v>brand-service</x:v>
      </x:c>
      <x:c r="E1321" s="6" t="str">
        <x:v>Retain differentiated role</x:v>
      </x:c>
      <x:c r="F1321" s="6" t="str">
        <x:v>Local source render; live version unverified</x:v>
      </x:c>
      <x:c r="G1321" s="6" t="str">
        <x:v>Volvo Electrical Repair Dubai | Digi-Tec</x:v>
      </x:c>
      <x:c r="H1321" s="6" t="str">
        <x:v>Volvo Electrical Repair Dubai | Digi-Tec</x:v>
      </x:c>
      <x:c r="I1321" s="6" t="str">
        <x:v>Volvo Electrical Repair Dubai</x:v>
      </x:c>
      <x:c r="J1321" s="6" t="str">
        <x:v>Volvo Electrical Repair Dubai</x:v>
      </x:c>
      <x:c r="K1321" s="6" t="str">
        <x:v>Volvo electrical repair in Dubai with model-specific inspection, confirmed parts options and a clear quote at Digi-Tec, Al Quoz.</x:v>
      </x:c>
      <x:c r="L1321" s="6" t="str">
        <x:v>Retain pending evidence; no specific content edit justified by this export.</x:v>
      </x:c>
      <x:c r="M1321" s="6" t="str">
        <x:v>Retain; inspect relevant context before adding links</x:v>
      </x:c>
      <x:c r="N1321" s="6" t="str">
        <x:v>Unconfirmed — no query/page pairing</x:v>
      </x:c>
      <x:c r="O1321" s="6" t="str">
        <x:v>Retain established booking / WhatsApp / call path; live behaviour untested</x:v>
      </x:c>
      <x:c r="P1321" s="6" t="str">
        <x:v>Retain canonical and indexation policy pending a live check.</x:v>
      </x:c>
      <x:c r="Q1321" s="6" t="str">
        <x:v>Proposed; no website change made</x:v>
      </x:c>
      <x:c r="R1321" s="14" t="n">
        <x:v>1</x:v>
      </x:c>
      <x:c r="S1321" s="14" t="n">
        <x:v>11</x:v>
      </x:c>
      <x:c r="T1321" s="15" t="n">
        <x:v>0.0909</x:v>
      </x:c>
      <x:c r="U1321" s="16" t="n">
        <x:v>38.73</x:v>
      </x:c>
      <x:c r="V1321" s="6" t="str">
        <x:v>https://digitecme.com/brands/volvo-service-dubai/electrical-repair</x:v>
      </x:c>
      <x:c r="W1321" s="6" t="str">
        <x:v>Noindex directive</x:v>
      </x:c>
      <x:c r="X1321" s="6" t="n">
        <x:v>16</x:v>
      </x:c>
      <x:c r="Y1321" s="6" t="str">
        <x:v>Volvo Electrical Repair Dubai | Digi-Tec</x:v>
      </x:c>
      <x:c r="Z1321" s="6" t="str"/>
      <x:c r="AA1321" s="6" t="str">
        <x:v>No / not compared</x:v>
      </x:c>
    </x:row>
    <x:row r="1322" ht="42" customHeight="1">
      <x:c r="A1322" s="6" t="str">
        <x:v>https://digitecme.com/brands/volvo-service-dubai/engine-diagnostics</x:v>
      </x:c>
      <x:c r="B1322" s="6" t="str"/>
      <x:c r="C1322" s="6" t="str"/>
      <x:c r="D1322" s="6" t="str">
        <x:v>brand-service</x:v>
      </x:c>
      <x:c r="E1322" s="6" t="str">
        <x:v>Retain differentiated role</x:v>
      </x:c>
      <x:c r="F1322" s="6" t="str">
        <x:v>Local source render; live version unverified</x:v>
      </x:c>
      <x:c r="G1322" s="6" t="str">
        <x:v>Volvo Engine Diagnostics Dubai | Digi-Tec</x:v>
      </x:c>
      <x:c r="H1322" s="6" t="str">
        <x:v>Volvo Engine Diagnostics Dubai | Digi-Tec</x:v>
      </x:c>
      <x:c r="I1322" s="6" t="str">
        <x:v>Volvo Engine Diagnostics Dubai</x:v>
      </x:c>
      <x:c r="J1322" s="6" t="str">
        <x:v>Volvo Engine Diagnostics Dubai</x:v>
      </x:c>
      <x:c r="K1322" s="6" t="str">
        <x:v>Volvo engine diagnostics in Dubai with model-specific inspection, confirmed parts options and a clear quote at Digi-Tec, Al Quoz.</x:v>
      </x:c>
      <x:c r="L1322" s="6" t="str">
        <x:v>Retain pending evidence; no specific content edit justified by this export.</x:v>
      </x:c>
      <x:c r="M1322" s="6" t="str">
        <x:v>Retain; inspect relevant context before adding links</x:v>
      </x:c>
      <x:c r="N1322" s="6" t="str">
        <x:v>Unconfirmed — no query/page pairing</x:v>
      </x:c>
      <x:c r="O1322" s="6" t="str">
        <x:v>Retain established booking / WhatsApp / call path; live behaviour untested</x:v>
      </x:c>
      <x:c r="P1322" s="6" t="str">
        <x:v>Retain canonical and indexation policy pending a live check.</x:v>
      </x:c>
      <x:c r="Q1322" s="6" t="str">
        <x:v>Proposed; no website change made</x:v>
      </x:c>
      <x:c r="R1322" s="14" t="n">
        <x:v>0</x:v>
      </x:c>
      <x:c r="S1322" s="14" t="n">
        <x:v>6</x:v>
      </x:c>
      <x:c r="T1322" s="15" t="n">
        <x:v>0</x:v>
      </x:c>
      <x:c r="U1322" s="16" t="n">
        <x:v>2.67</x:v>
      </x:c>
      <x:c r="V1322" s="6" t="str">
        <x:v>https://digitecme.com/brands/volvo-service-dubai/engine-diagnostics</x:v>
      </x:c>
      <x:c r="W1322" s="6" t="str">
        <x:v>Indexable directive</x:v>
      </x:c>
      <x:c r="X1322" s="6" t="n">
        <x:v>16</x:v>
      </x:c>
      <x:c r="Y1322" s="6" t="str">
        <x:v>Volvo Engine Diagnostics Dubai | Digi-Tec</x:v>
      </x:c>
      <x:c r="Z1322" s="6" t="str"/>
      <x:c r="AA1322" s="6" t="str">
        <x:v>No / not compared</x:v>
      </x:c>
    </x:row>
    <x:row r="1323" ht="42" customHeight="1">
      <x:c r="A1323" s="6" t="str">
        <x:v>https://digitecme.com/brands/volvo-service-dubai/exhaust-repair</x:v>
      </x:c>
      <x:c r="B1323" s="6" t="str"/>
      <x:c r="C1323" s="6" t="str"/>
      <x:c r="D1323" s="6" t="str">
        <x:v>brand-service</x:v>
      </x:c>
      <x:c r="E1323" s="6" t="str">
        <x:v>Retain differentiated role</x:v>
      </x:c>
      <x:c r="F1323" s="6" t="str">
        <x:v>Local source render; live version unverified</x:v>
      </x:c>
      <x:c r="G1323" s="6" t="str">
        <x:v>Volvo Exhaust Repair Dubai | Digi-Tec</x:v>
      </x:c>
      <x:c r="H1323" s="6" t="str">
        <x:v>Volvo Exhaust Repair Dubai | Digi-Tec</x:v>
      </x:c>
      <x:c r="I1323" s="6" t="str">
        <x:v>Volvo Exhaust Repair Dubai</x:v>
      </x:c>
      <x:c r="J1323" s="6" t="str">
        <x:v>Volvo Exhaust Repair Dubai</x:v>
      </x:c>
      <x:c r="K1323" s="6" t="str">
        <x:v>Volvo exhaust repair in Dubai with model-specific inspection, confirmed parts options and a clear quote at Digi-Tec, Al Quoz.</x:v>
      </x:c>
      <x:c r="L1323" s="6" t="str">
        <x:v>Retain pending evidence; no specific content edit justified by this export.</x:v>
      </x:c>
      <x:c r="M1323" s="6" t="str">
        <x:v>Retain; inspect relevant context before adding links</x:v>
      </x:c>
      <x:c r="N1323" s="6" t="str">
        <x:v>Unconfirmed — no query/page pairing</x:v>
      </x:c>
      <x:c r="O1323" s="6" t="str">
        <x:v>Retain established booking / WhatsApp / call path; live behaviour untested</x:v>
      </x:c>
      <x:c r="P1323" s="6" t="str">
        <x:v>Retain canonical and indexation policy pending a live check.</x:v>
      </x:c>
      <x:c r="Q1323" s="6" t="str">
        <x:v>Proposed; no website change made</x:v>
      </x:c>
      <x:c r="R1323" s="14" t="n">
        <x:v>0</x:v>
      </x:c>
      <x:c r="S1323" s="14" t="n">
        <x:v>1</x:v>
      </x:c>
      <x:c r="T1323" s="15" t="n">
        <x:v>0</x:v>
      </x:c>
      <x:c r="U1323" s="16" t="n">
        <x:v>5</x:v>
      </x:c>
      <x:c r="V1323" s="6" t="str">
        <x:v>https://digitecme.com/brands/volvo-service-dubai/exhaust-repair</x:v>
      </x:c>
      <x:c r="W1323" s="6" t="str">
        <x:v>Noindex directive</x:v>
      </x:c>
      <x:c r="X1323" s="6" t="n">
        <x:v>16</x:v>
      </x:c>
      <x:c r="Y1323" s="6" t="str">
        <x:v>Volvo Exhaust Repair Dubai | Digi-Tec</x:v>
      </x:c>
      <x:c r="Z1323" s="6" t="str"/>
      <x:c r="AA1323" s="6" t="str">
        <x:v>No / not compared</x:v>
      </x:c>
    </x:row>
    <x:row r="1324" ht="42" customHeight="1">
      <x:c r="A1324" s="6" t="str">
        <x:v>https://digitecme.com/brands/volvo-service-dubai/fuel-system-repair</x:v>
      </x:c>
      <x:c r="B1324" s="6" t="str"/>
      <x:c r="C1324" s="6" t="str"/>
      <x:c r="D1324" s="6" t="str">
        <x:v>brand-service</x:v>
      </x:c>
      <x:c r="E1324" s="6" t="str">
        <x:v>Retain differentiated role</x:v>
      </x:c>
      <x:c r="F1324" s="6" t="str">
        <x:v>Local source render; live version unverified</x:v>
      </x:c>
      <x:c r="G1324" s="6" t="str">
        <x:v>Volvo Fuel System Repair Dubai | Digi-Tec</x:v>
      </x:c>
      <x:c r="H1324" s="6" t="str">
        <x:v>Volvo Fuel System Repair Dubai | Digi-Tec</x:v>
      </x:c>
      <x:c r="I1324" s="6" t="str">
        <x:v>Volvo Fuel System Repair Dubai</x:v>
      </x:c>
      <x:c r="J1324" s="6" t="str">
        <x:v>Volvo Fuel System Repair Dubai</x:v>
      </x:c>
      <x:c r="K1324" s="6" t="str">
        <x:v>Volvo fuel system repair in Dubai with model-specific inspection, confirmed parts options and a clear quote at Digi-Tec, Al Quoz.</x:v>
      </x:c>
      <x:c r="L1324" s="6" t="str">
        <x:v>Retain pending evidence; no specific content edit justified by this export.</x:v>
      </x:c>
      <x:c r="M1324" s="6" t="str">
        <x:v>Retain; inspect relevant context before adding links</x:v>
      </x:c>
      <x:c r="N1324" s="6" t="str">
        <x:v>Unconfirmed — no query/page pairing</x:v>
      </x:c>
      <x:c r="O1324" s="6" t="str">
        <x:v>Retain established booking / WhatsApp / call path; live behaviour untested</x:v>
      </x:c>
      <x:c r="P1324" s="6" t="str">
        <x:v>Retain canonical and indexation policy pending a live check.</x:v>
      </x:c>
      <x:c r="Q1324" s="6" t="str">
        <x:v>Proposed; no website change made</x:v>
      </x:c>
      <x:c r="R1324" s="14" t="n">
        <x:v>0</x:v>
      </x:c>
      <x:c r="S1324" s="14" t="n">
        <x:v>2</x:v>
      </x:c>
      <x:c r="T1324" s="15" t="n">
        <x:v>0</x:v>
      </x:c>
      <x:c r="U1324" s="16" t="n">
        <x:v>5.5</x:v>
      </x:c>
      <x:c r="V1324" s="6" t="str">
        <x:v>https://digitecme.com/brands/volvo-service-dubai/fuel-system-repair</x:v>
      </x:c>
      <x:c r="W1324" s="6" t="str">
        <x:v>Noindex directive</x:v>
      </x:c>
      <x:c r="X1324" s="6" t="n">
        <x:v>16</x:v>
      </x:c>
      <x:c r="Y1324" s="6" t="str">
        <x:v>Volvo Fuel System Repair Dubai | Digi-Tec</x:v>
      </x:c>
      <x:c r="Z1324" s="6" t="str"/>
      <x:c r="AA1324" s="6" t="str">
        <x:v>No / not compared</x:v>
      </x:c>
    </x:row>
    <x:row r="1325" ht="42" customHeight="1">
      <x:c r="A1325" s="6" t="str">
        <x:v>https://digitecme.com/brands/volvo-service-dubai/mechanical-repair</x:v>
      </x:c>
      <x:c r="B1325" s="6" t="str"/>
      <x:c r="C1325" s="6" t="str"/>
      <x:c r="D1325" s="6" t="str">
        <x:v>brand-service</x:v>
      </x:c>
      <x:c r="E1325" s="6" t="str">
        <x:v>Retain differentiated role</x:v>
      </x:c>
      <x:c r="F1325" s="6" t="str">
        <x:v>Local source render; live version unverified</x:v>
      </x:c>
      <x:c r="G1325" s="6" t="str">
        <x:v>Volvo Mechanical Repair Dubai | Digi-Tec</x:v>
      </x:c>
      <x:c r="H1325" s="6" t="str">
        <x:v>Volvo Mechanical Repair Dubai | Digi-Tec</x:v>
      </x:c>
      <x:c r="I1325" s="6" t="str">
        <x:v>Volvo Mechanical Repair Dubai</x:v>
      </x:c>
      <x:c r="J1325" s="6" t="str">
        <x:v>Volvo Mechanical Repair Dubai</x:v>
      </x:c>
      <x:c r="K1325" s="6" t="str">
        <x:v>Volvo mechanical repair in Dubai with model-specific inspection, confirmed parts options and a clear quote at Digi-Tec, Al Quoz.</x:v>
      </x:c>
      <x:c r="L1325" s="6" t="str">
        <x:v>Retain pending evidence; no specific content edit justified by this export.</x:v>
      </x:c>
      <x:c r="M1325" s="6" t="str">
        <x:v>Retain; inspect relevant context before adding links</x:v>
      </x:c>
      <x:c r="N1325" s="6" t="str">
        <x:v>Unconfirmed — no query/page pairing</x:v>
      </x:c>
      <x:c r="O1325" s="6" t="str">
        <x:v>Retain established booking / WhatsApp / call path; live behaviour untested</x:v>
      </x:c>
      <x:c r="P1325" s="6" t="str">
        <x:v>Retain canonical and indexation policy pending a live check.</x:v>
      </x:c>
      <x:c r="Q1325" s="6" t="str">
        <x:v>Proposed; no website change made</x:v>
      </x:c>
      <x:c r="R1325" s="14" t="n">
        <x:v>0</x:v>
      </x:c>
      <x:c r="S1325" s="14" t="n">
        <x:v>57</x:v>
      </x:c>
      <x:c r="T1325" s="15" t="n">
        <x:v>0</x:v>
      </x:c>
      <x:c r="U1325" s="16" t="n">
        <x:v>69.81</x:v>
      </x:c>
      <x:c r="V1325" s="6" t="str">
        <x:v>https://digitecme.com/brands/volvo-service-dubai/mechanical-repair</x:v>
      </x:c>
      <x:c r="W1325" s="6" t="str">
        <x:v>Noindex directive</x:v>
      </x:c>
      <x:c r="X1325" s="6" t="n">
        <x:v>16</x:v>
      </x:c>
      <x:c r="Y1325" s="6" t="str">
        <x:v>Volvo Mechanical Repair Dubai | Digi-Tec</x:v>
      </x:c>
      <x:c r="Z1325" s="6" t="str"/>
      <x:c r="AA1325" s="6" t="str">
        <x:v>No / not compared</x:v>
      </x:c>
    </x:row>
    <x:row r="1326" ht="42" customHeight="1">
      <x:c r="A1326" s="6" t="str">
        <x:v>https://digitecme.com/brands/volvo-service-dubai/oil-change</x:v>
      </x:c>
      <x:c r="B1326" s="6" t="str">
        <x:v>volvo oil change in dubai</x:v>
      </x:c>
      <x:c r="C1326" s="6" t="str">
        <x:v>volvo: Oil change</x:v>
      </x:c>
      <x:c r="D1326" s="6" t="str">
        <x:v>brand-service</x:v>
      </x:c>
      <x:c r="E1326" s="6" t="str">
        <x:v>Primary owner for assigned intent</x:v>
      </x:c>
      <x:c r="F1326" s="6" t="str">
        <x:v>Local source render; live version unverified</x:v>
      </x:c>
      <x:c r="G1326" s="6" t="str">
        <x:v>Volvo Oil Change Dubai | Digi-Tec</x:v>
      </x:c>
      <x:c r="H1326" s="6" t="str">
        <x:v>Volvo Oil Change Dubai | Digi-Tec</x:v>
      </x:c>
      <x:c r="I1326" s="6" t="str">
        <x:v>Volvo Oil Change Dubai</x:v>
      </x:c>
      <x:c r="J1326" s="6" t="str">
        <x:v>Volvo Oil Change Dubai</x:v>
      </x:c>
      <x:c r="K1326" s="6" t="str">
        <x:v>Volvo oil change in Dubai with model-specific inspection, confirmed parts options and a clear quote at Digi-Tec, Al Quoz.</x:v>
      </x:c>
      <x:c r="L1326" s="6" t="str">
        <x:v>Retain pending evidence; no specific content edit justified by this export.</x:v>
      </x:c>
      <x:c r="M1326" s="6" t="str">
        <x:v>Retain; inspect relevant context before adding links</x:v>
      </x:c>
      <x:c r="N1326" s="6" t="str">
        <x:v>Unconfirmed — no query/page pairing</x:v>
      </x:c>
      <x:c r="O1326" s="6" t="str">
        <x:v>Retain established booking / WhatsApp / call path; live behaviour untested</x:v>
      </x:c>
      <x:c r="P1326" s="6" t="str">
        <x:v>Retain canonical and indexation policy pending a live check.</x:v>
      </x:c>
      <x:c r="Q1326" s="6" t="str">
        <x:v>Proposed; no website change made</x:v>
      </x:c>
      <x:c r="R1326" s="14" t="n">
        <x:v>0</x:v>
      </x:c>
      <x:c r="S1326" s="14" t="n">
        <x:v>33</x:v>
      </x:c>
      <x:c r="T1326" s="15" t="n">
        <x:v>0</x:v>
      </x:c>
      <x:c r="U1326" s="16" t="n">
        <x:v>11.3</x:v>
      </x:c>
      <x:c r="V1326" s="6" t="str">
        <x:v>https://digitecme.com/brands/volvo-service-dubai/oil-change</x:v>
      </x:c>
      <x:c r="W1326" s="6" t="str">
        <x:v>Indexable directive</x:v>
      </x:c>
      <x:c r="X1326" s="6" t="n">
        <x:v>16</x:v>
      </x:c>
      <x:c r="Y1326" s="6" t="str">
        <x:v>Volvo Oil Change Dubai | Digi-Tec</x:v>
      </x:c>
      <x:c r="Z1326" s="6" t="str"/>
      <x:c r="AA1326" s="6" t="str">
        <x:v>No / not compared</x:v>
      </x:c>
    </x:row>
    <x:row r="1327" ht="42" customHeight="1">
      <x:c r="A1327" s="6" t="str">
        <x:v>https://digitecme.com/brands/volvo-service-dubai/steering-repair</x:v>
      </x:c>
      <x:c r="B1327" s="6" t="str"/>
      <x:c r="C1327" s="6" t="str"/>
      <x:c r="D1327" s="6" t="str">
        <x:v>brand-service</x:v>
      </x:c>
      <x:c r="E1327" s="6" t="str">
        <x:v>Retain differentiated role</x:v>
      </x:c>
      <x:c r="F1327" s="6" t="str">
        <x:v>Local source render; live version unverified</x:v>
      </x:c>
      <x:c r="G1327" s="6" t="str">
        <x:v>Volvo Steering Repair Dubai | Digi-Tec</x:v>
      </x:c>
      <x:c r="H1327" s="6" t="str">
        <x:v>Volvo Steering Repair Dubai | Digi-Tec</x:v>
      </x:c>
      <x:c r="I1327" s="6" t="str">
        <x:v>Volvo Steering Repair Dubai</x:v>
      </x:c>
      <x:c r="J1327" s="6" t="str">
        <x:v>Volvo Steering Repair Dubai</x:v>
      </x:c>
      <x:c r="K1327" s="6" t="str">
        <x:v>Volvo steering repair in Dubai with model-specific inspection, confirmed parts options and a clear quote at Digi-Tec, Al Quoz.</x:v>
      </x:c>
      <x:c r="L1327" s="6" t="str">
        <x:v>Retain pending evidence; no specific content edit justified by this export.</x:v>
      </x:c>
      <x:c r="M1327" s="6" t="str">
        <x:v>Retain; inspect relevant context before adding links</x:v>
      </x:c>
      <x:c r="N1327" s="6" t="str">
        <x:v>Unconfirmed — no query/page pairing</x:v>
      </x:c>
      <x:c r="O1327" s="6" t="str">
        <x:v>Retain established booking / WhatsApp / call path; live behaviour untested</x:v>
      </x:c>
      <x:c r="P1327" s="6" t="str">
        <x:v>Retain canonical and indexation policy pending a live check.</x:v>
      </x:c>
      <x:c r="Q1327" s="6" t="str">
        <x:v>Proposed; no website change made</x:v>
      </x:c>
      <x:c r="R1327" s="14" t="n">
        <x:v>0</x:v>
      </x:c>
      <x:c r="S1327" s="14" t="n">
        <x:v>3</x:v>
      </x:c>
      <x:c r="T1327" s="15" t="n">
        <x:v>0</x:v>
      </x:c>
      <x:c r="U1327" s="16" t="n">
        <x:v>5.67</x:v>
      </x:c>
      <x:c r="V1327" s="6" t="str">
        <x:v>https://digitecme.com/brands/volvo-service-dubai/steering-repair</x:v>
      </x:c>
      <x:c r="W1327" s="6" t="str">
        <x:v>Noindex directive</x:v>
      </x:c>
      <x:c r="X1327" s="6" t="n">
        <x:v>16</x:v>
      </x:c>
      <x:c r="Y1327" s="6" t="str">
        <x:v>Volvo Steering Repair Dubai | Digi-Tec</x:v>
      </x:c>
      <x:c r="Z1327" s="6" t="str"/>
      <x:c r="AA1327" s="6" t="str">
        <x:v>No / not compared</x:v>
      </x:c>
    </x:row>
    <x:row r="1328" ht="42" customHeight="1">
      <x:c r="A1328" s="6" t="str">
        <x:v>https://digitecme.com/brands/volvo-service-dubai/suspension-repair</x:v>
      </x:c>
      <x:c r="B1328" s="6" t="str"/>
      <x:c r="C1328" s="6" t="str"/>
      <x:c r="D1328" s="6" t="str">
        <x:v>brand-service</x:v>
      </x:c>
      <x:c r="E1328" s="6" t="str">
        <x:v>Retain differentiated role</x:v>
      </x:c>
      <x:c r="F1328" s="6" t="str">
        <x:v>Local source render; live version unverified</x:v>
      </x:c>
      <x:c r="G1328" s="6" t="str">
        <x:v>Volvo Suspension Repair Dubai | Digi-Tec</x:v>
      </x:c>
      <x:c r="H1328" s="6" t="str">
        <x:v>Volvo Suspension Repair Dubai | Digi-Tec</x:v>
      </x:c>
      <x:c r="I1328" s="6" t="str">
        <x:v>Volvo Suspension Repair Dubai</x:v>
      </x:c>
      <x:c r="J1328" s="6" t="str">
        <x:v>Volvo Suspension Repair Dubai</x:v>
      </x:c>
      <x:c r="K1328" s="6" t="str">
        <x:v>Volvo suspension repair in Dubai with model-specific inspection, confirmed parts options and a clear quote at Digi-Tec, Al Quoz.</x:v>
      </x:c>
      <x:c r="L1328" s="6" t="str">
        <x:v>Retain pending evidence; no specific content edit justified by this export.</x:v>
      </x:c>
      <x:c r="M1328" s="6" t="str">
        <x:v>Retain; inspect relevant context before adding links</x:v>
      </x:c>
      <x:c r="N1328" s="6" t="str">
        <x:v>Unconfirmed — no query/page pairing</x:v>
      </x:c>
      <x:c r="O1328" s="6" t="str">
        <x:v>Retain established booking / WhatsApp / call path; live behaviour untested</x:v>
      </x:c>
      <x:c r="P1328" s="6" t="str">
        <x:v>Retain canonical and indexation policy pending a live check.</x:v>
      </x:c>
      <x:c r="Q1328" s="6" t="str">
        <x:v>Proposed; no website change made</x:v>
      </x:c>
      <x:c r="R1328" s="14" t="n">
        <x:v>0</x:v>
      </x:c>
      <x:c r="S1328" s="14" t="n">
        <x:v>2</x:v>
      </x:c>
      <x:c r="T1328" s="15" t="n">
        <x:v>0</x:v>
      </x:c>
      <x:c r="U1328" s="16" t="n">
        <x:v>18.5</x:v>
      </x:c>
      <x:c r="V1328" s="6" t="str">
        <x:v>https://digitecme.com/brands/volvo-service-dubai/suspension-repair</x:v>
      </x:c>
      <x:c r="W1328" s="6" t="str">
        <x:v>Noindex directive</x:v>
      </x:c>
      <x:c r="X1328" s="6" t="n">
        <x:v>16</x:v>
      </x:c>
      <x:c r="Y1328" s="6" t="str">
        <x:v>Volvo Suspension Repair Dubai | Digi-Tec</x:v>
      </x:c>
      <x:c r="Z1328" s="6" t="str"/>
      <x:c r="AA1328" s="6" t="str">
        <x:v>No / not compared</x:v>
      </x:c>
    </x:row>
    <x:row r="1329" ht="42" customHeight="1">
      <x:c r="A1329" s="6" t="str">
        <x:v>https://digitecme.com/brands/volvo-service-dubai/tire-repair</x:v>
      </x:c>
      <x:c r="B1329" s="6" t="str"/>
      <x:c r="C1329" s="6" t="str"/>
      <x:c r="D1329" s="6" t="str">
        <x:v>brand-service</x:v>
      </x:c>
      <x:c r="E1329" s="6" t="str">
        <x:v>Retain differentiated role</x:v>
      </x:c>
      <x:c r="F1329" s="6" t="str">
        <x:v>Local source render; live version unverified</x:v>
      </x:c>
      <x:c r="G1329" s="6" t="str">
        <x:v>Volvo Tyre Repair Dubai | Digi-Tec</x:v>
      </x:c>
      <x:c r="H1329" s="6" t="str">
        <x:v>Volvo Tyre Repair Dubai | Digi-Tec</x:v>
      </x:c>
      <x:c r="I1329" s="6" t="str">
        <x:v>Volvo Tyre Repair Dubai</x:v>
      </x:c>
      <x:c r="J1329" s="6" t="str">
        <x:v>Volvo Tyre Repair Dubai</x:v>
      </x:c>
      <x:c r="K1329" s="6" t="str">
        <x:v>Volvo tyre repair in Dubai with model-specific inspection, confirmed parts options and a clear quote at Digi-Tec, Al Quoz.</x:v>
      </x:c>
      <x:c r="L1329" s="6" t="str">
        <x:v>Retain pending evidence; no specific content edit justified by this export.</x:v>
      </x:c>
      <x:c r="M1329" s="6" t="str">
        <x:v>Retain; inspect relevant context before adding links</x:v>
      </x:c>
      <x:c r="N1329" s="6" t="str">
        <x:v>Unconfirmed — no query/page pairing</x:v>
      </x:c>
      <x:c r="O1329" s="6" t="str">
        <x:v>Retain established booking / WhatsApp / call path; live behaviour untested</x:v>
      </x:c>
      <x:c r="P1329" s="6" t="str">
        <x:v>Retain canonical and indexation policy pending a live check.</x:v>
      </x:c>
      <x:c r="Q1329" s="6" t="str">
        <x:v>Proposed; no website change made</x:v>
      </x:c>
      <x:c r="R1329" s="14" t="n">
        <x:v>0</x:v>
      </x:c>
      <x:c r="S1329" s="14" t="n">
        <x:v>3</x:v>
      </x:c>
      <x:c r="T1329" s="15" t="n">
        <x:v>0</x:v>
      </x:c>
      <x:c r="U1329" s="16" t="n">
        <x:v>10.67</x:v>
      </x:c>
      <x:c r="V1329" s="6" t="str">
        <x:v>https://digitecme.com/brands/volvo-service-dubai/tire-repair</x:v>
      </x:c>
      <x:c r="W1329" s="6" t="str">
        <x:v>Noindex directive</x:v>
      </x:c>
      <x:c r="X1329" s="6" t="n">
        <x:v>16</x:v>
      </x:c>
      <x:c r="Y1329" s="6" t="str">
        <x:v>Volvo Tyre Repair Dubai | Digi-Tec</x:v>
      </x:c>
      <x:c r="Z1329" s="6" t="str"/>
      <x:c r="AA1329" s="6" t="str">
        <x:v>No / not compared</x:v>
      </x:c>
    </x:row>
    <x:row r="1330" ht="42" customHeight="1">
      <x:c r="A1330" s="6" t="str">
        <x:v>https://digitecme.com/brands/volvo-service-dubai/transmission-repair</x:v>
      </x:c>
      <x:c r="B1330" s="6" t="str"/>
      <x:c r="C1330" s="6" t="str"/>
      <x:c r="D1330" s="6" t="str">
        <x:v>brand-service</x:v>
      </x:c>
      <x:c r="E1330" s="6" t="str">
        <x:v>Retain differentiated role</x:v>
      </x:c>
      <x:c r="F1330" s="6" t="str">
        <x:v>Local source render; live version unverified</x:v>
      </x:c>
      <x:c r="G1330" s="6" t="str">
        <x:v>Volvo Transmission Repair Dubai | Digi-Tec</x:v>
      </x:c>
      <x:c r="H1330" s="6" t="str">
        <x:v>Volvo Transmission Repair Dubai | Digi-Tec</x:v>
      </x:c>
      <x:c r="I1330" s="6" t="str">
        <x:v>Volvo Transmission Repair Dubai</x:v>
      </x:c>
      <x:c r="J1330" s="6" t="str">
        <x:v>Volvo Transmission Repair Dubai</x:v>
      </x:c>
      <x:c r="K1330" s="6" t="str">
        <x:v>Volvo transmission repair in Dubai with model-specific inspection, confirmed parts options and a clear quote at Digi-Tec, Al Quoz.</x:v>
      </x:c>
      <x:c r="L1330" s="6" t="str">
        <x:v>Retain pending evidence; no specific content edit justified by this export.</x:v>
      </x:c>
      <x:c r="M1330" s="6" t="str">
        <x:v>Retain; inspect relevant context before adding links</x:v>
      </x:c>
      <x:c r="N1330" s="6" t="str">
        <x:v>Unconfirmed — no query/page pairing</x:v>
      </x:c>
      <x:c r="O1330" s="6" t="str">
        <x:v>Retain established booking / WhatsApp / call path; live behaviour untested</x:v>
      </x:c>
      <x:c r="P1330" s="6" t="str">
        <x:v>Retain canonical and indexation policy pending a live check.</x:v>
      </x:c>
      <x:c r="Q1330" s="6" t="str">
        <x:v>Proposed; no website change made</x:v>
      </x:c>
      <x:c r="R1330" s="14" t="n">
        <x:v>0</x:v>
      </x:c>
      <x:c r="S1330" s="14" t="n">
        <x:v>3</x:v>
      </x:c>
      <x:c r="T1330" s="15" t="n">
        <x:v>0</x:v>
      </x:c>
      <x:c r="U1330" s="16" t="n">
        <x:v>7</x:v>
      </x:c>
      <x:c r="V1330" s="6" t="str">
        <x:v>https://digitecme.com/brands/volvo-service-dubai/transmission-repair</x:v>
      </x:c>
      <x:c r="W1330" s="6" t="str">
        <x:v>Noindex directive</x:v>
      </x:c>
      <x:c r="X1330" s="6" t="n">
        <x:v>16</x:v>
      </x:c>
      <x:c r="Y1330" s="6" t="str">
        <x:v>Volvo Transmission Repair Dubai | Digi-Tec</x:v>
      </x:c>
      <x:c r="Z1330" s="6" t="str"/>
      <x:c r="AA1330" s="6" t="str">
        <x:v>No / not compared</x:v>
      </x:c>
    </x:row>
    <x:row r="1331" ht="42" customHeight="1">
      <x:c r="A1331" s="6" t="str">
        <x:v>https://digitecme.com/contact-us/</x:v>
      </x:c>
      <x:c r="B1331" s="6" t="str"/>
      <x:c r="C1331" s="6" t="str"/>
      <x:c r="D1331" s="6" t="str">
        <x:v>Historical URL</x:v>
      </x:c>
      <x:c r="E1331" s="6" t="str">
        <x:v>Verify historical URL</x:v>
      </x:c>
      <x:c r="F1331" s="6" t="str">
        <x:v>Historical GSC URL; current page unverified</x:v>
      </x:c>
      <x:c r="G1331" s="6" t="str">
        <x:v>Not verified</x:v>
      </x:c>
      <x:c r="H1331" s="6" t="str">
        <x:v>Not verified</x:v>
      </x:c>
      <x:c r="I1331" s="6" t="str">
        <x:v>Not verified</x:v>
      </x:c>
      <x:c r="J1331" s="6" t="str">
        <x:v>Not verified</x:v>
      </x:c>
      <x:c r="K1331" s="6" t="str">
        <x:v>Not verified</x:v>
      </x:c>
      <x:c r="L1331" s="6" t="str">
        <x:v>Verify current HTTP response, canonical destination and URL history before changing or consolidating.</x:v>
      </x:c>
      <x:c r="M1331" s="6" t="str">
        <x:v>Retain; inspect relevant context before adding links</x:v>
      </x:c>
      <x:c r="N1331" s="6" t="str">
        <x:v>Unconfirmed — no query/page pairing</x:v>
      </x:c>
      <x:c r="O1331" s="6" t="str">
        <x:v>Retain established booking / WhatsApp / call path; live behaviour untested</x:v>
      </x:c>
      <x:c r="P1331" s="6" t="str">
        <x:v>Inspect live routing and canonical; do not infer a redirect from the URL shape.</x:v>
      </x:c>
      <x:c r="Q1331" s="6" t="str">
        <x:v>Proposed; no website change made</x:v>
      </x:c>
      <x:c r="R1331" s="14" t="n">
        <x:v>0</x:v>
      </x:c>
      <x:c r="S1331" s="14" t="n">
        <x:v>50</x:v>
      </x:c>
      <x:c r="T1331" s="15" t="n">
        <x:v>0</x:v>
      </x:c>
      <x:c r="U1331" s="16" t="n">
        <x:v>6.06</x:v>
      </x:c>
      <x:c r="V1331" s="6" t="str">
        <x:v>Not verified</x:v>
      </x:c>
      <x:c r="W1331" s="6" t="str">
        <x:v>Not verified</x:v>
      </x:c>
      <x:c r="X1331" s="6"/>
      <x:c r="Y1331" s="6" t="str"/>
      <x:c r="Z1331" s="6" t="str"/>
      <x:c r="AA1331" s="6" t="str">
        <x:v>No / not compared</x:v>
      </x:c>
    </x:row>
    <x:row r="1332" ht="42" customHeight="1">
      <x:c r="A1332" s="6" t="str">
        <x:v>https://digitecme.com/faq</x:v>
      </x:c>
      <x:c r="B1332" s="6" t="str"/>
      <x:c r="C1332" s="6" t="str"/>
      <x:c r="D1332" s="6" t="str">
        <x:v>faq</x:v>
      </x:c>
      <x:c r="E1332" s="6" t="str">
        <x:v>Retain differentiated role</x:v>
      </x:c>
      <x:c r="F1332" s="6" t="str">
        <x:v>Local source render; live version unverified</x:v>
      </x:c>
      <x:c r="G1332" s="6" t="str">
        <x:v>FAQ | DIGI-TEC Performance Center Dubai</x:v>
      </x:c>
      <x:c r="H1332" s="6" t="str">
        <x:v>FAQ | DIGI-TEC Performance Center Dubai</x:v>
      </x:c>
      <x:c r="I1332" s="6" t="str">
        <x:v>Frequently Asked Questions</x:v>
      </x:c>
      <x:c r="J1332" s="6" t="str">
        <x:v>Frequently Asked Questions</x:v>
      </x:c>
      <x:c r="K1332" s="6" t="str">
        <x:v>Find answers to common questions about luxury car servicing, ECU tuning, and performance upgrades at DIGI-TEC Performance Center Dubai.</x:v>
      </x:c>
      <x:c r="L1332" s="6" t="str">
        <x:v>Retain pending evidence; no specific content edit justified by this export.</x:v>
      </x:c>
      <x:c r="M1332" s="6" t="str">
        <x:v>Retain; inspect relevant context before adding links</x:v>
      </x:c>
      <x:c r="N1332" s="6" t="str">
        <x:v>Unconfirmed — no query/page pairing</x:v>
      </x:c>
      <x:c r="O1332" s="6" t="str">
        <x:v>Retain established booking / WhatsApp / call path; live behaviour untested</x:v>
      </x:c>
      <x:c r="P1332" s="6" t="str">
        <x:v>Retain canonical and indexation policy pending a live check.</x:v>
      </x:c>
      <x:c r="Q1332" s="6" t="str">
        <x:v>Proposed; no website change made</x:v>
      </x:c>
      <x:c r="R1332" s="14" t="n">
        <x:v>0</x:v>
      </x:c>
      <x:c r="S1332" s="14" t="n">
        <x:v>22</x:v>
      </x:c>
      <x:c r="T1332" s="15" t="n">
        <x:v>0</x:v>
      </x:c>
      <x:c r="U1332" s="16" t="n">
        <x:v>5.95</x:v>
      </x:c>
      <x:c r="V1332" s="6" t="str">
        <x:v>https://digitecme.com/faq</x:v>
      </x:c>
      <x:c r="W1332" s="6" t="str">
        <x:v>Indexable directive</x:v>
      </x:c>
      <x:c r="X1332" s="6" t="n">
        <x:v>771</x:v>
      </x:c>
      <x:c r="Y1332" s="6" t="str">
        <x:v>FAQ | DIGI-TEC Performance Center Dubai</x:v>
      </x:c>
      <x:c r="Z1332" s="6" t="str"/>
      <x:c r="AA1332" s="6" t="str">
        <x:v>No / not compared</x:v>
      </x:c>
    </x:row>
    <x:row r="1333" ht="42" customHeight="1">
      <x:c r="A1333" s="6" t="str">
        <x:v>https://digitecme.com/faqs/</x:v>
      </x:c>
      <x:c r="B1333" s="6" t="str"/>
      <x:c r="C1333" s="6" t="str"/>
      <x:c r="D1333" s="6" t="str">
        <x:v>Historical URL</x:v>
      </x:c>
      <x:c r="E1333" s="6" t="str">
        <x:v>Verify historical URL</x:v>
      </x:c>
      <x:c r="F1333" s="6" t="str">
        <x:v>Historical GSC URL; current page unverified</x:v>
      </x:c>
      <x:c r="G1333" s="6" t="str">
        <x:v>Not verified</x:v>
      </x:c>
      <x:c r="H1333" s="6" t="str">
        <x:v>Not verified</x:v>
      </x:c>
      <x:c r="I1333" s="6" t="str">
        <x:v>Not verified</x:v>
      </x:c>
      <x:c r="J1333" s="6" t="str">
        <x:v>Not verified</x:v>
      </x:c>
      <x:c r="K1333" s="6" t="str">
        <x:v>Not verified</x:v>
      </x:c>
      <x:c r="L1333" s="6" t="str">
        <x:v>Verify current HTTP response, canonical destination and URL history before changing or consolidating.</x:v>
      </x:c>
      <x:c r="M1333" s="6" t="str">
        <x:v>Retain; inspect relevant context before adding links</x:v>
      </x:c>
      <x:c r="N1333" s="6" t="str">
        <x:v>Unconfirmed — no query/page pairing</x:v>
      </x:c>
      <x:c r="O1333" s="6" t="str">
        <x:v>Retain established booking / WhatsApp / call path; live behaviour untested</x:v>
      </x:c>
      <x:c r="P1333" s="6" t="str">
        <x:v>Inspect live routing and canonical; do not infer a redirect from the URL shape.</x:v>
      </x:c>
      <x:c r="Q1333" s="6" t="str">
        <x:v>Proposed; no website change made</x:v>
      </x:c>
      <x:c r="R1333" s="14" t="n">
        <x:v>0</x:v>
      </x:c>
      <x:c r="S1333" s="14" t="n">
        <x:v>7</x:v>
      </x:c>
      <x:c r="T1333" s="15" t="n">
        <x:v>0</x:v>
      </x:c>
      <x:c r="U1333" s="16" t="n">
        <x:v>8.14</x:v>
      </x:c>
      <x:c r="V1333" s="6" t="str">
        <x:v>Not verified</x:v>
      </x:c>
      <x:c r="W1333" s="6" t="str">
        <x:v>Not verified</x:v>
      </x:c>
      <x:c r="X1333" s="6"/>
      <x:c r="Y1333" s="6" t="str"/>
      <x:c r="Z1333" s="6" t="str"/>
      <x:c r="AA1333" s="6" t="str">
        <x:v>No / not compared</x:v>
      </x:c>
    </x:row>
    <x:row r="1334" ht="42" customHeight="1">
      <x:c r="A1334" s="6" t="str">
        <x:v>https://digitecme.com/mechanical-repair/</x:v>
      </x:c>
      <x:c r="B1334" s="6" t="str"/>
      <x:c r="C1334" s="6" t="str"/>
      <x:c r="D1334" s="6" t="str">
        <x:v>Historical URL</x:v>
      </x:c>
      <x:c r="E1334" s="6" t="str">
        <x:v>Verify historical URL</x:v>
      </x:c>
      <x:c r="F1334" s="6" t="str">
        <x:v>Historical GSC URL; current page unverified</x:v>
      </x:c>
      <x:c r="G1334" s="6" t="str">
        <x:v>Not verified</x:v>
      </x:c>
      <x:c r="H1334" s="6" t="str">
        <x:v>Not verified</x:v>
      </x:c>
      <x:c r="I1334" s="6" t="str">
        <x:v>Not verified</x:v>
      </x:c>
      <x:c r="J1334" s="6" t="str">
        <x:v>Not verified</x:v>
      </x:c>
      <x:c r="K1334" s="6" t="str">
        <x:v>Not verified</x:v>
      </x:c>
      <x:c r="L1334" s="6" t="str">
        <x:v>Verify current HTTP response, canonical destination and URL history before changing or consolidating.</x:v>
      </x:c>
      <x:c r="M1334" s="6" t="str">
        <x:v>Retain; inspect relevant context before adding links</x:v>
      </x:c>
      <x:c r="N1334" s="6" t="str">
        <x:v>Unconfirmed — no query/page pairing</x:v>
      </x:c>
      <x:c r="O1334" s="6" t="str">
        <x:v>Retain established booking / WhatsApp / call path; live behaviour untested</x:v>
      </x:c>
      <x:c r="P1334" s="6" t="str">
        <x:v>Inspect live routing and canonical; do not infer a redirect from the URL shape.</x:v>
      </x:c>
      <x:c r="Q1334" s="6" t="str">
        <x:v>Proposed; no website change made</x:v>
      </x:c>
      <x:c r="R1334" s="14" t="n">
        <x:v>0</x:v>
      </x:c>
      <x:c r="S1334" s="14" t="n">
        <x:v>39</x:v>
      </x:c>
      <x:c r="T1334" s="15" t="n">
        <x:v>0</x:v>
      </x:c>
      <x:c r="U1334" s="16" t="n">
        <x:v>44.03</x:v>
      </x:c>
      <x:c r="V1334" s="6" t="str">
        <x:v>Not verified</x:v>
      </x:c>
      <x:c r="W1334" s="6" t="str">
        <x:v>Not verified</x:v>
      </x:c>
      <x:c r="X1334" s="6"/>
      <x:c r="Y1334" s="6" t="str"/>
      <x:c r="Z1334" s="6" t="str"/>
      <x:c r="AA1334" s="6" t="str">
        <x:v>No / not compared</x:v>
      </x:c>
    </x:row>
    <x:row r="1335" ht="42" customHeight="1">
      <x:c r="A1335" s="6" t="str">
        <x:v>https://digitecme.com/mercedes/models/c63-service-repair-dubai</x:v>
      </x:c>
      <x:c r="B1335" s="6" t="str"/>
      <x:c r="C1335" s="6" t="str"/>
      <x:c r="D1335" s="6" t="str">
        <x:v>service</x:v>
      </x:c>
      <x:c r="E1335" s="6" t="str">
        <x:v>Retain differentiated role</x:v>
      </x:c>
      <x:c r="F1335" s="6" t="str">
        <x:v>Local source render; live version unverified</x:v>
      </x:c>
      <x:c r="G1335" s="6" t="str">
        <x:v>Mercedes-AMG C63 Service &amp; Repair Dubai | Digi-Tec</x:v>
      </x:c>
      <x:c r="H1335" s="6" t="str">
        <x:v>Mercedes-AMG C63 Service &amp; Repair Dubai | Digi-Tec</x:v>
      </x:c>
      <x:c r="I1335" s="6" t="str">
        <x:v>Mercedes-AMG C63 Service &amp; Repair Dubai</x:v>
      </x:c>
      <x:c r="J1335" s="6" t="str">
        <x:v>Mercedes-AMG C63 Service &amp; Repair Dubai</x:v>
      </x:c>
      <x:c r="K1335" s="6" t="str">
        <x:v>Mercedes-AMG C63 service in Dubai for W204, W205 and W206: M156, M177 and M139 hybrid powertrains, AMG transmissions, brakes and cooling.</x:v>
      </x:c>
      <x:c r="L1335" s="6" t="str">
        <x:v>Retain pending evidence; no specific content edit justified by this export.</x:v>
      </x:c>
      <x:c r="M1335" s="6" t="str">
        <x:v>Retain; inspect relevant context before adding links</x:v>
      </x:c>
      <x:c r="N1335" s="6" t="str">
        <x:v>Unconfirmed — no query/page pairing</x:v>
      </x:c>
      <x:c r="O1335" s="6" t="str">
        <x:v>Retain established booking / WhatsApp / call path; live behaviour untested</x:v>
      </x:c>
      <x:c r="P1335" s="6" t="str">
        <x:v>Retain canonical and indexation policy pending a live check.</x:v>
      </x:c>
      <x:c r="Q1335" s="6" t="str">
        <x:v>Proposed; no website change made</x:v>
      </x:c>
      <x:c r="R1335" s="14"/>
      <x:c r="S1335" s="14"/>
      <x:c r="T1335" s="15"/>
      <x:c r="U1335" s="16"/>
      <x:c r="V1335" s="6" t="str">
        <x:v>https://digitecme.com/mercedes/models/c63-service-repair-dubai</x:v>
      </x:c>
      <x:c r="W1335" s="6" t="str">
        <x:v>Indexable directive</x:v>
      </x:c>
      <x:c r="X1335" s="6" t="n">
        <x:v>9</x:v>
      </x:c>
      <x:c r="Y1335" s="6" t="str">
        <x:v>Mercedes-AMG C63 Service &amp; Repair Dubai | Digi-Tec</x:v>
      </x:c>
      <x:c r="Z1335" s="6" t="str"/>
      <x:c r="AA1335" s="6" t="str">
        <x:v>No / not compared</x:v>
      </x:c>
    </x:row>
    <x:row r="1336" ht="42" customHeight="1">
      <x:c r="A1336" s="6" t="str">
        <x:v>https://digitecme.com/mercedes/models/e63-service-repair-dubai</x:v>
      </x:c>
      <x:c r="B1336" s="6" t="str"/>
      <x:c r="C1336" s="6" t="str"/>
      <x:c r="D1336" s="6" t="str">
        <x:v>service</x:v>
      </x:c>
      <x:c r="E1336" s="6" t="str">
        <x:v>Retain differentiated role</x:v>
      </x:c>
      <x:c r="F1336" s="6" t="str">
        <x:v>Local source render; live version unverified</x:v>
      </x:c>
      <x:c r="G1336" s="6" t="str">
        <x:v>Mercedes-AMG E63 Service &amp; Repair Dubai | Digi-Tec</x:v>
      </x:c>
      <x:c r="H1336" s="6" t="str">
        <x:v>Mercedes-AMG E63 Service &amp; Repair Dubai | Digi-Tec</x:v>
      </x:c>
      <x:c r="I1336" s="6" t="str">
        <x:v>Mercedes-AMG E63 Service &amp; Repair Dubai</x:v>
      </x:c>
      <x:c r="J1336" s="6" t="str">
        <x:v>Mercedes-AMG E63 Service &amp; Repair Dubai</x:v>
      </x:c>
      <x:c r="K1336" s="6" t="str">
        <x:v>Mercedes-AMG E63 service and repair in Dubai for W212 and W213 M156, M157 and M177 models, AMG MCT, 4MATIC+, air suspension and cooling.</x:v>
      </x:c>
      <x:c r="L1336" s="6" t="str">
        <x:v>Retain pending evidence; no specific content edit justified by this export.</x:v>
      </x:c>
      <x:c r="M1336" s="6" t="str">
        <x:v>Retain; inspect relevant context before adding links</x:v>
      </x:c>
      <x:c r="N1336" s="6" t="str">
        <x:v>Unconfirmed — no query/page pairing</x:v>
      </x:c>
      <x:c r="O1336" s="6" t="str">
        <x:v>Retain established booking / WhatsApp / call path; live behaviour untested</x:v>
      </x:c>
      <x:c r="P1336" s="6" t="str">
        <x:v>Retain canonical and indexation policy pending a live check.</x:v>
      </x:c>
      <x:c r="Q1336" s="6" t="str">
        <x:v>Proposed; no website change made</x:v>
      </x:c>
      <x:c r="R1336" s="14"/>
      <x:c r="S1336" s="14"/>
      <x:c r="T1336" s="15"/>
      <x:c r="U1336" s="16"/>
      <x:c r="V1336" s="6" t="str">
        <x:v>https://digitecme.com/mercedes/models/e63-service-repair-dubai</x:v>
      </x:c>
      <x:c r="W1336" s="6" t="str">
        <x:v>Indexable directive</x:v>
      </x:c>
      <x:c r="X1336" s="6" t="n">
        <x:v>8</x:v>
      </x:c>
      <x:c r="Y1336" s="6" t="str">
        <x:v>Mercedes-AMG E63 Service &amp; Repair Dubai | Digi-Tec</x:v>
      </x:c>
      <x:c r="Z1336" s="6" t="str"/>
      <x:c r="AA1336" s="6" t="str">
        <x:v>No / not compared</x:v>
      </x:c>
    </x:row>
    <x:row r="1337" ht="57" customHeight="1">
      <x:c r="A1337" s="6" t="str">
        <x:v>https://digitecme.com/mercedes/models/g-class-service-repair-dubai</x:v>
      </x:c>
      <x:c r="B1337" s="6" t="str"/>
      <x:c r="C1337" s="6" t="str"/>
      <x:c r="D1337" s="6" t="str">
        <x:v>service</x:v>
      </x:c>
      <x:c r="E1337" s="6" t="str">
        <x:v>Retain differentiated role</x:v>
      </x:c>
      <x:c r="F1337" s="6" t="str">
        <x:v>Local source render; live version unverified</x:v>
      </x:c>
      <x:c r="G1337" s="6" t="str">
        <x:v>Mercedes G-Class Service &amp; Repair Dubai | Digi-Tec</x:v>
      </x:c>
      <x:c r="H1337" s="6" t="str">
        <x:v>Mercedes G-Class Service &amp; Repair Dubai | Digi-Tec</x:v>
      </x:c>
      <x:c r="I1337" s="6" t="str">
        <x:v>Mercedes G-Class Service &amp; Repair Dubai</x:v>
      </x:c>
      <x:c r="J1337" s="6" t="str">
        <x:v>Mercedes G-Class Service &amp; Repair Dubai</x:v>
      </x:c>
      <x:c r="K1337" s="6" t="str">
        <x:v>Mercedes G-Class service and repair in Dubai for G500, G550 and diesel models: 4MATIC driveline, differential locks, cooling and diagnostics.</x:v>
      </x:c>
      <x:c r="L1337" s="6" t="str">
        <x:v>Retain pending evidence; no specific content edit justified by this export.</x:v>
      </x:c>
      <x:c r="M1337" s="6" t="str">
        <x:v>Retain; inspect relevant context before adding links</x:v>
      </x:c>
      <x:c r="N1337" s="6" t="str">
        <x:v>Unconfirmed — no query/page pairing</x:v>
      </x:c>
      <x:c r="O1337" s="6" t="str">
        <x:v>Retain established booking / WhatsApp / call path; live behaviour untested</x:v>
      </x:c>
      <x:c r="P1337" s="6" t="str">
        <x:v>Retain canonical and indexation policy pending a live check.</x:v>
      </x:c>
      <x:c r="Q1337" s="6" t="str">
        <x:v>Proposed; no website change made</x:v>
      </x:c>
      <x:c r="R1337" s="14"/>
      <x:c r="S1337" s="14"/>
      <x:c r="T1337" s="15"/>
      <x:c r="U1337" s="16"/>
      <x:c r="V1337" s="6" t="str">
        <x:v>https://digitecme.com/mercedes/models/g-class-service-repair-dubai</x:v>
      </x:c>
      <x:c r="W1337" s="6" t="str">
        <x:v>Indexable directive</x:v>
      </x:c>
      <x:c r="X1337" s="6" t="n">
        <x:v>9</x:v>
      </x:c>
      <x:c r="Y1337" s="6" t="str">
        <x:v>Mercedes G-Class Service &amp; Repair Dubai | Digi-Tec</x:v>
      </x:c>
      <x:c r="Z1337" s="6" t="str"/>
      <x:c r="AA1337" s="6" t="str">
        <x:v>No / not compared</x:v>
      </x:c>
    </x:row>
    <x:row r="1338" ht="42" customHeight="1">
      <x:c r="A1338" s="6" t="str">
        <x:v>https://digitecme.com/mercedes/models/gle-service-repair-dubai</x:v>
      </x:c>
      <x:c r="B1338" s="6" t="str"/>
      <x:c r="C1338" s="6" t="str"/>
      <x:c r="D1338" s="6" t="str">
        <x:v>service</x:v>
      </x:c>
      <x:c r="E1338" s="6" t="str">
        <x:v>Retain differentiated role</x:v>
      </x:c>
      <x:c r="F1338" s="6" t="str">
        <x:v>Local source render; live version unverified</x:v>
      </x:c>
      <x:c r="G1338" s="6" t="str">
        <x:v>Mercedes GLE Service &amp; Repair Dubai | Digi-Tec</x:v>
      </x:c>
      <x:c r="H1338" s="6" t="str">
        <x:v>Mercedes GLE Service &amp; Repair Dubai | Digi-Tec</x:v>
      </x:c>
      <x:c r="I1338" s="6" t="str">
        <x:v>Mercedes GLE Service &amp; Repair Dubai</x:v>
      </x:c>
      <x:c r="J1338" s="6" t="str">
        <x:v>Mercedes GLE Service &amp; Repair Dubai</x:v>
      </x:c>
      <x:c r="K1338" s="6" t="str">
        <x:v>Mercedes GLE service and repair in Dubai for W166 and W167: 4MATIC, 7G/9G, AIRMATIC, E-ACTIVE BODY CONTROL, cooling and diagnostics.</x:v>
      </x:c>
      <x:c r="L1338" s="6" t="str">
        <x:v>Retain pending evidence; no specific content edit justified by this export.</x:v>
      </x:c>
      <x:c r="M1338" s="6" t="str">
        <x:v>Retain; inspect relevant context before adding links</x:v>
      </x:c>
      <x:c r="N1338" s="6" t="str">
        <x:v>Unconfirmed — no query/page pairing</x:v>
      </x:c>
      <x:c r="O1338" s="6" t="str">
        <x:v>Retain established booking / WhatsApp / call path; live behaviour untested</x:v>
      </x:c>
      <x:c r="P1338" s="6" t="str">
        <x:v>Retain canonical and indexation policy pending a live check.</x:v>
      </x:c>
      <x:c r="Q1338" s="6" t="str">
        <x:v>Proposed; no website change made</x:v>
      </x:c>
      <x:c r="R1338" s="14"/>
      <x:c r="S1338" s="14"/>
      <x:c r="T1338" s="15"/>
      <x:c r="U1338" s="16"/>
      <x:c r="V1338" s="6" t="str">
        <x:v>https://digitecme.com/mercedes/models/gle-service-repair-dubai</x:v>
      </x:c>
      <x:c r="W1338" s="6" t="str">
        <x:v>Indexable directive</x:v>
      </x:c>
      <x:c r="X1338" s="6" t="n">
        <x:v>10</x:v>
      </x:c>
      <x:c r="Y1338" s="6" t="str">
        <x:v>Mercedes GLE Service &amp; Repair Dubai | Digi-Tec</x:v>
      </x:c>
      <x:c r="Z1338" s="6" t="str"/>
      <x:c r="AA1338" s="6" t="str">
        <x:v>No / not compared</x:v>
      </x:c>
    </x:row>
    <x:row r="1339" ht="42" customHeight="1">
      <x:c r="A1339" s="6" t="str">
        <x:v>https://digitecme.com/mercedes/models/gls-service-repair-dubai</x:v>
      </x:c>
      <x:c r="B1339" s="6" t="str"/>
      <x:c r="C1339" s="6" t="str"/>
      <x:c r="D1339" s="6" t="str">
        <x:v>service</x:v>
      </x:c>
      <x:c r="E1339" s="6" t="str">
        <x:v>Retain differentiated role</x:v>
      </x:c>
      <x:c r="F1339" s="6" t="str">
        <x:v>Local source render; live version unverified</x:v>
      </x:c>
      <x:c r="G1339" s="6" t="str">
        <x:v>Mercedes GLS Service &amp; Repair Dubai | Digi-Tec</x:v>
      </x:c>
      <x:c r="H1339" s="6" t="str">
        <x:v>Mercedes GLS Service &amp; Repair Dubai | Digi-Tec</x:v>
      </x:c>
      <x:c r="I1339" s="6" t="str">
        <x:v>Mercedes GLS Service &amp; Repair Dubai</x:v>
      </x:c>
      <x:c r="J1339" s="6" t="str">
        <x:v>Mercedes GLS Service &amp; Repair Dubai</x:v>
      </x:c>
      <x:c r="K1339" s="6" t="str">
        <x:v>Mercedes GLS service and repair in Dubai for X166 and X167: 9G-TRONIC, 4MATIC, AIRMATIC, E-ACTIVE BODY CONTROL, cooling and electronics.</x:v>
      </x:c>
      <x:c r="L1339" s="6" t="str">
        <x:v>Retain pending evidence; no specific content edit justified by this export.</x:v>
      </x:c>
      <x:c r="M1339" s="6" t="str">
        <x:v>Retain; inspect relevant context before adding links</x:v>
      </x:c>
      <x:c r="N1339" s="6" t="str">
        <x:v>Unconfirmed — no query/page pairing</x:v>
      </x:c>
      <x:c r="O1339" s="6" t="str">
        <x:v>Retain established booking / WhatsApp / call path; live behaviour untested</x:v>
      </x:c>
      <x:c r="P1339" s="6" t="str">
        <x:v>Retain canonical and indexation policy pending a live check.</x:v>
      </x:c>
      <x:c r="Q1339" s="6" t="str">
        <x:v>Proposed; no website change made</x:v>
      </x:c>
      <x:c r="R1339" s="14"/>
      <x:c r="S1339" s="14"/>
      <x:c r="T1339" s="15"/>
      <x:c r="U1339" s="16"/>
      <x:c r="V1339" s="6" t="str">
        <x:v>https://digitecme.com/mercedes/models/gls-service-repair-dubai</x:v>
      </x:c>
      <x:c r="W1339" s="6" t="str">
        <x:v>Indexable directive</x:v>
      </x:c>
      <x:c r="X1339" s="6" t="n">
        <x:v>10</x:v>
      </x:c>
      <x:c r="Y1339" s="6" t="str">
        <x:v>Mercedes GLS Service &amp; Repair Dubai | Digi-Tec</x:v>
      </x:c>
      <x:c r="Z1339" s="6" t="str"/>
      <x:c r="AA1339" s="6" t="str">
        <x:v>No / not compared</x:v>
      </x:c>
    </x:row>
    <x:row r="1340" ht="42" customHeight="1">
      <x:c r="A1340" s="6" t="str">
        <x:v>https://digitecme.com/mercedes/models/s63-service-repair-dubai</x:v>
      </x:c>
      <x:c r="B1340" s="6" t="str"/>
      <x:c r="C1340" s="6" t="str"/>
      <x:c r="D1340" s="6" t="str">
        <x:v>service</x:v>
      </x:c>
      <x:c r="E1340" s="6" t="str">
        <x:v>Retain differentiated role</x:v>
      </x:c>
      <x:c r="F1340" s="6" t="str">
        <x:v>Local source render; live version unverified</x:v>
      </x:c>
      <x:c r="G1340" s="6" t="str">
        <x:v>Mercedes-AMG S63 Service &amp; Repair Dubai | Digi-Tec</x:v>
      </x:c>
      <x:c r="H1340" s="6" t="str">
        <x:v>Mercedes-AMG S63 Service &amp; Repair Dubai | Digi-Tec</x:v>
      </x:c>
      <x:c r="I1340" s="6" t="str">
        <x:v>Mercedes-AMG S63 Service &amp; Repair Dubai</x:v>
      </x:c>
      <x:c r="J1340" s="6" t="str">
        <x:v>Mercedes-AMG S63 Service &amp; Repair Dubai</x:v>
      </x:c>
      <x:c r="K1340" s="6" t="str">
        <x:v>Mercedes-AMG S63 service and repair in Dubai for W221, W222 and W223 E PERFORMANCE models: V8, MCT, air suspension, hybrid and cooling.</x:v>
      </x:c>
      <x:c r="L1340" s="6" t="str">
        <x:v>Retain pending evidence; no specific content edit justified by this export.</x:v>
      </x:c>
      <x:c r="M1340" s="6" t="str">
        <x:v>Retain; inspect relevant context before adding links</x:v>
      </x:c>
      <x:c r="N1340" s="6" t="str">
        <x:v>Unconfirmed — no query/page pairing</x:v>
      </x:c>
      <x:c r="O1340" s="6" t="str">
        <x:v>Retain established booking / WhatsApp / call path; live behaviour untested</x:v>
      </x:c>
      <x:c r="P1340" s="6" t="str">
        <x:v>Retain canonical and indexation policy pending a live check.</x:v>
      </x:c>
      <x:c r="Q1340" s="6" t="str">
        <x:v>Proposed; no website change made</x:v>
      </x:c>
      <x:c r="R1340" s="14"/>
      <x:c r="S1340" s="14"/>
      <x:c r="T1340" s="15"/>
      <x:c r="U1340" s="16"/>
      <x:c r="V1340" s="6" t="str">
        <x:v>https://digitecme.com/mercedes/models/s63-service-repair-dubai</x:v>
      </x:c>
      <x:c r="W1340" s="6" t="str">
        <x:v>Indexable directive</x:v>
      </x:c>
      <x:c r="X1340" s="6" t="n">
        <x:v>8</x:v>
      </x:c>
      <x:c r="Y1340" s="6" t="str">
        <x:v>Mercedes-AMG S63 Service &amp; Repair Dubai | Digi-Tec</x:v>
      </x:c>
      <x:c r="Z1340" s="6" t="str"/>
      <x:c r="AA1340" s="6" t="str">
        <x:v>No / not compared</x:v>
      </x:c>
    </x:row>
    <x:row r="1341" ht="57" customHeight="1">
      <x:c r="A1341" s="6" t="str">
        <x:v>https://digitecme.com/mercedes/problems</x:v>
      </x:c>
      <x:c r="B1341" s="6" t="str"/>
      <x:c r="C1341" s="6" t="str"/>
      <x:c r="D1341" s="6" t="str">
        <x:v>html-sitemap</x:v>
      </x:c>
      <x:c r="E1341" s="6" t="str">
        <x:v>Retain differentiated role</x:v>
      </x:c>
      <x:c r="F1341" s="6" t="str">
        <x:v>Local source render; live version unverified</x:v>
      </x:c>
      <x:c r="G1341" s="6" t="str">
        <x:v>Mercedes Problems &amp; Diagnostic Guides | Digi-Tec Dubai</x:v>
      </x:c>
      <x:c r="H1341" s="6" t="str">
        <x:v>Mercedes Problems &amp; Diagnostic Guides | Digi-Tec Dubai</x:v>
      </x:c>
      <x:c r="I1341" s="6" t="str">
        <x:v>Mercedes Problems &amp; Diagnostic Guides</x:v>
      </x:c>
      <x:c r="J1341" s="6" t="str">
        <x:v>Mercedes Problems &amp; Diagnostic Guides</x:v>
      </x:c>
      <x:c r="K1341" s="6" t="str">
        <x:v>Practical Mercedes owner guides for AIRMATIC, gearbox jerking, overheating, AC, oil leaks, no-start and battery warnings, with safe next steps.</x:v>
      </x:c>
      <x:c r="L1341" s="6" t="str">
        <x:v>Retain pending evidence; no specific content edit justified by this export.</x:v>
      </x:c>
      <x:c r="M1341" s="6" t="str">
        <x:v>Retain; inspect relevant context before adding links</x:v>
      </x:c>
      <x:c r="N1341" s="6" t="str">
        <x:v>Unconfirmed — no query/page pairing</x:v>
      </x:c>
      <x:c r="O1341" s="6" t="str">
        <x:v>Retain established booking / WhatsApp / call path; live behaviour untested</x:v>
      </x:c>
      <x:c r="P1341" s="6" t="str">
        <x:v>Retain canonical and indexation policy pending a live check.</x:v>
      </x:c>
      <x:c r="Q1341" s="6" t="str">
        <x:v>Proposed; no website change made</x:v>
      </x:c>
      <x:c r="R1341" s="14"/>
      <x:c r="S1341" s="14"/>
      <x:c r="T1341" s="15"/>
      <x:c r="U1341" s="16"/>
      <x:c r="V1341" s="6" t="str">
        <x:v>https://digitecme.com/mercedes/problems</x:v>
      </x:c>
      <x:c r="W1341" s="6" t="str">
        <x:v>Indexable directive</x:v>
      </x:c>
      <x:c r="X1341" s="6" t="n">
        <x:v>15</x:v>
      </x:c>
      <x:c r="Y1341" s="6" t="str">
        <x:v>Mercedes Problems &amp; Diagnostic Guides | Digi-Tec Dubai</x:v>
      </x:c>
      <x:c r="Z1341" s="6" t="str"/>
      <x:c r="AA1341" s="6" t="str">
        <x:v>No / not compared</x:v>
      </x:c>
    </x:row>
    <x:row r="1342" ht="57" customHeight="1">
      <x:c r="A1342" s="6" t="str">
        <x:v>https://digitecme.com/mercedes/problems/ac-not-cooling</x:v>
      </x:c>
      <x:c r="B1342" s="6" t="str"/>
      <x:c r="C1342" s="6" t="str"/>
      <x:c r="D1342" s="6" t="str">
        <x:v>article</x:v>
      </x:c>
      <x:c r="E1342" s="6" t="str">
        <x:v>Retain differentiated role</x:v>
      </x:c>
      <x:c r="F1342" s="6" t="str">
        <x:v>Local source render; live version unverified</x:v>
      </x:c>
      <x:c r="G1342" s="6" t="str">
        <x:v>Mercedes AC Not Cooling | Causes &amp; Diagnosis</x:v>
      </x:c>
      <x:c r="H1342" s="6" t="str">
        <x:v>Mercedes AC Not Cooling | Causes &amp; Diagnosis</x:v>
      </x:c>
      <x:c r="I1342" s="6" t="str">
        <x:v>Mercedes AC Not Cooling</x:v>
      </x:c>
      <x:c r="J1342" s="6" t="str">
        <x:v>Mercedes AC Not Cooling</x:v>
      </x:c>
      <x:c r="K1342" s="6" t="str">
        <x:v>Why a Mercedes AC may blow warm, cool only while moving or differ by vent, plus refrigerant, compressor, airflow and climate-control diagnosis.</x:v>
      </x:c>
      <x:c r="L1342" s="6" t="str">
        <x:v>Retain pending evidence; no specific content edit justified by this export.</x:v>
      </x:c>
      <x:c r="M1342" s="6" t="str">
        <x:v>Retain; inspect relevant context before adding links</x:v>
      </x:c>
      <x:c r="N1342" s="6" t="str">
        <x:v>Unconfirmed — no query/page pairing</x:v>
      </x:c>
      <x:c r="O1342" s="6" t="str">
        <x:v>Retain established booking / WhatsApp / call path; live behaviour untested</x:v>
      </x:c>
      <x:c r="P1342" s="6" t="str">
        <x:v>Retain canonical and indexation policy pending a live check.</x:v>
      </x:c>
      <x:c r="Q1342" s="6" t="str">
        <x:v>Proposed; no website change made</x:v>
      </x:c>
      <x:c r="R1342" s="14"/>
      <x:c r="S1342" s="14"/>
      <x:c r="T1342" s="15"/>
      <x:c r="U1342" s="16"/>
      <x:c r="V1342" s="6" t="str">
        <x:v>https://digitecme.com/mercedes/problems/ac-not-cooling</x:v>
      </x:c>
      <x:c r="W1342" s="6" t="str">
        <x:v>Indexable directive</x:v>
      </x:c>
      <x:c r="X1342" s="6" t="n">
        <x:v>11</x:v>
      </x:c>
      <x:c r="Y1342" s="6" t="str">
        <x:v>Mercedes AC Not Cooling | Causes &amp; Diagnosis</x:v>
      </x:c>
      <x:c r="Z1342" s="6" t="str"/>
      <x:c r="AA1342" s="6" t="str">
        <x:v>No / not compared</x:v>
      </x:c>
    </x:row>
    <x:row r="1343" ht="57" customHeight="1">
      <x:c r="A1343" s="6" t="str">
        <x:v>https://digitecme.com/mercedes/problems/airmatic-malfunction</x:v>
      </x:c>
      <x:c r="B1343" s="6" t="str"/>
      <x:c r="C1343" s="6" t="str"/>
      <x:c r="D1343" s="6" t="str">
        <x:v>article</x:v>
      </x:c>
      <x:c r="E1343" s="6" t="str">
        <x:v>Retain differentiated role</x:v>
      </x:c>
      <x:c r="F1343" s="6" t="str">
        <x:v>Local source render; live version unverified</x:v>
      </x:c>
      <x:c r="G1343" s="6" t="str">
        <x:v>Mercedes AIRMATIC Malfunction | Causes &amp; Diagnosis</x:v>
      </x:c>
      <x:c r="H1343" s="6" t="str">
        <x:v>Mercedes AIRMATIC Malfunction | Causes &amp; Diagnosis</x:v>
      </x:c>
      <x:c r="I1343" s="6" t="str">
        <x:v>Mercedes AIRMATIC Malfunction</x:v>
      </x:c>
      <x:c r="J1343" s="6" t="str">
        <x:v>Mercedes AIRMATIC Malfunction</x:v>
      </x:c>
      <x:c r="K1343" s="6" t="str">
        <x:v>What a Mercedes AIRMATIC malfunction means, possible air-spring, compressor, valve, sensor and voltage causes, and how the fault should be diagnosed.</x:v>
      </x:c>
      <x:c r="L1343" s="6" t="str">
        <x:v>Retain pending evidence; no specific content edit justified by this export.</x:v>
      </x:c>
      <x:c r="M1343" s="6" t="str">
        <x:v>Retain; inspect relevant context before adding links</x:v>
      </x:c>
      <x:c r="N1343" s="6" t="str">
        <x:v>Unconfirmed — no query/page pairing</x:v>
      </x:c>
      <x:c r="O1343" s="6" t="str">
        <x:v>Retain established booking / WhatsApp / call path; live behaviour untested</x:v>
      </x:c>
      <x:c r="P1343" s="6" t="str">
        <x:v>Retain canonical and indexation policy pending a live check.</x:v>
      </x:c>
      <x:c r="Q1343" s="6" t="str">
        <x:v>Proposed; no website change made</x:v>
      </x:c>
      <x:c r="R1343" s="14"/>
      <x:c r="S1343" s="14"/>
      <x:c r="T1343" s="15"/>
      <x:c r="U1343" s="16"/>
      <x:c r="V1343" s="6" t="str">
        <x:v>https://digitecme.com/mercedes/problems/airmatic-malfunction</x:v>
      </x:c>
      <x:c r="W1343" s="6" t="str">
        <x:v>Indexable directive</x:v>
      </x:c>
      <x:c r="X1343" s="6" t="n">
        <x:v>12</x:v>
      </x:c>
      <x:c r="Y1343" s="6" t="str">
        <x:v>Mercedes AIRMATIC Malfunction | Causes &amp; Diagnosis</x:v>
      </x:c>
      <x:c r="Z1343" s="6" t="str"/>
      <x:c r="AA1343" s="6" t="str">
        <x:v>No / not compared</x:v>
      </x:c>
    </x:row>
    <x:row r="1344" ht="57" customHeight="1">
      <x:c r="A1344" s="6" t="str">
        <x:v>https://digitecme.com/mercedes/problems/battery-warning</x:v>
      </x:c>
      <x:c r="B1344" s="6" t="str"/>
      <x:c r="C1344" s="6" t="str"/>
      <x:c r="D1344" s="6" t="str">
        <x:v>article</x:v>
      </x:c>
      <x:c r="E1344" s="6" t="str">
        <x:v>Retain differentiated role</x:v>
      </x:c>
      <x:c r="F1344" s="6" t="str">
        <x:v>Local source render; live version unverified</x:v>
      </x:c>
      <x:c r="G1344" s="6" t="str">
        <x:v>Mercedes Battery Warning | 12V, 48V &amp; Charging</x:v>
      </x:c>
      <x:c r="H1344" s="6" t="str">
        <x:v>Mercedes Battery Warning | 12V, 48V &amp; Charging</x:v>
      </x:c>
      <x:c r="I1344" s="6" t="str">
        <x:v>Mercedes Battery Warning</x:v>
      </x:c>
      <x:c r="J1344" s="6" t="str">
        <x:v>Mercedes Battery Warning</x:v>
      </x:c>
      <x:c r="K1344" s="6" t="str">
        <x:v>What Mercedes battery and charging warnings can mean across 12V, auxiliary and 48V systems, when to stop, and how voltage faults are diagnosed.</x:v>
      </x:c>
      <x:c r="L1344" s="6" t="str">
        <x:v>Retain pending evidence; no specific content edit justified by this export.</x:v>
      </x:c>
      <x:c r="M1344" s="6" t="str">
        <x:v>Retain; inspect relevant context before adding links</x:v>
      </x:c>
      <x:c r="N1344" s="6" t="str">
        <x:v>Unconfirmed — no query/page pairing</x:v>
      </x:c>
      <x:c r="O1344" s="6" t="str">
        <x:v>Retain established booking / WhatsApp / call path; live behaviour untested</x:v>
      </x:c>
      <x:c r="P1344" s="6" t="str">
        <x:v>Retain canonical and indexation policy pending a live check.</x:v>
      </x:c>
      <x:c r="Q1344" s="6" t="str">
        <x:v>Proposed; no website change made</x:v>
      </x:c>
      <x:c r="R1344" s="14"/>
      <x:c r="S1344" s="14"/>
      <x:c r="T1344" s="15"/>
      <x:c r="U1344" s="16"/>
      <x:c r="V1344" s="6" t="str">
        <x:v>https://digitecme.com/mercedes/problems/battery-warning</x:v>
      </x:c>
      <x:c r="W1344" s="6" t="str">
        <x:v>Indexable directive</x:v>
      </x:c>
      <x:c r="X1344" s="6" t="n">
        <x:v>10</x:v>
      </x:c>
      <x:c r="Y1344" s="6" t="str">
        <x:v>Mercedes Battery Warning | 12V, 48V &amp; Charging</x:v>
      </x:c>
      <x:c r="Z1344" s="6" t="str"/>
      <x:c r="AA1344" s="6" t="str">
        <x:v>No / not compared</x:v>
      </x:c>
    </x:row>
    <x:row r="1345" ht="57" customHeight="1">
      <x:c r="A1345" s="6" t="str">
        <x:v>https://digitecme.com/mercedes/problems/check-engine-light</x:v>
      </x:c>
      <x:c r="B1345" s="6" t="str"/>
      <x:c r="C1345" s="6" t="str"/>
      <x:c r="D1345" s="6" t="str">
        <x:v>article</x:v>
      </x:c>
      <x:c r="E1345" s="6" t="str">
        <x:v>Retain differentiated role</x:v>
      </x:c>
      <x:c r="F1345" s="6" t="str">
        <x:v>Local source render; live version unverified</x:v>
      </x:c>
      <x:c r="G1345" s="6" t="str">
        <x:v>Mercedes Check Engine Light | Meaning &amp; Diagnosis</x:v>
      </x:c>
      <x:c r="H1345" s="6" t="str">
        <x:v>Mercedes Check Engine Light | Meaning &amp; Diagnosis</x:v>
      </x:c>
      <x:c r="I1345" s="6" t="str">
        <x:v>Mercedes Check Engine Light</x:v>
      </x:c>
      <x:c r="J1345" s="6" t="str">
        <x:v>Mercedes Check Engine Light</x:v>
      </x:c>
      <x:c r="K1345" s="6" t="str">
        <x:v>Mercedes check engine light guide: steady vs flashing warnings, possible ignition, fuel, boost and emissions causes, and why a code is not a diagnosis.</x:v>
      </x:c>
      <x:c r="L1345" s="6" t="str">
        <x:v>Retain pending evidence; no specific content edit justified by this export.</x:v>
      </x:c>
      <x:c r="M1345" s="6" t="str">
        <x:v>Retain; inspect relevant context before adding links</x:v>
      </x:c>
      <x:c r="N1345" s="6" t="str">
        <x:v>Unconfirmed — no query/page pairing</x:v>
      </x:c>
      <x:c r="O1345" s="6" t="str">
        <x:v>Retain established booking / WhatsApp / call path; live behaviour untested</x:v>
      </x:c>
      <x:c r="P1345" s="6" t="str">
        <x:v>Retain canonical and indexation policy pending a live check.</x:v>
      </x:c>
      <x:c r="Q1345" s="6" t="str">
        <x:v>Proposed; no website change made</x:v>
      </x:c>
      <x:c r="R1345" s="14"/>
      <x:c r="S1345" s="14"/>
      <x:c r="T1345" s="15"/>
      <x:c r="U1345" s="16"/>
      <x:c r="V1345" s="6" t="str">
        <x:v>https://digitecme.com/mercedes/problems/check-engine-light</x:v>
      </x:c>
      <x:c r="W1345" s="6" t="str">
        <x:v>Indexable directive</x:v>
      </x:c>
      <x:c r="X1345" s="6" t="n">
        <x:v>13</x:v>
      </x:c>
      <x:c r="Y1345" s="6" t="str">
        <x:v>Mercedes Check Engine Light | Meaning &amp; Diagnosis</x:v>
      </x:c>
      <x:c r="Z1345" s="6" t="str"/>
      <x:c r="AA1345" s="6" t="str">
        <x:v>No / not compared</x:v>
      </x:c>
    </x:row>
    <x:row r="1346" ht="57" customHeight="1">
      <x:c r="A1346" s="6" t="str">
        <x:v>https://digitecme.com/mercedes/problems/engine-overheating</x:v>
      </x:c>
      <x:c r="B1346" s="6" t="str"/>
      <x:c r="C1346" s="6" t="str"/>
      <x:c r="D1346" s="6" t="str">
        <x:v>article</x:v>
      </x:c>
      <x:c r="E1346" s="6" t="str">
        <x:v>Retain differentiated role</x:v>
      </x:c>
      <x:c r="F1346" s="6" t="str">
        <x:v>Local source render; live version unverified</x:v>
      </x:c>
      <x:c r="G1346" s="6" t="str">
        <x:v>Mercedes Engine Overheating | Stop &amp; Diagnose Guide</x:v>
      </x:c>
      <x:c r="H1346" s="6" t="str">
        <x:v>Mercedes Engine Overheating | Stop &amp; Diagnose Guide</x:v>
      </x:c>
      <x:c r="I1346" s="6" t="str">
        <x:v>Mercedes Engine Overheating</x:v>
      </x:c>
      <x:c r="J1346" s="6" t="str">
        <x:v>Mercedes Engine Overheating</x:v>
      </x:c>
      <x:c r="K1346" s="6" t="str">
        <x:v>What to do when a Mercedes overheats, possible coolant leak, pump, thermostat, fan and airflow causes, and how the cooling system is diagnosed.</x:v>
      </x:c>
      <x:c r="L1346" s="6" t="str">
        <x:v>Retain pending evidence; no specific content edit justified by this export.</x:v>
      </x:c>
      <x:c r="M1346" s="6" t="str">
        <x:v>Retain; inspect relevant context before adding links</x:v>
      </x:c>
      <x:c r="N1346" s="6" t="str">
        <x:v>Unconfirmed — no query/page pairing</x:v>
      </x:c>
      <x:c r="O1346" s="6" t="str">
        <x:v>Retain established booking / WhatsApp / call path; live behaviour untested</x:v>
      </x:c>
      <x:c r="P1346" s="6" t="str">
        <x:v>Retain canonical and indexation policy pending a live check.</x:v>
      </x:c>
      <x:c r="Q1346" s="6" t="str">
        <x:v>Proposed; no website change made</x:v>
      </x:c>
      <x:c r="R1346" s="14"/>
      <x:c r="S1346" s="14"/>
      <x:c r="T1346" s="15"/>
      <x:c r="U1346" s="16"/>
      <x:c r="V1346" s="6" t="str">
        <x:v>https://digitecme.com/mercedes/problems/engine-overheating</x:v>
      </x:c>
      <x:c r="W1346" s="6" t="str">
        <x:v>Indexable directive</x:v>
      </x:c>
      <x:c r="X1346" s="6" t="n">
        <x:v>10</x:v>
      </x:c>
      <x:c r="Y1346" s="6" t="str">
        <x:v>Mercedes Engine Overheating | Stop &amp; Diagnose Guide</x:v>
      </x:c>
      <x:c r="Z1346" s="6" t="str"/>
      <x:c r="AA1346" s="6" t="str">
        <x:v>No / not compared</x:v>
      </x:c>
    </x:row>
    <x:row r="1347" ht="42" customHeight="1">
      <x:c r="A1347" s="6" t="str">
        <x:v>https://digitecme.com/mercedes/problems/gearbox-jerking</x:v>
      </x:c>
      <x:c r="B1347" s="6" t="str"/>
      <x:c r="C1347" s="6" t="str"/>
      <x:c r="D1347" s="6" t="str">
        <x:v>article</x:v>
      </x:c>
      <x:c r="E1347" s="6" t="str">
        <x:v>Retain differentiated role</x:v>
      </x:c>
      <x:c r="F1347" s="6" t="str">
        <x:v>Local source render; live version unverified</x:v>
      </x:c>
      <x:c r="G1347" s="6" t="str">
        <x:v>Mercedes Gearbox Jerking | 7G, 9G &amp; AMG Guide</x:v>
      </x:c>
      <x:c r="H1347" s="6" t="str">
        <x:v>Mercedes Gearbox Jerking | 7G, 9G &amp; AMG Guide</x:v>
      </x:c>
      <x:c r="I1347" s="6" t="str">
        <x:v>Mercedes Gearbox Jerking When Changing Gears</x:v>
      </x:c>
      <x:c r="J1347" s="6" t="str">
        <x:v>Mercedes Gearbox Jerking When Changing Gears</x:v>
      </x:c>
      <x:c r="K1347" s="6" t="str">
        <x:v>Why a Mercedes gearbox may jerk when changing gears, differences across 7G-TRONIC, 9G-TRONIC and AMG transmissions, and how to diagnose it.</x:v>
      </x:c>
      <x:c r="L1347" s="6" t="str">
        <x:v>Retain pending evidence; no specific content edit justified by this export.</x:v>
      </x:c>
      <x:c r="M1347" s="6" t="str">
        <x:v>Retain; inspect relevant context before adding links</x:v>
      </x:c>
      <x:c r="N1347" s="6" t="str">
        <x:v>Unconfirmed — no query/page pairing</x:v>
      </x:c>
      <x:c r="O1347" s="6" t="str">
        <x:v>Retain established booking / WhatsApp / call path; live behaviour untested</x:v>
      </x:c>
      <x:c r="P1347" s="6" t="str">
        <x:v>Retain canonical and indexation policy pending a live check.</x:v>
      </x:c>
      <x:c r="Q1347" s="6" t="str">
        <x:v>Proposed; no website change made</x:v>
      </x:c>
      <x:c r="R1347" s="14"/>
      <x:c r="S1347" s="14"/>
      <x:c r="T1347" s="15"/>
      <x:c r="U1347" s="16"/>
      <x:c r="V1347" s="6" t="str">
        <x:v>https://digitecme.com/mercedes/problems/gearbox-jerking</x:v>
      </x:c>
      <x:c r="W1347" s="6" t="str">
        <x:v>Indexable directive</x:v>
      </x:c>
      <x:c r="X1347" s="6" t="n">
        <x:v>15</x:v>
      </x:c>
      <x:c r="Y1347" s="6" t="str">
        <x:v>Mercedes Gearbox Jerking | 7G, 9G &amp; AMG Guide</x:v>
      </x:c>
      <x:c r="Z1347" s="6" t="str"/>
      <x:c r="AA1347" s="6" t="str">
        <x:v>No / not compared</x:v>
      </x:c>
    </x:row>
    <x:row r="1348" ht="57" customHeight="1">
      <x:c r="A1348" s="6" t="str">
        <x:v>https://digitecme.com/mercedes/problems/oil-leak</x:v>
      </x:c>
      <x:c r="B1348" s="6" t="str"/>
      <x:c r="C1348" s="6" t="str"/>
      <x:c r="D1348" s="6" t="str">
        <x:v>article</x:v>
      </x:c>
      <x:c r="E1348" s="6" t="str">
        <x:v>Retain differentiated role</x:v>
      </x:c>
      <x:c r="F1348" s="6" t="str">
        <x:v>Local source render; live version unverified</x:v>
      </x:c>
      <x:c r="G1348" s="6" t="str">
        <x:v>Mercedes Oil Leak | Sources, Risk &amp; Diagnosis</x:v>
      </x:c>
      <x:c r="H1348" s="6" t="str">
        <x:v>Mercedes Oil Leak | Sources, Risk &amp; Diagnosis</x:v>
      </x:c>
      <x:c r="I1348" s="6" t="str">
        <x:v>Mercedes Oil Leak</x:v>
      </x:c>
      <x:c r="J1348" s="6" t="str">
        <x:v>Mercedes Oil Leak</x:v>
      </x:c>
      <x:c r="K1348" s="6" t="str">
        <x:v>Mercedes oil leak guide covering leak patterns, possible covers, housings, coolers, turbo lines and sump sources, driving risk and diagnosis.</x:v>
      </x:c>
      <x:c r="L1348" s="6" t="str">
        <x:v>Retain pending evidence; no specific content edit justified by this export.</x:v>
      </x:c>
      <x:c r="M1348" s="6" t="str">
        <x:v>Retain; inspect relevant context before adding links</x:v>
      </x:c>
      <x:c r="N1348" s="6" t="str">
        <x:v>Unconfirmed — no query/page pairing</x:v>
      </x:c>
      <x:c r="O1348" s="6" t="str">
        <x:v>Retain established booking / WhatsApp / call path; live behaviour untested</x:v>
      </x:c>
      <x:c r="P1348" s="6" t="str">
        <x:v>Retain canonical and indexation policy pending a live check.</x:v>
      </x:c>
      <x:c r="Q1348" s="6" t="str">
        <x:v>Proposed; no website change made</x:v>
      </x:c>
      <x:c r="R1348" s="14"/>
      <x:c r="S1348" s="14"/>
      <x:c r="T1348" s="15"/>
      <x:c r="U1348" s="16"/>
      <x:c r="V1348" s="6" t="str">
        <x:v>https://digitecme.com/mercedes/problems/oil-leak</x:v>
      </x:c>
      <x:c r="W1348" s="6" t="str">
        <x:v>Indexable directive</x:v>
      </x:c>
      <x:c r="X1348" s="6" t="n">
        <x:v>9</x:v>
      </x:c>
      <x:c r="Y1348" s="6" t="str">
        <x:v>Mercedes Oil Leak | Sources, Risk &amp; Diagnosis</x:v>
      </x:c>
      <x:c r="Z1348" s="6" t="str"/>
      <x:c r="AA1348" s="6" t="str">
        <x:v>No / not compared</x:v>
      </x:c>
    </x:row>
    <x:row r="1349" ht="57" customHeight="1">
      <x:c r="A1349" s="6" t="str">
        <x:v>https://digitecme.com/mercedes/problems/suspension-dropping-overnight</x:v>
      </x:c>
      <x:c r="B1349" s="6" t="str"/>
      <x:c r="C1349" s="6" t="str"/>
      <x:c r="D1349" s="6" t="str">
        <x:v>article</x:v>
      </x:c>
      <x:c r="E1349" s="6" t="str">
        <x:v>Retain differentiated role</x:v>
      </x:c>
      <x:c r="F1349" s="6" t="str">
        <x:v>Local source render; live version unverified</x:v>
      </x:c>
      <x:c r="G1349" s="6" t="str">
        <x:v>Mercedes Suspension Dropping Overnight | Leak Guide</x:v>
      </x:c>
      <x:c r="H1349" s="6" t="str">
        <x:v>Mercedes Suspension Dropping Overnight | Leak Guide</x:v>
      </x:c>
      <x:c r="I1349" s="6" t="str">
        <x:v>Mercedes Suspension Dropping Overnight</x:v>
      </x:c>
      <x:c r="J1349" s="6" t="str">
        <x:v>Mercedes Suspension Dropping Overnight</x:v>
      </x:c>
      <x:c r="K1349" s="6" t="str">
        <x:v>Why a Mercedes with air suspension may drop overnight, how corner and full-vehicle height loss differ, and how leaks should be isolated before repair.</x:v>
      </x:c>
      <x:c r="L1349" s="6" t="str">
        <x:v>Retain pending evidence; no specific content edit justified by this export.</x:v>
      </x:c>
      <x:c r="M1349" s="6" t="str">
        <x:v>Retain; inspect relevant context before adding links</x:v>
      </x:c>
      <x:c r="N1349" s="6" t="str">
        <x:v>Unconfirmed — no query/page pairing</x:v>
      </x:c>
      <x:c r="O1349" s="6" t="str">
        <x:v>Retain established booking / WhatsApp / call path; live behaviour untested</x:v>
      </x:c>
      <x:c r="P1349" s="6" t="str">
        <x:v>Retain canonical and indexation policy pending a live check.</x:v>
      </x:c>
      <x:c r="Q1349" s="6" t="str">
        <x:v>Proposed; no website change made</x:v>
      </x:c>
      <x:c r="R1349" s="14"/>
      <x:c r="S1349" s="14"/>
      <x:c r="T1349" s="15"/>
      <x:c r="U1349" s="16"/>
      <x:c r="V1349" s="6" t="str">
        <x:v>https://digitecme.com/mercedes/problems/suspension-dropping-overnight</x:v>
      </x:c>
      <x:c r="W1349" s="6" t="str">
        <x:v>Indexable directive</x:v>
      </x:c>
      <x:c r="X1349" s="6" t="n">
        <x:v>12</x:v>
      </x:c>
      <x:c r="Y1349" s="6" t="str">
        <x:v>Mercedes Suspension Dropping Overnight | Leak Guide</x:v>
      </x:c>
      <x:c r="Z1349" s="6" t="str"/>
      <x:c r="AA1349" s="6" t="str">
        <x:v>No / not compared</x:v>
      </x:c>
    </x:row>
    <x:row r="1350" ht="57" customHeight="1">
      <x:c r="A1350" s="6" t="str">
        <x:v>https://digitecme.com/mercedes/problems/transmission-slipping</x:v>
      </x:c>
      <x:c r="B1350" s="6" t="str"/>
      <x:c r="C1350" s="6" t="str"/>
      <x:c r="D1350" s="6" t="str">
        <x:v>article</x:v>
      </x:c>
      <x:c r="E1350" s="6" t="str">
        <x:v>Retain differentiated role</x:v>
      </x:c>
      <x:c r="F1350" s="6" t="str">
        <x:v>Local source render; live version unverified</x:v>
      </x:c>
      <x:c r="G1350" s="6" t="str">
        <x:v>Mercedes Transmission Slipping | Signs &amp; Diagnosis</x:v>
      </x:c>
      <x:c r="H1350" s="6" t="str">
        <x:v>Mercedes Transmission Slipping | Signs &amp; Diagnosis</x:v>
      </x:c>
      <x:c r="I1350" s="6" t="str">
        <x:v>Mercedes Transmission Slipping</x:v>
      </x:c>
      <x:c r="J1350" s="6" t="str">
        <x:v>Mercedes Transmission Slipping</x:v>
      </x:c>
      <x:c r="K1350" s="6" t="str">
        <x:v>How to recognize Mercedes transmission slipping, possible fluid, hydraulic, clutch and control causes, driving risk, and the diagnostic process.</x:v>
      </x:c>
      <x:c r="L1350" s="6" t="str">
        <x:v>Retain pending evidence; no specific content edit justified by this export.</x:v>
      </x:c>
      <x:c r="M1350" s="6" t="str">
        <x:v>Retain; inspect relevant context before adding links</x:v>
      </x:c>
      <x:c r="N1350" s="6" t="str">
        <x:v>Unconfirmed — no query/page pairing</x:v>
      </x:c>
      <x:c r="O1350" s="6" t="str">
        <x:v>Retain established booking / WhatsApp / call path; live behaviour untested</x:v>
      </x:c>
      <x:c r="P1350" s="6" t="str">
        <x:v>Retain canonical and indexation policy pending a live check.</x:v>
      </x:c>
      <x:c r="Q1350" s="6" t="str">
        <x:v>Proposed; no website change made</x:v>
      </x:c>
      <x:c r="R1350" s="14"/>
      <x:c r="S1350" s="14"/>
      <x:c r="T1350" s="15"/>
      <x:c r="U1350" s="16"/>
      <x:c r="V1350" s="6" t="str">
        <x:v>https://digitecme.com/mercedes/problems/transmission-slipping</x:v>
      </x:c>
      <x:c r="W1350" s="6" t="str">
        <x:v>Indexable directive</x:v>
      </x:c>
      <x:c r="X1350" s="6" t="n">
        <x:v>8</x:v>
      </x:c>
      <x:c r="Y1350" s="6" t="str">
        <x:v>Mercedes Transmission Slipping | Signs &amp; Diagnosis</x:v>
      </x:c>
      <x:c r="Z1350" s="6" t="str"/>
      <x:c r="AA1350" s="6" t="str">
        <x:v>No / not compared</x:v>
      </x:c>
    </x:row>
    <x:row r="1351" ht="57" customHeight="1">
      <x:c r="A1351" s="6" t="str">
        <x:v>https://digitecme.com/mercedes/problems/wont-start</x:v>
      </x:c>
      <x:c r="B1351" s="6" t="str"/>
      <x:c r="C1351" s="6" t="str"/>
      <x:c r="D1351" s="6" t="str">
        <x:v>article</x:v>
      </x:c>
      <x:c r="E1351" s="6" t="str">
        <x:v>Retain differentiated role</x:v>
      </x:c>
      <x:c r="F1351" s="6" t="str">
        <x:v>Local source render; live version unverified</x:v>
      </x:c>
      <x:c r="G1351" s="6" t="str">
        <x:v>Mercedes Won't Start | No-Crank Diagnostic Guide</x:v>
      </x:c>
      <x:c r="H1351" s="6" t="str">
        <x:v>Mercedes Won't Start | No-Crank Diagnostic Guide</x:v>
      </x:c>
      <x:c r="I1351" s="6" t="str">
        <x:v>Mercedes Won't Start</x:v>
      </x:c>
      <x:c r="J1351" s="6" t="str">
        <x:v>Mercedes Won't Start</x:v>
      </x:c>
      <x:c r="K1351" s="6" t="str">
        <x:v>Mercedes won't start guide: how no-crank differs from crank-no-start, possible battery, starter, key, fuel and sensor causes, and safe diagnosis.</x:v>
      </x:c>
      <x:c r="L1351" s="6" t="str">
        <x:v>Retain pending evidence; no specific content edit justified by this export.</x:v>
      </x:c>
      <x:c r="M1351" s="6" t="str">
        <x:v>Retain; inspect relevant context before adding links</x:v>
      </x:c>
      <x:c r="N1351" s="6" t="str">
        <x:v>Unconfirmed — no query/page pairing</x:v>
      </x:c>
      <x:c r="O1351" s="6" t="str">
        <x:v>Retain established booking / WhatsApp / call path; live behaviour untested</x:v>
      </x:c>
      <x:c r="P1351" s="6" t="str">
        <x:v>Retain canonical and indexation policy pending a live check.</x:v>
      </x:c>
      <x:c r="Q1351" s="6" t="str">
        <x:v>Proposed; no website change made</x:v>
      </x:c>
      <x:c r="R1351" s="14"/>
      <x:c r="S1351" s="14"/>
      <x:c r="T1351" s="15"/>
      <x:c r="U1351" s="16"/>
      <x:c r="V1351" s="6" t="str">
        <x:v>https://digitecme.com/mercedes/problems/wont-start</x:v>
      </x:c>
      <x:c r="W1351" s="6" t="str">
        <x:v>Indexable directive</x:v>
      </x:c>
      <x:c r="X1351" s="6" t="n">
        <x:v>10</x:v>
      </x:c>
      <x:c r="Y1351" s="6" t="str">
        <x:v>Mercedes Won't Start | No-Crank Diagnostic Guide</x:v>
      </x:c>
      <x:c r="Z1351" s="6" t="str"/>
      <x:c r="AA1351" s="6" t="str">
        <x:v>No / not compared</x:v>
      </x:c>
    </x:row>
    <x:row r="1352" ht="42" customHeight="1">
      <x:c r="A1352" s="6" t="str">
        <x:v>https://digitecme.com/porsche/718</x:v>
      </x:c>
      <x:c r="B1352" s="6" t="str"/>
      <x:c r="C1352" s="6" t="str"/>
      <x:c r="D1352" s="6" t="str">
        <x:v>service</x:v>
      </x:c>
      <x:c r="E1352" s="6" t="str">
        <x:v>Retain differentiated role</x:v>
      </x:c>
      <x:c r="F1352" s="6" t="str">
        <x:v>Local source render; live version unverified</x:v>
      </x:c>
      <x:c r="G1352" s="6" t="str">
        <x:v>Porsche 718 Cayman &amp; Boxster Service Dubai | Digi-Tec</x:v>
      </x:c>
      <x:c r="H1352" s="6" t="str">
        <x:v>Porsche 718 Cayman &amp; Boxster Service Dubai | Digi-Tec</x:v>
      </x:c>
      <x:c r="I1352" s="6" t="str">
        <x:v>Porsche 718 Cayman &amp; Boxster Service Dubai</x:v>
      </x:c>
      <x:c r="J1352" s="6" t="str">
        <x:v>Porsche 718 Cayman &amp; Boxster Service Dubai</x:v>
      </x:c>
      <x:c r="K1352" s="6" t="str">
        <x:v>Porsche 718 Cayman and Boxster service in Dubai for flat-four and flat-six engines, PDK/manual gearboxes, PASM, cooling and brakes.</x:v>
      </x:c>
      <x:c r="L1352" s="6" t="str">
        <x:v>Retain pending evidence; no specific content edit justified by this export.</x:v>
      </x:c>
      <x:c r="M1352" s="6" t="str">
        <x:v>Retain; inspect relevant context before adding links</x:v>
      </x:c>
      <x:c r="N1352" s="6" t="str">
        <x:v>Unconfirmed — no query/page pairing</x:v>
      </x:c>
      <x:c r="O1352" s="6" t="str">
        <x:v>Retain established booking / WhatsApp / call path; live behaviour untested</x:v>
      </x:c>
      <x:c r="P1352" s="6" t="str">
        <x:v>Retain canonical and indexation policy pending a live check.</x:v>
      </x:c>
      <x:c r="Q1352" s="6" t="str">
        <x:v>Proposed; no website change made</x:v>
      </x:c>
      <x:c r="R1352" s="14"/>
      <x:c r="S1352" s="14"/>
      <x:c r="T1352" s="15"/>
      <x:c r="U1352" s="16"/>
      <x:c r="V1352" s="6" t="str">
        <x:v>https://digitecme.com/porsche/718</x:v>
      </x:c>
      <x:c r="W1352" s="6" t="str">
        <x:v>Indexable directive</x:v>
      </x:c>
      <x:c r="X1352" s="6" t="n">
        <x:v>32</x:v>
      </x:c>
      <x:c r="Y1352" s="6" t="str">
        <x:v>Porsche 718 Cayman &amp; Boxster Service Dubai | Digi-Tec</x:v>
      </x:c>
      <x:c r="Z1352" s="6" t="str"/>
      <x:c r="AA1352" s="6" t="str">
        <x:v>No / not compared</x:v>
      </x:c>
    </x:row>
    <x:row r="1353" ht="42" customHeight="1">
      <x:c r="A1353" s="6" t="str">
        <x:v>https://digitecme.com/porsche/911/991</x:v>
      </x:c>
      <x:c r="B1353" s="6" t="str"/>
      <x:c r="C1353" s="6" t="str"/>
      <x:c r="D1353" s="6" t="str">
        <x:v>service</x:v>
      </x:c>
      <x:c r="E1353" s="6" t="str">
        <x:v>Retain differentiated role</x:v>
      </x:c>
      <x:c r="F1353" s="6" t="str">
        <x:v>Local source render; live version unverified</x:v>
      </x:c>
      <x:c r="G1353" s="6" t="str">
        <x:v>Porsche 991 Service &amp; Repair Dubai | Digi-Tec</x:v>
      </x:c>
      <x:c r="H1353" s="6" t="str">
        <x:v>Porsche 991 Service &amp; Repair Dubai | Digi-Tec</x:v>
      </x:c>
      <x:c r="I1353" s="6" t="str">
        <x:v>Porsche 991 Service &amp; Repair Dubai</x:v>
      </x:c>
      <x:c r="J1353" s="6" t="str">
        <x:v>Porsche 991 Service &amp; Repair Dubai</x:v>
      </x:c>
      <x:c r="K1353" s="6" t="str">
        <x:v>Porsche 991 service and repair in Dubai for Carrera, GTS, Turbo and GT variants, with PDK/manual, PASM, cooling, brakes and diagnostics.</x:v>
      </x:c>
      <x:c r="L1353" s="6" t="str">
        <x:v>Retain pending evidence; no specific content edit justified by this export.</x:v>
      </x:c>
      <x:c r="M1353" s="6" t="str">
        <x:v>Retain; inspect relevant context before adding links</x:v>
      </x:c>
      <x:c r="N1353" s="6" t="str">
        <x:v>Unconfirmed — no query/page pairing</x:v>
      </x:c>
      <x:c r="O1353" s="6" t="str">
        <x:v>Retain established booking / WhatsApp / call path; live behaviour untested</x:v>
      </x:c>
      <x:c r="P1353" s="6" t="str">
        <x:v>Retain canonical and indexation policy pending a live check.</x:v>
      </x:c>
      <x:c r="Q1353" s="6" t="str">
        <x:v>Proposed; no website change made</x:v>
      </x:c>
      <x:c r="R1353" s="14"/>
      <x:c r="S1353" s="14"/>
      <x:c r="T1353" s="15"/>
      <x:c r="U1353" s="16"/>
      <x:c r="V1353" s="6" t="str">
        <x:v>https://digitecme.com/porsche/911/991</x:v>
      </x:c>
      <x:c r="W1353" s="6" t="str">
        <x:v>Indexable directive</x:v>
      </x:c>
      <x:c r="X1353" s="6" t="n">
        <x:v>3</x:v>
      </x:c>
      <x:c r="Y1353" s="6" t="str">
        <x:v>Porsche 991 Service &amp; Repair Dubai | Digi-Tec</x:v>
      </x:c>
      <x:c r="Z1353" s="6" t="str"/>
      <x:c r="AA1353" s="6" t="str">
        <x:v>No / not compared</x:v>
      </x:c>
    </x:row>
    <x:row r="1354" ht="57" customHeight="1">
      <x:c r="A1354" s="6" t="str">
        <x:v>https://digitecme.com/porsche/911/992</x:v>
      </x:c>
      <x:c r="B1354" s="6" t="str"/>
      <x:c r="C1354" s="6" t="str"/>
      <x:c r="D1354" s="6" t="str">
        <x:v>service</x:v>
      </x:c>
      <x:c r="E1354" s="6" t="str">
        <x:v>Retain differentiated role</x:v>
      </x:c>
      <x:c r="F1354" s="6" t="str">
        <x:v>Local source render; live version unverified</x:v>
      </x:c>
      <x:c r="G1354" s="6" t="str">
        <x:v>Porsche 992 Service &amp; Repair Dubai | Digi-Tec</x:v>
      </x:c>
      <x:c r="H1354" s="6" t="str">
        <x:v>Porsche 992 Service &amp; Repair Dubai | Digi-Tec</x:v>
      </x:c>
      <x:c r="I1354" s="6" t="str">
        <x:v>Porsche 992 Service &amp; Repair Dubai</x:v>
      </x:c>
      <x:c r="J1354" s="6" t="str">
        <x:v>Porsche 992 Service &amp; Repair Dubai</x:v>
      </x:c>
      <x:c r="K1354" s="6" t="str">
        <x:v>Porsche 992 service and repair in Dubai for Carrera, GTS, Turbo and GT3 variants, including PDK/manual, PASM, cooling, brakes and electronics.</x:v>
      </x:c>
      <x:c r="L1354" s="6" t="str">
        <x:v>Retain pending evidence; no specific content edit justified by this export.</x:v>
      </x:c>
      <x:c r="M1354" s="6" t="str">
        <x:v>Retain; inspect relevant context before adding links</x:v>
      </x:c>
      <x:c r="N1354" s="6" t="str">
        <x:v>Unconfirmed — no query/page pairing</x:v>
      </x:c>
      <x:c r="O1354" s="6" t="str">
        <x:v>Retain established booking / WhatsApp / call path; live behaviour untested</x:v>
      </x:c>
      <x:c r="P1354" s="6" t="str">
        <x:v>Retain canonical and indexation policy pending a live check.</x:v>
      </x:c>
      <x:c r="Q1354" s="6" t="str">
        <x:v>Proposed; no website change made</x:v>
      </x:c>
      <x:c r="R1354" s="14"/>
      <x:c r="S1354" s="14"/>
      <x:c r="T1354" s="15"/>
      <x:c r="U1354" s="16"/>
      <x:c r="V1354" s="6" t="str">
        <x:v>https://digitecme.com/porsche/911/992</x:v>
      </x:c>
      <x:c r="W1354" s="6" t="str">
        <x:v>Indexable directive</x:v>
      </x:c>
      <x:c r="X1354" s="6" t="n">
        <x:v>4</x:v>
      </x:c>
      <x:c r="Y1354" s="6" t="str">
        <x:v>Porsche 992 Service &amp; Repair Dubai | Digi-Tec</x:v>
      </x:c>
      <x:c r="Z1354" s="6" t="str"/>
      <x:c r="AA1354" s="6" t="str">
        <x:v>No / not compared</x:v>
      </x:c>
    </x:row>
    <x:row r="1355" ht="57" customHeight="1">
      <x:c r="A1355" s="6" t="str">
        <x:v>https://digitecme.com/porsche/911/997</x:v>
      </x:c>
      <x:c r="B1355" s="6" t="str"/>
      <x:c r="C1355" s="6" t="str"/>
      <x:c r="D1355" s="6" t="str">
        <x:v>service</x:v>
      </x:c>
      <x:c r="E1355" s="6" t="str">
        <x:v>Retain differentiated role</x:v>
      </x:c>
      <x:c r="F1355" s="6" t="str">
        <x:v>Local source render; live version unverified</x:v>
      </x:c>
      <x:c r="G1355" s="6" t="str">
        <x:v>Porsche 997 Service &amp; Repair Dubai | Digi-Tec</x:v>
      </x:c>
      <x:c r="H1355" s="6" t="str">
        <x:v>Porsche 997 Service &amp; Repair Dubai | Digi-Tec</x:v>
      </x:c>
      <x:c r="I1355" s="6" t="str">
        <x:v>Porsche 997 Service &amp; Repair Dubai</x:v>
      </x:c>
      <x:c r="J1355" s="6" t="str">
        <x:v>Porsche 997 Service &amp; Repair Dubai</x:v>
      </x:c>
      <x:c r="K1355" s="6" t="str">
        <x:v>Porsche 997 service and repair in Dubai for Carrera, Turbo and GT models, including manual, Tiptronic or PDK, cooling, PASM and age-related inspection.</x:v>
      </x:c>
      <x:c r="L1355" s="6" t="str">
        <x:v>Retain pending evidence; no specific content edit justified by this export.</x:v>
      </x:c>
      <x:c r="M1355" s="6" t="str">
        <x:v>Retain; inspect relevant context before adding links</x:v>
      </x:c>
      <x:c r="N1355" s="6" t="str">
        <x:v>Unconfirmed — no query/page pairing</x:v>
      </x:c>
      <x:c r="O1355" s="6" t="str">
        <x:v>Retain established booking / WhatsApp / call path; live behaviour untested</x:v>
      </x:c>
      <x:c r="P1355" s="6" t="str">
        <x:v>Retain canonical and indexation policy pending a live check.</x:v>
      </x:c>
      <x:c r="Q1355" s="6" t="str">
        <x:v>Proposed; no website change made</x:v>
      </x:c>
      <x:c r="R1355" s="14"/>
      <x:c r="S1355" s="14"/>
      <x:c r="T1355" s="15"/>
      <x:c r="U1355" s="16"/>
      <x:c r="V1355" s="6" t="str">
        <x:v>https://digitecme.com/porsche/911/997</x:v>
      </x:c>
      <x:c r="W1355" s="6" t="str">
        <x:v>Indexable directive</x:v>
      </x:c>
      <x:c r="X1355" s="6" t="n">
        <x:v>4</x:v>
      </x:c>
      <x:c r="Y1355" s="6" t="str">
        <x:v>Porsche 997 Service &amp; Repair Dubai | Digi-Tec</x:v>
      </x:c>
      <x:c r="Z1355" s="6" t="str"/>
      <x:c r="AA1355" s="6" t="str">
        <x:v>No / not compared</x:v>
      </x:c>
    </x:row>
    <x:row r="1356" ht="57" customHeight="1">
      <x:c r="A1356" s="6" t="str">
        <x:v>https://digitecme.com/porsche/guides/718-maintenance</x:v>
      </x:c>
      <x:c r="B1356" s="6" t="str"/>
      <x:c r="C1356" s="6" t="str"/>
      <x:c r="D1356" s="6" t="str">
        <x:v>article</x:v>
      </x:c>
      <x:c r="E1356" s="6" t="str">
        <x:v>Retain differentiated role</x:v>
      </x:c>
      <x:c r="F1356" s="6" t="str">
        <x:v>Local source render; live version unverified</x:v>
      </x:c>
      <x:c r="G1356" s="6" t="str">
        <x:v>Porsche 718 Maintenance Guide UAE | Digi-Tec Dubai</x:v>
      </x:c>
      <x:c r="H1356" s="6" t="str">
        <x:v>Porsche 718 Maintenance Guide UAE | Digi-Tec Dubai</x:v>
      </x:c>
      <x:c r="I1356" s="6" t="str">
        <x:v>Porsche 718 Maintenance Guide UAE</x:v>
      </x:c>
      <x:c r="J1356" s="6" t="str">
        <x:v>Porsche 718 Maintenance Guide UAE</x:v>
      </x:c>
      <x:c r="K1356" s="6" t="str">
        <x:v>Porsche 718 Maintenance Guide UAE for UAE owners, with vehicle-specific factors, practical checks and conservative Porsche workshop guidance from Digi-Tec.</x:v>
      </x:c>
      <x:c r="L1356" s="6" t="str">
        <x:v>Retain pending evidence; no specific content edit justified by this export.</x:v>
      </x:c>
      <x:c r="M1356" s="6" t="str">
        <x:v>Retain; inspect relevant context before adding links</x:v>
      </x:c>
      <x:c r="N1356" s="6" t="str">
        <x:v>Unconfirmed — no query/page pairing</x:v>
      </x:c>
      <x:c r="O1356" s="6" t="str">
        <x:v>Retain established booking / WhatsApp / call path; live behaviour untested</x:v>
      </x:c>
      <x:c r="P1356" s="6" t="str">
        <x:v>Retain canonical and indexation policy pending a live check.</x:v>
      </x:c>
      <x:c r="Q1356" s="6" t="str">
        <x:v>Proposed; no website change made</x:v>
      </x:c>
      <x:c r="R1356" s="14"/>
      <x:c r="S1356" s="14"/>
      <x:c r="T1356" s="15"/>
      <x:c r="U1356" s="16"/>
      <x:c r="V1356" s="6" t="str">
        <x:v>https://digitecme.com/porsche/guides/718-maintenance</x:v>
      </x:c>
      <x:c r="W1356" s="6" t="str">
        <x:v>Indexable directive</x:v>
      </x:c>
      <x:c r="X1356" s="6" t="n">
        <x:v>2</x:v>
      </x:c>
      <x:c r="Y1356" s="6" t="str">
        <x:v>Porsche 718 Maintenance Guide UAE | Digi-Tec Dubai</x:v>
      </x:c>
      <x:c r="Z1356" s="6" t="str"/>
      <x:c r="AA1356" s="6" t="str">
        <x:v>No / not compared</x:v>
      </x:c>
    </x:row>
    <x:row r="1357" ht="57" customHeight="1">
      <x:c r="A1357" s="6" t="str">
        <x:v>https://digitecme.com/porsche/guides/ac-maintenance-dubai</x:v>
      </x:c>
      <x:c r="B1357" s="6" t="str"/>
      <x:c r="C1357" s="6" t="str"/>
      <x:c r="D1357" s="6" t="str">
        <x:v>article</x:v>
      </x:c>
      <x:c r="E1357" s="6" t="str">
        <x:v>Retain differentiated role</x:v>
      </x:c>
      <x:c r="F1357" s="6" t="str">
        <x:v>Local source render; live version unverified</x:v>
      </x:c>
      <x:c r="G1357" s="6" t="str">
        <x:v>Porsche AC Maintenance in Dubai | Digi-Tec Dubai</x:v>
      </x:c>
      <x:c r="H1357" s="6" t="str">
        <x:v>Porsche AC Maintenance in Dubai | Digi-Tec Dubai</x:v>
      </x:c>
      <x:c r="I1357" s="6" t="str">
        <x:v>Porsche AC Maintenance in Dubai</x:v>
      </x:c>
      <x:c r="J1357" s="6" t="str">
        <x:v>Porsche AC Maintenance in Dubai</x:v>
      </x:c>
      <x:c r="K1357" s="6" t="str">
        <x:v>Porsche AC Maintenance in Dubai for UAE owners, with vehicle-specific factors, practical checks and conservative Porsche workshop guidance from Digi-Tec.</x:v>
      </x:c>
      <x:c r="L1357" s="6" t="str">
        <x:v>Retain pending evidence; no specific content edit justified by this export.</x:v>
      </x:c>
      <x:c r="M1357" s="6" t="str">
        <x:v>Retain; inspect relevant context before adding links</x:v>
      </x:c>
      <x:c r="N1357" s="6" t="str">
        <x:v>Unconfirmed — no query/page pairing</x:v>
      </x:c>
      <x:c r="O1357" s="6" t="str">
        <x:v>Retain established booking / WhatsApp / call path; live behaviour untested</x:v>
      </x:c>
      <x:c r="P1357" s="6" t="str">
        <x:v>Retain canonical and indexation policy pending a live check.</x:v>
      </x:c>
      <x:c r="Q1357" s="6" t="str">
        <x:v>Proposed; no website change made</x:v>
      </x:c>
      <x:c r="R1357" s="14"/>
      <x:c r="S1357" s="14"/>
      <x:c r="T1357" s="15"/>
      <x:c r="U1357" s="16"/>
      <x:c r="V1357" s="6" t="str">
        <x:v>https://digitecme.com/porsche/guides/ac-maintenance-dubai</x:v>
      </x:c>
      <x:c r="W1357" s="6" t="str">
        <x:v>Indexable directive</x:v>
      </x:c>
      <x:c r="X1357" s="6" t="n">
        <x:v>2</x:v>
      </x:c>
      <x:c r="Y1357" s="6" t="str">
        <x:v>Porsche AC Maintenance in Dubai | Digi-Tec Dubai</x:v>
      </x:c>
      <x:c r="Z1357" s="6" t="str"/>
      <x:c r="AA1357" s="6" t="str">
        <x:v>No / not compared</x:v>
      </x:c>
    </x:row>
    <x:row r="1358" ht="57" customHeight="1">
      <x:c r="A1358" s="6" t="str">
        <x:v>https://digitecme.com/porsche/guides/battery-life-dubai</x:v>
      </x:c>
      <x:c r="B1358" s="6" t="str"/>
      <x:c r="C1358" s="6" t="str"/>
      <x:c r="D1358" s="6" t="str">
        <x:v>article</x:v>
      </x:c>
      <x:c r="E1358" s="6" t="str">
        <x:v>Retain differentiated role</x:v>
      </x:c>
      <x:c r="F1358" s="6" t="str">
        <x:v>Local source render; live version unverified</x:v>
      </x:c>
      <x:c r="G1358" s="6" t="str">
        <x:v>Porsche Battery Life in Dubai | Digi-Tec Dubai</x:v>
      </x:c>
      <x:c r="H1358" s="6" t="str">
        <x:v>Porsche Battery Life in Dubai | Digi-Tec Dubai</x:v>
      </x:c>
      <x:c r="I1358" s="6" t="str">
        <x:v>Porsche Battery Life in Dubai</x:v>
      </x:c>
      <x:c r="J1358" s="6" t="str">
        <x:v>Porsche Battery Life in Dubai</x:v>
      </x:c>
      <x:c r="K1358" s="6" t="str">
        <x:v>Porsche Battery Life in Dubai for UAE owners, with vehicle-specific factors, practical checks and conservative Porsche workshop guidance from Digi-Tec.</x:v>
      </x:c>
      <x:c r="L1358" s="6" t="str">
        <x:v>Retain pending evidence; no specific content edit justified by this export.</x:v>
      </x:c>
      <x:c r="M1358" s="6" t="str">
        <x:v>Retain; inspect relevant context before adding links</x:v>
      </x:c>
      <x:c r="N1358" s="6" t="str">
        <x:v>Unconfirmed — no query/page pairing</x:v>
      </x:c>
      <x:c r="O1358" s="6" t="str">
        <x:v>Retain established booking / WhatsApp / call path; live behaviour untested</x:v>
      </x:c>
      <x:c r="P1358" s="6" t="str">
        <x:v>Retain canonical and indexation policy pending a live check.</x:v>
      </x:c>
      <x:c r="Q1358" s="6" t="str">
        <x:v>Proposed; no website change made</x:v>
      </x:c>
      <x:c r="R1358" s="14"/>
      <x:c r="S1358" s="14"/>
      <x:c r="T1358" s="15"/>
      <x:c r="U1358" s="16"/>
      <x:c r="V1358" s="6" t="str">
        <x:v>https://digitecme.com/porsche/guides/battery-life-dubai</x:v>
      </x:c>
      <x:c r="W1358" s="6" t="str">
        <x:v>Indexable directive</x:v>
      </x:c>
      <x:c r="X1358" s="6" t="n">
        <x:v>2</x:v>
      </x:c>
      <x:c r="Y1358" s="6" t="str">
        <x:v>Porsche Battery Life in Dubai | Digi-Tec Dubai</x:v>
      </x:c>
      <x:c r="Z1358" s="6" t="str"/>
      <x:c r="AA1358" s="6" t="str">
        <x:v>No / not compared</x:v>
      </x:c>
    </x:row>
    <x:row r="1359" ht="57" customHeight="1">
      <x:c r="A1359" s="6" t="str">
        <x:v>https://digitecme.com/porsche/guides/brake-wear-dubai</x:v>
      </x:c>
      <x:c r="B1359" s="6" t="str"/>
      <x:c r="C1359" s="6" t="str"/>
      <x:c r="D1359" s="6" t="str">
        <x:v>article</x:v>
      </x:c>
      <x:c r="E1359" s="6" t="str">
        <x:v>Retain differentiated role</x:v>
      </x:c>
      <x:c r="F1359" s="6" t="str">
        <x:v>Local source render; live version unverified</x:v>
      </x:c>
      <x:c r="G1359" s="6" t="str">
        <x:v>Porsche Brake Wear in Dubai | Digi-Tec Dubai</x:v>
      </x:c>
      <x:c r="H1359" s="6" t="str">
        <x:v>Porsche Brake Wear in Dubai | Digi-Tec Dubai</x:v>
      </x:c>
      <x:c r="I1359" s="6" t="str">
        <x:v>Porsche Brake Wear in Dubai</x:v>
      </x:c>
      <x:c r="J1359" s="6" t="str">
        <x:v>Porsche Brake Wear in Dubai</x:v>
      </x:c>
      <x:c r="K1359" s="6" t="str">
        <x:v>Porsche Brake Wear in Dubai for UAE owners, with vehicle-specific factors, practical checks and conservative Porsche workshop guidance from Digi-Tec.</x:v>
      </x:c>
      <x:c r="L1359" s="6" t="str">
        <x:v>Retain pending evidence; no specific content edit justified by this export.</x:v>
      </x:c>
      <x:c r="M1359" s="6" t="str">
        <x:v>Retain; inspect relevant context before adding links</x:v>
      </x:c>
      <x:c r="N1359" s="6" t="str">
        <x:v>Unconfirmed — no query/page pairing</x:v>
      </x:c>
      <x:c r="O1359" s="6" t="str">
        <x:v>Retain established booking / WhatsApp / call path; live behaviour untested</x:v>
      </x:c>
      <x:c r="P1359" s="6" t="str">
        <x:v>Retain canonical and indexation policy pending a live check.</x:v>
      </x:c>
      <x:c r="Q1359" s="6" t="str">
        <x:v>Proposed; no website change made</x:v>
      </x:c>
      <x:c r="R1359" s="14"/>
      <x:c r="S1359" s="14"/>
      <x:c r="T1359" s="15"/>
      <x:c r="U1359" s="16"/>
      <x:c r="V1359" s="6" t="str">
        <x:v>https://digitecme.com/porsche/guides/brake-wear-dubai</x:v>
      </x:c>
      <x:c r="W1359" s="6" t="str">
        <x:v>Indexable directive</x:v>
      </x:c>
      <x:c r="X1359" s="6" t="n">
        <x:v>2</x:v>
      </x:c>
      <x:c r="Y1359" s="6" t="str">
        <x:v>Porsche Brake Wear in Dubai | Digi-Tec Dubai</x:v>
      </x:c>
      <x:c r="Z1359" s="6" t="str"/>
      <x:c r="AA1359" s="6" t="str">
        <x:v>No / not compared</x:v>
      </x:c>
    </x:row>
    <x:row r="1360" ht="57" customHeight="1">
      <x:c r="A1360" s="6" t="str">
        <x:v>https://digitecme.com/porsche/guides/buying-used-porsche-dubai</x:v>
      </x:c>
      <x:c r="B1360" s="6" t="str"/>
      <x:c r="C1360" s="6" t="str"/>
      <x:c r="D1360" s="6" t="str">
        <x:v>article</x:v>
      </x:c>
      <x:c r="E1360" s="6" t="str">
        <x:v>Retain differentiated role</x:v>
      </x:c>
      <x:c r="F1360" s="6" t="str">
        <x:v>Local source render; live version unverified</x:v>
      </x:c>
      <x:c r="G1360" s="6" t="str">
        <x:v>Buying a Used Porsche in Dubai | Digi-Tec Dubai</x:v>
      </x:c>
      <x:c r="H1360" s="6" t="str">
        <x:v>Buying a Used Porsche in Dubai | Digi-Tec Dubai</x:v>
      </x:c>
      <x:c r="I1360" s="6" t="str">
        <x:v>Buying a Used Porsche in Dubai</x:v>
      </x:c>
      <x:c r="J1360" s="6" t="str">
        <x:v>Buying a Used Porsche in Dubai</x:v>
      </x:c>
      <x:c r="K1360" s="6" t="str">
        <x:v>Buying a Used Porsche in Dubai for UAE owners, with vehicle-specific factors, practical checks and conservative Porsche workshop guidance from Digi-Tec.</x:v>
      </x:c>
      <x:c r="L1360" s="6" t="str">
        <x:v>Retain pending evidence; no specific content edit justified by this export.</x:v>
      </x:c>
      <x:c r="M1360" s="6" t="str">
        <x:v>Retain; inspect relevant context before adding links</x:v>
      </x:c>
      <x:c r="N1360" s="6" t="str">
        <x:v>Unconfirmed — no query/page pairing</x:v>
      </x:c>
      <x:c r="O1360" s="6" t="str">
        <x:v>Retain established booking / WhatsApp / call path; live behaviour untested</x:v>
      </x:c>
      <x:c r="P1360" s="6" t="str">
        <x:v>Retain canonical and indexation policy pending a live check.</x:v>
      </x:c>
      <x:c r="Q1360" s="6" t="str">
        <x:v>Proposed; no website change made</x:v>
      </x:c>
      <x:c r="R1360" s="14"/>
      <x:c r="S1360" s="14"/>
      <x:c r="T1360" s="15"/>
      <x:c r="U1360" s="16"/>
      <x:c r="V1360" s="6" t="str">
        <x:v>https://digitecme.com/porsche/guides/buying-used-porsche-dubai</x:v>
      </x:c>
      <x:c r="W1360" s="6" t="str">
        <x:v>Indexable directive</x:v>
      </x:c>
      <x:c r="X1360" s="6" t="n">
        <x:v>4</x:v>
      </x:c>
      <x:c r="Y1360" s="6" t="str">
        <x:v>Buying a Used Porsche in Dubai | Digi-Tec Dubai</x:v>
      </x:c>
      <x:c r="Z1360" s="6" t="str"/>
      <x:c r="AA1360" s="6" t="str">
        <x:v>No / not compared</x:v>
      </x:c>
    </x:row>
    <x:row r="1361" ht="57" customHeight="1">
      <x:c r="A1361" s="6" t="str">
        <x:v>https://digitecme.com/porsche/guides/common-problems-dubai</x:v>
      </x:c>
      <x:c r="B1361" s="6" t="str"/>
      <x:c r="C1361" s="6" t="str"/>
      <x:c r="D1361" s="6" t="str">
        <x:v>article</x:v>
      </x:c>
      <x:c r="E1361" s="6" t="str">
        <x:v>Retain differentiated role</x:v>
      </x:c>
      <x:c r="F1361" s="6" t="str">
        <x:v>Local source render; live version unverified</x:v>
      </x:c>
      <x:c r="G1361" s="6" t="str">
        <x:v>Common Porsche Problems in Dubai | Digi-Tec Dubai</x:v>
      </x:c>
      <x:c r="H1361" s="6" t="str">
        <x:v>Common Porsche Problems in Dubai | Digi-Tec Dubai</x:v>
      </x:c>
      <x:c r="I1361" s="6" t="str">
        <x:v>Common Porsche Problems in Dubai</x:v>
      </x:c>
      <x:c r="J1361" s="6" t="str">
        <x:v>Common Porsche Problems in Dubai</x:v>
      </x:c>
      <x:c r="K1361" s="6" t="str">
        <x:v>Common Porsche Problems in Dubai for UAE owners, with vehicle-specific factors, practical checks and conservative Porsche workshop guidance from Digi-Tec.</x:v>
      </x:c>
      <x:c r="L1361" s="6" t="str">
        <x:v>Retain pending evidence; no specific content edit justified by this export.</x:v>
      </x:c>
      <x:c r="M1361" s="6" t="str">
        <x:v>Retain; inspect relevant context before adding links</x:v>
      </x:c>
      <x:c r="N1361" s="6" t="str">
        <x:v>Unconfirmed — no query/page pairing</x:v>
      </x:c>
      <x:c r="O1361" s="6" t="str">
        <x:v>Retain established booking / WhatsApp / call path; live behaviour untested</x:v>
      </x:c>
      <x:c r="P1361" s="6" t="str">
        <x:v>Retain canonical and indexation policy pending a live check.</x:v>
      </x:c>
      <x:c r="Q1361" s="6" t="str">
        <x:v>Proposed; no website change made</x:v>
      </x:c>
      <x:c r="R1361" s="14"/>
      <x:c r="S1361" s="14"/>
      <x:c r="T1361" s="15"/>
      <x:c r="U1361" s="16"/>
      <x:c r="V1361" s="6" t="str">
        <x:v>https://digitecme.com/porsche/guides/common-problems-dubai</x:v>
      </x:c>
      <x:c r="W1361" s="6" t="str">
        <x:v>Indexable directive</x:v>
      </x:c>
      <x:c r="X1361" s="6" t="n">
        <x:v>3</x:v>
      </x:c>
      <x:c r="Y1361" s="6" t="str">
        <x:v>Common Porsche Problems in Dubai | Digi-Tec Dubai</x:v>
      </x:c>
      <x:c r="Z1361" s="6" t="str"/>
      <x:c r="AA1361" s="6" t="str">
        <x:v>No / not compared</x:v>
      </x:c>
    </x:row>
    <x:row r="1362" ht="57" customHeight="1">
      <x:c r="A1362" s="6" t="str">
        <x:v>https://digitecme.com/porsche/guides/cooling-maintenance</x:v>
      </x:c>
      <x:c r="B1362" s="6" t="str"/>
      <x:c r="C1362" s="6" t="str"/>
      <x:c r="D1362" s="6" t="str">
        <x:v>article</x:v>
      </x:c>
      <x:c r="E1362" s="6" t="str">
        <x:v>Retain differentiated role</x:v>
      </x:c>
      <x:c r="F1362" s="6" t="str">
        <x:v>Local source render; live version unverified</x:v>
      </x:c>
      <x:c r="G1362" s="6" t="str">
        <x:v>Porsche Cooling System Maintenance Guide | Digi-Tec Dubai</x:v>
      </x:c>
      <x:c r="H1362" s="6" t="str">
        <x:v>Porsche Cooling System Maintenance Guide | Digi-Tec Dubai</x:v>
      </x:c>
      <x:c r="I1362" s="6" t="str">
        <x:v>Porsche Cooling System Maintenance Guide</x:v>
      </x:c>
      <x:c r="J1362" s="6" t="str">
        <x:v>Porsche Cooling System Maintenance Guide</x:v>
      </x:c>
      <x:c r="K1362" s="6" t="str">
        <x:v>Porsche Cooling System Maintenance Guide for UAE owners, with vehicle-specific factors, practical checks and conservative Porsche workshop guidance from Digi-Tec.</x:v>
      </x:c>
      <x:c r="L1362" s="6" t="str">
        <x:v>Retain pending evidence; no specific content edit justified by this export.</x:v>
      </x:c>
      <x:c r="M1362" s="6" t="str">
        <x:v>Retain; inspect relevant context before adding links</x:v>
      </x:c>
      <x:c r="N1362" s="6" t="str">
        <x:v>Unconfirmed — no query/page pairing</x:v>
      </x:c>
      <x:c r="O1362" s="6" t="str">
        <x:v>Retain established booking / WhatsApp / call path; live behaviour untested</x:v>
      </x:c>
      <x:c r="P1362" s="6" t="str">
        <x:v>Retain canonical and indexation policy pending a live check.</x:v>
      </x:c>
      <x:c r="Q1362" s="6" t="str">
        <x:v>Proposed; no website change made</x:v>
      </x:c>
      <x:c r="R1362" s="14"/>
      <x:c r="S1362" s="14"/>
      <x:c r="T1362" s="15"/>
      <x:c r="U1362" s="16"/>
      <x:c r="V1362" s="6" t="str">
        <x:v>https://digitecme.com/porsche/guides/cooling-maintenance</x:v>
      </x:c>
      <x:c r="W1362" s="6" t="str">
        <x:v>Indexable directive</x:v>
      </x:c>
      <x:c r="X1362" s="6" t="n">
        <x:v>2</x:v>
      </x:c>
      <x:c r="Y1362" s="6" t="str">
        <x:v>Porsche Cooling System Maintenance Guide | Digi-Tec Dubai</x:v>
      </x:c>
      <x:c r="Z1362" s="6" t="str"/>
      <x:c r="AA1362" s="6" t="str">
        <x:v>No / not compared</x:v>
      </x:c>
    </x:row>
    <x:row r="1363" ht="57" customHeight="1">
      <x:c r="A1363" s="6" t="str">
        <x:v>https://digitecme.com/porsche/guides/dealer-vs-independent-specialist</x:v>
      </x:c>
      <x:c r="B1363" s="6" t="str"/>
      <x:c r="C1363" s="6" t="str"/>
      <x:c r="D1363" s="6" t="str">
        <x:v>article</x:v>
      </x:c>
      <x:c r="E1363" s="6" t="str">
        <x:v>Retain differentiated role</x:v>
      </x:c>
      <x:c r="F1363" s="6" t="str">
        <x:v>Local source render; live version unverified</x:v>
      </x:c>
      <x:c r="G1363" s="6" t="str">
        <x:v>Porsche Dealer vs Independent Specialist Dubai | Digi-Tec Dubai</x:v>
      </x:c>
      <x:c r="H1363" s="6" t="str">
        <x:v>Porsche Dealer vs Independent Specialist Dubai | Digi-Tec Dubai</x:v>
      </x:c>
      <x:c r="I1363" s="6" t="str">
        <x:v>Porsche Dealer vs Independent Specialist Dubai</x:v>
      </x:c>
      <x:c r="J1363" s="6" t="str">
        <x:v>Porsche Dealer vs Independent Specialist Dubai</x:v>
      </x:c>
      <x:c r="K1363" s="6" t="str">
        <x:v>Porsche Dealer vs Independent Specialist Dubai for UAE owners, with vehicle-specific factors, practical checks and conservative Porsche workshop guidance from Digi-Tec.</x:v>
      </x:c>
      <x:c r="L1363" s="6" t="str">
        <x:v>Retain pending evidence; no specific content edit justified by this export.</x:v>
      </x:c>
      <x:c r="M1363" s="6" t="str">
        <x:v>Retain; inspect relevant context before adding links</x:v>
      </x:c>
      <x:c r="N1363" s="6" t="str">
        <x:v>Unconfirmed — no query/page pairing</x:v>
      </x:c>
      <x:c r="O1363" s="6" t="str">
        <x:v>Retain established booking / WhatsApp / call path; live behaviour untested</x:v>
      </x:c>
      <x:c r="P1363" s="6" t="str">
        <x:v>Retain canonical and indexation policy pending a live check.</x:v>
      </x:c>
      <x:c r="Q1363" s="6" t="str">
        <x:v>Proposed; no website change made</x:v>
      </x:c>
      <x:c r="R1363" s="14"/>
      <x:c r="S1363" s="14"/>
      <x:c r="T1363" s="15"/>
      <x:c r="U1363" s="16"/>
      <x:c r="V1363" s="6" t="str">
        <x:v>https://digitecme.com/porsche/guides/dealer-vs-independent-specialist</x:v>
      </x:c>
      <x:c r="W1363" s="6" t="str">
        <x:v>Indexable directive</x:v>
      </x:c>
      <x:c r="X1363" s="6" t="n">
        <x:v>2</x:v>
      </x:c>
      <x:c r="Y1363" s="6" t="str">
        <x:v>Porsche Dealer vs Independent Specialist Dubai | Digi-Tec Dubai</x:v>
      </x:c>
      <x:c r="Z1363" s="6" t="str"/>
      <x:c r="AA1363" s="6" t="str">
        <x:v>No / not compared</x:v>
      </x:c>
    </x:row>
    <x:row r="1364" ht="57" customHeight="1">
      <x:c r="A1364" s="6" t="str">
        <x:v>https://digitecme.com/porsche/guides/dubai-heat</x:v>
      </x:c>
      <x:c r="B1364" s="6" t="str"/>
      <x:c r="C1364" s="6" t="str"/>
      <x:c r="D1364" s="6" t="str">
        <x:v>article</x:v>
      </x:c>
      <x:c r="E1364" s="6" t="str">
        <x:v>Retain differentiated role</x:v>
      </x:c>
      <x:c r="F1364" s="6" t="str">
        <x:v>Local source render; live version unverified</x:v>
      </x:c>
      <x:c r="G1364" s="6" t="str">
        <x:v>How Dubai Heat Affects Porsche Cars | Digi-Tec Dubai</x:v>
      </x:c>
      <x:c r="H1364" s="6" t="str">
        <x:v>How Dubai Heat Affects Porsche Cars | Digi-Tec Dubai</x:v>
      </x:c>
      <x:c r="I1364" s="6" t="str">
        <x:v>How Dubai Heat Affects Porsche Cars</x:v>
      </x:c>
      <x:c r="J1364" s="6" t="str">
        <x:v>How Dubai Heat Affects Porsche Cars</x:v>
      </x:c>
      <x:c r="K1364" s="6" t="str">
        <x:v>How Dubai Heat Affects Porsche Cars for UAE owners, with vehicle-specific factors, practical checks and conservative Porsche workshop guidance from Digi-Tec.</x:v>
      </x:c>
      <x:c r="L1364" s="6" t="str">
        <x:v>Retain pending evidence; no specific content edit justified by this export.</x:v>
      </x:c>
      <x:c r="M1364" s="6" t="str">
        <x:v>Retain; inspect relevant context before adding links</x:v>
      </x:c>
      <x:c r="N1364" s="6" t="str">
        <x:v>Unconfirmed — no query/page pairing</x:v>
      </x:c>
      <x:c r="O1364" s="6" t="str">
        <x:v>Retain established booking / WhatsApp / call path; live behaviour untested</x:v>
      </x:c>
      <x:c r="P1364" s="6" t="str">
        <x:v>Retain canonical and indexation policy pending a live check.</x:v>
      </x:c>
      <x:c r="Q1364" s="6" t="str">
        <x:v>Proposed; no website change made</x:v>
      </x:c>
      <x:c r="R1364" s="14"/>
      <x:c r="S1364" s="14"/>
      <x:c r="T1364" s="15"/>
      <x:c r="U1364" s="16"/>
      <x:c r="V1364" s="6" t="str">
        <x:v>https://digitecme.com/porsche/guides/dubai-heat</x:v>
      </x:c>
      <x:c r="W1364" s="6" t="str">
        <x:v>Indexable directive</x:v>
      </x:c>
      <x:c r="X1364" s="6" t="n">
        <x:v>3</x:v>
      </x:c>
      <x:c r="Y1364" s="6" t="str">
        <x:v>How Dubai Heat Affects Porsche Cars | Digi-Tec Dubai</x:v>
      </x:c>
      <x:c r="Z1364" s="6" t="str"/>
      <x:c r="AA1364" s="6" t="str">
        <x:v>No / not compared</x:v>
      </x:c>
    </x:row>
    <x:row r="1365" ht="57" customHeight="1">
      <x:c r="A1365" s="6" t="str">
        <x:v>https://digitecme.com/porsche/guides/how-often-service-dubai</x:v>
      </x:c>
      <x:c r="B1365" s="6" t="str"/>
      <x:c r="C1365" s="6" t="str"/>
      <x:c r="D1365" s="6" t="str">
        <x:v>article</x:v>
      </x:c>
      <x:c r="E1365" s="6" t="str">
        <x:v>Retain differentiated role</x:v>
      </x:c>
      <x:c r="F1365" s="6" t="str">
        <x:v>Local source render; live version unverified</x:v>
      </x:c>
      <x:c r="G1365" s="6" t="str">
        <x:v>How Often Should a Porsche Be Serviced in Dubai? | Digi-Tec Dubai</x:v>
      </x:c>
      <x:c r="H1365" s="6" t="str">
        <x:v>How Often Should a Porsche Be Serviced in Dubai? | Digi-Tec Dubai</x:v>
      </x:c>
      <x:c r="I1365" s="6" t="str">
        <x:v>How Often Should a Porsche Be Serviced in Dubai?</x:v>
      </x:c>
      <x:c r="J1365" s="6" t="str">
        <x:v>How Often Should a Porsche Be Serviced in Dubai?</x:v>
      </x:c>
      <x:c r="K1365" s="6" t="str">
        <x:v>How Often Should a Porsche Be Serviced in Dubai? for UAE owners, with vehicle-specific factors, practical checks and conservative Porsche workshop guidance from Digi-Tec.</x:v>
      </x:c>
      <x:c r="L1365" s="6" t="str">
        <x:v>Retain pending evidence; no specific content edit justified by this export.</x:v>
      </x:c>
      <x:c r="M1365" s="6" t="str">
        <x:v>Retain; inspect relevant context before adding links</x:v>
      </x:c>
      <x:c r="N1365" s="6" t="str">
        <x:v>Unconfirmed — no query/page pairing</x:v>
      </x:c>
      <x:c r="O1365" s="6" t="str">
        <x:v>Retain established booking / WhatsApp / call path; live behaviour untested</x:v>
      </x:c>
      <x:c r="P1365" s="6" t="str">
        <x:v>Retain canonical and indexation policy pending a live check.</x:v>
      </x:c>
      <x:c r="Q1365" s="6" t="str">
        <x:v>Proposed; no website change made</x:v>
      </x:c>
      <x:c r="R1365" s="14"/>
      <x:c r="S1365" s="14"/>
      <x:c r="T1365" s="15"/>
      <x:c r="U1365" s="16"/>
      <x:c r="V1365" s="6" t="str">
        <x:v>https://digitecme.com/porsche/guides/how-often-service-dubai</x:v>
      </x:c>
      <x:c r="W1365" s="6" t="str">
        <x:v>Indexable directive</x:v>
      </x:c>
      <x:c r="X1365" s="6" t="n">
        <x:v>2</x:v>
      </x:c>
      <x:c r="Y1365" s="6" t="str">
        <x:v>How Often Should a Porsche Be Serviced in Dubai? | Digi-Tec Dubai</x:v>
      </x:c>
      <x:c r="Z1365" s="6" t="str"/>
      <x:c r="AA1365" s="6" t="str">
        <x:v>No / not compared</x:v>
      </x:c>
    </x:row>
    <x:row r="1366" ht="57" customHeight="1">
      <x:c r="A1366" s="6" t="str">
        <x:v>https://digitecme.com/porsche/guides/macan-maintenance</x:v>
      </x:c>
      <x:c r="B1366" s="6" t="str"/>
      <x:c r="C1366" s="6" t="str"/>
      <x:c r="D1366" s="6" t="str">
        <x:v>article</x:v>
      </x:c>
      <x:c r="E1366" s="6" t="str">
        <x:v>Retain differentiated role</x:v>
      </x:c>
      <x:c r="F1366" s="6" t="str">
        <x:v>Local source render; live version unverified</x:v>
      </x:c>
      <x:c r="G1366" s="6" t="str">
        <x:v>Porsche Macan Maintenance Guide UAE | Digi-Tec Dubai</x:v>
      </x:c>
      <x:c r="H1366" s="6" t="str">
        <x:v>Porsche Macan Maintenance Guide UAE | Digi-Tec Dubai</x:v>
      </x:c>
      <x:c r="I1366" s="6" t="str">
        <x:v>Porsche Macan Maintenance Guide UAE</x:v>
      </x:c>
      <x:c r="J1366" s="6" t="str">
        <x:v>Porsche Macan Maintenance Guide UAE</x:v>
      </x:c>
      <x:c r="K1366" s="6" t="str">
        <x:v>Porsche Macan Maintenance Guide UAE for UAE owners, with vehicle-specific factors, practical checks and conservative Porsche workshop guidance from Digi-Tec.</x:v>
      </x:c>
      <x:c r="L1366" s="6" t="str">
        <x:v>Retain pending evidence; no specific content edit justified by this export.</x:v>
      </x:c>
      <x:c r="M1366" s="6" t="str">
        <x:v>Retain; inspect relevant context before adding links</x:v>
      </x:c>
      <x:c r="N1366" s="6" t="str">
        <x:v>Unconfirmed — no query/page pairing</x:v>
      </x:c>
      <x:c r="O1366" s="6" t="str">
        <x:v>Retain established booking / WhatsApp / call path; live behaviour untested</x:v>
      </x:c>
      <x:c r="P1366" s="6" t="str">
        <x:v>Retain canonical and indexation policy pending a live check.</x:v>
      </x:c>
      <x:c r="Q1366" s="6" t="str">
        <x:v>Proposed; no website change made</x:v>
      </x:c>
      <x:c r="R1366" s="14"/>
      <x:c r="S1366" s="14"/>
      <x:c r="T1366" s="15"/>
      <x:c r="U1366" s="16"/>
      <x:c r="V1366" s="6" t="str">
        <x:v>https://digitecme.com/porsche/guides/macan-maintenance</x:v>
      </x:c>
      <x:c r="W1366" s="6" t="str">
        <x:v>Indexable directive</x:v>
      </x:c>
      <x:c r="X1366" s="6" t="n">
        <x:v>2</x:v>
      </x:c>
      <x:c r="Y1366" s="6" t="str">
        <x:v>Porsche Macan Maintenance Guide UAE | Digi-Tec Dubai</x:v>
      </x:c>
      <x:c r="Z1366" s="6" t="str"/>
      <x:c r="AA1366" s="6" t="str">
        <x:v>No / not compared</x:v>
      </x:c>
    </x:row>
    <x:row r="1367" ht="57" customHeight="1">
      <x:c r="A1367" s="6" t="str">
        <x:v>https://digitecme.com/porsche/guides/maintenance-cost-dubai</x:v>
      </x:c>
      <x:c r="B1367" s="6" t="str"/>
      <x:c r="C1367" s="6" t="str"/>
      <x:c r="D1367" s="6" t="str">
        <x:v>article</x:v>
      </x:c>
      <x:c r="E1367" s="6" t="str">
        <x:v>Retain differentiated role</x:v>
      </x:c>
      <x:c r="F1367" s="6" t="str">
        <x:v>Local source render; live version unverified</x:v>
      </x:c>
      <x:c r="G1367" s="6" t="str">
        <x:v>Porsche Maintenance Cost in Dubai: Key Factors | Digi-Tec Dubai</x:v>
      </x:c>
      <x:c r="H1367" s="6" t="str">
        <x:v>Porsche Maintenance Cost in Dubai: Key Factors | Digi-Tec Dubai</x:v>
      </x:c>
      <x:c r="I1367" s="6" t="str">
        <x:v>Porsche Maintenance Cost in Dubai: Key Factors</x:v>
      </x:c>
      <x:c r="J1367" s="6" t="str">
        <x:v>Porsche Maintenance Cost in Dubai: Key Factors</x:v>
      </x:c>
      <x:c r="K1367" s="6" t="str">
        <x:v>Porsche Maintenance Cost in Dubai: Key Factors for UAE owners, with vehicle-specific factors, practical checks and conservative Porsche workshop guidance from Digi-Tec.</x:v>
      </x:c>
      <x:c r="L1367" s="6" t="str">
        <x:v>Retain pending evidence; no specific content edit justified by this export.</x:v>
      </x:c>
      <x:c r="M1367" s="6" t="str">
        <x:v>Retain; inspect relevant context before adding links</x:v>
      </x:c>
      <x:c r="N1367" s="6" t="str">
        <x:v>Unconfirmed — no query/page pairing</x:v>
      </x:c>
      <x:c r="O1367" s="6" t="str">
        <x:v>Retain established booking / WhatsApp / call path; live behaviour untested</x:v>
      </x:c>
      <x:c r="P1367" s="6" t="str">
        <x:v>Retain canonical and indexation policy pending a live check.</x:v>
      </x:c>
      <x:c r="Q1367" s="6" t="str">
        <x:v>Proposed; no website change made</x:v>
      </x:c>
      <x:c r="R1367" s="14"/>
      <x:c r="S1367" s="14"/>
      <x:c r="T1367" s="15"/>
      <x:c r="U1367" s="16"/>
      <x:c r="V1367" s="6" t="str">
        <x:v>https://digitecme.com/porsche/guides/maintenance-cost-dubai</x:v>
      </x:c>
      <x:c r="W1367" s="6" t="str">
        <x:v>Indexable directive</x:v>
      </x:c>
      <x:c r="X1367" s="6" t="n">
        <x:v>2</x:v>
      </x:c>
      <x:c r="Y1367" s="6" t="str">
        <x:v>Porsche Maintenance Cost in Dubai: Key Factors | Digi-Tec Dubai</x:v>
      </x:c>
      <x:c r="Z1367" s="6" t="str"/>
      <x:c r="AA1367" s="6" t="str">
        <x:v>No / not compared</x:v>
      </x:c>
    </x:row>
    <x:row r="1368" ht="57" customHeight="1">
      <x:c r="A1368" s="6" t="str">
        <x:v>https://digitecme.com/porsche/guides/major-vs-minor-service</x:v>
      </x:c>
      <x:c r="B1368" s="6" t="str"/>
      <x:c r="C1368" s="6" t="str"/>
      <x:c r="D1368" s="6" t="str">
        <x:v>article</x:v>
      </x:c>
      <x:c r="E1368" s="6" t="str">
        <x:v>Retain differentiated role</x:v>
      </x:c>
      <x:c r="F1368" s="6" t="str">
        <x:v>Local source render; live version unverified</x:v>
      </x:c>
      <x:c r="G1368" s="6" t="str">
        <x:v>Porsche Major vs Minor Service Explained | Digi-Tec Dubai</x:v>
      </x:c>
      <x:c r="H1368" s="6" t="str">
        <x:v>Porsche Major vs Minor Service Explained | Digi-Tec Dubai</x:v>
      </x:c>
      <x:c r="I1368" s="6" t="str">
        <x:v>Porsche Major vs Minor Service Explained</x:v>
      </x:c>
      <x:c r="J1368" s="6" t="str">
        <x:v>Porsche Major vs Minor Service Explained</x:v>
      </x:c>
      <x:c r="K1368" s="6" t="str">
        <x:v>Porsche Major vs Minor Service Explained for UAE owners, with vehicle-specific factors, practical checks and conservative Porsche workshop guidance from Digi-Tec.</x:v>
      </x:c>
      <x:c r="L1368" s="6" t="str">
        <x:v>Retain pending evidence; no specific content edit justified by this export.</x:v>
      </x:c>
      <x:c r="M1368" s="6" t="str">
        <x:v>Retain; inspect relevant context before adding links</x:v>
      </x:c>
      <x:c r="N1368" s="6" t="str">
        <x:v>Unconfirmed — no query/page pairing</x:v>
      </x:c>
      <x:c r="O1368" s="6" t="str">
        <x:v>Retain established booking / WhatsApp / call path; live behaviour untested</x:v>
      </x:c>
      <x:c r="P1368" s="6" t="str">
        <x:v>Retain canonical and indexation policy pending a live check.</x:v>
      </x:c>
      <x:c r="Q1368" s="6" t="str">
        <x:v>Proposed; no website change made</x:v>
      </x:c>
      <x:c r="R1368" s="14"/>
      <x:c r="S1368" s="14"/>
      <x:c r="T1368" s="15"/>
      <x:c r="U1368" s="16"/>
      <x:c r="V1368" s="6" t="str">
        <x:v>https://digitecme.com/porsche/guides/major-vs-minor-service</x:v>
      </x:c>
      <x:c r="W1368" s="6" t="str">
        <x:v>Indexable directive</x:v>
      </x:c>
      <x:c r="X1368" s="6" t="n">
        <x:v>2</x:v>
      </x:c>
      <x:c r="Y1368" s="6" t="str">
        <x:v>Porsche Major vs Minor Service Explained | Digi-Tec Dubai</x:v>
      </x:c>
      <x:c r="Z1368" s="6" t="str"/>
      <x:c r="AA1368" s="6" t="str">
        <x:v>No / not compared</x:v>
      </x:c>
    </x:row>
    <x:row r="1369" ht="57" customHeight="1">
      <x:c r="A1369" s="6" t="str">
        <x:v>https://digitecme.com/porsche/guides/oil-change-intervals</x:v>
      </x:c>
      <x:c r="B1369" s="6" t="str"/>
      <x:c r="C1369" s="6" t="str"/>
      <x:c r="D1369" s="6" t="str">
        <x:v>article</x:v>
      </x:c>
      <x:c r="E1369" s="6" t="str">
        <x:v>Retain differentiated role</x:v>
      </x:c>
      <x:c r="F1369" s="6" t="str">
        <x:v>Local source render; live version unverified</x:v>
      </x:c>
      <x:c r="G1369" s="6" t="str">
        <x:v>Porsche Oil Change Intervals UAE | Digi-Tec Dubai</x:v>
      </x:c>
      <x:c r="H1369" s="6" t="str">
        <x:v>Porsche Oil Change Intervals UAE | Digi-Tec Dubai</x:v>
      </x:c>
      <x:c r="I1369" s="6" t="str">
        <x:v>Porsche Oil Change Intervals UAE</x:v>
      </x:c>
      <x:c r="J1369" s="6" t="str">
        <x:v>Porsche Oil Change Intervals UAE</x:v>
      </x:c>
      <x:c r="K1369" s="6" t="str">
        <x:v>Porsche Oil Change Intervals UAE for UAE owners, with vehicle-specific factors, practical checks and conservative Porsche workshop guidance from Digi-Tec.</x:v>
      </x:c>
      <x:c r="L1369" s="6" t="str">
        <x:v>Retain pending evidence; no specific content edit justified by this export.</x:v>
      </x:c>
      <x:c r="M1369" s="6" t="str">
        <x:v>Retain; inspect relevant context before adding links</x:v>
      </x:c>
      <x:c r="N1369" s="6" t="str">
        <x:v>Unconfirmed — no query/page pairing</x:v>
      </x:c>
      <x:c r="O1369" s="6" t="str">
        <x:v>Retain established booking / WhatsApp / call path; live behaviour untested</x:v>
      </x:c>
      <x:c r="P1369" s="6" t="str">
        <x:v>Retain canonical and indexation policy pending a live check.</x:v>
      </x:c>
      <x:c r="Q1369" s="6" t="str">
        <x:v>Proposed; no website change made</x:v>
      </x:c>
      <x:c r="R1369" s="14"/>
      <x:c r="S1369" s="14"/>
      <x:c r="T1369" s="15"/>
      <x:c r="U1369" s="16"/>
      <x:c r="V1369" s="6" t="str">
        <x:v>https://digitecme.com/porsche/guides/oil-change-intervals</x:v>
      </x:c>
      <x:c r="W1369" s="6" t="str">
        <x:v>Indexable directive</x:v>
      </x:c>
      <x:c r="X1369" s="6" t="n">
        <x:v>2</x:v>
      </x:c>
      <x:c r="Y1369" s="6" t="str">
        <x:v>Porsche Oil Change Intervals UAE | Digi-Tec Dubai</x:v>
      </x:c>
      <x:c r="Z1369" s="6" t="str"/>
      <x:c r="AA1369" s="6" t="str">
        <x:v>No / not compared</x:v>
      </x:c>
    </x:row>
    <x:row r="1370" ht="57" customHeight="1">
      <x:c r="A1370" s="6" t="str">
        <x:v>https://digitecme.com/porsche/guides/pdk-service-intervals</x:v>
      </x:c>
      <x:c r="B1370" s="6" t="str"/>
      <x:c r="C1370" s="6" t="str"/>
      <x:c r="D1370" s="6" t="str">
        <x:v>article</x:v>
      </x:c>
      <x:c r="E1370" s="6" t="str">
        <x:v>Retain differentiated role</x:v>
      </x:c>
      <x:c r="F1370" s="6" t="str">
        <x:v>Local source render; live version unverified</x:v>
      </x:c>
      <x:c r="G1370" s="6" t="str">
        <x:v>Porsche PDK Service Intervals Guide | Digi-Tec Dubai</x:v>
      </x:c>
      <x:c r="H1370" s="6" t="str">
        <x:v>Porsche PDK Service Intervals Guide | Digi-Tec Dubai</x:v>
      </x:c>
      <x:c r="I1370" s="6" t="str">
        <x:v>Porsche PDK Service Intervals Guide</x:v>
      </x:c>
      <x:c r="J1370" s="6" t="str">
        <x:v>Porsche PDK Service Intervals Guide</x:v>
      </x:c>
      <x:c r="K1370" s="6" t="str">
        <x:v>Porsche PDK Service Intervals Guide for UAE owners, with vehicle-specific factors, practical checks and conservative Porsche workshop guidance from Digi-Tec.</x:v>
      </x:c>
      <x:c r="L1370" s="6" t="str">
        <x:v>Retain pending evidence; no specific content edit justified by this export.</x:v>
      </x:c>
      <x:c r="M1370" s="6" t="str">
        <x:v>Retain; inspect relevant context before adding links</x:v>
      </x:c>
      <x:c r="N1370" s="6" t="str">
        <x:v>Unconfirmed — no query/page pairing</x:v>
      </x:c>
      <x:c r="O1370" s="6" t="str">
        <x:v>Retain established booking / WhatsApp / call path; live behaviour untested</x:v>
      </x:c>
      <x:c r="P1370" s="6" t="str">
        <x:v>Retain canonical and indexation policy pending a live check.</x:v>
      </x:c>
      <x:c r="Q1370" s="6" t="str">
        <x:v>Proposed; no website change made</x:v>
      </x:c>
      <x:c r="R1370" s="14"/>
      <x:c r="S1370" s="14"/>
      <x:c r="T1370" s="15"/>
      <x:c r="U1370" s="16"/>
      <x:c r="V1370" s="6" t="str">
        <x:v>https://digitecme.com/porsche/guides/pdk-service-intervals</x:v>
      </x:c>
      <x:c r="W1370" s="6" t="str">
        <x:v>Indexable directive</x:v>
      </x:c>
      <x:c r="X1370" s="6" t="n">
        <x:v>2</x:v>
      </x:c>
      <x:c r="Y1370" s="6" t="str">
        <x:v>Porsche PDK Service Intervals Guide | Digi-Tec Dubai</x:v>
      </x:c>
      <x:c r="Z1370" s="6" t="str"/>
      <x:c r="AA1370" s="6" t="str">
        <x:v>No / not compared</x:v>
      </x:c>
    </x:row>
    <x:row r="1371" ht="57" customHeight="1">
      <x:c r="A1371" s="6" t="str">
        <x:v>https://digitecme.com/porsche/guides/pre-purchase-inspection-checklist</x:v>
      </x:c>
      <x:c r="B1371" s="6" t="str"/>
      <x:c r="C1371" s="6" t="str"/>
      <x:c r="D1371" s="6" t="str">
        <x:v>article</x:v>
      </x:c>
      <x:c r="E1371" s="6" t="str">
        <x:v>Retain differentiated role</x:v>
      </x:c>
      <x:c r="F1371" s="6" t="str">
        <x:v>Local source render; live version unverified</x:v>
      </x:c>
      <x:c r="G1371" s="6" t="str">
        <x:v>Porsche Pre-Purchase Inspection Checklist UAE | Digi-Tec Dubai</x:v>
      </x:c>
      <x:c r="H1371" s="6" t="str">
        <x:v>Porsche Pre-Purchase Inspection Checklist UAE | Digi-Tec Dubai</x:v>
      </x:c>
      <x:c r="I1371" s="6" t="str">
        <x:v>Porsche Pre-Purchase Inspection Checklist UAE</x:v>
      </x:c>
      <x:c r="J1371" s="6" t="str">
        <x:v>Porsche Pre-Purchase Inspection Checklist UAE</x:v>
      </x:c>
      <x:c r="K1371" s="6" t="str">
        <x:v>Porsche Pre-Purchase Inspection Checklist UAE for UAE owners, with vehicle-specific factors, practical checks and conservative Porsche workshop guidance from Digi-Tec.</x:v>
      </x:c>
      <x:c r="L1371" s="6" t="str">
        <x:v>Retain pending evidence; no specific content edit justified by this export.</x:v>
      </x:c>
      <x:c r="M1371" s="6" t="str">
        <x:v>Retain; inspect relevant context before adding links</x:v>
      </x:c>
      <x:c r="N1371" s="6" t="str">
        <x:v>Unconfirmed — no query/page pairing</x:v>
      </x:c>
      <x:c r="O1371" s="6" t="str">
        <x:v>Retain established booking / WhatsApp / call path; live behaviour untested</x:v>
      </x:c>
      <x:c r="P1371" s="6" t="str">
        <x:v>Retain canonical and indexation policy pending a live check.</x:v>
      </x:c>
      <x:c r="Q1371" s="6" t="str">
        <x:v>Proposed; no website change made</x:v>
      </x:c>
      <x:c r="R1371" s="14"/>
      <x:c r="S1371" s="14"/>
      <x:c r="T1371" s="15"/>
      <x:c r="U1371" s="16"/>
      <x:c r="V1371" s="6" t="str">
        <x:v>https://digitecme.com/porsche/guides/pre-purchase-inspection-checklist</x:v>
      </x:c>
      <x:c r="W1371" s="6" t="str">
        <x:v>Indexable directive</x:v>
      </x:c>
      <x:c r="X1371" s="6" t="n">
        <x:v>4</x:v>
      </x:c>
      <x:c r="Y1371" s="6" t="str">
        <x:v>Porsche Pre-Purchase Inspection Checklist UAE | Digi-Tec Dubai</x:v>
      </x:c>
      <x:c r="Z1371" s="6" t="str"/>
      <x:c r="AA1371" s="6" t="str">
        <x:v>No / not compared</x:v>
      </x:c>
    </x:row>
    <x:row r="1372" ht="57" customHeight="1">
      <x:c r="A1372" s="6" t="str">
        <x:v>https://digitecme.com/porsche/guides/service-intervals-uae</x:v>
      </x:c>
      <x:c r="B1372" s="6" t="str"/>
      <x:c r="C1372" s="6" t="str"/>
      <x:c r="D1372" s="6" t="str">
        <x:v>article</x:v>
      </x:c>
      <x:c r="E1372" s="6" t="str">
        <x:v>Retain differentiated role</x:v>
      </x:c>
      <x:c r="F1372" s="6" t="str">
        <x:v>Local source render; live version unverified</x:v>
      </x:c>
      <x:c r="G1372" s="6" t="str">
        <x:v>Porsche Service Intervals UAE Guide | Digi-Tec Dubai</x:v>
      </x:c>
      <x:c r="H1372" s="6" t="str">
        <x:v>Porsche Service Intervals UAE Guide | Digi-Tec Dubai</x:v>
      </x:c>
      <x:c r="I1372" s="6" t="str">
        <x:v>Porsche Service Intervals UAE Guide</x:v>
      </x:c>
      <x:c r="J1372" s="6" t="str">
        <x:v>Porsche Service Intervals UAE Guide</x:v>
      </x:c>
      <x:c r="K1372" s="6" t="str">
        <x:v>Porsche Service Intervals UAE Guide for UAE owners, with vehicle-specific factors, practical checks and conservative Porsche workshop guidance from Digi-Tec.</x:v>
      </x:c>
      <x:c r="L1372" s="6" t="str">
        <x:v>Retain pending evidence; no specific content edit justified by this export.</x:v>
      </x:c>
      <x:c r="M1372" s="6" t="str">
        <x:v>Retain; inspect relevant context before adding links</x:v>
      </x:c>
      <x:c r="N1372" s="6" t="str">
        <x:v>Unconfirmed — no query/page pairing</x:v>
      </x:c>
      <x:c r="O1372" s="6" t="str">
        <x:v>Retain established booking / WhatsApp / call path; live behaviour untested</x:v>
      </x:c>
      <x:c r="P1372" s="6" t="str">
        <x:v>Retain canonical and indexation policy pending a live check.</x:v>
      </x:c>
      <x:c r="Q1372" s="6" t="str">
        <x:v>Proposed; no website change made</x:v>
      </x:c>
      <x:c r="R1372" s="14"/>
      <x:c r="S1372" s="14"/>
      <x:c r="T1372" s="15"/>
      <x:c r="U1372" s="16"/>
      <x:c r="V1372" s="6" t="str">
        <x:v>https://digitecme.com/porsche/guides/service-intervals-uae</x:v>
      </x:c>
      <x:c r="W1372" s="6" t="str">
        <x:v>Indexable directive</x:v>
      </x:c>
      <x:c r="X1372" s="6" t="n">
        <x:v>2</x:v>
      </x:c>
      <x:c r="Y1372" s="6" t="str">
        <x:v>Porsche Service Intervals UAE Guide | Digi-Tec Dubai</x:v>
      </x:c>
      <x:c r="Z1372" s="6" t="str"/>
      <x:c r="AA1372" s="6" t="str">
        <x:v>No / not compared</x:v>
      </x:c>
    </x:row>
    <x:row r="1373" ht="57" customHeight="1">
      <x:c r="A1373" s="6" t="str">
        <x:v>https://digitecme.com/porsche/guides/taycan-maintenance</x:v>
      </x:c>
      <x:c r="B1373" s="6" t="str"/>
      <x:c r="C1373" s="6" t="str"/>
      <x:c r="D1373" s="6" t="str">
        <x:v>article</x:v>
      </x:c>
      <x:c r="E1373" s="6" t="str">
        <x:v>Retain differentiated role</x:v>
      </x:c>
      <x:c r="F1373" s="6" t="str">
        <x:v>Local source render; live version unverified</x:v>
      </x:c>
      <x:c r="G1373" s="6" t="str">
        <x:v>Porsche Taycan Maintenance Guide UAE | Digi-Tec Dubai</x:v>
      </x:c>
      <x:c r="H1373" s="6" t="str">
        <x:v>Porsche Taycan Maintenance Guide UAE | Digi-Tec Dubai</x:v>
      </x:c>
      <x:c r="I1373" s="6" t="str">
        <x:v>Porsche Taycan Maintenance Guide UAE</x:v>
      </x:c>
      <x:c r="J1373" s="6" t="str">
        <x:v>Porsche Taycan Maintenance Guide UAE</x:v>
      </x:c>
      <x:c r="K1373" s="6" t="str">
        <x:v>Porsche Taycan Maintenance Guide UAE for UAE owners, with vehicle-specific factors, practical checks and conservative Porsche workshop guidance from Digi-Tec.</x:v>
      </x:c>
      <x:c r="L1373" s="6" t="str">
        <x:v>Retain pending evidence; no specific content edit justified by this export.</x:v>
      </x:c>
      <x:c r="M1373" s="6" t="str">
        <x:v>Retain; inspect relevant context before adding links</x:v>
      </x:c>
      <x:c r="N1373" s="6" t="str">
        <x:v>Unconfirmed — no query/page pairing</x:v>
      </x:c>
      <x:c r="O1373" s="6" t="str">
        <x:v>Retain established booking / WhatsApp / call path; live behaviour untested</x:v>
      </x:c>
      <x:c r="P1373" s="6" t="str">
        <x:v>Retain canonical and indexation policy pending a live check.</x:v>
      </x:c>
      <x:c r="Q1373" s="6" t="str">
        <x:v>Proposed; no website change made</x:v>
      </x:c>
      <x:c r="R1373" s="14"/>
      <x:c r="S1373" s="14"/>
      <x:c r="T1373" s="15"/>
      <x:c r="U1373" s="16"/>
      <x:c r="V1373" s="6" t="str">
        <x:v>https://digitecme.com/porsche/guides/taycan-maintenance</x:v>
      </x:c>
      <x:c r="W1373" s="6" t="str">
        <x:v>Indexable directive</x:v>
      </x:c>
      <x:c r="X1373" s="6" t="n">
        <x:v>2</x:v>
      </x:c>
      <x:c r="Y1373" s="6" t="str">
        <x:v>Porsche Taycan Maintenance Guide UAE | Digi-Tec Dubai</x:v>
      </x:c>
      <x:c r="Z1373" s="6" t="str"/>
      <x:c r="AA1373" s="6" t="str">
        <x:v>No / not compared</x:v>
      </x:c>
    </x:row>
    <x:row r="1374" ht="57" customHeight="1">
      <x:c r="A1374" s="6" t="str">
        <x:v>https://digitecme.com/porsche/guides/tyre-wear-dubai</x:v>
      </x:c>
      <x:c r="B1374" s="6" t="str"/>
      <x:c r="C1374" s="6" t="str"/>
      <x:c r="D1374" s="6" t="str">
        <x:v>article</x:v>
      </x:c>
      <x:c r="E1374" s="6" t="str">
        <x:v>Retain differentiated role</x:v>
      </x:c>
      <x:c r="F1374" s="6" t="str">
        <x:v>Local source render; live version unverified</x:v>
      </x:c>
      <x:c r="G1374" s="6" t="str">
        <x:v>Porsche Tyre Wear in Dubai | Digi-Tec Dubai</x:v>
      </x:c>
      <x:c r="H1374" s="6" t="str">
        <x:v>Porsche Tyre Wear in Dubai | Digi-Tec Dubai</x:v>
      </x:c>
      <x:c r="I1374" s="6" t="str">
        <x:v>Porsche Tyre Wear in Dubai</x:v>
      </x:c>
      <x:c r="J1374" s="6" t="str">
        <x:v>Porsche Tyre Wear in Dubai</x:v>
      </x:c>
      <x:c r="K1374" s="6" t="str">
        <x:v>Porsche Tyre Wear in Dubai for UAE owners, with vehicle-specific factors, practical checks and conservative Porsche workshop guidance from Digi-Tec.</x:v>
      </x:c>
      <x:c r="L1374" s="6" t="str">
        <x:v>Retain pending evidence; no specific content edit justified by this export.</x:v>
      </x:c>
      <x:c r="M1374" s="6" t="str">
        <x:v>Retain; inspect relevant context before adding links</x:v>
      </x:c>
      <x:c r="N1374" s="6" t="str">
        <x:v>Unconfirmed — no query/page pairing</x:v>
      </x:c>
      <x:c r="O1374" s="6" t="str">
        <x:v>Retain established booking / WhatsApp / call path; live behaviour untested</x:v>
      </x:c>
      <x:c r="P1374" s="6" t="str">
        <x:v>Retain canonical and indexation policy pending a live check.</x:v>
      </x:c>
      <x:c r="Q1374" s="6" t="str">
        <x:v>Proposed; no website change made</x:v>
      </x:c>
      <x:c r="R1374" s="14"/>
      <x:c r="S1374" s="14"/>
      <x:c r="T1374" s="15"/>
      <x:c r="U1374" s="16"/>
      <x:c r="V1374" s="6" t="str">
        <x:v>https://digitecme.com/porsche/guides/tyre-wear-dubai</x:v>
      </x:c>
      <x:c r="W1374" s="6" t="str">
        <x:v>Indexable directive</x:v>
      </x:c>
      <x:c r="X1374" s="6" t="n">
        <x:v>2</x:v>
      </x:c>
      <x:c r="Y1374" s="6" t="str">
        <x:v>Porsche Tyre Wear in Dubai | Digi-Tec Dubai</x:v>
      </x:c>
      <x:c r="Z1374" s="6" t="str"/>
      <x:c r="AA1374" s="6" t="str">
        <x:v>No / not compared</x:v>
      </x:c>
    </x:row>
    <x:row r="1375" ht="57" customHeight="1">
      <x:c r="A1375" s="6" t="str">
        <x:v>https://digitecme.com/porsche/guides/warning-lights</x:v>
      </x:c>
      <x:c r="B1375" s="6" t="str"/>
      <x:c r="C1375" s="6" t="str"/>
      <x:c r="D1375" s="6" t="str">
        <x:v>article</x:v>
      </x:c>
      <x:c r="E1375" s="6" t="str">
        <x:v>Retain differentiated role</x:v>
      </x:c>
      <x:c r="F1375" s="6" t="str">
        <x:v>Local source render; live version unverified</x:v>
      </x:c>
      <x:c r="G1375" s="6" t="str">
        <x:v>Porsche Warning Lights Explained | Digi-Tec Dubai</x:v>
      </x:c>
      <x:c r="H1375" s="6" t="str">
        <x:v>Porsche Warning Lights Explained | Digi-Tec Dubai</x:v>
      </x:c>
      <x:c r="I1375" s="6" t="str">
        <x:v>Porsche Warning Lights Explained</x:v>
      </x:c>
      <x:c r="J1375" s="6" t="str">
        <x:v>Porsche Warning Lights Explained</x:v>
      </x:c>
      <x:c r="K1375" s="6" t="str">
        <x:v>Porsche Warning Lights Explained for UAE owners, with vehicle-specific factors, practical checks and conservative Porsche workshop guidance from Digi-Tec.</x:v>
      </x:c>
      <x:c r="L1375" s="6" t="str">
        <x:v>Retain pending evidence; no specific content edit justified by this export.</x:v>
      </x:c>
      <x:c r="M1375" s="6" t="str">
        <x:v>Retain; inspect relevant context before adding links</x:v>
      </x:c>
      <x:c r="N1375" s="6" t="str">
        <x:v>Unconfirmed — no query/page pairing</x:v>
      </x:c>
      <x:c r="O1375" s="6" t="str">
        <x:v>Retain established booking / WhatsApp / call path; live behaviour untested</x:v>
      </x:c>
      <x:c r="P1375" s="6" t="str">
        <x:v>Retain canonical and indexation policy pending a live check.</x:v>
      </x:c>
      <x:c r="Q1375" s="6" t="str">
        <x:v>Proposed; no website change made</x:v>
      </x:c>
      <x:c r="R1375" s="14"/>
      <x:c r="S1375" s="14"/>
      <x:c r="T1375" s="15"/>
      <x:c r="U1375" s="16"/>
      <x:c r="V1375" s="6" t="str">
        <x:v>https://digitecme.com/porsche/guides/warning-lights</x:v>
      </x:c>
      <x:c r="W1375" s="6" t="str">
        <x:v>Indexable directive</x:v>
      </x:c>
      <x:c r="X1375" s="6" t="n">
        <x:v>3</x:v>
      </x:c>
      <x:c r="Y1375" s="6" t="str">
        <x:v>Porsche Warning Lights Explained | Digi-Tec Dubai</x:v>
      </x:c>
      <x:c r="Z1375" s="6" t="str"/>
      <x:c r="AA1375" s="6" t="str">
        <x:v>No / not compared</x:v>
      </x:c>
    </x:row>
    <x:row r="1376" ht="42" customHeight="1">
      <x:c r="A1376" s="6" t="str">
        <x:v>https://digitecme.com/porsche/macan</x:v>
      </x:c>
      <x:c r="B1376" s="6" t="str"/>
      <x:c r="C1376" s="6" t="str"/>
      <x:c r="D1376" s="6" t="str">
        <x:v>service</x:v>
      </x:c>
      <x:c r="E1376" s="6" t="str">
        <x:v>Retain differentiated role</x:v>
      </x:c>
      <x:c r="F1376" s="6" t="str">
        <x:v>Local source render; live version unverified</x:v>
      </x:c>
      <x:c r="G1376" s="6" t="str">
        <x:v>Porsche Macan Service &amp; Repair Dubai | Digi-Tec</x:v>
      </x:c>
      <x:c r="H1376" s="6" t="str">
        <x:v>Porsche Macan Service &amp; Repair Dubai | Digi-Tec</x:v>
      </x:c>
      <x:c r="I1376" s="6" t="str">
        <x:v>Porsche Macan Service &amp; Repair Dubai</x:v>
      </x:c>
      <x:c r="J1376" s="6" t="str">
        <x:v>Porsche Macan Service &amp; Repair Dubai</x:v>
      </x:c>
      <x:c r="K1376" s="6" t="str">
        <x:v>Porsche Macan service and repair in Dubai for PDK, PTM, transfer-case, engine, cooling, suspension, brakes and diagnostics.</x:v>
      </x:c>
      <x:c r="L1376" s="6" t="str">
        <x:v>Retain pending evidence; no specific content edit justified by this export.</x:v>
      </x:c>
      <x:c r="M1376" s="6" t="str">
        <x:v>Retain; inspect relevant context before adding links</x:v>
      </x:c>
      <x:c r="N1376" s="6" t="str">
        <x:v>Unconfirmed — no query/page pairing</x:v>
      </x:c>
      <x:c r="O1376" s="6" t="str">
        <x:v>Retain established booking / WhatsApp / call path; live behaviour untested</x:v>
      </x:c>
      <x:c r="P1376" s="6" t="str">
        <x:v>Retain canonical and indexation policy pending a live check.</x:v>
      </x:c>
      <x:c r="Q1376" s="6" t="str">
        <x:v>Proposed; no website change made</x:v>
      </x:c>
      <x:c r="R1376" s="14"/>
      <x:c r="S1376" s="14"/>
      <x:c r="T1376" s="15"/>
      <x:c r="U1376" s="16"/>
      <x:c r="V1376" s="6" t="str">
        <x:v>https://digitecme.com/porsche/macan</x:v>
      </x:c>
      <x:c r="W1376" s="6" t="str">
        <x:v>Indexable directive</x:v>
      </x:c>
      <x:c r="X1376" s="6" t="n">
        <x:v>42</x:v>
      </x:c>
      <x:c r="Y1376" s="6" t="str">
        <x:v>Porsche Macan Service &amp; Repair Dubai | Digi-Tec</x:v>
      </x:c>
      <x:c r="Z1376" s="6" t="str"/>
      <x:c r="AA1376" s="6" t="str">
        <x:v>No / not compared</x:v>
      </x:c>
    </x:row>
    <x:row r="1377" ht="42" customHeight="1">
      <x:c r="A1377" s="6" t="str">
        <x:v>https://digitecme.com/porsche/problems</x:v>
      </x:c>
      <x:c r="B1377" s="6" t="str"/>
      <x:c r="C1377" s="6" t="str"/>
      <x:c r="D1377" s="6" t="str">
        <x:v>html-sitemap</x:v>
      </x:c>
      <x:c r="E1377" s="6" t="str">
        <x:v>Retain differentiated role</x:v>
      </x:c>
      <x:c r="F1377" s="6" t="str">
        <x:v>Local source render; live version unverified</x:v>
      </x:c>
      <x:c r="G1377" s="6" t="str">
        <x:v>Porsche Problems &amp; Warning Signs | Digi-Tec</x:v>
      </x:c>
      <x:c r="H1377" s="6" t="str">
        <x:v>Porsche Problems &amp; Warning Signs | Digi-Tec</x:v>
      </x:c>
      <x:c r="I1377" s="6" t="str">
        <x:v>Porsche Problems &amp; Warning Signs</x:v>
      </x:c>
      <x:c r="J1377" s="6" t="str">
        <x:v>Porsche Problems &amp; Warning Signs</x:v>
      </x:c>
      <x:c r="K1377" s="6" t="str">
        <x:v>Diagnostic guides for Porsche transmission, engine, cooling, suspension, brake, battery, AC and model-specific symptoms.</x:v>
      </x:c>
      <x:c r="L1377" s="6" t="str">
        <x:v>Retain pending evidence; no specific content edit justified by this export.</x:v>
      </x:c>
      <x:c r="M1377" s="6" t="str">
        <x:v>Retain; inspect relevant context before adding links</x:v>
      </x:c>
      <x:c r="N1377" s="6" t="str">
        <x:v>Unconfirmed — no query/page pairing</x:v>
      </x:c>
      <x:c r="O1377" s="6" t="str">
        <x:v>Retain established booking / WhatsApp / call path; live behaviour untested</x:v>
      </x:c>
      <x:c r="P1377" s="6" t="str">
        <x:v>Retain canonical and indexation policy pending a live check.</x:v>
      </x:c>
      <x:c r="Q1377" s="6" t="str">
        <x:v>Proposed; no website change made</x:v>
      </x:c>
      <x:c r="R1377" s="14"/>
      <x:c r="S1377" s="14"/>
      <x:c r="T1377" s="15"/>
      <x:c r="U1377" s="16"/>
      <x:c r="V1377" s="6" t="str">
        <x:v>https://digitecme.com/porsche/problems</x:v>
      </x:c>
      <x:c r="W1377" s="6" t="str">
        <x:v>Indexable directive</x:v>
      </x:c>
      <x:c r="X1377" s="6" t="n">
        <x:v>28</x:v>
      </x:c>
      <x:c r="Y1377" s="6" t="str">
        <x:v>Porsche Problems &amp; Warning Signs | Digi-Tec</x:v>
      </x:c>
      <x:c r="Z1377" s="6" t="str"/>
      <x:c r="AA1377" s="6" t="str">
        <x:v>No / not compared</x:v>
      </x:c>
    </x:row>
    <x:row r="1378" ht="57" customHeight="1">
      <x:c r="A1378" s="6" t="str">
        <x:v>https://digitecme.com/porsche/problems/911-cooling</x:v>
      </x:c>
      <x:c r="B1378" s="6" t="str"/>
      <x:c r="C1378" s="6" t="str"/>
      <x:c r="D1378" s="6" t="str">
        <x:v>article</x:v>
      </x:c>
      <x:c r="E1378" s="6" t="str">
        <x:v>Retain differentiated role</x:v>
      </x:c>
      <x:c r="F1378" s="6" t="str">
        <x:v>Local source render; live version unverified</x:v>
      </x:c>
      <x:c r="G1378" s="6" t="str">
        <x:v>Porsche 911 Cooling Problems: Causes &amp; Diagnosis | Digi-Tec</x:v>
      </x:c>
      <x:c r="H1378" s="6" t="str">
        <x:v>Porsche 911 Cooling Problems: Causes &amp; Diagnosis | Digi-Tec</x:v>
      </x:c>
      <x:c r="I1378" s="6" t="str">
        <x:v>Porsche 911 Cooling Problems</x:v>
      </x:c>
      <x:c r="J1378" s="6" t="str">
        <x:v>Porsche 911 Cooling Problems</x:v>
      </x:c>
      <x:c r="K1378" s="6" t="str">
        <x:v>Porsche 911 Cooling Problems explained for Dubai owners: symptoms, possible causes, safe checks, driving risk and the appropriate Porsche diagnostic service.</x:v>
      </x:c>
      <x:c r="L1378" s="6" t="str">
        <x:v>Retain pending evidence; no specific content edit justified by this export.</x:v>
      </x:c>
      <x:c r="M1378" s="6" t="str">
        <x:v>Retain; inspect relevant context before adding links</x:v>
      </x:c>
      <x:c r="N1378" s="6" t="str">
        <x:v>Unconfirmed — no query/page pairing</x:v>
      </x:c>
      <x:c r="O1378" s="6" t="str">
        <x:v>Retain established booking / WhatsApp / call path; live behaviour untested</x:v>
      </x:c>
      <x:c r="P1378" s="6" t="str">
        <x:v>Retain canonical and indexation policy pending a live check.</x:v>
      </x:c>
      <x:c r="Q1378" s="6" t="str">
        <x:v>Proposed; no website change made</x:v>
      </x:c>
      <x:c r="R1378" s="14"/>
      <x:c r="S1378" s="14"/>
      <x:c r="T1378" s="15"/>
      <x:c r="U1378" s="16"/>
      <x:c r="V1378" s="6" t="str">
        <x:v>https://digitecme.com/porsche/problems/911-cooling</x:v>
      </x:c>
      <x:c r="W1378" s="6" t="str">
        <x:v>Indexable directive</x:v>
      </x:c>
      <x:c r="X1378" s="6" t="n">
        <x:v>3</x:v>
      </x:c>
      <x:c r="Y1378" s="6" t="str">
        <x:v>Porsche 911 Cooling Problems: Causes &amp; Diagnosis | Digi-Tec</x:v>
      </x:c>
      <x:c r="Z1378" s="6" t="str"/>
      <x:c r="AA1378" s="6" t="str">
        <x:v>No / not compared</x:v>
      </x:c>
    </x:row>
    <x:row r="1379" ht="57" customHeight="1">
      <x:c r="A1379" s="6" t="str">
        <x:v>https://digitecme.com/porsche/problems/ac-not-cooling</x:v>
      </x:c>
      <x:c r="B1379" s="6" t="str"/>
      <x:c r="C1379" s="6" t="str"/>
      <x:c r="D1379" s="6" t="str">
        <x:v>article</x:v>
      </x:c>
      <x:c r="E1379" s="6" t="str">
        <x:v>Retain differentiated role</x:v>
      </x:c>
      <x:c r="F1379" s="6" t="str">
        <x:v>Local source render; live version unverified</x:v>
      </x:c>
      <x:c r="G1379" s="6" t="str">
        <x:v>Porsche AC Not Cooling: Causes &amp; Diagnosis | Digi-Tec</x:v>
      </x:c>
      <x:c r="H1379" s="6" t="str">
        <x:v>Porsche AC Not Cooling: Causes &amp; Diagnosis | Digi-Tec</x:v>
      </x:c>
      <x:c r="I1379" s="6" t="str">
        <x:v>Porsche AC Not Cooling</x:v>
      </x:c>
      <x:c r="J1379" s="6" t="str">
        <x:v>Porsche AC Not Cooling</x:v>
      </x:c>
      <x:c r="K1379" s="6" t="str">
        <x:v>Porsche AC Not Cooling explained for Dubai owners: symptoms, possible causes, safe checks, driving risk and the appropriate Porsche diagnostic service.</x:v>
      </x:c>
      <x:c r="L1379" s="6" t="str">
        <x:v>Retain pending evidence; no specific content edit justified by this export.</x:v>
      </x:c>
      <x:c r="M1379" s="6" t="str">
        <x:v>Retain; inspect relevant context before adding links</x:v>
      </x:c>
      <x:c r="N1379" s="6" t="str">
        <x:v>Unconfirmed — no query/page pairing</x:v>
      </x:c>
      <x:c r="O1379" s="6" t="str">
        <x:v>Retain established booking / WhatsApp / call path; live behaviour untested</x:v>
      </x:c>
      <x:c r="P1379" s="6" t="str">
        <x:v>Retain canonical and indexation policy pending a live check.</x:v>
      </x:c>
      <x:c r="Q1379" s="6" t="str">
        <x:v>Proposed; no website change made</x:v>
      </x:c>
      <x:c r="R1379" s="14"/>
      <x:c r="S1379" s="14"/>
      <x:c r="T1379" s="15"/>
      <x:c r="U1379" s="16"/>
      <x:c r="V1379" s="6" t="str">
        <x:v>https://digitecme.com/porsche/problems/ac-not-cooling</x:v>
      </x:c>
      <x:c r="W1379" s="6" t="str">
        <x:v>Indexable directive</x:v>
      </x:c>
      <x:c r="X1379" s="6" t="n">
        <x:v>4</x:v>
      </x:c>
      <x:c r="Y1379" s="6" t="str">
        <x:v>Porsche AC Not Cooling: Causes &amp; Diagnosis | Digi-Tec</x:v>
      </x:c>
      <x:c r="Z1379" s="6" t="str"/>
      <x:c r="AA1379" s="6" t="str">
        <x:v>No / not compared</x:v>
      </x:c>
    </x:row>
    <x:row r="1380" ht="57" customHeight="1">
      <x:c r="A1380" s="6" t="str">
        <x:v>https://digitecme.com/porsche/problems/air-suspension-warning</x:v>
      </x:c>
      <x:c r="B1380" s="6" t="str"/>
      <x:c r="C1380" s="6" t="str"/>
      <x:c r="D1380" s="6" t="str">
        <x:v>article</x:v>
      </x:c>
      <x:c r="E1380" s="6" t="str">
        <x:v>Retain differentiated role</x:v>
      </x:c>
      <x:c r="F1380" s="6" t="str">
        <x:v>Local source render; live version unverified</x:v>
      </x:c>
      <x:c r="G1380" s="6" t="str">
        <x:v>Porsche Air Suspension Warning: Causes &amp; Diagnosis | Digi-Tec</x:v>
      </x:c>
      <x:c r="H1380" s="6" t="str">
        <x:v>Porsche Air Suspension Warning: Causes &amp; Diagnosis | Digi-Tec</x:v>
      </x:c>
      <x:c r="I1380" s="6" t="str">
        <x:v>Porsche Air Suspension Warning</x:v>
      </x:c>
      <x:c r="J1380" s="6" t="str">
        <x:v>Porsche Air Suspension Warning</x:v>
      </x:c>
      <x:c r="K1380" s="6" t="str">
        <x:v>Porsche Air Suspension Warning explained for Dubai owners: symptoms, possible causes, safe checks, driving risk and the appropriate Porsche diagnostic service.</x:v>
      </x:c>
      <x:c r="L1380" s="6" t="str">
        <x:v>Retain pending evidence; no specific content edit justified by this export.</x:v>
      </x:c>
      <x:c r="M1380" s="6" t="str">
        <x:v>Retain; inspect relevant context before adding links</x:v>
      </x:c>
      <x:c r="N1380" s="6" t="str">
        <x:v>Unconfirmed — no query/page pairing</x:v>
      </x:c>
      <x:c r="O1380" s="6" t="str">
        <x:v>Retain established booking / WhatsApp / call path; live behaviour untested</x:v>
      </x:c>
      <x:c r="P1380" s="6" t="str">
        <x:v>Retain canonical and indexation policy pending a live check.</x:v>
      </x:c>
      <x:c r="Q1380" s="6" t="str">
        <x:v>Proposed; no website change made</x:v>
      </x:c>
      <x:c r="R1380" s="14"/>
      <x:c r="S1380" s="14"/>
      <x:c r="T1380" s="15"/>
      <x:c r="U1380" s="16"/>
      <x:c r="V1380" s="6" t="str">
        <x:v>https://digitecme.com/porsche/problems/air-suspension-warning</x:v>
      </x:c>
      <x:c r="W1380" s="6" t="str">
        <x:v>Indexable directive</x:v>
      </x:c>
      <x:c r="X1380" s="6" t="n">
        <x:v>5</x:v>
      </x:c>
      <x:c r="Y1380" s="6" t="str">
        <x:v>Porsche Air Suspension Warning: Causes &amp; Diagnosis | Digi-Tec</x:v>
      </x:c>
      <x:c r="Z1380" s="6" t="str"/>
      <x:c r="AA1380" s="6" t="str">
        <x:v>No / not compared</x:v>
      </x:c>
    </x:row>
    <x:row r="1381" ht="57" customHeight="1">
      <x:c r="A1381" s="6" t="str">
        <x:v>https://digitecme.com/porsche/problems/battery-warning</x:v>
      </x:c>
      <x:c r="B1381" s="6" t="str"/>
      <x:c r="C1381" s="6" t="str"/>
      <x:c r="D1381" s="6" t="str">
        <x:v>article</x:v>
      </x:c>
      <x:c r="E1381" s="6" t="str">
        <x:v>Retain differentiated role</x:v>
      </x:c>
      <x:c r="F1381" s="6" t="str">
        <x:v>Local source render; live version unverified</x:v>
      </x:c>
      <x:c r="G1381" s="6" t="str">
        <x:v>Porsche Battery Warning: Causes &amp; Diagnosis | Digi-Tec</x:v>
      </x:c>
      <x:c r="H1381" s="6" t="str">
        <x:v>Porsche Battery Warning: Causes &amp; Diagnosis | Digi-Tec</x:v>
      </x:c>
      <x:c r="I1381" s="6" t="str">
        <x:v>Porsche Battery Warning</x:v>
      </x:c>
      <x:c r="J1381" s="6" t="str">
        <x:v>Porsche Battery Warning</x:v>
      </x:c>
      <x:c r="K1381" s="6" t="str">
        <x:v>Porsche Battery Warning explained for Dubai owners: symptoms, possible causes, safe checks, driving risk and the appropriate Porsche diagnostic service.</x:v>
      </x:c>
      <x:c r="L1381" s="6" t="str">
        <x:v>Retain pending evidence; no specific content edit justified by this export.</x:v>
      </x:c>
      <x:c r="M1381" s="6" t="str">
        <x:v>Retain; inspect relevant context before adding links</x:v>
      </x:c>
      <x:c r="N1381" s="6" t="str">
        <x:v>Unconfirmed — no query/page pairing</x:v>
      </x:c>
      <x:c r="O1381" s="6" t="str">
        <x:v>Retain established booking / WhatsApp / call path; live behaviour untested</x:v>
      </x:c>
      <x:c r="P1381" s="6" t="str">
        <x:v>Retain canonical and indexation policy pending a live check.</x:v>
      </x:c>
      <x:c r="Q1381" s="6" t="str">
        <x:v>Proposed; no website change made</x:v>
      </x:c>
      <x:c r="R1381" s="14"/>
      <x:c r="S1381" s="14"/>
      <x:c r="T1381" s="15"/>
      <x:c r="U1381" s="16"/>
      <x:c r="V1381" s="6" t="str">
        <x:v>https://digitecme.com/porsche/problems/battery-warning</x:v>
      </x:c>
      <x:c r="W1381" s="6" t="str">
        <x:v>Indexable directive</x:v>
      </x:c>
      <x:c r="X1381" s="6" t="n">
        <x:v>4</x:v>
      </x:c>
      <x:c r="Y1381" s="6" t="str">
        <x:v>Porsche Battery Warning: Causes &amp; Diagnosis | Digi-Tec</x:v>
      </x:c>
      <x:c r="Z1381" s="6" t="str"/>
      <x:c r="AA1381" s="6" t="str">
        <x:v>No / not compared</x:v>
      </x:c>
    </x:row>
    <x:row r="1382" ht="57" customHeight="1">
      <x:c r="A1382" s="6" t="str">
        <x:v>https://digitecme.com/porsche/problems/brake-warning-light</x:v>
      </x:c>
      <x:c r="B1382" s="6" t="str"/>
      <x:c r="C1382" s="6" t="str"/>
      <x:c r="D1382" s="6" t="str">
        <x:v>article</x:v>
      </x:c>
      <x:c r="E1382" s="6" t="str">
        <x:v>Retain differentiated role</x:v>
      </x:c>
      <x:c r="F1382" s="6" t="str">
        <x:v>Local source render; live version unverified</x:v>
      </x:c>
      <x:c r="G1382" s="6" t="str">
        <x:v>Porsche Brake Warning Light: Causes &amp; Diagnosis | Digi-Tec</x:v>
      </x:c>
      <x:c r="H1382" s="6" t="str">
        <x:v>Porsche Brake Warning Light: Causes &amp; Diagnosis | Digi-Tec</x:v>
      </x:c>
      <x:c r="I1382" s="6" t="str">
        <x:v>Porsche Brake Warning Light</x:v>
      </x:c>
      <x:c r="J1382" s="6" t="str">
        <x:v>Porsche Brake Warning Light</x:v>
      </x:c>
      <x:c r="K1382" s="6" t="str">
        <x:v>Porsche Brake Warning Light explained for Dubai owners: symptoms, possible causes, safe checks, driving risk and the appropriate Porsche diagnostic service.</x:v>
      </x:c>
      <x:c r="L1382" s="6" t="str">
        <x:v>Retain pending evidence; no specific content edit justified by this export.</x:v>
      </x:c>
      <x:c r="M1382" s="6" t="str">
        <x:v>Retain; inspect relevant context before adding links</x:v>
      </x:c>
      <x:c r="N1382" s="6" t="str">
        <x:v>Unconfirmed — no query/page pairing</x:v>
      </x:c>
      <x:c r="O1382" s="6" t="str">
        <x:v>Retain established booking / WhatsApp / call path; live behaviour untested</x:v>
      </x:c>
      <x:c r="P1382" s="6" t="str">
        <x:v>Retain canonical and indexation policy pending a live check.</x:v>
      </x:c>
      <x:c r="Q1382" s="6" t="str">
        <x:v>Proposed; no website change made</x:v>
      </x:c>
      <x:c r="R1382" s="14"/>
      <x:c r="S1382" s="14"/>
      <x:c r="T1382" s="15"/>
      <x:c r="U1382" s="16"/>
      <x:c r="V1382" s="6" t="str">
        <x:v>https://digitecme.com/porsche/problems/brake-warning-light</x:v>
      </x:c>
      <x:c r="W1382" s="6" t="str">
        <x:v>Indexable directive</x:v>
      </x:c>
      <x:c r="X1382" s="6" t="n">
        <x:v>2</x:v>
      </x:c>
      <x:c r="Y1382" s="6" t="str">
        <x:v>Porsche Brake Warning Light: Causes &amp; Diagnosis | Digi-Tec</x:v>
      </x:c>
      <x:c r="Z1382" s="6" t="str"/>
      <x:c r="AA1382" s="6" t="str">
        <x:v>No / not compared</x:v>
      </x:c>
    </x:row>
    <x:row r="1383" ht="57" customHeight="1">
      <x:c r="A1383" s="6" t="str">
        <x:v>https://digitecme.com/porsche/problems/cayenne-air-suspension</x:v>
      </x:c>
      <x:c r="B1383" s="6" t="str"/>
      <x:c r="C1383" s="6" t="str"/>
      <x:c r="D1383" s="6" t="str">
        <x:v>article</x:v>
      </x:c>
      <x:c r="E1383" s="6" t="str">
        <x:v>Retain differentiated role</x:v>
      </x:c>
      <x:c r="F1383" s="6" t="str">
        <x:v>Local source render; live version unverified</x:v>
      </x:c>
      <x:c r="G1383" s="6" t="str">
        <x:v>Porsche Cayenne Air Suspension Problems: Causes &amp; Diagnosis | Digi-Tec</x:v>
      </x:c>
      <x:c r="H1383" s="6" t="str">
        <x:v>Porsche Cayenne Air Suspension Problems: Causes &amp; Diagnosis | Digi-Tec</x:v>
      </x:c>
      <x:c r="I1383" s="6" t="str">
        <x:v>Porsche Cayenne Air Suspension Problems</x:v>
      </x:c>
      <x:c r="J1383" s="6" t="str">
        <x:v>Porsche Cayenne Air Suspension Problems</x:v>
      </x:c>
      <x:c r="K1383" s="6" t="str">
        <x:v>Porsche Cayenne Air Suspension Problems explained for Dubai owners: symptoms, possible causes, safe checks, driving risk and the appropriate Porsche diagnostic service.</x:v>
      </x:c>
      <x:c r="L1383" s="6" t="str">
        <x:v>Retain pending evidence; no specific content edit justified by this export.</x:v>
      </x:c>
      <x:c r="M1383" s="6" t="str">
        <x:v>Retain; inspect relevant context before adding links</x:v>
      </x:c>
      <x:c r="N1383" s="6" t="str">
        <x:v>Unconfirmed — no query/page pairing</x:v>
      </x:c>
      <x:c r="O1383" s="6" t="str">
        <x:v>Retain established booking / WhatsApp / call path; live behaviour untested</x:v>
      </x:c>
      <x:c r="P1383" s="6" t="str">
        <x:v>Retain canonical and indexation policy pending a live check.</x:v>
      </x:c>
      <x:c r="Q1383" s="6" t="str">
        <x:v>Proposed; no website change made</x:v>
      </x:c>
      <x:c r="R1383" s="14"/>
      <x:c r="S1383" s="14"/>
      <x:c r="T1383" s="15"/>
      <x:c r="U1383" s="16"/>
      <x:c r="V1383" s="6" t="str">
        <x:v>https://digitecme.com/porsche/problems/cayenne-air-suspension</x:v>
      </x:c>
      <x:c r="W1383" s="6" t="str">
        <x:v>Indexable directive</x:v>
      </x:c>
      <x:c r="X1383" s="6" t="n">
        <x:v>2</x:v>
      </x:c>
      <x:c r="Y1383" s="6" t="str">
        <x:v>Porsche Cayenne Air Suspension Problems: Causes &amp; Diagnosis | Digi-Tec</x:v>
      </x:c>
      <x:c r="Z1383" s="6" t="str"/>
      <x:c r="AA1383" s="6" t="str">
        <x:v>No / not compared</x:v>
      </x:c>
    </x:row>
    <x:row r="1384" ht="57" customHeight="1">
      <x:c r="A1384" s="6" t="str">
        <x:v>https://digitecme.com/porsche/problems/check-engine-light</x:v>
      </x:c>
      <x:c r="B1384" s="6" t="str"/>
      <x:c r="C1384" s="6" t="str"/>
      <x:c r="D1384" s="6" t="str">
        <x:v>article</x:v>
      </x:c>
      <x:c r="E1384" s="6" t="str">
        <x:v>Retain differentiated role</x:v>
      </x:c>
      <x:c r="F1384" s="6" t="str">
        <x:v>Local source render; live version unverified</x:v>
      </x:c>
      <x:c r="G1384" s="6" t="str">
        <x:v>Porsche Check Engine Light: Causes &amp; Diagnosis | Digi-Tec</x:v>
      </x:c>
      <x:c r="H1384" s="6" t="str">
        <x:v>Porsche Check Engine Light: Causes &amp; Diagnosis | Digi-Tec</x:v>
      </x:c>
      <x:c r="I1384" s="6" t="str">
        <x:v>Porsche Check Engine Light</x:v>
      </x:c>
      <x:c r="J1384" s="6" t="str">
        <x:v>Porsche Check Engine Light</x:v>
      </x:c>
      <x:c r="K1384" s="6" t="str">
        <x:v>Porsche Check Engine Light explained for Dubai owners: symptoms, possible causes, safe checks, driving risk and the appropriate Porsche diagnostic service.</x:v>
      </x:c>
      <x:c r="L1384" s="6" t="str">
        <x:v>Retain pending evidence; no specific content edit justified by this export.</x:v>
      </x:c>
      <x:c r="M1384" s="6" t="str">
        <x:v>Retain; inspect relevant context before adding links</x:v>
      </x:c>
      <x:c r="N1384" s="6" t="str">
        <x:v>Unconfirmed — no query/page pairing</x:v>
      </x:c>
      <x:c r="O1384" s="6" t="str">
        <x:v>Retain established booking / WhatsApp / call path; live behaviour untested</x:v>
      </x:c>
      <x:c r="P1384" s="6" t="str">
        <x:v>Retain canonical and indexation policy pending a live check.</x:v>
      </x:c>
      <x:c r="Q1384" s="6" t="str">
        <x:v>Proposed; no website change made</x:v>
      </x:c>
      <x:c r="R1384" s="14"/>
      <x:c r="S1384" s="14"/>
      <x:c r="T1384" s="15"/>
      <x:c r="U1384" s="16"/>
      <x:c r="V1384" s="6" t="str">
        <x:v>https://digitecme.com/porsche/problems/check-engine-light</x:v>
      </x:c>
      <x:c r="W1384" s="6" t="str">
        <x:v>Indexable directive</x:v>
      </x:c>
      <x:c r="X1384" s="6" t="n">
        <x:v>12</x:v>
      </x:c>
      <x:c r="Y1384" s="6" t="str">
        <x:v>Porsche Check Engine Light: Causes &amp; Diagnosis | Digi-Tec</x:v>
      </x:c>
      <x:c r="Z1384" s="6" t="str"/>
      <x:c r="AA1384" s="6" t="str">
        <x:v>No / not compared</x:v>
      </x:c>
    </x:row>
    <x:row r="1385" ht="57" customHeight="1">
      <x:c r="A1385" s="6" t="str">
        <x:v>https://digitecme.com/porsche/problems/coolant-leak</x:v>
      </x:c>
      <x:c r="B1385" s="6" t="str"/>
      <x:c r="C1385" s="6" t="str"/>
      <x:c r="D1385" s="6" t="str">
        <x:v>article</x:v>
      </x:c>
      <x:c r="E1385" s="6" t="str">
        <x:v>Retain differentiated role</x:v>
      </x:c>
      <x:c r="F1385" s="6" t="str">
        <x:v>Local source render; live version unverified</x:v>
      </x:c>
      <x:c r="G1385" s="6" t="str">
        <x:v>Porsche Coolant Leak: Causes &amp; Diagnosis | Digi-Tec</x:v>
      </x:c>
      <x:c r="H1385" s="6" t="str">
        <x:v>Porsche Coolant Leak: Causes &amp; Diagnosis | Digi-Tec</x:v>
      </x:c>
      <x:c r="I1385" s="6" t="str">
        <x:v>Porsche Coolant Leak</x:v>
      </x:c>
      <x:c r="J1385" s="6" t="str">
        <x:v>Porsche Coolant Leak</x:v>
      </x:c>
      <x:c r="K1385" s="6" t="str">
        <x:v>Porsche Coolant Leak explained for Dubai owners: symptoms, possible causes, safe checks, driving risk and the appropriate Porsche diagnostic service.</x:v>
      </x:c>
      <x:c r="L1385" s="6" t="str">
        <x:v>Retain pending evidence; no specific content edit justified by this export.</x:v>
      </x:c>
      <x:c r="M1385" s="6" t="str">
        <x:v>Retain; inspect relevant context before adding links</x:v>
      </x:c>
      <x:c r="N1385" s="6" t="str">
        <x:v>Unconfirmed — no query/page pairing</x:v>
      </x:c>
      <x:c r="O1385" s="6" t="str">
        <x:v>Retain established booking / WhatsApp / call path; live behaviour untested</x:v>
      </x:c>
      <x:c r="P1385" s="6" t="str">
        <x:v>Retain canonical and indexation policy pending a live check.</x:v>
      </x:c>
      <x:c r="Q1385" s="6" t="str">
        <x:v>Proposed; no website change made</x:v>
      </x:c>
      <x:c r="R1385" s="14"/>
      <x:c r="S1385" s="14"/>
      <x:c r="T1385" s="15"/>
      <x:c r="U1385" s="16"/>
      <x:c r="V1385" s="6" t="str">
        <x:v>https://digitecme.com/porsche/problems/coolant-leak</x:v>
      </x:c>
      <x:c r="W1385" s="6" t="str">
        <x:v>Indexable directive</x:v>
      </x:c>
      <x:c r="X1385" s="6" t="n">
        <x:v>7</x:v>
      </x:c>
      <x:c r="Y1385" s="6" t="str">
        <x:v>Porsche Coolant Leak: Causes &amp; Diagnosis | Digi-Tec</x:v>
      </x:c>
      <x:c r="Z1385" s="6" t="str"/>
      <x:c r="AA1385" s="6" t="str">
        <x:v>No / not compared</x:v>
      </x:c>
    </x:row>
    <x:row r="1386" ht="57" customHeight="1">
      <x:c r="A1386" s="6" t="str">
        <x:v>https://digitecme.com/porsche/problems/delayed-gear-engagement</x:v>
      </x:c>
      <x:c r="B1386" s="6" t="str"/>
      <x:c r="C1386" s="6" t="str"/>
      <x:c r="D1386" s="6" t="str">
        <x:v>article</x:v>
      </x:c>
      <x:c r="E1386" s="6" t="str">
        <x:v>Retain differentiated role</x:v>
      </x:c>
      <x:c r="F1386" s="6" t="str">
        <x:v>Local source render; live version unverified</x:v>
      </x:c>
      <x:c r="G1386" s="6" t="str">
        <x:v>Porsche Delayed Gear Engagement: Causes &amp; Diagnosis | Digi-Tec</x:v>
      </x:c>
      <x:c r="H1386" s="6" t="str">
        <x:v>Porsche Delayed Gear Engagement: Causes &amp; Diagnosis | Digi-Tec</x:v>
      </x:c>
      <x:c r="I1386" s="6" t="str">
        <x:v>Porsche Delayed Gear Engagement</x:v>
      </x:c>
      <x:c r="J1386" s="6" t="str">
        <x:v>Porsche Delayed Gear Engagement</x:v>
      </x:c>
      <x:c r="K1386" s="6" t="str">
        <x:v>Porsche Delayed Gear Engagement explained for Dubai owners: symptoms, possible causes, safe checks, driving risk and the appropriate Porsche diagnostic service.</x:v>
      </x:c>
      <x:c r="L1386" s="6" t="str">
        <x:v>Retain pending evidence; no specific content edit justified by this export.</x:v>
      </x:c>
      <x:c r="M1386" s="6" t="str">
        <x:v>Retain; inspect relevant context before adding links</x:v>
      </x:c>
      <x:c r="N1386" s="6" t="str">
        <x:v>Unconfirmed — no query/page pairing</x:v>
      </x:c>
      <x:c r="O1386" s="6" t="str">
        <x:v>Retain established booking / WhatsApp / call path; live behaviour untested</x:v>
      </x:c>
      <x:c r="P1386" s="6" t="str">
        <x:v>Retain canonical and indexation policy pending a live check.</x:v>
      </x:c>
      <x:c r="Q1386" s="6" t="str">
        <x:v>Proposed; no website change made</x:v>
      </x:c>
      <x:c r="R1386" s="14"/>
      <x:c r="S1386" s="14"/>
      <x:c r="T1386" s="15"/>
      <x:c r="U1386" s="16"/>
      <x:c r="V1386" s="6" t="str">
        <x:v>https://digitecme.com/porsche/problems/delayed-gear-engagement</x:v>
      </x:c>
      <x:c r="W1386" s="6" t="str">
        <x:v>Indexable directive</x:v>
      </x:c>
      <x:c r="X1386" s="6" t="n">
        <x:v>10</x:v>
      </x:c>
      <x:c r="Y1386" s="6" t="str">
        <x:v>Porsche Delayed Gear Engagement: Causes &amp; Diagnosis | Digi-Tec</x:v>
      </x:c>
      <x:c r="Z1386" s="6" t="str"/>
      <x:c r="AA1386" s="6" t="str">
        <x:v>No / not compared</x:v>
      </x:c>
    </x:row>
    <x:row r="1387" ht="57" customHeight="1">
      <x:c r="A1387" s="6" t="str">
        <x:v>https://digitecme.com/porsche/problems/engine-misfire</x:v>
      </x:c>
      <x:c r="B1387" s="6" t="str"/>
      <x:c r="C1387" s="6" t="str"/>
      <x:c r="D1387" s="6" t="str">
        <x:v>article</x:v>
      </x:c>
      <x:c r="E1387" s="6" t="str">
        <x:v>Retain differentiated role</x:v>
      </x:c>
      <x:c r="F1387" s="6" t="str">
        <x:v>Local source render; live version unverified</x:v>
      </x:c>
      <x:c r="G1387" s="6" t="str">
        <x:v>Porsche Engine Misfire: Causes &amp; Diagnosis | Digi-Tec</x:v>
      </x:c>
      <x:c r="H1387" s="6" t="str">
        <x:v>Porsche Engine Misfire: Causes &amp; Diagnosis | Digi-Tec</x:v>
      </x:c>
      <x:c r="I1387" s="6" t="str">
        <x:v>Porsche Engine Misfire</x:v>
      </x:c>
      <x:c r="J1387" s="6" t="str">
        <x:v>Porsche Engine Misfire</x:v>
      </x:c>
      <x:c r="K1387" s="6" t="str">
        <x:v>Porsche Engine Misfire explained for Dubai owners: symptoms, possible causes, safe checks, driving risk and the appropriate Porsche diagnostic service.</x:v>
      </x:c>
      <x:c r="L1387" s="6" t="str">
        <x:v>Retain pending evidence; no specific content edit justified by this export.</x:v>
      </x:c>
      <x:c r="M1387" s="6" t="str">
        <x:v>Retain; inspect relevant context before adding links</x:v>
      </x:c>
      <x:c r="N1387" s="6" t="str">
        <x:v>Unconfirmed — no query/page pairing</x:v>
      </x:c>
      <x:c r="O1387" s="6" t="str">
        <x:v>Retain established booking / WhatsApp / call path; live behaviour untested</x:v>
      </x:c>
      <x:c r="P1387" s="6" t="str">
        <x:v>Retain canonical and indexation policy pending a live check.</x:v>
      </x:c>
      <x:c r="Q1387" s="6" t="str">
        <x:v>Proposed; no website change made</x:v>
      </x:c>
      <x:c r="R1387" s="14"/>
      <x:c r="S1387" s="14"/>
      <x:c r="T1387" s="15"/>
      <x:c r="U1387" s="16"/>
      <x:c r="V1387" s="6" t="str">
        <x:v>https://digitecme.com/porsche/problems/engine-misfire</x:v>
      </x:c>
      <x:c r="W1387" s="6" t="str">
        <x:v>Indexable directive</x:v>
      </x:c>
      <x:c r="X1387" s="6" t="n">
        <x:v>7</x:v>
      </x:c>
      <x:c r="Y1387" s="6" t="str">
        <x:v>Porsche Engine Misfire: Causes &amp; Diagnosis | Digi-Tec</x:v>
      </x:c>
      <x:c r="Z1387" s="6" t="str"/>
      <x:c r="AA1387" s="6" t="str">
        <x:v>No / not compared</x:v>
      </x:c>
    </x:row>
    <x:row r="1388" ht="57" customHeight="1">
      <x:c r="A1388" s="6" t="str">
        <x:v>https://digitecme.com/porsche/problems/engine-overheating</x:v>
      </x:c>
      <x:c r="B1388" s="6" t="str"/>
      <x:c r="C1388" s="6" t="str"/>
      <x:c r="D1388" s="6" t="str">
        <x:v>article</x:v>
      </x:c>
      <x:c r="E1388" s="6" t="str">
        <x:v>Retain differentiated role</x:v>
      </x:c>
      <x:c r="F1388" s="6" t="str">
        <x:v>Local source render; live version unverified</x:v>
      </x:c>
      <x:c r="G1388" s="6" t="str">
        <x:v>Porsche Engine Overheating: Causes &amp; Diagnosis | Digi-Tec</x:v>
      </x:c>
      <x:c r="H1388" s="6" t="str">
        <x:v>Porsche Engine Overheating: Causes &amp; Diagnosis | Digi-Tec</x:v>
      </x:c>
      <x:c r="I1388" s="6" t="str">
        <x:v>Porsche Engine Overheating</x:v>
      </x:c>
      <x:c r="J1388" s="6" t="str">
        <x:v>Porsche Engine Overheating</x:v>
      </x:c>
      <x:c r="K1388" s="6" t="str">
        <x:v>Porsche Engine Overheating explained for Dubai owners: symptoms, possible causes, safe checks, driving risk and the appropriate Porsche diagnostic service.</x:v>
      </x:c>
      <x:c r="L1388" s="6" t="str">
        <x:v>Retain pending evidence; no specific content edit justified by this export.</x:v>
      </x:c>
      <x:c r="M1388" s="6" t="str">
        <x:v>Retain; inspect relevant context before adding links</x:v>
      </x:c>
      <x:c r="N1388" s="6" t="str">
        <x:v>Unconfirmed — no query/page pairing</x:v>
      </x:c>
      <x:c r="O1388" s="6" t="str">
        <x:v>Retain established booking / WhatsApp / call path; live behaviour untested</x:v>
      </x:c>
      <x:c r="P1388" s="6" t="str">
        <x:v>Retain canonical and indexation policy pending a live check.</x:v>
      </x:c>
      <x:c r="Q1388" s="6" t="str">
        <x:v>Proposed; no website change made</x:v>
      </x:c>
      <x:c r="R1388" s="14"/>
      <x:c r="S1388" s="14"/>
      <x:c r="T1388" s="15"/>
      <x:c r="U1388" s="16"/>
      <x:c r="V1388" s="6" t="str">
        <x:v>https://digitecme.com/porsche/problems/engine-overheating</x:v>
      </x:c>
      <x:c r="W1388" s="6" t="str">
        <x:v>Indexable directive</x:v>
      </x:c>
      <x:c r="X1388" s="6" t="n">
        <x:v>13</x:v>
      </x:c>
      <x:c r="Y1388" s="6" t="str">
        <x:v>Porsche Engine Overheating: Causes &amp; Diagnosis | Digi-Tec</x:v>
      </x:c>
      <x:c r="Z1388" s="6" t="str"/>
      <x:c r="AA1388" s="6" t="str">
        <x:v>No / not compared</x:v>
      </x:c>
    </x:row>
    <x:row r="1389" ht="57" customHeight="1">
      <x:c r="A1389" s="6" t="str">
        <x:v>https://digitecme.com/porsche/problems/excessive-oil-consumption</x:v>
      </x:c>
      <x:c r="B1389" s="6" t="str"/>
      <x:c r="C1389" s="6" t="str"/>
      <x:c r="D1389" s="6" t="str">
        <x:v>article</x:v>
      </x:c>
      <x:c r="E1389" s="6" t="str">
        <x:v>Retain differentiated role</x:v>
      </x:c>
      <x:c r="F1389" s="6" t="str">
        <x:v>Local source render; live version unverified</x:v>
      </x:c>
      <x:c r="G1389" s="6" t="str">
        <x:v>Porsche Excessive Oil Consumption: Causes &amp; Diagnosis | Digi-Tec</x:v>
      </x:c>
      <x:c r="H1389" s="6" t="str">
        <x:v>Porsche Excessive Oil Consumption: Causes &amp; Diagnosis | Digi-Tec</x:v>
      </x:c>
      <x:c r="I1389" s="6" t="str">
        <x:v>Porsche Excessive Oil Consumption</x:v>
      </x:c>
      <x:c r="J1389" s="6" t="str">
        <x:v>Porsche Excessive Oil Consumption</x:v>
      </x:c>
      <x:c r="K1389" s="6" t="str">
        <x:v>Porsche Excessive Oil Consumption explained for Dubai owners: symptoms, possible causes, safe checks, driving risk and the appropriate Porsche diagnostic service.</x:v>
      </x:c>
      <x:c r="L1389" s="6" t="str">
        <x:v>Retain pending evidence; no specific content edit justified by this export.</x:v>
      </x:c>
      <x:c r="M1389" s="6" t="str">
        <x:v>Retain; inspect relevant context before adding links</x:v>
      </x:c>
      <x:c r="N1389" s="6" t="str">
        <x:v>Unconfirmed — no query/page pairing</x:v>
      </x:c>
      <x:c r="O1389" s="6" t="str">
        <x:v>Retain established booking / WhatsApp / call path; live behaviour untested</x:v>
      </x:c>
      <x:c r="P1389" s="6" t="str">
        <x:v>Retain canonical and indexation policy pending a live check.</x:v>
      </x:c>
      <x:c r="Q1389" s="6" t="str">
        <x:v>Proposed; no website change made</x:v>
      </x:c>
      <x:c r="R1389" s="14"/>
      <x:c r="S1389" s="14"/>
      <x:c r="T1389" s="15"/>
      <x:c r="U1389" s="16"/>
      <x:c r="V1389" s="6" t="str">
        <x:v>https://digitecme.com/porsche/problems/excessive-oil-consumption</x:v>
      </x:c>
      <x:c r="W1389" s="6" t="str">
        <x:v>Indexable directive</x:v>
      </x:c>
      <x:c r="X1389" s="6" t="n">
        <x:v>6</x:v>
      </x:c>
      <x:c r="Y1389" s="6" t="str">
        <x:v>Porsche Excessive Oil Consumption: Causes &amp; Diagnosis | Digi-Tec</x:v>
      </x:c>
      <x:c r="Z1389" s="6" t="str"/>
      <x:c r="AA1389" s="6" t="str">
        <x:v>No / not compared</x:v>
      </x:c>
    </x:row>
    <x:row r="1390" ht="57" customHeight="1">
      <x:c r="A1390" s="6" t="str">
        <x:v>https://digitecme.com/porsche/problems/macan-transfer-case</x:v>
      </x:c>
      <x:c r="B1390" s="6" t="str"/>
      <x:c r="C1390" s="6" t="str"/>
      <x:c r="D1390" s="6" t="str">
        <x:v>article</x:v>
      </x:c>
      <x:c r="E1390" s="6" t="str">
        <x:v>Retain differentiated role</x:v>
      </x:c>
      <x:c r="F1390" s="6" t="str">
        <x:v>Local source render; live version unverified</x:v>
      </x:c>
      <x:c r="G1390" s="6" t="str">
        <x:v>Porsche Macan Transfer Case Symptoms: Causes &amp; Diagnosis | Digi-Tec</x:v>
      </x:c>
      <x:c r="H1390" s="6" t="str">
        <x:v>Porsche Macan Transfer Case Symptoms: Causes &amp; Diagnosis | Digi-Tec</x:v>
      </x:c>
      <x:c r="I1390" s="6" t="str">
        <x:v>Porsche Macan Transfer Case Symptoms</x:v>
      </x:c>
      <x:c r="J1390" s="6" t="str">
        <x:v>Porsche Macan Transfer Case Symptoms</x:v>
      </x:c>
      <x:c r="K1390" s="6" t="str">
        <x:v>Porsche Macan Transfer Case Symptoms explained for Dubai owners: symptoms, possible causes, safe checks, driving risk and the appropriate Porsche diagnostic service.</x:v>
      </x:c>
      <x:c r="L1390" s="6" t="str">
        <x:v>Retain pending evidence; no specific content edit justified by this export.</x:v>
      </x:c>
      <x:c r="M1390" s="6" t="str">
        <x:v>Retain; inspect relevant context before adding links</x:v>
      </x:c>
      <x:c r="N1390" s="6" t="str">
        <x:v>Unconfirmed — no query/page pairing</x:v>
      </x:c>
      <x:c r="O1390" s="6" t="str">
        <x:v>Retain established booking / WhatsApp / call path; live behaviour untested</x:v>
      </x:c>
      <x:c r="P1390" s="6" t="str">
        <x:v>Retain canonical and indexation policy pending a live check.</x:v>
      </x:c>
      <x:c r="Q1390" s="6" t="str">
        <x:v>Proposed; no website change made</x:v>
      </x:c>
      <x:c r="R1390" s="14"/>
      <x:c r="S1390" s="14"/>
      <x:c r="T1390" s="15"/>
      <x:c r="U1390" s="16"/>
      <x:c r="V1390" s="6" t="str">
        <x:v>https://digitecme.com/porsche/problems/macan-transfer-case</x:v>
      </x:c>
      <x:c r="W1390" s="6" t="str">
        <x:v>Indexable directive</x:v>
      </x:c>
      <x:c r="X1390" s="6" t="n">
        <x:v>6</x:v>
      </x:c>
      <x:c r="Y1390" s="6" t="str">
        <x:v>Porsche Macan Transfer Case Symptoms: Causes &amp; Diagnosis | Digi-Tec</x:v>
      </x:c>
      <x:c r="Z1390" s="6" t="str"/>
      <x:c r="AA1390" s="6" t="str">
        <x:v>No / not compared</x:v>
      </x:c>
    </x:row>
    <x:row r="1391" ht="57" customHeight="1">
      <x:c r="A1391" s="6" t="str">
        <x:v>https://digitecme.com/porsche/problems/oil-leak</x:v>
      </x:c>
      <x:c r="B1391" s="6" t="str"/>
      <x:c r="C1391" s="6" t="str"/>
      <x:c r="D1391" s="6" t="str">
        <x:v>article</x:v>
      </x:c>
      <x:c r="E1391" s="6" t="str">
        <x:v>Retain differentiated role</x:v>
      </x:c>
      <x:c r="F1391" s="6" t="str">
        <x:v>Local source render; live version unverified</x:v>
      </x:c>
      <x:c r="G1391" s="6" t="str">
        <x:v>Porsche Oil Leak: Causes &amp; Diagnosis | Digi-Tec</x:v>
      </x:c>
      <x:c r="H1391" s="6" t="str">
        <x:v>Porsche Oil Leak: Causes &amp; Diagnosis | Digi-Tec</x:v>
      </x:c>
      <x:c r="I1391" s="6" t="str">
        <x:v>Porsche Oil Leak</x:v>
      </x:c>
      <x:c r="J1391" s="6" t="str">
        <x:v>Porsche Oil Leak</x:v>
      </x:c>
      <x:c r="K1391" s="6" t="str">
        <x:v>Porsche Oil Leak explained for Dubai owners: symptoms, possible causes, safe checks, driving risk and the appropriate Porsche diagnostic service.</x:v>
      </x:c>
      <x:c r="L1391" s="6" t="str">
        <x:v>Retain pending evidence; no specific content edit justified by this export.</x:v>
      </x:c>
      <x:c r="M1391" s="6" t="str">
        <x:v>Retain; inspect relevant context before adding links</x:v>
      </x:c>
      <x:c r="N1391" s="6" t="str">
        <x:v>Unconfirmed — no query/page pairing</x:v>
      </x:c>
      <x:c r="O1391" s="6" t="str">
        <x:v>Retain established booking / WhatsApp / call path; live behaviour untested</x:v>
      </x:c>
      <x:c r="P1391" s="6" t="str">
        <x:v>Retain canonical and indexation policy pending a live check.</x:v>
      </x:c>
      <x:c r="Q1391" s="6" t="str">
        <x:v>Proposed; no website change made</x:v>
      </x:c>
      <x:c r="R1391" s="14"/>
      <x:c r="S1391" s="14"/>
      <x:c r="T1391" s="15"/>
      <x:c r="U1391" s="16"/>
      <x:c r="V1391" s="6" t="str">
        <x:v>https://digitecme.com/porsche/problems/oil-leak</x:v>
      </x:c>
      <x:c r="W1391" s="6" t="str">
        <x:v>Indexable directive</x:v>
      </x:c>
      <x:c r="X1391" s="6" t="n">
        <x:v>8</x:v>
      </x:c>
      <x:c r="Y1391" s="6" t="str">
        <x:v>Porsche Oil Leak: Causes &amp; Diagnosis | Digi-Tec</x:v>
      </x:c>
      <x:c r="Z1391" s="6" t="str"/>
      <x:c r="AA1391" s="6" t="str">
        <x:v>No / not compared</x:v>
      </x:c>
    </x:row>
    <x:row r="1392" ht="57" customHeight="1">
      <x:c r="A1392" s="6" t="str">
        <x:v>https://digitecme.com/porsche/problems/pasm-fault</x:v>
      </x:c>
      <x:c r="B1392" s="6" t="str"/>
      <x:c r="C1392" s="6" t="str"/>
      <x:c r="D1392" s="6" t="str">
        <x:v>article</x:v>
      </x:c>
      <x:c r="E1392" s="6" t="str">
        <x:v>Retain differentiated role</x:v>
      </x:c>
      <x:c r="F1392" s="6" t="str">
        <x:v>Local source render; live version unverified</x:v>
      </x:c>
      <x:c r="G1392" s="6" t="str">
        <x:v>Porsche PASM Fault: Causes &amp; Diagnosis | Digi-Tec</x:v>
      </x:c>
      <x:c r="H1392" s="6" t="str">
        <x:v>Porsche PASM Fault: Causes &amp; Diagnosis | Digi-Tec</x:v>
      </x:c>
      <x:c r="I1392" s="6" t="str">
        <x:v>Porsche PASM Fault</x:v>
      </x:c>
      <x:c r="J1392" s="6" t="str">
        <x:v>Porsche PASM Fault</x:v>
      </x:c>
      <x:c r="K1392" s="6" t="str">
        <x:v>Porsche PASM Fault explained for Dubai owners: symptoms, possible causes, safe checks, driving risk and the appropriate Porsche diagnostic service.</x:v>
      </x:c>
      <x:c r="L1392" s="6" t="str">
        <x:v>Retain pending evidence; no specific content edit justified by this export.</x:v>
      </x:c>
      <x:c r="M1392" s="6" t="str">
        <x:v>Retain; inspect relevant context before adding links</x:v>
      </x:c>
      <x:c r="N1392" s="6" t="str">
        <x:v>Unconfirmed — no query/page pairing</x:v>
      </x:c>
      <x:c r="O1392" s="6" t="str">
        <x:v>Retain established booking / WhatsApp / call path; live behaviour untested</x:v>
      </x:c>
      <x:c r="P1392" s="6" t="str">
        <x:v>Retain canonical and indexation policy pending a live check.</x:v>
      </x:c>
      <x:c r="Q1392" s="6" t="str">
        <x:v>Proposed; no website change made</x:v>
      </x:c>
      <x:c r="R1392" s="14"/>
      <x:c r="S1392" s="14"/>
      <x:c r="T1392" s="15"/>
      <x:c r="U1392" s="16"/>
      <x:c r="V1392" s="6" t="str">
        <x:v>https://digitecme.com/porsche/problems/pasm-fault</x:v>
      </x:c>
      <x:c r="W1392" s="6" t="str">
        <x:v>Indexable directive</x:v>
      </x:c>
      <x:c r="X1392" s="6" t="n">
        <x:v>13</x:v>
      </x:c>
      <x:c r="Y1392" s="6" t="str">
        <x:v>Porsche PASM Fault: Causes &amp; Diagnosis | Digi-Tec</x:v>
      </x:c>
      <x:c r="Z1392" s="6" t="str"/>
      <x:c r="AA1392" s="6" t="str">
        <x:v>No / not compared</x:v>
      </x:c>
    </x:row>
    <x:row r="1393" ht="57" customHeight="1">
      <x:c r="A1393" s="6" t="str">
        <x:v>https://digitecme.com/porsche/problems/pdcc-fault</x:v>
      </x:c>
      <x:c r="B1393" s="6" t="str"/>
      <x:c r="C1393" s="6" t="str"/>
      <x:c r="D1393" s="6" t="str">
        <x:v>article</x:v>
      </x:c>
      <x:c r="E1393" s="6" t="str">
        <x:v>Retain differentiated role</x:v>
      </x:c>
      <x:c r="F1393" s="6" t="str">
        <x:v>Local source render; live version unverified</x:v>
      </x:c>
      <x:c r="G1393" s="6" t="str">
        <x:v>Porsche PDCC Fault: Causes &amp; Diagnosis | Digi-Tec</x:v>
      </x:c>
      <x:c r="H1393" s="6" t="str">
        <x:v>Porsche PDCC Fault: Causes &amp; Diagnosis | Digi-Tec</x:v>
      </x:c>
      <x:c r="I1393" s="6" t="str">
        <x:v>Porsche PDCC Fault</x:v>
      </x:c>
      <x:c r="J1393" s="6" t="str">
        <x:v>Porsche PDCC Fault</x:v>
      </x:c>
      <x:c r="K1393" s="6" t="str">
        <x:v>Porsche PDCC Fault explained for Dubai owners: symptoms, possible causes, safe checks, driving risk and the appropriate Porsche diagnostic service.</x:v>
      </x:c>
      <x:c r="L1393" s="6" t="str">
        <x:v>Retain pending evidence; no specific content edit justified by this export.</x:v>
      </x:c>
      <x:c r="M1393" s="6" t="str">
        <x:v>Retain; inspect relevant context before adding links</x:v>
      </x:c>
      <x:c r="N1393" s="6" t="str">
        <x:v>Unconfirmed — no query/page pairing</x:v>
      </x:c>
      <x:c r="O1393" s="6" t="str">
        <x:v>Retain established booking / WhatsApp / call path; live behaviour untested</x:v>
      </x:c>
      <x:c r="P1393" s="6" t="str">
        <x:v>Retain canonical and indexation policy pending a live check.</x:v>
      </x:c>
      <x:c r="Q1393" s="6" t="str">
        <x:v>Proposed; no website change made</x:v>
      </x:c>
      <x:c r="R1393" s="14"/>
      <x:c r="S1393" s="14"/>
      <x:c r="T1393" s="15"/>
      <x:c r="U1393" s="16"/>
      <x:c r="V1393" s="6" t="str">
        <x:v>https://digitecme.com/porsche/problems/pdcc-fault</x:v>
      </x:c>
      <x:c r="W1393" s="6" t="str">
        <x:v>Indexable directive</x:v>
      </x:c>
      <x:c r="X1393" s="6" t="n">
        <x:v>6</x:v>
      </x:c>
      <x:c r="Y1393" s="6" t="str">
        <x:v>Porsche PDCC Fault: Causes &amp; Diagnosis | Digi-Tec</x:v>
      </x:c>
      <x:c r="Z1393" s="6" t="str"/>
      <x:c r="AA1393" s="6" t="str">
        <x:v>No / not compared</x:v>
      </x:c>
    </x:row>
    <x:row r="1394" ht="57" customHeight="1">
      <x:c r="A1394" s="6" t="str">
        <x:v>https://digitecme.com/porsche/problems/pdk-jerking</x:v>
      </x:c>
      <x:c r="B1394" s="6" t="str"/>
      <x:c r="C1394" s="6" t="str"/>
      <x:c r="D1394" s="6" t="str">
        <x:v>article</x:v>
      </x:c>
      <x:c r="E1394" s="6" t="str">
        <x:v>Retain differentiated role</x:v>
      </x:c>
      <x:c r="F1394" s="6" t="str">
        <x:v>Local source render; live version unverified</x:v>
      </x:c>
      <x:c r="G1394" s="6" t="str">
        <x:v>Porsche PDK Jerking: Causes &amp; Diagnosis | Digi-Tec</x:v>
      </x:c>
      <x:c r="H1394" s="6" t="str">
        <x:v>Porsche PDK Jerking: Causes &amp; Diagnosis | Digi-Tec</x:v>
      </x:c>
      <x:c r="I1394" s="6" t="str">
        <x:v>Porsche PDK Jerking</x:v>
      </x:c>
      <x:c r="J1394" s="6" t="str">
        <x:v>Porsche PDK Jerking</x:v>
      </x:c>
      <x:c r="K1394" s="6" t="str">
        <x:v>Porsche PDK Jerking explained for Dubai owners: symptoms, possible causes, safe checks, driving risk and the appropriate Porsche diagnostic service.</x:v>
      </x:c>
      <x:c r="L1394" s="6" t="str">
        <x:v>Retain pending evidence; no specific content edit justified by this export.</x:v>
      </x:c>
      <x:c r="M1394" s="6" t="str">
        <x:v>Retain; inspect relevant context before adding links</x:v>
      </x:c>
      <x:c r="N1394" s="6" t="str">
        <x:v>Unconfirmed — no query/page pairing</x:v>
      </x:c>
      <x:c r="O1394" s="6" t="str">
        <x:v>Retain established booking / WhatsApp / call path; live behaviour untested</x:v>
      </x:c>
      <x:c r="P1394" s="6" t="str">
        <x:v>Retain canonical and indexation policy pending a live check.</x:v>
      </x:c>
      <x:c r="Q1394" s="6" t="str">
        <x:v>Proposed; no website change made</x:v>
      </x:c>
      <x:c r="R1394" s="14"/>
      <x:c r="S1394" s="14"/>
      <x:c r="T1394" s="15"/>
      <x:c r="U1394" s="16"/>
      <x:c r="V1394" s="6" t="str">
        <x:v>https://digitecme.com/porsche/problems/pdk-jerking</x:v>
      </x:c>
      <x:c r="W1394" s="6" t="str">
        <x:v>Indexable directive</x:v>
      </x:c>
      <x:c r="X1394" s="6" t="n">
        <x:v>6</x:v>
      </x:c>
      <x:c r="Y1394" s="6" t="str">
        <x:v>Porsche PDK Jerking: Causes &amp; Diagnosis | Digi-Tec</x:v>
      </x:c>
      <x:c r="Z1394" s="6" t="str"/>
      <x:c r="AA1394" s="6" t="str">
        <x:v>No / not compared</x:v>
      </x:c>
    </x:row>
    <x:row r="1395" ht="57" customHeight="1">
      <x:c r="A1395" s="6" t="str">
        <x:v>https://digitecme.com/porsche/problems/pdk-slipping</x:v>
      </x:c>
      <x:c r="B1395" s="6" t="str"/>
      <x:c r="C1395" s="6" t="str"/>
      <x:c r="D1395" s="6" t="str">
        <x:v>article</x:v>
      </x:c>
      <x:c r="E1395" s="6" t="str">
        <x:v>Retain differentiated role</x:v>
      </x:c>
      <x:c r="F1395" s="6" t="str">
        <x:v>Local source render; live version unverified</x:v>
      </x:c>
      <x:c r="G1395" s="6" t="str">
        <x:v>Porsche PDK Slipping: Causes &amp; Diagnosis | Digi-Tec</x:v>
      </x:c>
      <x:c r="H1395" s="6" t="str">
        <x:v>Porsche PDK Slipping: Causes &amp; Diagnosis | Digi-Tec</x:v>
      </x:c>
      <x:c r="I1395" s="6" t="str">
        <x:v>Porsche PDK Slipping</x:v>
      </x:c>
      <x:c r="J1395" s="6" t="str">
        <x:v>Porsche PDK Slipping</x:v>
      </x:c>
      <x:c r="K1395" s="6" t="str">
        <x:v>Porsche PDK Slipping explained for Dubai owners: symptoms, possible causes, safe checks, driving risk and the appropriate Porsche diagnostic service.</x:v>
      </x:c>
      <x:c r="L1395" s="6" t="str">
        <x:v>Retain pending evidence; no specific content edit justified by this export.</x:v>
      </x:c>
      <x:c r="M1395" s="6" t="str">
        <x:v>Retain; inspect relevant context before adding links</x:v>
      </x:c>
      <x:c r="N1395" s="6" t="str">
        <x:v>Unconfirmed — no query/page pairing</x:v>
      </x:c>
      <x:c r="O1395" s="6" t="str">
        <x:v>Retain established booking / WhatsApp / call path; live behaviour untested</x:v>
      </x:c>
      <x:c r="P1395" s="6" t="str">
        <x:v>Retain canonical and indexation policy pending a live check.</x:v>
      </x:c>
      <x:c r="Q1395" s="6" t="str">
        <x:v>Proposed; no website change made</x:v>
      </x:c>
      <x:c r="R1395" s="14"/>
      <x:c r="S1395" s="14"/>
      <x:c r="T1395" s="15"/>
      <x:c r="U1395" s="16"/>
      <x:c r="V1395" s="6" t="str">
        <x:v>https://digitecme.com/porsche/problems/pdk-slipping</x:v>
      </x:c>
      <x:c r="W1395" s="6" t="str">
        <x:v>Indexable directive</x:v>
      </x:c>
      <x:c r="X1395" s="6" t="n">
        <x:v>4</x:v>
      </x:c>
      <x:c r="Y1395" s="6" t="str">
        <x:v>Porsche PDK Slipping: Causes &amp; Diagnosis | Digi-Tec</x:v>
      </x:c>
      <x:c r="Z1395" s="6" t="str"/>
      <x:c r="AA1395" s="6" t="str">
        <x:v>No / not compared</x:v>
      </x:c>
    </x:row>
    <x:row r="1396" ht="57" customHeight="1">
      <x:c r="A1396" s="6" t="str">
        <x:v>https://digitecme.com/porsche/problems/pdk-warning-message</x:v>
      </x:c>
      <x:c r="B1396" s="6" t="str"/>
      <x:c r="C1396" s="6" t="str"/>
      <x:c r="D1396" s="6" t="str">
        <x:v>article</x:v>
      </x:c>
      <x:c r="E1396" s="6" t="str">
        <x:v>Retain differentiated role</x:v>
      </x:c>
      <x:c r="F1396" s="6" t="str">
        <x:v>Local source render; live version unverified</x:v>
      </x:c>
      <x:c r="G1396" s="6" t="str">
        <x:v>Porsche PDK Warning Message: Causes &amp; Diagnosis | Digi-Tec</x:v>
      </x:c>
      <x:c r="H1396" s="6" t="str">
        <x:v>Porsche PDK Warning Message: Causes &amp; Diagnosis | Digi-Tec</x:v>
      </x:c>
      <x:c r="I1396" s="6" t="str">
        <x:v>Porsche PDK Warning Message</x:v>
      </x:c>
      <x:c r="J1396" s="6" t="str">
        <x:v>Porsche PDK Warning Message</x:v>
      </x:c>
      <x:c r="K1396" s="6" t="str">
        <x:v>Porsche PDK Warning Message explained for Dubai owners: symptoms, possible causes, safe checks, driving risk and the appropriate Porsche diagnostic service.</x:v>
      </x:c>
      <x:c r="L1396" s="6" t="str">
        <x:v>Retain pending evidence; no specific content edit justified by this export.</x:v>
      </x:c>
      <x:c r="M1396" s="6" t="str">
        <x:v>Retain; inspect relevant context before adding links</x:v>
      </x:c>
      <x:c r="N1396" s="6" t="str">
        <x:v>Unconfirmed — no query/page pairing</x:v>
      </x:c>
      <x:c r="O1396" s="6" t="str">
        <x:v>Retain established booking / WhatsApp / call path; live behaviour untested</x:v>
      </x:c>
      <x:c r="P1396" s="6" t="str">
        <x:v>Retain canonical and indexation policy pending a live check.</x:v>
      </x:c>
      <x:c r="Q1396" s="6" t="str">
        <x:v>Proposed; no website change made</x:v>
      </x:c>
      <x:c r="R1396" s="14"/>
      <x:c r="S1396" s="14"/>
      <x:c r="T1396" s="15"/>
      <x:c r="U1396" s="16"/>
      <x:c r="V1396" s="6" t="str">
        <x:v>https://digitecme.com/porsche/problems/pdk-warning-message</x:v>
      </x:c>
      <x:c r="W1396" s="6" t="str">
        <x:v>Indexable directive</x:v>
      </x:c>
      <x:c r="X1396" s="6" t="n">
        <x:v>6</x:v>
      </x:c>
      <x:c r="Y1396" s="6" t="str">
        <x:v>Porsche PDK Warning Message: Causes &amp; Diagnosis | Digi-Tec</x:v>
      </x:c>
      <x:c r="Z1396" s="6" t="str"/>
      <x:c r="AA1396" s="6" t="str">
        <x:v>No / not compared</x:v>
      </x:c>
    </x:row>
    <x:row r="1397" ht="57" customHeight="1">
      <x:c r="A1397" s="6" t="str">
        <x:v>https://digitecme.com/porsche/problems/steering-vibration</x:v>
      </x:c>
      <x:c r="B1397" s="6" t="str"/>
      <x:c r="C1397" s="6" t="str"/>
      <x:c r="D1397" s="6" t="str">
        <x:v>article</x:v>
      </x:c>
      <x:c r="E1397" s="6" t="str">
        <x:v>Retain differentiated role</x:v>
      </x:c>
      <x:c r="F1397" s="6" t="str">
        <x:v>Local source render; live version unverified</x:v>
      </x:c>
      <x:c r="G1397" s="6" t="str">
        <x:v>Porsche Steering Vibration: Causes &amp; Diagnosis | Digi-Tec</x:v>
      </x:c>
      <x:c r="H1397" s="6" t="str">
        <x:v>Porsche Steering Vibration: Causes &amp; Diagnosis | Digi-Tec</x:v>
      </x:c>
      <x:c r="I1397" s="6" t="str">
        <x:v>Porsche Steering Vibration</x:v>
      </x:c>
      <x:c r="J1397" s="6" t="str">
        <x:v>Porsche Steering Vibration</x:v>
      </x:c>
      <x:c r="K1397" s="6" t="str">
        <x:v>Porsche Steering Vibration explained for Dubai owners: symptoms, possible causes, safe checks, driving risk and the appropriate Porsche diagnostic service.</x:v>
      </x:c>
      <x:c r="L1397" s="6" t="str">
        <x:v>Retain pending evidence; no specific content edit justified by this export.</x:v>
      </x:c>
      <x:c r="M1397" s="6" t="str">
        <x:v>Retain; inspect relevant context before adding links</x:v>
      </x:c>
      <x:c r="N1397" s="6" t="str">
        <x:v>Unconfirmed — no query/page pairing</x:v>
      </x:c>
      <x:c r="O1397" s="6" t="str">
        <x:v>Retain established booking / WhatsApp / call path; live behaviour untested</x:v>
      </x:c>
      <x:c r="P1397" s="6" t="str">
        <x:v>Retain canonical and indexation policy pending a live check.</x:v>
      </x:c>
      <x:c r="Q1397" s="6" t="str">
        <x:v>Proposed; no website change made</x:v>
      </x:c>
      <x:c r="R1397" s="14"/>
      <x:c r="S1397" s="14"/>
      <x:c r="T1397" s="15"/>
      <x:c r="U1397" s="16"/>
      <x:c r="V1397" s="6" t="str">
        <x:v>https://digitecme.com/porsche/problems/steering-vibration</x:v>
      </x:c>
      <x:c r="W1397" s="6" t="str">
        <x:v>Indexable directive</x:v>
      </x:c>
      <x:c r="X1397" s="6" t="n">
        <x:v>3</x:v>
      </x:c>
      <x:c r="Y1397" s="6" t="str">
        <x:v>Porsche Steering Vibration: Causes &amp; Diagnosis | Digi-Tec</x:v>
      </x:c>
      <x:c r="Z1397" s="6" t="str"/>
      <x:c r="AA1397" s="6" t="str">
        <x:v>No / not compared</x:v>
      </x:c>
    </x:row>
    <x:row r="1398" ht="57" customHeight="1">
      <x:c r="A1398" s="6" t="str">
        <x:v>https://digitecme.com/porsche/problems/suspension-dropping-overnight</x:v>
      </x:c>
      <x:c r="B1398" s="6" t="str"/>
      <x:c r="C1398" s="6" t="str"/>
      <x:c r="D1398" s="6" t="str">
        <x:v>article</x:v>
      </x:c>
      <x:c r="E1398" s="6" t="str">
        <x:v>Retain differentiated role</x:v>
      </x:c>
      <x:c r="F1398" s="6" t="str">
        <x:v>Local source render; live version unverified</x:v>
      </x:c>
      <x:c r="G1398" s="6" t="str">
        <x:v>Porsche Suspension Dropping Overnight: Causes &amp; Diagnosis | Digi-Tec</x:v>
      </x:c>
      <x:c r="H1398" s="6" t="str">
        <x:v>Porsche Suspension Dropping Overnight: Causes &amp; Diagnosis | Digi-Tec</x:v>
      </x:c>
      <x:c r="I1398" s="6" t="str">
        <x:v>Porsche Suspension Dropping Overnight</x:v>
      </x:c>
      <x:c r="J1398" s="6" t="str">
        <x:v>Porsche Suspension Dropping Overnight</x:v>
      </x:c>
      <x:c r="K1398" s="6" t="str">
        <x:v>Porsche Suspension Dropping Overnight explained for Dubai owners: symptoms, possible causes, safe checks, driving risk and the appropriate Porsche diagnostic service.</x:v>
      </x:c>
      <x:c r="L1398" s="6" t="str">
        <x:v>Retain pending evidence; no specific content edit justified by this export.</x:v>
      </x:c>
      <x:c r="M1398" s="6" t="str">
        <x:v>Retain; inspect relevant context before adding links</x:v>
      </x:c>
      <x:c r="N1398" s="6" t="str">
        <x:v>Unconfirmed — no query/page pairing</x:v>
      </x:c>
      <x:c r="O1398" s="6" t="str">
        <x:v>Retain established booking / WhatsApp / call path; live behaviour untested</x:v>
      </x:c>
      <x:c r="P1398" s="6" t="str">
        <x:v>Retain canonical and indexation policy pending a live check.</x:v>
      </x:c>
      <x:c r="Q1398" s="6" t="str">
        <x:v>Proposed; no website change made</x:v>
      </x:c>
      <x:c r="R1398" s="14"/>
      <x:c r="S1398" s="14"/>
      <x:c r="T1398" s="15"/>
      <x:c r="U1398" s="16"/>
      <x:c r="V1398" s="6" t="str">
        <x:v>https://digitecme.com/porsche/problems/suspension-dropping-overnight</x:v>
      </x:c>
      <x:c r="W1398" s="6" t="str">
        <x:v>Indexable directive</x:v>
      </x:c>
      <x:c r="X1398" s="6" t="n">
        <x:v>7</x:v>
      </x:c>
      <x:c r="Y1398" s="6" t="str">
        <x:v>Porsche Suspension Dropping Overnight: Causes &amp; Diagnosis | Digi-Tec</x:v>
      </x:c>
      <x:c r="Z1398" s="6" t="str"/>
      <x:c r="AA1398" s="6" t="str">
        <x:v>No / not compared</x:v>
      </x:c>
    </x:row>
    <x:row r="1399" ht="57" customHeight="1">
      <x:c r="A1399" s="6" t="str">
        <x:v>https://digitecme.com/porsche/problems/taycan-12v-battery</x:v>
      </x:c>
      <x:c r="B1399" s="6" t="str"/>
      <x:c r="C1399" s="6" t="str"/>
      <x:c r="D1399" s="6" t="str">
        <x:v>article</x:v>
      </x:c>
      <x:c r="E1399" s="6" t="str">
        <x:v>Retain differentiated role</x:v>
      </x:c>
      <x:c r="F1399" s="6" t="str">
        <x:v>Local source render; live version unverified</x:v>
      </x:c>
      <x:c r="G1399" s="6" t="str">
        <x:v>Porsche Taycan 12V Battery Problems: Causes &amp; Diagnosis | Digi-Tec</x:v>
      </x:c>
      <x:c r="H1399" s="6" t="str">
        <x:v>Porsche Taycan 12V Battery Problems: Causes &amp; Diagnosis | Digi-Tec</x:v>
      </x:c>
      <x:c r="I1399" s="6" t="str">
        <x:v>Porsche Taycan 12V Battery Problems</x:v>
      </x:c>
      <x:c r="J1399" s="6" t="str">
        <x:v>Porsche Taycan 12V Battery Problems</x:v>
      </x:c>
      <x:c r="K1399" s="6" t="str">
        <x:v>Porsche Taycan 12V Battery Problems explained for Dubai owners: symptoms, possible causes, safe checks, driving risk and the appropriate Porsche diagnostic service.</x:v>
      </x:c>
      <x:c r="L1399" s="6" t="str">
        <x:v>Retain pending evidence; no specific content edit justified by this export.</x:v>
      </x:c>
      <x:c r="M1399" s="6" t="str">
        <x:v>Retain; inspect relevant context before adding links</x:v>
      </x:c>
      <x:c r="N1399" s="6" t="str">
        <x:v>Unconfirmed — no query/page pairing</x:v>
      </x:c>
      <x:c r="O1399" s="6" t="str">
        <x:v>Retain established booking / WhatsApp / call path; live behaviour untested</x:v>
      </x:c>
      <x:c r="P1399" s="6" t="str">
        <x:v>Retain canonical and indexation policy pending a live check.</x:v>
      </x:c>
      <x:c r="Q1399" s="6" t="str">
        <x:v>Proposed; no website change made</x:v>
      </x:c>
      <x:c r="R1399" s="14"/>
      <x:c r="S1399" s="14"/>
      <x:c r="T1399" s="15"/>
      <x:c r="U1399" s="16"/>
      <x:c r="V1399" s="6" t="str">
        <x:v>https://digitecme.com/porsche/problems/taycan-12v-battery</x:v>
      </x:c>
      <x:c r="W1399" s="6" t="str">
        <x:v>Indexable directive</x:v>
      </x:c>
      <x:c r="X1399" s="6" t="n">
        <x:v>3</x:v>
      </x:c>
      <x:c r="Y1399" s="6" t="str">
        <x:v>Porsche Taycan 12V Battery Problems: Causes &amp; Diagnosis | Digi-Tec</x:v>
      </x:c>
      <x:c r="Z1399" s="6" t="str"/>
      <x:c r="AA1399" s="6" t="str">
        <x:v>No / not compared</x:v>
      </x:c>
    </x:row>
    <x:row r="1400" ht="57" customHeight="1">
      <x:c r="A1400" s="6" t="str">
        <x:v>https://digitecme.com/porsche/problems/taycan-charging</x:v>
      </x:c>
      <x:c r="B1400" s="6" t="str"/>
      <x:c r="C1400" s="6" t="str"/>
      <x:c r="D1400" s="6" t="str">
        <x:v>article</x:v>
      </x:c>
      <x:c r="E1400" s="6" t="str">
        <x:v>Retain differentiated role</x:v>
      </x:c>
      <x:c r="F1400" s="6" t="str">
        <x:v>Local source render; live version unverified</x:v>
      </x:c>
      <x:c r="G1400" s="6" t="str">
        <x:v>Porsche Taycan Charging Problems: Causes &amp; Diagnosis | Digi-Tec</x:v>
      </x:c>
      <x:c r="H1400" s="6" t="str">
        <x:v>Porsche Taycan Charging Problems: Causes &amp; Diagnosis | Digi-Tec</x:v>
      </x:c>
      <x:c r="I1400" s="6" t="str">
        <x:v>Porsche Taycan Charging Problems</x:v>
      </x:c>
      <x:c r="J1400" s="6" t="str">
        <x:v>Porsche Taycan Charging Problems</x:v>
      </x:c>
      <x:c r="K1400" s="6" t="str">
        <x:v>Porsche Taycan Charging Problems explained for Dubai owners: symptoms, possible causes, safe checks, driving risk and the appropriate Porsche diagnostic service.</x:v>
      </x:c>
      <x:c r="L1400" s="6" t="str">
        <x:v>Retain pending evidence; no specific content edit justified by this export.</x:v>
      </x:c>
      <x:c r="M1400" s="6" t="str">
        <x:v>Retain; inspect relevant context before adding links</x:v>
      </x:c>
      <x:c r="N1400" s="6" t="str">
        <x:v>Unconfirmed — no query/page pairing</x:v>
      </x:c>
      <x:c r="O1400" s="6" t="str">
        <x:v>Retain established booking / WhatsApp / call path; live behaviour untested</x:v>
      </x:c>
      <x:c r="P1400" s="6" t="str">
        <x:v>Retain canonical and indexation policy pending a live check.</x:v>
      </x:c>
      <x:c r="Q1400" s="6" t="str">
        <x:v>Proposed; no website change made</x:v>
      </x:c>
      <x:c r="R1400" s="14"/>
      <x:c r="S1400" s="14"/>
      <x:c r="T1400" s="15"/>
      <x:c r="U1400" s="16"/>
      <x:c r="V1400" s="6" t="str">
        <x:v>https://digitecme.com/porsche/problems/taycan-charging</x:v>
      </x:c>
      <x:c r="W1400" s="6" t="str">
        <x:v>Indexable directive</x:v>
      </x:c>
      <x:c r="X1400" s="6" t="n">
        <x:v>3</x:v>
      </x:c>
      <x:c r="Y1400" s="6" t="str">
        <x:v>Porsche Taycan Charging Problems: Causes &amp; Diagnosis | Digi-Tec</x:v>
      </x:c>
      <x:c r="Z1400" s="6" t="str"/>
      <x:c r="AA1400" s="6" t="str">
        <x:v>No / not compared</x:v>
      </x:c>
    </x:row>
    <x:row r="1401" ht="57" customHeight="1">
      <x:c r="A1401" s="6" t="str">
        <x:v>https://digitecme.com/porsche/problems/wont-start</x:v>
      </x:c>
      <x:c r="B1401" s="6" t="str"/>
      <x:c r="C1401" s="6" t="str"/>
      <x:c r="D1401" s="6" t="str">
        <x:v>article</x:v>
      </x:c>
      <x:c r="E1401" s="6" t="str">
        <x:v>Retain differentiated role</x:v>
      </x:c>
      <x:c r="F1401" s="6" t="str">
        <x:v>Local source render; live version unverified</x:v>
      </x:c>
      <x:c r="G1401" s="6" t="str">
        <x:v>Porsche Won't Start: Causes &amp; Diagnosis | Digi-Tec</x:v>
      </x:c>
      <x:c r="H1401" s="6" t="str">
        <x:v>Porsche Won't Start: Causes &amp; Diagnosis | Digi-Tec</x:v>
      </x:c>
      <x:c r="I1401" s="6" t="str">
        <x:v>Porsche Won't Start</x:v>
      </x:c>
      <x:c r="J1401" s="6" t="str">
        <x:v>Porsche Won't Start</x:v>
      </x:c>
      <x:c r="K1401" s="6" t="str">
        <x:v>Porsche Won't Start explained for Dubai owners: symptoms, possible causes, safe checks, driving risk and the appropriate Porsche diagnostic service.</x:v>
      </x:c>
      <x:c r="L1401" s="6" t="str">
        <x:v>Retain pending evidence; no specific content edit justified by this export.</x:v>
      </x:c>
      <x:c r="M1401" s="6" t="str">
        <x:v>Retain; inspect relevant context before adding links</x:v>
      </x:c>
      <x:c r="N1401" s="6" t="str">
        <x:v>Unconfirmed — no query/page pairing</x:v>
      </x:c>
      <x:c r="O1401" s="6" t="str">
        <x:v>Retain established booking / WhatsApp / call path; live behaviour untested</x:v>
      </x:c>
      <x:c r="P1401" s="6" t="str">
        <x:v>Retain canonical and indexation policy pending a live check.</x:v>
      </x:c>
      <x:c r="Q1401" s="6" t="str">
        <x:v>Proposed; no website change made</x:v>
      </x:c>
      <x:c r="R1401" s="14"/>
      <x:c r="S1401" s="14"/>
      <x:c r="T1401" s="15"/>
      <x:c r="U1401" s="16"/>
      <x:c r="V1401" s="6" t="str">
        <x:v>https://digitecme.com/porsche/problems/wont-start</x:v>
      </x:c>
      <x:c r="W1401" s="6" t="str">
        <x:v>Indexable directive</x:v>
      </x:c>
      <x:c r="X1401" s="6" t="n">
        <x:v>3</x:v>
      </x:c>
      <x:c r="Y1401" s="6" t="str">
        <x:v>Porsche Won't Start: Causes &amp; Diagnosis | Digi-Tec</x:v>
      </x:c>
      <x:c r="Z1401" s="6" t="str"/>
      <x:c r="AA1401" s="6" t="str">
        <x:v>No / not compared</x:v>
      </x:c>
    </x:row>
    <x:row r="1402" ht="42" customHeight="1">
      <x:c r="A1402" s="6" t="str">
        <x:v>https://digitecme.com/porsche/systems</x:v>
      </x:c>
      <x:c r="B1402" s="6" t="str"/>
      <x:c r="C1402" s="6" t="str"/>
      <x:c r="D1402" s="6" t="str">
        <x:v>html-sitemap</x:v>
      </x:c>
      <x:c r="E1402" s="6" t="str">
        <x:v>Retain differentiated role</x:v>
      </x:c>
      <x:c r="F1402" s="6" t="str">
        <x:v>Local source render; live version unverified</x:v>
      </x:c>
      <x:c r="G1402" s="6" t="str">
        <x:v>Porsche Systems Explained | Digi-Tec Dubai</x:v>
      </x:c>
      <x:c r="H1402" s="6" t="str">
        <x:v>Porsche Systems Explained | Digi-Tec Dubai</x:v>
      </x:c>
      <x:c r="I1402" s="6" t="str">
        <x:v>Porsche Systems Explained</x:v>
      </x:c>
      <x:c r="J1402" s="6" t="str">
        <x:v>Porsche Systems Explained</x:v>
      </x:c>
      <x:c r="K1402" s="6" t="str">
        <x:v>Understand Porsche PDK, Tiptronic, PASM, PDCC, PCCB, air suspension, Sport Chrono, rear-axle steering and PTM systems.</x:v>
      </x:c>
      <x:c r="L1402" s="6" t="str">
        <x:v>Retain pending evidence; no specific content edit justified by this export.</x:v>
      </x:c>
      <x:c r="M1402" s="6" t="str">
        <x:v>Retain; inspect relevant context before adding links</x:v>
      </x:c>
      <x:c r="N1402" s="6" t="str">
        <x:v>Unconfirmed — no query/page pairing</x:v>
      </x:c>
      <x:c r="O1402" s="6" t="str">
        <x:v>Retain established booking / WhatsApp / call path; live behaviour untested</x:v>
      </x:c>
      <x:c r="P1402" s="6" t="str">
        <x:v>Retain canonical and indexation policy pending a live check.</x:v>
      </x:c>
      <x:c r="Q1402" s="6" t="str">
        <x:v>Proposed; no website change made</x:v>
      </x:c>
      <x:c r="R1402" s="14"/>
      <x:c r="S1402" s="14"/>
      <x:c r="T1402" s="15"/>
      <x:c r="U1402" s="16"/>
      <x:c r="V1402" s="6" t="str">
        <x:v>https://digitecme.com/porsche/systems</x:v>
      </x:c>
      <x:c r="W1402" s="6" t="str">
        <x:v>Indexable directive</x:v>
      </x:c>
      <x:c r="X1402" s="6" t="n">
        <x:v>12</x:v>
      </x:c>
      <x:c r="Y1402" s="6" t="str">
        <x:v>Porsche Systems Explained | Digi-Tec Dubai</x:v>
      </x:c>
      <x:c r="Z1402" s="6" t="str"/>
      <x:c r="AA1402" s="6" t="str">
        <x:v>No / not compared</x:v>
      </x:c>
    </x:row>
    <x:row r="1403" ht="42" customHeight="1">
      <x:c r="A1403" s="6" t="str">
        <x:v>https://digitecme.com/porsche/systems/air-suspension</x:v>
      </x:c>
      <x:c r="B1403" s="6" t="str"/>
      <x:c r="C1403" s="6" t="str"/>
      <x:c r="D1403" s="6" t="str">
        <x:v>article</x:v>
      </x:c>
      <x:c r="E1403" s="6" t="str">
        <x:v>Retain differentiated role</x:v>
      </x:c>
      <x:c r="F1403" s="6" t="str">
        <x:v>Local source render; live version unverified</x:v>
      </x:c>
      <x:c r="G1403" s="6" t="str">
        <x:v>Porsche Air Suspension Explained | Digi-Tec Dubai</x:v>
      </x:c>
      <x:c r="H1403" s="6" t="str">
        <x:v>Porsche Air Suspension Explained | Digi-Tec Dubai</x:v>
      </x:c>
      <x:c r="I1403" s="6" t="str">
        <x:v>Porsche Air Suspension Explained</x:v>
      </x:c>
      <x:c r="J1403" s="6" t="str">
        <x:v>Porsche Air Suspension Explained</x:v>
      </x:c>
      <x:c r="K1403" s="6" t="str">
        <x:v>How Porsche air suspension works, which models use it and how low corners, slow lifting and warning messages are diagnosed.</x:v>
      </x:c>
      <x:c r="L1403" s="6" t="str">
        <x:v>Retain pending evidence; no specific content edit justified by this export.</x:v>
      </x:c>
      <x:c r="M1403" s="6" t="str">
        <x:v>Retain; inspect relevant context before adding links</x:v>
      </x:c>
      <x:c r="N1403" s="6" t="str">
        <x:v>Unconfirmed — no query/page pairing</x:v>
      </x:c>
      <x:c r="O1403" s="6" t="str">
        <x:v>Retain established booking / WhatsApp / call path; live behaviour untested</x:v>
      </x:c>
      <x:c r="P1403" s="6" t="str">
        <x:v>Retain canonical and indexation policy pending a live check.</x:v>
      </x:c>
      <x:c r="Q1403" s="6" t="str">
        <x:v>Proposed; no website change made</x:v>
      </x:c>
      <x:c r="R1403" s="14"/>
      <x:c r="S1403" s="14"/>
      <x:c r="T1403" s="15"/>
      <x:c r="U1403" s="16"/>
      <x:c r="V1403" s="6" t="str">
        <x:v>https://digitecme.com/porsche/systems/air-suspension</x:v>
      </x:c>
      <x:c r="W1403" s="6" t="str">
        <x:v>Indexable directive</x:v>
      </x:c>
      <x:c r="X1403" s="6" t="n">
        <x:v>6</x:v>
      </x:c>
      <x:c r="Y1403" s="6" t="str">
        <x:v>Porsche Air Suspension Explained | Digi-Tec Dubai</x:v>
      </x:c>
      <x:c r="Z1403" s="6" t="str"/>
      <x:c r="AA1403" s="6" t="str">
        <x:v>No / not compared</x:v>
      </x:c>
    </x:row>
    <x:row r="1404" ht="42" customHeight="1">
      <x:c r="A1404" s="6" t="str">
        <x:v>https://digitecme.com/porsche/systems/pasm</x:v>
      </x:c>
      <x:c r="B1404" s="6" t="str"/>
      <x:c r="C1404" s="6" t="str"/>
      <x:c r="D1404" s="6" t="str">
        <x:v>article</x:v>
      </x:c>
      <x:c r="E1404" s="6" t="str">
        <x:v>Retain differentiated role</x:v>
      </x:c>
      <x:c r="F1404" s="6" t="str">
        <x:v>Local source render; live version unverified</x:v>
      </x:c>
      <x:c r="G1404" s="6" t="str">
        <x:v>Porsche PASM Explained: Operation &amp; Faults | Digi-Tec</x:v>
      </x:c>
      <x:c r="H1404" s="6" t="str">
        <x:v>Porsche PASM Explained: Operation &amp; Faults | Digi-Tec</x:v>
      </x:c>
      <x:c r="I1404" s="6" t="str">
        <x:v>Porsche PASM Explained</x:v>
      </x:c>
      <x:c r="J1404" s="6" t="str">
        <x:v>Porsche PASM Explained</x:v>
      </x:c>
      <x:c r="K1404" s="6" t="str">
        <x:v>Porsche Active Suspension Management explained: adaptive damping, fitment, normal behaviour, warnings and diagnostic considerations.</x:v>
      </x:c>
      <x:c r="L1404" s="6" t="str">
        <x:v>Retain pending evidence; no specific content edit justified by this export.</x:v>
      </x:c>
      <x:c r="M1404" s="6" t="str">
        <x:v>Retain; inspect relevant context before adding links</x:v>
      </x:c>
      <x:c r="N1404" s="6" t="str">
        <x:v>Unconfirmed — no query/page pairing</x:v>
      </x:c>
      <x:c r="O1404" s="6" t="str">
        <x:v>Retain established booking / WhatsApp / call path; live behaviour untested</x:v>
      </x:c>
      <x:c r="P1404" s="6" t="str">
        <x:v>Retain canonical and indexation policy pending a live check.</x:v>
      </x:c>
      <x:c r="Q1404" s="6" t="str">
        <x:v>Proposed; no website change made</x:v>
      </x:c>
      <x:c r="R1404" s="14"/>
      <x:c r="S1404" s="14"/>
      <x:c r="T1404" s="15"/>
      <x:c r="U1404" s="16"/>
      <x:c r="V1404" s="6" t="str">
        <x:v>https://digitecme.com/porsche/systems/pasm</x:v>
      </x:c>
      <x:c r="W1404" s="6" t="str">
        <x:v>Indexable directive</x:v>
      </x:c>
      <x:c r="X1404" s="6" t="n">
        <x:v>12</x:v>
      </x:c>
      <x:c r="Y1404" s="6" t="str">
        <x:v>Porsche PASM Explained: Operation &amp; Faults | Digi-Tec</x:v>
      </x:c>
      <x:c r="Z1404" s="6" t="str"/>
      <x:c r="AA1404" s="6" t="str">
        <x:v>No / not compared</x:v>
      </x:c>
    </x:row>
    <x:row r="1405" ht="42" customHeight="1">
      <x:c r="A1405" s="6" t="str">
        <x:v>https://digitecme.com/porsche/systems/pccb</x:v>
      </x:c>
      <x:c r="B1405" s="6" t="str"/>
      <x:c r="C1405" s="6" t="str"/>
      <x:c r="D1405" s="6" t="str">
        <x:v>article</x:v>
      </x:c>
      <x:c r="E1405" s="6" t="str">
        <x:v>Retain differentiated role</x:v>
      </x:c>
      <x:c r="F1405" s="6" t="str">
        <x:v>Local source render; live version unverified</x:v>
      </x:c>
      <x:c r="G1405" s="6" t="str">
        <x:v>Porsche PCCB Explained: Inspection &amp; Warning Signs | Digi-Tec</x:v>
      </x:c>
      <x:c r="H1405" s="6" t="str">
        <x:v>Porsche PCCB Explained: Inspection &amp; Warning Signs | Digi-Tec</x:v>
      </x:c>
      <x:c r="I1405" s="6" t="str">
        <x:v>Porsche PCCB Explained</x:v>
      </x:c>
      <x:c r="J1405" s="6" t="str">
        <x:v>Porsche PCCB Explained</x:v>
      </x:c>
      <x:c r="K1405" s="6" t="str">
        <x:v>Porsche Ceramic Composite Brake operation, applications, inspection differences and warning signs explained for owners.</x:v>
      </x:c>
      <x:c r="L1405" s="6" t="str">
        <x:v>Retain pending evidence; no specific content edit justified by this export.</x:v>
      </x:c>
      <x:c r="M1405" s="6" t="str">
        <x:v>Retain; inspect relevant context before adding links</x:v>
      </x:c>
      <x:c r="N1405" s="6" t="str">
        <x:v>Unconfirmed — no query/page pairing</x:v>
      </x:c>
      <x:c r="O1405" s="6" t="str">
        <x:v>Retain established booking / WhatsApp / call path; live behaviour untested</x:v>
      </x:c>
      <x:c r="P1405" s="6" t="str">
        <x:v>Retain canonical and indexation policy pending a live check.</x:v>
      </x:c>
      <x:c r="Q1405" s="6" t="str">
        <x:v>Proposed; no website change made</x:v>
      </x:c>
      <x:c r="R1405" s="14"/>
      <x:c r="S1405" s="14"/>
      <x:c r="T1405" s="15"/>
      <x:c r="U1405" s="16"/>
      <x:c r="V1405" s="6" t="str">
        <x:v>https://digitecme.com/porsche/systems/pccb</x:v>
      </x:c>
      <x:c r="W1405" s="6" t="str">
        <x:v>Indexable directive</x:v>
      </x:c>
      <x:c r="X1405" s="6" t="n">
        <x:v>5</x:v>
      </x:c>
      <x:c r="Y1405" s="6" t="str">
        <x:v>Porsche PCCB Explained: Inspection &amp; Warning Signs | Digi-Tec</x:v>
      </x:c>
      <x:c r="Z1405" s="6" t="str"/>
      <x:c r="AA1405" s="6" t="str">
        <x:v>No / not compared</x:v>
      </x:c>
    </x:row>
    <x:row r="1406" ht="42" customHeight="1">
      <x:c r="A1406" s="6" t="str">
        <x:v>https://digitecme.com/porsche/systems/pdcc</x:v>
      </x:c>
      <x:c r="B1406" s="6" t="str"/>
      <x:c r="C1406" s="6" t="str"/>
      <x:c r="D1406" s="6" t="str">
        <x:v>article</x:v>
      </x:c>
      <x:c r="E1406" s="6" t="str">
        <x:v>Retain differentiated role</x:v>
      </x:c>
      <x:c r="F1406" s="6" t="str">
        <x:v>Local source render; live version unverified</x:v>
      </x:c>
      <x:c r="G1406" s="6" t="str">
        <x:v>Porsche PDCC Explained: Active Roll Control | Digi-Tec</x:v>
      </x:c>
      <x:c r="H1406" s="6" t="str">
        <x:v>Porsche PDCC Explained: Active Roll Control | Digi-Tec</x:v>
      </x:c>
      <x:c r="I1406" s="6" t="str">
        <x:v>Porsche PDCC Explained</x:v>
      </x:c>
      <x:c r="J1406" s="6" t="str">
        <x:v>Porsche PDCC Explained</x:v>
      </x:c>
      <x:c r="K1406" s="6" t="str">
        <x:v>Porsche Dynamic Chassis Control explained, including operation, applications, warning signs and diagnostic considerations.</x:v>
      </x:c>
      <x:c r="L1406" s="6" t="str">
        <x:v>Retain pending evidence; no specific content edit justified by this export.</x:v>
      </x:c>
      <x:c r="M1406" s="6" t="str">
        <x:v>Retain; inspect relevant context before adding links</x:v>
      </x:c>
      <x:c r="N1406" s="6" t="str">
        <x:v>Unconfirmed — no query/page pairing</x:v>
      </x:c>
      <x:c r="O1406" s="6" t="str">
        <x:v>Retain established booking / WhatsApp / call path; live behaviour untested</x:v>
      </x:c>
      <x:c r="P1406" s="6" t="str">
        <x:v>Retain canonical and indexation policy pending a live check.</x:v>
      </x:c>
      <x:c r="Q1406" s="6" t="str">
        <x:v>Proposed; no website change made</x:v>
      </x:c>
      <x:c r="R1406" s="14"/>
      <x:c r="S1406" s="14"/>
      <x:c r="T1406" s="15"/>
      <x:c r="U1406" s="16"/>
      <x:c r="V1406" s="6" t="str">
        <x:v>https://digitecme.com/porsche/systems/pdcc</x:v>
      </x:c>
      <x:c r="W1406" s="6" t="str">
        <x:v>Indexable directive</x:v>
      </x:c>
      <x:c r="X1406" s="6" t="n">
        <x:v>6</x:v>
      </x:c>
      <x:c r="Y1406" s="6" t="str">
        <x:v>Porsche PDCC Explained: Active Roll Control | Digi-Tec</x:v>
      </x:c>
      <x:c r="Z1406" s="6" t="str"/>
      <x:c r="AA1406" s="6" t="str">
        <x:v>No / not compared</x:v>
      </x:c>
    </x:row>
    <x:row r="1407" ht="42" customHeight="1">
      <x:c r="A1407" s="6" t="str">
        <x:v>https://digitecme.com/porsche/systems/pdk</x:v>
      </x:c>
      <x:c r="B1407" s="6" t="str"/>
      <x:c r="C1407" s="6" t="str"/>
      <x:c r="D1407" s="6" t="str">
        <x:v>article</x:v>
      </x:c>
      <x:c r="E1407" s="6" t="str">
        <x:v>Retain differentiated role</x:v>
      </x:c>
      <x:c r="F1407" s="6" t="str">
        <x:v>Local source render; live version unverified</x:v>
      </x:c>
      <x:c r="G1407" s="6" t="str">
        <x:v>Porsche PDK Explained: Operation &amp; Warning Signs | Digi-Tec</x:v>
      </x:c>
      <x:c r="H1407" s="6" t="str">
        <x:v>Porsche PDK Explained: Operation &amp; Warning Signs | Digi-Tec</x:v>
      </x:c>
      <x:c r="I1407" s="6" t="str">
        <x:v>Porsche PDK Explained</x:v>
      </x:c>
      <x:c r="J1407" s="6" t="str">
        <x:v>Porsche PDK Explained</x:v>
      </x:c>
      <x:c r="K1407" s="6" t="str">
        <x:v>Understand Porsche PDK operation, normal behaviour, warning signs and diagnostic considerations across 911, 718, Macan and Panamera models.</x:v>
      </x:c>
      <x:c r="L1407" s="6" t="str">
        <x:v>Retain pending evidence; no specific content edit justified by this export.</x:v>
      </x:c>
      <x:c r="M1407" s="6" t="str">
        <x:v>Retain; inspect relevant context before adding links</x:v>
      </x:c>
      <x:c r="N1407" s="6" t="str">
        <x:v>Unconfirmed — no query/page pairing</x:v>
      </x:c>
      <x:c r="O1407" s="6" t="str">
        <x:v>Retain established booking / WhatsApp / call path; live behaviour untested</x:v>
      </x:c>
      <x:c r="P1407" s="6" t="str">
        <x:v>Retain canonical and indexation policy pending a live check.</x:v>
      </x:c>
      <x:c r="Q1407" s="6" t="str">
        <x:v>Proposed; no website change made</x:v>
      </x:c>
      <x:c r="R1407" s="14"/>
      <x:c r="S1407" s="14"/>
      <x:c r="T1407" s="15"/>
      <x:c r="U1407" s="16"/>
      <x:c r="V1407" s="6" t="str">
        <x:v>https://digitecme.com/porsche/systems/pdk</x:v>
      </x:c>
      <x:c r="W1407" s="6" t="str">
        <x:v>Indexable directive</x:v>
      </x:c>
      <x:c r="X1407" s="6" t="n">
        <x:v>16</x:v>
      </x:c>
      <x:c r="Y1407" s="6" t="str">
        <x:v>Porsche PDK Explained: Operation &amp; Warning Signs | Digi-Tec</x:v>
      </x:c>
      <x:c r="Z1407" s="6" t="str"/>
      <x:c r="AA1407" s="6" t="str">
        <x:v>No / not compared</x:v>
      </x:c>
    </x:row>
    <x:row r="1408" ht="42" customHeight="1">
      <x:c r="A1408" s="6" t="str">
        <x:v>https://digitecme.com/porsche/systems/ptm-awd</x:v>
      </x:c>
      <x:c r="B1408" s="6" t="str"/>
      <x:c r="C1408" s="6" t="str"/>
      <x:c r="D1408" s="6" t="str">
        <x:v>article</x:v>
      </x:c>
      <x:c r="E1408" s="6" t="str">
        <x:v>Retain differentiated role</x:v>
      </x:c>
      <x:c r="F1408" s="6" t="str">
        <x:v>Local source render; live version unverified</x:v>
      </x:c>
      <x:c r="G1408" s="6" t="str">
        <x:v>Porsche PTM &amp; AWD Explained | Digi-Tec</x:v>
      </x:c>
      <x:c r="H1408" s="6" t="str">
        <x:v>Porsche PTM &amp; AWD Explained | Digi-Tec</x:v>
      </x:c>
      <x:c r="I1408" s="6" t="str">
        <x:v>Porsche PTM &amp; AWD Explained</x:v>
      </x:c>
      <x:c r="J1408" s="6" t="str">
        <x:v>Porsche PTM &amp; AWD Explained</x:v>
      </x:c>
      <x:c r="K1408" s="6" t="str">
        <x:v>Porsche Traction Management and AWD explained, including applications, normal behaviour and diagnosis of vibration, binding and warnings.</x:v>
      </x:c>
      <x:c r="L1408" s="6" t="str">
        <x:v>Retain pending evidence; no specific content edit justified by this export.</x:v>
      </x:c>
      <x:c r="M1408" s="6" t="str">
        <x:v>Retain; inspect relevant context before adding links</x:v>
      </x:c>
      <x:c r="N1408" s="6" t="str">
        <x:v>Unconfirmed — no query/page pairing</x:v>
      </x:c>
      <x:c r="O1408" s="6" t="str">
        <x:v>Retain established booking / WhatsApp / call path; live behaviour untested</x:v>
      </x:c>
      <x:c r="P1408" s="6" t="str">
        <x:v>Retain canonical and indexation policy pending a live check.</x:v>
      </x:c>
      <x:c r="Q1408" s="6" t="str">
        <x:v>Proposed; no website change made</x:v>
      </x:c>
      <x:c r="R1408" s="14"/>
      <x:c r="S1408" s="14"/>
      <x:c r="T1408" s="15"/>
      <x:c r="U1408" s="16"/>
      <x:c r="V1408" s="6" t="str">
        <x:v>https://digitecme.com/porsche/systems/ptm-awd</x:v>
      </x:c>
      <x:c r="W1408" s="6" t="str">
        <x:v>Indexable directive</x:v>
      </x:c>
      <x:c r="X1408" s="6" t="n">
        <x:v>3</x:v>
      </x:c>
      <x:c r="Y1408" s="6" t="str">
        <x:v>Porsche PTM &amp; AWD Explained | Digi-Tec</x:v>
      </x:c>
      <x:c r="Z1408" s="6" t="str"/>
      <x:c r="AA1408" s="6" t="str">
        <x:v>No / not compared</x:v>
      </x:c>
    </x:row>
    <x:row r="1409" ht="42" customHeight="1">
      <x:c r="A1409" s="6" t="str">
        <x:v>https://digitecme.com/porsche/systems/rear-axle-steering</x:v>
      </x:c>
      <x:c r="B1409" s="6" t="str"/>
      <x:c r="C1409" s="6" t="str"/>
      <x:c r="D1409" s="6" t="str">
        <x:v>article</x:v>
      </x:c>
      <x:c r="E1409" s="6" t="str">
        <x:v>Retain differentiated role</x:v>
      </x:c>
      <x:c r="F1409" s="6" t="str">
        <x:v>Local source render; live version unverified</x:v>
      </x:c>
      <x:c r="G1409" s="6" t="str">
        <x:v>Porsche Rear-Axle Steering Explained | Digi-Tec</x:v>
      </x:c>
      <x:c r="H1409" s="6" t="str">
        <x:v>Porsche Rear-Axle Steering Explained | Digi-Tec</x:v>
      </x:c>
      <x:c r="I1409" s="6" t="str">
        <x:v>Porsche Rear-Axle Steering Explained</x:v>
      </x:c>
      <x:c r="J1409" s="6" t="str">
        <x:v>Porsche Rear-Axle Steering Explained</x:v>
      </x:c>
      <x:c r="K1409" s="6" t="str">
        <x:v>How Porsche rear-axle steering behaves at low and high speed, where it is fitted and what warnings require diagnosis.</x:v>
      </x:c>
      <x:c r="L1409" s="6" t="str">
        <x:v>Retain pending evidence; no specific content edit justified by this export.</x:v>
      </x:c>
      <x:c r="M1409" s="6" t="str">
        <x:v>Retain; inspect relevant context before adding links</x:v>
      </x:c>
      <x:c r="N1409" s="6" t="str">
        <x:v>Unconfirmed — no query/page pairing</x:v>
      </x:c>
      <x:c r="O1409" s="6" t="str">
        <x:v>Retain established booking / WhatsApp / call path; live behaviour untested</x:v>
      </x:c>
      <x:c r="P1409" s="6" t="str">
        <x:v>Retain canonical and indexation policy pending a live check.</x:v>
      </x:c>
      <x:c r="Q1409" s="6" t="str">
        <x:v>Proposed; no website change made</x:v>
      </x:c>
      <x:c r="R1409" s="14"/>
      <x:c r="S1409" s="14"/>
      <x:c r="T1409" s="15"/>
      <x:c r="U1409" s="16"/>
      <x:c r="V1409" s="6" t="str">
        <x:v>https://digitecme.com/porsche/systems/rear-axle-steering</x:v>
      </x:c>
      <x:c r="W1409" s="6" t="str">
        <x:v>Indexable directive</x:v>
      </x:c>
      <x:c r="X1409" s="6" t="n">
        <x:v>2</x:v>
      </x:c>
      <x:c r="Y1409" s="6" t="str">
        <x:v>Porsche Rear-Axle Steering Explained | Digi-Tec</x:v>
      </x:c>
      <x:c r="Z1409" s="6" t="str"/>
      <x:c r="AA1409" s="6" t="str">
        <x:v>No / not compared</x:v>
      </x:c>
    </x:row>
    <x:row r="1410" ht="57" customHeight="1">
      <x:c r="A1410" s="6" t="str">
        <x:v>https://digitecme.com/porsche/systems/sport-chrono</x:v>
      </x:c>
      <x:c r="B1410" s="6" t="str"/>
      <x:c r="C1410" s="6" t="str"/>
      <x:c r="D1410" s="6" t="str">
        <x:v>article</x:v>
      </x:c>
      <x:c r="E1410" s="6" t="str">
        <x:v>Retain differentiated role</x:v>
      </x:c>
      <x:c r="F1410" s="6" t="str">
        <x:v>Local source render; live version unverified</x:v>
      </x:c>
      <x:c r="G1410" s="6" t="str">
        <x:v>Porsche Sport Chrono Explained | Digi-Tec</x:v>
      </x:c>
      <x:c r="H1410" s="6" t="str">
        <x:v>Porsche Sport Chrono Explained | Digi-Tec</x:v>
      </x:c>
      <x:c r="I1410" s="6" t="str">
        <x:v>Porsche Sport Chrono Explained</x:v>
      </x:c>
      <x:c r="J1410" s="6" t="str">
        <x:v>Porsche Sport Chrono Explained</x:v>
      </x:c>
      <x:c r="K1410" s="6" t="str">
        <x:v>Porsche Sport Chrono functions, applications, normal behaviour and diagnostic considerations explained without assuming identical features on every model.</x:v>
      </x:c>
      <x:c r="L1410" s="6" t="str">
        <x:v>Retain pending evidence; no specific content edit justified by this export.</x:v>
      </x:c>
      <x:c r="M1410" s="6" t="str">
        <x:v>Retain; inspect relevant context before adding links</x:v>
      </x:c>
      <x:c r="N1410" s="6" t="str">
        <x:v>Unconfirmed — no query/page pairing</x:v>
      </x:c>
      <x:c r="O1410" s="6" t="str">
        <x:v>Retain established booking / WhatsApp / call path; live behaviour untested</x:v>
      </x:c>
      <x:c r="P1410" s="6" t="str">
        <x:v>Retain canonical and indexation policy pending a live check.</x:v>
      </x:c>
      <x:c r="Q1410" s="6" t="str">
        <x:v>Proposed; no website change made</x:v>
      </x:c>
      <x:c r="R1410" s="14"/>
      <x:c r="S1410" s="14"/>
      <x:c r="T1410" s="15"/>
      <x:c r="U1410" s="16"/>
      <x:c r="V1410" s="6" t="str">
        <x:v>https://digitecme.com/porsche/systems/sport-chrono</x:v>
      </x:c>
      <x:c r="W1410" s="6" t="str">
        <x:v>Indexable directive</x:v>
      </x:c>
      <x:c r="X1410" s="6" t="n">
        <x:v>2</x:v>
      </x:c>
      <x:c r="Y1410" s="6" t="str">
        <x:v>Porsche Sport Chrono Explained | Digi-Tec</x:v>
      </x:c>
      <x:c r="Z1410" s="6" t="str"/>
      <x:c r="AA1410" s="6" t="str">
        <x:v>No / not compared</x:v>
      </x:c>
    </x:row>
    <x:row r="1411" ht="42" customHeight="1">
      <x:c r="A1411" s="6" t="str">
        <x:v>https://digitecme.com/porsche/systems/tiptronic</x:v>
      </x:c>
      <x:c r="B1411" s="6" t="str"/>
      <x:c r="C1411" s="6" t="str"/>
      <x:c r="D1411" s="6" t="str">
        <x:v>article</x:v>
      </x:c>
      <x:c r="E1411" s="6" t="str">
        <x:v>Retain differentiated role</x:v>
      </x:c>
      <x:c r="F1411" s="6" t="str">
        <x:v>Local source render; live version unverified</x:v>
      </x:c>
      <x:c r="G1411" s="6" t="str">
        <x:v>Porsche Tiptronic Explained | Digi-Tec Dubai</x:v>
      </x:c>
      <x:c r="H1411" s="6" t="str">
        <x:v>Porsche Tiptronic Explained | Digi-Tec Dubai</x:v>
      </x:c>
      <x:c r="I1411" s="6" t="str">
        <x:v>Porsche Tiptronic Explained</x:v>
      </x:c>
      <x:c r="J1411" s="6" t="str">
        <x:v>Porsche Tiptronic Explained</x:v>
      </x:c>
      <x:c r="K1411" s="6" t="str">
        <x:v>How Porsche Tiptronic automatic transmissions work, where they are used and how shift, fluid and driveline symptoms are diagnosed.</x:v>
      </x:c>
      <x:c r="L1411" s="6" t="str">
        <x:v>Retain pending evidence; no specific content edit justified by this export.</x:v>
      </x:c>
      <x:c r="M1411" s="6" t="str">
        <x:v>Retain; inspect relevant context before adding links</x:v>
      </x:c>
      <x:c r="N1411" s="6" t="str">
        <x:v>Unconfirmed — no query/page pairing</x:v>
      </x:c>
      <x:c r="O1411" s="6" t="str">
        <x:v>Retain established booking / WhatsApp / call path; live behaviour untested</x:v>
      </x:c>
      <x:c r="P1411" s="6" t="str">
        <x:v>Retain canonical and indexation policy pending a live check.</x:v>
      </x:c>
      <x:c r="Q1411" s="6" t="str">
        <x:v>Proposed; no website change made</x:v>
      </x:c>
      <x:c r="R1411" s="14"/>
      <x:c r="S1411" s="14"/>
      <x:c r="T1411" s="15"/>
      <x:c r="U1411" s="16"/>
      <x:c r="V1411" s="6" t="str">
        <x:v>https://digitecme.com/porsche/systems/tiptronic</x:v>
      </x:c>
      <x:c r="W1411" s="6" t="str">
        <x:v>Indexable directive</x:v>
      </x:c>
      <x:c r="X1411" s="6" t="n">
        <x:v>11</x:v>
      </x:c>
      <x:c r="Y1411" s="6" t="str">
        <x:v>Porsche Tiptronic Explained | Digi-Tec Dubai</x:v>
      </x:c>
      <x:c r="Z1411" s="6" t="str"/>
      <x:c r="AA1411" s="6" t="str">
        <x:v>No / not compared</x:v>
      </x:c>
    </x:row>
    <x:row r="1412" ht="57" customHeight="1">
      <x:c r="A1412" s="6" t="str">
        <x:v>https://digitecme.com/porsche/taycan</x:v>
      </x:c>
      <x:c r="B1412" s="6" t="str"/>
      <x:c r="C1412" s="6" t="str"/>
      <x:c r="D1412" s="6" t="str">
        <x:v>service</x:v>
      </x:c>
      <x:c r="E1412" s="6" t="str">
        <x:v>Retain differentiated role</x:v>
      </x:c>
      <x:c r="F1412" s="6" t="str">
        <x:v>Local source render; live version unverified</x:v>
      </x:c>
      <x:c r="G1412" s="6" t="str">
        <x:v>Porsche Taycan Service &amp; Repair Dubai | Digi-Tec</x:v>
      </x:c>
      <x:c r="H1412" s="6" t="str">
        <x:v>Porsche Taycan Service &amp; Repair Dubai | Digi-Tec</x:v>
      </x:c>
      <x:c r="I1412" s="6" t="str">
        <x:v>Porsche Taycan Service &amp; Repair Dubai</x:v>
      </x:c>
      <x:c r="J1412" s="6" t="str">
        <x:v>Porsche Taycan Service &amp; Repair Dubai</x:v>
      </x:c>
      <x:c r="K1412" s="6" t="str">
        <x:v>Porsche Taycan inspection and service in Dubai for charging, 12V systems, thermal management, brakes, suspension and diagnostics, subject to confirmed HV scope.</x:v>
      </x:c>
      <x:c r="L1412" s="6" t="str">
        <x:v>Retain pending evidence; no specific content edit justified by this export.</x:v>
      </x:c>
      <x:c r="M1412" s="6" t="str">
        <x:v>Retain; inspect relevant context before adding links</x:v>
      </x:c>
      <x:c r="N1412" s="6" t="str">
        <x:v>Unconfirmed — no query/page pairing</x:v>
      </x:c>
      <x:c r="O1412" s="6" t="str">
        <x:v>Retain established booking / WhatsApp / call path; live behaviour untested</x:v>
      </x:c>
      <x:c r="P1412" s="6" t="str">
        <x:v>Retain canonical and indexation policy pending a live check.</x:v>
      </x:c>
      <x:c r="Q1412" s="6" t="str">
        <x:v>Proposed; no website change made</x:v>
      </x:c>
      <x:c r="R1412" s="14"/>
      <x:c r="S1412" s="14"/>
      <x:c r="T1412" s="15"/>
      <x:c r="U1412" s="16"/>
      <x:c r="V1412" s="6" t="str">
        <x:v>https://digitecme.com/porsche/taycan</x:v>
      </x:c>
      <x:c r="W1412" s="6" t="str">
        <x:v>Indexable directive</x:v>
      </x:c>
      <x:c r="X1412" s="6" t="n">
        <x:v>27</x:v>
      </x:c>
      <x:c r="Y1412" s="6" t="str">
        <x:v>Porsche Taycan Service &amp; Repair Dubai | Digi-Tec</x:v>
      </x:c>
      <x:c r="Z1412" s="6" t="str"/>
      <x:c r="AA1412" s="6" t="str">
        <x:v>No / not compared</x:v>
      </x:c>
    </x:row>
    <x:row r="1413" ht="42" customHeight="1">
      <x:c r="A1413" s="6" t="str">
        <x:v>https://digitecme.com/privacy-policy.pdf</x:v>
      </x:c>
      <x:c r="B1413" s="6" t="str"/>
      <x:c r="C1413" s="6" t="str"/>
      <x:c r="D1413" s="6" t="str">
        <x:v>Historical URL</x:v>
      </x:c>
      <x:c r="E1413" s="6" t="str">
        <x:v>Verify historical URL</x:v>
      </x:c>
      <x:c r="F1413" s="6" t="str">
        <x:v>Historical GSC URL; current page unverified</x:v>
      </x:c>
      <x:c r="G1413" s="6" t="str">
        <x:v>Not verified</x:v>
      </x:c>
      <x:c r="H1413" s="6" t="str">
        <x:v>Not verified</x:v>
      </x:c>
      <x:c r="I1413" s="6" t="str">
        <x:v>Not verified</x:v>
      </x:c>
      <x:c r="J1413" s="6" t="str">
        <x:v>Not verified</x:v>
      </x:c>
      <x:c r="K1413" s="6" t="str">
        <x:v>Not verified</x:v>
      </x:c>
      <x:c r="L1413" s="6" t="str">
        <x:v>Verify current HTTP response, canonical destination and URL history before changing or consolidating.</x:v>
      </x:c>
      <x:c r="M1413" s="6" t="str">
        <x:v>Retain; inspect relevant context before adding links</x:v>
      </x:c>
      <x:c r="N1413" s="6" t="str">
        <x:v>Unconfirmed — no query/page pairing</x:v>
      </x:c>
      <x:c r="O1413" s="6" t="str">
        <x:v>Retain established booking / WhatsApp / call path; live behaviour untested</x:v>
      </x:c>
      <x:c r="P1413" s="6" t="str">
        <x:v>Inspect live routing and canonical; do not infer a redirect from the URL shape.</x:v>
      </x:c>
      <x:c r="Q1413" s="6" t="str">
        <x:v>Proposed; no website change made</x:v>
      </x:c>
      <x:c r="R1413" s="14" t="n">
        <x:v>0</x:v>
      </x:c>
      <x:c r="S1413" s="14" t="n">
        <x:v>90</x:v>
      </x:c>
      <x:c r="T1413" s="15" t="n">
        <x:v>0</x:v>
      </x:c>
      <x:c r="U1413" s="16" t="n">
        <x:v>14.88</x:v>
      </x:c>
      <x:c r="V1413" s="6" t="str">
        <x:v>Not verified</x:v>
      </x:c>
      <x:c r="W1413" s="6" t="str">
        <x:v>Not verified</x:v>
      </x:c>
      <x:c r="X1413" s="6"/>
      <x:c r="Y1413" s="6" t="str"/>
      <x:c r="Z1413" s="6" t="str"/>
      <x:c r="AA1413" s="6" t="str">
        <x:v>No / not compared</x:v>
      </x:c>
    </x:row>
    <x:row r="1414" ht="42" customHeight="1">
      <x:c r="A1414" s="6" t="str">
        <x:v>https://digitecme.com/privacy-policy/</x:v>
      </x:c>
      <x:c r="B1414" s="6" t="str"/>
      <x:c r="C1414" s="6" t="str"/>
      <x:c r="D1414" s="6" t="str">
        <x:v>Historical URL</x:v>
      </x:c>
      <x:c r="E1414" s="6" t="str">
        <x:v>Verify historical URL</x:v>
      </x:c>
      <x:c r="F1414" s="6" t="str">
        <x:v>Historical GSC URL; current page unverified</x:v>
      </x:c>
      <x:c r="G1414" s="6" t="str">
        <x:v>Not verified</x:v>
      </x:c>
      <x:c r="H1414" s="6" t="str">
        <x:v>Not verified</x:v>
      </x:c>
      <x:c r="I1414" s="6" t="str">
        <x:v>Not verified</x:v>
      </x:c>
      <x:c r="J1414" s="6" t="str">
        <x:v>Not verified</x:v>
      </x:c>
      <x:c r="K1414" s="6" t="str">
        <x:v>Not verified</x:v>
      </x:c>
      <x:c r="L1414" s="6" t="str">
        <x:v>Verify current HTTP response, canonical destination and URL history before changing or consolidating.</x:v>
      </x:c>
      <x:c r="M1414" s="6" t="str">
        <x:v>Retain; inspect relevant context before adding links</x:v>
      </x:c>
      <x:c r="N1414" s="6" t="str">
        <x:v>Unconfirmed — no query/page pairing</x:v>
      </x:c>
      <x:c r="O1414" s="6" t="str">
        <x:v>Retain established booking / WhatsApp / call path; live behaviour untested</x:v>
      </x:c>
      <x:c r="P1414" s="6" t="str">
        <x:v>Inspect live routing and canonical; do not infer a redirect from the URL shape.</x:v>
      </x:c>
      <x:c r="Q1414" s="6" t="str">
        <x:v>Proposed; no website change made</x:v>
      </x:c>
      <x:c r="R1414" s="14" t="n">
        <x:v>0</x:v>
      </x:c>
      <x:c r="S1414" s="14" t="n">
        <x:v>7</x:v>
      </x:c>
      <x:c r="T1414" s="15" t="n">
        <x:v>0</x:v>
      </x:c>
      <x:c r="U1414" s="16" t="n">
        <x:v>4.86</x:v>
      </x:c>
      <x:c r="V1414" s="6" t="str">
        <x:v>Not verified</x:v>
      </x:c>
      <x:c r="W1414" s="6" t="str">
        <x:v>Not verified</x:v>
      </x:c>
      <x:c r="X1414" s="6"/>
      <x:c r="Y1414" s="6" t="str"/>
      <x:c r="Z1414" s="6" t="str"/>
      <x:c r="AA1414" s="6" t="str">
        <x:v>No / not compared</x:v>
      </x:c>
    </x:row>
    <x:row r="1415" ht="57" customHeight="1">
      <x:c r="A1415" s="6" t="str">
        <x:v>https://digitecme.com/services</x:v>
      </x:c>
      <x:c r="B1415" s="6" t="str"/>
      <x:c r="C1415" s="6" t="str"/>
      <x:c r="D1415" s="6" t="str">
        <x:v>services-hub</x:v>
      </x:c>
      <x:c r="E1415" s="6" t="str">
        <x:v>Retain differentiated role</x:v>
      </x:c>
      <x:c r="F1415" s="6" t="str">
        <x:v>Local source render; live version unverified</x:v>
      </x:c>
      <x:c r="G1415" s="6" t="str">
        <x:v>All Services | DIGI-TEC Performance Center Dubai</x:v>
      </x:c>
      <x:c r="H1415" s="6" t="str">
        <x:v>All Services | DIGI-TEC Performance Center Dubai</x:v>
      </x:c>
      <x:c r="I1415" s="6" t="str">
        <x:v>Our Services</x:v>
      </x:c>
      <x:c r="J1415" s="6" t="str">
        <x:v>Our Services</x:v>
      </x:c>
      <x:c r="K1415" s="6" t="str">
        <x:v>Explore our full range of automotive services in Dubai — from mechanical repair and diagnostics to body work and paint protection. DIGI-TEC Performance Center.</x:v>
      </x:c>
      <x:c r="L1415" s="6" t="str">
        <x:v>Retain pending evidence; no specific content edit justified by this export.</x:v>
      </x:c>
      <x:c r="M1415" s="6" t="str">
        <x:v>Retain; inspect relevant context before adding links</x:v>
      </x:c>
      <x:c r="N1415" s="6" t="str">
        <x:v>Unconfirmed — no query/page pairing</x:v>
      </x:c>
      <x:c r="O1415" s="6" t="str">
        <x:v>Retain established booking / WhatsApp / call path; live behaviour untested</x:v>
      </x:c>
      <x:c r="P1415" s="6" t="str">
        <x:v>Retain canonical and indexation policy pending a live check.</x:v>
      </x:c>
      <x:c r="Q1415" s="6" t="str">
        <x:v>Proposed; no website change made</x:v>
      </x:c>
      <x:c r="R1415" s="14" t="n">
        <x:v>2</x:v>
      </x:c>
      <x:c r="S1415" s="14" t="n">
        <x:v>1462</x:v>
      </x:c>
      <x:c r="T1415" s="15" t="n">
        <x:v>0.0014000000000000002</x:v>
      </x:c>
      <x:c r="U1415" s="16" t="n">
        <x:v>51.14</x:v>
      </x:c>
      <x:c r="V1415" s="6" t="str">
        <x:v>https://digitecme.com/services</x:v>
      </x:c>
      <x:c r="W1415" s="6" t="str">
        <x:v>Indexable directive</x:v>
      </x:c>
      <x:c r="X1415" s="6" t="n">
        <x:v>771</x:v>
      </x:c>
      <x:c r="Y1415" s="6" t="str">
        <x:v>All Services | DIGI-TEC Performance Center Dubai</x:v>
      </x:c>
      <x:c r="Z1415" s="6" t="str"/>
      <x:c r="AA1415" s="6" t="str">
        <x:v>No / not compared</x:v>
      </x:c>
    </x:row>
    <x:row r="1416" ht="42" customHeight="1">
      <x:c r="A1416" s="6" t="str">
        <x:v>https://digitecme.com/services/</x:v>
      </x:c>
      <x:c r="B1416" s="6" t="str"/>
      <x:c r="C1416" s="6" t="str"/>
      <x:c r="D1416" s="6" t="str">
        <x:v>Historical URL</x:v>
      </x:c>
      <x:c r="E1416" s="6" t="str">
        <x:v>Verify historical URL</x:v>
      </x:c>
      <x:c r="F1416" s="6" t="str">
        <x:v>Historical GSC URL; current page unverified</x:v>
      </x:c>
      <x:c r="G1416" s="6" t="str">
        <x:v>Not verified</x:v>
      </x:c>
      <x:c r="H1416" s="6" t="str">
        <x:v>Not verified</x:v>
      </x:c>
      <x:c r="I1416" s="6" t="str">
        <x:v>Not verified</x:v>
      </x:c>
      <x:c r="J1416" s="6" t="str">
        <x:v>Not verified</x:v>
      </x:c>
      <x:c r="K1416" s="6" t="str">
        <x:v>Not verified</x:v>
      </x:c>
      <x:c r="L1416" s="6" t="str">
        <x:v>Verify current HTTP response, canonical destination and URL history before changing or consolidating.</x:v>
      </x:c>
      <x:c r="M1416" s="6" t="str">
        <x:v>Retain; inspect relevant context before adding links</x:v>
      </x:c>
      <x:c r="N1416" s="6" t="str">
        <x:v>Unconfirmed — no query/page pairing</x:v>
      </x:c>
      <x:c r="O1416" s="6" t="str">
        <x:v>Retain established booking / WhatsApp / call path; live behaviour untested</x:v>
      </x:c>
      <x:c r="P1416" s="6" t="str">
        <x:v>Inspect live routing and canonical; do not infer a redirect from the URL shape.</x:v>
      </x:c>
      <x:c r="Q1416" s="6" t="str">
        <x:v>Proposed; no website change made</x:v>
      </x:c>
      <x:c r="R1416" s="14" t="n">
        <x:v>0</x:v>
      </x:c>
      <x:c r="S1416" s="14" t="n">
        <x:v>12</x:v>
      </x:c>
      <x:c r="T1416" s="15" t="n">
        <x:v>0</x:v>
      </x:c>
      <x:c r="U1416" s="16" t="n">
        <x:v>18.42</x:v>
      </x:c>
      <x:c r="V1416" s="6" t="str">
        <x:v>Not verified</x:v>
      </x:c>
      <x:c r="W1416" s="6" t="str">
        <x:v>Not verified</x:v>
      </x:c>
      <x:c r="X1416" s="6"/>
      <x:c r="Y1416" s="6" t="str"/>
      <x:c r="Z1416" s="6" t="str"/>
      <x:c r="AA1416" s="6" t="str">
        <x:v>No / not compared</x:v>
      </x:c>
    </x:row>
    <x:row r="1417" ht="42" customHeight="1">
      <x:c r="A1417" s="6" t="str">
        <x:v>https://digitecme.com/services/auto-electrical-repair-dubai</x:v>
      </x:c>
      <x:c r="B1417" s="6" t="str">
        <x:v>car electrical repair dubai</x:v>
      </x:c>
      <x:c r="C1417" s="6" t="str">
        <x:v>All vehicles: Electrical repair</x:v>
      </x:c>
      <x:c r="D1417" s="6" t="str">
        <x:v>service</x:v>
      </x:c>
      <x:c r="E1417" s="6" t="str">
        <x:v>Primary owner for assigned intent</x:v>
      </x:c>
      <x:c r="F1417" s="6" t="str">
        <x:v>Local source render; live version unverified</x:v>
      </x:c>
      <x:c r="G1417" s="6" t="str">
        <x:v>Auto Electrical Repair Dubai | Wiring &amp; ECU | Digitec</x:v>
      </x:c>
      <x:c r="H1417" s="6" t="str">
        <x:v>Auto Electrical Repair Dubai | Wiring &amp; ECU | Digitec</x:v>
      </x:c>
      <x:c r="I1417" s="6" t="str">
        <x:v>Auto Electrical Repair in Dubai</x:v>
      </x:c>
      <x:c r="J1417" s="6" t="str">
        <x:v>Auto Electrical Repair in Dubai</x:v>
      </x:c>
      <x:c r="K1417" s="6" t="str">
        <x:v>Auto-electrical inspection and repair in Dubai for supported wiring, charging, starting, lighting, sensor and communication faults.</x:v>
      </x:c>
      <x:c r="L1417" s="6" t="str">
        <x:v>Retain pending evidence; no specific content edit justified by this export.</x:v>
      </x:c>
      <x:c r="M1417" s="6" t="str">
        <x:v>Retain; inspect relevant context before adding links</x:v>
      </x:c>
      <x:c r="N1417" s="6" t="str">
        <x:v>Unconfirmed — no query/page pairing</x:v>
      </x:c>
      <x:c r="O1417" s="6" t="str">
        <x:v>Retain established booking / WhatsApp / call path; live behaviour untested</x:v>
      </x:c>
      <x:c r="P1417" s="6" t="str">
        <x:v>Retain canonical and indexation policy pending a live check.</x:v>
      </x:c>
      <x:c r="Q1417" s="6" t="str">
        <x:v>Proposed; no website change made</x:v>
      </x:c>
      <x:c r="R1417" s="14" t="n">
        <x:v>1</x:v>
      </x:c>
      <x:c r="S1417" s="14" t="n">
        <x:v>964</x:v>
      </x:c>
      <x:c r="T1417" s="15" t="n">
        <x:v>0.001</x:v>
      </x:c>
      <x:c r="U1417" s="16" t="n">
        <x:v>49.13</x:v>
      </x:c>
      <x:c r="V1417" s="6" t="str">
        <x:v>https://digitecme.com/services/auto-electrical-repair-dubai</x:v>
      </x:c>
      <x:c r="W1417" s="6" t="str">
        <x:v>Indexable directive</x:v>
      </x:c>
      <x:c r="X1417" s="6" t="n">
        <x:v>24</x:v>
      </x:c>
      <x:c r="Y1417" s="6" t="str">
        <x:v>Auto Electrical Repair Dubai | Wiring &amp; ECU | Digitec</x:v>
      </x:c>
      <x:c r="Z1417" s="6" t="str"/>
      <x:c r="AA1417" s="6" t="str">
        <x:v>No / not compared</x:v>
      </x:c>
    </x:row>
    <x:row r="1418" ht="57" customHeight="1">
      <x:c r="A1418" s="6" t="str">
        <x:v>https://digitecme.com/services/battery-replacement-dubai</x:v>
      </x:c>
      <x:c r="B1418" s="6" t="str">
        <x:v>battery replacement dubai</x:v>
      </x:c>
      <x:c r="C1418" s="6" t="str">
        <x:v>All vehicles: Battery service (English)</x:v>
      </x:c>
      <x:c r="D1418" s="6" t="str">
        <x:v>service</x:v>
      </x:c>
      <x:c r="E1418" s="6" t="str">
        <x:v>Primary owner for assigned intent</x:v>
      </x:c>
      <x:c r="F1418" s="6" t="str">
        <x:v>Local source render; live version unverified</x:v>
      </x:c>
      <x:c r="G1418" s="6" t="str">
        <x:v>Car Battery Replacement Dubai | Testing, Fitting &amp; Coding</x:v>
      </x:c>
      <x:c r="H1418" s="6" t="str">
        <x:v>Car Battery Replacement Dubai | Testing, Fitting &amp; Coding</x:v>
      </x:c>
      <x:c r="I1418" s="6" t="str">
        <x:v>Car Battery Replacement in Dubai</x:v>
      </x:c>
      <x:c r="J1418" s="6" t="str">
        <x:v>Car Battery Replacement in Dubai</x:v>
      </x:c>
      <x:c r="K1418" s="6" t="str">
        <x:v>Car battery testing and replacement in Dubai with battery type, capacity, coding requirements, availability and timing confirmed for the vehicle.</x:v>
      </x:c>
      <x:c r="L1418" s="6" t="str">
        <x:v>Retain pending evidence; no specific content edit justified by this export.</x:v>
      </x:c>
      <x:c r="M1418" s="6" t="str">
        <x:v>Retain; inspect relevant context before adding links</x:v>
      </x:c>
      <x:c r="N1418" s="6" t="str">
        <x:v>Unconfirmed — no query/page pairing</x:v>
      </x:c>
      <x:c r="O1418" s="6" t="str">
        <x:v>Retain established booking / WhatsApp / call path; live behaviour untested</x:v>
      </x:c>
      <x:c r="P1418" s="6" t="str">
        <x:v>Retain canonical and indexation policy pending a live check.</x:v>
      </x:c>
      <x:c r="Q1418" s="6" t="str">
        <x:v>Proposed; no website change made</x:v>
      </x:c>
      <x:c r="R1418" s="14" t="n">
        <x:v>2</x:v>
      </x:c>
      <x:c r="S1418" s="14" t="n">
        <x:v>2319</x:v>
      </x:c>
      <x:c r="T1418" s="15" t="n">
        <x:v>0.0009</x:v>
      </x:c>
      <x:c r="U1418" s="16" t="n">
        <x:v>35.06</x:v>
      </x:c>
      <x:c r="V1418" s="6" t="str">
        <x:v>https://digitecme.com/services/battery-replacement-dubai</x:v>
      </x:c>
      <x:c r="W1418" s="6" t="str">
        <x:v>Indexable directive</x:v>
      </x:c>
      <x:c r="X1418" s="6" t="n">
        <x:v>6</x:v>
      </x:c>
      <x:c r="Y1418" s="6" t="str">
        <x:v>Car Battery Replacement Dubai | Testing, Fitting &amp; Coding</x:v>
      </x:c>
      <x:c r="Z1418" s="6" t="str"/>
      <x:c r="AA1418" s="6" t="str">
        <x:v>No / not compared</x:v>
      </x:c>
    </x:row>
    <x:row r="1419" ht="57" customHeight="1">
      <x:c r="A1419" s="6" t="str">
        <x:v>https://digitecme.com/services/brake-repair-dubai</x:v>
      </x:c>
      <x:c r="B1419" s="6" t="str">
        <x:v>brake repair dubai</x:v>
      </x:c>
      <x:c r="C1419" s="6" t="str">
        <x:v>All vehicles: Brake repair (English)</x:v>
      </x:c>
      <x:c r="D1419" s="6" t="str">
        <x:v>service</x:v>
      </x:c>
      <x:c r="E1419" s="6" t="str">
        <x:v>Primary owner for assigned intent</x:v>
      </x:c>
      <x:c r="F1419" s="6" t="str">
        <x:v>Local source render; live version unverified</x:v>
      </x:c>
      <x:c r="G1419" s="6" t="str">
        <x:v>Brake Repair Dubai | Pads, Discs, Calipers &amp; ABS | Digitec</x:v>
      </x:c>
      <x:c r="H1419" s="6" t="str">
        <x:v>Brake Repair Dubai | Pads, Discs, Calipers &amp; ABS | Digitec</x:v>
      </x:c>
      <x:c r="I1419" s="6" t="str">
        <x:v>Brake Repair in Dubai</x:v>
      </x:c>
      <x:c r="J1419" s="6" t="str">
        <x:v>Brake Repair in Dubai</x:v>
      </x:c>
      <x:c r="K1419" s="6" t="str">
        <x:v>Brake inspection and repair in Dubai covering pads, discs, calipers, fluid and supported ABS diagnostics for selected luxury and German cars.</x:v>
      </x:c>
      <x:c r="L1419" s="6" t="str">
        <x:v>Retain pending evidence; no specific content edit justified by this export.</x:v>
      </x:c>
      <x:c r="M1419" s="6" t="str">
        <x:v>Retain; inspect relevant context before adding links</x:v>
      </x:c>
      <x:c r="N1419" s="6" t="str">
        <x:v>Unconfirmed — no query/page pairing</x:v>
      </x:c>
      <x:c r="O1419" s="6" t="str">
        <x:v>Retain established booking / WhatsApp / call path; live behaviour untested</x:v>
      </x:c>
      <x:c r="P1419" s="6" t="str">
        <x:v>Retain canonical and indexation policy pending a live check.</x:v>
      </x:c>
      <x:c r="Q1419" s="6" t="str">
        <x:v>Proposed; no website change made</x:v>
      </x:c>
      <x:c r="R1419" s="14" t="n">
        <x:v>4</x:v>
      </x:c>
      <x:c r="S1419" s="14" t="n">
        <x:v>2643</x:v>
      </x:c>
      <x:c r="T1419" s="15" t="n">
        <x:v>0.0015</x:v>
      </x:c>
      <x:c r="U1419" s="16" t="n">
        <x:v>38.27</x:v>
      </x:c>
      <x:c r="V1419" s="6" t="str">
        <x:v>https://digitecme.com/services/brake-repair-dubai</x:v>
      </x:c>
      <x:c r="W1419" s="6" t="str">
        <x:v>Indexable directive</x:v>
      </x:c>
      <x:c r="X1419" s="6" t="n">
        <x:v>771</x:v>
      </x:c>
      <x:c r="Y1419" s="6" t="str">
        <x:v>Brake Repair Dubai | Pads, Discs, Calipers &amp; ABS | Digitec</x:v>
      </x:c>
      <x:c r="Z1419" s="6" t="str"/>
      <x:c r="AA1419" s="6" t="str">
        <x:v>No / not compared</x:v>
      </x:c>
    </x:row>
    <x:row r="1420" ht="57" customHeight="1">
      <x:c r="A1420" s="6" t="str">
        <x:v>https://digitecme.com/services/car-ac-repair-dubai</x:v>
      </x:c>
      <x:c r="B1420" s="6" t="str">
        <x:v>car ac gas refill dubai</x:v>
      </x:c>
      <x:c r="C1420" s="6" t="str">
        <x:v>All vehicles: AC repair</x:v>
      </x:c>
      <x:c r="D1420" s="6" t="str">
        <x:v>service</x:v>
      </x:c>
      <x:c r="E1420" s="6" t="str">
        <x:v>Primary owner for assigned intent</x:v>
      </x:c>
      <x:c r="F1420" s="6" t="str">
        <x:v>Local source render; live version unverified</x:v>
      </x:c>
      <x:c r="G1420" s="6" t="str">
        <x:v>Car AC Repair Dubai | Leak, Refrigerant &amp; Compressor Service</x:v>
      </x:c>
      <x:c r="H1420" s="6" t="str">
        <x:v>Car AC Repair Dubai | Leak, Refrigerant &amp; Compressor Service</x:v>
      </x:c>
      <x:c r="I1420" s="6" t="str">
        <x:v>Car AC Repair in Dubai: Auto Air Conditioning Service</x:v>
      </x:c>
      <x:c r="J1420" s="6" t="str">
        <x:v>Car AC Repair in Dubai: Auto Air Conditioning Service</x:v>
      </x:c>
      <x:c r="K1420" s="6" t="str">
        <x:v>Car AC inspection and repair in Dubai for cooling, leaks, refrigerant and compressor concerns on selected Mercedes, BMW, Audi and Porsche vehicles.</x:v>
      </x:c>
      <x:c r="L1420" s="6" t="str">
        <x:v>Retain pending evidence; no specific content edit justified by this export.</x:v>
      </x:c>
      <x:c r="M1420" s="6" t="str">
        <x:v>Retain; inspect relevant context before adding links</x:v>
      </x:c>
      <x:c r="N1420" s="6" t="str">
        <x:v>Unconfirmed — no query/page pairing</x:v>
      </x:c>
      <x:c r="O1420" s="6" t="str">
        <x:v>Retain established booking / WhatsApp / call path; live behaviour untested</x:v>
      </x:c>
      <x:c r="P1420" s="6" t="str">
        <x:v>Retain canonical and indexation policy pending a live check.</x:v>
      </x:c>
      <x:c r="Q1420" s="6" t="str">
        <x:v>Proposed; no website change made</x:v>
      </x:c>
      <x:c r="R1420" s="14" t="n">
        <x:v>0</x:v>
      </x:c>
      <x:c r="S1420" s="14" t="n">
        <x:v>1300</x:v>
      </x:c>
      <x:c r="T1420" s="15" t="n">
        <x:v>0</x:v>
      </x:c>
      <x:c r="U1420" s="16" t="n">
        <x:v>31.14</x:v>
      </x:c>
      <x:c r="V1420" s="6" t="str">
        <x:v>https://digitecme.com/services/car-ac-repair-dubai</x:v>
      </x:c>
      <x:c r="W1420" s="6" t="str">
        <x:v>Indexable directive</x:v>
      </x:c>
      <x:c r="X1420" s="6" t="n">
        <x:v>42</x:v>
      </x:c>
      <x:c r="Y1420" s="6" t="str">
        <x:v>Car AC Repair Dubai | Leak, Refrigerant &amp; Compressor Service</x:v>
      </x:c>
      <x:c r="Z1420" s="6" t="str"/>
      <x:c r="AA1420" s="6" t="str">
        <x:v>No / not compared</x:v>
      </x:c>
    </x:row>
    <x:row r="1421" ht="57" customHeight="1">
      <x:c r="A1421" s="6" t="str">
        <x:v>https://digitecme.com/services/car-body-repair-dubai</x:v>
      </x:c>
      <x:c r="B1421" s="6" t="str">
        <x:v>car body repair dubai</x:v>
      </x:c>
      <x:c r="C1421" s="6" t="str">
        <x:v>All vehicles: Body repair; Information: Body repair history</x:v>
      </x:c>
      <x:c r="D1421" s="6" t="str">
        <x:v>service</x:v>
      </x:c>
      <x:c r="E1421" s="6" t="str">
        <x:v>Primary owner for assigned intent</x:v>
      </x:c>
      <x:c r="F1421" s="6" t="str">
        <x:v>Local source render; live version unverified</x:v>
      </x:c>
      <x:c r="G1421" s="6" t="str">
        <x:v>Car Body Repair Dubai | Dent &amp; Accident Repair | Digitec</x:v>
      </x:c>
      <x:c r="H1421" s="6" t="str">
        <x:v>Car Body Repair Dubai | Dent &amp; Accident Repair | Digitec</x:v>
      </x:c>
      <x:c r="I1421" s="6" t="str">
        <x:v>Car Body Repair in Dubai</x:v>
      </x:c>
      <x:c r="J1421" s="6" t="str">
        <x:v>Car Body Repair in Dubai</x:v>
      </x:c>
      <x:c r="K1421" s="6" t="str">
        <x:v>Car body repair in Dubai for assessed dents, scratches, bumpers, panels and minor collision damage. Repair method and finish are quoted after inspection.</x:v>
      </x:c>
      <x:c r="L1421" s="6" t="str">
        <x:v>Retain pending evidence; no specific content edit justified by this export.</x:v>
      </x:c>
      <x:c r="M1421" s="6" t="str">
        <x:v>Retain; inspect relevant context before adding links</x:v>
      </x:c>
      <x:c r="N1421" s="6" t="str">
        <x:v>Unconfirmed — no query/page pairing</x:v>
      </x:c>
      <x:c r="O1421" s="6" t="str">
        <x:v>Retain established booking / WhatsApp / call path; live behaviour untested</x:v>
      </x:c>
      <x:c r="P1421" s="6" t="str">
        <x:v>Retain canonical and indexation policy pending a live check.</x:v>
      </x:c>
      <x:c r="Q1421" s="6" t="str">
        <x:v>Proposed; no website change made</x:v>
      </x:c>
      <x:c r="R1421" s="14" t="n">
        <x:v>0</x:v>
      </x:c>
      <x:c r="S1421" s="14" t="n">
        <x:v>613</x:v>
      </x:c>
      <x:c r="T1421" s="15" t="n">
        <x:v>0</x:v>
      </x:c>
      <x:c r="U1421" s="16" t="n">
        <x:v>41.93</x:v>
      </x:c>
      <x:c r="V1421" s="6" t="str">
        <x:v>https://digitecme.com/services/car-body-repair-dubai</x:v>
      </x:c>
      <x:c r="W1421" s="6" t="str">
        <x:v>Indexable directive</x:v>
      </x:c>
      <x:c r="X1421" s="6" t="n">
        <x:v>7</x:v>
      </x:c>
      <x:c r="Y1421" s="6" t="str">
        <x:v>Car Body Repair Dubai | Dent &amp; Accident Repair | Digitec</x:v>
      </x:c>
      <x:c r="Z1421" s="6" t="str"/>
      <x:c r="AA1421" s="6" t="str">
        <x:v>No / not compared</x:v>
      </x:c>
    </x:row>
    <x:row r="1422" ht="42" customHeight="1">
      <x:c r="A1422" s="6" t="str">
        <x:v>https://digitecme.com/services/car-diagnostics-dubai</x:v>
      </x:c>
      <x:c r="B1422" s="6" t="str">
        <x:v>car diagnostic dubai</x:v>
      </x:c>
      <x:c r="C1422" s="6" t="str">
        <x:v>All vehicles: Diagnostics and supported coding</x:v>
      </x:c>
      <x:c r="D1422" s="6" t="str">
        <x:v>service</x:v>
      </x:c>
      <x:c r="E1422" s="6" t="str">
        <x:v>Primary owner for assigned intent</x:v>
      </x:c>
      <x:c r="F1422" s="6" t="str">
        <x:v>Local source render; live version unverified</x:v>
      </x:c>
      <x:c r="G1422" s="6" t="str">
        <x:v>Car Diagnostics Dubai | Fault Scanning &amp; Supported ECU Functions</x:v>
      </x:c>
      <x:c r="H1422" s="6" t="str">
        <x:v>Car Diagnostics Dubai | Fault Scanning &amp; Supported ECU Functions</x:v>
      </x:c>
      <x:c r="I1422" s="6" t="str">
        <x:v>Car Diagnostics &amp; ECU Programming in Dubai</x:v>
      </x:c>
      <x:c r="J1422" s="6" t="str">
        <x:v>Car Diagnostics &amp; ECU Programming in Dubai</x:v>
      </x:c>
      <x:c r="K1422" s="6" t="str">
        <x:v>Vehicle-specific diagnostics in Dubai with supported module scanning, live data, resets and coding functions confirmed before booking.</x:v>
      </x:c>
      <x:c r="L1422" s="6" t="str">
        <x:v>Retain pending evidence; no specific content edit justified by this export.</x:v>
      </x:c>
      <x:c r="M1422" s="6" t="str">
        <x:v>Retain; inspect relevant context before adding links</x:v>
      </x:c>
      <x:c r="N1422" s="6" t="str">
        <x:v>Unconfirmed — no query/page pairing</x:v>
      </x:c>
      <x:c r="O1422" s="6" t="str">
        <x:v>Retain established booking / WhatsApp / call path; live behaviour untested</x:v>
      </x:c>
      <x:c r="P1422" s="6" t="str">
        <x:v>Retain canonical and indexation policy pending a live check.</x:v>
      </x:c>
      <x:c r="Q1422" s="6" t="str">
        <x:v>Proposed; no website change made</x:v>
      </x:c>
      <x:c r="R1422" s="14" t="n">
        <x:v>1</x:v>
      </x:c>
      <x:c r="S1422" s="14" t="n">
        <x:v>1159</x:v>
      </x:c>
      <x:c r="T1422" s="15" t="n">
        <x:v>0.0009</x:v>
      </x:c>
      <x:c r="U1422" s="16" t="n">
        <x:v>34.53</x:v>
      </x:c>
      <x:c r="V1422" s="6" t="str">
        <x:v>https://digitecme.com/services/car-diagnostics-dubai</x:v>
      </x:c>
      <x:c r="W1422" s="6" t="str">
        <x:v>Indexable directive</x:v>
      </x:c>
      <x:c r="X1422" s="6" t="n">
        <x:v>771</x:v>
      </x:c>
      <x:c r="Y1422" s="6" t="str">
        <x:v>Car Diagnostics Dubai | Fault Scanning &amp; Supported ECU Functions</x:v>
      </x:c>
      <x:c r="Z1422" s="6" t="str"/>
      <x:c r="AA1422" s="6" t="str">
        <x:v>No / not compared</x:v>
      </x:c>
    </x:row>
    <x:row r="1423" ht="57" customHeight="1">
      <x:c r="A1423" s="6" t="str">
        <x:v>https://digitecme.com/services/car-garage-dubai</x:v>
      </x:c>
      <x:c r="B1423" s="6" t="str">
        <x:v>luxury car repair dubai</x:v>
      </x:c>
      <x:c r="C1423" s="6" t="str">
        <x:v>All vehicles: General garage and repair (English)</x:v>
      </x:c>
      <x:c r="D1423" s="6" t="str">
        <x:v>service</x:v>
      </x:c>
      <x:c r="E1423" s="6" t="str">
        <x:v>Primary owner for assigned intent</x:v>
      </x:c>
      <x:c r="F1423" s="6" t="str">
        <x:v>Live HTML checked 9 Sep 2026</x:v>
      </x:c>
      <x:c r="G1423" s="6" t="str">
        <x:v>Car Garage Dubai | DIGI-TEC Performance Center</x:v>
      </x:c>
      <x:c r="H1423" s="6" t="str">
        <x:v>Car Garage Dubai | DIGI-TEC Performance Center</x:v>
      </x:c>
      <x:c r="I1423" s="6" t="str">
        <x:v>Car Garage in Dubai</x:v>
      </x:c>
      <x:c r="J1423" s="6" t="str">
        <x:v>Car Garage in Dubai</x:v>
      </x:c>
      <x:c r="K1423" s="6" t="str">
        <x:v>DIGI-TEC is a car garage in Dubai for diagnostics, servicing, mechanical repair, brakes, suspension, electrical systems and performance vehicles in Al Quoz.</x:v>
      </x:c>
      <x:c r="L1423" s="6" t="str">
        <x:v>Retain pending evidence; no specific content edit justified by this export.</x:v>
      </x:c>
      <x:c r="M1423" s="6" t="str">
        <x:v>Retain; inspect relevant context before adding links</x:v>
      </x:c>
      <x:c r="N1423" s="6" t="str">
        <x:v>Unconfirmed — no query/page pairing</x:v>
      </x:c>
      <x:c r="O1423" s="6" t="str">
        <x:v>Retain established booking / WhatsApp / call path; live behaviour untested</x:v>
      </x:c>
      <x:c r="P1423" s="6" t="str">
        <x:v>Retain canonical and indexation policy pending a live check.</x:v>
      </x:c>
      <x:c r="Q1423" s="6" t="str">
        <x:v>Proposed; no website change made</x:v>
      </x:c>
      <x:c r="R1423" s="14" t="n">
        <x:v>0</x:v>
      </x:c>
      <x:c r="S1423" s="14" t="n">
        <x:v>549</x:v>
      </x:c>
      <x:c r="T1423" s="15" t="n">
        <x:v>0</x:v>
      </x:c>
      <x:c r="U1423" s="16" t="n">
        <x:v>69.84</x:v>
      </x:c>
      <x:c r="V1423" s="6" t="str">
        <x:v>https://digitecme.com/services/car-garage-dubai</x:v>
      </x:c>
      <x:c r="W1423" s="6" t="str">
        <x:v>Indexable directive</x:v>
      </x:c>
      <x:c r="X1423" s="6" t="n">
        <x:v>4</x:v>
      </x:c>
      <x:c r="Y1423" s="6" t="str">
        <x:v>Car Garage Dubai | DIGI-TEC Performance Center</x:v>
      </x:c>
      <x:c r="Z1423" s="6" t="str">
        <x:v>Car Garage Dubai | DIGI-TEC Performance Center</x:v>
      </x:c>
      <x:c r="AA1423" s="6" t="str">
        <x:v>No / not compared</x:v>
      </x:c>
    </x:row>
    <x:row r="1424" ht="57" customHeight="1">
      <x:c r="A1424" s="6" t="str">
        <x:v>https://digitecme.com/services/car-polishing-dubai</x:v>
      </x:c>
      <x:c r="B1424" s="6" t="str"/>
      <x:c r="C1424" s="6" t="str"/>
      <x:c r="D1424" s="6" t="str">
        <x:v>service</x:v>
      </x:c>
      <x:c r="E1424" s="6" t="str">
        <x:v>Retain differentiated role</x:v>
      </x:c>
      <x:c r="F1424" s="6" t="str">
        <x:v>Live HTML checked 9 Sep 2026</x:v>
      </x:c>
      <x:c r="G1424" s="6" t="str">
        <x:v>Car Polishing &amp; Paint Correction Dubai | DIGI-TEC</x:v>
      </x:c>
      <x:c r="H1424" s="6" t="str">
        <x:v>Car Polishing &amp; Paint Correction Dubai | DIGI-TEC</x:v>
      </x:c>
      <x:c r="I1424" s="6" t="str">
        <x:v>Car Polishing &amp; Paint Correction Dubai</x:v>
      </x:c>
      <x:c r="J1424" s="6" t="str">
        <x:v>Car Polishing &amp; Paint Correction Dubai</x:v>
      </x:c>
      <x:c r="K1424" s="6" t="str">
        <x:v>Professional car polishing and paint correction in Dubai. Assess swirl marks, light scratches and dull paint on your premium car. Get a DIGI-TEC quote.</x:v>
      </x:c>
      <x:c r="L1424" s="6" t="str">
        <x:v>Retain the current title, H1, comparison content, cost factors and quote journey. Add documented job photographs and preparation/coverage findings when available. The export ends before the 8 September paint-care release, so it cannot assess this version.</x:v>
      </x:c>
      <x:c r="M1424" s="6" t="str">
        <x:v>Preserve comparison hub → polishing / PPF / ceramic links, mutual comparison links and contextual brand links. Avoid duplicate brand-by-PPF landing pages.</x:v>
      </x:c>
      <x:c r="N1424" s="6" t="str">
        <x:v>Unconfirmed — no query/page pairing</x:v>
      </x:c>
      <x:c r="O1424" s="6" t="str">
        <x:v>Retain established booking / WhatsApp / call path; live behaviour untested</x:v>
      </x:c>
      <x:c r="P1424" s="6" t="str">
        <x:v>Request URL Inspection and post-release query/page data. A live 200 response and indexable metadata do not prove Google indexing.</x:v>
      </x:c>
      <x:c r="Q1424" s="6" t="str">
        <x:v>Proposed; no website change made</x:v>
      </x:c>
      <x:c r="R1424" s="14"/>
      <x:c r="S1424" s="14"/>
      <x:c r="T1424" s="15"/>
      <x:c r="U1424" s="16"/>
      <x:c r="V1424" s="6" t="str">
        <x:v>https://digitecme.com/services/car-polishing-dubai</x:v>
      </x:c>
      <x:c r="W1424" s="6" t="str">
        <x:v>Indexable directive</x:v>
      </x:c>
      <x:c r="X1424" s="6" t="n">
        <x:v>14</x:v>
      </x:c>
      <x:c r="Y1424" s="6" t="str">
        <x:v>Car Polishing &amp; Paint Correction Dubai | DIGI-TEC</x:v>
      </x:c>
      <x:c r="Z1424" s="6" t="str">
        <x:v>Car Polishing &amp; Paint Correction Dubai | DIGI-TEC</x:v>
      </x:c>
      <x:c r="AA1424" s="6" t="str">
        <x:v>No / not compared</x:v>
      </x:c>
    </x:row>
    <x:row r="1425" ht="57" customHeight="1">
      <x:c r="A1425" s="6" t="str">
        <x:v>https://digitecme.com/services/car-service-dubai</x:v>
      </x:c>
      <x:c r="B1425" s="6" t="str">
        <x:v>transmission repair dubai</x:v>
      </x:c>
      <x:c r="C1425" s="6" t="str">
        <x:v>All vehicles: Transmission and gearbox repair; All vehicles: Scheduled car service</x:v>
      </x:c>
      <x:c r="D1425" s="6" t="str">
        <x:v>service</x:v>
      </x:c>
      <x:c r="E1425" s="6" t="str">
        <x:v>Primary owner for assigned intent</x:v>
      </x:c>
      <x:c r="F1425" s="6" t="str">
        <x:v>Local source render; live version unverified</x:v>
      </x:c>
      <x:c r="G1425" s="6" t="str">
        <x:v>Car Service Dubai | Scheduled Maintenance &amp; Inspection</x:v>
      </x:c>
      <x:c r="H1425" s="6" t="str">
        <x:v>Car Service Dubai | Scheduled Maintenance &amp; Inspection</x:v>
      </x:c>
      <x:c r="I1425" s="6" t="str">
        <x:v>Car Service in Dubai for Mercedes, BMW, Audi &amp; Porsche</x:v>
      </x:c>
      <x:c r="J1425" s="6" t="str">
        <x:v>Car Service in Dubai for Mercedes, BMW, Audi &amp; Porsche</x:v>
      </x:c>
      <x:c r="K1425" s="6" t="str">
        <x:v>Scheduled car service in Dubai with vehicle-specific oil, filters, fluids and inspection items. Share the VIN and service history for a quotation.</x:v>
      </x:c>
      <x:c r="L1425" s="6" t="str">
        <x:v>Retain pending evidence; no specific content edit justified by this export.</x:v>
      </x:c>
      <x:c r="M1425" s="6" t="str">
        <x:v>Retain; inspect relevant context before adding links</x:v>
      </x:c>
      <x:c r="N1425" s="6" t="str">
        <x:v>Unconfirmed — no query/page pairing</x:v>
      </x:c>
      <x:c r="O1425" s="6" t="str">
        <x:v>Retain established booking / WhatsApp / call path; live behaviour untested</x:v>
      </x:c>
      <x:c r="P1425" s="6" t="str">
        <x:v>Retain canonical and indexation policy pending a live check.</x:v>
      </x:c>
      <x:c r="Q1425" s="6" t="str">
        <x:v>Proposed; no website change made</x:v>
      </x:c>
      <x:c r="R1425" s="14" t="n">
        <x:v>0</x:v>
      </x:c>
      <x:c r="S1425" s="14" t="n">
        <x:v>548</x:v>
      </x:c>
      <x:c r="T1425" s="15" t="n">
        <x:v>0</x:v>
      </x:c>
      <x:c r="U1425" s="16" t="n">
        <x:v>49.59</x:v>
      </x:c>
      <x:c r="V1425" s="6" t="str">
        <x:v>https://digitecme.com/services/car-service-dubai</x:v>
      </x:c>
      <x:c r="W1425" s="6" t="str">
        <x:v>Indexable directive</x:v>
      </x:c>
      <x:c r="X1425" s="6" t="n">
        <x:v>5</x:v>
      </x:c>
      <x:c r="Y1425" s="6" t="str">
        <x:v>Car Service Dubai | Scheduled Maintenance &amp; Inspection</x:v>
      </x:c>
      <x:c r="Z1425" s="6" t="str"/>
      <x:c r="AA1425" s="6" t="str">
        <x:v>No / not compared</x:v>
      </x:c>
    </x:row>
    <x:row r="1426" ht="57" customHeight="1">
      <x:c r="A1426" s="6" t="str">
        <x:v>https://digitecme.com/services/ceramic-coating</x:v>
      </x:c>
      <x:c r="B1426" s="6" t="str">
        <x:v>ceramic paint protection dubai</x:v>
      </x:c>
      <x:c r="C1426" s="6" t="str">
        <x:v>All vehicles: Ceramic coating</x:v>
      </x:c>
      <x:c r="D1426" s="6" t="str">
        <x:v>service</x:v>
      </x:c>
      <x:c r="E1426" s="6" t="str">
        <x:v>Primary owner for assigned intent</x:v>
      </x:c>
      <x:c r="F1426" s="6" t="str">
        <x:v>Live HTML checked 9 Sep 2026</x:v>
      </x:c>
      <x:c r="G1426" s="6" t="str">
        <x:v>Ceramic Coating Dubai | Car Paint Protection | DIGI-TEC</x:v>
      </x:c>
      <x:c r="H1426" s="6" t="str">
        <x:v>Ceramic Coating Dubai | Car Paint Protection | DIGI-TEC</x:v>
      </x:c>
      <x:c r="I1426" s="6" t="str">
        <x:v>Ceramic Coating Dubai</x:v>
      </x:c>
      <x:c r="J1426" s="6" t="str">
        <x:v>Ceramic Coating Dubai</x:v>
      </x:c>
      <x:c r="K1426" s="6" t="str">
        <x:v>Professional ceramic coating in Dubai for luxury and performance cars. Explore paint preparation and surface protection at DIGI-TEC. Request your quote.</x:v>
      </x:c>
      <x:c r="L1426" s="6" t="str">
        <x:v>Retain the current title, H1, comparison content, cost factors and quote journey. Add documented job photographs and preparation/coverage findings when available. The export ends before the 8 September paint-care release, so it cannot assess this version.</x:v>
      </x:c>
      <x:c r="M1426" s="6" t="str">
        <x:v>Preserve comparison hub → polishing / PPF / ceramic links, mutual comparison links and contextual brand links. Avoid duplicate brand-by-PPF landing pages.</x:v>
      </x:c>
      <x:c r="N1426" s="6" t="str">
        <x:v>Unconfirmed — no query/page pairing</x:v>
      </x:c>
      <x:c r="O1426" s="6" t="str">
        <x:v>Retain established booking / WhatsApp / call path; live behaviour untested</x:v>
      </x:c>
      <x:c r="P1426" s="6" t="str">
        <x:v>Request URL Inspection and post-release query/page data. A live 200 response and indexable metadata do not prove Google indexing.</x:v>
      </x:c>
      <x:c r="Q1426" s="6" t="str">
        <x:v>Proposed; no website change made</x:v>
      </x:c>
      <x:c r="R1426" s="14"/>
      <x:c r="S1426" s="14"/>
      <x:c r="T1426" s="15"/>
      <x:c r="U1426" s="16"/>
      <x:c r="V1426" s="6" t="str">
        <x:v>https://digitecme.com/services/ceramic-coating</x:v>
      </x:c>
      <x:c r="W1426" s="6" t="str">
        <x:v>Indexable directive</x:v>
      </x:c>
      <x:c r="X1426" s="6" t="n">
        <x:v>15</x:v>
      </x:c>
      <x:c r="Y1426" s="6" t="str">
        <x:v>Ceramic Coating Dubai | Car Paint Protection | DIGI-TEC</x:v>
      </x:c>
      <x:c r="Z1426" s="6" t="str">
        <x:v>Ceramic Coating Dubai | Car Paint Protection | DIGI-TEC</x:v>
      </x:c>
      <x:c r="AA1426" s="6" t="str">
        <x:v>No / not compared</x:v>
      </x:c>
    </x:row>
    <x:row r="1427" ht="57" customHeight="1">
      <x:c r="A1427" s="6" t="str">
        <x:v>https://digitecme.com/services/exhaust-repair-dubai</x:v>
      </x:c>
      <x:c r="B1427" s="6" t="str">
        <x:v>exhaust repair dubai</x:v>
      </x:c>
      <x:c r="C1427" s="6" t="str">
        <x:v>All vehicles: Exhaust repair</x:v>
      </x:c>
      <x:c r="D1427" s="6" t="str">
        <x:v>service</x:v>
      </x:c>
      <x:c r="E1427" s="6" t="str">
        <x:v>Primary owner for assigned intent</x:v>
      </x:c>
      <x:c r="F1427" s="6" t="str">
        <x:v>Live HTML checked 9 Sep 2026</x:v>
      </x:c>
      <x:c r="G1427" s="6" t="str">
        <x:v>Exhaust Repair Dubai | Cat, Muffler, DPF &amp; Performance</x:v>
      </x:c>
      <x:c r="H1427" s="6" t="str">
        <x:v>Exhaust &amp; Muffler Repair Dubai | DIGI-TEC</x:v>
      </x:c>
      <x:c r="I1427" s="6" t="str">
        <x:v>Exhaust Repair in Dubai</x:v>
      </x:c>
      <x:c r="J1427" s="6" t="str">
        <x:v>Exhaust Repair in Dubai</x:v>
      </x:c>
      <x:c r="K1427" s="6" t="str">
        <x:v>Exhaust inspection and repair in Dubai for leaks, mufflers, sensors, catalysts, DPF concerns and compatible performance systems.</x:v>
      </x:c>
      <x:c r="L1427" s="6" t="str">
        <x:v>Keep the relevant symptoms and cost FAQs. Replace ambiguous Cat wording in the title. Lead with repair; send performance-modification requests to the tuning page. Add an enquiry CTA near the opening.</x:v>
      </x:c>
      <x:c r="M1427" s="6" t="str">
        <x:v>Link from mechanical and relevant brand exhaust summaries where useful; 5 source-rendered pages link here.</x:v>
      </x:c>
      <x:c r="N1427" s="6" t="str">
        <x:v>Unconfirmed — no query/page pairing</x:v>
      </x:c>
      <x:c r="O1427" s="6" t="str">
        <x:v>Request an Exhaust Inspection</x:v>
      </x:c>
      <x:c r="P1427" s="6" t="str">
        <x:v>Retain; verify against production before release</x:v>
      </x:c>
      <x:c r="Q1427" s="6" t="str">
        <x:v>Proposed; no website change made</x:v>
      </x:c>
      <x:c r="R1427" s="14" t="n">
        <x:v>19</x:v>
      </x:c>
      <x:c r="S1427" s="14" t="n">
        <x:v>2347</x:v>
      </x:c>
      <x:c r="T1427" s="15" t="n">
        <x:v>0.008100000000000001</x:v>
      </x:c>
      <x:c r="U1427" s="16" t="n">
        <x:v>15.28</x:v>
      </x:c>
      <x:c r="V1427" s="6" t="str">
        <x:v>https://digitecme.com/services/exhaust-repair-dubai</x:v>
      </x:c>
      <x:c r="W1427" s="6" t="str">
        <x:v>Indexable directive</x:v>
      </x:c>
      <x:c r="X1427" s="6" t="n">
        <x:v>5</x:v>
      </x:c>
      <x:c r="Y1427" s="6" t="str">
        <x:v>Exhaust Repair Dubai | Cat, Muffler, DPF &amp; Performance</x:v>
      </x:c>
      <x:c r="Z1427" s="6" t="str">
        <x:v>Exhaust Repair Dubai | Cat, Muffler, DPF &amp; Performance</x:v>
      </x:c>
      <x:c r="AA1427" s="6" t="str">
        <x:v>No / not compared</x:v>
      </x:c>
    </x:row>
    <x:row r="1428" ht="42" customHeight="1">
      <x:c r="A1428" s="6" t="str">
        <x:v>https://digitecme.com/services/fuel-system-repair-dubai</x:v>
      </x:c>
      <x:c r="B1428" s="6" t="str">
        <x:v>fuel system repair</x:v>
      </x:c>
      <x:c r="C1428" s="6" t="str">
        <x:v>All vehicles: Fuel system repair</x:v>
      </x:c>
      <x:c r="D1428" s="6" t="str">
        <x:v>service</x:v>
      </x:c>
      <x:c r="E1428" s="6" t="str">
        <x:v>Primary owner for assigned intent</x:v>
      </x:c>
      <x:c r="F1428" s="6" t="str">
        <x:v>Local source render; live version unverified</x:v>
      </x:c>
      <x:c r="G1428" s="6" t="str">
        <x:v>Fuel System Repair Dubai | Injector &amp; Pump | Digitec</x:v>
      </x:c>
      <x:c r="H1428" s="6" t="str">
        <x:v>Fuel System Repair Dubai | Injector &amp; Pump | Digitec</x:v>
      </x:c>
      <x:c r="I1428" s="6" t="str">
        <x:v>Fuel System Repair in Dubai</x:v>
      </x:c>
      <x:c r="J1428" s="6" t="str">
        <x:v>Fuel System Repair in Dubai</x:v>
      </x:c>
      <x:c r="K1428" s="6" t="str">
        <x:v>Fuel-system inspection and repair in Dubai for supported injectors, pumps, filters, pressure controls, lines and throttle systems.</x:v>
      </x:c>
      <x:c r="L1428" s="6" t="str">
        <x:v>Retain pending evidence; no specific content edit justified by this export.</x:v>
      </x:c>
      <x:c r="M1428" s="6" t="str">
        <x:v>Retain; inspect relevant context before adding links</x:v>
      </x:c>
      <x:c r="N1428" s="6" t="str">
        <x:v>Unconfirmed — no query/page pairing</x:v>
      </x:c>
      <x:c r="O1428" s="6" t="str">
        <x:v>Retain established booking / WhatsApp / call path; live behaviour untested</x:v>
      </x:c>
      <x:c r="P1428" s="6" t="str">
        <x:v>Retain canonical and indexation policy pending a live check.</x:v>
      </x:c>
      <x:c r="Q1428" s="6" t="str">
        <x:v>Proposed; no website change made</x:v>
      </x:c>
      <x:c r="R1428" s="14" t="n">
        <x:v>4</x:v>
      </x:c>
      <x:c r="S1428" s="14" t="n">
        <x:v>703</x:v>
      </x:c>
      <x:c r="T1428" s="15" t="n">
        <x:v>0.005699999999999999</x:v>
      </x:c>
      <x:c r="U1428" s="16" t="n">
        <x:v>25.95</x:v>
      </x:c>
      <x:c r="V1428" s="6" t="str">
        <x:v>https://digitecme.com/services/fuel-system-repair-dubai</x:v>
      </x:c>
      <x:c r="W1428" s="6" t="str">
        <x:v>Indexable directive</x:v>
      </x:c>
      <x:c r="X1428" s="6" t="n">
        <x:v>7</x:v>
      </x:c>
      <x:c r="Y1428" s="6" t="str">
        <x:v>Fuel System Repair Dubai | Injector &amp; Pump | Digitec</x:v>
      </x:c>
      <x:c r="Z1428" s="6" t="str"/>
      <x:c r="AA1428" s="6" t="str">
        <x:v>No / not compared</x:v>
      </x:c>
    </x:row>
    <x:row r="1429" ht="57" customHeight="1">
      <x:c r="A1429" s="6" t="str">
        <x:v>https://digitecme.com/services/garage-near-me-dubai</x:v>
      </x:c>
      <x:c r="B1429" s="6" t="str">
        <x:v>garage near me</x:v>
      </x:c>
      <x:c r="C1429" s="6" t="str">
        <x:v>All vehicles: Nearby workshop access</x:v>
      </x:c>
      <x:c r="D1429" s="6" t="str">
        <x:v>service</x:v>
      </x:c>
      <x:c r="E1429" s="6" t="str">
        <x:v>Primary owner for assigned intent</x:v>
      </x:c>
      <x:c r="F1429" s="6" t="str">
        <x:v>Live HTML checked 9 Sep 2026</x:v>
      </x:c>
      <x:c r="G1429" s="6" t="str">
        <x:v>Garage Near Me Dubai | DIGI-TEC Al Quoz</x:v>
      </x:c>
      <x:c r="H1429" s="6" t="str">
        <x:v>Garage Near Me Dubai | DIGI-TEC Al Quoz</x:v>
      </x:c>
      <x:c r="I1429" s="6" t="str">
        <x:v>Garage Near Me in Dubai</x:v>
      </x:c>
      <x:c r="J1429" s="6" t="str">
        <x:v>Garage Near Me in Dubai</x:v>
      </x:c>
      <x:c r="K1429" s="6" t="str">
        <x:v>Looking for a garage near you in Dubai? Visit DIGI-TEC in Al Quoz for diagnostics, maintenance, repairs and clear workshop advice for all vehicle types.</x:v>
      </x:c>
      <x:c r="L1429" s="6" t="str">
        <x:v>Retain pending evidence; no specific content edit justified by this export.</x:v>
      </x:c>
      <x:c r="M1429" s="6" t="str">
        <x:v>Retain; inspect relevant context before adding links</x:v>
      </x:c>
      <x:c r="N1429" s="6" t="str">
        <x:v>Unconfirmed — no query/page pairing</x:v>
      </x:c>
      <x:c r="O1429" s="6" t="str">
        <x:v>Retain established booking / WhatsApp / call path; live behaviour untested</x:v>
      </x:c>
      <x:c r="P1429" s="6" t="str">
        <x:v>Retain canonical and indexation policy pending a live check.</x:v>
      </x:c>
      <x:c r="Q1429" s="6" t="str">
        <x:v>Proposed; no website change made</x:v>
      </x:c>
      <x:c r="R1429" s="14" t="n">
        <x:v>0</x:v>
      </x:c>
      <x:c r="S1429" s="14" t="n">
        <x:v>91</x:v>
      </x:c>
      <x:c r="T1429" s="15" t="n">
        <x:v>0</x:v>
      </x:c>
      <x:c r="U1429" s="16" t="n">
        <x:v>30.35</x:v>
      </x:c>
      <x:c r="V1429" s="6" t="str">
        <x:v>https://digitecme.com/services/garage-near-me-dubai</x:v>
      </x:c>
      <x:c r="W1429" s="6" t="str">
        <x:v>Indexable directive</x:v>
      </x:c>
      <x:c r="X1429" s="6" t="n">
        <x:v>4</x:v>
      </x:c>
      <x:c r="Y1429" s="6" t="str">
        <x:v>Garage Near Me Dubai | DIGI-TEC Al Quoz</x:v>
      </x:c>
      <x:c r="Z1429" s="6" t="str">
        <x:v>Garage Near Me Dubai | DIGI-TEC Al Quoz</x:v>
      </x:c>
      <x:c r="AA1429" s="6" t="str">
        <x:v>No / not compared</x:v>
      </x:c>
    </x:row>
    <x:row r="1430" ht="42" customHeight="1">
      <x:c r="A1430" s="6" t="str">
        <x:v>https://digitecme.com/services/mechanical-repair-dubai</x:v>
      </x:c>
      <x:c r="B1430" s="6" t="str">
        <x:v>car engine service dubai</x:v>
      </x:c>
      <x:c r="C1430" s="6" t="str">
        <x:v>All vehicles: Engine and mechanical repair</x:v>
      </x:c>
      <x:c r="D1430" s="6" t="str">
        <x:v>service</x:v>
      </x:c>
      <x:c r="E1430" s="6" t="str">
        <x:v>Primary owner for assigned intent</x:v>
      </x:c>
      <x:c r="F1430" s="6" t="str">
        <x:v>Local source render; live version unverified</x:v>
      </x:c>
      <x:c r="G1430" s="6" t="str">
        <x:v>Mechanical Repair Dubai | Engine &amp; Drivetrain | Digitec</x:v>
      </x:c>
      <x:c r="H1430" s="6" t="str">
        <x:v>Mechanical Repair Dubai | Engine &amp; Drivetrain | Digitec</x:v>
      </x:c>
      <x:c r="I1430" s="6" t="str">
        <x:v>Mechanical Repair in Dubai</x:v>
      </x:c>
      <x:c r="J1430" s="6" t="str">
        <x:v>Mechanical Repair in Dubai</x:v>
      </x:c>
      <x:c r="K1430" s="6" t="str">
        <x:v>Mechanical repair in Dubai for engine, gearbox and drivetrain concerns on selected German, luxury and other vehicles. Book an inspection.</x:v>
      </x:c>
      <x:c r="L1430" s="6" t="str">
        <x:v>Retain pending evidence; no specific content edit justified by this export.</x:v>
      </x:c>
      <x:c r="M1430" s="6" t="str">
        <x:v>Retain; inspect relevant context before adding links</x:v>
      </x:c>
      <x:c r="N1430" s="6" t="str">
        <x:v>Unconfirmed — no query/page pairing</x:v>
      </x:c>
      <x:c r="O1430" s="6" t="str">
        <x:v>Retain established booking / WhatsApp / call path; live behaviour untested</x:v>
      </x:c>
      <x:c r="P1430" s="6" t="str">
        <x:v>Retain canonical and indexation policy pending a live check.</x:v>
      </x:c>
      <x:c r="Q1430" s="6" t="str">
        <x:v>Proposed; no website change made</x:v>
      </x:c>
      <x:c r="R1430" s="14" t="n">
        <x:v>2</x:v>
      </x:c>
      <x:c r="S1430" s="14" t="n">
        <x:v>491</x:v>
      </x:c>
      <x:c r="T1430" s="15" t="n">
        <x:v>0.0040999999999999995</x:v>
      </x:c>
      <x:c r="U1430" s="16" t="n">
        <x:v>48.91</x:v>
      </x:c>
      <x:c r="V1430" s="6" t="str">
        <x:v>https://digitecme.com/services/mechanical-repair-dubai</x:v>
      </x:c>
      <x:c r="W1430" s="6" t="str">
        <x:v>Indexable directive</x:v>
      </x:c>
      <x:c r="X1430" s="6" t="n">
        <x:v>77</x:v>
      </x:c>
      <x:c r="Y1430" s="6" t="str">
        <x:v>Mechanical Repair Dubai | Engine &amp; Drivetrain | Digitec</x:v>
      </x:c>
      <x:c r="Z1430" s="6" t="str"/>
      <x:c r="AA1430" s="6" t="str">
        <x:v>No / not compared</x:v>
      </x:c>
    </x:row>
    <x:row r="1431" ht="42" customHeight="1">
      <x:c r="A1431" s="6" t="str">
        <x:v>https://digitecme.com/services/mercedes-ac-repair-dubai</x:v>
      </x:c>
      <x:c r="B1431" s="6" t="str">
        <x:v>mercedes ac repair dubai</x:v>
      </x:c>
      <x:c r="C1431" s="6" t="str">
        <x:v>mercedes-benz: AC repair</x:v>
      </x:c>
      <x:c r="D1431" s="6" t="str">
        <x:v>service</x:v>
      </x:c>
      <x:c r="E1431" s="6" t="str">
        <x:v>Primary owner for assigned intent</x:v>
      </x:c>
      <x:c r="F1431" s="6" t="str">
        <x:v>Local source render; live version unverified</x:v>
      </x:c>
      <x:c r="G1431" s="6" t="str">
        <x:v>Mercedes-Benz AC Repair Dubai | Digi-Tec</x:v>
      </x:c>
      <x:c r="H1431" s="6" t="str">
        <x:v>Mercedes-Benz AC Repair Dubai | Digi-Tec</x:v>
      </x:c>
      <x:c r="I1431" s="6" t="str">
        <x:v>Mercedes-Benz AC Repair Dubai</x:v>
      </x:c>
      <x:c r="J1431" s="6" t="str">
        <x:v>Mercedes-Benz AC Repair Dubai</x:v>
      </x:c>
      <x:c r="K1431" s="6" t="str">
        <x:v>Mercedes-Benz ac repair in Dubai with model-specific inspection, confirmed parts options and a clear quote at Digi-Tec, Al Quoz.</x:v>
      </x:c>
      <x:c r="L1431" s="6" t="str">
        <x:v>Retain pending evidence; no specific content edit justified by this export.</x:v>
      </x:c>
      <x:c r="M1431" s="6" t="str">
        <x:v>Retain; inspect relevant context before adding links</x:v>
      </x:c>
      <x:c r="N1431" s="6" t="str">
        <x:v>Unconfirmed — no query/page pairing</x:v>
      </x:c>
      <x:c r="O1431" s="6" t="str">
        <x:v>Retain established booking / WhatsApp / call path; live behaviour untested</x:v>
      </x:c>
      <x:c r="P1431" s="6" t="str">
        <x:v>Retain canonical and indexation policy pending a live check.</x:v>
      </x:c>
      <x:c r="Q1431" s="6" t="str">
        <x:v>Proposed; no website change made</x:v>
      </x:c>
      <x:c r="R1431" s="14" t="n">
        <x:v>0</x:v>
      </x:c>
      <x:c r="S1431" s="14" t="n">
        <x:v>9</x:v>
      </x:c>
      <x:c r="T1431" s="15" t="n">
        <x:v>0</x:v>
      </x:c>
      <x:c r="U1431" s="16" t="n">
        <x:v>15.89</x:v>
      </x:c>
      <x:c r="V1431" s="6" t="str">
        <x:v>https://digitecme.com/services/mercedes-ac-repair-dubai</x:v>
      </x:c>
      <x:c r="W1431" s="6" t="str">
        <x:v>Indexable directive</x:v>
      </x:c>
      <x:c r="X1431" s="6" t="n">
        <x:v>20</x:v>
      </x:c>
      <x:c r="Y1431" s="6" t="str">
        <x:v>Mercedes-Benz AC Repair Dubai | Digi-Tec</x:v>
      </x:c>
      <x:c r="Z1431" s="6" t="str"/>
      <x:c r="AA1431" s="6" t="str">
        <x:v>No / not compared</x:v>
      </x:c>
    </x:row>
    <x:row r="1432" ht="42" customHeight="1">
      <x:c r="A1432" s="6" t="str">
        <x:v>https://digitecme.com/services/mercedes-ac-repair-dubai/</x:v>
      </x:c>
      <x:c r="B1432" s="6" t="str"/>
      <x:c r="C1432" s="6" t="str"/>
      <x:c r="D1432" s="6" t="str">
        <x:v>Historical URL</x:v>
      </x:c>
      <x:c r="E1432" s="6" t="str">
        <x:v>Verify historical URL</x:v>
      </x:c>
      <x:c r="F1432" s="6" t="str">
        <x:v>Historical GSC URL; current page unverified</x:v>
      </x:c>
      <x:c r="G1432" s="6" t="str">
        <x:v>Not verified</x:v>
      </x:c>
      <x:c r="H1432" s="6" t="str">
        <x:v>Not verified</x:v>
      </x:c>
      <x:c r="I1432" s="6" t="str">
        <x:v>Not verified</x:v>
      </x:c>
      <x:c r="J1432" s="6" t="str">
        <x:v>Not verified</x:v>
      </x:c>
      <x:c r="K1432" s="6" t="str">
        <x:v>Not verified</x:v>
      </x:c>
      <x:c r="L1432" s="6" t="str">
        <x:v>Verify current HTTP response, canonical destination and URL history before changing or consolidating.</x:v>
      </x:c>
      <x:c r="M1432" s="6" t="str">
        <x:v>Retain; inspect relevant context before adding links</x:v>
      </x:c>
      <x:c r="N1432" s="6" t="str">
        <x:v>Unconfirmed — no query/page pairing</x:v>
      </x:c>
      <x:c r="O1432" s="6" t="str">
        <x:v>Retain established booking / WhatsApp / call path; live behaviour untested</x:v>
      </x:c>
      <x:c r="P1432" s="6" t="str">
        <x:v>Inspect live routing and canonical; do not infer a redirect from the URL shape.</x:v>
      </x:c>
      <x:c r="Q1432" s="6" t="str">
        <x:v>Proposed; no website change made</x:v>
      </x:c>
      <x:c r="R1432" s="14" t="n">
        <x:v>0</x:v>
      </x:c>
      <x:c r="S1432" s="14" t="n">
        <x:v>153</x:v>
      </x:c>
      <x:c r="T1432" s="15" t="n">
        <x:v>0</x:v>
      </x:c>
      <x:c r="U1432" s="16" t="n">
        <x:v>20.93</x:v>
      </x:c>
      <x:c r="V1432" s="6" t="str">
        <x:v>Not verified</x:v>
      </x:c>
      <x:c r="W1432" s="6" t="str">
        <x:v>Not verified</x:v>
      </x:c>
      <x:c r="X1432" s="6"/>
      <x:c r="Y1432" s="6" t="str"/>
      <x:c r="Z1432" s="6" t="str"/>
      <x:c r="AA1432" s="6" t="str">
        <x:v>No / not compared</x:v>
      </x:c>
    </x:row>
    <x:row r="1433" ht="42" customHeight="1">
      <x:c r="A1433" s="6" t="str">
        <x:v>https://digitecme.com/services/mercedes-battery-replacement-dubai</x:v>
      </x:c>
      <x:c r="B1433" s="6" t="str">
        <x:v>mercedes battery replacement dubai</x:v>
      </x:c>
      <x:c r="C1433" s="6" t="str">
        <x:v>mercedes-benz: Battery service</x:v>
      </x:c>
      <x:c r="D1433" s="6" t="str">
        <x:v>service</x:v>
      </x:c>
      <x:c r="E1433" s="6" t="str">
        <x:v>Primary owner for assigned intent</x:v>
      </x:c>
      <x:c r="F1433" s="6" t="str">
        <x:v>Local source render; live version unverified</x:v>
      </x:c>
      <x:c r="G1433" s="6" t="str">
        <x:v>Mercedes-Benz Battery Replacement Dubai | Digi-Tec</x:v>
      </x:c>
      <x:c r="H1433" s="6" t="str">
        <x:v>Mercedes-Benz Battery Replacement Dubai | Digi-Tec</x:v>
      </x:c>
      <x:c r="I1433" s="6" t="str">
        <x:v>Mercedes-Benz Battery Replacement Dubai</x:v>
      </x:c>
      <x:c r="J1433" s="6" t="str">
        <x:v>Mercedes-Benz Battery Replacement Dubai</x:v>
      </x:c>
      <x:c r="K1433" s="6" t="str">
        <x:v>Mercedes-Benz battery replacement in Dubai with model-specific inspection, confirmed parts options and a clear quote at Digi-Tec, Al Quoz.</x:v>
      </x:c>
      <x:c r="L1433" s="6" t="str">
        <x:v>Retain pending evidence; no specific content edit justified by this export.</x:v>
      </x:c>
      <x:c r="M1433" s="6" t="str">
        <x:v>Retain; inspect relevant context before adding links</x:v>
      </x:c>
      <x:c r="N1433" s="6" t="str">
        <x:v>Unconfirmed — no query/page pairing</x:v>
      </x:c>
      <x:c r="O1433" s="6" t="str">
        <x:v>Retain established booking / WhatsApp / call path; live behaviour untested</x:v>
      </x:c>
      <x:c r="P1433" s="6" t="str">
        <x:v>Retain canonical and indexation policy pending a live check.</x:v>
      </x:c>
      <x:c r="Q1433" s="6" t="str">
        <x:v>Proposed; no website change made</x:v>
      </x:c>
      <x:c r="R1433" s="14" t="n">
        <x:v>0</x:v>
      </x:c>
      <x:c r="S1433" s="14" t="n">
        <x:v>80</x:v>
      </x:c>
      <x:c r="T1433" s="15" t="n">
        <x:v>0</x:v>
      </x:c>
      <x:c r="U1433" s="16" t="n">
        <x:v>16.02</x:v>
      </x:c>
      <x:c r="V1433" s="6" t="str">
        <x:v>https://digitecme.com/services/mercedes-battery-replacement-dubai</x:v>
      </x:c>
      <x:c r="W1433" s="6" t="str">
        <x:v>Indexable directive</x:v>
      </x:c>
      <x:c r="X1433" s="6" t="n">
        <x:v>18</x:v>
      </x:c>
      <x:c r="Y1433" s="6" t="str">
        <x:v>Mercedes-Benz Battery Replacement Dubai | Digi-Tec</x:v>
      </x:c>
      <x:c r="Z1433" s="6" t="str"/>
      <x:c r="AA1433" s="6" t="str">
        <x:v>No / not compared</x:v>
      </x:c>
    </x:row>
    <x:row r="1434" ht="42" customHeight="1">
      <x:c r="A1434" s="6" t="str">
        <x:v>https://digitecme.com/services/mercedes-body-repair-dubai</x:v>
      </x:c>
      <x:c r="B1434" s="6" t="str">
        <x:v>mercedes body repair dubai</x:v>
      </x:c>
      <x:c r="C1434" s="6" t="str">
        <x:v>mercedes-benz: Body repair</x:v>
      </x:c>
      <x:c r="D1434" s="6" t="str">
        <x:v>service</x:v>
      </x:c>
      <x:c r="E1434" s="6" t="str">
        <x:v>Primary owner for assigned intent</x:v>
      </x:c>
      <x:c r="F1434" s="6" t="str">
        <x:v>Local source render; live version unverified</x:v>
      </x:c>
      <x:c r="G1434" s="6" t="str">
        <x:v>Mercedes-Benz Body Repair Dubai | Digi-Tec</x:v>
      </x:c>
      <x:c r="H1434" s="6" t="str">
        <x:v>Mercedes-Benz Body Repair Dubai | Digi-Tec</x:v>
      </x:c>
      <x:c r="I1434" s="6" t="str">
        <x:v>Mercedes-Benz Body Repair Dubai</x:v>
      </x:c>
      <x:c r="J1434" s="6" t="str">
        <x:v>Mercedes-Benz Body Repair Dubai</x:v>
      </x:c>
      <x:c r="K1434" s="6" t="str">
        <x:v>Mercedes-Benz body repair in Dubai with model-specific inspection, confirmed parts options and a clear quote at Digi-Tec, Al Quoz.</x:v>
      </x:c>
      <x:c r="L1434" s="6" t="str">
        <x:v>Retain pending evidence; no specific content edit justified by this export.</x:v>
      </x:c>
      <x:c r="M1434" s="6" t="str">
        <x:v>Retain; inspect relevant context before adding links</x:v>
      </x:c>
      <x:c r="N1434" s="6" t="str">
        <x:v>Unconfirmed — no query/page pairing</x:v>
      </x:c>
      <x:c r="O1434" s="6" t="str">
        <x:v>Retain established booking / WhatsApp / call path; live behaviour untested</x:v>
      </x:c>
      <x:c r="P1434" s="6" t="str">
        <x:v>Retain canonical and indexation policy pending a live check.</x:v>
      </x:c>
      <x:c r="Q1434" s="6" t="str">
        <x:v>Proposed; no website change made</x:v>
      </x:c>
      <x:c r="R1434" s="14"/>
      <x:c r="S1434" s="14"/>
      <x:c r="T1434" s="15"/>
      <x:c r="U1434" s="16"/>
      <x:c r="V1434" s="6" t="str">
        <x:v>https://digitecme.com/services/mercedes-body-repair-dubai</x:v>
      </x:c>
      <x:c r="W1434" s="6" t="str">
        <x:v>Indexable directive</x:v>
      </x:c>
      <x:c r="X1434" s="6" t="n">
        <x:v>17</x:v>
      </x:c>
      <x:c r="Y1434" s="6" t="str">
        <x:v>Mercedes-Benz Body Repair Dubai | Digi-Tec</x:v>
      </x:c>
      <x:c r="Z1434" s="6" t="str"/>
      <x:c r="AA1434" s="6" t="str">
        <x:v>No / not compared</x:v>
      </x:c>
    </x:row>
    <x:row r="1435" ht="42" customHeight="1">
      <x:c r="A1435" s="6" t="str">
        <x:v>https://digitecme.com/services/mercedes-body-repair-dubai/</x:v>
      </x:c>
      <x:c r="B1435" s="6" t="str"/>
      <x:c r="C1435" s="6" t="str"/>
      <x:c r="D1435" s="6" t="str">
        <x:v>Historical URL</x:v>
      </x:c>
      <x:c r="E1435" s="6" t="str">
        <x:v>Verify historical URL</x:v>
      </x:c>
      <x:c r="F1435" s="6" t="str">
        <x:v>Historical GSC URL; current page unverified</x:v>
      </x:c>
      <x:c r="G1435" s="6" t="str">
        <x:v>Not verified</x:v>
      </x:c>
      <x:c r="H1435" s="6" t="str">
        <x:v>Not verified</x:v>
      </x:c>
      <x:c r="I1435" s="6" t="str">
        <x:v>Not verified</x:v>
      </x:c>
      <x:c r="J1435" s="6" t="str">
        <x:v>Not verified</x:v>
      </x:c>
      <x:c r="K1435" s="6" t="str">
        <x:v>Not verified</x:v>
      </x:c>
      <x:c r="L1435" s="6" t="str">
        <x:v>Verify current HTTP response, canonical destination and URL history before changing or consolidating.</x:v>
      </x:c>
      <x:c r="M1435" s="6" t="str">
        <x:v>Retain; inspect relevant context before adding links</x:v>
      </x:c>
      <x:c r="N1435" s="6" t="str">
        <x:v>Unconfirmed — no query/page pairing</x:v>
      </x:c>
      <x:c r="O1435" s="6" t="str">
        <x:v>Retain established booking / WhatsApp / call path; live behaviour untested</x:v>
      </x:c>
      <x:c r="P1435" s="6" t="str">
        <x:v>Inspect live routing and canonical; do not infer a redirect from the URL shape.</x:v>
      </x:c>
      <x:c r="Q1435" s="6" t="str">
        <x:v>Proposed; no website change made</x:v>
      </x:c>
      <x:c r="R1435" s="14" t="n">
        <x:v>0</x:v>
      </x:c>
      <x:c r="S1435" s="14" t="n">
        <x:v>86</x:v>
      </x:c>
      <x:c r="T1435" s="15" t="n">
        <x:v>0</x:v>
      </x:c>
      <x:c r="U1435" s="16" t="n">
        <x:v>36.88</x:v>
      </x:c>
      <x:c r="V1435" s="6" t="str">
        <x:v>Not verified</x:v>
      </x:c>
      <x:c r="W1435" s="6" t="str">
        <x:v>Not verified</x:v>
      </x:c>
      <x:c r="X1435" s="6"/>
      <x:c r="Y1435" s="6" t="str"/>
      <x:c r="Z1435" s="6" t="str"/>
      <x:c r="AA1435" s="6" t="str">
        <x:v>No / not compared</x:v>
      </x:c>
    </x:row>
    <x:row r="1436" ht="57" customHeight="1">
      <x:c r="A1436" s="6" t="str">
        <x:v>https://digitecme.com/services/mercedes-brake-repair-dubai</x:v>
      </x:c>
      <x:c r="B1436" s="6" t="str">
        <x:v>mercedes brake service dubai</x:v>
      </x:c>
      <x:c r="C1436" s="6" t="str">
        <x:v>mercedes-benz: Brake repair</x:v>
      </x:c>
      <x:c r="D1436" s="6" t="str">
        <x:v>service</x:v>
      </x:c>
      <x:c r="E1436" s="6" t="str">
        <x:v>Primary owner for assigned intent</x:v>
      </x:c>
      <x:c r="F1436" s="6" t="str">
        <x:v>Live HTML checked 9 Sep 2026</x:v>
      </x:c>
      <x:c r="G1436" s="6" t="str">
        <x:v>Mercedes Brake Repair &amp; Service Dubai | Digi-Tec</x:v>
      </x:c>
      <x:c r="H1436" s="6" t="str">
        <x:v>Mercedes Brake Repair &amp; Service Dubai | Digi-Tec</x:v>
      </x:c>
      <x:c r="I1436" s="6" t="str">
        <x:v>Mercedes Brake Repair &amp; Service in Dubai</x:v>
      </x:c>
      <x:c r="J1436" s="6" t="str">
        <x:v>Mercedes Brake Repair &amp; Service in Dubai</x:v>
      </x:c>
      <x:c r="K1436" s="6" t="str">
        <x:v>Mercedes brake repair and service in Al Quoz. Pad and disc measurements, wear sensors, hydraulic checks and fitted AMG brake specification reviewed.</x:v>
      </x:c>
      <x:c r="L1436" s="6" t="str">
        <x:v>Retain the newer live title, H1 and service copy. Reconcile the local source with the deployed release before considering another rewrite.</x:v>
      </x:c>
      <x:c r="M1436" s="6" t="str">
        <x:v>Retain existing links</x:v>
      </x:c>
      <x:c r="N1436" s="6" t="str">
        <x:v>Unconfirmed — no query/page pairing</x:v>
      </x:c>
      <x:c r="O1436" s="6" t="str">
        <x:v>Retain established booking / WhatsApp / call path; live behaviour untested</x:v>
      </x:c>
      <x:c r="P1436" s="6" t="str">
        <x:v>Production metadata differs from current local source. Use the deployed version as the baseline; do not publish this checkout unchanged.</x:v>
      </x:c>
      <x:c r="Q1436" s="6" t="str">
        <x:v>Proposed; no website change made</x:v>
      </x:c>
      <x:c r="R1436" s="14" t="n">
        <x:v>0</x:v>
      </x:c>
      <x:c r="S1436" s="14" t="n">
        <x:v>12</x:v>
      </x:c>
      <x:c r="T1436" s="15" t="n">
        <x:v>0</x:v>
      </x:c>
      <x:c r="U1436" s="16" t="n">
        <x:v>24.33</x:v>
      </x:c>
      <x:c r="V1436" s="6" t="str">
        <x:v>https://digitecme.com/services/mercedes-brake-repair-dubai</x:v>
      </x:c>
      <x:c r="W1436" s="6" t="str">
        <x:v>Indexable directive</x:v>
      </x:c>
      <x:c r="X1436" s="6" t="n">
        <x:v>19</x:v>
      </x:c>
      <x:c r="Y1436" s="6" t="str">
        <x:v>Mercedes-Benz Brake Repair Dubai | Digi-Tec</x:v>
      </x:c>
      <x:c r="Z1436" s="6" t="str">
        <x:v>Mercedes Brake Repair &amp; Service Dubai | Digi-Tec</x:v>
      </x:c>
      <x:c r="AA1436" s="6" t="str">
        <x:v>Yes</x:v>
      </x:c>
    </x:row>
    <x:row r="1437" ht="57" customHeight="1">
      <x:c r="A1437" s="6" t="str">
        <x:v>https://digitecme.com/services/mercedes-diagnostics-dubai</x:v>
      </x:c>
      <x:c r="B1437" s="6" t="str">
        <x:v>mercedes diagnostic dubai</x:v>
      </x:c>
      <x:c r="C1437" s="6" t="str">
        <x:v>mercedes-benz: Diagnostics and supported coding</x:v>
      </x:c>
      <x:c r="D1437" s="6" t="str">
        <x:v>service</x:v>
      </x:c>
      <x:c r="E1437" s="6" t="str">
        <x:v>Primary owner for assigned intent</x:v>
      </x:c>
      <x:c r="F1437" s="6" t="str">
        <x:v>Live HTML checked 9 Sep 2026</x:v>
      </x:c>
      <x:c r="G1437" s="6" t="str">
        <x:v>Mercedes Diagnostics &amp; Coding Dubai | Digi-Tec</x:v>
      </x:c>
      <x:c r="H1437" s="6" t="str">
        <x:v>Mercedes Diagnostics &amp; Coding Dubai | Digi-Tec</x:v>
      </x:c>
      <x:c r="I1437" s="6" t="str">
        <x:v>Mercedes Diagnostics, Coding &amp; Programming in Dubai</x:v>
      </x:c>
      <x:c r="J1437" s="6" t="str">
        <x:v>Mercedes Diagnostics, Coding &amp; Programming in Dubai</x:v>
      </x:c>
      <x:c r="K1437" s="6" t="str">
        <x:v>Mercedes diagnostics in Al Quoz, Dubai, with coding and programming eligibility checked by VIN and module. Fault reports and supported next steps explained.</x:v>
      </x:c>
      <x:c r="L1437" s="6" t="str">
        <x:v>Retain the newer live title, H1 and service copy. Reconcile the local source with the deployed release before considering another rewrite.</x:v>
      </x:c>
      <x:c r="M1437" s="6" t="str">
        <x:v>Retain existing links</x:v>
      </x:c>
      <x:c r="N1437" s="6" t="str">
        <x:v>Unconfirmed — no query/page pairing</x:v>
      </x:c>
      <x:c r="O1437" s="6" t="str">
        <x:v>Retain established booking / WhatsApp / call path; live behaviour untested</x:v>
      </x:c>
      <x:c r="P1437" s="6" t="str">
        <x:v>Production metadata differs from current local source. Use the deployed version as the baseline; do not publish this checkout unchanged.</x:v>
      </x:c>
      <x:c r="Q1437" s="6" t="str">
        <x:v>Proposed; no website change made</x:v>
      </x:c>
      <x:c r="R1437" s="14" t="n">
        <x:v>0</x:v>
      </x:c>
      <x:c r="S1437" s="14" t="n">
        <x:v>14</x:v>
      </x:c>
      <x:c r="T1437" s="15" t="n">
        <x:v>0</x:v>
      </x:c>
      <x:c r="U1437" s="16" t="n">
        <x:v>90.64</x:v>
      </x:c>
      <x:c r="V1437" s="6" t="str">
        <x:v>https://digitecme.com/services/mercedes-diagnostics-dubai</x:v>
      </x:c>
      <x:c r="W1437" s="6" t="str">
        <x:v>Indexable directive</x:v>
      </x:c>
      <x:c r="X1437" s="6" t="n">
        <x:v>25</x:v>
      </x:c>
      <x:c r="Y1437" s="6" t="str">
        <x:v>Mercedes-Benz Engine Diagnostics Dubai | Digi-Tec</x:v>
      </x:c>
      <x:c r="Z1437" s="6" t="str">
        <x:v>Mercedes Diagnostics &amp; Coding Dubai | Digi-Tec</x:v>
      </x:c>
      <x:c r="AA1437" s="6" t="str">
        <x:v>Yes</x:v>
      </x:c>
    </x:row>
    <x:row r="1438" ht="42" customHeight="1">
      <x:c r="A1438" s="6" t="str">
        <x:v>https://digitecme.com/services/mercedes-electrical-repair-dubai</x:v>
      </x:c>
      <x:c r="B1438" s="6" t="str">
        <x:v>mercedes electrical repair</x:v>
      </x:c>
      <x:c r="C1438" s="6" t="str">
        <x:v>mercedes-benz: Electrical repair</x:v>
      </x:c>
      <x:c r="D1438" s="6" t="str">
        <x:v>service</x:v>
      </x:c>
      <x:c r="E1438" s="6" t="str">
        <x:v>Primary owner for assigned intent</x:v>
      </x:c>
      <x:c r="F1438" s="6" t="str">
        <x:v>Local source render; live version unverified</x:v>
      </x:c>
      <x:c r="G1438" s="6" t="str">
        <x:v>Mercedes-Benz Electrical Repair Dubai | Digi-Tec</x:v>
      </x:c>
      <x:c r="H1438" s="6" t="str">
        <x:v>Mercedes-Benz Electrical Repair Dubai | Digi-Tec</x:v>
      </x:c>
      <x:c r="I1438" s="6" t="str">
        <x:v>Mercedes-Benz Electrical Repair Dubai</x:v>
      </x:c>
      <x:c r="J1438" s="6" t="str">
        <x:v>Mercedes-Benz Electrical Repair Dubai</x:v>
      </x:c>
      <x:c r="K1438" s="6" t="str">
        <x:v>Mercedes-Benz electrical repair in Dubai with model-specific inspection, confirmed parts options and a clear quote at Digi-Tec, Al Quoz.</x:v>
      </x:c>
      <x:c r="L1438" s="6" t="str">
        <x:v>Retain pending evidence; no specific content edit justified by this export.</x:v>
      </x:c>
      <x:c r="M1438" s="6" t="str">
        <x:v>Retain; inspect relevant context before adding links</x:v>
      </x:c>
      <x:c r="N1438" s="6" t="str">
        <x:v>Unconfirmed — no query/page pairing</x:v>
      </x:c>
      <x:c r="O1438" s="6" t="str">
        <x:v>Retain established booking / WhatsApp / call path; live behaviour untested</x:v>
      </x:c>
      <x:c r="P1438" s="6" t="str">
        <x:v>Retain canonical and indexation policy pending a live check.</x:v>
      </x:c>
      <x:c r="Q1438" s="6" t="str">
        <x:v>Proposed; no website change made</x:v>
      </x:c>
      <x:c r="R1438" s="14" t="n">
        <x:v>0</x:v>
      </x:c>
      <x:c r="S1438" s="14" t="n">
        <x:v>11</x:v>
      </x:c>
      <x:c r="T1438" s="15" t="n">
        <x:v>0</x:v>
      </x:c>
      <x:c r="U1438" s="16" t="n">
        <x:v>12.55</x:v>
      </x:c>
      <x:c r="V1438" s="6" t="str">
        <x:v>https://digitecme.com/services/mercedes-electrical-repair-dubai</x:v>
      </x:c>
      <x:c r="W1438" s="6" t="str">
        <x:v>Indexable directive</x:v>
      </x:c>
      <x:c r="X1438" s="6" t="n">
        <x:v>23</x:v>
      </x:c>
      <x:c r="Y1438" s="6" t="str">
        <x:v>Mercedes-Benz Electrical Repair Dubai | Digi-Tec</x:v>
      </x:c>
      <x:c r="Z1438" s="6" t="str"/>
      <x:c r="AA1438" s="6" t="str">
        <x:v>No / not compared</x:v>
      </x:c>
    </x:row>
    <x:row r="1439" ht="42" customHeight="1">
      <x:c r="A1439" s="6" t="str">
        <x:v>https://digitecme.com/services/mercedes-exhaust-repair-dubai</x:v>
      </x:c>
      <x:c r="B1439" s="6" t="str">
        <x:v>mercedes exhaust repair</x:v>
      </x:c>
      <x:c r="C1439" s="6" t="str">
        <x:v>mercedes-benz: Exhaust repair</x:v>
      </x:c>
      <x:c r="D1439" s="6" t="str">
        <x:v>service</x:v>
      </x:c>
      <x:c r="E1439" s="6" t="str">
        <x:v>Primary owner for assigned intent</x:v>
      </x:c>
      <x:c r="F1439" s="6" t="str">
        <x:v>Local source render; live version unverified</x:v>
      </x:c>
      <x:c r="G1439" s="6" t="str">
        <x:v>Mercedes-Benz Exhaust Repair Dubai | Digi-Tec</x:v>
      </x:c>
      <x:c r="H1439" s="6" t="str">
        <x:v>Mercedes-Benz Exhaust Repair Dubai | Digi-Tec</x:v>
      </x:c>
      <x:c r="I1439" s="6" t="str">
        <x:v>Mercedes-Benz Exhaust Repair Dubai</x:v>
      </x:c>
      <x:c r="J1439" s="6" t="str">
        <x:v>Mercedes-Benz Exhaust Repair Dubai</x:v>
      </x:c>
      <x:c r="K1439" s="6" t="str">
        <x:v>Mercedes-Benz exhaust repair in Dubai with model-specific inspection, confirmed parts options and a clear quote at Digi-Tec, Al Quoz.</x:v>
      </x:c>
      <x:c r="L1439" s="6" t="str">
        <x:v>Retain pending evidence; no specific content edit justified by this export.</x:v>
      </x:c>
      <x:c r="M1439" s="6" t="str">
        <x:v>Retain; inspect relevant context before adding links</x:v>
      </x:c>
      <x:c r="N1439" s="6" t="str">
        <x:v>Unconfirmed — no query/page pairing</x:v>
      </x:c>
      <x:c r="O1439" s="6" t="str">
        <x:v>Retain established booking / WhatsApp / call path; live behaviour untested</x:v>
      </x:c>
      <x:c r="P1439" s="6" t="str">
        <x:v>Retain canonical and indexation policy pending a live check.</x:v>
      </x:c>
      <x:c r="Q1439" s="6" t="str">
        <x:v>Proposed; no website change made</x:v>
      </x:c>
      <x:c r="R1439" s="14" t="n">
        <x:v>0</x:v>
      </x:c>
      <x:c r="S1439" s="14" t="n">
        <x:v>1</x:v>
      </x:c>
      <x:c r="T1439" s="15" t="n">
        <x:v>0</x:v>
      </x:c>
      <x:c r="U1439" s="16" t="n">
        <x:v>5</x:v>
      </x:c>
      <x:c r="V1439" s="6" t="str">
        <x:v>https://digitecme.com/services/mercedes-exhaust-repair-dubai</x:v>
      </x:c>
      <x:c r="W1439" s="6" t="str">
        <x:v>Indexable directive</x:v>
      </x:c>
      <x:c r="X1439" s="6" t="n">
        <x:v>17</x:v>
      </x:c>
      <x:c r="Y1439" s="6" t="str">
        <x:v>Mercedes-Benz Exhaust Repair Dubai | Digi-Tec</x:v>
      </x:c>
      <x:c r="Z1439" s="6" t="str"/>
      <x:c r="AA1439" s="6" t="str">
        <x:v>No / not compared</x:v>
      </x:c>
    </x:row>
    <x:row r="1440" ht="42" customHeight="1">
      <x:c r="A1440" s="6" t="str">
        <x:v>https://digitecme.com/services/mercedes-fuel-system-repair-dubai</x:v>
      </x:c>
      <x:c r="B1440" s="6" t="str"/>
      <x:c r="C1440" s="6" t="str"/>
      <x:c r="D1440" s="6" t="str">
        <x:v>service</x:v>
      </x:c>
      <x:c r="E1440" s="6" t="str">
        <x:v>Retain differentiated role</x:v>
      </x:c>
      <x:c r="F1440" s="6" t="str">
        <x:v>Local source render; live version unverified</x:v>
      </x:c>
      <x:c r="G1440" s="6" t="str">
        <x:v>Mercedes-Benz Fuel System Repair Dubai | Digi-Tec</x:v>
      </x:c>
      <x:c r="H1440" s="6" t="str">
        <x:v>Mercedes-Benz Fuel System Repair Dubai | Digi-Tec</x:v>
      </x:c>
      <x:c r="I1440" s="6" t="str">
        <x:v>Mercedes-Benz Fuel System Repair Dubai</x:v>
      </x:c>
      <x:c r="J1440" s="6" t="str">
        <x:v>Mercedes-Benz Fuel System Repair Dubai</x:v>
      </x:c>
      <x:c r="K1440" s="6" t="str">
        <x:v>Mercedes-Benz fuel system repair in Dubai with model-specific inspection, confirmed parts options and a clear quote at Digi-Tec, Al Quoz.</x:v>
      </x:c>
      <x:c r="L1440" s="6" t="str">
        <x:v>Retain pending evidence; no specific content edit justified by this export.</x:v>
      </x:c>
      <x:c r="M1440" s="6" t="str">
        <x:v>Retain; inspect relevant context before adding links</x:v>
      </x:c>
      <x:c r="N1440" s="6" t="str">
        <x:v>Unconfirmed — no query/page pairing</x:v>
      </x:c>
      <x:c r="O1440" s="6" t="str">
        <x:v>Retain established booking / WhatsApp / call path; live behaviour untested</x:v>
      </x:c>
      <x:c r="P1440" s="6" t="str">
        <x:v>Retain canonical and indexation policy pending a live check.</x:v>
      </x:c>
      <x:c r="Q1440" s="6" t="str">
        <x:v>Proposed; no website change made</x:v>
      </x:c>
      <x:c r="R1440" s="14" t="n">
        <x:v>0</x:v>
      </x:c>
      <x:c r="S1440" s="14" t="n">
        <x:v>2</x:v>
      </x:c>
      <x:c r="T1440" s="15" t="n">
        <x:v>0</x:v>
      </x:c>
      <x:c r="U1440" s="16" t="n">
        <x:v>6.5</x:v>
      </x:c>
      <x:c r="V1440" s="6" t="str">
        <x:v>https://digitecme.com/services/mercedes-fuel-system-repair-dubai</x:v>
      </x:c>
      <x:c r="W1440" s="6" t="str">
        <x:v>Indexable directive</x:v>
      </x:c>
      <x:c r="X1440" s="6" t="n">
        <x:v>17</x:v>
      </x:c>
      <x:c r="Y1440" s="6" t="str">
        <x:v>Mercedes-Benz Fuel System Repair Dubai | Digi-Tec</x:v>
      </x:c>
      <x:c r="Z1440" s="6" t="str"/>
      <x:c r="AA1440" s="6" t="str">
        <x:v>No / not compared</x:v>
      </x:c>
    </x:row>
    <x:row r="1441" ht="57" customHeight="1">
      <x:c r="A1441" s="6" t="str">
        <x:v>https://digitecme.com/services/mercedes-mechanical-repair-dubai</x:v>
      </x:c>
      <x:c r="B1441" s="6" t="str">
        <x:v>mercedes engine repair dubai</x:v>
      </x:c>
      <x:c r="C1441" s="6" t="str">
        <x:v>mercedes-benz: Engine and mechanical repair</x:v>
      </x:c>
      <x:c r="D1441" s="6" t="str">
        <x:v>service</x:v>
      </x:c>
      <x:c r="E1441" s="6" t="str">
        <x:v>Primary owner for assigned intent</x:v>
      </x:c>
      <x:c r="F1441" s="6" t="str">
        <x:v>Live HTML checked 9 Sep 2026</x:v>
      </x:c>
      <x:c r="G1441" s="6" t="str">
        <x:v>Mercedes Engine &amp; Mechanical Repair Dubai | Digi-Tec</x:v>
      </x:c>
      <x:c r="H1441" s="6" t="str">
        <x:v>Mercedes Engine &amp; Mechanical Repair Dubai | Digi-Tec</x:v>
      </x:c>
      <x:c r="I1441" s="6" t="str">
        <x:v>Mercedes Engine &amp; Mechanical Repair in Dubai</x:v>
      </x:c>
      <x:c r="J1441" s="6" t="str">
        <x:v>Mercedes Engine &amp; Mechanical Repair in Dubai</x:v>
      </x:c>
      <x:c r="K1441" s="6" t="str">
        <x:v>Mercedes engine repair in Al Quoz, Dubai. Assessment of overheating, oil leaks, misfires and mounts, with repair options and an itemized quote.</x:v>
      </x:c>
      <x:c r="L1441" s="6" t="str">
        <x:v>Retain the newer live title, H1 and service copy. Reconcile the local source with the deployed release before considering another rewrite.</x:v>
      </x:c>
      <x:c r="M1441" s="6" t="str">
        <x:v>Retain existing links</x:v>
      </x:c>
      <x:c r="N1441" s="6" t="str">
        <x:v>Unconfirmed — no query/page pairing</x:v>
      </x:c>
      <x:c r="O1441" s="6" t="str">
        <x:v>Retain established booking / WhatsApp / call path; live behaviour untested</x:v>
      </x:c>
      <x:c r="P1441" s="6" t="str">
        <x:v>Production metadata differs from current local source. Use the deployed version as the baseline; do not publish this checkout unchanged.</x:v>
      </x:c>
      <x:c r="Q1441" s="6" t="str">
        <x:v>Proposed; no website change made</x:v>
      </x:c>
      <x:c r="R1441" s="14" t="n">
        <x:v>0</x:v>
      </x:c>
      <x:c r="S1441" s="14" t="n">
        <x:v>36</x:v>
      </x:c>
      <x:c r="T1441" s="15" t="n">
        <x:v>0</x:v>
      </x:c>
      <x:c r="U1441" s="16" t="n">
        <x:v>75.36</x:v>
      </x:c>
      <x:c r="V1441" s="6" t="str">
        <x:v>https://digitecme.com/services/mercedes-mechanical-repair-dubai</x:v>
      </x:c>
      <x:c r="W1441" s="6" t="str">
        <x:v>Indexable directive</x:v>
      </x:c>
      <x:c r="X1441" s="6" t="n">
        <x:v>25</x:v>
      </x:c>
      <x:c r="Y1441" s="6" t="str">
        <x:v>Mercedes-Benz Mechanical Repair Dubai | Digi-Tec</x:v>
      </x:c>
      <x:c r="Z1441" s="6" t="str">
        <x:v>Mercedes Engine &amp; Mechanical Repair Dubai | Digi-Tec</x:v>
      </x:c>
      <x:c r="AA1441" s="6" t="str">
        <x:v>Yes</x:v>
      </x:c>
    </x:row>
    <x:row r="1442" ht="57" customHeight="1">
      <x:c r="A1442" s="6" t="str">
        <x:v>https://digitecme.com/services/mercedes-oil-change-dubai</x:v>
      </x:c>
      <x:c r="B1442" s="6" t="str">
        <x:v>mercedes oil change dubai</x:v>
      </x:c>
      <x:c r="C1442" s="6" t="str">
        <x:v>mercedes-benz: Oil change</x:v>
      </x:c>
      <x:c r="D1442" s="6" t="str">
        <x:v>service</x:v>
      </x:c>
      <x:c r="E1442" s="6" t="str">
        <x:v>Primary owner for assigned intent</x:v>
      </x:c>
      <x:c r="F1442" s="6" t="str">
        <x:v>Live HTML checked 9 Sep 2026</x:v>
      </x:c>
      <x:c r="G1442" s="6" t="str">
        <x:v>Mercedes Oil Change Dubai | Service &amp; Filter | Digi-Tec</x:v>
      </x:c>
      <x:c r="H1442" s="6" t="str">
        <x:v>Mercedes Oil Change Dubai | Service &amp; Filter | Digi-Tec</x:v>
      </x:c>
      <x:c r="I1442" s="6" t="str">
        <x:v>Mercedes Oil Change in Dubai</x:v>
      </x:c>
      <x:c r="J1442" s="6" t="str">
        <x:v>Mercedes Oil Change in Dubai</x:v>
      </x:c>
      <x:c r="K1442" s="6" t="str">
        <x:v>Mercedes engine oil and filter service in Al Quoz, Dubai. VIN-matched oil approval, quantity, filter and due-service checks with a clear quotation.</x:v>
      </x:c>
      <x:c r="L1442" s="6" t="str">
        <x:v>Retain the newer live title, H1 and service copy. Reconcile the local source with the deployed release before considering another rewrite.</x:v>
      </x:c>
      <x:c r="M1442" s="6" t="str">
        <x:v>Retain existing links</x:v>
      </x:c>
      <x:c r="N1442" s="6" t="str">
        <x:v>Unconfirmed — no query/page pairing</x:v>
      </x:c>
      <x:c r="O1442" s="6" t="str">
        <x:v>Retain established booking / WhatsApp / call path; live behaviour untested</x:v>
      </x:c>
      <x:c r="P1442" s="6" t="str">
        <x:v>Production metadata differs from current local source. Use the deployed version as the baseline; do not publish this checkout unchanged.</x:v>
      </x:c>
      <x:c r="Q1442" s="6" t="str">
        <x:v>Proposed; no website change made</x:v>
      </x:c>
      <x:c r="R1442" s="14"/>
      <x:c r="S1442" s="14"/>
      <x:c r="T1442" s="15"/>
      <x:c r="U1442" s="16"/>
      <x:c r="V1442" s="6" t="str">
        <x:v>https://digitecme.com/services/mercedes-oil-change-dubai</x:v>
      </x:c>
      <x:c r="W1442" s="6" t="str">
        <x:v>Indexable directive</x:v>
      </x:c>
      <x:c r="X1442" s="6" t="n">
        <x:v>32</x:v>
      </x:c>
      <x:c r="Y1442" s="6" t="str">
        <x:v>Mercedes-Benz Oil Change Dubai | Digi-Tec</x:v>
      </x:c>
      <x:c r="Z1442" s="6" t="str">
        <x:v>Mercedes Oil Change Dubai | Service &amp; Filter | Digi-Tec</x:v>
      </x:c>
      <x:c r="AA1442" s="6" t="str">
        <x:v>Yes</x:v>
      </x:c>
    </x:row>
    <x:row r="1443" ht="42" customHeight="1">
      <x:c r="A1443" s="6" t="str">
        <x:v>https://digitecme.com/services/mercedes-oil-change-dubai/</x:v>
      </x:c>
      <x:c r="B1443" s="6" t="str"/>
      <x:c r="C1443" s="6" t="str"/>
      <x:c r="D1443" s="6" t="str">
        <x:v>Historical URL</x:v>
      </x:c>
      <x:c r="E1443" s="6" t="str">
        <x:v>Verify historical URL</x:v>
      </x:c>
      <x:c r="F1443" s="6" t="str">
        <x:v>Historical GSC URL; current page unverified</x:v>
      </x:c>
      <x:c r="G1443" s="6" t="str">
        <x:v>Not verified</x:v>
      </x:c>
      <x:c r="H1443" s="6" t="str">
        <x:v>Not verified</x:v>
      </x:c>
      <x:c r="I1443" s="6" t="str">
        <x:v>Not verified</x:v>
      </x:c>
      <x:c r="J1443" s="6" t="str">
        <x:v>Not verified</x:v>
      </x:c>
      <x:c r="K1443" s="6" t="str">
        <x:v>Not verified</x:v>
      </x:c>
      <x:c r="L1443" s="6" t="str">
        <x:v>Verify current HTTP response, canonical destination and URL history before changing or consolidating.</x:v>
      </x:c>
      <x:c r="M1443" s="6" t="str">
        <x:v>Retain; inspect relevant context before adding links</x:v>
      </x:c>
      <x:c r="N1443" s="6" t="str">
        <x:v>Unconfirmed — no query/page pairing</x:v>
      </x:c>
      <x:c r="O1443" s="6" t="str">
        <x:v>Retain established booking / WhatsApp / call path; live behaviour untested</x:v>
      </x:c>
      <x:c r="P1443" s="6" t="str">
        <x:v>Inspect live routing and canonical; do not infer a redirect from the URL shape.</x:v>
      </x:c>
      <x:c r="Q1443" s="6" t="str">
        <x:v>Proposed; no website change made</x:v>
      </x:c>
      <x:c r="R1443" s="14" t="n">
        <x:v>1</x:v>
      </x:c>
      <x:c r="S1443" s="14" t="n">
        <x:v>353</x:v>
      </x:c>
      <x:c r="T1443" s="15" t="n">
        <x:v>0.0028000000000000004</x:v>
      </x:c>
      <x:c r="U1443" s="16" t="n">
        <x:v>19.9</x:v>
      </x:c>
      <x:c r="V1443" s="6" t="str">
        <x:v>Not verified</x:v>
      </x:c>
      <x:c r="W1443" s="6" t="str">
        <x:v>Not verified</x:v>
      </x:c>
      <x:c r="X1443" s="6"/>
      <x:c r="Y1443" s="6" t="str"/>
      <x:c r="Z1443" s="6" t="str"/>
      <x:c r="AA1443" s="6" t="str">
        <x:v>No / not compared</x:v>
      </x:c>
    </x:row>
    <x:row r="1444" ht="42" customHeight="1">
      <x:c r="A1444" s="6" t="str">
        <x:v>https://digitecme.com/services/mercedes-repair</x:v>
      </x:c>
      <x:c r="B1444" s="6" t="str"/>
      <x:c r="C1444" s="6" t="str"/>
      <x:c r="D1444" s="6" t="str">
        <x:v>Historical URL</x:v>
      </x:c>
      <x:c r="E1444" s="6" t="str">
        <x:v>Verify historical URL</x:v>
      </x:c>
      <x:c r="F1444" s="6" t="str">
        <x:v>Historical GSC URL; current page unverified</x:v>
      </x:c>
      <x:c r="G1444" s="6" t="str">
        <x:v>Not verified</x:v>
      </x:c>
      <x:c r="H1444" s="6" t="str">
        <x:v>Not verified</x:v>
      </x:c>
      <x:c r="I1444" s="6" t="str">
        <x:v>Not verified</x:v>
      </x:c>
      <x:c r="J1444" s="6" t="str">
        <x:v>Not verified</x:v>
      </x:c>
      <x:c r="K1444" s="6" t="str">
        <x:v>Not verified</x:v>
      </x:c>
      <x:c r="L1444" s="6" t="str">
        <x:v>Verify current HTTP response, canonical destination and URL history before changing or consolidating.</x:v>
      </x:c>
      <x:c r="M1444" s="6" t="str">
        <x:v>Retain; inspect relevant context before adding links</x:v>
      </x:c>
      <x:c r="N1444" s="6" t="str">
        <x:v>Unconfirmed — no query/page pairing</x:v>
      </x:c>
      <x:c r="O1444" s="6" t="str">
        <x:v>Retain established booking / WhatsApp / call path; live behaviour untested</x:v>
      </x:c>
      <x:c r="P1444" s="6" t="str">
        <x:v>Inspect live routing and canonical; do not infer a redirect from the URL shape.</x:v>
      </x:c>
      <x:c r="Q1444" s="6" t="str">
        <x:v>Proposed; no website change made</x:v>
      </x:c>
      <x:c r="R1444" s="14" t="n">
        <x:v>0</x:v>
      </x:c>
      <x:c r="S1444" s="14" t="n">
        <x:v>38</x:v>
      </x:c>
      <x:c r="T1444" s="15" t="n">
        <x:v>0</x:v>
      </x:c>
      <x:c r="U1444" s="16" t="n">
        <x:v>75.84</x:v>
      </x:c>
      <x:c r="V1444" s="6" t="str">
        <x:v>Not verified</x:v>
      </x:c>
      <x:c r="W1444" s="6" t="str">
        <x:v>Not verified</x:v>
      </x:c>
      <x:c r="X1444" s="6"/>
      <x:c r="Y1444" s="6" t="str"/>
      <x:c r="Z1444" s="6" t="str"/>
      <x:c r="AA1444" s="6" t="str">
        <x:v>No / not compared</x:v>
      </x:c>
    </x:row>
    <x:row r="1445" ht="57" customHeight="1">
      <x:c r="A1445" s="6" t="str">
        <x:v>https://digitecme.com/services/mercedes-repair-dubai</x:v>
      </x:c>
      <x:c r="B1445" s="6" t="str"/>
      <x:c r="C1445" s="6" t="str"/>
      <x:c r="D1445" s="6" t="str">
        <x:v>Historical URL</x:v>
      </x:c>
      <x:c r="E1445" s="6" t="str">
        <x:v>Verify historical URL</x:v>
      </x:c>
      <x:c r="F1445" s="6" t="str">
        <x:v>Live HTML checked 9 Sep 2026</x:v>
      </x:c>
      <x:c r="G1445" s="6" t="str">
        <x:v>Digi-Tec Performance Center | Independent Car Workshop Dubai</x:v>
      </x:c>
      <x:c r="H1445" s="6" t="str">
        <x:v>Digi-Tec Performance Center | Independent Car Workshop Dubai</x:v>
      </x:c>
      <x:c r="I1445" s="6" t="str">
        <x:v>D IGI-TEC Performance Center</x:v>
      </x:c>
      <x:c r="J1445" s="6" t="str">
        <x:v>D IGI-TEC Performance Center</x:v>
      </x:c>
      <x:c r="K1445" s="6" t="str">
        <x:v>Independent car workshop in Al Quoz, Dubai since 2002 for inspection, maintenance, repair, programming, bodywork and performance-project consultation. Call +971 4 340 2223.</x:v>
      </x:c>
      <x:c r="L1445" s="6" t="str">
        <x:v>Restore the intended Mercedes destination at the HTTP layer after confirming historical equity and the existing alias policy.</x:v>
      </x:c>
      <x:c r="M1445" s="6" t="str">
        <x:v>Retain; inspect relevant context before adding links</x:v>
      </x:c>
      <x:c r="N1445" s="6" t="str">
        <x:v>Unconfirmed — no query/page pairing</x:v>
      </x:c>
      <x:c r="O1445" s="6" t="str">
        <x:v>Retain established booking / WhatsApp / call path; live behaviour untested</x:v>
      </x:c>
      <x:c r="P1445" s="6" t="str">
        <x:v>Observed HTTP 200, same final URL and homepage canonical. Prepare a server-side 301/308 to /brands/mercedes-benz-service-dubai, preserving query parameters.</x:v>
      </x:c>
      <x:c r="Q1445" s="6" t="str">
        <x:v>Proposed; no website change made</x:v>
      </x:c>
      <x:c r="R1445" s="14" t="n">
        <x:v>7</x:v>
      </x:c>
      <x:c r="S1445" s="14" t="n">
        <x:v>5508</x:v>
      </x:c>
      <x:c r="T1445" s="15" t="n">
        <x:v>0.0013</x:v>
      </x:c>
      <x:c r="U1445" s="16" t="n">
        <x:v>23.41</x:v>
      </x:c>
      <x:c r="V1445" s="6" t="str">
        <x:v>https://digitecme.com/</x:v>
      </x:c>
      <x:c r="W1445" s="6" t="str">
        <x:v>Indexable directive</x:v>
      </x:c>
      <x:c r="X1445" s="6"/>
      <x:c r="Y1445" s="6" t="str"/>
      <x:c r="Z1445" s="6" t="str">
        <x:v>Digi-Tec Performance Center | Independent Car Workshop Dubai</x:v>
      </x:c>
      <x:c r="AA1445" s="6" t="str">
        <x:v>No / not compared</x:v>
      </x:c>
    </x:row>
    <x:row r="1446" ht="42" customHeight="1">
      <x:c r="A1446" s="6" t="str">
        <x:v>https://digitecme.com/services/mercedes-repair-dubai/</x:v>
      </x:c>
      <x:c r="B1446" s="6" t="str"/>
      <x:c r="C1446" s="6" t="str"/>
      <x:c r="D1446" s="6" t="str">
        <x:v>Historical URL</x:v>
      </x:c>
      <x:c r="E1446" s="6" t="str">
        <x:v>Verify historical URL</x:v>
      </x:c>
      <x:c r="F1446" s="6" t="str">
        <x:v>Historical GSC URL; current page unverified</x:v>
      </x:c>
      <x:c r="G1446" s="6" t="str">
        <x:v>Not verified</x:v>
      </x:c>
      <x:c r="H1446" s="6" t="str">
        <x:v>Not verified</x:v>
      </x:c>
      <x:c r="I1446" s="6" t="str">
        <x:v>Not verified</x:v>
      </x:c>
      <x:c r="J1446" s="6" t="str">
        <x:v>Not verified</x:v>
      </x:c>
      <x:c r="K1446" s="6" t="str">
        <x:v>Not verified</x:v>
      </x:c>
      <x:c r="L1446" s="6" t="str">
        <x:v>Verify current HTTP response, canonical destination and URL history before changing or consolidating.</x:v>
      </x:c>
      <x:c r="M1446" s="6" t="str">
        <x:v>Retain; inspect relevant context before adding links</x:v>
      </x:c>
      <x:c r="N1446" s="6" t="str">
        <x:v>Unconfirmed — no query/page pairing</x:v>
      </x:c>
      <x:c r="O1446" s="6" t="str">
        <x:v>Retain established booking / WhatsApp / call path; live behaviour untested</x:v>
      </x:c>
      <x:c r="P1446" s="6" t="str">
        <x:v>Inspect live routing and canonical; do not infer a redirect from the URL shape.</x:v>
      </x:c>
      <x:c r="Q1446" s="6" t="str">
        <x:v>Proposed; no website change made</x:v>
      </x:c>
      <x:c r="R1446" s="14" t="n">
        <x:v>0</x:v>
      </x:c>
      <x:c r="S1446" s="14" t="n">
        <x:v>197</x:v>
      </x:c>
      <x:c r="T1446" s="15" t="n">
        <x:v>0</x:v>
      </x:c>
      <x:c r="U1446" s="16" t="n">
        <x:v>20.75</x:v>
      </x:c>
      <x:c r="V1446" s="6" t="str">
        <x:v>Not verified</x:v>
      </x:c>
      <x:c r="W1446" s="6" t="str">
        <x:v>Not verified</x:v>
      </x:c>
      <x:c r="X1446" s="6"/>
      <x:c r="Y1446" s="6" t="str"/>
      <x:c r="Z1446" s="6" t="str"/>
      <x:c r="AA1446" s="6" t="str">
        <x:v>No / not compared</x:v>
      </x:c>
    </x:row>
    <x:row r="1447" ht="42" customHeight="1">
      <x:c r="A1447" s="6" t="str">
        <x:v>https://digitecme.com/services/mercedes-steering-repair-dubai</x:v>
      </x:c>
      <x:c r="B1447" s="6" t="str">
        <x:v>mercedes steering repair</x:v>
      </x:c>
      <x:c r="C1447" s="6" t="str">
        <x:v>mercedes-benz: Steering repair</x:v>
      </x:c>
      <x:c r="D1447" s="6" t="str">
        <x:v>service</x:v>
      </x:c>
      <x:c r="E1447" s="6" t="str">
        <x:v>Primary owner for assigned intent</x:v>
      </x:c>
      <x:c r="F1447" s="6" t="str">
        <x:v>Local source render; live version unverified</x:v>
      </x:c>
      <x:c r="G1447" s="6" t="str">
        <x:v>Mercedes-Benz Steering Repair Dubai | Digi-Tec</x:v>
      </x:c>
      <x:c r="H1447" s="6" t="str">
        <x:v>Mercedes-Benz Steering Repair Dubai | Digi-Tec</x:v>
      </x:c>
      <x:c r="I1447" s="6" t="str">
        <x:v>Mercedes-Benz Steering Repair Dubai</x:v>
      </x:c>
      <x:c r="J1447" s="6" t="str">
        <x:v>Mercedes-Benz Steering Repair Dubai</x:v>
      </x:c>
      <x:c r="K1447" s="6" t="str">
        <x:v>Mercedes-Benz steering repair in Dubai with model-specific inspection, confirmed parts options and a clear quote at Digi-Tec, Al Quoz.</x:v>
      </x:c>
      <x:c r="L1447" s="6" t="str">
        <x:v>Retain pending evidence; no specific content edit justified by this export.</x:v>
      </x:c>
      <x:c r="M1447" s="6" t="str">
        <x:v>Retain; inspect relevant context before adding links</x:v>
      </x:c>
      <x:c r="N1447" s="6" t="str">
        <x:v>Unconfirmed — no query/page pairing</x:v>
      </x:c>
      <x:c r="O1447" s="6" t="str">
        <x:v>Retain established booking / WhatsApp / call path; live behaviour untested</x:v>
      </x:c>
      <x:c r="P1447" s="6" t="str">
        <x:v>Retain canonical and indexation policy pending a live check.</x:v>
      </x:c>
      <x:c r="Q1447" s="6" t="str">
        <x:v>Proposed; no website change made</x:v>
      </x:c>
      <x:c r="R1447" s="14" t="n">
        <x:v>0</x:v>
      </x:c>
      <x:c r="S1447" s="14" t="n">
        <x:v>4</x:v>
      </x:c>
      <x:c r="T1447" s="15" t="n">
        <x:v>0</x:v>
      </x:c>
      <x:c r="U1447" s="16" t="n">
        <x:v>12.5</x:v>
      </x:c>
      <x:c r="V1447" s="6" t="str">
        <x:v>https://digitecme.com/services/mercedes-steering-repair-dubai</x:v>
      </x:c>
      <x:c r="W1447" s="6" t="str">
        <x:v>Indexable directive</x:v>
      </x:c>
      <x:c r="X1447" s="6" t="n">
        <x:v>17</x:v>
      </x:c>
      <x:c r="Y1447" s="6" t="str">
        <x:v>Mercedes-Benz Steering Repair Dubai | Digi-Tec</x:v>
      </x:c>
      <x:c r="Z1447" s="6" t="str"/>
      <x:c r="AA1447" s="6" t="str">
        <x:v>No / not compared</x:v>
      </x:c>
    </x:row>
    <x:row r="1448" ht="42" customHeight="1">
      <x:c r="A1448" s="6" t="str">
        <x:v>https://digitecme.com/services/mercedes-suspension-repair-dubai</x:v>
      </x:c>
      <x:c r="B1448" s="6" t="str">
        <x:v>mercedes suspension repair dubai</x:v>
      </x:c>
      <x:c r="C1448" s="6" t="str">
        <x:v>mercedes-benz: Suspension repair</x:v>
      </x:c>
      <x:c r="D1448" s="6" t="str">
        <x:v>service</x:v>
      </x:c>
      <x:c r="E1448" s="6" t="str">
        <x:v>Primary owner for assigned intent</x:v>
      </x:c>
      <x:c r="F1448" s="6" t="str">
        <x:v>Live HTML checked 9 Sep 2026</x:v>
      </x:c>
      <x:c r="G1448" s="6" t="str">
        <x:v>Mercedes Suspension &amp; AIRMATIC Repair Dubai | Digi-Tec</x:v>
      </x:c>
      <x:c r="H1448" s="6" t="str">
        <x:v>Mercedes Suspension &amp; AIRMATIC Repair Dubai | Digi-Tec</x:v>
      </x:c>
      <x:c r="I1448" s="6" t="str">
        <x:v>Mercedes Suspension &amp; AIRMATIC Repair in Dubai</x:v>
      </x:c>
      <x:c r="J1448" s="6" t="str">
        <x:v>Mercedes Suspension &amp; AIRMATIC Repair in Dubai</x:v>
      </x:c>
      <x:c r="K1448" s="6" t="str">
        <x:v>Mercedes suspension and AIRMATIC assessment in Al Quoz, Dubai. Leak, compressor, valve-block and ride-height checks before repair is quoted.</x:v>
      </x:c>
      <x:c r="L1448" s="6" t="str">
        <x:v>Retain the newer live title, H1 and service copy. Reconcile the local source with the deployed release before considering another rewrite.</x:v>
      </x:c>
      <x:c r="M1448" s="6" t="str">
        <x:v>Retain existing links</x:v>
      </x:c>
      <x:c r="N1448" s="6" t="str">
        <x:v>Unconfirmed — no query/page pairing</x:v>
      </x:c>
      <x:c r="O1448" s="6" t="str">
        <x:v>Retain established booking / WhatsApp / call path; live behaviour untested</x:v>
      </x:c>
      <x:c r="P1448" s="6" t="str">
        <x:v>Production metadata differs from current local source. Use the deployed version as the baseline; do not publish this checkout unchanged.</x:v>
      </x:c>
      <x:c r="Q1448" s="6" t="str">
        <x:v>Proposed; no website change made</x:v>
      </x:c>
      <x:c r="R1448" s="14"/>
      <x:c r="S1448" s="14"/>
      <x:c r="T1448" s="15"/>
      <x:c r="U1448" s="16"/>
      <x:c r="V1448" s="6" t="str">
        <x:v>https://digitecme.com/services/mercedes-suspension-repair-dubai</x:v>
      </x:c>
      <x:c r="W1448" s="6" t="str">
        <x:v>Indexable directive</x:v>
      </x:c>
      <x:c r="X1448" s="6" t="n">
        <x:v>26</x:v>
      </x:c>
      <x:c r="Y1448" s="6" t="str">
        <x:v>Mercedes-Benz Suspension Repair Dubai | Digi-Tec</x:v>
      </x:c>
      <x:c r="Z1448" s="6" t="str">
        <x:v>Mercedes Suspension &amp; AIRMATIC Repair Dubai | Digi-Tec</x:v>
      </x:c>
      <x:c r="AA1448" s="6" t="str">
        <x:v>Yes</x:v>
      </x:c>
    </x:row>
    <x:row r="1449" ht="42" customHeight="1">
      <x:c r="A1449" s="6" t="str">
        <x:v>https://digitecme.com/services/mercedes-suspension-repair-dubai/</x:v>
      </x:c>
      <x:c r="B1449" s="6" t="str"/>
      <x:c r="C1449" s="6" t="str"/>
      <x:c r="D1449" s="6" t="str">
        <x:v>Historical URL</x:v>
      </x:c>
      <x:c r="E1449" s="6" t="str">
        <x:v>Verify historical URL</x:v>
      </x:c>
      <x:c r="F1449" s="6" t="str">
        <x:v>Historical GSC URL; current page unverified</x:v>
      </x:c>
      <x:c r="G1449" s="6" t="str">
        <x:v>Not verified</x:v>
      </x:c>
      <x:c r="H1449" s="6" t="str">
        <x:v>Not verified</x:v>
      </x:c>
      <x:c r="I1449" s="6" t="str">
        <x:v>Not verified</x:v>
      </x:c>
      <x:c r="J1449" s="6" t="str">
        <x:v>Not verified</x:v>
      </x:c>
      <x:c r="K1449" s="6" t="str">
        <x:v>Not verified</x:v>
      </x:c>
      <x:c r="L1449" s="6" t="str">
        <x:v>Verify current HTTP response, canonical destination and URL history before changing or consolidating.</x:v>
      </x:c>
      <x:c r="M1449" s="6" t="str">
        <x:v>Retain; inspect relevant context before adding links</x:v>
      </x:c>
      <x:c r="N1449" s="6" t="str">
        <x:v>Unconfirmed — no query/page pairing</x:v>
      </x:c>
      <x:c r="O1449" s="6" t="str">
        <x:v>Retain established booking / WhatsApp / call path; live behaviour untested</x:v>
      </x:c>
      <x:c r="P1449" s="6" t="str">
        <x:v>Inspect live routing and canonical; do not infer a redirect from the URL shape.</x:v>
      </x:c>
      <x:c r="Q1449" s="6" t="str">
        <x:v>Proposed; no website change made</x:v>
      </x:c>
      <x:c r="R1449" s="14" t="n">
        <x:v>0</x:v>
      </x:c>
      <x:c r="S1449" s="14" t="n">
        <x:v>70</x:v>
      </x:c>
      <x:c r="T1449" s="15" t="n">
        <x:v>0</x:v>
      </x:c>
      <x:c r="U1449" s="16" t="n">
        <x:v>22.37</x:v>
      </x:c>
      <x:c r="V1449" s="6" t="str">
        <x:v>Not verified</x:v>
      </x:c>
      <x:c r="W1449" s="6" t="str">
        <x:v>Not verified</x:v>
      </x:c>
      <x:c r="X1449" s="6"/>
      <x:c r="Y1449" s="6" t="str"/>
      <x:c r="Z1449" s="6" t="str"/>
      <x:c r="AA1449" s="6" t="str">
        <x:v>No / not compared</x:v>
      </x:c>
    </x:row>
    <x:row r="1450" ht="42" customHeight="1">
      <x:c r="A1450" s="6" t="str">
        <x:v>https://digitecme.com/services/mercedes-tire-repair-dubai</x:v>
      </x:c>
      <x:c r="B1450" s="6" t="str"/>
      <x:c r="C1450" s="6" t="str"/>
      <x:c r="D1450" s="6" t="str">
        <x:v>service</x:v>
      </x:c>
      <x:c r="E1450" s="6" t="str">
        <x:v>Retain differentiated role</x:v>
      </x:c>
      <x:c r="F1450" s="6" t="str">
        <x:v>Local source render; live version unverified</x:v>
      </x:c>
      <x:c r="G1450" s="6" t="str">
        <x:v>Mercedes-Benz Tyre Repair Dubai | Digi-Tec</x:v>
      </x:c>
      <x:c r="H1450" s="6" t="str">
        <x:v>Mercedes-Benz Tyre Repair Dubai | Digi-Tec</x:v>
      </x:c>
      <x:c r="I1450" s="6" t="str">
        <x:v>Mercedes-Benz Tyre Repair Dubai</x:v>
      </x:c>
      <x:c r="J1450" s="6" t="str">
        <x:v>Mercedes-Benz Tyre Repair Dubai</x:v>
      </x:c>
      <x:c r="K1450" s="6" t="str">
        <x:v>Mercedes-Benz tyre repair in Dubai with model-specific inspection, confirmed parts options and a clear quote at Digi-Tec, Al Quoz.</x:v>
      </x:c>
      <x:c r="L1450" s="6" t="str">
        <x:v>Retain pending evidence; no specific content edit justified by this export.</x:v>
      </x:c>
      <x:c r="M1450" s="6" t="str">
        <x:v>Retain; inspect relevant context before adding links</x:v>
      </x:c>
      <x:c r="N1450" s="6" t="str">
        <x:v>Unconfirmed — no query/page pairing</x:v>
      </x:c>
      <x:c r="O1450" s="6" t="str">
        <x:v>Retain established booking / WhatsApp / call path; live behaviour untested</x:v>
      </x:c>
      <x:c r="P1450" s="6" t="str">
        <x:v>Retain canonical and indexation policy pending a live check.</x:v>
      </x:c>
      <x:c r="Q1450" s="6" t="str">
        <x:v>Proposed; no website change made</x:v>
      </x:c>
      <x:c r="R1450" s="14" t="n">
        <x:v>0</x:v>
      </x:c>
      <x:c r="S1450" s="14" t="n">
        <x:v>6</x:v>
      </x:c>
      <x:c r="T1450" s="15" t="n">
        <x:v>0</x:v>
      </x:c>
      <x:c r="U1450" s="16" t="n">
        <x:v>4.67</x:v>
      </x:c>
      <x:c r="V1450" s="6" t="str">
        <x:v>https://digitecme.com/services/mercedes-tire-repair-dubai</x:v>
      </x:c>
      <x:c r="W1450" s="6" t="str">
        <x:v>Indexable directive</x:v>
      </x:c>
      <x:c r="X1450" s="6" t="n">
        <x:v>17</x:v>
      </x:c>
      <x:c r="Y1450" s="6" t="str">
        <x:v>Mercedes-Benz Tyre Repair Dubai | Digi-Tec</x:v>
      </x:c>
      <x:c r="Z1450" s="6" t="str"/>
      <x:c r="AA1450" s="6" t="str">
        <x:v>No / not compared</x:v>
      </x:c>
    </x:row>
    <x:row r="1451" ht="57" customHeight="1">
      <x:c r="A1451" s="6" t="str">
        <x:v>https://digitecme.com/services/mercedes-transmission-repair-dubai</x:v>
      </x:c>
      <x:c r="B1451" s="6" t="str">
        <x:v>mercedes transmission repair dubai</x:v>
      </x:c>
      <x:c r="C1451" s="6" t="str">
        <x:v>mercedes-benz: Transmission and gearbox repair</x:v>
      </x:c>
      <x:c r="D1451" s="6" t="str">
        <x:v>service</x:v>
      </x:c>
      <x:c r="E1451" s="6" t="str">
        <x:v>Primary owner for assigned intent</x:v>
      </x:c>
      <x:c r="F1451" s="6" t="str">
        <x:v>Live HTML checked 9 Sep 2026</x:v>
      </x:c>
      <x:c r="G1451" s="6" t="str">
        <x:v>Mercedes Transmission &amp; Gearbox Repair Dubai | Digi-Tec</x:v>
      </x:c>
      <x:c r="H1451" s="6" t="str">
        <x:v>Mercedes Transmission &amp; Gearbox Repair Dubai | Digi-Tec</x:v>
      </x:c>
      <x:c r="I1451" s="6" t="str">
        <x:v>Mercedes Transmission &amp; Gearbox Repair in Dubai</x:v>
      </x:c>
      <x:c r="J1451" s="6" t="str">
        <x:v>Mercedes Transmission &amp; Gearbox Repair in Dubai</x:v>
      </x:c>
      <x:c r="K1451" s="6" t="str">
        <x:v>Mercedes transmission and gearbox repair assessment in Al Quoz. Identify the fitted gearbox and compare fluid service, fault repair and replacement scope.</x:v>
      </x:c>
      <x:c r="L1451" s="6" t="str">
        <x:v>Retain the newer live title, H1 and service copy. Reconcile the local source with the deployed release before considering another rewrite.</x:v>
      </x:c>
      <x:c r="M1451" s="6" t="str">
        <x:v>Retain existing links</x:v>
      </x:c>
      <x:c r="N1451" s="6" t="str">
        <x:v>Unconfirmed — no query/page pairing</x:v>
      </x:c>
      <x:c r="O1451" s="6" t="str">
        <x:v>Retain established booking / WhatsApp / call path; live behaviour untested</x:v>
      </x:c>
      <x:c r="P1451" s="6" t="str">
        <x:v>Production metadata differs from current local source. Use the deployed version as the baseline; do not publish this checkout unchanged.</x:v>
      </x:c>
      <x:c r="Q1451" s="6" t="str">
        <x:v>Proposed; no website change made</x:v>
      </x:c>
      <x:c r="R1451" s="14" t="n">
        <x:v>0</x:v>
      </x:c>
      <x:c r="S1451" s="14" t="n">
        <x:v>15</x:v>
      </x:c>
      <x:c r="T1451" s="15" t="n">
        <x:v>0</x:v>
      </x:c>
      <x:c r="U1451" s="16" t="n">
        <x:v>41.2</x:v>
      </x:c>
      <x:c r="V1451" s="6" t="str">
        <x:v>https://digitecme.com/services/mercedes-transmission-repair-dubai</x:v>
      </x:c>
      <x:c r="W1451" s="6" t="str">
        <x:v>Indexable directive</x:v>
      </x:c>
      <x:c r="X1451" s="6" t="n">
        <x:v>29</x:v>
      </x:c>
      <x:c r="Y1451" s="6" t="str">
        <x:v>Mercedes-Benz Transmission Repair Dubai | Digi-Tec</x:v>
      </x:c>
      <x:c r="Z1451" s="6" t="str">
        <x:v>Mercedes Transmission &amp; Gearbox Repair Dubai | Digi-Tec</x:v>
      </x:c>
      <x:c r="AA1451" s="6" t="str">
        <x:v>Yes</x:v>
      </x:c>
    </x:row>
    <x:row r="1452" ht="42" customHeight="1">
      <x:c r="A1452" s="6" t="str">
        <x:v>https://digitecme.com/services/mercedes-transmission-repair-dubai/</x:v>
      </x:c>
      <x:c r="B1452" s="6" t="str"/>
      <x:c r="C1452" s="6" t="str"/>
      <x:c r="D1452" s="6" t="str">
        <x:v>Historical URL</x:v>
      </x:c>
      <x:c r="E1452" s="6" t="str">
        <x:v>Verify historical URL</x:v>
      </x:c>
      <x:c r="F1452" s="6" t="str">
        <x:v>Historical GSC URL; current page unverified</x:v>
      </x:c>
      <x:c r="G1452" s="6" t="str">
        <x:v>Not verified</x:v>
      </x:c>
      <x:c r="H1452" s="6" t="str">
        <x:v>Not verified</x:v>
      </x:c>
      <x:c r="I1452" s="6" t="str">
        <x:v>Not verified</x:v>
      </x:c>
      <x:c r="J1452" s="6" t="str">
        <x:v>Not verified</x:v>
      </x:c>
      <x:c r="K1452" s="6" t="str">
        <x:v>Not verified</x:v>
      </x:c>
      <x:c r="L1452" s="6" t="str">
        <x:v>Verify current HTTP response, canonical destination and URL history before changing or consolidating.</x:v>
      </x:c>
      <x:c r="M1452" s="6" t="str">
        <x:v>Retain; inspect relevant context before adding links</x:v>
      </x:c>
      <x:c r="N1452" s="6" t="str">
        <x:v>Unconfirmed — no query/page pairing</x:v>
      </x:c>
      <x:c r="O1452" s="6" t="str">
        <x:v>Retain established booking / WhatsApp / call path; live behaviour untested</x:v>
      </x:c>
      <x:c r="P1452" s="6" t="str">
        <x:v>Inspect live routing and canonical; do not infer a redirect from the URL shape.</x:v>
      </x:c>
      <x:c r="Q1452" s="6" t="str">
        <x:v>Proposed; no website change made</x:v>
      </x:c>
      <x:c r="R1452" s="14" t="n">
        <x:v>0</x:v>
      </x:c>
      <x:c r="S1452" s="14" t="n">
        <x:v>20</x:v>
      </x:c>
      <x:c r="T1452" s="15" t="n">
        <x:v>0</x:v>
      </x:c>
      <x:c r="U1452" s="16" t="n">
        <x:v>19.25</x:v>
      </x:c>
      <x:c r="V1452" s="6" t="str">
        <x:v>Not verified</x:v>
      </x:c>
      <x:c r="W1452" s="6" t="str">
        <x:v>Not verified</x:v>
      </x:c>
      <x:c r="X1452" s="6"/>
      <x:c r="Y1452" s="6" t="str"/>
      <x:c r="Z1452" s="6" t="str"/>
      <x:c r="AA1452" s="6" t="str">
        <x:v>No / not compared</x:v>
      </x:c>
    </x:row>
    <x:row r="1453" ht="57" customHeight="1">
      <x:c r="A1453" s="6" t="str">
        <x:v>https://digitecme.com/services/oil-change-dubai</x:v>
      </x:c>
      <x:c r="B1453" s="6" t="str">
        <x:v>car oil change dubai</x:v>
      </x:c>
      <x:c r="C1453" s="6" t="str">
        <x:v>All vehicles: Oil change (English)</x:v>
      </x:c>
      <x:c r="D1453" s="6" t="str">
        <x:v>service</x:v>
      </x:c>
      <x:c r="E1453" s="6" t="str">
        <x:v>Primary owner for assigned intent</x:v>
      </x:c>
      <x:c r="F1453" s="6" t="str">
        <x:v>Live HTML checked 9 Sep 2026</x:v>
      </x:c>
      <x:c r="G1453" s="6" t="str">
        <x:v>Car Oil Change Dubai | Vehicle-Specified Oil &amp; Filter | Digi-Tec</x:v>
      </x:c>
      <x:c r="H1453" s="6" t="str">
        <x:v>Car Oil Change Dubai | Oil &amp; Filter Service | DIGI-TEC</x:v>
      </x:c>
      <x:c r="I1453" s="6" t="str">
        <x:v>Oil Change in Dubai</x:v>
      </x:c>
      <x:c r="J1453" s="6" t="str">
        <x:v>Car Oil Change in Dubai</x:v>
      </x:c>
      <x:c r="K1453" s="6" t="str">
        <x:v>Car oil change in Dubai with oil approval, viscosity, capacity and filter selected for the exact vehicle. Book Digi-Tec for a confirmed estimate.</x:v>
      </x:c>
      <x:c r="L1453" s="6" t="str">
        <x:v>Keep vehicle-specific approvals, filters and cost factors. Provide a visible booking action beside the opening. Do not invent offers or universal oil-change intervals.</x:v>
      </x:c>
      <x:c r="M1453" s="6" t="str">
        <x:v>Retain existing links</x:v>
      </x:c>
      <x:c r="N1453" s="6" t="str">
        <x:v>Unconfirmed — no query/page pairing</x:v>
      </x:c>
      <x:c r="O1453" s="6" t="str">
        <x:v>Book an Oil Change</x:v>
      </x:c>
      <x:c r="P1453" s="6" t="str">
        <x:v>Retain; verify against production before release</x:v>
      </x:c>
      <x:c r="Q1453" s="6" t="str">
        <x:v>Proposed; no website change made</x:v>
      </x:c>
      <x:c r="R1453" s="14" t="n">
        <x:v>3</x:v>
      </x:c>
      <x:c r="S1453" s="14" t="n">
        <x:v>4642</x:v>
      </x:c>
      <x:c r="T1453" s="15" t="n">
        <x:v>0.0006</x:v>
      </x:c>
      <x:c r="U1453" s="16" t="n">
        <x:v>28.18</x:v>
      </x:c>
      <x:c r="V1453" s="6" t="str">
        <x:v>https://digitecme.com/services/oil-change-dubai</x:v>
      </x:c>
      <x:c r="W1453" s="6" t="str">
        <x:v>Indexable directive</x:v>
      </x:c>
      <x:c r="X1453" s="6" t="n">
        <x:v>771</x:v>
      </x:c>
      <x:c r="Y1453" s="6" t="str">
        <x:v>Car Oil Change Dubai | Vehicle-Specified Oil &amp; Filter | Digi-Tec</x:v>
      </x:c>
      <x:c r="Z1453" s="6" t="str">
        <x:v>Car Oil Change Dubai | Vehicle-Specified Oil &amp; Filter | Digi-Tec</x:v>
      </x:c>
      <x:c r="AA1453" s="6" t="str">
        <x:v>No / not compared</x:v>
      </x:c>
    </x:row>
    <x:row r="1454" ht="57" customHeight="1">
      <x:c r="A1454" s="6" t="str">
        <x:v>https://digitecme.com/services/paint-protection-dubai</x:v>
      </x:c>
      <x:c r="B1454" s="6" t="str">
        <x:v>car paint protection dubai</x:v>
      </x:c>
      <x:c r="C1454" s="6" t="str">
        <x:v>All vehicles: Paint care and protection comparison</x:v>
      </x:c>
      <x:c r="D1454" s="6" t="str">
        <x:v>service</x:v>
      </x:c>
      <x:c r="E1454" s="6" t="str">
        <x:v>Primary owner for assigned intent</x:v>
      </x:c>
      <x:c r="F1454" s="6" t="str">
        <x:v>Live HTML checked 9 Sep 2026</x:v>
      </x:c>
      <x:c r="G1454" s="6" t="str">
        <x:v>Car Paint Care Dubai | Correction &amp; Protection | DIGI-TEC</x:v>
      </x:c>
      <x:c r="H1454" s="6" t="str">
        <x:v>Car Paint Care Dubai | Correction &amp; Protection | DIGI-TEC</x:v>
      </x:c>
      <x:c r="I1454" s="6" t="str">
        <x:v>Car Paint Care &amp; Protection Options in Dubai</x:v>
      </x:c>
      <x:c r="J1454" s="6" t="str">
        <x:v>Car Paint Care &amp; Protection Options in Dubai</x:v>
      </x:c>
      <x:c r="K1454" s="6" t="str">
        <x:v>Explore paint correction, ceramic coating and film options at DIGI-TEC in Dubai. Assess your car’s paint condition and choose a suitable care service.</x:v>
      </x:c>
      <x:c r="L1454" s="6" t="str">
        <x:v>Retain the current title, H1, comparison content, cost factors and quote journey. Add documented job photographs and preparation/coverage findings when available. The export ends before the 8 September paint-care release, so it cannot assess this version.</x:v>
      </x:c>
      <x:c r="M1454" s="6" t="str">
        <x:v>Preserve comparison hub → polishing / PPF / ceramic links, mutual comparison links and contextual brand links. Avoid duplicate brand-by-PPF landing pages.</x:v>
      </x:c>
      <x:c r="N1454" s="6" t="str">
        <x:v>Unconfirmed — no query/page pairing</x:v>
      </x:c>
      <x:c r="O1454" s="6" t="str">
        <x:v>Retain established booking / WhatsApp / call path; live behaviour untested</x:v>
      </x:c>
      <x:c r="P1454" s="6" t="str">
        <x:v>Request URL Inspection and post-release query/page data. A live 200 response and indexable metadata do not prove Google indexing.</x:v>
      </x:c>
      <x:c r="Q1454" s="6" t="str">
        <x:v>Proposed; no website change made</x:v>
      </x:c>
      <x:c r="R1454" s="14" t="n">
        <x:v>1</x:v>
      </x:c>
      <x:c r="S1454" s="14" t="n">
        <x:v>3971</x:v>
      </x:c>
      <x:c r="T1454" s="15" t="n">
        <x:v>0.0003</x:v>
      </x:c>
      <x:c r="U1454" s="16" t="n">
        <x:v>39.82</x:v>
      </x:c>
      <x:c r="V1454" s="6" t="str">
        <x:v>https://digitecme.com/services/paint-protection-dubai</x:v>
      </x:c>
      <x:c r="W1454" s="6" t="str">
        <x:v>Indexable directive</x:v>
      </x:c>
      <x:c r="X1454" s="6" t="n">
        <x:v>17</x:v>
      </x:c>
      <x:c r="Y1454" s="6" t="str">
        <x:v>Car Paint Care Dubai | Correction &amp; Protection | DIGI-TEC</x:v>
      </x:c>
      <x:c r="Z1454" s="6" t="str">
        <x:v>Car Paint Care Dubai | Correction &amp; Protection | DIGI-TEC</x:v>
      </x:c>
      <x:c r="AA1454" s="6" t="str">
        <x:v>No / not compared</x:v>
      </x:c>
    </x:row>
    <x:row r="1455" ht="57" customHeight="1">
      <x:c r="A1455" s="6" t="str">
        <x:v>https://digitecme.com/services/paint-protection-film</x:v>
      </x:c>
      <x:c r="B1455" s="6" t="str">
        <x:v>professional paint protection film in dubai</x:v>
      </x:c>
      <x:c r="C1455" s="6" t="str">
        <x:v>All vehicles: Paint protection film</x:v>
      </x:c>
      <x:c r="D1455" s="6" t="str">
        <x:v>service</x:v>
      </x:c>
      <x:c r="E1455" s="6" t="str">
        <x:v>Primary owner for assigned intent</x:v>
      </x:c>
      <x:c r="F1455" s="6" t="str">
        <x:v>Live HTML checked 9 Sep 2026</x:v>
      </x:c>
      <x:c r="G1455" s="6" t="str">
        <x:v>PPF Dubai | Paint Protection Film for Cars | DIGI-TEC</x:v>
      </x:c>
      <x:c r="H1455" s="6" t="str">
        <x:v>PPF Dubai | Paint Protection Film for Cars | DIGI-TEC</x:v>
      </x:c>
      <x:c r="I1455" s="6" t="str">
        <x:v>Paint Protection Film (PPF) Dubai</x:v>
      </x:c>
      <x:c r="J1455" s="6" t="str">
        <x:v>Paint Protection Film (PPF) Dubai</x:v>
      </x:c>
      <x:c r="K1455" s="6" t="str">
        <x:v>PPF installation in Dubai for luxury and performance cars. Explore full-body and selected-panel paint protection film at DIGI-TEC. Get your car’s quote.</x:v>
      </x:c>
      <x:c r="L1455" s="6" t="str">
        <x:v>Retain the current title, H1, comparison content, cost factors and quote journey. Add documented job photographs and preparation/coverage findings when available. The export ends before the 8 September paint-care release, so it cannot assess this version.</x:v>
      </x:c>
      <x:c r="M1455" s="6" t="str">
        <x:v>Preserve comparison hub → polishing / PPF / ceramic links, mutual comparison links and contextual brand links. Avoid duplicate brand-by-PPF landing pages.</x:v>
      </x:c>
      <x:c r="N1455" s="6" t="str">
        <x:v>Unconfirmed — no query/page pairing</x:v>
      </x:c>
      <x:c r="O1455" s="6" t="str">
        <x:v>Retain established booking / WhatsApp / call path; live behaviour untested</x:v>
      </x:c>
      <x:c r="P1455" s="6" t="str">
        <x:v>Request URL Inspection and post-release query/page data. A live 200 response and indexable metadata do not prove Google indexing.</x:v>
      </x:c>
      <x:c r="Q1455" s="6" t="str">
        <x:v>Proposed; no website change made</x:v>
      </x:c>
      <x:c r="R1455" s="14" t="n">
        <x:v>2</x:v>
      </x:c>
      <x:c r="S1455" s="14" t="n">
        <x:v>634</x:v>
      </x:c>
      <x:c r="T1455" s="15" t="n">
        <x:v>0.0032</x:v>
      </x:c>
      <x:c r="U1455" s="16" t="n">
        <x:v>36.22</x:v>
      </x:c>
      <x:c r="V1455" s="6" t="str">
        <x:v>https://digitecme.com/services/paint-protection-film</x:v>
      </x:c>
      <x:c r="W1455" s="6" t="str">
        <x:v>Indexable directive</x:v>
      </x:c>
      <x:c r="X1455" s="6" t="n">
        <x:v>19</x:v>
      </x:c>
      <x:c r="Y1455" s="6" t="str">
        <x:v>PPF Dubai | Paint Protection Film for Cars | DIGI-TEC</x:v>
      </x:c>
      <x:c r="Z1455" s="6" t="str">
        <x:v>PPF Dubai | Paint Protection Film for Cars | DIGI-TEC</x:v>
      </x:c>
      <x:c r="AA1455" s="6" t="str">
        <x:v>No / not compared</x:v>
      </x:c>
    </x:row>
    <x:row r="1456" ht="42" customHeight="1">
      <x:c r="A1456" s="6" t="str">
        <x:v>https://digitecme.com/services/performance-tuning-dubai/</x:v>
      </x:c>
      <x:c r="B1456" s="6" t="str"/>
      <x:c r="C1456" s="6" t="str"/>
      <x:c r="D1456" s="6" t="str">
        <x:v>Historical URL</x:v>
      </x:c>
      <x:c r="E1456" s="6" t="str">
        <x:v>Verify historical URL</x:v>
      </x:c>
      <x:c r="F1456" s="6" t="str">
        <x:v>Historical GSC URL; current page unverified</x:v>
      </x:c>
      <x:c r="G1456" s="6" t="str">
        <x:v>Not verified</x:v>
      </x:c>
      <x:c r="H1456" s="6" t="str">
        <x:v>Not verified</x:v>
      </x:c>
      <x:c r="I1456" s="6" t="str">
        <x:v>Not verified</x:v>
      </x:c>
      <x:c r="J1456" s="6" t="str">
        <x:v>Not verified</x:v>
      </x:c>
      <x:c r="K1456" s="6" t="str">
        <x:v>Not verified</x:v>
      </x:c>
      <x:c r="L1456" s="6" t="str">
        <x:v>Verify current HTTP response, canonical destination and URL history before changing or consolidating.</x:v>
      </x:c>
      <x:c r="M1456" s="6" t="str">
        <x:v>Retain; inspect relevant context before adding links</x:v>
      </x:c>
      <x:c r="N1456" s="6" t="str">
        <x:v>Unconfirmed — no query/page pairing</x:v>
      </x:c>
      <x:c r="O1456" s="6" t="str">
        <x:v>Retain established booking / WhatsApp / call path; live behaviour untested</x:v>
      </x:c>
      <x:c r="P1456" s="6" t="str">
        <x:v>Inspect live routing and canonical; do not infer a redirect from the URL shape.</x:v>
      </x:c>
      <x:c r="Q1456" s="6" t="str">
        <x:v>Proposed; no website change made</x:v>
      </x:c>
      <x:c r="R1456" s="14" t="n">
        <x:v>1</x:v>
      </x:c>
      <x:c r="S1456" s="14" t="n">
        <x:v>147</x:v>
      </x:c>
      <x:c r="T1456" s="15" t="n">
        <x:v>0.0068000000000000005</x:v>
      </x:c>
      <x:c r="U1456" s="16" t="n">
        <x:v>23.2</x:v>
      </x:c>
      <x:c r="V1456" s="6" t="str">
        <x:v>Not verified</x:v>
      </x:c>
      <x:c r="W1456" s="6" t="str">
        <x:v>Not verified</x:v>
      </x:c>
      <x:c r="X1456" s="6"/>
      <x:c r="Y1456" s="6" t="str"/>
      <x:c r="Z1456" s="6" t="str"/>
      <x:c r="AA1456" s="6" t="str">
        <x:v>No / not compared</x:v>
      </x:c>
    </x:row>
    <x:row r="1457" ht="57" customHeight="1">
      <x:c r="A1457" s="6" t="str">
        <x:v>https://digitecme.com/services/roadside-assistance-dubai</x:v>
      </x:c>
      <x:c r="B1457" s="6" t="str">
        <x:v>roadside assistance dubai</x:v>
      </x:c>
      <x:c r="C1457" s="6" t="str">
        <x:v>All vehicles: Roadside or delivery</x:v>
      </x:c>
      <x:c r="D1457" s="6" t="str">
        <x:v>service</x:v>
      </x:c>
      <x:c r="E1457" s="6" t="str">
        <x:v>Primary owner for assigned intent</x:v>
      </x:c>
      <x:c r="F1457" s="6" t="str">
        <x:v>Local source render; live version unverified</x:v>
      </x:c>
      <x:c r="G1457" s="6" t="str">
        <x:v>Roadside Assistance Dubai | DIGI-TEC</x:v>
      </x:c>
      <x:c r="H1457" s="6" t="str">
        <x:v>Roadside Assistance Dubai | DIGI-TEC</x:v>
      </x:c>
      <x:c r="I1457" s="6" t="str">
        <x:v>Roadside Assistance in Dubai</x:v>
      </x:c>
      <x:c r="J1457" s="6" t="str">
        <x:v>Roadside Assistance in Dubai</x:v>
      </x:c>
      <x:c r="K1457" s="6" t="str">
        <x:v>Need roadside assistance in Dubai? Contact DIGI-TEC for workshop guidance, vehicle recovery coordination and a follow-up inspection in Al Quoz.</x:v>
      </x:c>
      <x:c r="L1457" s="6" t="str">
        <x:v>Retain pending evidence; no specific content edit justified by this export.</x:v>
      </x:c>
      <x:c r="M1457" s="6" t="str">
        <x:v>Retain; inspect relevant context before adding links</x:v>
      </x:c>
      <x:c r="N1457" s="6" t="str">
        <x:v>Unconfirmed — no query/page pairing</x:v>
      </x:c>
      <x:c r="O1457" s="6" t="str">
        <x:v>Retain established booking / WhatsApp / call path; live behaviour untested</x:v>
      </x:c>
      <x:c r="P1457" s="6" t="str">
        <x:v>Retain canonical and indexation policy pending a live check.</x:v>
      </x:c>
      <x:c r="Q1457" s="6" t="str">
        <x:v>Proposed; no website change made</x:v>
      </x:c>
      <x:c r="R1457" s="14" t="n">
        <x:v>0</x:v>
      </x:c>
      <x:c r="S1457" s="14" t="n">
        <x:v>44</x:v>
      </x:c>
      <x:c r="T1457" s="15" t="n">
        <x:v>0</x:v>
      </x:c>
      <x:c r="U1457" s="16" t="n">
        <x:v>29.59</x:v>
      </x:c>
      <x:c r="V1457" s="6" t="str">
        <x:v>https://digitecme.com/services/roadside-assistance-dubai</x:v>
      </x:c>
      <x:c r="W1457" s="6" t="str">
        <x:v>Indexable directive</x:v>
      </x:c>
      <x:c r="X1457" s="6" t="n">
        <x:v>4</x:v>
      </x:c>
      <x:c r="Y1457" s="6" t="str">
        <x:v>Roadside Assistance Dubai | DIGI-TEC</x:v>
      </x:c>
      <x:c r="Z1457" s="6" t="str"/>
      <x:c r="AA1457" s="6" t="str">
        <x:v>No / not compared</x:v>
      </x:c>
    </x:row>
    <x:row r="1458" ht="42" customHeight="1">
      <x:c r="A1458" s="6" t="str">
        <x:v>https://digitecme.com/services/soft-close-door-repair-dubai</x:v>
      </x:c>
      <x:c r="B1458" s="6" t="str"/>
      <x:c r="C1458" s="6" t="str"/>
      <x:c r="D1458" s="6" t="str">
        <x:v>service</x:v>
      </x:c>
      <x:c r="E1458" s="6" t="str">
        <x:v>Retain differentiated role</x:v>
      </x:c>
      <x:c r="F1458" s="6" t="str">
        <x:v>Local source render; live version unverified</x:v>
      </x:c>
      <x:c r="G1458" s="6" t="str">
        <x:v>Soft Close Door Installation Dubai | ROX 01 Retrofit</x:v>
      </x:c>
      <x:c r="H1458" s="6" t="str">
        <x:v>Soft Close Door Installation Dubai | ROX 01 Retrofit</x:v>
      </x:c>
      <x:c r="I1458" s="6" t="str">
        <x:v>Soft Close Door Installation &amp; ROX 01 Retrofit in Dubai</x:v>
      </x:c>
      <x:c r="J1458" s="6" t="str">
        <x:v>Soft Close Door Installation &amp; ROX 01 Retrofit in Dubai</x:v>
      </x:c>
      <x:c r="K1458" s="6" t="str">
        <x:v>Soft-close door retrofit and repair assessment in Dubai for compatible vehicles, including selected ROX 01 applications.</x:v>
      </x:c>
      <x:c r="L1458" s="6" t="str">
        <x:v>Retain pending evidence; no specific content edit justified by this export.</x:v>
      </x:c>
      <x:c r="M1458" s="6" t="str">
        <x:v>Retain; inspect relevant context before adding links</x:v>
      </x:c>
      <x:c r="N1458" s="6" t="str">
        <x:v>Unconfirmed — no query/page pairing</x:v>
      </x:c>
      <x:c r="O1458" s="6" t="str">
        <x:v>Retain established booking / WhatsApp / call path; live behaviour untested</x:v>
      </x:c>
      <x:c r="P1458" s="6" t="str">
        <x:v>Retain canonical and indexation policy pending a live check.</x:v>
      </x:c>
      <x:c r="Q1458" s="6" t="str">
        <x:v>Proposed; no website change made</x:v>
      </x:c>
      <x:c r="R1458" s="14" t="n">
        <x:v>6</x:v>
      </x:c>
      <x:c r="S1458" s="14" t="n">
        <x:v>264</x:v>
      </x:c>
      <x:c r="T1458" s="15" t="n">
        <x:v>0.0227</x:v>
      </x:c>
      <x:c r="U1458" s="16" t="n">
        <x:v>6.86</x:v>
      </x:c>
      <x:c r="V1458" s="6" t="str">
        <x:v>https://digitecme.com/services/soft-close-door-repair-dubai</x:v>
      </x:c>
      <x:c r="W1458" s="6" t="str">
        <x:v>Indexable directive</x:v>
      </x:c>
      <x:c r="X1458" s="6" t="n">
        <x:v>7</x:v>
      </x:c>
      <x:c r="Y1458" s="6" t="str">
        <x:v>Soft Close Door Installation Dubai | ROX 01 Retrofit</x:v>
      </x:c>
      <x:c r="Z1458" s="6" t="str"/>
      <x:c r="AA1458" s="6" t="str">
        <x:v>No / not compared</x:v>
      </x:c>
    </x:row>
    <x:row r="1459" ht="42" customHeight="1">
      <x:c r="A1459" s="6" t="str">
        <x:v>https://digitecme.com/services/steering-repair</x:v>
      </x:c>
      <x:c r="B1459" s="6" t="str"/>
      <x:c r="C1459" s="6" t="str"/>
      <x:c r="D1459" s="6" t="str">
        <x:v>Historical URL</x:v>
      </x:c>
      <x:c r="E1459" s="6" t="str">
        <x:v>Verify historical URL</x:v>
      </x:c>
      <x:c r="F1459" s="6" t="str">
        <x:v>Historical GSC URL; current page unverified</x:v>
      </x:c>
      <x:c r="G1459" s="6" t="str">
        <x:v>Not verified</x:v>
      </x:c>
      <x:c r="H1459" s="6" t="str">
        <x:v>Not verified</x:v>
      </x:c>
      <x:c r="I1459" s="6" t="str">
        <x:v>Not verified</x:v>
      </x:c>
      <x:c r="J1459" s="6" t="str">
        <x:v>Not verified</x:v>
      </x:c>
      <x:c r="K1459" s="6" t="str">
        <x:v>Not verified</x:v>
      </x:c>
      <x:c r="L1459" s="6" t="str">
        <x:v>Verify current HTTP response, canonical destination and URL history before changing or consolidating.</x:v>
      </x:c>
      <x:c r="M1459" s="6" t="str">
        <x:v>Retain; inspect relevant context before adding links</x:v>
      </x:c>
      <x:c r="N1459" s="6" t="str">
        <x:v>Unconfirmed — no query/page pairing</x:v>
      </x:c>
      <x:c r="O1459" s="6" t="str">
        <x:v>Retain established booking / WhatsApp / call path; live behaviour untested</x:v>
      </x:c>
      <x:c r="P1459" s="6" t="str">
        <x:v>Inspect live routing and canonical; do not infer a redirect from the URL shape.</x:v>
      </x:c>
      <x:c r="Q1459" s="6" t="str">
        <x:v>Proposed; no website change made</x:v>
      </x:c>
      <x:c r="R1459" s="14" t="n">
        <x:v>0</x:v>
      </x:c>
      <x:c r="S1459" s="14" t="n">
        <x:v>1</x:v>
      </x:c>
      <x:c r="T1459" s="15" t="n">
        <x:v>0</x:v>
      </x:c>
      <x:c r="U1459" s="16" t="n">
        <x:v>9</x:v>
      </x:c>
      <x:c r="V1459" s="6" t="str">
        <x:v>Not verified</x:v>
      </x:c>
      <x:c r="W1459" s="6" t="str">
        <x:v>Not verified</x:v>
      </x:c>
      <x:c r="X1459" s="6"/>
      <x:c r="Y1459" s="6" t="str"/>
      <x:c r="Z1459" s="6" t="str"/>
      <x:c r="AA1459" s="6" t="str">
        <x:v>No / not compared</x:v>
      </x:c>
    </x:row>
    <x:row r="1460" ht="57" customHeight="1">
      <x:c r="A1460" s="6" t="str">
        <x:v>https://digitecme.com/services/steering-repair-dubai</x:v>
      </x:c>
      <x:c r="B1460" s="6" t="str">
        <x:v>car steering repair in al quoz</x:v>
      </x:c>
      <x:c r="C1460" s="6" t="str">
        <x:v>All vehicles: Steering repair; All vehicles: Steering repair (outside Dubai)</x:v>
      </x:c>
      <x:c r="D1460" s="6" t="str">
        <x:v>service</x:v>
      </x:c>
      <x:c r="E1460" s="6" t="str">
        <x:v>Primary owner for assigned intent</x:v>
      </x:c>
      <x:c r="F1460" s="6" t="str">
        <x:v>Live HTML checked 9 Sep 2026</x:v>
      </x:c>
      <x:c r="G1460" s="6" t="str">
        <x:v>Steering Repair Dubai | Power Steering, Rack &amp; EPS</x:v>
      </x:c>
      <x:c r="H1460" s="6" t="str">
        <x:v>Power Steering &amp; Rack Repair Dubai | DIGI-TEC</x:v>
      </x:c>
      <x:c r="I1460" s="6" t="str">
        <x:v>Steering Repair in Dubai</x:v>
      </x:c>
      <x:c r="J1460" s="6" t="str">
        <x:v>Steering Repair in Dubai</x:v>
      </x:c>
      <x:c r="K1460" s="6" t="str">
        <x:v>Heavy, noisy or leaking steering? Book rack, pump and EPS inspection and repair in Dubai for selected German and luxury cars.</x:v>
      </x:c>
      <x:c r="L1460" s="6" t="str">
        <x:v>Keep the existing relevant rack, pump and EPS content. Add an inspection CTA in the hero and a cost/repair-choice CTA after the diagnostic explanation.</x:v>
      </x:c>
      <x:c r="M1460" s="6" t="str">
        <x:v>Use a contextual steering link from the mechanical/suspension pages if one is absent; only 8 source-rendered pages currently link here, including shared links.</x:v>
      </x:c>
      <x:c r="N1460" s="6" t="str">
        <x:v>Unconfirmed — no query/page pairing</x:v>
      </x:c>
      <x:c r="O1460" s="6" t="str">
        <x:v>Request a Steering Inspection</x:v>
      </x:c>
      <x:c r="P1460" s="6" t="str">
        <x:v>Retain; verify against production before release</x:v>
      </x:c>
      <x:c r="Q1460" s="6" t="str">
        <x:v>Proposed; no website change made</x:v>
      </x:c>
      <x:c r="R1460" s="14" t="n">
        <x:v>8</x:v>
      </x:c>
      <x:c r="S1460" s="14" t="n">
        <x:v>1655</x:v>
      </x:c>
      <x:c r="T1460" s="15" t="n">
        <x:v>0.0048</x:v>
      </x:c>
      <x:c r="U1460" s="16" t="n">
        <x:v>14.1</x:v>
      </x:c>
      <x:c r="V1460" s="6" t="str">
        <x:v>https://digitecme.com/services/steering-repair-dubai</x:v>
      </x:c>
      <x:c r="W1460" s="6" t="str">
        <x:v>Indexable directive</x:v>
      </x:c>
      <x:c r="X1460" s="6" t="n">
        <x:v>8</x:v>
      </x:c>
      <x:c r="Y1460" s="6" t="str">
        <x:v>Steering Repair Dubai | Power Steering, Rack &amp; EPS</x:v>
      </x:c>
      <x:c r="Z1460" s="6" t="str">
        <x:v>Steering Repair Dubai | Power Steering, Rack &amp; EPS</x:v>
      </x:c>
      <x:c r="AA1460" s="6" t="str">
        <x:v>No / not compared</x:v>
      </x:c>
    </x:row>
    <x:row r="1461" ht="42" customHeight="1">
      <x:c r="A1461" s="6" t="str">
        <x:v>https://digitecme.com/services/suspension-repair-dubai</x:v>
      </x:c>
      <x:c r="B1461" s="6" t="str">
        <x:v>car suspension repair dubai</x:v>
      </x:c>
      <x:c r="C1461" s="6" t="str">
        <x:v>All vehicles: Suspension repair (English)</x:v>
      </x:c>
      <x:c r="D1461" s="6" t="str">
        <x:v>service</x:v>
      </x:c>
      <x:c r="E1461" s="6" t="str">
        <x:v>Primary owner for assigned intent</x:v>
      </x:c>
      <x:c r="F1461" s="6" t="str">
        <x:v>Local source render; live version unverified</x:v>
      </x:c>
      <x:c r="G1461" s="6" t="str">
        <x:v>Suspension Repair Dubai | AIRMATIC, Shocks, Air Struts</x:v>
      </x:c>
      <x:c r="H1461" s="6" t="str">
        <x:v>Suspension Repair Dubai | AIRMATIC, Shocks, Air Struts</x:v>
      </x:c>
      <x:c r="I1461" s="6" t="str">
        <x:v>Suspension Repair in Dubai</x:v>
      </x:c>
      <x:c r="J1461" s="6" t="str">
        <x:v>Suspension Repair in Dubai</x:v>
      </x:c>
      <x:c r="K1461" s="6" t="str">
        <x:v>Air suspension sagging or harsh ride? Book AIRMATIC, shock and air-strut inspection and repair in Dubai with vehicle-specific parts options.</x:v>
      </x:c>
      <x:c r="L1461" s="6" t="str">
        <x:v>Retain pending evidence; no specific content edit justified by this export.</x:v>
      </x:c>
      <x:c r="M1461" s="6" t="str">
        <x:v>Retain; inspect relevant context before adding links</x:v>
      </x:c>
      <x:c r="N1461" s="6" t="str">
        <x:v>Unconfirmed — no query/page pairing</x:v>
      </x:c>
      <x:c r="O1461" s="6" t="str">
        <x:v>Retain established booking / WhatsApp / call path; live behaviour untested</x:v>
      </x:c>
      <x:c r="P1461" s="6" t="str">
        <x:v>Retain canonical and indexation policy pending a live check.</x:v>
      </x:c>
      <x:c r="Q1461" s="6" t="str">
        <x:v>Proposed; no website change made</x:v>
      </x:c>
      <x:c r="R1461" s="14" t="n">
        <x:v>4</x:v>
      </x:c>
      <x:c r="S1461" s="14" t="n">
        <x:v>2344</x:v>
      </x:c>
      <x:c r="T1461" s="15" t="n">
        <x:v>0.0017000000000000001</x:v>
      </x:c>
      <x:c r="U1461" s="16" t="n">
        <x:v>28.62</x:v>
      </x:c>
      <x:c r="V1461" s="6" t="str">
        <x:v>https://digitecme.com/services/suspension-repair-dubai</x:v>
      </x:c>
      <x:c r="W1461" s="6" t="str">
        <x:v>Indexable directive</x:v>
      </x:c>
      <x:c r="X1461" s="6" t="n">
        <x:v>42</x:v>
      </x:c>
      <x:c r="Y1461" s="6" t="str">
        <x:v>Suspension Repair Dubai | AIRMATIC, Shocks, Air Struts</x:v>
      </x:c>
      <x:c r="Z1461" s="6" t="str"/>
      <x:c r="AA1461" s="6" t="str">
        <x:v>No / not compared</x:v>
      </x:c>
    </x:row>
    <x:row r="1462" ht="42" customHeight="1">
      <x:c r="A1462" s="6" t="str">
        <x:v>https://digitecme.com/services/tire-repair</x:v>
      </x:c>
      <x:c r="B1462" s="6" t="str"/>
      <x:c r="C1462" s="6" t="str"/>
      <x:c r="D1462" s="6" t="str">
        <x:v>Historical URL</x:v>
      </x:c>
      <x:c r="E1462" s="6" t="str">
        <x:v>Verify historical URL</x:v>
      </x:c>
      <x:c r="F1462" s="6" t="str">
        <x:v>Historical GSC URL; current page unverified</x:v>
      </x:c>
      <x:c r="G1462" s="6" t="str">
        <x:v>Not verified</x:v>
      </x:c>
      <x:c r="H1462" s="6" t="str">
        <x:v>Not verified</x:v>
      </x:c>
      <x:c r="I1462" s="6" t="str">
        <x:v>Not verified</x:v>
      </x:c>
      <x:c r="J1462" s="6" t="str">
        <x:v>Not verified</x:v>
      </x:c>
      <x:c r="K1462" s="6" t="str">
        <x:v>Not verified</x:v>
      </x:c>
      <x:c r="L1462" s="6" t="str">
        <x:v>Verify current HTTP response, canonical destination and URL history before changing or consolidating.</x:v>
      </x:c>
      <x:c r="M1462" s="6" t="str">
        <x:v>Retain; inspect relevant context before adding links</x:v>
      </x:c>
      <x:c r="N1462" s="6" t="str">
        <x:v>Unconfirmed — no query/page pairing</x:v>
      </x:c>
      <x:c r="O1462" s="6" t="str">
        <x:v>Retain established booking / WhatsApp / call path; live behaviour untested</x:v>
      </x:c>
      <x:c r="P1462" s="6" t="str">
        <x:v>Inspect live routing and canonical; do not infer a redirect from the URL shape.</x:v>
      </x:c>
      <x:c r="Q1462" s="6" t="str">
        <x:v>Proposed; no website change made</x:v>
      </x:c>
      <x:c r="R1462" s="14" t="n">
        <x:v>0</x:v>
      </x:c>
      <x:c r="S1462" s="14" t="n">
        <x:v>155</x:v>
      </x:c>
      <x:c r="T1462" s="15" t="n">
        <x:v>0</x:v>
      </x:c>
      <x:c r="U1462" s="16" t="n">
        <x:v>50.72</x:v>
      </x:c>
      <x:c r="V1462" s="6" t="str">
        <x:v>Not verified</x:v>
      </x:c>
      <x:c r="W1462" s="6" t="str">
        <x:v>Not verified</x:v>
      </x:c>
      <x:c r="X1462" s="6"/>
      <x:c r="Y1462" s="6" t="str"/>
      <x:c r="Z1462" s="6" t="str"/>
      <x:c r="AA1462" s="6" t="str">
        <x:v>No / not compared</x:v>
      </x:c>
    </x:row>
    <x:row r="1463" ht="42" customHeight="1">
      <x:c r="A1463" s="6" t="str">
        <x:v>https://digitecme.com/services/tire-repair-dubai</x:v>
      </x:c>
      <x:c r="B1463" s="6" t="str">
        <x:v>tire repair dubai</x:v>
      </x:c>
      <x:c r="C1463" s="6" t="str">
        <x:v>All vehicles: Tyre repair</x:v>
      </x:c>
      <x:c r="D1463" s="6" t="str">
        <x:v>service</x:v>
      </x:c>
      <x:c r="E1463" s="6" t="str">
        <x:v>Primary owner for assigned intent</x:v>
      </x:c>
      <x:c r="F1463" s="6" t="str">
        <x:v>Live HTML checked 9 Sep 2026</x:v>
      </x:c>
      <x:c r="G1463" s="6" t="str">
        <x:v>Tire Repair Dubai | Puncture Assessment &amp; Fitment | Digitec</x:v>
      </x:c>
      <x:c r="H1463" s="6" t="str">
        <x:v>Tire Repair Dubai | Puncture Assessment &amp; Fitment | Digitec</x:v>
      </x:c>
      <x:c r="I1463" s="6" t="str">
        <x:v>Tire Repair Dubai</x:v>
      </x:c>
      <x:c r="J1463" s="6" t="str">
        <x:v>Tire Repair Dubai</x:v>
      </x:c>
      <x:c r="K1463" s="6" t="str">
        <x:v>Tire repair in Dubai with puncture assessment, replacement, balancing and alignment subject to vehicle fitment and product availability.</x:v>
      </x:c>
      <x:c r="L1463" s="6" t="str">
        <x:v>Retain pending evidence; no specific content edit justified by this export.</x:v>
      </x:c>
      <x:c r="M1463" s="6" t="str">
        <x:v>Retain; inspect relevant context before adding links</x:v>
      </x:c>
      <x:c r="N1463" s="6" t="str">
        <x:v>Unconfirmed — no query/page pairing</x:v>
      </x:c>
      <x:c r="O1463" s="6" t="str">
        <x:v>Retain established booking / WhatsApp / call path; live behaviour untested</x:v>
      </x:c>
      <x:c r="P1463" s="6" t="str">
        <x:v>Retain canonical and indexation policy pending a live check.</x:v>
      </x:c>
      <x:c r="Q1463" s="6" t="str">
        <x:v>Proposed; no website change made</x:v>
      </x:c>
      <x:c r="R1463" s="14" t="n">
        <x:v>3</x:v>
      </x:c>
      <x:c r="S1463" s="14" t="n">
        <x:v>1951</x:v>
      </x:c>
      <x:c r="T1463" s="15" t="n">
        <x:v>0.0015</x:v>
      </x:c>
      <x:c r="U1463" s="16" t="n">
        <x:v>25.38</x:v>
      </x:c>
      <x:c r="V1463" s="6" t="str">
        <x:v>https://digitecme.com/services/tire-repair-dubai</x:v>
      </x:c>
      <x:c r="W1463" s="6" t="str">
        <x:v>Indexable directive</x:v>
      </x:c>
      <x:c r="X1463" s="6" t="n">
        <x:v>5</x:v>
      </x:c>
      <x:c r="Y1463" s="6" t="str">
        <x:v>Tire Repair Dubai | Puncture Assessment &amp; Fitment | Digitec</x:v>
      </x:c>
      <x:c r="Z1463" s="6" t="str">
        <x:v>Tire Repair Dubai | Puncture Assessment &amp; Fitment | Digitec</x:v>
      </x:c>
      <x:c r="AA1463" s="6" t="str">
        <x:v>No / not compared</x:v>
      </x:c>
    </x:row>
    <x:row r="1464" ht="57" customHeight="1">
      <x:c r="A1464" s="6" t="str">
        <x:v>https://digitecme.com/services/transmission-repair-dubai</x:v>
      </x:c>
      <x:c r="B1464" s="6" t="str"/>
      <x:c r="C1464" s="6" t="str"/>
      <x:c r="D1464" s="6" t="str">
        <x:v>service</x:v>
      </x:c>
      <x:c r="E1464" s="6" t="str">
        <x:v>Retain differentiated role</x:v>
      </x:c>
      <x:c r="F1464" s="6" t="str">
        <x:v>Local source render; live version unverified</x:v>
      </x:c>
      <x:c r="G1464" s="6" t="str">
        <x:v>Transmission Repair Dubai | DCT, Automatic &amp; Manual Gearboxes</x:v>
      </x:c>
      <x:c r="H1464" s="6" t="str">
        <x:v>Transmission Repair Dubai | DCT, Automatic &amp; Manual Gearboxes</x:v>
      </x:c>
      <x:c r="I1464" s="6" t="str">
        <x:v>Transmission Repair in Dubai</x:v>
      </x:c>
      <x:c r="J1464" s="6" t="str">
        <x:v>Transmission Repair in Dubai</x:v>
      </x:c>
      <x:c r="K1464" s="6" t="str">
        <x:v>Transmission inspection and repair in Dubai for supported automatic, manual, DCT and CVT systems. Gearbox coverage is confirmed before booking.</x:v>
      </x:c>
      <x:c r="L1464" s="6" t="str">
        <x:v>Retain pending evidence; no specific content edit justified by this export.</x:v>
      </x:c>
      <x:c r="M1464" s="6" t="str">
        <x:v>Retain; inspect relevant context before adding links</x:v>
      </x:c>
      <x:c r="N1464" s="6" t="str">
        <x:v>Unconfirmed — no query/page pairing</x:v>
      </x:c>
      <x:c r="O1464" s="6" t="str">
        <x:v>Retain established booking / WhatsApp / call path; live behaviour untested</x:v>
      </x:c>
      <x:c r="P1464" s="6" t="str">
        <x:v>Retain canonical and indexation policy pending a live check.</x:v>
      </x:c>
      <x:c r="Q1464" s="6" t="str">
        <x:v>Proposed; no website change made</x:v>
      </x:c>
      <x:c r="R1464" s="14" t="n">
        <x:v>4</x:v>
      </x:c>
      <x:c r="S1464" s="14" t="n">
        <x:v>1498</x:v>
      </x:c>
      <x:c r="T1464" s="15" t="n">
        <x:v>0.0027</x:v>
      </x:c>
      <x:c r="U1464" s="16" t="n">
        <x:v>32.73</x:v>
      </x:c>
      <x:c r="V1464" s="6" t="str">
        <x:v>https://digitecme.com/services/transmission-repair-dubai</x:v>
      </x:c>
      <x:c r="W1464" s="6" t="str">
        <x:v>Indexable directive</x:v>
      </x:c>
      <x:c r="X1464" s="6" t="n">
        <x:v>771</x:v>
      </x:c>
      <x:c r="Y1464" s="6" t="str">
        <x:v>Transmission Repair Dubai | DCT, Automatic &amp; Manual Gearboxes</x:v>
      </x:c>
      <x:c r="Z1464" s="6" t="str"/>
      <x:c r="AA1464" s="6" t="str">
        <x:v>No / not compared</x:v>
      </x:c>
    </x:row>
    <x:row r="1465" ht="42" customHeight="1">
      <x:c r="A1465" s="6" t="str">
        <x:v>https://digitecme.com/sitemap</x:v>
      </x:c>
      <x:c r="B1465" s="6" t="str"/>
      <x:c r="C1465" s="6" t="str"/>
      <x:c r="D1465" s="6" t="str">
        <x:v>html-sitemap</x:v>
      </x:c>
      <x:c r="E1465" s="6" t="str">
        <x:v>Retain differentiated role</x:v>
      </x:c>
      <x:c r="F1465" s="6" t="str">
        <x:v>Local source render; live version unverified</x:v>
      </x:c>
      <x:c r="G1465" s="6" t="str">
        <x:v>HTML Sitemap | Digi-Tec Performance Centre Dubai</x:v>
      </x:c>
      <x:c r="H1465" s="6" t="str">
        <x:v>HTML Sitemap | Digi-Tec Performance Centre Dubai</x:v>
      </x:c>
      <x:c r="I1465" s="6" t="str">
        <x:v>HTML Sitemap</x:v>
      </x:c>
      <x:c r="J1465" s="6" t="str">
        <x:v>HTML Sitemap</x:v>
      </x:c>
      <x:c r="K1465" s="6" t="str">
        <x:v>Browse Digi-Tec Performance Centre services, specialist car brands, workshop guides, and Dubai location information.</x:v>
      </x:c>
      <x:c r="L1465" s="6" t="str">
        <x:v>Retain pending evidence; no specific content edit justified by this export.</x:v>
      </x:c>
      <x:c r="M1465" s="6" t="str">
        <x:v>Retain; inspect relevant context before adding links</x:v>
      </x:c>
      <x:c r="N1465" s="6" t="str">
        <x:v>Unconfirmed — no query/page pairing</x:v>
      </x:c>
      <x:c r="O1465" s="6" t="str">
        <x:v>Retain established booking / WhatsApp / call path; live behaviour untested</x:v>
      </x:c>
      <x:c r="P1465" s="6" t="str">
        <x:v>Retain canonical and indexation policy pending a live check.</x:v>
      </x:c>
      <x:c r="Q1465" s="6" t="str">
        <x:v>Proposed; no website change made</x:v>
      </x:c>
      <x:c r="R1465" s="14" t="n">
        <x:v>0</x:v>
      </x:c>
      <x:c r="S1465" s="14" t="n">
        <x:v>252</x:v>
      </x:c>
      <x:c r="T1465" s="15" t="n">
        <x:v>0</x:v>
      </x:c>
      <x:c r="U1465" s="16" t="n">
        <x:v>73.08</x:v>
      </x:c>
      <x:c r="V1465" s="6" t="str">
        <x:v>https://digitecme.com/sitemap</x:v>
      </x:c>
      <x:c r="W1465" s="6" t="str">
        <x:v>Indexable directive</x:v>
      </x:c>
      <x:c r="X1465" s="6" t="n">
        <x:v>771</x:v>
      </x:c>
      <x:c r="Y1465" s="6" t="str">
        <x:v>HTML Sitemap | Digi-Tec Performance Centre Dubai</x:v>
      </x:c>
      <x:c r="Z1465" s="6" t="str"/>
      <x:c r="AA1465" s="6" t="str">
        <x:v>No / not compared</x:v>
      </x:c>
    </x:row>
    <x:row r="1466" ht="42" customHeight="1">
      <x:c r="A1466" s="6" t="str">
        <x:v>https://digitecme.com/some-of-our-work/</x:v>
      </x:c>
      <x:c r="B1466" s="6" t="str"/>
      <x:c r="C1466" s="6" t="str"/>
      <x:c r="D1466" s="6" t="str">
        <x:v>Historical URL</x:v>
      </x:c>
      <x:c r="E1466" s="6" t="str">
        <x:v>Verify historical URL</x:v>
      </x:c>
      <x:c r="F1466" s="6" t="str">
        <x:v>Historical GSC URL; current page unverified</x:v>
      </x:c>
      <x:c r="G1466" s="6" t="str">
        <x:v>Not verified</x:v>
      </x:c>
      <x:c r="H1466" s="6" t="str">
        <x:v>Not verified</x:v>
      </x:c>
      <x:c r="I1466" s="6" t="str">
        <x:v>Not verified</x:v>
      </x:c>
      <x:c r="J1466" s="6" t="str">
        <x:v>Not verified</x:v>
      </x:c>
      <x:c r="K1466" s="6" t="str">
        <x:v>Not verified</x:v>
      </x:c>
      <x:c r="L1466" s="6" t="str">
        <x:v>Verify current HTTP response, canonical destination and URL history before changing or consolidating.</x:v>
      </x:c>
      <x:c r="M1466" s="6" t="str">
        <x:v>Retain; inspect relevant context before adding links</x:v>
      </x:c>
      <x:c r="N1466" s="6" t="str">
        <x:v>Unconfirmed — no query/page pairing</x:v>
      </x:c>
      <x:c r="O1466" s="6" t="str">
        <x:v>Retain established booking / WhatsApp / call path; live behaviour untested</x:v>
      </x:c>
      <x:c r="P1466" s="6" t="str">
        <x:v>Inspect live routing and canonical; do not infer a redirect from the URL shape.</x:v>
      </x:c>
      <x:c r="Q1466" s="6" t="str">
        <x:v>Proposed; no website change made</x:v>
      </x:c>
      <x:c r="R1466" s="14" t="n">
        <x:v>0</x:v>
      </x:c>
      <x:c r="S1466" s="14" t="n">
        <x:v>3</x:v>
      </x:c>
      <x:c r="T1466" s="15" t="n">
        <x:v>0</x:v>
      </x:c>
      <x:c r="U1466" s="16" t="n">
        <x:v>5</x:v>
      </x:c>
      <x:c r="V1466" s="6" t="str">
        <x:v>Not verified</x:v>
      </x:c>
      <x:c r="W1466" s="6" t="str">
        <x:v>Not verified</x:v>
      </x:c>
      <x:c r="X1466" s="6"/>
      <x:c r="Y1466" s="6" t="str"/>
      <x:c r="Z1466" s="6" t="str"/>
      <x:c r="AA1466" s="6" t="str">
        <x:v>No / not compared</x:v>
      </x:c>
    </x:row>
    <x:row r="1467" ht="42" customHeight="1">
      <x:c r="A1467" s="6" t="str">
        <x:v>https://digitecme.com/terms-of-service/</x:v>
      </x:c>
      <x:c r="B1467" s="6" t="str"/>
      <x:c r="C1467" s="6" t="str"/>
      <x:c r="D1467" s="6" t="str">
        <x:v>Historical URL</x:v>
      </x:c>
      <x:c r="E1467" s="6" t="str">
        <x:v>Verify historical URL</x:v>
      </x:c>
      <x:c r="F1467" s="6" t="str">
        <x:v>Historical GSC URL; current page unverified</x:v>
      </x:c>
      <x:c r="G1467" s="6" t="str">
        <x:v>Not verified</x:v>
      </x:c>
      <x:c r="H1467" s="6" t="str">
        <x:v>Not verified</x:v>
      </x:c>
      <x:c r="I1467" s="6" t="str">
        <x:v>Not verified</x:v>
      </x:c>
      <x:c r="J1467" s="6" t="str">
        <x:v>Not verified</x:v>
      </x:c>
      <x:c r="K1467" s="6" t="str">
        <x:v>Not verified</x:v>
      </x:c>
      <x:c r="L1467" s="6" t="str">
        <x:v>Verify current HTTP response, canonical destination and URL history before changing or consolidating.</x:v>
      </x:c>
      <x:c r="M1467" s="6" t="str">
        <x:v>Retain; inspect relevant context before adding links</x:v>
      </x:c>
      <x:c r="N1467" s="6" t="str">
        <x:v>Unconfirmed — no query/page pairing</x:v>
      </x:c>
      <x:c r="O1467" s="6" t="str">
        <x:v>Retain established booking / WhatsApp / call path; live behaviour untested</x:v>
      </x:c>
      <x:c r="P1467" s="6" t="str">
        <x:v>Inspect live routing and canonical; do not infer a redirect from the URL shape.</x:v>
      </x:c>
      <x:c r="Q1467" s="6" t="str">
        <x:v>Proposed; no website change made</x:v>
      </x:c>
      <x:c r="R1467" s="14" t="n">
        <x:v>0</x:v>
      </x:c>
      <x:c r="S1467" s="14" t="n">
        <x:v>18</x:v>
      </x:c>
      <x:c r="T1467" s="15" t="n">
        <x:v>0</x:v>
      </x:c>
      <x:c r="U1467" s="16" t="n">
        <x:v>2.72</x:v>
      </x:c>
      <x:c r="V1467" s="6" t="str">
        <x:v>Not verified</x:v>
      </x:c>
      <x:c r="W1467" s="6" t="str">
        <x:v>Not verified</x:v>
      </x:c>
      <x:c r="X1467" s="6"/>
      <x:c r="Y1467" s="6" t="str"/>
      <x:c r="Z1467" s="6" t="str"/>
      <x:c r="AA1467" s="6" t="str">
        <x:v>No / not compared</x:v>
      </x:c>
    </x:row>
    <x:row r="1468" ht="42" customHeight="1">
      <x:c r="A1468" s="6" t="str">
        <x:v>https://digitecme.com/tuning</x:v>
      </x:c>
      <x:c r="B1468" s="6" t="str">
        <x:v>car tuning dubai</x:v>
      </x:c>
      <x:c r="C1468" s="6" t="str">
        <x:v>All vehicles: Performance tuning</x:v>
      </x:c>
      <x:c r="D1468" s="6" t="str">
        <x:v>tuning</x:v>
      </x:c>
      <x:c r="E1468" s="6" t="str">
        <x:v>Primary owner for assigned intent</x:v>
      </x:c>
      <x:c r="F1468" s="6" t="str">
        <x:v>Local source render; live version unverified</x:v>
      </x:c>
      <x:c r="G1468" s="6" t="str">
        <x:v>Performance Tuning Dubai | ECU &amp; Hardware Projects | Digi-Tec</x:v>
      </x:c>
      <x:c r="H1468" s="6" t="str">
        <x:v>Performance Tuning Dubai | ECU &amp; Hardware Projects | Digi-Tec</x:v>
      </x:c>
      <x:c r="I1468" s="6" t="str">
        <x:v>GAD Motors Performance Tuning</x:v>
      </x:c>
      <x:c r="J1468" s="6" t="str">
        <x:v>GAD Motors Performance Tuning</x:v>
      </x:c>
      <x:c r="K1468" s="6" t="str">
        <x:v>Vehicle-specific ECU tuning and supporting-hardware projects for performance cars at Digi-Tec in Al Quoz, Dubai.</x:v>
      </x:c>
      <x:c r="L1468" s="6" t="str">
        <x:v>Retain pending evidence; no specific content edit justified by this export.</x:v>
      </x:c>
      <x:c r="M1468" s="6" t="str">
        <x:v>Retain; inspect relevant context before adding links</x:v>
      </x:c>
      <x:c r="N1468" s="6" t="str">
        <x:v>Unconfirmed — no query/page pairing</x:v>
      </x:c>
      <x:c r="O1468" s="6" t="str">
        <x:v>Retain established booking / WhatsApp / call path; live behaviour untested</x:v>
      </x:c>
      <x:c r="P1468" s="6" t="str">
        <x:v>Retain canonical and indexation policy pending a live check.</x:v>
      </x:c>
      <x:c r="Q1468" s="6" t="str">
        <x:v>Proposed; no website change made</x:v>
      </x:c>
      <x:c r="R1468" s="14" t="n">
        <x:v>28</x:v>
      </x:c>
      <x:c r="S1468" s="14" t="n">
        <x:v>2152</x:v>
      </x:c>
      <x:c r="T1468" s="15" t="n">
        <x:v>0.013000000000000001</x:v>
      </x:c>
      <x:c r="U1468" s="16" t="n">
        <x:v>23.87</x:v>
      </x:c>
      <x:c r="V1468" s="6" t="str">
        <x:v>https://digitecme.com/tuning</x:v>
      </x:c>
      <x:c r="W1468" s="6" t="str">
        <x:v>Indexable directive</x:v>
      </x:c>
      <x:c r="X1468" s="6" t="n">
        <x:v>771</x:v>
      </x:c>
      <x:c r="Y1468" s="6" t="str">
        <x:v>Performance Tuning Dubai | ECU &amp; Hardware Projects | Digi-Tec</x:v>
      </x:c>
      <x:c r="Z1468" s="6" t="str"/>
      <x:c r="AA1468" s="6" t="str">
        <x:v>No / not compared</x:v>
      </x:c>
    </x:row>
    <x:row r="1469" ht="57" customHeight="1">
      <x:c r="A1469" s="6" t="str">
        <x:v>https://digitecme.com/vrx</x:v>
      </x:c>
      <x:c r="B1469" s="6" t="str"/>
      <x:c r="C1469" s="6" t="str"/>
      <x:c r="D1469" s="6" t="str">
        <x:v>vrx</x:v>
      </x:c>
      <x:c r="E1469" s="6" t="str">
        <x:v>Retain differentiated role</x:v>
      </x:c>
      <x:c r="F1469" s="6" t="str">
        <x:v>Local source render; live version unverified</x:v>
      </x:c>
      <x:c r="G1469" s="6" t="str">
        <x:v>Mercedes V-Class VRX Consultation Dubai | DIGI-TEC</x:v>
      </x:c>
      <x:c r="H1469" s="6" t="str">
        <x:v>Mercedes V-Class VRX Consultation Dubai | DIGI-TEC</x:v>
      </x:c>
      <x:c r="I1469" s="6" t="str">
        <x:v>Mercedes V-Class VRX Consultation</x:v>
      </x:c>
      <x:c r="J1469" s="6" t="str">
        <x:v>Mercedes V-Class VRX Consultation</x:v>
      </x:c>
      <x:c r="K1469" s="6" t="str">
        <x:v>Book a vehicle-specific inspection and consultation for a Mercedes V-Class VRX project at DIGI-TEC in Al Quoz, Dubai. Scope is confirmed after review.</x:v>
      </x:c>
      <x:c r="L1469" s="6" t="str">
        <x:v>Retain pending evidence; no specific content edit justified by this export.</x:v>
      </x:c>
      <x:c r="M1469" s="6" t="str">
        <x:v>Retain; inspect relevant context before adding links</x:v>
      </x:c>
      <x:c r="N1469" s="6" t="str">
        <x:v>Unconfirmed — no query/page pairing</x:v>
      </x:c>
      <x:c r="O1469" s="6" t="str">
        <x:v>Retain established booking / WhatsApp / call path; live behaviour untested</x:v>
      </x:c>
      <x:c r="P1469" s="6" t="str">
        <x:v>Retain canonical and indexation policy pending a live check.</x:v>
      </x:c>
      <x:c r="Q1469" s="6" t="str">
        <x:v>Proposed; no website change made</x:v>
      </x:c>
      <x:c r="R1469" s="14" t="n">
        <x:v>8</x:v>
      </x:c>
      <x:c r="S1469" s="14" t="n">
        <x:v>180</x:v>
      </x:c>
      <x:c r="T1469" s="15" t="n">
        <x:v>0.0444</x:v>
      </x:c>
      <x:c r="U1469" s="16" t="n">
        <x:v>6.67</x:v>
      </x:c>
      <x:c r="V1469" s="6" t="str">
        <x:v>https://digitecme.com/vrx</x:v>
      </x:c>
      <x:c r="W1469" s="6" t="str">
        <x:v>Indexable directive</x:v>
      </x:c>
      <x:c r="X1469" s="6" t="n">
        <x:v>771</x:v>
      </x:c>
      <x:c r="Y1469" s="6" t="str">
        <x:v>Mercedes V-Class VRX Consultation Dubai | DIGI-TEC</x:v>
      </x:c>
      <x:c r="Z1469" s="6" t="str"/>
      <x:c r="AA1469" s="6" t="str">
        <x:v>No / not compared</x:v>
      </x:c>
    </x:row>
    <x:row r="1470" ht="42" customHeight="1">
      <x:c r="A1470" s="6" t="str">
        <x:v>https://www.digitecme.com/</x:v>
      </x:c>
      <x:c r="B1470" s="6" t="str"/>
      <x:c r="C1470" s="6" t="str"/>
      <x:c r="D1470" s="6" t="str">
        <x:v>Historical URL</x:v>
      </x:c>
      <x:c r="E1470" s="6" t="str">
        <x:v>Verify historical URL</x:v>
      </x:c>
      <x:c r="F1470" s="6" t="str">
        <x:v>Historical GSC URL; current page unverified</x:v>
      </x:c>
      <x:c r="G1470" s="6" t="str">
        <x:v>Not verified</x:v>
      </x:c>
      <x:c r="H1470" s="6" t="str">
        <x:v>Not verified</x:v>
      </x:c>
      <x:c r="I1470" s="6" t="str">
        <x:v>Not verified</x:v>
      </x:c>
      <x:c r="J1470" s="6" t="str">
        <x:v>Not verified</x:v>
      </x:c>
      <x:c r="K1470" s="6" t="str">
        <x:v>Not verified</x:v>
      </x:c>
      <x:c r="L1470" s="6" t="str">
        <x:v>Verify current HTTP response, canonical destination and URL history before changing or consolidating.</x:v>
      </x:c>
      <x:c r="M1470" s="6" t="str">
        <x:v>Retain; inspect relevant context before adding links</x:v>
      </x:c>
      <x:c r="N1470" s="6" t="str">
        <x:v>Unconfirmed — no query/page pairing</x:v>
      </x:c>
      <x:c r="O1470" s="6" t="str">
        <x:v>Retain established booking / WhatsApp / call path; live behaviour untested</x:v>
      </x:c>
      <x:c r="P1470" s="6" t="str">
        <x:v>Inspect live routing and canonical; do not infer a redirect from the URL shape.</x:v>
      </x:c>
      <x:c r="Q1470" s="6" t="str">
        <x:v>Proposed; no website change made</x:v>
      </x:c>
      <x:c r="R1470" s="14" t="n">
        <x:v>13</x:v>
      </x:c>
      <x:c r="S1470" s="14" t="n">
        <x:v>620</x:v>
      </x:c>
      <x:c r="T1470" s="15" t="n">
        <x:v>0.021</x:v>
      </x:c>
      <x:c r="U1470" s="16" t="n">
        <x:v>5.24</x:v>
      </x:c>
      <x:c r="V1470" s="6" t="str">
        <x:v>Not verified</x:v>
      </x:c>
      <x:c r="W1470" s="6" t="str">
        <x:v>Not verified</x:v>
      </x:c>
      <x:c r="X1470" s="6"/>
      <x:c r="Y1470" s="6" t="str"/>
      <x:c r="Z1470" s="6" t="str"/>
      <x:c r="AA1470" s="6" t="str">
        <x:v>No / not compared</x:v>
      </x:c>
    </x:row>
  </x:sheetData>
  <x:pageMargins left="0.7" right="0.7" top="0.75" bottom="0.75" header="0.3" footer="0.3"/>
  <x:tableParts count="1">
    <x:tablePart xmlns:r="http://schemas.openxmlformats.org/officeDocument/2006/relationships" r:id="Rd33275b1f991419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74" hidden="0" customWidth="1"/>
    <x:col min="2" max="2" width="18" hidden="0" customWidth="1"/>
    <x:col min="3" max="3" width="95" hidden="0" customWidth="1"/>
    <x:col min="4" max="4" width="68" hidden="0" customWidth="1"/>
    <x:col min="5" max="5" width="68" hidden="0" customWidth="1"/>
    <x:col min="6" max="6" width="60" hidden="0" customWidth="1"/>
    <x:col min="7" max="7" width="60" hidden="0" customWidth="1"/>
    <x:col min="8" max="8" width="110" hidden="0" customWidth="1"/>
    <x:col min="9" max="9" width="64" hidden="0" customWidth="1"/>
    <x:col min="10" max="10" width="90" hidden="0" customWidth="1"/>
    <x:col min="11" max="11" width="105" hidden="0" customWidth="1"/>
  </x:cols>
  <x:sheetData>
    <x:row r="1" ht="30" customHeight="1">
      <x:c r="A1" s="2" t="str">
        <x:v>Proposed priority changes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3" t="str">
        <x:v>Concrete recommendations for 23 pages; retain stronger live work before adding changes.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2" customHeight="1">
      <x:c r="A5" s="10" t="str">
        <x:v>Page</x:v>
      </x:c>
      <x:c r="B5" s="11" t="str">
        <x:v>Priority</x:v>
      </x:c>
      <x:c r="C5" s="11" t="str">
        <x:v>Reason</x:v>
      </x:c>
      <x:c r="D5" s="11" t="str">
        <x:v>Current title</x:v>
      </x:c>
      <x:c r="E5" s="11" t="str">
        <x:v>Proposed title</x:v>
      </x:c>
      <x:c r="F5" s="11" t="str">
        <x:v>Current H1</x:v>
      </x:c>
      <x:c r="G5" s="11" t="str">
        <x:v>Proposed H1</x:v>
      </x:c>
      <x:c r="H5" s="11" t="str">
        <x:v>Content change or retain decision</x:v>
      </x:c>
      <x:c r="I5" s="11" t="str">
        <x:v>CTA</x:v>
      </x:c>
      <x:c r="J5" s="11" t="str">
        <x:v>Internal links</x:v>
      </x:c>
      <x:c r="K5" s="12" t="str">
        <x:v>Technical action</x:v>
      </x:c>
    </x:row>
    <x:row r="6" ht="42" customHeight="1">
      <x:c r="A6" s="6" t="str">
        <x:v>https://digitecme.com/brands/aston-martin-service-dubai/brake-repair</x:v>
      </x:c>
      <x:c r="B6" s="6" t="str">
        <x:v>CRITICAL</x:v>
      </x:c>
      <x:c r="C6" s="6" t="str">
        <x:v>Dubai brake repair: 79 impressions at 13.85; Dubai transmission repair: 55 at 10.24. Existing dedicated owners already match intent.</x:v>
      </x:c>
      <x:c r="D6" s="6" t="str">
        <x:v>Aston Martin Brake Repair Dubai | DIGI-TEC</x:v>
      </x:c>
      <x:c r="E6" s="6" t="str">
        <x:v>Aston Martin Brake Repair Dubai | DIGI-TEC</x:v>
      </x:c>
      <x:c r="F6" s="6" t="str">
        <x:v>Aston Martin Brake Repair Dubai</x:v>
      </x:c>
      <x:c r="G6" s="6" t="str">
        <x:v>Aston Martin Brake Repair Dubai</x:v>
      </x:c>
      <x:c r="H6" s="6" t="str">
        <x:v>Retain the already specific title, H1 and current model-aware copy. Add a clear service-specific enquiry label. Expand repair choices only with workshop evidence.</x:v>
      </x:c>
      <x:c r="I6" s="6" t="str">
        <x:v>Request an Aston Martin Brake Inspection</x:v>
      </x:c>
      <x:c r="J6" s="6" t="str">
        <x:v>Retain existing links</x:v>
      </x:c>
      <x:c r="K6" s="6" t="str">
        <x:v>Retain; verify against production before release</x:v>
      </x:c>
    </x:row>
    <x:row r="7" ht="42" customHeight="1">
      <x:c r="A7" s="6" t="str">
        <x:v>https://digitecme.com/brands/aston-martin-service-dubai/transmission-repair</x:v>
      </x:c>
      <x:c r="B7" s="6" t="str">
        <x:v>CRITICAL</x:v>
      </x:c>
      <x:c r="C7" s="6" t="str">
        <x:v>Dubai brake repair: 79 impressions at 13.85; Dubai transmission repair: 55 at 10.24. Existing dedicated owners already match intent.</x:v>
      </x:c>
      <x:c r="D7" s="6" t="str">
        <x:v>Aston Martin Transmission Repair Dubai | DIGI-TEC</x:v>
      </x:c>
      <x:c r="E7" s="6" t="str">
        <x:v>Aston Martin Transmission Repair Dubai | DIGI-TEC</x:v>
      </x:c>
      <x:c r="F7" s="6" t="str">
        <x:v>Aston Martin Transmission Repair Dubai</x:v>
      </x:c>
      <x:c r="G7" s="6" t="str">
        <x:v>Aston Martin Transmission Repair Dubai</x:v>
      </x:c>
      <x:c r="H7" s="6" t="str">
        <x:v>Retain the already specific title, H1 and current model-aware copy. Add a clear service-specific enquiry label. Expand repair choices only with workshop evidence.</x:v>
      </x:c>
      <x:c r="I7" s="6" t="str">
        <x:v>Request an Aston Martin Transmission Inspection</x:v>
      </x:c>
      <x:c r="J7" s="6" t="str">
        <x:v>Retain existing links</x:v>
      </x:c>
      <x:c r="K7" s="6" t="str">
        <x:v>Retain; verify against production before release</x:v>
      </x:c>
    </x:row>
    <x:row r="8" ht="42" customHeight="1">
      <x:c r="A8" s="6" t="str">
        <x:v>https://digitecme.com/brands/bmw-service-dubai</x:v>
      </x:c>
      <x:c r="B8" s="6" t="str">
        <x:v>CRITICAL</x:v>
      </x:c>
      <x:c r="C8" s="6" t="str">
        <x:v>BMW repair Dubai has 151 impressions at 14.54; BMW service Dubai has 215 at 25.93. Existing title repeats BMW and has three segments.</x:v>
      </x:c>
      <x:c r="D8" s="6" t="str">
        <x:v>BMW Service &amp; Repair Dubai | Independent BMW Workshop | DIGI-TEC</x:v>
      </x:c>
      <x:c r="E8" s="6" t="str">
        <x:v>BMW Service &amp; Repair Dubai | DIGI-TEC</x:v>
      </x:c>
      <x:c r="F8" s="6" t="str">
        <x:v>BMW Service &amp; Repair Dubai</x:v>
      </x:c>
      <x:c r="G8" s="6" t="str">
        <x:v>BMW Service &amp; Repair Dubai</x:v>
      </x:c>
      <x:c r="H8" s="6" t="str">
        <x:v>Keep the current service/repair hub and its useful CBS, symptoms and model content. Test a shorter title; keep the independent-workshop explanation in visible copy.</x:v>
      </x:c>
      <x:c r="I8" s="6" t="str">
        <x:v>Book BMW Service</x:v>
      </x:c>
      <x:c r="J8" s="6" t="str">
        <x:v>Retain dedicated gearbox, diagnostics, brakes and engine links; strengthen them only where context is useful.</x:v>
      </x:c>
      <x:c r="K8" s="6" t="str">
        <x:v>Retain; verify against production before release</x:v>
      </x:c>
    </x:row>
    <x:row r="9" ht="42" customHeight="1">
      <x:c r="A9" s="6" t="str">
        <x:v>https://digitecme.com/brands/bmw-service-dubai/engine-diagnostics</x:v>
      </x:c>
      <x:c r="B9" s="6" t="str">
        <x:v>CRITICAL</x:v>
      </x:c>
      <x:c r="C9" s="6" t="str">
        <x:v>BMW diagnostics Dubai: 35 impressions at 14.09; BMW coding service: 72 at 36.72. Current title limits the page to engine diagnostics.</x:v>
      </x:c>
      <x:c r="D9" s="6" t="str">
        <x:v>BMW Engine Diagnostics Dubai | Digi-Tec</x:v>
      </x:c>
      <x:c r="E9" s="6" t="str">
        <x:v>BMW Diagnostics &amp; Coding Dubai | DIGI-TEC</x:v>
      </x:c>
      <x:c r="F9" s="6" t="str">
        <x:v>BMW Engine Diagnostics Dubai</x:v>
      </x:c>
      <x:c r="G9" s="6" t="str">
        <x:v>BMW Diagnostics &amp; Supported Coding in Dubai</x:v>
      </x:c>
      <x:c r="H9" s="6" t="str">
        <x:v>Separate fault finding, coding, programming and retrofit compatibility. Keep access qualified by vehicle; specify the information needed before booking. Correct the malformed models heading.</x:v>
      </x:c>
      <x:c r="I9" s="6" t="str">
        <x:v>Book BMW Diagnostics</x:v>
      </x:c>
      <x:c r="J9" s="6" t="str">
        <x:v>Retain existing links</x:v>
      </x:c>
      <x:c r="K9" s="6" t="str">
        <x:v>Retain; verify against production before release</x:v>
      </x:c>
    </x:row>
    <x:row r="10" ht="57" customHeight="1">
      <x:c r="A10" s="6" t="str">
        <x:v>https://digitecme.com/brands/bmw-service-dubai/transmission-repair</x:v>
      </x:c>
      <x:c r="B10" s="6" t="str">
        <x:v>CRITICAL</x:v>
      </x:c>
      <x:c r="C10" s="6" t="str">
        <x:v>117 combined impressions for the two Dubai transmission-repair variants at positions 11.67 and 8.42; no clicks.</x:v>
      </x:c>
      <x:c r="D10" s="6" t="str">
        <x:v>BMW Transmission Repair Dubai | Digi-Tec</x:v>
      </x:c>
      <x:c r="E10" s="6" t="str">
        <x:v>BMW Transmission Repair Dubai | Digi-Tec</x:v>
      </x:c>
      <x:c r="F10" s="6" t="str">
        <x:v>BMW Transmission Repair Dubai</x:v>
      </x:c>
      <x:c r="G10" s="6" t="str">
        <x:v>BMW Transmission Repair Dubai</x:v>
      </x:c>
      <x:c r="H10" s="6" t="str">
        <x:v>Lead with delayed engagement, rough shifts, slipping and gearbox warnings. Then distinguish fluid/filter maintenance from diagnosis, control-system repair and internal repair. Replace the malformed models heading. Retain transmission-specific qualifications.</x:v>
      </x:c>
      <x:c r="I10" s="6" t="str">
        <x:v>Request a BMW Gearbox Inspection</x:v>
      </x:c>
      <x:c r="J10" s="6" t="str">
        <x:v>Add a contextual link from the BMW hub gearbox summary if absent; retain the return link to BMW service.</x:v>
      </x:c>
      <x:c r="K10" s="6" t="str">
        <x:v>Retain; verify against production before release</x:v>
      </x:c>
    </x:row>
    <x:row r="11" ht="57" customHeight="1">
      <x:c r="A11" s="6" t="str">
        <x:v>https://digitecme.com/brands/mclaren-service-dubai</x:v>
      </x:c>
      <x:c r="B11" s="6" t="str">
        <x:v>CRITICAL</x:v>
      </x:c>
      <x:c r="C11" s="6" t="str">
        <x:v>mclaren service dubai: 166 impressions at 14.23; maintenance dubai: 79 at 13.46. No evidence yet that the latest version underperforms.</x:v>
      </x:c>
      <x:c r="D11" s="6" t="str">
        <x:v>McLaren Service &amp; Repair Dubai | DIGI-TEC</x:v>
      </x:c>
      <x:c r="E11" s="6" t="str">
        <x:v>McLaren Service &amp; Repair Dubai | DIGI-TEC</x:v>
      </x:c>
      <x:c r="F11" s="6" t="str">
        <x:v>McLaren Service &amp; Repair Dubai</x:v>
      </x:c>
      <x:c r="G11" s="6" t="str">
        <x:v>McLaren Service &amp; Repair Dubai</x:v>
      </x:c>
      <x:c r="H11" s="6" t="str">
        <x:v>Retain the recently updated hub. Keep maintenance and repair scope distinct and preserve dedicated gearbox, diagnostics and oil links. Add genuine, permissioned workshop evidence when available.</x:v>
      </x:c>
      <x:c r="I11" s="6" t="str">
        <x:v>Request McLaren Service</x:v>
      </x:c>
      <x:c r="J11" s="6" t="str">
        <x:v>Retain existing links</x:v>
      </x:c>
      <x:c r="K11" s="6" t="str">
        <x:v>Retain; verify against production before release</x:v>
      </x:c>
    </x:row>
    <x:row r="12" ht="42" customHeight="1">
      <x:c r="A12" s="6" t="str">
        <x:v>https://digitecme.com/brands/mclaren-service-dubai/oil-change</x:v>
      </x:c>
      <x:c r="B12" s="6" t="str">
        <x:v>CRITICAL</x:v>
      </x:c>
      <x:c r="C12" s="6" t="str">
        <x:v>69 impressions at position 14.96; protect the recently improved page.</x:v>
      </x:c>
      <x:c r="D12" s="6" t="str">
        <x:v>McLaren Oil Change &amp; Maintenance Dubai | DIGI-TEC</x:v>
      </x:c>
      <x:c r="E12" s="6" t="str">
        <x:v>McLaren Oil Change &amp; Maintenance Dubai | DIGI-TEC</x:v>
      </x:c>
      <x:c r="F12" s="6" t="str">
        <x:v>McLaren Oil Change &amp; Maintenance Dubai</x:v>
      </x:c>
      <x:c r="G12" s="6" t="str">
        <x:v>McLaren Oil Change &amp; Maintenance Dubai</x:v>
      </x:c>
      <x:c r="H12" s="6" t="str">
        <x:v>Retain the current model-specific oil/maintenance content. Keep oil selection and timing conditional on the exact vehicle and agreed scope.</x:v>
      </x:c>
      <x:c r="I12" s="6" t="str">
        <x:v>Request a McLaren Oil Service</x:v>
      </x:c>
      <x:c r="J12" s="6" t="str">
        <x:v>Retain existing links</x:v>
      </x:c>
      <x:c r="K12" s="6" t="str">
        <x:v>Retain; verify against production before release</x:v>
      </x:c>
    </x:row>
    <x:row r="13" ht="42" customHeight="1">
      <x:c r="A13" s="6" t="str">
        <x:v>https://digitecme.com/brands/mercedes-benz-service-dubai</x:v>
      </x:c>
      <x:c r="B13" s="6" t="str">
        <x:v>CRITICAL</x:v>
      </x:c>
      <x:c r="C13" s="6" t="str">
        <x:v>mercedes repair dubai: 954 impressions, position 10.64; mercedes service in dubai: 148 impressions, position 6.74, zero clicks.</x:v>
      </x:c>
      <x:c r="D13" s="6" t="str">
        <x:v>Mercedes Repair &amp; Service Dubai | Digi-Tec Specialists</x:v>
      </x:c>
      <x:c r="E13" s="6" t="str">
        <x:v>Mercedes Repair &amp; Service Dubai | Digi-Tec Specialists</x:v>
      </x:c>
      <x:c r="F13" s="6" t="str">
        <x:v>Mercedes-Benz Repair &amp; Service Dubai</x:v>
      </x:c>
      <x:c r="G13" s="6" t="str">
        <x:v>Mercedes-Benz Repair &amp; Service Dubai</x:v>
      </x:c>
      <x:c r="H13" s="6" t="str">
        <x:v>Retain the live broad hub. Preserve its service scope and link each specific repair to its own owner. Verify XENTRY/tool-access wording against business evidence.</x:v>
      </x:c>
      <x:c r="I13" s="6" t="str">
        <x:v>Request a Mercedes Repair Quote</x:v>
      </x:c>
      <x:c r="J13" s="6" t="str">
        <x:v>Keep engine, transmission, diagnostics, oil, suspension and AC links pointed to their canonical service owners.</x:v>
      </x:c>
      <x:c r="K13" s="6" t="str">
        <x:v>Reconcile the newer live release with this older checkout before editing. Repair old-URL server redirects separately.</x:v>
      </x:c>
    </x:row>
    <x:row r="14" ht="57" customHeight="1">
      <x:c r="A14" s="6" t="str">
        <x:v>https://digitecme.com/brands/porsche-service-dubai/engine-diagnostics</x:v>
      </x:c>
      <x:c r="B14" s="6" t="str">
        <x:v>CRITICAL</x:v>
      </x:c>
      <x:c r="C14" s="6" t="str">
        <x:v>Porsche diagnostic variants have 147 impressions; one DIP2 variant has 43 at 9.81. Actual location is Al Quoz.</x:v>
      </x:c>
      <x:c r="D14" s="6" t="str">
        <x:v>Porsche Engine Diagnostics Dubai | Digi-Tec</x:v>
      </x:c>
      <x:c r="E14" s="6" t="str">
        <x:v>Porsche Diagnostics Dubai | DIGI-TEC Al Quoz</x:v>
      </x:c>
      <x:c r="F14" s="6" t="str">
        <x:v>Porsche Engine Diagnostics Dubai</x:v>
      </x:c>
      <x:c r="G14" s="6" t="str">
        <x:v>Porsche Diagnostics in Dubai</x:v>
      </x:c>
      <x:c r="H14" s="6" t="str">
        <x:v>Keep the fitted-system and access qualifications. Explain warning-light, drivability and relevant module checks without implying a DIP2 branch. Route physical electrical repairs to the electrical page.</x:v>
      </x:c>
      <x:c r="I14" s="6" t="str">
        <x:v>Book Porsche Diagnostics</x:v>
      </x:c>
      <x:c r="J14" s="6" t="str">
        <x:v>Retain existing links</x:v>
      </x:c>
      <x:c r="K14" s="6" t="str">
        <x:v>Retain; verify against production before release</x:v>
      </x:c>
    </x:row>
    <x:row r="15" ht="72" customHeight="1">
      <x:c r="A15" s="6" t="str">
        <x:v>https://digitecme.com/brands/porsche-service-dubai/steering-repair</x:v>
      </x:c>
      <x:c r="B15" s="6" t="str">
        <x:v>CRITICAL</x:v>
      </x:c>
      <x:c r="C15" s="6" t="str">
        <x:v>porsche steering repair dubai: 105 impressions at 10.77 with zero clicks. The current opening is generic and the heading reads Porsche Models We Steering Repair.</x:v>
      </x:c>
      <x:c r="D15" s="6" t="str">
        <x:v>Porsche Steering Repair Dubai | Digi-Tec</x:v>
      </x:c>
      <x:c r="E15" s="6" t="str">
        <x:v>Porsche Steering Repair Dubai | Digi-Tec</x:v>
      </x:c>
      <x:c r="F15" s="6" t="str">
        <x:v>Porsche Steering Repair Dubai</x:v>
      </x:c>
      <x:c r="G15" s="6" t="str">
        <x:v>Porsche Steering Repair Dubai</x:v>
      </x:c>
      <x:c r="H15" s="6" t="str">
        <x:v>Replace the unrelated Cayenne air-suspension/GT3 heat sentence in the opening with steering-specific symptoms and fitted-system identification. Explain rack, assistance, wiring, suspension and alignment checks; repair-versus-replacement and quote factors. Correct the malformed models heading.</x:v>
      </x:c>
      <x:c r="I15" s="6" t="str">
        <x:v>Request a Porsche Steering Inspection</x:v>
      </x:c>
      <x:c r="J15" s="6" t="str">
        <x:v>Link here from the Porsche hub steering section and relevant chassis guides; retain a hub return link.</x:v>
      </x:c>
      <x:c r="K15" s="6" t="str">
        <x:v>Retain; verify against production before release</x:v>
      </x:c>
    </x:row>
    <x:row r="16" ht="57" customHeight="1">
      <x:c r="A16" s="6" t="str">
        <x:v>https://digitecme.com/services/car-polishing-dubai</x:v>
      </x:c>
      <x:c r="B16" s="6" t="str">
        <x:v>GROWTH</x:v>
      </x:c>
      <x:c r="C16" s="6" t="str">
        <x:v>Paint-care intent is a business priority. PPF, ceramic and broad protection queries mostly rank outside page one; zero polishing/detailing queries in the exported 1,000 is not proof of zero demand.</x:v>
      </x:c>
      <x:c r="D16" s="6" t="str">
        <x:v>Car Polishing &amp; Paint Correction Dubai | DIGI-TEC</x:v>
      </x:c>
      <x:c r="E16" s="6" t="str">
        <x:v>Car Polishing &amp; Paint Correction Dubai | DIGI-TEC</x:v>
      </x:c>
      <x:c r="F16" s="6" t="str">
        <x:v>Car Polishing &amp; Paint Correction Dubai</x:v>
      </x:c>
      <x:c r="G16" s="6" t="str">
        <x:v>Car Polishing &amp; Paint Correction Dubai</x:v>
      </x:c>
      <x:c r="H16" s="6" t="str">
        <x:v>Retain the current title, H1, comparison content, cost factors and quote journey. Add documented job photographs and preparation/coverage findings when available. The export ends before the 8 September paint-care release, so it cannot assess this version.</x:v>
      </x:c>
      <x:c r="I16" s="6" t="str">
        <x:v>Retain established booking / WhatsApp / call path; live behaviour untested</x:v>
      </x:c>
      <x:c r="J16" s="6" t="str">
        <x:v>Preserve comparison hub → polishing / PPF / ceramic links, mutual comparison links and contextual brand links. Avoid duplicate brand-by-PPF landing pages.</x:v>
      </x:c>
      <x:c r="K16" s="6" t="str">
        <x:v>Request URL Inspection and post-release query/page data. A live 200 response and indexable metadata do not prove Google indexing.</x:v>
      </x:c>
    </x:row>
    <x:row r="17" ht="57" customHeight="1">
      <x:c r="A17" s="6" t="str">
        <x:v>https://digitecme.com/services/ceramic-coating</x:v>
      </x:c>
      <x:c r="B17" s="6" t="str">
        <x:v>GROWTH</x:v>
      </x:c>
      <x:c r="C17" s="6" t="str">
        <x:v>Paint-care intent is a business priority. PPF, ceramic and broad protection queries mostly rank outside page one; zero polishing/detailing queries in the exported 1,000 is not proof of zero demand.</x:v>
      </x:c>
      <x:c r="D17" s="6" t="str">
        <x:v>Ceramic Coating Dubai | Car Paint Protection | DIGI-TEC</x:v>
      </x:c>
      <x:c r="E17" s="6" t="str">
        <x:v>Ceramic Coating Dubai | Car Paint Protection | DIGI-TEC</x:v>
      </x:c>
      <x:c r="F17" s="6" t="str">
        <x:v>Ceramic Coating Dubai</x:v>
      </x:c>
      <x:c r="G17" s="6" t="str">
        <x:v>Ceramic Coating Dubai</x:v>
      </x:c>
      <x:c r="H17" s="6" t="str">
        <x:v>Retain the current title, H1, comparison content, cost factors and quote journey. Add documented job photographs and preparation/coverage findings when available. The export ends before the 8 September paint-care release, so it cannot assess this version.</x:v>
      </x:c>
      <x:c r="I17" s="6" t="str">
        <x:v>Retain established booking / WhatsApp / call path; live behaviour untested</x:v>
      </x:c>
      <x:c r="J17" s="6" t="str">
        <x:v>Preserve comparison hub → polishing / PPF / ceramic links, mutual comparison links and contextual brand links. Avoid duplicate brand-by-PPF landing pages.</x:v>
      </x:c>
      <x:c r="K17" s="6" t="str">
        <x:v>Request URL Inspection and post-release query/page data. A live 200 response and indexable metadata do not prove Google indexing.</x:v>
      </x:c>
    </x:row>
    <x:row r="18" ht="57" customHeight="1">
      <x:c r="A18" s="6" t="str">
        <x:v>https://digitecme.com/services/exhaust-repair-dubai</x:v>
      </x:c>
      <x:c r="B18" s="6" t="str">
        <x:v>CRITICAL</x:v>
      </x:c>
      <x:c r="C18" s="6" t="str">
        <x:v>exhaust repair near me: 110 impressions, position 8.23, zero clicks. exhaust repair dubai already has 4 clicks from 52 impressions; preserve its relevance.</x:v>
      </x:c>
      <x:c r="D18" s="6" t="str">
        <x:v>Exhaust Repair Dubai | Cat, Muffler, DPF &amp; Performance</x:v>
      </x:c>
      <x:c r="E18" s="6" t="str">
        <x:v>Exhaust &amp; Muffler Repair Dubai | DIGI-TEC</x:v>
      </x:c>
      <x:c r="F18" s="6" t="str">
        <x:v>Exhaust Repair in Dubai</x:v>
      </x:c>
      <x:c r="G18" s="6" t="str">
        <x:v>Exhaust Repair in Dubai</x:v>
      </x:c>
      <x:c r="H18" s="6" t="str">
        <x:v>Keep the relevant symptoms and cost FAQs. Replace ambiguous Cat wording in the title. Lead with repair; send performance-modification requests to the tuning page. Add an enquiry CTA near the opening.</x:v>
      </x:c>
      <x:c r="I18" s="6" t="str">
        <x:v>Request an Exhaust Inspection</x:v>
      </x:c>
      <x:c r="J18" s="6" t="str">
        <x:v>Link from mechanical and relevant brand exhaust summaries where useful; 5 source-rendered pages link here.</x:v>
      </x:c>
      <x:c r="K18" s="6" t="str">
        <x:v>Retain; verify against production before release</x:v>
      </x:c>
    </x:row>
    <x:row r="19" ht="42" customHeight="1">
      <x:c r="A19" s="6" t="str">
        <x:v>https://digitecme.com/services/mercedes-brake-repair-dubai</x:v>
      </x:c>
      <x:c r="B19" s="6" t="str">
        <x:v>CRITICAL</x:v>
      </x:c>
      <x:c r="C19" s="6" t="str">
        <x:v>Fresh public HTML shows the previous Mercedes improvement is already live. The source checkout still contains older generic metadata.</x:v>
      </x:c>
      <x:c r="D19" s="6" t="str">
        <x:v>Mercedes Brake Repair &amp; Service Dubai | Digi-Tec</x:v>
      </x:c>
      <x:c r="E19" s="6" t="str">
        <x:v>Mercedes Brake Repair &amp; Service Dubai | Digi-Tec</x:v>
      </x:c>
      <x:c r="F19" s="6" t="str">
        <x:v>Mercedes Brake Repair &amp; Service in Dubai</x:v>
      </x:c>
      <x:c r="G19" s="6" t="str">
        <x:v>Mercedes Brake Repair &amp; Service in Dubai</x:v>
      </x:c>
      <x:c r="H19" s="6" t="str">
        <x:v>Retain the newer live title, H1 and service copy. Reconcile the local source with the deployed release before considering another rewrite.</x:v>
      </x:c>
      <x:c r="I19" s="6" t="str">
        <x:v>Retain established booking / WhatsApp / call path; live behaviour untested</x:v>
      </x:c>
      <x:c r="J19" s="6" t="str">
        <x:v>Retain existing links</x:v>
      </x:c>
      <x:c r="K19" s="6" t="str">
        <x:v>Production metadata differs from current local source. Use the deployed version as the baseline; do not publish this checkout unchanged.</x:v>
      </x:c>
    </x:row>
    <x:row r="20" ht="42" customHeight="1">
      <x:c r="A20" s="6" t="str">
        <x:v>https://digitecme.com/services/mercedes-diagnostics-dubai</x:v>
      </x:c>
      <x:c r="B20" s="6" t="str">
        <x:v>CRITICAL</x:v>
      </x:c>
      <x:c r="C20" s="6" t="str">
        <x:v>Fresh public HTML shows the previous Mercedes improvement is already live. The source checkout still contains older generic metadata.</x:v>
      </x:c>
      <x:c r="D20" s="6" t="str">
        <x:v>Mercedes Diagnostics &amp; Coding Dubai | Digi-Tec</x:v>
      </x:c>
      <x:c r="E20" s="6" t="str">
        <x:v>Mercedes Diagnostics &amp; Coding Dubai | Digi-Tec</x:v>
      </x:c>
      <x:c r="F20" s="6" t="str">
        <x:v>Mercedes Diagnostics, Coding &amp; Programming in Dubai</x:v>
      </x:c>
      <x:c r="G20" s="6" t="str">
        <x:v>Mercedes Diagnostics, Coding &amp; Programming in Dubai</x:v>
      </x:c>
      <x:c r="H20" s="6" t="str">
        <x:v>Retain the newer live title, H1 and service copy. Reconcile the local source with the deployed release before considering another rewrite.</x:v>
      </x:c>
      <x:c r="I20" s="6" t="str">
        <x:v>Retain established booking / WhatsApp / call path; live behaviour untested</x:v>
      </x:c>
      <x:c r="J20" s="6" t="str">
        <x:v>Retain existing links</x:v>
      </x:c>
      <x:c r="K20" s="6" t="str">
        <x:v>Production metadata differs from current local source. Use the deployed version as the baseline; do not publish this checkout unchanged.</x:v>
      </x:c>
    </x:row>
    <x:row r="21" ht="42" customHeight="1">
      <x:c r="A21" s="6" t="str">
        <x:v>https://digitecme.com/services/mercedes-mechanical-repair-dubai</x:v>
      </x:c>
      <x:c r="B21" s="6" t="str">
        <x:v>CRITICAL</x:v>
      </x:c>
      <x:c r="C21" s="6" t="str">
        <x:v>Fresh public HTML shows the previous Mercedes improvement is already live. The source checkout still contains older generic metadata.</x:v>
      </x:c>
      <x:c r="D21" s="6" t="str">
        <x:v>Mercedes Engine &amp; Mechanical Repair Dubai | Digi-Tec</x:v>
      </x:c>
      <x:c r="E21" s="6" t="str">
        <x:v>Mercedes Engine &amp; Mechanical Repair Dubai | Digi-Tec</x:v>
      </x:c>
      <x:c r="F21" s="6" t="str">
        <x:v>Mercedes Engine &amp; Mechanical Repair in Dubai</x:v>
      </x:c>
      <x:c r="G21" s="6" t="str">
        <x:v>Mercedes Engine &amp; Mechanical Repair in Dubai</x:v>
      </x:c>
      <x:c r="H21" s="6" t="str">
        <x:v>Retain the newer live title, H1 and service copy. Reconcile the local source with the deployed release before considering another rewrite.</x:v>
      </x:c>
      <x:c r="I21" s="6" t="str">
        <x:v>Retain established booking / WhatsApp / call path; live behaviour untested</x:v>
      </x:c>
      <x:c r="J21" s="6" t="str">
        <x:v>Retain existing links</x:v>
      </x:c>
      <x:c r="K21" s="6" t="str">
        <x:v>Production metadata differs from current local source. Use the deployed version as the baseline; do not publish this checkout unchanged.</x:v>
      </x:c>
    </x:row>
    <x:row r="22" ht="42" customHeight="1">
      <x:c r="A22" s="6" t="str">
        <x:v>https://digitecme.com/services/mercedes-oil-change-dubai</x:v>
      </x:c>
      <x:c r="B22" s="6" t="str">
        <x:v>CRITICAL</x:v>
      </x:c>
      <x:c r="C22" s="6" t="str">
        <x:v>Fresh public HTML shows the previous Mercedes improvement is already live. The source checkout still contains older generic metadata.</x:v>
      </x:c>
      <x:c r="D22" s="6" t="str">
        <x:v>Mercedes Oil Change Dubai | Service &amp; Filter | Digi-Tec</x:v>
      </x:c>
      <x:c r="E22" s="6" t="str">
        <x:v>Mercedes Oil Change Dubai | Service &amp; Filter | Digi-Tec</x:v>
      </x:c>
      <x:c r="F22" s="6" t="str">
        <x:v>Mercedes Oil Change in Dubai</x:v>
      </x:c>
      <x:c r="G22" s="6" t="str">
        <x:v>Mercedes Oil Change in Dubai</x:v>
      </x:c>
      <x:c r="H22" s="6" t="str">
        <x:v>Retain the newer live title, H1 and service copy. Reconcile the local source with the deployed release before considering another rewrite.</x:v>
      </x:c>
      <x:c r="I22" s="6" t="str">
        <x:v>Retain established booking / WhatsApp / call path; live behaviour untested</x:v>
      </x:c>
      <x:c r="J22" s="6" t="str">
        <x:v>Retain existing links</x:v>
      </x:c>
      <x:c r="K22" s="6" t="str">
        <x:v>Production metadata differs from current local source. Use the deployed version as the baseline; do not publish this checkout unchanged.</x:v>
      </x:c>
    </x:row>
    <x:row r="23" ht="42" customHeight="1">
      <x:c r="A23" s="6" t="str">
        <x:v>https://digitecme.com/services/mercedes-suspension-repair-dubai</x:v>
      </x:c>
      <x:c r="B23" s="6" t="str">
        <x:v>CRITICAL</x:v>
      </x:c>
      <x:c r="C23" s="6" t="str">
        <x:v>Fresh public HTML shows the previous Mercedes improvement is already live. The source checkout still contains older generic metadata.</x:v>
      </x:c>
      <x:c r="D23" s="6" t="str">
        <x:v>Mercedes Suspension &amp; AIRMATIC Repair Dubai | Digi-Tec</x:v>
      </x:c>
      <x:c r="E23" s="6" t="str">
        <x:v>Mercedes Suspension &amp; AIRMATIC Repair Dubai | Digi-Tec</x:v>
      </x:c>
      <x:c r="F23" s="6" t="str">
        <x:v>Mercedes Suspension &amp; AIRMATIC Repair in Dubai</x:v>
      </x:c>
      <x:c r="G23" s="6" t="str">
        <x:v>Mercedes Suspension &amp; AIRMATIC Repair in Dubai</x:v>
      </x:c>
      <x:c r="H23" s="6" t="str">
        <x:v>Retain the newer live title, H1 and service copy. Reconcile the local source with the deployed release before considering another rewrite.</x:v>
      </x:c>
      <x:c r="I23" s="6" t="str">
        <x:v>Retain established booking / WhatsApp / call path; live behaviour untested</x:v>
      </x:c>
      <x:c r="J23" s="6" t="str">
        <x:v>Retain existing links</x:v>
      </x:c>
      <x:c r="K23" s="6" t="str">
        <x:v>Production metadata differs from current local source. Use the deployed version as the baseline; do not publish this checkout unchanged.</x:v>
      </x:c>
    </x:row>
    <x:row r="24" ht="42" customHeight="1">
      <x:c r="A24" s="6" t="str">
        <x:v>https://digitecme.com/services/mercedes-transmission-repair-dubai</x:v>
      </x:c>
      <x:c r="B24" s="6" t="str">
        <x:v>CRITICAL</x:v>
      </x:c>
      <x:c r="C24" s="6" t="str">
        <x:v>Fresh public HTML shows the previous Mercedes improvement is already live. The source checkout still contains older generic metadata.</x:v>
      </x:c>
      <x:c r="D24" s="6" t="str">
        <x:v>Mercedes Transmission &amp; Gearbox Repair Dubai | Digi-Tec</x:v>
      </x:c>
      <x:c r="E24" s="6" t="str">
        <x:v>Mercedes Transmission &amp; Gearbox Repair Dubai | Digi-Tec</x:v>
      </x:c>
      <x:c r="F24" s="6" t="str">
        <x:v>Mercedes Transmission &amp; Gearbox Repair in Dubai</x:v>
      </x:c>
      <x:c r="G24" s="6" t="str">
        <x:v>Mercedes Transmission &amp; Gearbox Repair in Dubai</x:v>
      </x:c>
      <x:c r="H24" s="6" t="str">
        <x:v>Retain the newer live title, H1 and service copy. Reconcile the local source with the deployed release before considering another rewrite.</x:v>
      </x:c>
      <x:c r="I24" s="6" t="str">
        <x:v>Retain established booking / WhatsApp / call path; live behaviour untested</x:v>
      </x:c>
      <x:c r="J24" s="6" t="str">
        <x:v>Retain existing links</x:v>
      </x:c>
      <x:c r="K24" s="6" t="str">
        <x:v>Production metadata differs from current local source. Use the deployed version as the baseline; do not publish this checkout unchanged.</x:v>
      </x:c>
    </x:row>
    <x:row r="25" ht="42" customHeight="1">
      <x:c r="A25" s="6" t="str">
        <x:v>https://digitecme.com/services/oil-change-dubai</x:v>
      </x:c>
      <x:c r="B25" s="6" t="str">
        <x:v>CRITICAL</x:v>
      </x:c>
      <x:c r="C25" s="6" t="str">
        <x:v>oil change near me: 428 impressions at 12.46; car oil change Dubai: 686 at 29.63. Separate near-win and ranking-only variants.</x:v>
      </x:c>
      <x:c r="D25" s="6" t="str">
        <x:v>Car Oil Change Dubai | Vehicle-Specified Oil &amp; Filter | Digi-Tec</x:v>
      </x:c>
      <x:c r="E25" s="6" t="str">
        <x:v>Car Oil Change Dubai | Oil &amp; Filter Service | DIGI-TEC</x:v>
      </x:c>
      <x:c r="F25" s="6" t="str">
        <x:v>Oil Change in Dubai</x:v>
      </x:c>
      <x:c r="G25" s="6" t="str">
        <x:v>Car Oil Change in Dubai</x:v>
      </x:c>
      <x:c r="H25" s="6" t="str">
        <x:v>Keep vehicle-specific approvals, filters and cost factors. Provide a visible booking action beside the opening. Do not invent offers or universal oil-change intervals.</x:v>
      </x:c>
      <x:c r="I25" s="6" t="str">
        <x:v>Book an Oil Change</x:v>
      </x:c>
      <x:c r="J25" s="6" t="str">
        <x:v>Retain existing links</x:v>
      </x:c>
      <x:c r="K25" s="6" t="str">
        <x:v>Retain; verify against production before release</x:v>
      </x:c>
    </x:row>
    <x:row r="26" ht="57" customHeight="1">
      <x:c r="A26" s="6" t="str">
        <x:v>https://digitecme.com/services/paint-protection-dubai</x:v>
      </x:c>
      <x:c r="B26" s="6" t="str">
        <x:v>GROWTH</x:v>
      </x:c>
      <x:c r="C26" s="6" t="str">
        <x:v>Paint-care intent is a business priority. PPF, ceramic and broad protection queries mostly rank outside page one; zero polishing/detailing queries in the exported 1,000 is not proof of zero demand.</x:v>
      </x:c>
      <x:c r="D26" s="6" t="str">
        <x:v>Car Paint Care Dubai | Correction &amp; Protection | DIGI-TEC</x:v>
      </x:c>
      <x:c r="E26" s="6" t="str">
        <x:v>Car Paint Care Dubai | Correction &amp; Protection | DIGI-TEC</x:v>
      </x:c>
      <x:c r="F26" s="6" t="str">
        <x:v>Car Paint Care &amp; Protection Options in Dubai</x:v>
      </x:c>
      <x:c r="G26" s="6" t="str">
        <x:v>Car Paint Care &amp; Protection Options in Dubai</x:v>
      </x:c>
      <x:c r="H26" s="6" t="str">
        <x:v>Retain the current title, H1, comparison content, cost factors and quote journey. Add documented job photographs and preparation/coverage findings when available. The export ends before the 8 September paint-care release, so it cannot assess this version.</x:v>
      </x:c>
      <x:c r="I26" s="6" t="str">
        <x:v>Retain established booking / WhatsApp / call path; live behaviour untested</x:v>
      </x:c>
      <x:c r="J26" s="6" t="str">
        <x:v>Preserve comparison hub → polishing / PPF / ceramic links, mutual comparison links and contextual brand links. Avoid duplicate brand-by-PPF landing pages.</x:v>
      </x:c>
      <x:c r="K26" s="6" t="str">
        <x:v>Request URL Inspection and post-release query/page data. A live 200 response and indexable metadata do not prove Google indexing.</x:v>
      </x:c>
    </x:row>
    <x:row r="27" ht="57" customHeight="1">
      <x:c r="A27" s="6" t="str">
        <x:v>https://digitecme.com/services/paint-protection-film</x:v>
      </x:c>
      <x:c r="B27" s="6" t="str">
        <x:v>GROWTH</x:v>
      </x:c>
      <x:c r="C27" s="6" t="str">
        <x:v>Paint-care intent is a business priority. PPF, ceramic and broad protection queries mostly rank outside page one; zero polishing/detailing queries in the exported 1,000 is not proof of zero demand.</x:v>
      </x:c>
      <x:c r="D27" s="6" t="str">
        <x:v>PPF Dubai | Paint Protection Film for Cars | DIGI-TEC</x:v>
      </x:c>
      <x:c r="E27" s="6" t="str">
        <x:v>PPF Dubai | Paint Protection Film for Cars | DIGI-TEC</x:v>
      </x:c>
      <x:c r="F27" s="6" t="str">
        <x:v>Paint Protection Film (PPF) Dubai</x:v>
      </x:c>
      <x:c r="G27" s="6" t="str">
        <x:v>Paint Protection Film (PPF) Dubai</x:v>
      </x:c>
      <x:c r="H27" s="6" t="str">
        <x:v>Retain the current title, H1, comparison content, cost factors and quote journey. Add documented job photographs and preparation/coverage findings when available. The export ends before the 8 September paint-care release, so it cannot assess this version.</x:v>
      </x:c>
      <x:c r="I27" s="6" t="str">
        <x:v>Retain established booking / WhatsApp / call path; live behaviour untested</x:v>
      </x:c>
      <x:c r="J27" s="6" t="str">
        <x:v>Preserve comparison hub → polishing / PPF / ceramic links, mutual comparison links and contextual brand links. Avoid duplicate brand-by-PPF landing pages.</x:v>
      </x:c>
      <x:c r="K27" s="6" t="str">
        <x:v>Request URL Inspection and post-release query/page data. A live 200 response and indexable metadata do not prove Google indexing.</x:v>
      </x:c>
    </x:row>
    <x:row r="28" ht="57" customHeight="1">
      <x:c r="A28" s="6" t="str">
        <x:v>https://digitecme.com/services/steering-repair-dubai</x:v>
      </x:c>
      <x:c r="B28" s="6" t="str">
        <x:v>CRITICAL</x:v>
      </x:c>
      <x:c r="C28" s="6" t="str">
        <x:v>Power-steering, rack and mechanic variants include several page-one zero-click queries. Local source has a relevant introduction; test a clearer title, not a full rewrite.</x:v>
      </x:c>
      <x:c r="D28" s="6" t="str">
        <x:v>Steering Repair Dubai | Power Steering, Rack &amp; EPS</x:v>
      </x:c>
      <x:c r="E28" s="6" t="str">
        <x:v>Power Steering &amp; Rack Repair Dubai | DIGI-TEC</x:v>
      </x:c>
      <x:c r="F28" s="6" t="str">
        <x:v>Steering Repair in Dubai</x:v>
      </x:c>
      <x:c r="G28" s="6" t="str">
        <x:v>Steering Repair in Dubai</x:v>
      </x:c>
      <x:c r="H28" s="6" t="str">
        <x:v>Keep the existing relevant rack, pump and EPS content. Add an inspection CTA in the hero and a cost/repair-choice CTA after the diagnostic explanation.</x:v>
      </x:c>
      <x:c r="I28" s="6" t="str">
        <x:v>Request a Steering Inspection</x:v>
      </x:c>
      <x:c r="J28" s="6" t="str">
        <x:v>Use a contextual steering link from the mechanical/suspension pages if one is absent; only 8 source-rendered pages currently link here, including shared links.</x:v>
      </x:c>
      <x:c r="K28" s="6" t="str">
        <x:v>Retain; verify against production before release</x:v>
      </x:c>
    </x:row>
  </x:sheetData>
  <x:pageMargins left="0.7" right="0.7" top="0.75" bottom="0.75" header="0.3" footer="0.3"/>
  <x:tableParts count="1">
    <x:tablePart xmlns:r="http://schemas.openxmlformats.org/officeDocument/2006/relationships" r:id="Ra3778d1dcc1e4bb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8" hidden="0" customWidth="1"/>
    <x:col min="2" max="2" width="15" hidden="0" customWidth="1"/>
    <x:col min="3" max="3" width="12" hidden="0" customWidth="1"/>
    <x:col min="4" max="4" width="14" hidden="0" customWidth="1"/>
    <x:col min="5" max="5" width="14" hidden="0" customWidth="1"/>
    <x:col min="6" max="6" width="20" hidden="0" customWidth="1"/>
    <x:col min="7" max="7" width="74" hidden="0" customWidth="1"/>
    <x:col min="8" max="8" width="100" hidden="0" customWidth="1"/>
    <x:col min="9" max="9" width="110" hidden="0" customWidth="1"/>
    <x:col min="10" max="10" width="40" hidden="0" customWidth="1"/>
  </x:cols>
  <x:sheetData>
    <x:row r="1" ht="30" customHeight="1">
      <x:c r="A1" s="2" t="str">
        <x:v>Page-one CTR opportunities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Triage rule: average position ≤10, ≥20 impressions, CTR &lt;1%. These are investigation flags, not proven snippet failures.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2" customHeight="1">
      <x:c r="A5" s="10" t="str">
        <x:v>Query</x:v>
      </x:c>
      <x:c r="B5" s="11" t="str">
        <x:v>Impressions</x:v>
      </x:c>
      <x:c r="C5" s="11" t="str">
        <x:v>Clicks</x:v>
      </x:c>
      <x:c r="D5" s="11" t="str">
        <x:v>CTR</x:v>
      </x:c>
      <x:c r="E5" s="11" t="str">
        <x:v>Position</x:v>
      </x:c>
      <x:c r="F5" s="11" t="str">
        <x:v>Priority</x:v>
      </x:c>
      <x:c r="G5" s="11" t="str">
        <x:v>Recommended owner</x:v>
      </x:c>
      <x:c r="H5" s="11" t="str">
        <x:v>Likely issue to investigate</x:v>
      </x:c>
      <x:c r="I5" s="11" t="str">
        <x:v>Proposed action</x:v>
      </x:c>
      <x:c r="J5" s="12" t="str">
        <x:v>Change made</x:v>
      </x:c>
    </x:row>
    <x:row r="6" ht="42" customHeight="1">
      <x:c r="A6" s="6" t="str">
        <x:v>frenos near me</x:v>
      </x:c>
      <x:c r="B6" s="6" t="n">
        <x:v>373</x:v>
      </x:c>
      <x:c r="C6" s="6" t="n">
        <x:v>0</x:v>
      </x:c>
      <x:c r="D6" s="15" t="n">
        <x:v>0</x:v>
      </x:c>
      <x:c r="E6" s="16" t="n">
        <x:v>9.94</x:v>
      </x:c>
      <x:c r="F6" s="6" t="str">
        <x:v>GROWTH</x:v>
      </x:c>
      <x:c r="G6" s="6" t="str">
        <x:v>https://digitecme.com/services/brake-repair-dubai</x:v>
      </x:c>
      <x:c r="H6" s="6" t="str">
        <x:v>Page-one low-click triage flag; location/device mix, SERP features and actual ranking URL require investigation.</x:v>
      </x:c>
      <x:c r="I6" s="6" t="str">
        <x:v>Verify the SERP and actual query owner; retain current relevance until a specific mismatch is found.</x:v>
      </x:c>
      <x:c r="J6" s="6" t="str">
        <x:v>None — proposed plan only</x:v>
      </x:c>
    </x:row>
    <x:row r="7" ht="42" customHeight="1">
      <x:c r="A7" s="6" t="str">
        <x:v>digitech dubai</x:v>
      </x:c>
      <x:c r="B7" s="6" t="n">
        <x:v>193</x:v>
      </x:c>
      <x:c r="C7" s="6" t="n">
        <x:v>0</x:v>
      </x:c>
      <x:c r="D7" s="15" t="n">
        <x:v>0</x:v>
      </x:c>
      <x:c r="E7" s="16" t="n">
        <x:v>6.9</x:v>
      </x:c>
      <x:c r="F7" s="6" t="str">
        <x:v>DEPRIORITIZE</x:v>
      </x:c>
      <x:c r="G7" s="6" t="str">
        <x:v>https://digitecme.com/</x:v>
      </x:c>
      <x:c r="H7" s="6" t="str">
        <x:v>Weak or mismatched intent; do not optimize CTR solely because of page-one visibility.</x:v>
      </x:c>
      <x:c r="I7" s="6" t="str">
        <x:v>Verify the SERP and actual query owner; retain current relevance until a specific mismatch is found.</x:v>
      </x:c>
      <x:c r="J7" s="6" t="str">
        <x:v>None — proposed plan only</x:v>
      </x:c>
    </x:row>
    <x:row r="8" ht="42" customHeight="1">
      <x:c r="A8" s="6" t="str">
        <x:v>vulcanizing shop near me</x:v>
      </x:c>
      <x:c r="B8" s="6" t="n">
        <x:v>151</x:v>
      </x:c>
      <x:c r="C8" s="6" t="n">
        <x:v>1</x:v>
      </x:c>
      <x:c r="D8" s="15" t="n">
        <x:v>0.0066</x:v>
      </x:c>
      <x:c r="E8" s="16" t="n">
        <x:v>5.63</x:v>
      </x:c>
      <x:c r="F8" s="6" t="str">
        <x:v>GROWTH</x:v>
      </x:c>
      <x:c r="G8" s="6" t="str">
        <x:v>https://digitecme.com/services/tire-repair-dubai</x:v>
      </x:c>
      <x:c r="H8" s="6" t="str">
        <x:v>Page-one low-click triage flag; location/device mix, SERP features and actual ranking URL require investigation.</x:v>
      </x:c>
      <x:c r="I8" s="6" t="str">
        <x:v>Verify the SERP and actual query owner; retain current relevance until a specific mismatch is found.</x:v>
      </x:c>
      <x:c r="J8" s="6" t="str">
        <x:v>None — proposed plan only</x:v>
      </x:c>
    </x:row>
    <x:row r="9" ht="42" customHeight="1">
      <x:c r="A9" s="6" t="str">
        <x:v>mercedes service in dubai</x:v>
      </x:c>
      <x:c r="B9" s="6" t="n">
        <x:v>148</x:v>
      </x:c>
      <x:c r="C9" s="6" t="n">
        <x:v>0</x:v>
      </x:c>
      <x:c r="D9" s="15" t="n">
        <x:v>0</x:v>
      </x:c>
      <x:c r="E9" s="16" t="n">
        <x:v>6.74</x:v>
      </x:c>
      <x:c r="F9" s="6" t="str">
        <x:v>CRITICAL</x:v>
      </x:c>
      <x:c r="G9" s="6" t="str">
        <x:v>https://digitecme.com/brands/mercedes-benz-service-dubai</x:v>
      </x:c>
      <x:c r="H9" s="6" t="str">
        <x:v>Page-one low-click triage flag; location/device mix, SERP features and actual ranking URL require investigation.</x:v>
      </x:c>
      <x:c r="I9" s="6" t="str">
        <x:v>Retain the live broad hub. Preserve its service scope and link each specific repair to its own owner. Verify XENTRY/tool-access wording against business evidence.</x:v>
      </x:c>
      <x:c r="J9" s="6" t="str">
        <x:v>None — proposed plan only</x:v>
      </x:c>
    </x:row>
    <x:row r="10" ht="42" customHeight="1">
      <x:c r="A10" s="6" t="str">
        <x:v>digitech</x:v>
      </x:c>
      <x:c r="B10" s="6" t="n">
        <x:v>137</x:v>
      </x:c>
      <x:c r="C10" s="6" t="n">
        <x:v>0</x:v>
      </x:c>
      <x:c r="D10" s="15" t="n">
        <x:v>0</x:v>
      </x:c>
      <x:c r="E10" s="16" t="n">
        <x:v>4.18</x:v>
      </x:c>
      <x:c r="F10" s="6" t="str">
        <x:v>DEPRIORITIZE</x:v>
      </x:c>
      <x:c r="G10" s="6" t="str">
        <x:v>https://digitecme.com/</x:v>
      </x:c>
      <x:c r="H10" s="6" t="str">
        <x:v>Weak or mismatched intent; do not optimize CTR solely because of page-one visibility.</x:v>
      </x:c>
      <x:c r="I10" s="6" t="str">
        <x:v>Verify the SERP and actual query owner; retain current relevance until a specific mismatch is found.</x:v>
      </x:c>
      <x:c r="J10" s="6" t="str">
        <x:v>None — proposed plan only</x:v>
      </x:c>
    </x:row>
    <x:row r="11" ht="42" customHeight="1">
      <x:c r="A11" s="6" t="str">
        <x:v>mercedes car repair dubai</x:v>
      </x:c>
      <x:c r="B11" s="6" t="n">
        <x:v>118</x:v>
      </x:c>
      <x:c r="C11" s="6" t="n">
        <x:v>0</x:v>
      </x:c>
      <x:c r="D11" s="15" t="n">
        <x:v>0</x:v>
      </x:c>
      <x:c r="E11" s="16" t="n">
        <x:v>8.96</x:v>
      </x:c>
      <x:c r="F11" s="6" t="str">
        <x:v>CRITICAL</x:v>
      </x:c>
      <x:c r="G11" s="6" t="str">
        <x:v>https://digitecme.com/brands/mercedes-benz-service-dubai</x:v>
      </x:c>
      <x:c r="H11" s="6" t="str">
        <x:v>Page-one low-click triage flag; location/device mix, SERP features and actual ranking URL require investigation.</x:v>
      </x:c>
      <x:c r="I11" s="6" t="str">
        <x:v>Retain the live broad hub. Preserve its service scope and link each specific repair to its own owner. Verify XENTRY/tool-access wording against business evidence.</x:v>
      </x:c>
      <x:c r="J11" s="6" t="str">
        <x:v>None — proposed plan only</x:v>
      </x:c>
    </x:row>
    <x:row r="12" ht="57" customHeight="1">
      <x:c r="A12" s="6" t="str">
        <x:v>exhaust repair near me</x:v>
      </x:c>
      <x:c r="B12" s="6" t="n">
        <x:v>110</x:v>
      </x:c>
      <x:c r="C12" s="6" t="n">
        <x:v>0</x:v>
      </x:c>
      <x:c r="D12" s="15" t="n">
        <x:v>0</x:v>
      </x:c>
      <x:c r="E12" s="16" t="n">
        <x:v>8.23</x:v>
      </x:c>
      <x:c r="F12" s="6" t="str">
        <x:v>CRITICAL</x:v>
      </x:c>
      <x:c r="G12" s="6" t="str">
        <x:v>https://digitecme.com/services/exhaust-repair-dubai</x:v>
      </x:c>
      <x:c r="H12" s="6" t="str">
        <x:v>Page-one low-click triage flag; location/device mix, SERP features and actual ranking URL require investigation.</x:v>
      </x:c>
      <x:c r="I12" s="6" t="str">
        <x:v>Keep the relevant symptoms and cost FAQs. Replace ambiguous Cat wording in the title. Lead with repair; send performance-modification requests to the tuning page. Add an enquiry CTA near the opening.</x:v>
      </x:c>
      <x:c r="J12" s="6" t="str">
        <x:v>None — proposed plan only</x:v>
      </x:c>
    </x:row>
    <x:row r="13" ht="42" customHeight="1">
      <x:c r="A13" s="6" t="str">
        <x:v>tire puncture repair near me</x:v>
      </x:c>
      <x:c r="B13" s="6" t="n">
        <x:v>78</x:v>
      </x:c>
      <x:c r="C13" s="6" t="n">
        <x:v>0</x:v>
      </x:c>
      <x:c r="D13" s="15" t="n">
        <x:v>0</x:v>
      </x:c>
      <x:c r="E13" s="16" t="n">
        <x:v>8.78</x:v>
      </x:c>
      <x:c r="F13" s="6" t="str">
        <x:v>GROWTH</x:v>
      </x:c>
      <x:c r="G13" s="6" t="str">
        <x:v>https://digitecme.com/services/tire-repair-dubai</x:v>
      </x:c>
      <x:c r="H13" s="6" t="str">
        <x:v>Page-one low-click triage flag; location/device mix, SERP features and actual ranking URL require investigation.</x:v>
      </x:c>
      <x:c r="I13" s="6" t="str">
        <x:v>Verify the SERP and actual query owner; retain current relevance until a specific mismatch is found.</x:v>
      </x:c>
      <x:c r="J13" s="6" t="str">
        <x:v>None — proposed plan only</x:v>
      </x:c>
    </x:row>
    <x:row r="14" ht="42" customHeight="1">
      <x:c r="A14" s="6" t="str">
        <x:v>puncher workshop near me</x:v>
      </x:c>
      <x:c r="B14" s="6" t="n">
        <x:v>75</x:v>
      </x:c>
      <x:c r="C14" s="6" t="n">
        <x:v>0</x:v>
      </x:c>
      <x:c r="D14" s="15" t="n">
        <x:v>0</x:v>
      </x:c>
      <x:c r="E14" s="16" t="n">
        <x:v>9.52</x:v>
      </x:c>
      <x:c r="F14" s="6" t="str">
        <x:v>GROWTH</x:v>
      </x:c>
      <x:c r="G14" s="6" t="str">
        <x:v>https://digitecme.com/services/tire-repair-dubai</x:v>
      </x:c>
      <x:c r="H14" s="6" t="str">
        <x:v>Page-one low-click triage flag; location/device mix, SERP features and actual ranking URL require investigation.</x:v>
      </x:c>
      <x:c r="I14" s="6" t="str">
        <x:v>Verify the SERP and actual query owner; retain current relevance until a specific mismatch is found.</x:v>
      </x:c>
      <x:c r="J14" s="6" t="str">
        <x:v>None — proposed plan only</x:v>
      </x:c>
    </x:row>
    <x:row r="15" ht="42" customHeight="1">
      <x:c r="A15" s="6" t="str">
        <x:v>flat tire repair near me</x:v>
      </x:c>
      <x:c r="B15" s="6" t="n">
        <x:v>64</x:v>
      </x:c>
      <x:c r="C15" s="6" t="n">
        <x:v>0</x:v>
      </x:c>
      <x:c r="D15" s="15" t="n">
        <x:v>0</x:v>
      </x:c>
      <x:c r="E15" s="16" t="n">
        <x:v>9.92</x:v>
      </x:c>
      <x:c r="F15" s="6" t="str">
        <x:v>GROWTH</x:v>
      </x:c>
      <x:c r="G15" s="6" t="str">
        <x:v>https://digitecme.com/services/tire-repair-dubai</x:v>
      </x:c>
      <x:c r="H15" s="6" t="str">
        <x:v>Page-one low-click triage flag; location/device mix, SERP features and actual ranking URL require investigation.</x:v>
      </x:c>
      <x:c r="I15" s="6" t="str">
        <x:v>Verify the SERP and actual query owner; retain current relevance until a specific mismatch is found.</x:v>
      </x:c>
      <x:c r="J15" s="6" t="str">
        <x:v>None — proposed plan only</x:v>
      </x:c>
    </x:row>
    <x:row r="16" ht="42" customHeight="1">
      <x:c r="A16" s="6" t="str">
        <x:v>merceds repair</x:v>
      </x:c>
      <x:c r="B16" s="6" t="n">
        <x:v>58</x:v>
      </x:c>
      <x:c r="C16" s="6" t="n">
        <x:v>0</x:v>
      </x:c>
      <x:c r="D16" s="15" t="n">
        <x:v>0</x:v>
      </x:c>
      <x:c r="E16" s="16" t="n">
        <x:v>8.28</x:v>
      </x:c>
      <x:c r="F16" s="6" t="str">
        <x:v>CRITICAL</x:v>
      </x:c>
      <x:c r="G16" s="6" t="str">
        <x:v>https://digitecme.com/brands/mercedes-benz-service-dubai</x:v>
      </x:c>
      <x:c r="H16" s="6" t="str">
        <x:v>Page-one low-click triage flag; location/device mix, SERP features and actual ranking URL require investigation.</x:v>
      </x:c>
      <x:c r="I16" s="6" t="str">
        <x:v>Retain the live broad hub. Preserve its service scope and link each specific repair to its own owner. Verify XENTRY/tool-access wording against business evidence.</x:v>
      </x:c>
      <x:c r="J16" s="6" t="str">
        <x:v>None — proposed plan only</x:v>
      </x:c>
    </x:row>
    <x:row r="17" ht="42" customHeight="1">
      <x:c r="A17" s="6" t="str">
        <x:v>puncture repair near me</x:v>
      </x:c>
      <x:c r="B17" s="6" t="n">
        <x:v>58</x:v>
      </x:c>
      <x:c r="C17" s="6" t="n">
        <x:v>0</x:v>
      </x:c>
      <x:c r="D17" s="15" t="n">
        <x:v>0</x:v>
      </x:c>
      <x:c r="E17" s="16" t="n">
        <x:v>9.1</x:v>
      </x:c>
      <x:c r="F17" s="6" t="str">
        <x:v>GROWTH</x:v>
      </x:c>
      <x:c r="G17" s="6" t="str">
        <x:v>https://digitecme.com/services/tire-repair-dubai</x:v>
      </x:c>
      <x:c r="H17" s="6" t="str">
        <x:v>Page-one low-click triage flag; location/device mix, SERP features and actual ranking URL require investigation.</x:v>
      </x:c>
      <x:c r="I17" s="6" t="str">
        <x:v>Verify the SERP and actual query owner; retain current relevance until a specific mismatch is found.</x:v>
      </x:c>
      <x:c r="J17" s="6" t="str">
        <x:v>None — proposed plan only</x:v>
      </x:c>
    </x:row>
    <x:row r="18" ht="42" customHeight="1">
      <x:c r="A18" s="6" t="str">
        <x:v>gad mercedes</x:v>
      </x:c>
      <x:c r="B18" s="6" t="n">
        <x:v>57</x:v>
      </x:c>
      <x:c r="C18" s="6" t="n">
        <x:v>0</x:v>
      </x:c>
      <x:c r="D18" s="15" t="n">
        <x:v>0</x:v>
      </x:c>
      <x:c r="E18" s="16" t="n">
        <x:v>7.88</x:v>
      </x:c>
      <x:c r="F18" s="6" t="str">
        <x:v>CRITICAL</x:v>
      </x:c>
      <x:c r="G18" s="6" t="str">
        <x:v>https://digitecme.com/tuning</x:v>
      </x:c>
      <x:c r="H18" s="6" t="str">
        <x:v>Page-one low-click triage flag; location/device mix, SERP features and actual ranking URL require investigation.</x:v>
      </x:c>
      <x:c r="I18" s="6" t="str">
        <x:v>Verify the SERP and actual query owner; retain current relevance until a specific mismatch is found.</x:v>
      </x:c>
      <x:c r="J18" s="6" t="str">
        <x:v>None — proposed plan only</x:v>
      </x:c>
    </x:row>
    <x:row r="19" ht="42" customHeight="1">
      <x:c r="A19" s="6" t="str">
        <x:v>mercedes garage in dubai</x:v>
      </x:c>
      <x:c r="B19" s="6" t="n">
        <x:v>56</x:v>
      </x:c>
      <x:c r="C19" s="6" t="n">
        <x:v>0</x:v>
      </x:c>
      <x:c r="D19" s="15" t="n">
        <x:v>0</x:v>
      </x:c>
      <x:c r="E19" s="16" t="n">
        <x:v>8.98</x:v>
      </x:c>
      <x:c r="F19" s="6" t="str">
        <x:v>CRITICAL</x:v>
      </x:c>
      <x:c r="G19" s="6" t="str">
        <x:v>https://digitecme.com/brands/mercedes-benz-service-dubai</x:v>
      </x:c>
      <x:c r="H19" s="6" t="str">
        <x:v>Page-one low-click triage flag; location/device mix, SERP features and actual ranking URL require investigation.</x:v>
      </x:c>
      <x:c r="I19" s="6" t="str">
        <x:v>Retain the live broad hub. Preserve its service scope and link each specific repair to its own owner. Verify XENTRY/tool-access wording against business evidence.</x:v>
      </x:c>
      <x:c r="J19" s="6" t="str">
        <x:v>None — proposed plan only</x:v>
      </x:c>
    </x:row>
    <x:row r="20" ht="42" customHeight="1">
      <x:c r="A20" s="6" t="str">
        <x:v>nissan service center al quoz</x:v>
      </x:c>
      <x:c r="B20" s="6" t="n">
        <x:v>54</x:v>
      </x:c>
      <x:c r="C20" s="6" t="n">
        <x:v>0</x:v>
      </x:c>
      <x:c r="D20" s="15" t="n">
        <x:v>0</x:v>
      </x:c>
      <x:c r="E20" s="16" t="n">
        <x:v>9.3</x:v>
      </x:c>
      <x:c r="F20" s="6" t="str">
        <x:v>CRITICAL</x:v>
      </x:c>
      <x:c r="G20" s="6" t="str">
        <x:v>https://digitecme.com/brands/nissan-service-dubai</x:v>
      </x:c>
      <x:c r="H20" s="6" t="str">
        <x:v>Page-one low-click triage flag; location/device mix, SERP features and actual ranking URL require investigation.</x:v>
      </x:c>
      <x:c r="I20" s="6" t="str">
        <x:v>Verify the SERP and actual query owner; retain current relevance until a specific mismatch is found.</x:v>
      </x:c>
      <x:c r="J20" s="6" t="str">
        <x:v>None — proposed plan only</x:v>
      </x:c>
    </x:row>
    <x:row r="21" ht="42" customHeight="1">
      <x:c r="A21" s="6" t="str">
        <x:v>gad performance</x:v>
      </x:c>
      <x:c r="B21" s="6" t="n">
        <x:v>51</x:v>
      </x:c>
      <x:c r="C21" s="6" t="n">
        <x:v>0</x:v>
      </x:c>
      <x:c r="D21" s="15" t="n">
        <x:v>0</x:v>
      </x:c>
      <x:c r="E21" s="16" t="n">
        <x:v>6.12</x:v>
      </x:c>
      <x:c r="F21" s="6" t="str">
        <x:v>CRITICAL</x:v>
      </x:c>
      <x:c r="G21" s="6" t="str">
        <x:v>https://digitecme.com/tuning</x:v>
      </x:c>
      <x:c r="H21" s="6" t="str">
        <x:v>Page-one low-click triage flag; location/device mix, SERP features and actual ranking URL require investigation.</x:v>
      </x:c>
      <x:c r="I21" s="6" t="str">
        <x:v>Verify the SERP and actual query owner; retain current relevance until a specific mismatch is found.</x:v>
      </x:c>
      <x:c r="J21" s="6" t="str">
        <x:v>None — proposed plan only</x:v>
      </x:c>
    </x:row>
    <x:row r="22" ht="42" customHeight="1">
      <x:c r="A22" s="6" t="str">
        <x:v>power steering specialists</x:v>
      </x:c>
      <x:c r="B22" s="6" t="n">
        <x:v>50</x:v>
      </x:c>
      <x:c r="C22" s="6" t="n">
        <x:v>0</x:v>
      </x:c>
      <x:c r="D22" s="15" t="n">
        <x:v>0</x:v>
      </x:c>
      <x:c r="E22" s="16" t="n">
        <x:v>6.28</x:v>
      </x:c>
      <x:c r="F22" s="6" t="str">
        <x:v>CRITICAL</x:v>
      </x:c>
      <x:c r="G22" s="6" t="str">
        <x:v>https://digitecme.com/services/steering-repair-dubai</x:v>
      </x:c>
      <x:c r="H22" s="6" t="str">
        <x:v>Page-one low-click triage flag; location/device mix, SERP features and actual ranking URL require investigation.</x:v>
      </x:c>
      <x:c r="I22" s="6" t="str">
        <x:v>Keep the existing relevant rack, pump and EPS content. Add an inspection CTA in the hero and a cost/repair-choice CTA after the diagnostic explanation.</x:v>
      </x:c>
      <x:c r="J22" s="6" t="str">
        <x:v>None — proposed plan only</x:v>
      </x:c>
    </x:row>
    <x:row r="23" ht="42" customHeight="1">
      <x:c r="A23" s="6" t="str">
        <x:v>porsche maintenance</x:v>
      </x:c>
      <x:c r="B23" s="6" t="n">
        <x:v>50</x:v>
      </x:c>
      <x:c r="C23" s="6" t="n">
        <x:v>0</x:v>
      </x:c>
      <x:c r="D23" s="15" t="n">
        <x:v>0</x:v>
      </x:c>
      <x:c r="E23" s="16" t="n">
        <x:v>9.18</x:v>
      </x:c>
      <x:c r="F23" s="6" t="str">
        <x:v>CRITICAL</x:v>
      </x:c>
      <x:c r="G23" s="6" t="str">
        <x:v>https://digitecme.com/brands/porsche-service-dubai</x:v>
      </x:c>
      <x:c r="H23" s="6" t="str">
        <x:v>Page-one low-click triage flag; location/device mix, SERP features and actual ranking URL require investigation.</x:v>
      </x:c>
      <x:c r="I23" s="6" t="str">
        <x:v>Verify the SERP and actual query owner; retain current relevance until a specific mismatch is found.</x:v>
      </x:c>
      <x:c r="J23" s="6" t="str">
        <x:v>None — proposed plan only</x:v>
      </x:c>
    </x:row>
    <x:row r="24" ht="42" customHeight="1">
      <x:c r="A24" s="6" t="str">
        <x:v>power steering mechanic</x:v>
      </x:c>
      <x:c r="B24" s="6" t="n">
        <x:v>49</x:v>
      </x:c>
      <x:c r="C24" s="6" t="n">
        <x:v>0</x:v>
      </x:c>
      <x:c r="D24" s="15" t="n">
        <x:v>0</x:v>
      </x:c>
      <x:c r="E24" s="16" t="n">
        <x:v>8.1</x:v>
      </x:c>
      <x:c r="F24" s="6" t="str">
        <x:v>CRITICAL</x:v>
      </x:c>
      <x:c r="G24" s="6" t="str">
        <x:v>https://digitecme.com/services/steering-repair-dubai</x:v>
      </x:c>
      <x:c r="H24" s="6" t="str">
        <x:v>Page-one low-click triage flag; location/device mix, SERP features and actual ranking URL require investigation.</x:v>
      </x:c>
      <x:c r="I24" s="6" t="str">
        <x:v>Keep the existing relevant rack, pump and EPS content. Add an inspection CTA in the hero and a cost/repair-choice CTA after the diagnostic explanation.</x:v>
      </x:c>
      <x:c r="J24" s="6" t="str">
        <x:v>None — proposed plan only</x:v>
      </x:c>
    </x:row>
    <x:row r="25" ht="42" customHeight="1">
      <x:c r="A25" s="6" t="str">
        <x:v>power steering repairs</x:v>
      </x:c>
      <x:c r="B25" s="6" t="n">
        <x:v>48</x:v>
      </x:c>
      <x:c r="C25" s="6" t="n">
        <x:v>0</x:v>
      </x:c>
      <x:c r="D25" s="15" t="n">
        <x:v>0</x:v>
      </x:c>
      <x:c r="E25" s="16" t="n">
        <x:v>8.79</x:v>
      </x:c>
      <x:c r="F25" s="6" t="str">
        <x:v>CRITICAL</x:v>
      </x:c>
      <x:c r="G25" s="6" t="str">
        <x:v>https://digitecme.com/services/steering-repair-dubai</x:v>
      </x:c>
      <x:c r="H25" s="6" t="str">
        <x:v>Page-one low-click triage flag; location/device mix, SERP features and actual ranking URL require investigation.</x:v>
      </x:c>
      <x:c r="I25" s="6" t="str">
        <x:v>Keep the existing relevant rack, pump and EPS content. Add an inspection CTA in the hero and a cost/repair-choice CTA after the diagnostic explanation.</x:v>
      </x:c>
      <x:c r="J25" s="6" t="str">
        <x:v>None — proposed plan only</x:v>
      </x:c>
    </x:row>
    <x:row r="26" ht="42" customHeight="1">
      <x:c r="A26" s="6" t="str">
        <x:v>power steering repair shop</x:v>
      </x:c>
      <x:c r="B26" s="6" t="n">
        <x:v>47</x:v>
      </x:c>
      <x:c r="C26" s="6" t="n">
        <x:v>0</x:v>
      </x:c>
      <x:c r="D26" s="15" t="n">
        <x:v>0</x:v>
      </x:c>
      <x:c r="E26" s="16" t="n">
        <x:v>6.28</x:v>
      </x:c>
      <x:c r="F26" s="6" t="str">
        <x:v>CRITICAL</x:v>
      </x:c>
      <x:c r="G26" s="6" t="str">
        <x:v>https://digitecme.com/services/steering-repair-dubai</x:v>
      </x:c>
      <x:c r="H26" s="6" t="str">
        <x:v>Page-one low-click triage flag; location/device mix, SERP features and actual ranking URL require investigation.</x:v>
      </x:c>
      <x:c r="I26" s="6" t="str">
        <x:v>Keep the existing relevant rack, pump and EPS content. Add an inspection CTA in the hero and a cost/repair-choice CTA after the diagnostic explanation.</x:v>
      </x:c>
      <x:c r="J26" s="6" t="str">
        <x:v>None — proposed plan only</x:v>
      </x:c>
    </x:row>
    <x:row r="27" ht="42" customHeight="1">
      <x:c r="A27" s="6" t="str">
        <x:v>rox01 soft close door</x:v>
      </x:c>
      <x:c r="B27" s="6" t="n">
        <x:v>43</x:v>
      </x:c>
      <x:c r="C27" s="6" t="n">
        <x:v>0</x:v>
      </x:c>
      <x:c r="D27" s="15" t="n">
        <x:v>0</x:v>
      </x:c>
      <x:c r="E27" s="16" t="n">
        <x:v>7.58</x:v>
      </x:c>
      <x:c r="F27" s="6" t="str">
        <x:v>CRITICAL</x:v>
      </x:c>
      <x:c r="G27" s="6" t="str">
        <x:v>https://digitecme.com/brands/rox-service-dubai/soft-close-door-installation</x:v>
      </x:c>
      <x:c r="H27" s="6" t="str">
        <x:v>Page-one low-click triage flag; location/device mix, SERP features and actual ranking URL require investigation.</x:v>
      </x:c>
      <x:c r="I27" s="6" t="str">
        <x:v>Verify the SERP and actual query owner; retain current relevance until a specific mismatch is found.</x:v>
      </x:c>
      <x:c r="J27" s="6" t="str">
        <x:v>None — proposed plan only</x:v>
      </x:c>
    </x:row>
    <x:row r="28" ht="57" customHeight="1">
      <x:c r="A28" s="6" t="str">
        <x:v>car muffler repair</x:v>
      </x:c>
      <x:c r="B28" s="6" t="n">
        <x:v>43</x:v>
      </x:c>
      <x:c r="C28" s="6" t="n">
        <x:v>0</x:v>
      </x:c>
      <x:c r="D28" s="15" t="n">
        <x:v>0</x:v>
      </x:c>
      <x:c r="E28" s="16" t="n">
        <x:v>9.33</x:v>
      </x:c>
      <x:c r="F28" s="6" t="str">
        <x:v>CRITICAL</x:v>
      </x:c>
      <x:c r="G28" s="6" t="str">
        <x:v>https://digitecme.com/services/exhaust-repair-dubai</x:v>
      </x:c>
      <x:c r="H28" s="6" t="str">
        <x:v>Page-one low-click triage flag; location/device mix, SERP features and actual ranking URL require investigation.</x:v>
      </x:c>
      <x:c r="I28" s="6" t="str">
        <x:v>Keep the relevant symptoms and cost FAQs. Replace ambiguous Cat wording in the title. Lead with repair; send performance-modification requests to the tuning page. Add an enquiry CTA near the opening.</x:v>
      </x:c>
      <x:c r="J28" s="6" t="str">
        <x:v>None — proposed plan only</x:v>
      </x:c>
    </x:row>
    <x:row r="29" ht="57" customHeight="1">
      <x:c r="A29" s="6" t="str">
        <x:v>porsche diagnostics dip2</x:v>
      </x:c>
      <x:c r="B29" s="6" t="n">
        <x:v>43</x:v>
      </x:c>
      <x:c r="C29" s="6" t="n">
        <x:v>0</x:v>
      </x:c>
      <x:c r="D29" s="15" t="n">
        <x:v>0</x:v>
      </x:c>
      <x:c r="E29" s="16" t="n">
        <x:v>9.81</x:v>
      </x:c>
      <x:c r="F29" s="6" t="str">
        <x:v>CRITICAL</x:v>
      </x:c>
      <x:c r="G29" s="6" t="str">
        <x:v>https://digitecme.com/brands/porsche-service-dubai/engine-diagnostics</x:v>
      </x:c>
      <x:c r="H29" s="6" t="str">
        <x:v>Page-one low-click triage flag; location/device mix, SERP features and actual ranking URL require investigation.</x:v>
      </x:c>
      <x:c r="I29" s="6" t="str">
        <x:v>Keep the fitted-system and access qualifications. Explain warning-light, drivability and relevant module checks without implying a DIP2 branch. Route physical electrical repairs to the electrical page.</x:v>
      </x:c>
      <x:c r="J29" s="6" t="str">
        <x:v>None — proposed plan only</x:v>
      </x:c>
    </x:row>
    <x:row r="30" ht="57" customHeight="1">
      <x:c r="A30" s="6" t="str">
        <x:v>car silencer repair near me</x:v>
      </x:c>
      <x:c r="B30" s="6" t="n">
        <x:v>41</x:v>
      </x:c>
      <x:c r="C30" s="6" t="n">
        <x:v>0</x:v>
      </x:c>
      <x:c r="D30" s="15" t="n">
        <x:v>0</x:v>
      </x:c>
      <x:c r="E30" s="16" t="n">
        <x:v>7.39</x:v>
      </x:c>
      <x:c r="F30" s="6" t="str">
        <x:v>CRITICAL</x:v>
      </x:c>
      <x:c r="G30" s="6" t="str">
        <x:v>https://digitecme.com/services/exhaust-repair-dubai</x:v>
      </x:c>
      <x:c r="H30" s="6" t="str">
        <x:v>Page-one low-click triage flag; location/device mix, SERP features and actual ranking URL require investigation.</x:v>
      </x:c>
      <x:c r="I30" s="6" t="str">
        <x:v>Keep the relevant symptoms and cost FAQs. Replace ambiguous Cat wording in the title. Lead with repair; send performance-modification requests to the tuning page. Add an enquiry CTA near the opening.</x:v>
      </x:c>
      <x:c r="J30" s="6" t="str">
        <x:v>None — proposed plan only</x:v>
      </x:c>
    </x:row>
    <x:row r="31" ht="42" customHeight="1">
      <x:c r="A31" s="6" t="str">
        <x:v>digi</x:v>
      </x:c>
      <x:c r="B31" s="6" t="n">
        <x:v>39</x:v>
      </x:c>
      <x:c r="C31" s="6" t="n">
        <x:v>0</x:v>
      </x:c>
      <x:c r="D31" s="15" t="n">
        <x:v>0</x:v>
      </x:c>
      <x:c r="E31" s="16" t="n">
        <x:v>6.03</x:v>
      </x:c>
      <x:c r="F31" s="6" t="str">
        <x:v>IGNORE</x:v>
      </x:c>
      <x:c r="G31" s="6" t="str"/>
      <x:c r="H31" s="6" t="str">
        <x:v>Weak or mismatched intent; do not optimize CTR solely because of page-one visibility.</x:v>
      </x:c>
      <x:c r="I31" s="6" t="str">
        <x:v>Verify the SERP and actual query owner; retain current relevance until a specific mismatch is found.</x:v>
      </x:c>
      <x:c r="J31" s="6" t="str">
        <x:v>None — proposed plan only</x:v>
      </x:c>
    </x:row>
    <x:row r="32" ht="42" customHeight="1">
      <x:c r="A32" s="6" t="str">
        <x:v>mercedes benz garage dubai</x:v>
      </x:c>
      <x:c r="B32" s="6" t="n">
        <x:v>39</x:v>
      </x:c>
      <x:c r="C32" s="6" t="n">
        <x:v>0</x:v>
      </x:c>
      <x:c r="D32" s="15" t="n">
        <x:v>0</x:v>
      </x:c>
      <x:c r="E32" s="16" t="n">
        <x:v>9.74</x:v>
      </x:c>
      <x:c r="F32" s="6" t="str">
        <x:v>CRITICAL</x:v>
      </x:c>
      <x:c r="G32" s="6" t="str">
        <x:v>https://digitecme.com/brands/mercedes-benz-service-dubai</x:v>
      </x:c>
      <x:c r="H32" s="6" t="str">
        <x:v>Page-one low-click triage flag; location/device mix, SERP features and actual ranking URL require investigation.</x:v>
      </x:c>
      <x:c r="I32" s="6" t="str">
        <x:v>Retain the live broad hub. Preserve its service scope and link each specific repair to its own owner. Verify XENTRY/tool-access wording against business evidence.</x:v>
      </x:c>
      <x:c r="J32" s="6" t="str">
        <x:v>None — proposed plan only</x:v>
      </x:c>
    </x:row>
    <x:row r="33" ht="42" customHeight="1">
      <x:c r="A33" s="6" t="str">
        <x:v>digi tech</x:v>
      </x:c>
      <x:c r="B33" s="6" t="n">
        <x:v>38</x:v>
      </x:c>
      <x:c r="C33" s="6" t="n">
        <x:v>0</x:v>
      </x:c>
      <x:c r="D33" s="15" t="n">
        <x:v>0</x:v>
      </x:c>
      <x:c r="E33" s="16" t="n">
        <x:v>5.08</x:v>
      </x:c>
      <x:c r="F33" s="6" t="str">
        <x:v>DEPRIORITIZE</x:v>
      </x:c>
      <x:c r="G33" s="6" t="str">
        <x:v>https://digitecme.com/</x:v>
      </x:c>
      <x:c r="H33" s="6" t="str">
        <x:v>Weak or mismatched intent; do not optimize CTR solely because of page-one visibility.</x:v>
      </x:c>
      <x:c r="I33" s="6" t="str">
        <x:v>Verify the SERP and actual query owner; retain current relevance until a specific mismatch is found.</x:v>
      </x:c>
      <x:c r="J33" s="6" t="str">
        <x:v>None — proposed plan only</x:v>
      </x:c>
    </x:row>
    <x:row r="34" ht="57" customHeight="1">
      <x:c r="A34" s="6" t="str">
        <x:v>mercedes battery replacement near me</x:v>
      </x:c>
      <x:c r="B34" s="6" t="n">
        <x:v>36</x:v>
      </x:c>
      <x:c r="C34" s="6" t="n">
        <x:v>0</x:v>
      </x:c>
      <x:c r="D34" s="15" t="n">
        <x:v>0</x:v>
      </x:c>
      <x:c r="E34" s="16" t="n">
        <x:v>9.08</x:v>
      </x:c>
      <x:c r="F34" s="6" t="str">
        <x:v>CRITICAL</x:v>
      </x:c>
      <x:c r="G34" s="6" t="str">
        <x:v>https://digitecme.com/services/mercedes-battery-replacement-dubai</x:v>
      </x:c>
      <x:c r="H34" s="6" t="str">
        <x:v>Page-one low-click triage flag; location/device mix, SERP features and actual ranking URL require investigation. Live Mercedes copy is newer than the local baseline; retain it pending fresh evidence.</x:v>
      </x:c>
      <x:c r="I34" s="6" t="str">
        <x:v>Verify the SERP and actual query owner; retain current relevance until a specific mismatch is found.</x:v>
      </x:c>
      <x:c r="J34" s="6" t="str">
        <x:v>None — proposed plan only</x:v>
      </x:c>
    </x:row>
    <x:row r="35" ht="57" customHeight="1">
      <x:c r="A35" s="6" t="str">
        <x:v>muffler repair dubai</x:v>
      </x:c>
      <x:c r="B35" s="6" t="n">
        <x:v>31</x:v>
      </x:c>
      <x:c r="C35" s="6" t="n">
        <x:v>0</x:v>
      </x:c>
      <x:c r="D35" s="15" t="n">
        <x:v>0</x:v>
      </x:c>
      <x:c r="E35" s="16" t="n">
        <x:v>7.55</x:v>
      </x:c>
      <x:c r="F35" s="6" t="str">
        <x:v>CRITICAL</x:v>
      </x:c>
      <x:c r="G35" s="6" t="str">
        <x:v>https://digitecme.com/services/exhaust-repair-dubai</x:v>
      </x:c>
      <x:c r="H35" s="6" t="str">
        <x:v>Page-one low-click triage flag; location/device mix, SERP features and actual ranking URL require investigation.</x:v>
      </x:c>
      <x:c r="I35" s="6" t="str">
        <x:v>Keep the relevant symptoms and cost FAQs. Replace ambiguous Cat wording in the title. Lead with repair; send performance-modification requests to the tuning page. Add an enquiry CTA near the opening.</x:v>
      </x:c>
      <x:c r="J35" s="6" t="str">
        <x:v>None — proposed plan only</x:v>
      </x:c>
    </x:row>
    <x:row r="36" ht="57" customHeight="1">
      <x:c r="A36" s="6" t="str">
        <x:v>bmw transmission repair in dubai</x:v>
      </x:c>
      <x:c r="B36" s="6" t="n">
        <x:v>31</x:v>
      </x:c>
      <x:c r="C36" s="6" t="n">
        <x:v>0</x:v>
      </x:c>
      <x:c r="D36" s="15" t="n">
        <x:v>0</x:v>
      </x:c>
      <x:c r="E36" s="16" t="n">
        <x:v>8.42</x:v>
      </x:c>
      <x:c r="F36" s="6" t="str">
        <x:v>CRITICAL</x:v>
      </x:c>
      <x:c r="G36" s="6" t="str">
        <x:v>https://digitecme.com/brands/bmw-service-dubai/transmission-repair</x:v>
      </x:c>
      <x:c r="H36" s="6" t="str">
        <x:v>Page-one low-click triage flag; location/device mix, SERP features and actual ranking URL require investigation.</x:v>
      </x:c>
      <x:c r="I36" s="6" t="str">
        <x:v>Lead with delayed engagement, rough shifts, slipping and gearbox warnings. Then distinguish fluid/filter maintenance from diagnosis, control-system repair and internal repair. Replace the malformed models heading. Retain transmission-specific qualifications.</x:v>
      </x:c>
      <x:c r="J36" s="6" t="str">
        <x:v>None — proposed plan only</x:v>
      </x:c>
    </x:row>
    <x:row r="37" ht="42" customHeight="1">
      <x:c r="A37" s="6" t="str">
        <x:v>audi body shop dubai</x:v>
      </x:c>
      <x:c r="B37" s="6" t="n">
        <x:v>31</x:v>
      </x:c>
      <x:c r="C37" s="6" t="n">
        <x:v>0</x:v>
      </x:c>
      <x:c r="D37" s="15" t="n">
        <x:v>0</x:v>
      </x:c>
      <x:c r="E37" s="16" t="n">
        <x:v>10</x:v>
      </x:c>
      <x:c r="F37" s="6" t="str">
        <x:v>CRITICAL</x:v>
      </x:c>
      <x:c r="G37" s="6" t="str">
        <x:v>https://digitecme.com/brands/audi-service-dubai/body-repair</x:v>
      </x:c>
      <x:c r="H37" s="6" t="str">
        <x:v>Page-one low-click triage flag; location/device mix, SERP features and actual ranking URL require investigation.</x:v>
      </x:c>
      <x:c r="I37" s="6" t="str">
        <x:v>Verify the SERP and actual query owner; retain current relevance until a specific mismatch is found.</x:v>
      </x:c>
      <x:c r="J37" s="6" t="str">
        <x:v>None — proposed plan only</x:v>
      </x:c>
    </x:row>
    <x:row r="38" ht="42" customHeight="1">
      <x:c r="A38" s="6" t="str">
        <x:v>mercedes-benz repair dubai</x:v>
      </x:c>
      <x:c r="B38" s="6" t="n">
        <x:v>30</x:v>
      </x:c>
      <x:c r="C38" s="6" t="n">
        <x:v>0</x:v>
      </x:c>
      <x:c r="D38" s="15" t="n">
        <x:v>0</x:v>
      </x:c>
      <x:c r="E38" s="16" t="n">
        <x:v>4.33</x:v>
      </x:c>
      <x:c r="F38" s="6" t="str">
        <x:v>CRITICAL</x:v>
      </x:c>
      <x:c r="G38" s="6" t="str">
        <x:v>https://digitecme.com/brands/mercedes-benz-service-dubai</x:v>
      </x:c>
      <x:c r="H38" s="6" t="str">
        <x:v>Page-one low-click triage flag; location/device mix, SERP features and actual ranking URL require investigation.</x:v>
      </x:c>
      <x:c r="I38" s="6" t="str">
        <x:v>Retain the live broad hub. Preserve its service scope and link each specific repair to its own owner. Verify XENTRY/tool-access wording against business evidence.</x:v>
      </x:c>
      <x:c r="J38" s="6" t="str">
        <x:v>None — proposed plan only</x:v>
      </x:c>
    </x:row>
    <x:row r="39" ht="57" customHeight="1">
      <x:c r="A39" s="6" t="str">
        <x:v>car exhaust repair near me</x:v>
      </x:c>
      <x:c r="B39" s="6" t="n">
        <x:v>30</x:v>
      </x:c>
      <x:c r="C39" s="6" t="n">
        <x:v>0</x:v>
      </x:c>
      <x:c r="D39" s="15" t="n">
        <x:v>0</x:v>
      </x:c>
      <x:c r="E39" s="16" t="n">
        <x:v>8.2</x:v>
      </x:c>
      <x:c r="F39" s="6" t="str">
        <x:v>CRITICAL</x:v>
      </x:c>
      <x:c r="G39" s="6" t="str">
        <x:v>https://digitecme.com/services/exhaust-repair-dubai</x:v>
      </x:c>
      <x:c r="H39" s="6" t="str">
        <x:v>Page-one low-click triage flag; location/device mix, SERP features and actual ranking URL require investigation.</x:v>
      </x:c>
      <x:c r="I39" s="6" t="str">
        <x:v>Keep the relevant symptoms and cost FAQs. Replace ambiguous Cat wording in the title. Lead with repair; send performance-modification requests to the tuning page. Add an enquiry CTA near the opening.</x:v>
      </x:c>
      <x:c r="J39" s="6" t="str">
        <x:v>None — proposed plan only</x:v>
      </x:c>
    </x:row>
    <x:row r="40" ht="57" customHeight="1">
      <x:c r="A40" s="6" t="str">
        <x:v>mercedes brake repair dubai</x:v>
      </x:c>
      <x:c r="B40" s="6" t="n">
        <x:v>28</x:v>
      </x:c>
      <x:c r="C40" s="6" t="n">
        <x:v>0</x:v>
      </x:c>
      <x:c r="D40" s="15" t="n">
        <x:v>0</x:v>
      </x:c>
      <x:c r="E40" s="16" t="n">
        <x:v>9.64</x:v>
      </x:c>
      <x:c r="F40" s="6" t="str">
        <x:v>CRITICAL</x:v>
      </x:c>
      <x:c r="G40" s="6" t="str">
        <x:v>https://digitecme.com/services/mercedes-brake-repair-dubai</x:v>
      </x:c>
      <x:c r="H40" s="6" t="str">
        <x:v>Page-one low-click triage flag; location/device mix, SERP features and actual ranking URL require investigation. Live Mercedes copy is newer than the local baseline; retain it pending fresh evidence.</x:v>
      </x:c>
      <x:c r="I40" s="6" t="str">
        <x:v>Retain the newer live title, H1 and service copy. Reconcile the local source with the deployed release before considering another rewrite.</x:v>
      </x:c>
      <x:c r="J40" s="6" t="str">
        <x:v>None — proposed plan only</x:v>
      </x:c>
    </x:row>
    <x:row r="41" ht="42" customHeight="1">
      <x:c r="A41" s="6" t="str">
        <x:v>gad motors mercedes</x:v>
      </x:c>
      <x:c r="B41" s="6" t="n">
        <x:v>27</x:v>
      </x:c>
      <x:c r="C41" s="6" t="n">
        <x:v>0</x:v>
      </x:c>
      <x:c r="D41" s="15" t="n">
        <x:v>0</x:v>
      </x:c>
      <x:c r="E41" s="16" t="n">
        <x:v>8.11</x:v>
      </x:c>
      <x:c r="F41" s="6" t="str">
        <x:v>CRITICAL</x:v>
      </x:c>
      <x:c r="G41" s="6" t="str">
        <x:v>https://digitecme.com/tuning</x:v>
      </x:c>
      <x:c r="H41" s="6" t="str">
        <x:v>Page-one low-click triage flag; location/device mix, SERP features and actual ranking URL require investigation.</x:v>
      </x:c>
      <x:c r="I41" s="6" t="str">
        <x:v>Verify the SERP and actual query owner; retain current relevance until a specific mismatch is found.</x:v>
      </x:c>
      <x:c r="J41" s="6" t="str">
        <x:v>None — proposed plan only</x:v>
      </x:c>
    </x:row>
    <x:row r="42" ht="42" customHeight="1">
      <x:c r="A42" s="6" t="str">
        <x:v>aston martin workshop dubai</x:v>
      </x:c>
      <x:c r="B42" s="6" t="n">
        <x:v>27</x:v>
      </x:c>
      <x:c r="C42" s="6" t="n">
        <x:v>0</x:v>
      </x:c>
      <x:c r="D42" s="15" t="n">
        <x:v>0</x:v>
      </x:c>
      <x:c r="E42" s="16" t="n">
        <x:v>8.81</x:v>
      </x:c>
      <x:c r="F42" s="6" t="str">
        <x:v>CRITICAL</x:v>
      </x:c>
      <x:c r="G42" s="6" t="str">
        <x:v>https://digitecme.com/brands/aston-martin-service-dubai</x:v>
      </x:c>
      <x:c r="H42" s="6" t="str">
        <x:v>Page-one low-click triage flag; location/device mix, SERP features and actual ranking URL require investigation.</x:v>
      </x:c>
      <x:c r="I42" s="6" t="str">
        <x:v>Verify the SERP and actual query owner; retain current relevance until a specific mismatch is found.</x:v>
      </x:c>
      <x:c r="J42" s="6" t="str">
        <x:v>None — proposed plan only</x:v>
      </x:c>
    </x:row>
    <x:row r="43" ht="42" customHeight="1">
      <x:c r="A43" s="6" t="str">
        <x:v>porsche service</x:v>
      </x:c>
      <x:c r="B43" s="6" t="n">
        <x:v>27</x:v>
      </x:c>
      <x:c r="C43" s="6" t="n">
        <x:v>0</x:v>
      </x:c>
      <x:c r="D43" s="15" t="n">
        <x:v>0</x:v>
      </x:c>
      <x:c r="E43" s="16" t="n">
        <x:v>9.74</x:v>
      </x:c>
      <x:c r="F43" s="6" t="str">
        <x:v>CRITICAL</x:v>
      </x:c>
      <x:c r="G43" s="6" t="str">
        <x:v>https://digitecme.com/brands/porsche-service-dubai</x:v>
      </x:c>
      <x:c r="H43" s="6" t="str">
        <x:v>Page-one low-click triage flag; location/device mix, SERP features and actual ranking URL require investigation.</x:v>
      </x:c>
      <x:c r="I43" s="6" t="str">
        <x:v>Verify the SERP and actual query owner; retain current relevance until a specific mismatch is found.</x:v>
      </x:c>
      <x:c r="J43" s="6" t="str">
        <x:v>None — proposed plan only</x:v>
      </x:c>
    </x:row>
    <x:row r="44" ht="57" customHeight="1">
      <x:c r="A44" s="6" t="str">
        <x:v>mercedes diagnostic dubai</x:v>
      </x:c>
      <x:c r="B44" s="6" t="n">
        <x:v>26</x:v>
      </x:c>
      <x:c r="C44" s="6" t="n">
        <x:v>0</x:v>
      </x:c>
      <x:c r="D44" s="15" t="n">
        <x:v>0</x:v>
      </x:c>
      <x:c r="E44" s="16" t="n">
        <x:v>4.73</x:v>
      </x:c>
      <x:c r="F44" s="6" t="str">
        <x:v>CRITICAL</x:v>
      </x:c>
      <x:c r="G44" s="6" t="str">
        <x:v>https://digitecme.com/services/mercedes-diagnostics-dubai</x:v>
      </x:c>
      <x:c r="H44" s="6" t="str">
        <x:v>Page-one low-click triage flag; location/device mix, SERP features and actual ranking URL require investigation. Live Mercedes copy is newer than the local baseline; retain it pending fresh evidence.</x:v>
      </x:c>
      <x:c r="I44" s="6" t="str">
        <x:v>Retain the newer live title, H1 and service copy. Reconcile the local source with the deployed release before considering another rewrite.</x:v>
      </x:c>
      <x:c r="J44" s="6" t="str">
        <x:v>None — proposed plan only</x:v>
      </x:c>
    </x:row>
    <x:row r="45" ht="42" customHeight="1">
      <x:c r="A45" s="6" t="str">
        <x:v>tec</x:v>
      </x:c>
      <x:c r="B45" s="6" t="n">
        <x:v>25</x:v>
      </x:c>
      <x:c r="C45" s="6" t="n">
        <x:v>0</x:v>
      </x:c>
      <x:c r="D45" s="15" t="n">
        <x:v>0</x:v>
      </x:c>
      <x:c r="E45" s="16" t="n">
        <x:v>3.24</x:v>
      </x:c>
      <x:c r="F45" s="6" t="str">
        <x:v>IGNORE</x:v>
      </x:c>
      <x:c r="G45" s="6" t="str"/>
      <x:c r="H45" s="6" t="str">
        <x:v>Weak or mismatched intent; do not optimize CTR solely because of page-one visibility.</x:v>
      </x:c>
      <x:c r="I45" s="6" t="str">
        <x:v>Verify the SERP and actual query owner; retain current relevance until a specific mismatch is found.</x:v>
      </x:c>
      <x:c r="J45" s="6" t="str">
        <x:v>None — proposed plan only</x:v>
      </x:c>
    </x:row>
    <x:row r="46" ht="42" customHeight="1">
      <x:c r="A46" s="6" t="str">
        <x:v>porche suspension repair dubai</x:v>
      </x:c>
      <x:c r="B46" s="6" t="n">
        <x:v>25</x:v>
      </x:c>
      <x:c r="C46" s="6" t="n">
        <x:v>0</x:v>
      </x:c>
      <x:c r="D46" s="15" t="n">
        <x:v>0</x:v>
      </x:c>
      <x:c r="E46" s="16" t="n">
        <x:v>8.08</x:v>
      </x:c>
      <x:c r="F46" s="6" t="str">
        <x:v>CRITICAL</x:v>
      </x:c>
      <x:c r="G46" s="6" t="str">
        <x:v>https://digitecme.com/brands/porsche-service-dubai/suspension-repair</x:v>
      </x:c>
      <x:c r="H46" s="6" t="str">
        <x:v>Page-one low-click triage flag; location/device mix, SERP features and actual ranking URL require investigation.</x:v>
      </x:c>
      <x:c r="I46" s="6" t="str">
        <x:v>Verify the SERP and actual query owner; retain current relevance until a specific mismatch is found.</x:v>
      </x:c>
      <x:c r="J46" s="6" t="str">
        <x:v>None — proposed plan only</x:v>
      </x:c>
    </x:row>
    <x:row r="47" ht="42" customHeight="1">
      <x:c r="A47" s="6" t="str">
        <x:v>mercedes auto repair​ in dubai</x:v>
      </x:c>
      <x:c r="B47" s="6" t="n">
        <x:v>24</x:v>
      </x:c>
      <x:c r="C47" s="6" t="n">
        <x:v>0</x:v>
      </x:c>
      <x:c r="D47" s="15" t="n">
        <x:v>0</x:v>
      </x:c>
      <x:c r="E47" s="16" t="n">
        <x:v>4.71</x:v>
      </x:c>
      <x:c r="F47" s="6" t="str">
        <x:v>CRITICAL</x:v>
      </x:c>
      <x:c r="G47" s="6" t="str">
        <x:v>https://digitecme.com/brands/mercedes-benz-service-dubai</x:v>
      </x:c>
      <x:c r="H47" s="6" t="str">
        <x:v>Page-one low-click triage flag; location/device mix, SERP features and actual ranking URL require investigation.</x:v>
      </x:c>
      <x:c r="I47" s="6" t="str">
        <x:v>Retain the live broad hub. Preserve its service scope and link each specific repair to its own owner. Verify XENTRY/tool-access wording against business evidence.</x:v>
      </x:c>
      <x:c r="J47" s="6" t="str">
        <x:v>None — proposed plan only</x:v>
      </x:c>
    </x:row>
    <x:row r="48" ht="42" customHeight="1">
      <x:c r="A48" s="6" t="str">
        <x:v>car battery life in uae</x:v>
      </x:c>
      <x:c r="B48" s="6" t="n">
        <x:v>22</x:v>
      </x:c>
      <x:c r="C48" s="6" t="n">
        <x:v>0</x:v>
      </x:c>
      <x:c r="D48" s="15" t="n">
        <x:v>0</x:v>
      </x:c>
      <x:c r="E48" s="16" t="n">
        <x:v>8.23</x:v>
      </x:c>
      <x:c r="F48" s="6" t="str">
        <x:v>GROWTH</x:v>
      </x:c>
      <x:c r="G48" s="6" t="str">
        <x:v>https://digitecme.com/blog/car-battery-life-dubai-heat</x:v>
      </x:c>
      <x:c r="H48" s="6" t="str">
        <x:v>Page-one low-click triage flag; location/device mix, SERP features and actual ranking URL require investigation.</x:v>
      </x:c>
      <x:c r="I48" s="6" t="str">
        <x:v>Verify the SERP and actual query owner; retain current relevance until a specific mismatch is found.</x:v>
      </x:c>
      <x:c r="J48" s="6" t="str">
        <x:v>None — proposed plan only</x:v>
      </x:c>
    </x:row>
    <x:row r="49" ht="42" customHeight="1">
      <x:c r="A49" s="6" t="str">
        <x:v>steering rack repair</x:v>
      </x:c>
      <x:c r="B49" s="6" t="n">
        <x:v>21</x:v>
      </x:c>
      <x:c r="C49" s="6" t="n">
        <x:v>0</x:v>
      </x:c>
      <x:c r="D49" s="15" t="n">
        <x:v>0</x:v>
      </x:c>
      <x:c r="E49" s="16" t="n">
        <x:v>8.43</x:v>
      </x:c>
      <x:c r="F49" s="6" t="str">
        <x:v>CRITICAL</x:v>
      </x:c>
      <x:c r="G49" s="6" t="str">
        <x:v>https://digitecme.com/services/steering-repair-dubai</x:v>
      </x:c>
      <x:c r="H49" s="6" t="str">
        <x:v>Page-one low-click triage flag; location/device mix, SERP features and actual ranking URL require investigation.</x:v>
      </x:c>
      <x:c r="I49" s="6" t="str">
        <x:v>Keep the existing relevant rack, pump and EPS content. Add an inspection CTA in the hero and a cost/repair-choice CTA after the diagnostic explanation.</x:v>
      </x:c>
      <x:c r="J49" s="6" t="str">
        <x:v>None — proposed plan only</x:v>
      </x:c>
    </x:row>
    <x:row r="50" ht="42" customHeight="1">
      <x:c r="A50" s="6" t="str">
        <x:v>mercedes benz auto repair​ in dubai</x:v>
      </x:c>
      <x:c r="B50" s="6" t="n">
        <x:v>21</x:v>
      </x:c>
      <x:c r="C50" s="6" t="n">
        <x:v>0</x:v>
      </x:c>
      <x:c r="D50" s="15" t="n">
        <x:v>0</x:v>
      </x:c>
      <x:c r="E50" s="16" t="n">
        <x:v>9.57</x:v>
      </x:c>
      <x:c r="F50" s="6" t="str">
        <x:v>CRITICAL</x:v>
      </x:c>
      <x:c r="G50" s="6" t="str">
        <x:v>https://digitecme.com/brands/mercedes-benz-service-dubai</x:v>
      </x:c>
      <x:c r="H50" s="6" t="str">
        <x:v>Page-one low-click triage flag; location/device mix, SERP features and actual ranking URL require investigation.</x:v>
      </x:c>
      <x:c r="I50" s="6" t="str">
        <x:v>Retain the live broad hub. Preserve its service scope and link each specific repair to its own owner. Verify XENTRY/tool-access wording against business evidence.</x:v>
      </x:c>
      <x:c r="J50" s="6" t="str">
        <x:v>None — proposed plan only</x:v>
      </x:c>
    </x:row>
    <x:row r="51" ht="42" customHeight="1">
      <x:c r="A51" s="6" t="str">
        <x:v>bentley transmission repair</x:v>
      </x:c>
      <x:c r="B51" s="6" t="n">
        <x:v>21</x:v>
      </x:c>
      <x:c r="C51" s="6" t="n">
        <x:v>0</x:v>
      </x:c>
      <x:c r="D51" s="15" t="n">
        <x:v>0</x:v>
      </x:c>
      <x:c r="E51" s="16" t="n">
        <x:v>9.9</x:v>
      </x:c>
      <x:c r="F51" s="6" t="str">
        <x:v>CRITICAL</x:v>
      </x:c>
      <x:c r="G51" s="6" t="str">
        <x:v>https://digitecme.com/brands/bentley-service-dubai/transmission-repair</x:v>
      </x:c>
      <x:c r="H51" s="6" t="str">
        <x:v>Page-one low-click triage flag; location/device mix, SERP features and actual ranking URL require investigation.</x:v>
      </x:c>
      <x:c r="I51" s="6" t="str">
        <x:v>Verify the SERP and actual query owner; retain current relevance until a specific mismatch is found.</x:v>
      </x:c>
      <x:c r="J51" s="6" t="str">
        <x:v>None — proposed plan only</x:v>
      </x:c>
    </x:row>
    <x:row r="52" ht="57" customHeight="1">
      <x:c r="A52" s="6" t="str">
        <x:v>mercedes benz air conditioning repair</x:v>
      </x:c>
      <x:c r="B52" s="6" t="n">
        <x:v>20</x:v>
      </x:c>
      <x:c r="C52" s="6" t="n">
        <x:v>0</x:v>
      </x:c>
      <x:c r="D52" s="15" t="n">
        <x:v>0</x:v>
      </x:c>
      <x:c r="E52" s="16" t="n">
        <x:v>9.8</x:v>
      </x:c>
      <x:c r="F52" s="6" t="str">
        <x:v>CRITICAL</x:v>
      </x:c>
      <x:c r="G52" s="6" t="str">
        <x:v>https://digitecme.com/services/mercedes-ac-repair-dubai</x:v>
      </x:c>
      <x:c r="H52" s="6" t="str">
        <x:v>Page-one low-click triage flag; location/device mix, SERP features and actual ranking URL require investigation. Live Mercedes copy is newer than the local baseline; retain it pending fresh evidence.</x:v>
      </x:c>
      <x:c r="I52" s="6" t="str">
        <x:v>Verify the SERP and actual query owner; retain current relevance until a specific mismatch is found.</x:v>
      </x:c>
      <x:c r="J52" s="6" t="str">
        <x:v>None — proposed plan only</x:v>
      </x:c>
    </x:row>
  </x:sheetData>
  <x:pageMargins left="0.7" right="0.7" top="0.75" bottom="0.75" header="0.3" footer="0.3"/>
  <x:tableParts count="1">
    <x:tablePart xmlns:r="http://schemas.openxmlformats.org/officeDocument/2006/relationships" r:id="Re9de742c7ff84a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7" hidden="0" customWidth="1"/>
    <x:col min="5" max="5" width="24" hidden="0" customWidth="1"/>
    <x:col min="6" max="6" width="16" hidden="0" customWidth="1"/>
    <x:col min="7" max="7" width="105" hidden="0" customWidth="1"/>
  </x:cols>
  <x:sheetData>
    <x:row r="1" ht="30" customHeight="1">
      <x:c r="A1" s="2" t="str">
        <x:v>Impression quality</x:v>
      </x:c>
      <x:c r="B1" s="1"/>
      <x:c r="C1" s="1"/>
      <x:c r="D1" s="1"/>
      <x:c r="E1" s="1"/>
      <x:c r="F1" s="1"/>
      <x:c r="G1" s="1"/>
    </x:row>
    <x:row r="2">
      <x:c r="A2" s="3" t="str">
        <x:v>Applies only to the 50,945 impressions represented by the exported query rows.</x:v>
      </x:c>
      <x:c r="B2" s="1"/>
      <x:c r="C2" s="1"/>
      <x:c r="D2" s="1"/>
      <x:c r="E2" s="1"/>
      <x:c r="F2" s="1"/>
      <x:c r="G2" s="1"/>
    </x:row>
    <x:row r="3">
      <x:c r="A3" s="4"/>
      <x:c r="B3" s="4"/>
      <x:c r="C3" s="4"/>
      <x:c r="D3" s="4"/>
      <x:c r="E3" s="4"/>
      <x:c r="F3" s="4"/>
      <x:c r="G3" s="4"/>
    </x:row>
    <x:row r="4">
      <x:c r="A4" s="1"/>
      <x:c r="B4" s="1"/>
      <x:c r="C4" s="1"/>
      <x:c r="D4" s="1"/>
      <x:c r="E4" s="1"/>
      <x:c r="F4" s="1"/>
      <x:c r="G4" s="1"/>
    </x:row>
    <x:row r="5" ht="42" customHeight="1">
      <x:c r="A5" s="10" t="str">
        <x:v>Quality group</x:v>
      </x:c>
      <x:c r="B5" s="11" t="str">
        <x:v>Queries</x:v>
      </x:c>
      <x:c r="C5" s="11" t="str">
        <x:v>Clicks</x:v>
      </x:c>
      <x:c r="D5" s="11" t="str">
        <x:v>Impressions</x:v>
      </x:c>
      <x:c r="E5" s="11" t="str">
        <x:v>Share of query impressions</x:v>
      </x:c>
      <x:c r="F5" s="11" t="str">
        <x:v>CTR</x:v>
      </x:c>
      <x:c r="G5" s="12" t="str">
        <x:v>Interpretation</x:v>
      </x:c>
    </x:row>
    <x:row r="6" ht="42" customHeight="1">
      <x:c r="A6" s="6" t="str">
        <x:v>High-value commercial</x:v>
      </x:c>
      <x:c r="B6" s="14" t="n">
        <x:f>COUNTIF('Queries'!$W$6:$W$1005,A6)</x:f>
        <x:v>274</x:v>
      </x:c>
      <x:c r="C6" s="14" t="n">
        <x:f>SUMIF('Queries'!$W$6:$W$1005,A6,'Queries'!$B$6:$B$1005)</x:f>
        <x:v>20</x:v>
      </x:c>
      <x:c r="D6" s="14" t="n">
        <x:f>SUMIF('Queries'!$W$6:$W$1005,A6,'Queries'!$C$6:$C$1005)</x:f>
        <x:v>15578</x:v>
      </x:c>
      <x:c r="E6" s="15" t="n">
        <x:f>D6/SUM('Queries'!$C$6:$C$1005)</x:f>
        <x:v>0.30578074393954263</x:v>
      </x:c>
      <x:c r="F6" s="15" t="n">
        <x:f>C6/D6</x:f>
        <x:v>0.0012838618564642444</x:v>
      </x:c>
      <x:c r="G6" s="6" t="str">
        <x:v>Primary buying queries and specific workshop service demand. Value is assumed, not demonstrated by revenue.</x:v>
      </x:c>
    </x:row>
    <x:row r="7" ht="32" customHeight="1">
      <x:c r="A7" s="6" t="str">
        <x:v>Relevant supporting</x:v>
      </x:c>
      <x:c r="B7" s="14" t="n">
        <x:f>COUNTIF('Queries'!$W$6:$W$1005,A7)</x:f>
        <x:v>650</x:v>
      </x:c>
      <x:c r="C7" s="14" t="n">
        <x:f>SUMIF('Queries'!$W$6:$W$1005,A7,'Queries'!$B$6:$B$1005)</x:f>
        <x:v>81</x:v>
      </x:c>
      <x:c r="D7" s="14" t="n">
        <x:f>SUMIF('Queries'!$W$6:$W$1005,A7,'Queries'!$C$6:$C$1005)</x:f>
        <x:v>31658</x:v>
      </x:c>
      <x:c r="E7" s="15" t="n">
        <x:f>D7/SUM('Queries'!$C$6:$C$1005)</x:f>
        <x:v>0.6214152517420748</x:v>
      </x:c>
      <x:c r="F7" s="15" t="n">
        <x:f>C7/D7</x:f>
        <x:v>0.0025585949838903277</x:v>
      </x:c>
      <x:c r="G7" s="6" t="str">
        <x:v>Closely related variations, brand navigation and supporting local-service wording.</x:v>
      </x:c>
    </x:row>
    <x:row r="8" ht="32" customHeight="1">
      <x:c r="A8" s="6" t="str">
        <x:v>Informational</x:v>
      </x:c>
      <x:c r="B8" s="14" t="n">
        <x:f>COUNTIF('Queries'!$W$6:$W$1005,A8)</x:f>
        <x:v>2</x:v>
      </x:c>
      <x:c r="C8" s="14" t="n">
        <x:f>SUMIF('Queries'!$W$6:$W$1005,A8,'Queries'!$B$6:$B$1005)</x:f>
        <x:v>0</x:v>
      </x:c>
      <x:c r="D8" s="14" t="n">
        <x:f>SUMIF('Queries'!$W$6:$W$1005,A8,'Queries'!$C$6:$C$1005)</x:f>
        <x:v>37</x:v>
      </x:c>
      <x:c r="E8" s="15" t="n">
        <x:f>D8/SUM('Queries'!$C$6:$C$1005)</x:f>
        <x:v>0.0007262734321326921</x:v>
      </x:c>
      <x:c r="F8" s="15" t="n">
        <x:f>C8/D8</x:f>
        <x:v>0</x:v>
      </x:c>
      <x:c r="G8" s="6" t="str">
        <x:v>Research intent that may support later enquiries.</x:v>
      </x:c>
    </x:row>
    <x:row r="9" ht="32" customHeight="1">
      <x:c r="A9" s="6" t="str">
        <x:v>Low-value</x:v>
      </x:c>
      <x:c r="B9" s="14" t="n">
        <x:f>COUNTIF('Queries'!$W$6:$W$1005,A9)</x:f>
        <x:v>55</x:v>
      </x:c>
      <x:c r="C9" s="14" t="n">
        <x:f>SUMIF('Queries'!$W$6:$W$1005,A9,'Queries'!$B$6:$B$1005)</x:f>
        <x:v>2</x:v>
      </x:c>
      <x:c r="D9" s="14" t="n">
        <x:f>SUMIF('Queries'!$W$6:$W$1005,A9,'Queries'!$C$6:$C$1005)</x:f>
        <x:v>3309</x:v>
      </x:c>
      <x:c r="E9" s="15" t="n">
        <x:f>D9/SUM('Queries'!$C$6:$C$1005)</x:f>
        <x:v>0.06495239964667779</x:v>
      </x:c>
      <x:c r="F9" s="15" t="n">
        <x:f>C9/D9</x:f>
        <x:v>0.0006044122091266244</x:v>
      </x:c>
      <x:c r="G9" s="6" t="str">
        <x:v>Foreign-city, uncertain capability, price-led or product-like demand.</x:v>
      </x:c>
    </x:row>
    <x:row r="10" ht="32" customHeight="1">
      <x:c r="A10" s="6" t="str">
        <x:v>Irrelevant</x:v>
      </x:c>
      <x:c r="B10" s="14" t="n">
        <x:f>COUNTIF('Queries'!$W$6:$W$1005,A10)</x:f>
        <x:v>19</x:v>
      </x:c>
      <x:c r="C10" s="14" t="n">
        <x:f>SUMIF('Queries'!$W$6:$W$1005,A10,'Queries'!$B$6:$B$1005)</x:f>
        <x:v>3</x:v>
      </x:c>
      <x:c r="D10" s="14" t="n">
        <x:f>SUMIF('Queries'!$W$6:$W$1005,A10,'Queries'!$C$6:$C$1005)</x:f>
        <x:v>363</x:v>
      </x:c>
      <x:c r="E10" s="15" t="n">
        <x:f>D10/SUM('Queries'!$C$6:$C$1005)</x:f>
        <x:v>0.007125331239572087</x:v>
      </x:c>
      <x:c r="F10" s="15" t="n">
        <x:f>C10/D10</x:f>
        <x:v>0.008264462809917356</x:v>
      </x:c>
      <x:c r="G10" s="6" t="str">
        <x:v>Dealer/showroom, industrial, unrelated entity and unusable queries.</x:v>
      </x:c>
    </x:row>
  </x:sheetData>
  <x:pageMargins left="0.7" right="0.7" top="0.75" bottom="0.75" header="0.3" footer="0.3"/>
  <x:tableParts count="1">
    <x:tablePart xmlns:r="http://schemas.openxmlformats.org/officeDocument/2006/relationships" r:id="R40b515c1149345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75" hidden="0" customWidth="1"/>
    <x:col min="3" max="3" width="75" hidden="0" customWidth="1"/>
    <x:col min="4" max="4" width="75" hidden="0" customWidth="1"/>
    <x:col min="5" max="5" width="105" hidden="0" customWidth="1"/>
    <x:col min="6" max="6" width="55" hidden="0" customWidth="1"/>
    <x:col min="7" max="7" width="110" hidden="0" customWidth="1"/>
  </x:cols>
  <x:sheetData>
    <x:row r="1" ht="30" customHeight="1">
      <x:c r="A1" s="2" t="str">
        <x:v>Ownership and routing conflicts</x:v>
      </x:c>
      <x:c r="B1" s="1"/>
      <x:c r="C1" s="1"/>
      <x:c r="D1" s="1"/>
      <x:c r="E1" s="1"/>
      <x:c r="F1" s="1"/>
      <x:c r="G1" s="1"/>
    </x:row>
    <x:row r="2">
      <x:c r="A2" s="3" t="str">
        <x:v>Observed routing defects are separate from hypotheses about competing search intent.</x:v>
      </x:c>
      <x:c r="B2" s="1"/>
      <x:c r="C2" s="1"/>
      <x:c r="D2" s="1"/>
      <x:c r="E2" s="1"/>
      <x:c r="F2" s="1"/>
      <x:c r="G2" s="1"/>
    </x:row>
    <x:row r="3">
      <x:c r="A3" s="4"/>
      <x:c r="B3" s="4"/>
      <x:c r="C3" s="4"/>
      <x:c r="D3" s="4"/>
      <x:c r="E3" s="4"/>
      <x:c r="F3" s="4"/>
      <x:c r="G3" s="4"/>
    </x:row>
    <x:row r="4">
      <x:c r="A4" s="1"/>
      <x:c r="B4" s="1"/>
      <x:c r="C4" s="1"/>
      <x:c r="D4" s="1"/>
      <x:c r="E4" s="1"/>
      <x:c r="F4" s="1"/>
      <x:c r="G4" s="1"/>
    </x:row>
    <x:row r="5" ht="42" customHeight="1">
      <x:c r="A5" s="10" t="str">
        <x:v>Query cluster</x:v>
      </x:c>
      <x:c r="B5" s="11" t="str">
        <x:v>Page A</x:v>
      </x:c>
      <x:c r="C5" s="11" t="str">
        <x:v>Page B</x:v>
      </x:c>
      <x:c r="D5" s="11" t="str">
        <x:v>Desired owner</x:v>
      </x:c>
      <x:c r="E5" s="11" t="str">
        <x:v>Evidence</x:v>
      </x:c>
      <x:c r="F5" s="11" t="str">
        <x:v>Finding type</x:v>
      </x:c>
      <x:c r="G5" s="12" t="str">
        <x:v>Proposed action</x:v>
      </x:c>
    </x:row>
    <x:row r="6" ht="42" customHeight="1">
      <x:c r="A6" s="6" t="str">
        <x:v>Mercedes broad repair / service</x:v>
      </x:c>
      <x:c r="B6" s="6" t="str">
        <x:v>https://digitecme.com/services/mercedes-repair-dubai</x:v>
      </x:c>
      <x:c r="C6" s="6" t="str">
        <x:v>https://digitecme.com/brands/mercedes-benz-service-dubai</x:v>
      </x:c>
      <x:c r="D6" s="6" t="str">
        <x:v>https://digitecme.com/brands/mercedes-benz-service-dubai</x:v>
      </x:c>
      <x:c r="E6" s="6" t="str">
        <x:v>GSC lists 5,508 impressions and 7 clicks for the old repair URL, and 4,991 impressions / 27 clicks for the hub. Live old URL returns 200 and homepage metadata.</x:v>
      </x:c>
      <x:c r="F6" s="6" t="str">
        <x:v>Observed routing defect; query-level competition unconfirmed</x:v>
      </x:c>
      <x:c r="G6" s="6" t="str">
        <x:v>Prepare an HTTP redirect to the hub, preserve parameters, and confirm with GET/HEAD and URL Inspection. No redirect executed.</x:v>
      </x:c>
    </x:row>
    <x:row r="7" ht="32" customHeight="1">
      <x:c r="A7" s="6" t="str">
        <x:v>Mercedes broad service</x:v>
      </x:c>
      <x:c r="B7" s="6" t="str">
        <x:v>https://digitecme.com/services/mercedes-service-dubai</x:v>
      </x:c>
      <x:c r="C7" s="6" t="str">
        <x:v>https://digitecme.com/brands/mercedes-benz-service-dubai</x:v>
      </x:c>
      <x:c r="D7" s="6" t="str">
        <x:v>https://digitecme.com/brands/mercedes-benz-service-dubai</x:v>
      </x:c>
      <x:c r="E7" s="6" t="str">
        <x:v>Live old service URL returns 200 without changing URL, with homepage title/canonical.</x:v>
      </x:c>
      <x:c r="F7" s="6" t="str">
        <x:v>Observed routing defect</x:v>
      </x:c>
      <x:c r="G7" s="6" t="str">
        <x:v>Confirm the intended alias and serve one permanent redirect to the hub. No change made.</x:v>
      </x:c>
    </x:row>
    <x:row r="8" ht="42" customHeight="1">
      <x:c r="A8" s="6" t="str">
        <x:v>Generic garage / nearby garage</x:v>
      </x:c>
      <x:c r="B8" s="6" t="str">
        <x:v>https://digitecme.com/services/car-garage-dubai</x:v>
      </x:c>
      <x:c r="C8" s="6" t="str">
        <x:v>https://digitecme.com/services/garage-near-me-dubai</x:v>
      </x:c>
      <x:c r="D8" s="6" t="str">
        <x:v>https://digitecme.com/services/car-garage-dubai</x:v>
      </x:c>
      <x:c r="E8" s="6" t="str">
        <x:v>Both live pages target finding an Al Quoz garage with overlapping service lists. Query-to-page competition is not in the export.</x:v>
      </x:c>
      <x:c r="F8" s="6" t="str">
        <x:v>Content-overlap hypothesis</x:v>
      </x:c>
      <x:c r="G8" s="6" t="str">
        <x:v>Keep broad workshop intent on car-garage; make nearby access/location content distinct. Consider consolidation only after joint query/page data.</x:v>
      </x:c>
    </x:row>
    <x:row r="9" ht="42" customHeight="1">
      <x:c r="A9" s="6" t="str">
        <x:v>Paint protection comparison versus PPF</x:v>
      </x:c>
      <x:c r="B9" s="6" t="str">
        <x:v>https://digitecme.com/services/paint-protection-dubai</x:v>
      </x:c>
      <x:c r="C9" s="6" t="str">
        <x:v>https://digitecme.com/services/paint-protection-film</x:v>
      </x:c>
      <x:c r="D9" s="6" t="str">
        <x:v>https://digitecme.com/services/paint-protection-film</x:v>
      </x:c>
      <x:c r="E9" s="6" t="str">
        <x:v>The broad hub compares paint care options; the PPF page owns film. Related mentions alone are not cannibalization.</x:v>
      </x:c>
      <x:c r="F9" s="6" t="str">
        <x:v>Differentiated intents; retain</x:v>
      </x:c>
      <x:c r="G9" s="6" t="str">
        <x:v>Retain comparison hub ownership of mixed protection queries and film ownership on PPF. No redirect or canonical merger.</x:v>
      </x:c>
    </x:row>
    <x:row r="10" ht="32" customHeight="1">
      <x:c r="A10" s="6" t="str">
        <x:v>Ceramic versus PPF</x:v>
      </x:c>
      <x:c r="B10" s="6" t="str">
        <x:v>https://digitecme.com/services/ceramic-coating</x:v>
      </x:c>
      <x:c r="C10" s="6" t="str">
        <x:v>https://digitecme.com/services/paint-protection-film</x:v>
      </x:c>
      <x:c r="D10" s="6" t="str">
        <x:v>https://digitecme.com/services/ceramic-coating</x:v>
      </x:c>
      <x:c r="E10" s="6" t="str">
        <x:v>Dedicated live pages already distinguish coating from physical film.</x:v>
      </x:c>
      <x:c r="F10" s="6" t="str">
        <x:v>Differentiated intents; retain</x:v>
      </x:c>
      <x:c r="G10" s="6" t="str">
        <x:v>Ceramic variants stay on coating; film variants stay on PPF. Keep useful comparison links.</x:v>
      </x:c>
    </x:row>
    <x:row r="11" ht="42" customHeight="1">
      <x:c r="A11" s="6" t="str">
        <x:v>ROX soft close</x:v>
      </x:c>
      <x:c r="B11" s="6" t="str">
        <x:v>https://digitecme.com/brands/rox-service-dubai/soft-close-door-installation</x:v>
      </x:c>
      <x:c r="C11" s="6" t="str">
        <x:v>https://digitecme.com/services/soft-close-door-repair-dubai</x:v>
      </x:c>
      <x:c r="D11" s="6" t="str">
        <x:v>https://digitecme.com/brands/rox-service-dubai/soft-close-door-installation</x:v>
      </x:c>
      <x:c r="E11" s="6" t="str">
        <x:v>55 exported ROX impressions around position 7.5. Local specific page is noindex; generic live page explicitly mentions ROX.</x:v>
      </x:c>
      <x:c r="F11" s="6" t="str">
        <x:v>Indexation and intent ownership require live review</x:v>
      </x:c>
      <x:c r="G11" s="6" t="str">
        <x:v>Choose one ROX commercial owner after verifying live directives; retain general multi-vehicle repair role on the generic page. No automatic indexation change.</x:v>
      </x:c>
    </x:row>
    <x:row r="12" ht="42" customHeight="1">
      <x:c r="A12" s="6" t="str">
        <x:v>Mercedes mechanical versus gearbox</x:v>
      </x:c>
      <x:c r="B12" s="6" t="str">
        <x:v>https://digitecme.com/services/mercedes-mechanical-repair-dubai</x:v>
      </x:c>
      <x:c r="C12" s="6" t="str">
        <x:v>https://digitecme.com/services/mercedes-transmission-repair-dubai</x:v>
      </x:c>
      <x:c r="D12" s="6" t="str">
        <x:v>https://digitecme.com/services/mercedes-transmission-repair-dubai</x:v>
      </x:c>
      <x:c r="E12" s="6" t="str">
        <x:v>New live titles already separate engine/mechanical and transmission/gearbox; old local source is behind.</x:v>
      </x:c>
      <x:c r="F12" s="6" t="str">
        <x:v>Preserve live differentiation</x:v>
      </x:c>
      <x:c r="G12" s="6" t="str">
        <x:v>Retain transmission ownership of gearbox queries; reconcile local code before further changes.</x:v>
      </x:c>
    </x:row>
  </x:sheetData>
  <x:pageMargins left="0.7" right="0.7" top="0.75" bottom="0.75" header="0.3" footer="0.3"/>
  <x:tableParts count="1">
    <x:tablePart xmlns:r="http://schemas.openxmlformats.org/officeDocument/2006/relationships" r:id="R4bc02c5b6017491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5" hidden="0" customWidth="1"/>
    <x:col min="2" max="2" width="74" hidden="0" customWidth="1"/>
    <x:col min="3" max="3" width="48" hidden="0" customWidth="1"/>
    <x:col min="4" max="4" width="16" hidden="0" customWidth="1"/>
    <x:col min="5" max="5" width="19" hidden="0" customWidth="1"/>
    <x:col min="6" max="6" width="58" hidden="0" customWidth="1"/>
    <x:col min="7" max="7" width="48" hidden="0" customWidth="1"/>
    <x:col min="8" max="8" width="110" hidden="0" customWidth="1"/>
    <x:col min="9" max="9" width="100" hidden="0" customWidth="1"/>
  </x:cols>
  <x:sheetData>
    <x:row r="1" ht="30" customHeight="1">
      <x:c r="A1" s="2" t="str">
        <x:v>Content and capability gaps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Use existing owners first. No new landing page is approved solely because a query appears.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42" customHeight="1">
      <x:c r="A5" s="10" t="str">
        <x:v>Topic</x:v>
      </x:c>
      <x:c r="B5" s="11" t="str">
        <x:v>Existing owner</x:v>
      </x:c>
      <x:c r="C5" s="11" t="str">
        <x:v>Primary query</x:v>
      </x:c>
      <x:c r="D5" s="11" t="str">
        <x:v>Impressions</x:v>
      </x:c>
      <x:c r="E5" s="11" t="str">
        <x:v>Weighted position</x:v>
      </x:c>
      <x:c r="F5" s="11" t="str">
        <x:v>Proposed URL</x:v>
      </x:c>
      <x:c r="G5" s="11" t="str">
        <x:v>Decision</x:v>
      </x:c>
      <x:c r="H5" s="11" t="str">
        <x:v>Reason</x:v>
      </x:c>
      <x:c r="I5" s="12" t="str">
        <x:v>Internal link plan</x:v>
      </x:c>
    </x:row>
    <x:row r="6" ht="42" customHeight="1">
      <x:c r="A6" s="6" t="str">
        <x:v>lamborghini: Camera retrofit</x:v>
      </x:c>
      <x:c r="B6" s="6" t="str">
        <x:v>No verified dedicated owner</x:v>
      </x:c>
      <x:c r="C6" s="6" t="str">
        <x:v>lamborghini reverse camera in dubai</x:v>
      </x:c>
      <x:c r="D6" s="6" t="n">
        <x:v>163</x:v>
      </x:c>
      <x:c r="E6" s="16" t="n">
        <x:v>21.93</x:v>
      </x:c>
      <x:c r="F6" s="6" t="str">
        <x:v>None until service capability is confirmed</x:v>
      </x:c>
      <x:c r="G6" s="6" t="str">
        <x:v>Confirm capability first</x:v>
      </x:c>
      <x:c r="H6" s="6" t="str">
        <x:v>Demand alone does not establish that DIGI-TEC supplies the retrofit, parts or component repair. A broad brand hub cannot promise the specific service.</x:v>
      </x:c>
      <x:c r="I6" s="6" t="str">
        <x:v>If confirmed and distinct, link from the matching brand/electrical hub; otherwise keep this demand deprioritized.</x:v>
      </x:c>
    </x:row>
    <x:row r="7" ht="42" customHeight="1">
      <x:c r="A7" s="6" t="str">
        <x:v>Unspecified brand: Audio or interior retrofit</x:v>
      </x:c>
      <x:c r="B7" s="6" t="str">
        <x:v>No verified dedicated owner</x:v>
      </x:c>
      <x:c r="C7" s="6" t="str">
        <x:v>steering wheel restoration dubai</x:v>
      </x:c>
      <x:c r="D7" s="6" t="n">
        <x:v>34</x:v>
      </x:c>
      <x:c r="E7" s="16" t="n">
        <x:v>38.56</x:v>
      </x:c>
      <x:c r="F7" s="6" t="str">
        <x:v>None until service capability is confirmed</x:v>
      </x:c>
      <x:c r="G7" s="6" t="str">
        <x:v>Confirm capability first</x:v>
      </x:c>
      <x:c r="H7" s="6" t="str">
        <x:v>Demand alone does not establish that DIGI-TEC supplies the retrofit, parts or component repair. A broad brand hub cannot promise the specific service.</x:v>
      </x:c>
      <x:c r="I7" s="6" t="str">
        <x:v>If confirmed and distinct, link from the matching brand/electrical hub; otherwise keep this demand deprioritized.</x:v>
      </x:c>
    </x:row>
    <x:row r="8" ht="42" customHeight="1">
      <x:c r="A8" s="6" t="str">
        <x:v>Unspecified brand: Screen or head-unit repair</x:v>
      </x:c>
      <x:c r="B8" s="6" t="str">
        <x:v>No verified dedicated owner</x:v>
      </x:c>
      <x:c r="C8" s="6" t="str">
        <x:v>cue screen replacement in dubai</x:v>
      </x:c>
      <x:c r="D8" s="6" t="n">
        <x:v>746</x:v>
      </x:c>
      <x:c r="E8" s="16" t="n">
        <x:v>45.164343163538874</x:v>
      </x:c>
      <x:c r="F8" s="6" t="str">
        <x:v>None until service capability is confirmed</x:v>
      </x:c>
      <x:c r="G8" s="6" t="str">
        <x:v>Confirm capability first</x:v>
      </x:c>
      <x:c r="H8" s="6" t="str">
        <x:v>Demand alone does not establish that DIGI-TEC supplies the retrofit, parts or component repair. A broad brand hub cannot promise the specific service.</x:v>
      </x:c>
      <x:c r="I8" s="6" t="str">
        <x:v>If confirmed and distinct, link from the matching brand/electrical hub; otherwise keep this demand deprioritized.</x:v>
      </x:c>
    </x:row>
    <x:row r="9" ht="42" customHeight="1">
      <x:c r="A9" s="6" t="str">
        <x:v>bentley: Camera retrofit</x:v>
      </x:c>
      <x:c r="B9" s="6" t="str">
        <x:v>No verified dedicated owner</x:v>
      </x:c>
      <x:c r="C9" s="6" t="str">
        <x:v>bentley reverse camera in dubai</x:v>
      </x:c>
      <x:c r="D9" s="6" t="n">
        <x:v>328</x:v>
      </x:c>
      <x:c r="E9" s="16" t="n">
        <x:v>44.38</x:v>
      </x:c>
      <x:c r="F9" s="6" t="str">
        <x:v>None until service capability is confirmed</x:v>
      </x:c>
      <x:c r="G9" s="6" t="str">
        <x:v>Confirm capability first</x:v>
      </x:c>
      <x:c r="H9" s="6" t="str">
        <x:v>Demand alone does not establish that DIGI-TEC supplies the retrofit, parts or component repair. A broad brand hub cannot promise the specific service.</x:v>
      </x:c>
      <x:c r="I9" s="6" t="str">
        <x:v>If confirmed and distinct, link from the matching brand/electrical hub; otherwise keep this demand deprioritized.</x:v>
      </x:c>
    </x:row>
    <x:row r="10" ht="42" customHeight="1">
      <x:c r="A10" s="6" t="str">
        <x:v>cadillac: Screen or head-unit repair</x:v>
      </x:c>
      <x:c r="B10" s="6" t="str">
        <x:v>No verified dedicated owner</x:v>
      </x:c>
      <x:c r="C10" s="6" t="str">
        <x:v>cadillac touch screen repair in dubai</x:v>
      </x:c>
      <x:c r="D10" s="6" t="n">
        <x:v>546</x:v>
      </x:c>
      <x:c r="E10" s="16" t="n">
        <x:v>52.08391941391941</x:v>
      </x:c>
      <x:c r="F10" s="6" t="str">
        <x:v>None until service capability is confirmed</x:v>
      </x:c>
      <x:c r="G10" s="6" t="str">
        <x:v>Confirm capability first</x:v>
      </x:c>
      <x:c r="H10" s="6" t="str">
        <x:v>Demand alone does not establish that DIGI-TEC supplies the retrofit, parts or component repair. A broad brand hub cannot promise the specific service.</x:v>
      </x:c>
      <x:c r="I10" s="6" t="str">
        <x:v>If confirmed and distinct, link from the matching brand/electrical hub; otherwise keep this demand deprioritized.</x:v>
      </x:c>
    </x:row>
    <x:row r="11" ht="42" customHeight="1">
      <x:c r="A11" s="6" t="str">
        <x:v>mercedes-benz: Audio or interior retrofit</x:v>
      </x:c>
      <x:c r="B11" s="6" t="str">
        <x:v>No verified dedicated owner</x:v>
      </x:c>
      <x:c r="C11" s="6" t="str">
        <x:v>mercedes stereo upgrade in dubai</x:v>
      </x:c>
      <x:c r="D11" s="6" t="n">
        <x:v>375</x:v>
      </x:c>
      <x:c r="E11" s="16" t="n">
        <x:v>57.83210666666667</x:v>
      </x:c>
      <x:c r="F11" s="6" t="str">
        <x:v>None until service capability is confirmed</x:v>
      </x:c>
      <x:c r="G11" s="6" t="str">
        <x:v>Confirm capability first</x:v>
      </x:c>
      <x:c r="H11" s="6" t="str">
        <x:v>Demand alone does not establish that DIGI-TEC supplies the retrofit, parts or component repair. A broad brand hub cannot promise the specific service.</x:v>
      </x:c>
      <x:c r="I11" s="6" t="str">
        <x:v>If confirmed and distinct, link from the matching brand/electrical hub; otherwise keep this demand deprioritized.</x:v>
      </x:c>
    </x:row>
    <x:row r="12" ht="42" customHeight="1">
      <x:c r="A12" s="6" t="str">
        <x:v>range-rover: Audio or interior retrofit</x:v>
      </x:c>
      <x:c r="B12" s="6" t="str">
        <x:v>No verified dedicated owner</x:v>
      </x:c>
      <x:c r="C12" s="6" t="str">
        <x:v>range rover sport subwoofer upgrade in dubai</x:v>
      </x:c>
      <x:c r="D12" s="6" t="n">
        <x:v>52</x:v>
      </x:c>
      <x:c r="E12" s="16" t="n">
        <x:v>90.42</x:v>
      </x:c>
      <x:c r="F12" s="6" t="str">
        <x:v>None until service capability is confirmed</x:v>
      </x:c>
      <x:c r="G12" s="6" t="str">
        <x:v>Confirm capability first</x:v>
      </x:c>
      <x:c r="H12" s="6" t="str">
        <x:v>Demand alone does not establish that DIGI-TEC supplies the retrofit, parts or component repair. A broad brand hub cannot promise the specific service.</x:v>
      </x:c>
      <x:c r="I12" s="6" t="str">
        <x:v>If confirmed and distinct, link from the matching brand/electrical hub; otherwise keep this demand deprioritized.</x:v>
      </x:c>
    </x:row>
    <x:row r="13" ht="42" customHeight="1">
      <x:c r="A13" s="6" t="str">
        <x:v>ppf</x:v>
      </x:c>
      <x:c r="B13" s="6" t="str">
        <x:v>https://digitecme.com/services/paint-protection-film</x:v>
      </x:c>
      <x:c r="C13" s="6" t="str">
        <x:v>paint protection film near me</x:v>
      </x:c>
      <x:c r="D13" s="6" t="n">
        <x:v>1059</x:v>
      </x:c>
      <x:c r="E13" s="16" t="n">
        <x:v>40.84340887629839</x:v>
      </x:c>
      <x:c r="F13" s="6" t="str">
        <x:v>Use existing page; no new URL proposed</x:v>
      </x:c>
      <x:c r="G13" s="6" t="str">
        <x:v>Strengthen evidence on existing page</x:v>
      </x:c>
      <x:c r="H13" s="6" t="str">
        <x:v>Current pages already provide the primary treatment explanations and quote journey. Add verified job evidence when available.</x:v>
      </x:c>
      <x:c r="I13" s="6" t="str">
        <x:v>Use the paint-care comparison hub, body-repair page, relevant brand pages and actual workshop case records.</x:v>
      </x:c>
    </x:row>
    <x:row r="14" ht="42" customHeight="1">
      <x:c r="A14" s="6" t="str">
        <x:v>ceramic</x:v>
      </x:c>
      <x:c r="B14" s="6" t="str">
        <x:v>https://digitecme.com/services/ceramic-coating</x:v>
      </x:c>
      <x:c r="C14" s="6" t="str">
        <x:v>ceramic paint protection dubai</x:v>
      </x:c>
      <x:c r="D14" s="6" t="n">
        <x:v>1101</x:v>
      </x:c>
      <x:c r="E14" s="16" t="n">
        <x:v>35.027647593097186</x:v>
      </x:c>
      <x:c r="F14" s="6" t="str">
        <x:v>Use existing page; no new URL proposed</x:v>
      </x:c>
      <x:c r="G14" s="6" t="str">
        <x:v>Strengthen evidence on existing page</x:v>
      </x:c>
      <x:c r="H14" s="6" t="str">
        <x:v>Current pages already provide the primary treatment explanations and quote journey. Add verified job evidence when available.</x:v>
      </x:c>
      <x:c r="I14" s="6" t="str">
        <x:v>Use the paint-care comparison hub, body-repair page, relevant brand pages and actual workshop case records.</x:v>
      </x:c>
    </x:row>
    <x:row r="15" ht="42" customHeight="1">
      <x:c r="A15" s="6" t="str">
        <x:v>polishing</x:v>
      </x:c>
      <x:c r="B15" s="6" t="str">
        <x:v>https://digitecme.com/services/car-polishing-dubai</x:v>
      </x:c>
      <x:c r="C15" s="6" t="str">
        <x:v>No exported query</x:v>
      </x:c>
      <x:c r="D15" s="6" t="n">
        <x:v>0</x:v>
      </x:c>
      <x:c r="E15" s="16"/>
      <x:c r="F15" s="6" t="str">
        <x:v>Use existing page; no new URL proposed</x:v>
      </x:c>
      <x:c r="G15" s="6" t="str">
        <x:v>Validate demand and scope</x:v>
      </x:c>
      <x:c r="H15" s="6" t="str">
        <x:v>No matching query among the exported 1,000; truncation and the new release prevent a zero-demand conclusion. Detailing scope needs definition beyond paint correction.</x:v>
      </x:c>
      <x:c r="I15" s="6" t="str">
        <x:v>Use the paint-care comparison hub, body-repair page, relevant brand pages and actual workshop case records.</x:v>
      </x:c>
    </x:row>
    <x:row r="16" ht="42" customHeight="1">
      <x:c r="A16" s="6" t="str">
        <x:v>detailing</x:v>
      </x:c>
      <x:c r="B16" s="6" t="str">
        <x:v>https://digitecme.com/services/paint-protection-dubai</x:v>
      </x:c>
      <x:c r="C16" s="6" t="str">
        <x:v>No exported query</x:v>
      </x:c>
      <x:c r="D16" s="6" t="n">
        <x:v>0</x:v>
      </x:c>
      <x:c r="E16" s="16"/>
      <x:c r="F16" s="6" t="str">
        <x:v>Use existing page; no new URL proposed</x:v>
      </x:c>
      <x:c r="G16" s="6" t="str">
        <x:v>Validate demand and scope</x:v>
      </x:c>
      <x:c r="H16" s="6" t="str">
        <x:v>No matching query among the exported 1,000; truncation and the new release prevent a zero-demand conclusion. Detailing scope needs definition beyond paint correction.</x:v>
      </x:c>
      <x:c r="I16" s="6" t="str">
        <x:v>Use the paint-care comparison hub, body-repair page, relevant brand pages and actual workshop case records.</x:v>
      </x:c>
    </x:row>
    <x:row r="17" ht="42" customHeight="1">
      <x:c r="A17" s="6" t="str">
        <x:v>rox: Soft close doors</x:v>
      </x:c>
      <x:c r="B17" s="6" t="str">
        <x:v>https://digitecme.com/brands/rox-service-dubai/soft-close-door-installation</x:v>
      </x:c>
      <x:c r="C17" s="6" t="str">
        <x:v>rox01 soft close door</x:v>
      </x:c>
      <x:c r="D17" s="6" t="n">
        <x:v>55</x:v>
      </x:c>
      <x:c r="E17" s="16" t="n">
        <x:v>7.508</x:v>
      </x:c>
      <x:c r="F17" s="6" t="str">
        <x:v>Existing URL; no new page</x:v>
      </x:c>
      <x:c r="G17" s="6" t="str">
        <x:v>Verify indexation and distinct value</x:v>
      </x:c>
      <x:c r="H17" s="6" t="str">
        <x:v>Existing specific URL is noindex in the current local source. Check production and confirm useful vehicle/service content before changing the indexation policy.</x:v>
      </x:c>
      <x:c r="I17" s="6" t="str">
        <x:v>Use the existing brand hub and relevant generic service page; avoid parallel thin pages.</x:v>
      </x:c>
    </x:row>
    <x:row r="18" ht="42" customHeight="1">
      <x:c r="A18" s="6" t="str">
        <x:v>lotus: Transmission and gearbox repair</x:v>
      </x:c>
      <x:c r="B18" s="6" t="str">
        <x:v>https://digitecme.com/brands/lotus-service-dubai/transmission-repair</x:v>
      </x:c>
      <x:c r="C18" s="6" t="str">
        <x:v>lotus transmission repair dubai</x:v>
      </x:c>
      <x:c r="D18" s="6" t="n">
        <x:v>30</x:v>
      </x:c>
      <x:c r="E18" s="16" t="n">
        <x:v>27.57</x:v>
      </x:c>
      <x:c r="F18" s="6" t="str">
        <x:v>Existing URL; no new page</x:v>
      </x:c>
      <x:c r="G18" s="6" t="str">
        <x:v>Verify indexation and distinct value</x:v>
      </x:c>
      <x:c r="H18" s="6" t="str">
        <x:v>Existing specific URL is noindex in the current local source. Check production and confirm useful vehicle/service content before changing the indexation policy.</x:v>
      </x:c>
      <x:c r="I18" s="6" t="str">
        <x:v>Use the existing brand hub and relevant generic service page; avoid parallel thin pages.</x:v>
      </x:c>
    </x:row>
    <x:row r="19" ht="42" customHeight="1">
      <x:c r="A19" s="6" t="str">
        <x:v>volvo: Battery service</x:v>
      </x:c>
      <x:c r="B19" s="6" t="str">
        <x:v>https://digitecme.com/brands/volvo-service-dubai/battery-replacement</x:v>
      </x:c>
      <x:c r="C19" s="6" t="str">
        <x:v>volvo battery dubai</x:v>
      </x:c>
      <x:c r="D19" s="6" t="n">
        <x:v>44</x:v>
      </x:c>
      <x:c r="E19" s="16" t="n">
        <x:v>17.822045454545453</x:v>
      </x:c>
      <x:c r="F19" s="6" t="str">
        <x:v>Existing URL; no new page</x:v>
      </x:c>
      <x:c r="G19" s="6" t="str">
        <x:v>Verify indexation and distinct value</x:v>
      </x:c>
      <x:c r="H19" s="6" t="str">
        <x:v>Existing specific URL is noindex in the current local source. Check production and confirm useful vehicle/service content before changing the indexation policy.</x:v>
      </x:c>
      <x:c r="I19" s="6" t="str">
        <x:v>Use the existing brand hub and relevant generic service page; avoid parallel thin pages.</x:v>
      </x:c>
    </x:row>
    <x:row r="20" ht="42" customHeight="1">
      <x:c r="A20" s="6" t="str">
        <x:v>jeep: Suspension repair</x:v>
      </x:c>
      <x:c r="B20" s="6" t="str">
        <x:v>https://digitecme.com/brands/jeep-service-dubai/suspension-repair</x:v>
      </x:c>
      <x:c r="C20" s="6" t="str">
        <x:v>jeep suspension repair dubai</x:v>
      </x:c>
      <x:c r="D20" s="6" t="n">
        <x:v>13</x:v>
      </x:c>
      <x:c r="E20" s="16" t="n">
        <x:v>14.46</x:v>
      </x:c>
      <x:c r="F20" s="6" t="str">
        <x:v>Existing URL; no new page</x:v>
      </x:c>
      <x:c r="G20" s="6" t="str">
        <x:v>Verify indexation and distinct value</x:v>
      </x:c>
      <x:c r="H20" s="6" t="str">
        <x:v>Existing specific URL is noindex in the current local source. Check production and confirm useful vehicle/service content before changing the indexation policy.</x:v>
      </x:c>
      <x:c r="I20" s="6" t="str">
        <x:v>Use the existing brand hub and relevant generic service page; avoid parallel thin pages.</x:v>
      </x:c>
    </x:row>
    <x:row r="21" ht="42" customHeight="1">
      <x:c r="A21" s="6" t="str">
        <x:v>cadillac: Battery service</x:v>
      </x:c>
      <x:c r="B21" s="6" t="str">
        <x:v>https://digitecme.com/brands/cadillac-service-dubai/battery-replacement</x:v>
      </x:c>
      <x:c r="C21" s="6" t="str">
        <x:v>cadillac car battery dubai</x:v>
      </x:c>
      <x:c r="D21" s="6" t="n">
        <x:v>37</x:v>
      </x:c>
      <x:c r="E21" s="16" t="n">
        <x:v>27.514864864864865</x:v>
      </x:c>
      <x:c r="F21" s="6" t="str">
        <x:v>Existing URL; no new page</x:v>
      </x:c>
      <x:c r="G21" s="6" t="str">
        <x:v>Verify indexation and distinct value</x:v>
      </x:c>
      <x:c r="H21" s="6" t="str">
        <x:v>Existing specific URL is noindex in the current local source. Check production and confirm useful vehicle/service content before changing the indexation policy.</x:v>
      </x:c>
      <x:c r="I21" s="6" t="str">
        <x:v>Use the existing brand hub and relevant generic service page; avoid parallel thin pages.</x:v>
      </x:c>
    </x:row>
    <x:row r="22" ht="42" customHeight="1">
      <x:c r="A22" s="6" t="str">
        <x:v>cadillac: Transmission and gearbox repair</x:v>
      </x:c>
      <x:c r="B22" s="6" t="str">
        <x:v>https://digitecme.com/brands/cadillac-service-dubai/transmission-repair</x:v>
      </x:c>
      <x:c r="C22" s="6" t="str">
        <x:v>cadillac transmission repair dubai</x:v>
      </x:c>
      <x:c r="D22" s="6" t="n">
        <x:v>26</x:v>
      </x:c>
      <x:c r="E22" s="16" t="n">
        <x:v>29.77</x:v>
      </x:c>
      <x:c r="F22" s="6" t="str">
        <x:v>Existing URL; no new page</x:v>
      </x:c>
      <x:c r="G22" s="6" t="str">
        <x:v>Verify indexation and distinct value</x:v>
      </x:c>
      <x:c r="H22" s="6" t="str">
        <x:v>Existing specific URL is noindex in the current local source. Check production and confirm useful vehicle/service content before changing the indexation policy.</x:v>
      </x:c>
      <x:c r="I22" s="6" t="str">
        <x:v>Use the existing brand hub and relevant generic service page; avoid parallel thin pages.</x:v>
      </x:c>
    </x:row>
    <x:row r="23" ht="42" customHeight="1">
      <x:c r="A23" s="6" t="str">
        <x:v>hummer: Transmission and gearbox repair</x:v>
      </x:c>
      <x:c r="B23" s="6" t="str">
        <x:v>https://digitecme.com/brands/hummer-service-dubai/transmission-repair</x:v>
      </x:c>
      <x:c r="C23" s="6" t="str">
        <x:v>hummer transmission repair dubai</x:v>
      </x:c>
      <x:c r="D23" s="6" t="n">
        <x:v>20</x:v>
      </x:c>
      <x:c r="E23" s="16" t="n">
        <x:v>29.2</x:v>
      </x:c>
      <x:c r="F23" s="6" t="str">
        <x:v>Existing URL; no new page</x:v>
      </x:c>
      <x:c r="G23" s="6" t="str">
        <x:v>Verify indexation and distinct value</x:v>
      </x:c>
      <x:c r="H23" s="6" t="str">
        <x:v>Existing specific URL is noindex in the current local source. Check production and confirm useful vehicle/service content before changing the indexation policy.</x:v>
      </x:c>
      <x:c r="I23" s="6" t="str">
        <x:v>Use the existing brand hub and relevant generic service page; avoid parallel thin pages.</x:v>
      </x:c>
    </x:row>
    <x:row r="24" ht="42" customHeight="1">
      <x:c r="A24" s="6" t="str">
        <x:v>chevrolet: Transmission and gearbox repair</x:v>
      </x:c>
      <x:c r="B24" s="6" t="str">
        <x:v>https://digitecme.com/brands/chevrolet-service-dubai/transmission-repair</x:v>
      </x:c>
      <x:c r="C24" s="6" t="str">
        <x:v>chevrolet transmission repair dubai</x:v>
      </x:c>
      <x:c r="D24" s="6" t="n">
        <x:v>16</x:v>
      </x:c>
      <x:c r="E24" s="16" t="n">
        <x:v>15.19</x:v>
      </x:c>
      <x:c r="F24" s="6" t="str">
        <x:v>Existing URL; no new page</x:v>
      </x:c>
      <x:c r="G24" s="6" t="str">
        <x:v>Verify indexation and distinct value</x:v>
      </x:c>
      <x:c r="H24" s="6" t="str">
        <x:v>Existing specific URL is noindex in the current local source. Check production and confirm useful vehicle/service content before changing the indexation policy.</x:v>
      </x:c>
      <x:c r="I24" s="6" t="str">
        <x:v>Use the existing brand hub and relevant generic service page; avoid parallel thin pages.</x:v>
      </x:c>
    </x:row>
    <x:row r="25" ht="42" customHeight="1">
      <x:c r="A25" s="6" t="str">
        <x:v>gmc: Transmission and gearbox repair</x:v>
      </x:c>
      <x:c r="B25" s="6" t="str">
        <x:v>https://digitecme.com/brands/gmc-service-dubai/transmission-repair</x:v>
      </x:c>
      <x:c r="C25" s="6" t="str">
        <x:v>gmc transmission repair dubai</x:v>
      </x:c>
      <x:c r="D25" s="6" t="n">
        <x:v>16</x:v>
      </x:c>
      <x:c r="E25" s="16" t="n">
        <x:v>17.69</x:v>
      </x:c>
      <x:c r="F25" s="6" t="str">
        <x:v>Existing URL; no new page</x:v>
      </x:c>
      <x:c r="G25" s="6" t="str">
        <x:v>Verify indexation and distinct value</x:v>
      </x:c>
      <x:c r="H25" s="6" t="str">
        <x:v>Existing specific URL is noindex in the current local source. Check production and confirm useful vehicle/service content before changing the indexation policy.</x:v>
      </x:c>
      <x:c r="I25" s="6" t="str">
        <x:v>Use the existing brand hub and relevant generic service page; avoid parallel thin pages.</x:v>
      </x:c>
    </x:row>
    <x:row r="26" ht="42" customHeight="1">
      <x:c r="A26" s="6" t="str">
        <x:v>volkswagen: Battery service</x:v>
      </x:c>
      <x:c r="B26" s="6" t="str">
        <x:v>https://digitecme.com/brands/volkswagen-service-dubai/battery-replacement</x:v>
      </x:c>
      <x:c r="C26" s="6" t="str">
        <x:v>volkswagen car battery dubai</x:v>
      </x:c>
      <x:c r="D26" s="6" t="n">
        <x:v>59</x:v>
      </x:c>
      <x:c r="E26" s="16" t="n">
        <x:v>37.10237288135593</x:v>
      </x:c>
      <x:c r="F26" s="6" t="str">
        <x:v>Existing URL; no new page</x:v>
      </x:c>
      <x:c r="G26" s="6" t="str">
        <x:v>Verify indexation and distinct value</x:v>
      </x:c>
      <x:c r="H26" s="6" t="str">
        <x:v>Existing specific URL is noindex in the current local source. Check production and confirm useful vehicle/service content before changing the indexation policy.</x:v>
      </x:c>
      <x:c r="I26" s="6" t="str">
        <x:v>Use the existing brand hub and relevant generic service page; avoid parallel thin pages.</x:v>
      </x:c>
    </x:row>
    <x:row r="27" ht="42" customHeight="1">
      <x:c r="A27" s="6" t="str">
        <x:v>volkswagen: Transmission and gearbox repair</x:v>
      </x:c>
      <x:c r="B27" s="6" t="str">
        <x:v>https://digitecme.com/brands/volkswagen-service-dubai/transmission-repair</x:v>
      </x:c>
      <x:c r="C27" s="6" t="str">
        <x:v>volkswagen transmission repair dubai</x:v>
      </x:c>
      <x:c r="D27" s="6" t="n">
        <x:v>34</x:v>
      </x:c>
      <x:c r="E27" s="16" t="n">
        <x:v>26.410588235294117</x:v>
      </x:c>
      <x:c r="F27" s="6" t="str">
        <x:v>Existing URL; no new page</x:v>
      </x:c>
      <x:c r="G27" s="6" t="str">
        <x:v>Verify indexation and distinct value</x:v>
      </x:c>
      <x:c r="H27" s="6" t="str">
        <x:v>Existing specific URL is noindex in the current local source. Check production and confirm useful vehicle/service content before changing the indexation policy.</x:v>
      </x:c>
      <x:c r="I27" s="6" t="str">
        <x:v>Use the existing brand hub and relevant generic service page; avoid parallel thin pages.</x:v>
      </x:c>
    </x:row>
    <x:row r="28" ht="42" customHeight="1">
      <x:c r="A28" s="6" t="str">
        <x:v>dodge: Transmission and gearbox repair</x:v>
      </x:c>
      <x:c r="B28" s="6" t="str">
        <x:v>https://digitecme.com/brands/dodge-service-dubai/transmission-repair</x:v>
      </x:c>
      <x:c r="C28" s="6" t="str">
        <x:v>dodge transmission repair dubai</x:v>
      </x:c>
      <x:c r="D28" s="6" t="n">
        <x:v>11</x:v>
      </x:c>
      <x:c r="E28" s="16" t="n">
        <x:v>18.82</x:v>
      </x:c>
      <x:c r="F28" s="6" t="str">
        <x:v>Existing URL; no new page</x:v>
      </x:c>
      <x:c r="G28" s="6" t="str">
        <x:v>Verify indexation and distinct value</x:v>
      </x:c>
      <x:c r="H28" s="6" t="str">
        <x:v>Existing specific URL is noindex in the current local source. Check production and confirm useful vehicle/service content before changing the indexation policy.</x:v>
      </x:c>
      <x:c r="I28" s="6" t="str">
        <x:v>Use the existing brand hub and relevant generic service page; avoid parallel thin pages.</x:v>
      </x:c>
    </x:row>
    <x:row r="29" ht="42" customHeight="1">
      <x:c r="A29" s="6" t="str">
        <x:v>jeep: Battery service</x:v>
      </x:c>
      <x:c r="B29" s="6" t="str">
        <x:v>https://digitecme.com/brands/jeep-service-dubai/battery-replacement</x:v>
      </x:c>
      <x:c r="C29" s="6" t="str">
        <x:v>jeep car battery uae</x:v>
      </x:c>
      <x:c r="D29" s="6" t="n">
        <x:v>27</x:v>
      </x:c>
      <x:c r="E29" s="16" t="n">
        <x:v>41.51740740740741</x:v>
      </x:c>
      <x:c r="F29" s="6" t="str">
        <x:v>Existing URL; no new page</x:v>
      </x:c>
      <x:c r="G29" s="6" t="str">
        <x:v>Verify indexation and distinct value</x:v>
      </x:c>
      <x:c r="H29" s="6" t="str">
        <x:v>Existing specific URL is noindex in the current local source. Check production and confirm useful vehicle/service content before changing the indexation policy.</x:v>
      </x:c>
      <x:c r="I29" s="6" t="str">
        <x:v>Use the existing brand hub and relevant generic service page; avoid parallel thin pages.</x:v>
      </x:c>
    </x:row>
    <x:row r="30" ht="42" customHeight="1">
      <x:c r="A30" s="6" t="str">
        <x:v>tesla: Battery service</x:v>
      </x:c>
      <x:c r="B30" s="6" t="str">
        <x:v>https://digitecme.com/brands/tesla-service-dubai/battery-replacement</x:v>
      </x:c>
      <x:c r="C30" s="6" t="str">
        <x:v>tesla battery</x:v>
      </x:c>
      <x:c r="D30" s="6" t="n">
        <x:v>17</x:v>
      </x:c>
      <x:c r="E30" s="16" t="n">
        <x:v>40.11764705882353</x:v>
      </x:c>
      <x:c r="F30" s="6" t="str">
        <x:v>Existing URL; no new page</x:v>
      </x:c>
      <x:c r="G30" s="6" t="str">
        <x:v>Verify indexation and distinct value</x:v>
      </x:c>
      <x:c r="H30" s="6" t="str">
        <x:v>Existing specific URL is noindex in the current local source. Check production and confirm useful vehicle/service content before changing the indexation policy.</x:v>
      </x:c>
      <x:c r="I30" s="6" t="str">
        <x:v>Use the existing brand hub and relevant generic service page; avoid parallel thin pages.</x:v>
      </x:c>
    </x:row>
  </x:sheetData>
  <x:pageMargins left="0.7" right="0.7" top="0.75" bottom="0.75" header="0.3" footer="0.3"/>
  <x:tableParts count="1">
    <x:tablePart xmlns:r="http://schemas.openxmlformats.org/officeDocument/2006/relationships" r:id="R0fe92835d8984d0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75" hidden="0" customWidth="1"/>
    <x:col min="2" max="2" width="15" hidden="0" customWidth="1"/>
    <x:col min="3" max="3" width="75" hidden="0" customWidth="1"/>
    <x:col min="4" max="4" width="70" hidden="0" customWidth="1"/>
    <x:col min="5" max="5" width="65" hidden="0" customWidth="1"/>
    <x:col min="6" max="6" width="90" hidden="0" customWidth="1"/>
    <x:col min="7" max="7" width="75" hidden="0" customWidth="1"/>
    <x:col min="8" max="8" width="55" hidden="0" customWidth="1"/>
    <x:col min="9" max="9" width="33" hidden="0" customWidth="1"/>
    <x:col min="10" max="10" width="46" hidden="0" customWidth="1"/>
    <x:col min="11" max="11" width="18" hidden="0" customWidth="1"/>
    <x:col min="12" max="12" width="18" hidden="0" customWidth="1"/>
    <x:col min="13" max="13" width="24" hidden="0" customWidth="1"/>
    <x:col min="14" max="14" width="36" hidden="0" customWidth="1"/>
  </x:cols>
  <x:sheetData>
    <x:row r="1" ht="30" customHeight="1">
      <x:c r="A1" s="2" t="str">
        <x:v>Live page checks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3" t="str">
        <x:v>Public HTML checked 9 September 2026; this does not verify indexing, mobile interaction or successful enquiries.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42" customHeight="1">
      <x:c r="A5" s="10" t="str">
        <x:v>URL</x:v>
      </x:c>
      <x:c r="B5" s="11" t="str">
        <x:v>HTTP status</x:v>
      </x:c>
      <x:c r="C5" s="11" t="str">
        <x:v>Final URL</x:v>
      </x:c>
      <x:c r="D5" s="11" t="str">
        <x:v>Title</x:v>
      </x:c>
      <x:c r="E5" s="11" t="str">
        <x:v>H1</x:v>
      </x:c>
      <x:c r="F5" s="11" t="str">
        <x:v>Description</x:v>
      </x:c>
      <x:c r="G5" s="11" t="str">
        <x:v>Canonical</x:v>
      </x:c>
      <x:c r="H5" s="11" t="str">
        <x:v>Robots</x:v>
      </x:c>
      <x:c r="I5" s="11" t="str">
        <x:v>Phone target</x:v>
      </x:c>
      <x:c r="J5" s="11" t="str">
        <x:v>WhatsApp target</x:v>
      </x:c>
      <x:c r="K5" s="11" t="str">
        <x:v>JSON-LD blocks</x:v>
      </x:c>
      <x:c r="L5" s="11" t="str">
        <x:v>JSON parse errors</x:v>
      </x:c>
      <x:c r="M5" s="11" t="str">
        <x:v>Matches local title</x:v>
      </x:c>
      <x:c r="N5" s="12" t="str">
        <x:v>Checked at UTC</x:v>
      </x:c>
    </x:row>
    <x:row r="6" ht="57" customHeight="1">
      <x:c r="A6" s="6" t="str">
        <x:v>https://digitecme.com/</x:v>
      </x:c>
      <x:c r="B6" s="6" t="n">
        <x:v>200</x:v>
      </x:c>
      <x:c r="C6" s="6" t="str">
        <x:v>https://digitecme.com/</x:v>
      </x:c>
      <x:c r="D6" s="6" t="str">
        <x:v>Digi-Tec Performance Center | Independent Car Workshop Dubai</x:v>
      </x:c>
      <x:c r="E6" s="6" t="str">
        <x:v>D IGI-TEC Performance Center</x:v>
      </x:c>
      <x:c r="F6" s="6" t="str">
        <x:v>Independent car workshop in Al Quoz, Dubai since 2002 for inspection, maintenance, repair, programming, bodywork and performance-project consultation. Call +971 4 340 2223.</x:v>
      </x:c>
      <x:c r="G6" s="6" t="str">
        <x:v>https://digitecme.com/</x:v>
      </x:c>
      <x:c r="H6" s="6" t="str">
        <x:v>index, follow, max-image-preview:large</x:v>
      </x:c>
      <x:c r="I6" s="6" t="str">
        <x:v>tel:+97143402223</x:v>
      </x:c>
      <x:c r="J6" s="6" t="str">
        <x:v>https://wa.me/97143402223</x:v>
      </x:c>
      <x:c r="K6" s="6" t="n">
        <x:v>2</x:v>
      </x:c>
      <x:c r="L6" s="6" t="n">
        <x:v>0</x:v>
      </x:c>
      <x:c r="M6" s="6" t="str">
        <x:v>Yes</x:v>
      </x:c>
      <x:c r="N6" s="6" t="n">
        <x:v>46274.288426354164</x:v>
      </x:c>
    </x:row>
    <x:row r="7" ht="42" customHeight="1">
      <x:c r="A7" s="6" t="str">
        <x:v>https://digitecme.com/brands/mercedes-benz-service-dubai</x:v>
      </x:c>
      <x:c r="B7" s="6" t="n">
        <x:v>200</x:v>
      </x:c>
      <x:c r="C7" s="6" t="str">
        <x:v>https://digitecme.com/brands/mercedes-benz-service-dubai</x:v>
      </x:c>
      <x:c r="D7" s="6" t="str">
        <x:v>Mercedes Repair &amp; Service Dubai | Digi-Tec Specialists</x:v>
      </x:c>
      <x:c r="E7" s="6" t="str">
        <x:v>Mercedes-Benz Repair &amp; Service Dubai</x:v>
      </x:c>
      <x:c r="F7" s="6" t="str">
        <x:v>Specialist Mercedes repair and service in Dubai for C-Class, E-Class, S-Class, G-Class, GLE, GLS and AMG. XENTRY diagnostics at our Al Quoz workshop in Dubai.</x:v>
      </x:c>
      <x:c r="G7" s="6" t="str">
        <x:v>https://digitecme.com/brands/mercedes-benz-service-dubai</x:v>
      </x:c>
      <x:c r="H7" s="6" t="str">
        <x:v>index, follow, max-image-preview:large</x:v>
      </x:c>
      <x:c r="I7" s="6" t="str">
        <x:v>tel:+97143402223</x:v>
      </x:c>
      <x:c r="J7" s="6" t="str">
        <x:v>https://wa.me/97143402223</x:v>
      </x:c>
      <x:c r="K7" s="6" t="n">
        <x:v>2</x:v>
      </x:c>
      <x:c r="L7" s="6" t="n">
        <x:v>0</x:v>
      </x:c>
      <x:c r="M7" s="6" t="str">
        <x:v>Yes</x:v>
      </x:c>
      <x:c r="N7" s="6" t="n">
        <x:v>46274.288431423614</x:v>
      </x:c>
    </x:row>
    <x:row r="8" ht="57" customHeight="1">
      <x:c r="A8" s="6" t="str">
        <x:v>https://digitecme.com/services/mercedes-repair-dubai</x:v>
      </x:c>
      <x:c r="B8" s="6" t="n">
        <x:v>200</x:v>
      </x:c>
      <x:c r="C8" s="6" t="str">
        <x:v>https://digitecme.com/services/mercedes-repair-dubai</x:v>
      </x:c>
      <x:c r="D8" s="6" t="str">
        <x:v>Digi-Tec Performance Center | Independent Car Workshop Dubai</x:v>
      </x:c>
      <x:c r="E8" s="6" t="str">
        <x:v>D IGI-TEC Performance Center</x:v>
      </x:c>
      <x:c r="F8" s="6" t="str">
        <x:v>Independent car workshop in Al Quoz, Dubai since 2002 for inspection, maintenance, repair, programming, bodywork and performance-project consultation. Call +971 4 340 2223.</x:v>
      </x:c>
      <x:c r="G8" s="6" t="str">
        <x:v>https://digitecme.com/</x:v>
      </x:c>
      <x:c r="H8" s="6" t="str">
        <x:v>index, follow, max-image-preview:large</x:v>
      </x:c>
      <x:c r="I8" s="6" t="str">
        <x:v>tel:+97143402223</x:v>
      </x:c>
      <x:c r="J8" s="6" t="str">
        <x:v>https://wa.me/97143402223</x:v>
      </x:c>
      <x:c r="K8" s="6" t="n">
        <x:v>2</x:v>
      </x:c>
      <x:c r="L8" s="6" t="n">
        <x:v>0</x:v>
      </x:c>
      <x:c r="M8" s="6" t="str">
        <x:v>No / no local route</x:v>
      </x:c>
      <x:c r="N8" s="6" t="n">
        <x:v>46274.28843248843</x:v>
      </x:c>
    </x:row>
    <x:row r="9" ht="57" customHeight="1">
      <x:c r="A9" s="6" t="str">
        <x:v>https://digitecme.com/services/mercedes-service-dubai</x:v>
      </x:c>
      <x:c r="B9" s="6" t="n">
        <x:v>200</x:v>
      </x:c>
      <x:c r="C9" s="6" t="str">
        <x:v>https://digitecme.com/services/mercedes-service-dubai</x:v>
      </x:c>
      <x:c r="D9" s="6" t="str">
        <x:v>Digi-Tec Performance Center | Independent Car Workshop Dubai</x:v>
      </x:c>
      <x:c r="E9" s="6" t="str">
        <x:v>D IGI-TEC Performance Center</x:v>
      </x:c>
      <x:c r="F9" s="6" t="str">
        <x:v>Independent car workshop in Al Quoz, Dubai since 2002 for inspection, maintenance, repair, programming, bodywork and performance-project consultation. Call +971 4 340 2223.</x:v>
      </x:c>
      <x:c r="G9" s="6" t="str">
        <x:v>https://digitecme.com/</x:v>
      </x:c>
      <x:c r="H9" s="6" t="str">
        <x:v>index, follow, max-image-preview:large</x:v>
      </x:c>
      <x:c r="I9" s="6" t="str">
        <x:v>tel:+97143402223</x:v>
      </x:c>
      <x:c r="J9" s="6" t="str">
        <x:v>https://wa.me/97143402223</x:v>
      </x:c>
      <x:c r="K9" s="6" t="n">
        <x:v>2</x:v>
      </x:c>
      <x:c r="L9" s="6" t="n">
        <x:v>0</x:v>
      </x:c>
      <x:c r="M9" s="6" t="str">
        <x:v>No / no local route</x:v>
      </x:c>
      <x:c r="N9" s="6" t="n">
        <x:v>46274.288440034725</x:v>
      </x:c>
    </x:row>
    <x:row r="10" ht="42" customHeight="1">
      <x:c r="A10" s="6" t="str">
        <x:v>https://digitecme.com/services/mercedes-mechanical-repair-dubai</x:v>
      </x:c>
      <x:c r="B10" s="6" t="n">
        <x:v>200</x:v>
      </x:c>
      <x:c r="C10" s="6" t="str">
        <x:v>https://digitecme.com/services/mercedes-mechanical-repair-dubai</x:v>
      </x:c>
      <x:c r="D10" s="6" t="str">
        <x:v>Mercedes Engine &amp; Mechanical Repair Dubai | Digi-Tec</x:v>
      </x:c>
      <x:c r="E10" s="6" t="str">
        <x:v>Mercedes Engine &amp; Mechanical Repair in Dubai</x:v>
      </x:c>
      <x:c r="F10" s="6" t="str">
        <x:v>Mercedes engine repair in Al Quoz, Dubai. Assessment of overheating, oil leaks, misfires and mounts, with repair options and an itemized quote.</x:v>
      </x:c>
      <x:c r="G10" s="6" t="str">
        <x:v>https://digitecme.com/services/mercedes-mechanical-repair-dubai</x:v>
      </x:c>
      <x:c r="H10" s="6" t="str">
        <x:v>index, follow, max-image-preview:large</x:v>
      </x:c>
      <x:c r="I10" s="6" t="str">
        <x:v>tel:+97143402223</x:v>
      </x:c>
      <x:c r="J10" s="6" t="str">
        <x:v>https://wa.me/97143402223</x:v>
      </x:c>
      <x:c r="K10" s="6" t="n">
        <x:v>2</x:v>
      </x:c>
      <x:c r="L10" s="6" t="n">
        <x:v>0</x:v>
      </x:c>
      <x:c r="M10" s="6" t="str">
        <x:v>No / no local route</x:v>
      </x:c>
      <x:c r="N10" s="6" t="n">
        <x:v>46274.2884390625</x:v>
      </x:c>
    </x:row>
    <x:row r="11" ht="42" customHeight="1">
      <x:c r="A11" s="6" t="str">
        <x:v>https://digitecme.com/services/mercedes-diagnostics-dubai</x:v>
      </x:c>
      <x:c r="B11" s="6" t="n">
        <x:v>200</x:v>
      </x:c>
      <x:c r="C11" s="6" t="str">
        <x:v>https://digitecme.com/services/mercedes-diagnostics-dubai</x:v>
      </x:c>
      <x:c r="D11" s="6" t="str">
        <x:v>Mercedes Diagnostics &amp; Coding Dubai | Digi-Tec</x:v>
      </x:c>
      <x:c r="E11" s="6" t="str">
        <x:v>Mercedes Diagnostics, Coding &amp; Programming in Dubai</x:v>
      </x:c>
      <x:c r="F11" s="6" t="str">
        <x:v>Mercedes diagnostics in Al Quoz, Dubai, with coding and programming eligibility checked by VIN and module. Fault reports and supported next steps explained.</x:v>
      </x:c>
      <x:c r="G11" s="6" t="str">
        <x:v>https://digitecme.com/services/mercedes-diagnostics-dubai</x:v>
      </x:c>
      <x:c r="H11" s="6" t="str">
        <x:v>index, follow, max-image-preview:large</x:v>
      </x:c>
      <x:c r="I11" s="6" t="str">
        <x:v>tel:+97143402223</x:v>
      </x:c>
      <x:c r="J11" s="6" t="str">
        <x:v>https://wa.me/97143402223</x:v>
      </x:c>
      <x:c r="K11" s="6" t="n">
        <x:v>2</x:v>
      </x:c>
      <x:c r="L11" s="6" t="n">
        <x:v>0</x:v>
      </x:c>
      <x:c r="M11" s="6" t="str">
        <x:v>No / no local route</x:v>
      </x:c>
      <x:c r="N11" s="6" t="n">
        <x:v>46274.2884393287</x:v>
      </x:c>
    </x:row>
    <x:row r="12" ht="42" customHeight="1">
      <x:c r="A12" s="6" t="str">
        <x:v>https://digitecme.com/services/mercedes-suspension-repair-dubai</x:v>
      </x:c>
      <x:c r="B12" s="6" t="n">
        <x:v>200</x:v>
      </x:c>
      <x:c r="C12" s="6" t="str">
        <x:v>https://digitecme.com/services/mercedes-suspension-repair-dubai</x:v>
      </x:c>
      <x:c r="D12" s="6" t="str">
        <x:v>Mercedes Suspension &amp; AIRMATIC Repair Dubai | Digi-Tec</x:v>
      </x:c>
      <x:c r="E12" s="6" t="str">
        <x:v>Mercedes Suspension &amp; AIRMATIC Repair in Dubai</x:v>
      </x:c>
      <x:c r="F12" s="6" t="str">
        <x:v>Mercedes suspension and AIRMATIC assessment in Al Quoz, Dubai. Leak, compressor, valve-block and ride-height checks before repair is quoted.</x:v>
      </x:c>
      <x:c r="G12" s="6" t="str">
        <x:v>https://digitecme.com/services/mercedes-suspension-repair-dubai</x:v>
      </x:c>
      <x:c r="H12" s="6" t="str">
        <x:v>index, follow, max-image-preview:large</x:v>
      </x:c>
      <x:c r="I12" s="6" t="str">
        <x:v>tel:+97143402223</x:v>
      </x:c>
      <x:c r="J12" s="6" t="str">
        <x:v>https://wa.me/97143402223</x:v>
      </x:c>
      <x:c r="K12" s="6" t="n">
        <x:v>2</x:v>
      </x:c>
      <x:c r="L12" s="6" t="n">
        <x:v>0</x:v>
      </x:c>
      <x:c r="M12" s="6" t="str">
        <x:v>No / no local route</x:v>
      </x:c>
      <x:c r="N12" s="6" t="n">
        <x:v>46274.288445555554</x:v>
      </x:c>
    </x:row>
    <x:row r="13" ht="42" customHeight="1">
      <x:c r="A13" s="6" t="str">
        <x:v>https://digitecme.com/services/mercedes-oil-change-dubai</x:v>
      </x:c>
      <x:c r="B13" s="6" t="n">
        <x:v>200</x:v>
      </x:c>
      <x:c r="C13" s="6" t="str">
        <x:v>https://digitecme.com/services/mercedes-oil-change-dubai</x:v>
      </x:c>
      <x:c r="D13" s="6" t="str">
        <x:v>Mercedes Oil Change Dubai | Service &amp; Filter | Digi-Tec</x:v>
      </x:c>
      <x:c r="E13" s="6" t="str">
        <x:v>Mercedes Oil Change in Dubai</x:v>
      </x:c>
      <x:c r="F13" s="6" t="str">
        <x:v>Mercedes engine oil and filter service in Al Quoz, Dubai. VIN-matched oil approval, quantity, filter and due-service checks with a clear quotation.</x:v>
      </x:c>
      <x:c r="G13" s="6" t="str">
        <x:v>https://digitecme.com/services/mercedes-oil-change-dubai</x:v>
      </x:c>
      <x:c r="H13" s="6" t="str">
        <x:v>index, follow, max-image-preview:large</x:v>
      </x:c>
      <x:c r="I13" s="6" t="str">
        <x:v>tel:+97143402223</x:v>
      </x:c>
      <x:c r="J13" s="6" t="str">
        <x:v>https://wa.me/97143402223</x:v>
      </x:c>
      <x:c r="K13" s="6" t="n">
        <x:v>2</x:v>
      </x:c>
      <x:c r="L13" s="6" t="n">
        <x:v>0</x:v>
      </x:c>
      <x:c r="M13" s="6" t="str">
        <x:v>No / no local route</x:v>
      </x:c>
      <x:c r="N13" s="6" t="n">
        <x:v>46274.28844590278</x:v>
      </x:c>
    </x:row>
    <x:row r="14" ht="42" customHeight="1">
      <x:c r="A14" s="6" t="str">
        <x:v>https://digitecme.com/services/mercedes-transmission-repair-dubai</x:v>
      </x:c>
      <x:c r="B14" s="6" t="n">
        <x:v>200</x:v>
      </x:c>
      <x:c r="C14" s="6" t="str">
        <x:v>https://digitecme.com/services/mercedes-transmission-repair-dubai</x:v>
      </x:c>
      <x:c r="D14" s="6" t="str">
        <x:v>Mercedes Transmission &amp; Gearbox Repair Dubai | Digi-Tec</x:v>
      </x:c>
      <x:c r="E14" s="6" t="str">
        <x:v>Mercedes Transmission &amp; Gearbox Repair in Dubai</x:v>
      </x:c>
      <x:c r="F14" s="6" t="str">
        <x:v>Mercedes transmission and gearbox repair assessment in Al Quoz. Identify the fitted gearbox and compare fluid service, fault repair and replacement scope.</x:v>
      </x:c>
      <x:c r="G14" s="6" t="str">
        <x:v>https://digitecme.com/services/mercedes-transmission-repair-dubai</x:v>
      </x:c>
      <x:c r="H14" s="6" t="str">
        <x:v>index, follow, max-image-preview:large</x:v>
      </x:c>
      <x:c r="I14" s="6" t="str">
        <x:v>tel:+97143402223</x:v>
      </x:c>
      <x:c r="J14" s="6" t="str">
        <x:v>https://wa.me/97143402223</x:v>
      </x:c>
      <x:c r="K14" s="6" t="n">
        <x:v>2</x:v>
      </x:c>
      <x:c r="L14" s="6" t="n">
        <x:v>0</x:v>
      </x:c>
      <x:c r="M14" s="6" t="str">
        <x:v>No / no local route</x:v>
      </x:c>
      <x:c r="N14" s="6" t="n">
        <x:v>46274.288447708335</x:v>
      </x:c>
    </x:row>
    <x:row r="15" ht="42" customHeight="1">
      <x:c r="A15" s="6" t="str">
        <x:v>https://digitecme.com/services/mercedes-brake-repair-dubai</x:v>
      </x:c>
      <x:c r="B15" s="6" t="n">
        <x:v>200</x:v>
      </x:c>
      <x:c r="C15" s="6" t="str">
        <x:v>https://digitecme.com/services/mercedes-brake-repair-dubai</x:v>
      </x:c>
      <x:c r="D15" s="6" t="str">
        <x:v>Mercedes Brake Repair &amp; Service Dubai | Digi-Tec</x:v>
      </x:c>
      <x:c r="E15" s="6" t="str">
        <x:v>Mercedes Brake Repair &amp; Service in Dubai</x:v>
      </x:c>
      <x:c r="F15" s="6" t="str">
        <x:v>Mercedes brake repair and service in Al Quoz. Pad and disc measurements, wear sensors, hydraulic checks and fitted AMG brake specification reviewed.</x:v>
      </x:c>
      <x:c r="G15" s="6" t="str">
        <x:v>https://digitecme.com/services/mercedes-brake-repair-dubai</x:v>
      </x:c>
      <x:c r="H15" s="6" t="str">
        <x:v>index, follow, max-image-preview:large</x:v>
      </x:c>
      <x:c r="I15" s="6" t="str">
        <x:v>tel:+97143402223</x:v>
      </x:c>
      <x:c r="J15" s="6" t="str">
        <x:v>https://wa.me/97143402223</x:v>
      </x:c>
      <x:c r="K15" s="6" t="n">
        <x:v>2</x:v>
      </x:c>
      <x:c r="L15" s="6" t="n">
        <x:v>0</x:v>
      </x:c>
      <x:c r="M15" s="6" t="str">
        <x:v>No / no local route</x:v>
      </x:c>
      <x:c r="N15" s="6" t="n">
        <x:v>46274.288452430555</x:v>
      </x:c>
    </x:row>
    <x:row r="16" ht="57" customHeight="1">
      <x:c r="A16" s="6" t="str">
        <x:v>https://digitecme.com/brands/bmw-service-dubai</x:v>
      </x:c>
      <x:c r="B16" s="6" t="n">
        <x:v>200</x:v>
      </x:c>
      <x:c r="C16" s="6" t="str">
        <x:v>https://digitecme.com/brands/bmw-service-dubai</x:v>
      </x:c>
      <x:c r="D16" s="6" t="str">
        <x:v>BMW Service &amp; Repair Dubai | Independent BMW Workshop | DIGI-TEC</x:v>
      </x:c>
      <x:c r="E16" s="6" t="str">
        <x:v>BMW Service &amp; Repair Dubai</x:v>
      </x:c>
      <x:c r="F16" s="6" t="str">
        <x:v>BMW service, repair, diagnostics and maintenance in Al Quoz, Dubai. DIGI-TEC inspects BMW engine, transmission, brakes, AC, electrical and coding concerns. Book via WhatsApp.</x:v>
      </x:c>
      <x:c r="G16" s="6" t="str">
        <x:v>https://digitecme.com/brands/bmw-service-dubai</x:v>
      </x:c>
      <x:c r="H16" s="6" t="str">
        <x:v>index, follow, max-image-preview:large</x:v>
      </x:c>
      <x:c r="I16" s="6" t="str">
        <x:v>tel:+97143402223</x:v>
      </x:c>
      <x:c r="J16" s="6" t="str">
        <x:v>https://wa.me/97143402223</x:v>
      </x:c>
      <x:c r="K16" s="6" t="n">
        <x:v>2</x:v>
      </x:c>
      <x:c r="L16" s="6" t="n">
        <x:v>0</x:v>
      </x:c>
      <x:c r="M16" s="6" t="str">
        <x:v>Yes</x:v>
      </x:c>
      <x:c r="N16" s="6" t="n">
        <x:v>46274.28845261574</x:v>
      </x:c>
    </x:row>
    <x:row r="17" ht="42" customHeight="1">
      <x:c r="A17" s="6" t="str">
        <x:v>https://digitecme.com/brands/bmw-service-dubai/transmission-repair</x:v>
      </x:c>
      <x:c r="B17" s="6" t="n">
        <x:v>200</x:v>
      </x:c>
      <x:c r="C17" s="6" t="str">
        <x:v>https://digitecme.com/brands/bmw-service-dubai/transmission-repair</x:v>
      </x:c>
      <x:c r="D17" s="6" t="str">
        <x:v>BMW Transmission Repair Dubai | Digi-Tec</x:v>
      </x:c>
      <x:c r="E17" s="6" t="str">
        <x:v>BMW Transmission Repair Dubai</x:v>
      </x:c>
      <x:c r="F17" s="6" t="str">
        <x:v>BMW transmission repair in Dubai with model-specific inspection, confirmed parts options and a clear quote at Digi-Tec, Al Quoz.</x:v>
      </x:c>
      <x:c r="G17" s="6" t="str">
        <x:v>https://digitecme.com/brands/bmw-service-dubai/transmission-repair</x:v>
      </x:c>
      <x:c r="H17" s="6" t="str">
        <x:v>index, follow, max-image-preview:large</x:v>
      </x:c>
      <x:c r="I17" s="6" t="str">
        <x:v>tel:+97143402223</x:v>
      </x:c>
      <x:c r="J17" s="6" t="str">
        <x:v>https://wa.me/97143402223</x:v>
      </x:c>
      <x:c r="K17" s="6" t="n">
        <x:v>2</x:v>
      </x:c>
      <x:c r="L17" s="6" t="n">
        <x:v>0</x:v>
      </x:c>
      <x:c r="M17" s="6" t="str">
        <x:v>Yes</x:v>
      </x:c>
      <x:c r="N17" s="6" t="n">
        <x:v>46274.288455775466</x:v>
      </x:c>
    </x:row>
    <x:row r="18" ht="42" customHeight="1">
      <x:c r="A18" s="6" t="str">
        <x:v>https://digitecme.com/brands/bmw-service-dubai/engine-diagnostics</x:v>
      </x:c>
      <x:c r="B18" s="6" t="n">
        <x:v>200</x:v>
      </x:c>
      <x:c r="C18" s="6" t="str">
        <x:v>https://digitecme.com/brands/bmw-service-dubai/engine-diagnostics</x:v>
      </x:c>
      <x:c r="D18" s="6" t="str">
        <x:v>BMW Engine Diagnostics Dubai | Digi-Tec</x:v>
      </x:c>
      <x:c r="E18" s="6" t="str">
        <x:v>BMW Engine Diagnostics Dubai</x:v>
      </x:c>
      <x:c r="F18" s="6" t="str">
        <x:v>BMW engine diagnostics in Dubai with model-specific inspection, confirmed parts options and a clear quote at Digi-Tec, Al Quoz.</x:v>
      </x:c>
      <x:c r="G18" s="6" t="str">
        <x:v>https://digitecme.com/brands/bmw-service-dubai/engine-diagnostics</x:v>
      </x:c>
      <x:c r="H18" s="6" t="str">
        <x:v>index, follow, max-image-preview:large</x:v>
      </x:c>
      <x:c r="I18" s="6" t="str">
        <x:v>tel:+97143402223</x:v>
      </x:c>
      <x:c r="J18" s="6" t="str">
        <x:v>https://wa.me/97143402223</x:v>
      </x:c>
      <x:c r="K18" s="6" t="n">
        <x:v>2</x:v>
      </x:c>
      <x:c r="L18" s="6" t="n">
        <x:v>0</x:v>
      </x:c>
      <x:c r="M18" s="6" t="str">
        <x:v>Yes</x:v>
      </x:c>
      <x:c r="N18" s="6" t="n">
        <x:v>46274.2884593287</x:v>
      </x:c>
    </x:row>
    <x:row r="19" ht="42" customHeight="1">
      <x:c r="A19" s="6" t="str">
        <x:v>https://digitecme.com/brands/porsche-service-dubai</x:v>
      </x:c>
      <x:c r="B19" s="6" t="n">
        <x:v>200</x:v>
      </x:c>
      <x:c r="C19" s="6" t="str">
        <x:v>https://digitecme.com/brands/porsche-service-dubai</x:v>
      </x:c>
      <x:c r="D19" s="6" t="str">
        <x:v>Porsche Service &amp; Repair Dubai | Digi-Tec Workshop</x:v>
      </x:c>
      <x:c r="E19" s="6" t="str">
        <x:v>Porsche Repair &amp; Service Dubai</x:v>
      </x:c>
      <x:c r="F19" s="6" t="str">
        <x:v>Porsche service and repair in Dubai for 911, Cayenne, Macan, Panamera, Cayman and Taycan, with diagnostics, PDK, brakes and suspension care in Al Quoz.</x:v>
      </x:c>
      <x:c r="G19" s="6" t="str">
        <x:v>https://digitecme.com/brands/porsche-service-dubai</x:v>
      </x:c>
      <x:c r="H19" s="6" t="str">
        <x:v>index, follow, max-image-preview:large</x:v>
      </x:c>
      <x:c r="I19" s="6" t="str">
        <x:v>tel:+97143402223</x:v>
      </x:c>
      <x:c r="J19" s="6" t="str">
        <x:v>https://wa.me/97143402223</x:v>
      </x:c>
      <x:c r="K19" s="6" t="n">
        <x:v>2</x:v>
      </x:c>
      <x:c r="L19" s="6" t="n">
        <x:v>0</x:v>
      </x:c>
      <x:c r="M19" s="6" t="str">
        <x:v>Yes</x:v>
      </x:c>
      <x:c r="N19" s="6" t="n">
        <x:v>46274.28846005787</x:v>
      </x:c>
    </x:row>
    <x:row r="20" ht="42" customHeight="1">
      <x:c r="A20" s="6" t="str">
        <x:v>https://digitecme.com/brands/porsche-service-dubai/steering-repair</x:v>
      </x:c>
      <x:c r="B20" s="6" t="n">
        <x:v>200</x:v>
      </x:c>
      <x:c r="C20" s="6" t="str">
        <x:v>https://digitecme.com/brands/porsche-service-dubai/steering-repair</x:v>
      </x:c>
      <x:c r="D20" s="6" t="str">
        <x:v>Porsche Steering Repair Dubai | Digi-Tec</x:v>
      </x:c>
      <x:c r="E20" s="6" t="str">
        <x:v>Porsche Steering Repair Dubai</x:v>
      </x:c>
      <x:c r="F20" s="6" t="str">
        <x:v>Porsche steering repair in Dubai with model-specific inspection, confirmed parts options and a clear quote at Digi-Tec, Al Quoz.</x:v>
      </x:c>
      <x:c r="G20" s="6" t="str">
        <x:v>https://digitecme.com/brands/porsche-service-dubai/steering-repair</x:v>
      </x:c>
      <x:c r="H20" s="6" t="str">
        <x:v>index, follow, max-image-preview:large</x:v>
      </x:c>
      <x:c r="I20" s="6" t="str">
        <x:v>tel:+97143402223</x:v>
      </x:c>
      <x:c r="J20" s="6" t="str">
        <x:v>https://wa.me/97143402223</x:v>
      </x:c>
      <x:c r="K20" s="6" t="n">
        <x:v>2</x:v>
      </x:c>
      <x:c r="L20" s="6" t="n">
        <x:v>0</x:v>
      </x:c>
      <x:c r="M20" s="6" t="str">
        <x:v>Yes</x:v>
      </x:c>
      <x:c r="N20" s="6" t="n">
        <x:v>46274.28846265046</x:v>
      </x:c>
    </x:row>
    <x:row r="21" ht="42" customHeight="1">
      <x:c r="A21" s="6" t="str">
        <x:v>https://digitecme.com/brands/porsche-service-dubai/engine-diagnostics</x:v>
      </x:c>
      <x:c r="B21" s="6" t="n">
        <x:v>200</x:v>
      </x:c>
      <x:c r="C21" s="6" t="str">
        <x:v>https://digitecme.com/brands/porsche-service-dubai/engine-diagnostics</x:v>
      </x:c>
      <x:c r="D21" s="6" t="str">
        <x:v>Porsche Engine Diagnostics Dubai | Digi-Tec</x:v>
      </x:c>
      <x:c r="E21" s="6" t="str">
        <x:v>Porsche Engine Diagnostics Dubai</x:v>
      </x:c>
      <x:c r="F21" s="6" t="str">
        <x:v>Porsche engine diagnostics in Dubai with model-specific inspection, confirmed parts options and a clear quote at Digi-Tec, Al Quoz.</x:v>
      </x:c>
      <x:c r="G21" s="6" t="str">
        <x:v>https://digitecme.com/brands/porsche-service-dubai/engine-diagnostics</x:v>
      </x:c>
      <x:c r="H21" s="6" t="str">
        <x:v>index, follow, max-image-preview:large</x:v>
      </x:c>
      <x:c r="I21" s="6" t="str">
        <x:v>tel:+97143402223</x:v>
      </x:c>
      <x:c r="J21" s="6" t="str">
        <x:v>https://wa.me/97143402223</x:v>
      </x:c>
      <x:c r="K21" s="6" t="n">
        <x:v>2</x:v>
      </x:c>
      <x:c r="L21" s="6" t="n">
        <x:v>0</x:v>
      </x:c>
      <x:c r="M21" s="6" t="str">
        <x:v>Yes</x:v>
      </x:c>
      <x:c r="N21" s="6" t="n">
        <x:v>46274.28846604167</x:v>
      </x:c>
    </x:row>
    <x:row r="22" ht="42" customHeight="1">
      <x:c r="A22" s="6" t="str">
        <x:v>https://digitecme.com/brands/aston-martin-service-dubai/brake-repair</x:v>
      </x:c>
      <x:c r="B22" s="6" t="n">
        <x:v>200</x:v>
      </x:c>
      <x:c r="C22" s="6" t="str">
        <x:v>https://digitecme.com/brands/aston-martin-service-dubai/brake-repair</x:v>
      </x:c>
      <x:c r="D22" s="6" t="str">
        <x:v>Aston Martin Brake Repair Dubai | DIGI-TEC</x:v>
      </x:c>
      <x:c r="E22" s="6" t="str">
        <x:v>Aston Martin Brake Repair Dubai</x:v>
      </x:c>
      <x:c r="F22" s="6" t="str">
        <x:v>Aston Martin brake inspection and repair in Al Quoz, Dubai. Discuss symptoms, inspection findings and a vehicle-specific estimate with DIGI-TEC.</x:v>
      </x:c>
      <x:c r="G22" s="6" t="str">
        <x:v>https://digitecme.com/brands/aston-martin-service-dubai/brake-repair</x:v>
      </x:c>
      <x:c r="H22" s="6" t="str">
        <x:v>index, follow, max-image-preview:large</x:v>
      </x:c>
      <x:c r="I22" s="6" t="str">
        <x:v>tel:+97143402223</x:v>
      </x:c>
      <x:c r="J22" s="6" t="str">
        <x:v>https://wa.me/97143402223</x:v>
      </x:c>
      <x:c r="K22" s="6" t="n">
        <x:v>2</x:v>
      </x:c>
      <x:c r="L22" s="6" t="n">
        <x:v>0</x:v>
      </x:c>
      <x:c r="M22" s="6" t="str">
        <x:v>Yes</x:v>
      </x:c>
      <x:c r="N22" s="6" t="n">
        <x:v>46274.28846659722</x:v>
      </x:c>
    </x:row>
    <x:row r="23" ht="42" customHeight="1">
      <x:c r="A23" s="6" t="str">
        <x:v>https://digitecme.com/brands/aston-martin-service-dubai/transmission-repair</x:v>
      </x:c>
      <x:c r="B23" s="6" t="n">
        <x:v>200</x:v>
      </x:c>
      <x:c r="C23" s="6" t="str">
        <x:v>https://digitecme.com/brands/aston-martin-service-dubai/transmission-repair</x:v>
      </x:c>
      <x:c r="D23" s="6" t="str">
        <x:v>Aston Martin Transmission Repair Dubai | DIGI-TEC</x:v>
      </x:c>
      <x:c r="E23" s="6" t="str">
        <x:v>Aston Martin Transmission Repair Dubai</x:v>
      </x:c>
      <x:c r="F23" s="6" t="str">
        <x:v>Aston Martin transmission and gearbox services in Al Quoz, Dubai. Discuss symptoms, inspection findings and a vehicle-specific estimate with DIGI-TEC.</x:v>
      </x:c>
      <x:c r="G23" s="6" t="str">
        <x:v>https://digitecme.com/brands/aston-martin-service-dubai/transmission-repair</x:v>
      </x:c>
      <x:c r="H23" s="6" t="str">
        <x:v>index, follow, max-image-preview:large</x:v>
      </x:c>
      <x:c r="I23" s="6" t="str">
        <x:v>tel:+97143402223</x:v>
      </x:c>
      <x:c r="J23" s="6" t="str">
        <x:v>https://wa.me/97143402223</x:v>
      </x:c>
      <x:c r="K23" s="6" t="n">
        <x:v>2</x:v>
      </x:c>
      <x:c r="L23" s="6" t="n">
        <x:v>0</x:v>
      </x:c>
      <x:c r="M23" s="6" t="str">
        <x:v>Yes</x:v>
      </x:c>
      <x:c r="N23" s="6" t="n">
        <x:v>46274.28846981481</x:v>
      </x:c>
    </x:row>
    <x:row r="24" ht="42" customHeight="1">
      <x:c r="A24" s="6" t="str">
        <x:v>https://digitecme.com/brands/mclaren-service-dubai</x:v>
      </x:c>
      <x:c r="B24" s="6" t="n">
        <x:v>200</x:v>
      </x:c>
      <x:c r="C24" s="6" t="str">
        <x:v>https://digitecme.com/brands/mclaren-service-dubai</x:v>
      </x:c>
      <x:c r="D24" s="6" t="str">
        <x:v>McLaren Service &amp; Repair Dubai | DIGI-TEC</x:v>
      </x:c>
      <x:c r="E24" s="6" t="str">
        <x:v>McLaren Service &amp; Repair Dubai</x:v>
      </x:c>
      <x:c r="F24" s="6" t="str">
        <x:v>McLaren service and repair enquiries in Al Quoz, Dubai. Discuss maintenance, diagnostics and vehicle-specific repairs with DIGI-TEC. Request an assessment.</x:v>
      </x:c>
      <x:c r="G24" s="6" t="str">
        <x:v>https://digitecme.com/brands/mclaren-service-dubai</x:v>
      </x:c>
      <x:c r="H24" s="6" t="str">
        <x:v>index, follow, max-image-preview:large</x:v>
      </x:c>
      <x:c r="I24" s="6" t="str">
        <x:v>tel:+97143402223</x:v>
      </x:c>
      <x:c r="J24" s="6" t="str">
        <x:v>https://wa.me/97143402223</x:v>
      </x:c>
      <x:c r="K24" s="6" t="n">
        <x:v>2</x:v>
      </x:c>
      <x:c r="L24" s="6" t="n">
        <x:v>0</x:v>
      </x:c>
      <x:c r="M24" s="6" t="str">
        <x:v>Yes</x:v>
      </x:c>
      <x:c r="N24" s="6" t="n">
        <x:v>46274.288472569446</x:v>
      </x:c>
    </x:row>
    <x:row r="25" ht="42" customHeight="1">
      <x:c r="A25" s="6" t="str">
        <x:v>https://digitecme.com/brands/mclaren-service-dubai/oil-change</x:v>
      </x:c>
      <x:c r="B25" s="6" t="n">
        <x:v>200</x:v>
      </x:c>
      <x:c r="C25" s="6" t="str">
        <x:v>https://digitecme.com/brands/mclaren-service-dubai/oil-change</x:v>
      </x:c>
      <x:c r="D25" s="6" t="str">
        <x:v>McLaren Oil Change &amp; Maintenance Dubai | DIGI-TEC</x:v>
      </x:c>
      <x:c r="E25" s="6" t="str">
        <x:v>McLaren Oil Change &amp; Maintenance Dubai</x:v>
      </x:c>
      <x:c r="F25" s="6" t="str">
        <x:v>McLaren oil service and maintenance assessment in Al Quoz, Dubai. Oil, filters and service scope are matched to the exact model and year.</x:v>
      </x:c>
      <x:c r="G25" s="6" t="str">
        <x:v>https://digitecme.com/brands/mclaren-service-dubai/oil-change</x:v>
      </x:c>
      <x:c r="H25" s="6" t="str">
        <x:v>index, follow, max-image-preview:large</x:v>
      </x:c>
      <x:c r="I25" s="6" t="str">
        <x:v>tel:+97143402223</x:v>
      </x:c>
      <x:c r="J25" s="6" t="str">
        <x:v>https://wa.me/97143402223</x:v>
      </x:c>
      <x:c r="K25" s="6" t="n">
        <x:v>2</x:v>
      </x:c>
      <x:c r="L25" s="6" t="n">
        <x:v>0</x:v>
      </x:c>
      <x:c r="M25" s="6" t="str">
        <x:v>Yes</x:v>
      </x:c>
      <x:c r="N25" s="6" t="n">
        <x:v>46274.28847394676</x:v>
      </x:c>
    </x:row>
    <x:row r="26" ht="42" customHeight="1">
      <x:c r="A26" s="6" t="str">
        <x:v>https://digitecme.com/brands/ferrari-service-dubai</x:v>
      </x:c>
      <x:c r="B26" s="6" t="n">
        <x:v>200</x:v>
      </x:c>
      <x:c r="C26" s="6" t="str">
        <x:v>https://digitecme.com/brands/ferrari-service-dubai</x:v>
      </x:c>
      <x:c r="D26" s="6" t="str">
        <x:v>Ferrari Service &amp; Repair Dubai | DIGI-TEC</x:v>
      </x:c>
      <x:c r="E26" s="6" t="str">
        <x:v>Ferrari Service &amp; Repair Dubai</x:v>
      </x:c>
      <x:c r="F26" s="6" t="str">
        <x:v>Ferrari service and repair in Dubai at DIGI-TEC. Independent diagnostics, maintenance, engine, transmission, brake, suspension and electrical work in Al Quoz.</x:v>
      </x:c>
      <x:c r="G26" s="6" t="str">
        <x:v>https://digitecme.com/brands/ferrari-service-dubai</x:v>
      </x:c>
      <x:c r="H26" s="6" t="str">
        <x:v>index, follow, max-image-preview:large</x:v>
      </x:c>
      <x:c r="I26" s="6" t="str">
        <x:v>tel:+97143402223</x:v>
      </x:c>
      <x:c r="J26" s="6" t="str">
        <x:v>https://wa.me/97143402223</x:v>
      </x:c>
      <x:c r="K26" s="6" t="n">
        <x:v>2</x:v>
      </x:c>
      <x:c r="L26" s="6" t="n">
        <x:v>0</x:v>
      </x:c>
      <x:c r="M26" s="6" t="str">
        <x:v>Yes</x:v>
      </x:c>
      <x:c r="N26" s="6" t="n">
        <x:v>46274.288476354166</x:v>
      </x:c>
    </x:row>
    <x:row r="27" ht="42" customHeight="1">
      <x:c r="A27" s="6" t="str">
        <x:v>https://digitecme.com/brands/rolls-royce-service-dubai</x:v>
      </x:c>
      <x:c r="B27" s="6" t="n">
        <x:v>200</x:v>
      </x:c>
      <x:c r="C27" s="6" t="str">
        <x:v>https://digitecme.com/brands/rolls-royce-service-dubai</x:v>
      </x:c>
      <x:c r="D27" s="6" t="str">
        <x:v>Rolls-Royce Service &amp; Repair Dubai | DIGI-TEC</x:v>
      </x:c>
      <x:c r="E27" s="6" t="str">
        <x:v>Rolls-Royce Service &amp; Repair Dubai</x:v>
      </x:c>
      <x:c r="F27" s="6" t="str">
        <x:v>Independent Rolls-Royce service and repair in Al Quoz, Dubai. Contact DIGI-TEC for maintenance, diagnostics and a vehicle-specific service estimate.</x:v>
      </x:c>
      <x:c r="G27" s="6" t="str">
        <x:v>https://digitecme.com/brands/rolls-royce-service-dubai</x:v>
      </x:c>
      <x:c r="H27" s="6" t="str">
        <x:v>index, follow, max-image-preview:large</x:v>
      </x:c>
      <x:c r="I27" s="6" t="str">
        <x:v>tel:+97143402223</x:v>
      </x:c>
      <x:c r="J27" s="6" t="str">
        <x:v>https://wa.me/97143402223</x:v>
      </x:c>
      <x:c r="K27" s="6" t="n">
        <x:v>2</x:v>
      </x:c>
      <x:c r="L27" s="6" t="n">
        <x:v>0</x:v>
      </x:c>
      <x:c r="M27" s="6" t="str">
        <x:v>Yes</x:v>
      </x:c>
      <x:c r="N27" s="6" t="n">
        <x:v>46274.28847988426</x:v>
      </x:c>
    </x:row>
    <x:row r="28" ht="42" customHeight="1">
      <x:c r="A28" s="6" t="str">
        <x:v>https://digitecme.com/brands/lamborghini-service-dubai</x:v>
      </x:c>
      <x:c r="B28" s="6" t="n">
        <x:v>200</x:v>
      </x:c>
      <x:c r="C28" s="6" t="str">
        <x:v>https://digitecme.com/brands/lamborghini-service-dubai</x:v>
      </x:c>
      <x:c r="D28" s="6" t="str">
        <x:v>Lamborghini Service &amp; Repair Dubai | DIGI-TEC</x:v>
      </x:c>
      <x:c r="E28" s="6" t="str">
        <x:v>Lamborghini Service &amp; Repair Dubai</x:v>
      </x:c>
      <x:c r="F28" s="6" t="str">
        <x:v>Lamborghini service and repair in Al Quoz, Dubai. Discuss maintenance, diagnostics and repairs for your model with DIGI-TEC. Request a service assessment.</x:v>
      </x:c>
      <x:c r="G28" s="6" t="str">
        <x:v>https://digitecme.com/brands/lamborghini-service-dubai</x:v>
      </x:c>
      <x:c r="H28" s="6" t="str">
        <x:v>index, follow, max-image-preview:large</x:v>
      </x:c>
      <x:c r="I28" s="6" t="str">
        <x:v>tel:+97143402223</x:v>
      </x:c>
      <x:c r="J28" s="6" t="str">
        <x:v>https://wa.me/97143402223</x:v>
      </x:c>
      <x:c r="K28" s="6" t="n">
        <x:v>2</x:v>
      </x:c>
      <x:c r="L28" s="6" t="n">
        <x:v>0</x:v>
      </x:c>
      <x:c r="M28" s="6" t="str">
        <x:v>Yes</x:v>
      </x:c>
      <x:c r="N28" s="6" t="n">
        <x:v>46274.28848369213</x:v>
      </x:c>
    </x:row>
    <x:row r="29" ht="42" customHeight="1">
      <x:c r="A29" s="6" t="str">
        <x:v>https://digitecme.com/services/oil-change-dubai</x:v>
      </x:c>
      <x:c r="B29" s="6" t="n">
        <x:v>200</x:v>
      </x:c>
      <x:c r="C29" s="6" t="str">
        <x:v>https://digitecme.com/services/oil-change-dubai</x:v>
      </x:c>
      <x:c r="D29" s="6" t="str">
        <x:v>Car Oil Change Dubai | Vehicle-Specified Oil &amp; Filter | Digi-Tec</x:v>
      </x:c>
      <x:c r="E29" s="6" t="str">
        <x:v>Oil Change in Dubai</x:v>
      </x:c>
      <x:c r="F29" s="6" t="str">
        <x:v>Car oil change in Dubai with oil approval, viscosity, capacity and filter selected for the exact vehicle. Book Digi-Tec for a confirmed estimate.</x:v>
      </x:c>
      <x:c r="G29" s="6" t="str">
        <x:v>https://digitecme.com/services/oil-change-dubai</x:v>
      </x:c>
      <x:c r="H29" s="6" t="str">
        <x:v>index, follow, max-image-preview:large</x:v>
      </x:c>
      <x:c r="I29" s="6" t="str">
        <x:v>tel:+97143402223</x:v>
      </x:c>
      <x:c r="J29" s="6" t="str">
        <x:v>https://wa.me/97143402223</x:v>
      </x:c>
      <x:c r="K29" s="6" t="n">
        <x:v>2</x:v>
      </x:c>
      <x:c r="L29" s="6" t="n">
        <x:v>0</x:v>
      </x:c>
      <x:c r="M29" s="6" t="str">
        <x:v>Yes</x:v>
      </x:c>
      <x:c r="N29" s="6" t="n">
        <x:v>46274.28848299768</x:v>
      </x:c>
    </x:row>
    <x:row r="30" ht="42" customHeight="1">
      <x:c r="A30" s="6" t="str">
        <x:v>https://digitecme.com/services/exhaust-repair-dubai</x:v>
      </x:c>
      <x:c r="B30" s="6" t="n">
        <x:v>200</x:v>
      </x:c>
      <x:c r="C30" s="6" t="str">
        <x:v>https://digitecme.com/services/exhaust-repair-dubai</x:v>
      </x:c>
      <x:c r="D30" s="6" t="str">
        <x:v>Exhaust Repair Dubai | Cat, Muffler, DPF &amp; Performance</x:v>
      </x:c>
      <x:c r="E30" s="6" t="str">
        <x:v>Exhaust Repair in Dubai</x:v>
      </x:c>
      <x:c r="F30" s="6" t="str">
        <x:v>Exhaust inspection and repair in Dubai for leaks, mufflers, sensors, catalysts, DPF concerns and compatible performance systems.</x:v>
      </x:c>
      <x:c r="G30" s="6" t="str">
        <x:v>https://digitecme.com/services/exhaust-repair-dubai</x:v>
      </x:c>
      <x:c r="H30" s="6" t="str">
        <x:v>index, follow, max-image-preview:large</x:v>
      </x:c>
      <x:c r="I30" s="6" t="str">
        <x:v>tel:+97143402223</x:v>
      </x:c>
      <x:c r="J30" s="6" t="str">
        <x:v>https://wa.me/97143402223</x:v>
      </x:c>
      <x:c r="K30" s="6" t="n">
        <x:v>2</x:v>
      </x:c>
      <x:c r="L30" s="6" t="n">
        <x:v>0</x:v>
      </x:c>
      <x:c r="M30" s="6" t="str">
        <x:v>Yes</x:v>
      </x:c>
      <x:c r="N30" s="6" t="n">
        <x:v>46274.28848695602</x:v>
      </x:c>
    </x:row>
    <x:row r="31" ht="42" customHeight="1">
      <x:c r="A31" s="6" t="str">
        <x:v>https://digitecme.com/services/steering-repair-dubai</x:v>
      </x:c>
      <x:c r="B31" s="6" t="n">
        <x:v>200</x:v>
      </x:c>
      <x:c r="C31" s="6" t="str">
        <x:v>https://digitecme.com/services/steering-repair-dubai</x:v>
      </x:c>
      <x:c r="D31" s="6" t="str">
        <x:v>Steering Repair Dubai | Power Steering, Rack &amp; EPS</x:v>
      </x:c>
      <x:c r="E31" s="6" t="str">
        <x:v>Steering Repair in Dubai</x:v>
      </x:c>
      <x:c r="F31" s="6" t="str">
        <x:v>Heavy, noisy or leaking steering? Book rack, pump and EPS inspection and repair in Dubai for selected German and luxury cars.</x:v>
      </x:c>
      <x:c r="G31" s="6" t="str">
        <x:v>https://digitecme.com/services/steering-repair-dubai</x:v>
      </x:c>
      <x:c r="H31" s="6" t="str">
        <x:v>index, follow, max-image-preview:large</x:v>
      </x:c>
      <x:c r="I31" s="6" t="str">
        <x:v>tel:+97143402223</x:v>
      </x:c>
      <x:c r="J31" s="6" t="str">
        <x:v>https://wa.me/97143402223</x:v>
      </x:c>
      <x:c r="K31" s="6" t="n">
        <x:v>2</x:v>
      </x:c>
      <x:c r="L31" s="6" t="n">
        <x:v>0</x:v>
      </x:c>
      <x:c r="M31" s="6" t="str">
        <x:v>Yes</x:v>
      </x:c>
      <x:c r="N31" s="6" t="n">
        <x:v>46274.28849019676</x:v>
      </x:c>
    </x:row>
    <x:row r="32" ht="42" customHeight="1">
      <x:c r="A32" s="6" t="str">
        <x:v>https://digitecme.com/services/tire-repair-dubai</x:v>
      </x:c>
      <x:c r="B32" s="6" t="n">
        <x:v>200</x:v>
      </x:c>
      <x:c r="C32" s="6" t="str">
        <x:v>https://digitecme.com/services/tire-repair-dubai</x:v>
      </x:c>
      <x:c r="D32" s="6" t="str">
        <x:v>Tire Repair Dubai | Puncture Assessment &amp; Fitment | Digitec</x:v>
      </x:c>
      <x:c r="E32" s="6" t="str">
        <x:v>Tire Repair Dubai</x:v>
      </x:c>
      <x:c r="F32" s="6" t="str">
        <x:v>Tire repair in Dubai with puncture assessment, replacement, balancing and alignment subject to vehicle fitment and product availability.</x:v>
      </x:c>
      <x:c r="G32" s="6" t="str">
        <x:v>https://digitecme.com/services/tire-repair-dubai</x:v>
      </x:c>
      <x:c r="H32" s="6" t="str">
        <x:v>index, follow, max-image-preview:large</x:v>
      </x:c>
      <x:c r="I32" s="6" t="str">
        <x:v>tel:+97143402223</x:v>
      </x:c>
      <x:c r="J32" s="6" t="str">
        <x:v>https://wa.me/97143402223</x:v>
      </x:c>
      <x:c r="K32" s="6" t="n">
        <x:v>2</x:v>
      </x:c>
      <x:c r="L32" s="6" t="n">
        <x:v>0</x:v>
      </x:c>
      <x:c r="M32" s="6" t="str">
        <x:v>Yes</x:v>
      </x:c>
      <x:c r="N32" s="6" t="n">
        <x:v>46274.28849034722</x:v>
      </x:c>
    </x:row>
    <x:row r="33" ht="42" customHeight="1">
      <x:c r="A33" s="6" t="str">
        <x:v>https://digitecme.com/services/paint-protection-film</x:v>
      </x:c>
      <x:c r="B33" s="6" t="n">
        <x:v>200</x:v>
      </x:c>
      <x:c r="C33" s="6" t="str">
        <x:v>https://digitecme.com/services/paint-protection-film</x:v>
      </x:c>
      <x:c r="D33" s="6" t="str">
        <x:v>PPF Dubai | Paint Protection Film for Cars | DIGI-TEC</x:v>
      </x:c>
      <x:c r="E33" s="6" t="str">
        <x:v>Paint Protection Film (PPF) Dubai</x:v>
      </x:c>
      <x:c r="F33" s="6" t="str">
        <x:v>PPF installation in Dubai for luxury and performance cars. Explore full-body and selected-panel paint protection film at DIGI-TEC. Get your car’s quote.</x:v>
      </x:c>
      <x:c r="G33" s="6" t="str">
        <x:v>https://digitecme.com/services/paint-protection-film</x:v>
      </x:c>
      <x:c r="H33" s="6" t="str">
        <x:v>index, follow, max-image-preview:large</x:v>
      </x:c>
      <x:c r="I33" s="6" t="str">
        <x:v>tel:+97143402223</x:v>
      </x:c>
      <x:c r="J33" s="6" t="str">
        <x:v>https://wa.me/97143402223</x:v>
      </x:c>
      <x:c r="K33" s="6" t="n">
        <x:v>2</x:v>
      </x:c>
      <x:c r="L33" s="6" t="n">
        <x:v>0</x:v>
      </x:c>
      <x:c r="M33" s="6" t="str">
        <x:v>Yes</x:v>
      </x:c>
      <x:c r="N33" s="6" t="n">
        <x:v>46274.28849395833</x:v>
      </x:c>
    </x:row>
    <x:row r="34" ht="42" customHeight="1">
      <x:c r="A34" s="6" t="str">
        <x:v>https://digitecme.com/services/ceramic-coating</x:v>
      </x:c>
      <x:c r="B34" s="6" t="n">
        <x:v>200</x:v>
      </x:c>
      <x:c r="C34" s="6" t="str">
        <x:v>https://digitecme.com/services/ceramic-coating</x:v>
      </x:c>
      <x:c r="D34" s="6" t="str">
        <x:v>Ceramic Coating Dubai | Car Paint Protection | DIGI-TEC</x:v>
      </x:c>
      <x:c r="E34" s="6" t="str">
        <x:v>Ceramic Coating Dubai</x:v>
      </x:c>
      <x:c r="F34" s="6" t="str">
        <x:v>Professional ceramic coating in Dubai for luxury and performance cars. Explore paint preparation and surface protection at DIGI-TEC. Request your quote.</x:v>
      </x:c>
      <x:c r="G34" s="6" t="str">
        <x:v>https://digitecme.com/services/ceramic-coating</x:v>
      </x:c>
      <x:c r="H34" s="6" t="str">
        <x:v>index, follow, max-image-preview:large</x:v>
      </x:c>
      <x:c r="I34" s="6" t="str">
        <x:v>tel:+97143402223</x:v>
      </x:c>
      <x:c r="J34" s="6" t="str">
        <x:v>https://wa.me/97143402223</x:v>
      </x:c>
      <x:c r="K34" s="6" t="n">
        <x:v>2</x:v>
      </x:c>
      <x:c r="L34" s="6" t="n">
        <x:v>0</x:v>
      </x:c>
      <x:c r="M34" s="6" t="str">
        <x:v>Yes</x:v>
      </x:c>
      <x:c r="N34" s="6" t="n">
        <x:v>46274.2884975</x:v>
      </x:c>
    </x:row>
    <x:row r="35" ht="42" customHeight="1">
      <x:c r="A35" s="6" t="str">
        <x:v>https://digitecme.com/services/paint-protection-dubai</x:v>
      </x:c>
      <x:c r="B35" s="6" t="n">
        <x:v>200</x:v>
      </x:c>
      <x:c r="C35" s="6" t="str">
        <x:v>https://digitecme.com/services/paint-protection-dubai</x:v>
      </x:c>
      <x:c r="D35" s="6" t="str">
        <x:v>Car Paint Care Dubai | Correction &amp; Protection | DIGI-TEC</x:v>
      </x:c>
      <x:c r="E35" s="6" t="str">
        <x:v>Car Paint Care &amp; Protection Options in Dubai</x:v>
      </x:c>
      <x:c r="F35" s="6" t="str">
        <x:v>Explore paint correction, ceramic coating and film options at DIGI-TEC in Dubai. Assess your car’s paint condition and choose a suitable care service.</x:v>
      </x:c>
      <x:c r="G35" s="6" t="str">
        <x:v>https://digitecme.com/services/paint-protection-dubai</x:v>
      </x:c>
      <x:c r="H35" s="6" t="str">
        <x:v>index, follow, max-image-preview:large</x:v>
      </x:c>
      <x:c r="I35" s="6" t="str">
        <x:v>tel:+97143402223</x:v>
      </x:c>
      <x:c r="J35" s="6" t="str">
        <x:v>https://wa.me/97143402223</x:v>
      </x:c>
      <x:c r="K35" s="6" t="n">
        <x:v>2</x:v>
      </x:c>
      <x:c r="L35" s="6" t="n">
        <x:v>0</x:v>
      </x:c>
      <x:c r="M35" s="6" t="str">
        <x:v>Yes</x:v>
      </x:c>
      <x:c r="N35" s="6" t="n">
        <x:v>46274.28849731482</x:v>
      </x:c>
    </x:row>
    <x:row r="36" ht="42" customHeight="1">
      <x:c r="A36" s="6" t="str">
        <x:v>https://digitecme.com/services/car-polishing-dubai</x:v>
      </x:c>
      <x:c r="B36" s="6" t="n">
        <x:v>200</x:v>
      </x:c>
      <x:c r="C36" s="6" t="str">
        <x:v>https://digitecme.com/services/car-polishing-dubai</x:v>
      </x:c>
      <x:c r="D36" s="6" t="str">
        <x:v>Car Polishing &amp; Paint Correction Dubai | DIGI-TEC</x:v>
      </x:c>
      <x:c r="E36" s="6" t="str">
        <x:v>Car Polishing &amp; Paint Correction Dubai</x:v>
      </x:c>
      <x:c r="F36" s="6" t="str">
        <x:v>Professional car polishing and paint correction in Dubai. Assess swirl marks, light scratches and dull paint on your premium car. Get a DIGI-TEC quote.</x:v>
      </x:c>
      <x:c r="G36" s="6" t="str">
        <x:v>https://digitecme.com/services/car-polishing-dubai</x:v>
      </x:c>
      <x:c r="H36" s="6" t="str">
        <x:v>index, follow, max-image-preview:large</x:v>
      </x:c>
      <x:c r="I36" s="6" t="str">
        <x:v>tel:+97143402223</x:v>
      </x:c>
      <x:c r="J36" s="6" t="str">
        <x:v>https://wa.me/97143402223</x:v>
      </x:c>
      <x:c r="K36" s="6" t="n">
        <x:v>2</x:v>
      </x:c>
      <x:c r="L36" s="6" t="n">
        <x:v>0</x:v>
      </x:c>
      <x:c r="M36" s="6" t="str">
        <x:v>Yes</x:v>
      </x:c>
      <x:c r="N36" s="6" t="n">
        <x:v>46274.28850030093</x:v>
      </x:c>
    </x:row>
    <x:row r="37" ht="42" customHeight="1">
      <x:c r="A37" s="6" t="str">
        <x:v>https://digitecme.com/services/car-garage-dubai</x:v>
      </x:c>
      <x:c r="B37" s="6" t="n">
        <x:v>200</x:v>
      </x:c>
      <x:c r="C37" s="6" t="str">
        <x:v>https://digitecme.com/services/car-garage-dubai</x:v>
      </x:c>
      <x:c r="D37" s="6" t="str">
        <x:v>Car Garage Dubai | DIGI-TEC Performance Center</x:v>
      </x:c>
      <x:c r="E37" s="6" t="str">
        <x:v>Car Garage in Dubai</x:v>
      </x:c>
      <x:c r="F37" s="6" t="str">
        <x:v>DIGI-TEC is a car garage in Dubai for diagnostics, servicing, mechanical repair, brakes, suspension, electrical systems and performance vehicles in Al Quoz.</x:v>
      </x:c>
      <x:c r="G37" s="6" t="str">
        <x:v>https://digitecme.com/services/car-garage-dubai</x:v>
      </x:c>
      <x:c r="H37" s="6" t="str">
        <x:v>index, follow, max-image-preview:large</x:v>
      </x:c>
      <x:c r="I37" s="6" t="str">
        <x:v>tel:+97143402223</x:v>
      </x:c>
      <x:c r="J37" s="6" t="str">
        <x:v>https://wa.me/97143402223</x:v>
      </x:c>
      <x:c r="K37" s="6" t="n">
        <x:v>2</x:v>
      </x:c>
      <x:c r="L37" s="6" t="n">
        <x:v>0</x:v>
      </x:c>
      <x:c r="M37" s="6" t="str">
        <x:v>Yes</x:v>
      </x:c>
      <x:c r="N37" s="6" t="n">
        <x:v>46274.28850429398</x:v>
      </x:c>
    </x:row>
    <x:row r="38" ht="42" customHeight="1">
      <x:c r="A38" s="6" t="str">
        <x:v>https://digitecme.com/services/garage-near-me-dubai</x:v>
      </x:c>
      <x:c r="B38" s="6" t="n">
        <x:v>200</x:v>
      </x:c>
      <x:c r="C38" s="6" t="str">
        <x:v>https://digitecme.com/services/garage-near-me-dubai</x:v>
      </x:c>
      <x:c r="D38" s="6" t="str">
        <x:v>Garage Near Me Dubai | DIGI-TEC Al Quoz</x:v>
      </x:c>
      <x:c r="E38" s="6" t="str">
        <x:v>Garage Near Me in Dubai</x:v>
      </x:c>
      <x:c r="F38" s="6" t="str">
        <x:v>Looking for a garage near you in Dubai? Visit DIGI-TEC in Al Quoz for diagnostics, maintenance, repairs and clear workshop advice for all vehicle types.</x:v>
      </x:c>
      <x:c r="G38" s="6" t="str">
        <x:v>https://digitecme.com/services/garage-near-me-dubai</x:v>
      </x:c>
      <x:c r="H38" s="6" t="str">
        <x:v>index, follow, max-image-preview:large</x:v>
      </x:c>
      <x:c r="I38" s="6" t="str">
        <x:v>tel:+97143402223</x:v>
      </x:c>
      <x:c r="J38" s="6" t="str">
        <x:v>https://wa.me/97143402223</x:v>
      </x:c>
      <x:c r="K38" s="6" t="n">
        <x:v>2</x:v>
      </x:c>
      <x:c r="L38" s="6" t="n">
        <x:v>0</x:v>
      </x:c>
      <x:c r="M38" s="6" t="str">
        <x:v>Yes</x:v>
      </x:c>
      <x:c r="N38" s="6" t="n">
        <x:v>46274.28850501157</x:v>
      </x:c>
    </x:row>
  </x:sheetData>
  <x:pageMargins left="0.7" right="0.7" top="0.75" bottom="0.75" header="0.3" footer="0.3"/>
  <x:tableParts count="1">
    <x:tablePart xmlns:r="http://schemas.openxmlformats.org/officeDocument/2006/relationships" r:id="R30d03c1be32f4cd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8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9" hidden="0" customWidth="1"/>
    <x:col min="8" max="8" width="20" hidden="0" customWidth="1"/>
    <x:col min="9" max="9" width="20" hidden="0" customWidth="1"/>
    <x:col min="10" max="10" width="24" hidden="0" customWidth="1"/>
  </x:cols>
  <x:sheetData>
    <x:row r="1" ht="30" customHeight="1">
      <x:c r="A1" s="2" t="str">
        <x:v>Opportunity score inputs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Editorial inputs plus formula-driven ranking, volume, CTR and weighted position factors.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2" customHeight="1">
      <x:c r="A5" s="10" t="str">
        <x:v>Query</x:v>
      </x:c>
      <x:c r="B5" s="11" t="str">
        <x:v>Intent factor</x:v>
      </x:c>
      <x:c r="C5" s="11" t="str">
        <x:v>Business value</x:v>
      </x:c>
      <x:c r="D5" s="11" t="str">
        <x:v>Ranking factor</x:v>
      </x:c>
      <x:c r="E5" s="11" t="str">
        <x:v>Volume factor</x:v>
      </x:c>
      <x:c r="F5" s="11" t="str">
        <x:v>CTR triage factor</x:v>
      </x:c>
      <x:c r="G5" s="11" t="str">
        <x:v>Page readiness</x:v>
      </x:c>
      <x:c r="H5" s="11" t="str">
        <x:v>Relevance multiplier</x:v>
      </x:c>
      <x:c r="I5" s="11" t="str">
        <x:v>Opportunity score</x:v>
      </x:c>
      <x:c r="J5" s="12" t="str">
        <x:v>Impressions × position</x:v>
      </x:c>
    </x:row>
    <x:row r="6" ht="32" customHeight="1">
      <x:c r="A6" s="6" t="str">
        <x:v>digitec performance center</x:v>
      </x:c>
      <x:c r="B6" s="16" t="n">
        <x:v>0.6</x:v>
      </x:c>
      <x:c r="C6" s="16" t="n">
        <x:v>3</x:v>
      </x:c>
      <x:c r="D6" s="16" t="n">
        <x:f>IF('Queries'!E6&lt;='Rules'!$B$17,'Rules'!$B$21,IF('Queries'!E6&lt;='Rules'!$B$18,'Rules'!$B$22,IF('Queries'!E6&lt;='Rules'!$B$19,'Rules'!$B$23,IF('Queries'!E6&lt;='Rules'!$B$20,'Rules'!$B$24,'Rules'!$B$25))))</x:f>
        <x:v>0.3</x:v>
      </x:c>
      <x:c r="E6" s="16" t="n">
        <x:f>MIN(LOG10(1+'Queries'!C6)/'Rules'!$B$13,1)</x:f>
        <x:v>0.6966350371464666</x:v>
      </x:c>
      <x:c r="F6" s="16" t="n">
        <x:f>IF(AND('Queries'!E6&lt;='Rules'!$B$15,'Queries'!C6&gt;='Rules'!$B$14,'Queries'!D6&lt;'Rules'!$B$16),1,0)</x:f>
        <x:v>0</x:v>
      </x:c>
      <x:c r="G6" s="16" t="n">
        <x:v>1</x:v>
      </x:c>
      <x:c r="H6" s="16" t="n">
        <x:v>1</x:v>
      </x:c>
      <x:c r="I6" s="16" t="n">
        <x:f>ROUND((B6*'Rules'!$B$6+C6/'Rules'!$B$12*'Rules'!$B$7+D6*'Rules'!$B$8+E6*'Rules'!$B$9+F6*'Rules'!$B$10+G6*'Rules'!$B$11)*H6,1)</x:f>
        <x:v>51.5</x:v>
      </x:c>
      <x:c r="J6" s="18" t="n">
        <x:f>'Queries'!C6*'Queries'!E6</x:f>
        <x:v>130.54000000000002</x:v>
      </x:c>
    </x:row>
    <x:row r="7" ht="32" customHeight="1">
      <x:c r="A7" s="6" t="str">
        <x:v>digitec</x:v>
      </x:c>
      <x:c r="B7" s="16" t="n">
        <x:v>0.6</x:v>
      </x:c>
      <x:c r="C7" s="16" t="n">
        <x:v>3</x:v>
      </x:c>
      <x:c r="D7" s="16" t="n">
        <x:f>IF('Queries'!E7&lt;='Rules'!$B$17,'Rules'!$B$21,IF('Queries'!E7&lt;='Rules'!$B$18,'Rules'!$B$22,IF('Queries'!E7&lt;='Rules'!$B$19,'Rules'!$B$23,IF('Queries'!E7&lt;='Rules'!$B$20,'Rules'!$B$24,'Rules'!$B$25))))</x:f>
        <x:v>0.3</x:v>
      </x:c>
      <x:c r="E7" s="16" t="n">
        <x:f>MIN(LOG10(1+'Queries'!C7)/'Rules'!$B$13,1)</x:f>
        <x:v>0.7476793495620967</x:v>
      </x:c>
      <x:c r="F7" s="16" t="n">
        <x:f>IF(AND('Queries'!E7&lt;='Rules'!$B$15,'Queries'!C7&gt;='Rules'!$B$14,'Queries'!D7&lt;'Rules'!$B$16),1,0)</x:f>
        <x:v>0</x:v>
      </x:c>
      <x:c r="G7" s="16" t="n">
        <x:v>1</x:v>
      </x:c>
      <x:c r="H7" s="16" t="n">
        <x:v>0.65</x:v>
      </x:c>
      <x:c r="I7" s="16" t="n">
        <x:f>ROUND((B7*'Rules'!$B$6+C7/'Rules'!$B$12*'Rules'!$B$7+D7*'Rules'!$B$8+E7*'Rules'!$B$9+F7*'Rules'!$B$10+G7*'Rules'!$B$11)*H7,1)</x:f>
        <x:v>33.8</x:v>
      </x:c>
      <x:c r="J7" s="18" t="n">
        <x:f>'Queries'!C7*'Queries'!E7</x:f>
        <x:v>506.34000000000003</x:v>
      </x:c>
    </x:row>
    <x:row r="8" ht="32" customHeight="1">
      <x:c r="A8" s="6" t="str">
        <x:v>mercedes repair dubai</x:v>
      </x:c>
      <x:c r="B8" s="16" t="n">
        <x:v>1</x:v>
      </x:c>
      <x:c r="C8" s="16" t="n">
        <x:v>5</x:v>
      </x:c>
      <x:c r="D8" s="16" t="n">
        <x:f>IF('Queries'!E8&lt;='Rules'!$B$17,'Rules'!$B$21,IF('Queries'!E8&lt;='Rules'!$B$18,'Rules'!$B$22,IF('Queries'!E8&lt;='Rules'!$B$19,'Rules'!$B$23,IF('Queries'!E8&lt;='Rules'!$B$20,'Rules'!$B$24,'Rules'!$B$25))))</x:f>
        <x:v>1</x:v>
      </x:c>
      <x:c r="E8" s="16" t="n">
        <x:f>MIN(LOG10(1+'Queries'!C8)/'Rules'!$B$13,1)</x:f>
        <x:v>0.9933344571945834</x:v>
      </x:c>
      <x:c r="F8" s="16" t="n">
        <x:f>IF(AND('Queries'!E8&lt;='Rules'!$B$15,'Queries'!C8&gt;='Rules'!$B$14,'Queries'!D8&lt;'Rules'!$B$16),1,0)</x:f>
        <x:v>0</x:v>
      </x:c>
      <x:c r="G8" s="16" t="n">
        <x:v>1</x:v>
      </x:c>
      <x:c r="H8" s="16" t="n">
        <x:v>1</x:v>
      </x:c>
      <x:c r="I8" s="16" t="n">
        <x:f>ROUND((B8*'Rules'!$B$6+C8/'Rules'!$B$12*'Rules'!$B$7+D8*'Rules'!$B$8+E8*'Rules'!$B$9+F8*'Rules'!$B$10+G8*'Rules'!$B$11)*H8,1)</x:f>
        <x:v>89.9</x:v>
      </x:c>
      <x:c r="J8" s="18" t="n">
        <x:f>'Queries'!C8*'Queries'!E8</x:f>
        <x:v>10150.560000000001</x:v>
      </x:c>
    </x:row>
    <x:row r="9" ht="32" customHeight="1">
      <x:c r="A9" s="6" t="str">
        <x:v>gad tuning</x:v>
      </x:c>
      <x:c r="B9" s="16" t="n">
        <x:v>0.8</x:v>
      </x:c>
      <x:c r="C9" s="16" t="n">
        <x:v>5</x:v>
      </x:c>
      <x:c r="D9" s="16" t="n">
        <x:f>IF('Queries'!E9&lt;='Rules'!$B$17,'Rules'!$B$21,IF('Queries'!E9&lt;='Rules'!$B$18,'Rules'!$B$22,IF('Queries'!E9&lt;='Rules'!$B$19,'Rules'!$B$23,IF('Queries'!E9&lt;='Rules'!$B$20,'Rules'!$B$24,'Rules'!$B$25))))</x:f>
        <x:v>1</x:v>
      </x:c>
      <x:c r="E9" s="16" t="n">
        <x:f>MIN(LOG10(1+'Queries'!C9)/'Rules'!$B$13,1)</x:f>
        <x:v>0.7001235150391866</x:v>
      </x:c>
      <x:c r="F9" s="16" t="n">
        <x:f>IF(AND('Queries'!E9&lt;='Rules'!$B$15,'Queries'!C9&gt;='Rules'!$B$14,'Queries'!D9&lt;'Rules'!$B$16),1,0)</x:f>
        <x:v>0</x:v>
      </x:c>
      <x:c r="G9" s="16" t="n">
        <x:v>1</x:v>
      </x:c>
      <x:c r="H9" s="16" t="n">
        <x:v>1</x:v>
      </x:c>
      <x:c r="I9" s="16" t="n">
        <x:f>ROUND((B9*'Rules'!$B$6+C9/'Rules'!$B$12*'Rules'!$B$7+D9*'Rules'!$B$8+E9*'Rules'!$B$9+F9*'Rules'!$B$10+G9*'Rules'!$B$11)*H9,1)</x:f>
        <x:v>82</x:v>
      </x:c>
      <x:c r="J9" s="18" t="n">
        <x:f>'Queries'!C9*'Queries'!E9</x:f>
        <x:v>1196.25</x:v>
      </x:c>
    </x:row>
    <x:row r="10" ht="32" customHeight="1">
      <x:c r="A10" s="6" t="str">
        <x:v>digitec performance center l.l.c.</x:v>
      </x:c>
      <x:c r="B10" s="16" t="n">
        <x:v>0.6</x:v>
      </x:c>
      <x:c r="C10" s="16" t="n">
        <x:v>3</x:v>
      </x:c>
      <x:c r="D10" s="16" t="n">
        <x:f>IF('Queries'!E10&lt;='Rules'!$B$17,'Rules'!$B$21,IF('Queries'!E10&lt;='Rules'!$B$18,'Rules'!$B$22,IF('Queries'!E10&lt;='Rules'!$B$19,'Rules'!$B$23,IF('Queries'!E10&lt;='Rules'!$B$20,'Rules'!$B$24,'Rules'!$B$25))))</x:f>
        <x:v>0.3</x:v>
      </x:c>
      <x:c r="E10" s="16" t="n">
        <x:f>MIN(LOG10(1+'Queries'!C10)/'Rules'!$B$13,1)</x:f>
        <x:v>0.66374202523083</x:v>
      </x:c>
      <x:c r="F10" s="16" t="n">
        <x:f>IF(AND('Queries'!E10&lt;='Rules'!$B$15,'Queries'!C10&gt;='Rules'!$B$14,'Queries'!D10&lt;'Rules'!$B$16),1,0)</x:f>
        <x:v>0</x:v>
      </x:c>
      <x:c r="G10" s="16" t="n">
        <x:v>1</x:v>
      </x:c>
      <x:c r="H10" s="16" t="n">
        <x:v>1</x:v>
      </x:c>
      <x:c r="I10" s="16" t="n">
        <x:f>ROUND((B10*'Rules'!$B$6+C10/'Rules'!$B$12*'Rules'!$B$7+D10*'Rules'!$B$8+E10*'Rules'!$B$9+F10*'Rules'!$B$10+G10*'Rules'!$B$11)*H10,1)</x:f>
        <x:v>51.1</x:v>
      </x:c>
      <x:c r="J10" s="18" t="n">
        <x:f>'Queries'!C10*'Queries'!E10</x:f>
        <x:v>116.39999999999999</x:v>
      </x:c>
    </x:row>
    <x:row r="11" ht="32" customHeight="1">
      <x:c r="A11" s="6" t="str">
        <x:v>exhaust repair dubai</x:v>
      </x:c>
      <x:c r="B11" s="16" t="n">
        <x:v>1</x:v>
      </x:c>
      <x:c r="C11" s="16" t="n">
        <x:v>3</x:v>
      </x:c>
      <x:c r="D11" s="16" t="n">
        <x:f>IF('Queries'!E11&lt;='Rules'!$B$17,'Rules'!$B$21,IF('Queries'!E11&lt;='Rules'!$B$18,'Rules'!$B$22,IF('Queries'!E11&lt;='Rules'!$B$19,'Rules'!$B$23,IF('Queries'!E11&lt;='Rules'!$B$20,'Rules'!$B$24,'Rules'!$B$25))))</x:f>
        <x:v>1</x:v>
      </x:c>
      <x:c r="E11" s="16" t="n">
        <x:f>MIN(LOG10(1+'Queries'!C11)/'Rules'!$B$13,1)</x:f>
        <x:v>0.5747586232002634</x:v>
      </x:c>
      <x:c r="F11" s="16" t="n">
        <x:f>IF(AND('Queries'!E11&lt;='Rules'!$B$15,'Queries'!C11&gt;='Rules'!$B$14,'Queries'!D11&lt;'Rules'!$B$16),1,0)</x:f>
        <x:v>0</x:v>
      </x:c>
      <x:c r="G11" s="16" t="n">
        <x:v>1</x:v>
      </x:c>
      <x:c r="H11" s="16" t="n">
        <x:v>1</x:v>
      </x:c>
      <x:c r="I11" s="16" t="n">
        <x:f>ROUND((B11*'Rules'!$B$6+C11/'Rules'!$B$12*'Rules'!$B$7+D11*'Rules'!$B$8+E11*'Rules'!$B$9+F11*'Rules'!$B$10+G11*'Rules'!$B$11)*H11,1)</x:f>
        <x:v>77.7</x:v>
      </x:c>
      <x:c r="J11" s="18" t="n">
        <x:f>'Queries'!C11*'Queries'!E11</x:f>
        <x:v>461.23999999999995</x:v>
      </x:c>
    </x:row>
    <x:row r="12" ht="32" customHeight="1">
      <x:c r="A12" s="6" t="str">
        <x:v>digi tec</x:v>
      </x:c>
      <x:c r="B12" s="16" t="n">
        <x:v>0.6</x:v>
      </x:c>
      <x:c r="C12" s="16" t="n">
        <x:v>3</x:v>
      </x:c>
      <x:c r="D12" s="16" t="n">
        <x:f>IF('Queries'!E12&lt;='Rules'!$B$17,'Rules'!$B$21,IF('Queries'!E12&lt;='Rules'!$B$18,'Rules'!$B$22,IF('Queries'!E12&lt;='Rules'!$B$19,'Rules'!$B$23,IF('Queries'!E12&lt;='Rules'!$B$20,'Rules'!$B$24,'Rules'!$B$25))))</x:f>
        <x:v>1</x:v>
      </x:c>
      <x:c r="E12" s="16" t="n">
        <x:f>MIN(LOG10(1+'Queries'!C12)/'Rules'!$B$13,1)</x:f>
        <x:v>0.5663233347786734</x:v>
      </x:c>
      <x:c r="F12" s="16" t="n">
        <x:f>IF(AND('Queries'!E12&lt;='Rules'!$B$15,'Queries'!C12&gt;='Rules'!$B$14,'Queries'!D12&lt;'Rules'!$B$16),1,0)</x:f>
        <x:v>0</x:v>
      </x:c>
      <x:c r="G12" s="16" t="n">
        <x:v>1</x:v>
      </x:c>
      <x:c r="H12" s="16" t="n">
        <x:v>0.65</x:v>
      </x:c>
      <x:c r="I12" s="16" t="n">
        <x:f>ROUND((B12*'Rules'!$B$6+C12/'Rules'!$B$12*'Rules'!$B$7+D12*'Rules'!$B$8+E12*'Rules'!$B$9+F12*'Rules'!$B$10+G12*'Rules'!$B$11)*H12,1)</x:f>
        <x:v>44</x:v>
      </x:c>
      <x:c r="J12" s="18" t="n">
        <x:f>'Queries'!C12*'Queries'!E12</x:f>
        <x:v>228.82999999999998</x:v>
      </x:c>
    </x:row>
    <x:row r="13" ht="32" customHeight="1">
      <x:c r="A13" s="6" t="str">
        <x:v>mercedes repair in dubai</x:v>
      </x:c>
      <x:c r="B13" s="16" t="n">
        <x:v>1</x:v>
      </x:c>
      <x:c r="C13" s="16" t="n">
        <x:v>5</x:v>
      </x:c>
      <x:c r="D13" s="16" t="n">
        <x:f>IF('Queries'!E13&lt;='Rules'!$B$17,'Rules'!$B$21,IF('Queries'!E13&lt;='Rules'!$B$18,'Rules'!$B$22,IF('Queries'!E13&lt;='Rules'!$B$19,'Rules'!$B$23,IF('Queries'!E13&lt;='Rules'!$B$20,'Rules'!$B$24,'Rules'!$B$25))))</x:f>
        <x:v>1</x:v>
      </x:c>
      <x:c r="E13" s="16" t="n">
        <x:f>MIN(LOG10(1+'Queries'!C13)/'Rules'!$B$13,1)</x:f>
        <x:v>0.8115229680114</x:v>
      </x:c>
      <x:c r="F13" s="16" t="n">
        <x:f>IF(AND('Queries'!E13&lt;='Rules'!$B$15,'Queries'!C13&gt;='Rules'!$B$14,'Queries'!D13&lt;'Rules'!$B$16),1,0)</x:f>
        <x:v>0</x:v>
      </x:c>
      <x:c r="G13" s="16" t="n">
        <x:v>1</x:v>
      </x:c>
      <x:c r="H13" s="16" t="n">
        <x:v>1</x:v>
      </x:c>
      <x:c r="I13" s="16" t="n">
        <x:f>ROUND((B13*'Rules'!$B$6+C13/'Rules'!$B$12*'Rules'!$B$7+D13*'Rules'!$B$8+E13*'Rules'!$B$9+F13*'Rules'!$B$10+G13*'Rules'!$B$11)*H13,1)</x:f>
        <x:v>88.1</x:v>
      </x:c>
      <x:c r="J13" s="18" t="n">
        <x:f>'Queries'!C13*'Queries'!E13</x:f>
        <x:v>3062.3</x:v>
      </x:c>
    </x:row>
    <x:row r="14" ht="32" customHeight="1">
      <x:c r="A14" s="6" t="str">
        <x:v>gad motors</x:v>
      </x:c>
      <x:c r="B14" s="16" t="n">
        <x:v>0.8</x:v>
      </x:c>
      <x:c r="C14" s="16" t="n">
        <x:v>5</x:v>
      </x:c>
      <x:c r="D14" s="16" t="n">
        <x:f>IF('Queries'!E14&lt;='Rules'!$B$17,'Rules'!$B$21,IF('Queries'!E14&lt;='Rules'!$B$18,'Rules'!$B$22,IF('Queries'!E14&lt;='Rules'!$B$19,'Rules'!$B$23,IF('Queries'!E14&lt;='Rules'!$B$20,'Rules'!$B$24,'Rules'!$B$25))))</x:f>
        <x:v>1</x:v>
      </x:c>
      <x:c r="E14" s="16" t="n">
        <x:f>MIN(LOG10(1+'Queries'!C14)/'Rules'!$B$13,1)</x:f>
        <x:v>0.7781512503836433</x:v>
      </x:c>
      <x:c r="F14" s="16" t="n">
        <x:f>IF(AND('Queries'!E14&lt;='Rules'!$B$15,'Queries'!C14&gt;='Rules'!$B$14,'Queries'!D14&lt;'Rules'!$B$16),1,0)</x:f>
        <x:v>0</x:v>
      </x:c>
      <x:c r="G14" s="16" t="n">
        <x:v>1</x:v>
      </x:c>
      <x:c r="H14" s="16" t="n">
        <x:v>1</x:v>
      </x:c>
      <x:c r="I14" s="16" t="n">
        <x:f>ROUND((B14*'Rules'!$B$6+C14/'Rules'!$B$12*'Rules'!$B$7+D14*'Rules'!$B$8+E14*'Rules'!$B$9+F14*'Rules'!$B$10+G14*'Rules'!$B$11)*H14,1)</x:f>
        <x:v>82.8</x:v>
      </x:c>
      <x:c r="J14" s="18" t="n">
        <x:f>'Queries'!C14*'Queries'!E14</x:f>
        <x:v>1419</x:v>
      </x:c>
    </x:row>
    <x:row r="15" ht="32" customHeight="1">
      <x:c r="A15" s="6" t="str">
        <x:v>digi-tec</x:v>
      </x:c>
      <x:c r="B15" s="16" t="n">
        <x:v>0.6</x:v>
      </x:c>
      <x:c r="C15" s="16" t="n">
        <x:v>3</x:v>
      </x:c>
      <x:c r="D15" s="16" t="n">
        <x:f>IF('Queries'!E15&lt;='Rules'!$B$17,'Rules'!$B$21,IF('Queries'!E15&lt;='Rules'!$B$18,'Rules'!$B$22,IF('Queries'!E15&lt;='Rules'!$B$19,'Rules'!$B$23,IF('Queries'!E15&lt;='Rules'!$B$20,'Rules'!$B$24,'Rules'!$B$25))))</x:f>
        <x:v>1</x:v>
      </x:c>
      <x:c r="E15" s="16" t="n">
        <x:f>MIN(LOG10(1+'Queries'!C15)/'Rules'!$B$13,1)</x:f>
        <x:v>0.4013733275519733</x:v>
      </x:c>
      <x:c r="F15" s="16" t="n">
        <x:f>IF(AND('Queries'!E15&lt;='Rules'!$B$15,'Queries'!C15&gt;='Rules'!$B$14,'Queries'!D15&lt;'Rules'!$B$16),1,0)</x:f>
        <x:v>0</x:v>
      </x:c>
      <x:c r="G15" s="16" t="n">
        <x:v>1</x:v>
      </x:c>
      <x:c r="H15" s="16" t="n">
        <x:v>1</x:v>
      </x:c>
      <x:c r="I15" s="16" t="n">
        <x:f>ROUND((B15*'Rules'!$B$6+C15/'Rules'!$B$12*'Rules'!$B$7+D15*'Rules'!$B$8+E15*'Rules'!$B$9+F15*'Rules'!$B$10+G15*'Rules'!$B$11)*H15,1)</x:f>
        <x:v>66</x:v>
      </x:c>
      <x:c r="J15" s="18" t="n">
        <x:f>'Queries'!C15*'Queries'!E15</x:f>
        <x:v>73.05</x:v>
      </x:c>
    </x:row>
    <x:row r="16" ht="32" customHeight="1">
      <x:c r="A16" s="6" t="str">
        <x:v>bmw repair dubai</x:v>
      </x:c>
      <x:c r="B16" s="16" t="n">
        <x:v>1</x:v>
      </x:c>
      <x:c r="C16" s="16" t="n">
        <x:v>5</x:v>
      </x:c>
      <x:c r="D16" s="16" t="n">
        <x:f>IF('Queries'!E16&lt;='Rules'!$B$17,'Rules'!$B$21,IF('Queries'!E16&lt;='Rules'!$B$18,'Rules'!$B$22,IF('Queries'!E16&lt;='Rules'!$B$19,'Rules'!$B$23,IF('Queries'!E16&lt;='Rules'!$B$20,'Rules'!$B$24,'Rules'!$B$25))))</x:f>
        <x:v>1</x:v>
      </x:c>
      <x:c r="E16" s="16" t="n">
        <x:f>MIN(LOG10(1+'Queries'!C16)/'Rules'!$B$13,1)</x:f>
        <x:v>0.72728119598159</x:v>
      </x:c>
      <x:c r="F16" s="16" t="n">
        <x:f>IF(AND('Queries'!E16&lt;='Rules'!$B$15,'Queries'!C16&gt;='Rules'!$B$14,'Queries'!D16&lt;'Rules'!$B$16),1,0)</x:f>
        <x:v>0</x:v>
      </x:c>
      <x:c r="G16" s="16" t="n">
        <x:v>1</x:v>
      </x:c>
      <x:c r="H16" s="16" t="n">
        <x:v>1</x:v>
      </x:c>
      <x:c r="I16" s="16" t="n">
        <x:f>ROUND((B16*'Rules'!$B$6+C16/'Rules'!$B$12*'Rules'!$B$7+D16*'Rules'!$B$8+E16*'Rules'!$B$9+F16*'Rules'!$B$10+G16*'Rules'!$B$11)*H16,1)</x:f>
        <x:v>87.3</x:v>
      </x:c>
      <x:c r="J16" s="18" t="n">
        <x:f>'Queries'!C16*'Queries'!E16</x:f>
        <x:v>2195.54</x:v>
      </x:c>
    </x:row>
    <x:row r="17" ht="32" customHeight="1">
      <x:c r="A17" s="6" t="str">
        <x:v>paint protection film dubai</x:v>
      </x:c>
      <x:c r="B17" s="16" t="n">
        <x:v>1</x:v>
      </x:c>
      <x:c r="C17" s="16" t="n">
        <x:v>5</x:v>
      </x:c>
      <x:c r="D17" s="16" t="n">
        <x:f>IF('Queries'!E17&lt;='Rules'!$B$17,'Rules'!$B$21,IF('Queries'!E17&lt;='Rules'!$B$18,'Rules'!$B$22,IF('Queries'!E17&lt;='Rules'!$B$19,'Rules'!$B$23,IF('Queries'!E17&lt;='Rules'!$B$20,'Rules'!$B$24,'Rules'!$B$25))))</x:f>
        <x:v>0.7</x:v>
      </x:c>
      <x:c r="E17" s="16" t="n">
        <x:f>MIN(LOG10(1+'Queries'!C17)/'Rules'!$B$13,1)</x:f>
        <x:v>0.5265945322056033</x:v>
      </x:c>
      <x:c r="F17" s="16" t="n">
        <x:f>IF(AND('Queries'!E17&lt;='Rules'!$B$15,'Queries'!C17&gt;='Rules'!$B$14,'Queries'!D17&lt;'Rules'!$B$16),1,0)</x:f>
        <x:v>0</x:v>
      </x:c>
      <x:c r="G17" s="16" t="n">
        <x:v>1</x:v>
      </x:c>
      <x:c r="H17" s="16" t="n">
        <x:v>1</x:v>
      </x:c>
      <x:c r="I17" s="16" t="n">
        <x:f>ROUND((B17*'Rules'!$B$6+C17/'Rules'!$B$12*'Rules'!$B$7+D17*'Rules'!$B$8+E17*'Rules'!$B$9+F17*'Rules'!$B$10+G17*'Rules'!$B$11)*H17,1)</x:f>
        <x:v>77.8</x:v>
      </x:c>
      <x:c r="J17" s="18" t="n">
        <x:f>'Queries'!C17*'Queries'!E17</x:f>
        <x:v>950.9</x:v>
      </x:c>
    </x:row>
    <x:row r="18" ht="32" customHeight="1">
      <x:c r="A18" s="6" t="str">
        <x:v>performance tuning dubai</x:v>
      </x:c>
      <x:c r="B18" s="16" t="n">
        <x:v>1</x:v>
      </x:c>
      <x:c r="C18" s="16" t="n">
        <x:v>5</x:v>
      </x:c>
      <x:c r="D18" s="16" t="n">
        <x:f>IF('Queries'!E18&lt;='Rules'!$B$17,'Rules'!$B$21,IF('Queries'!E18&lt;='Rules'!$B$18,'Rules'!$B$22,IF('Queries'!E18&lt;='Rules'!$B$19,'Rules'!$B$23,IF('Queries'!E18&lt;='Rules'!$B$20,'Rules'!$B$24,'Rules'!$B$25))))</x:f>
        <x:v>0.7</x:v>
      </x:c>
      <x:c r="E18" s="16" t="n">
        <x:f>MIN(LOG10(1+'Queries'!C18)/'Rules'!$B$13,1)</x:f>
        <x:v>0.34713089505274003</x:v>
      </x:c>
      <x:c r="F18" s="16" t="n">
        <x:f>IF(AND('Queries'!E18&lt;='Rules'!$B$15,'Queries'!C18&gt;='Rules'!$B$14,'Queries'!D18&lt;'Rules'!$B$16),1,0)</x:f>
        <x:v>0</x:v>
      </x:c>
      <x:c r="G18" s="16" t="n">
        <x:v>1</x:v>
      </x:c>
      <x:c r="H18" s="16" t="n">
        <x:v>1</x:v>
      </x:c>
      <x:c r="I18" s="16" t="n">
        <x:f>ROUND((B18*'Rules'!$B$6+C18/'Rules'!$B$12*'Rules'!$B$7+D18*'Rules'!$B$8+E18*'Rules'!$B$9+F18*'Rules'!$B$10+G18*'Rules'!$B$11)*H18,1)</x:f>
        <x:v>76</x:v>
      </x:c>
      <x:c r="J18" s="18" t="n">
        <x:f>'Queries'!C18*'Queries'!E18</x:f>
        <x:v>207</x:v>
      </x:c>
    </x:row>
    <x:row r="19" ht="32" customHeight="1">
      <x:c r="A19" s="6" t="str">
        <x:v>mercedes repair dubai near me</x:v>
      </x:c>
      <x:c r="B19" s="16" t="n">
        <x:v>1</x:v>
      </x:c>
      <x:c r="C19" s="16" t="n">
        <x:v>5</x:v>
      </x:c>
      <x:c r="D19" s="16" t="n">
        <x:f>IF('Queries'!E19&lt;='Rules'!$B$17,'Rules'!$B$21,IF('Queries'!E19&lt;='Rules'!$B$18,'Rules'!$B$22,IF('Queries'!E19&lt;='Rules'!$B$19,'Rules'!$B$23,IF('Queries'!E19&lt;='Rules'!$B$20,'Rules'!$B$24,'Rules'!$B$25))))</x:f>
        <x:v>0.3</x:v>
      </x:c>
      <x:c r="E19" s="16" t="n">
        <x:f>MIN(LOG10(1+'Queries'!C19)/'Rules'!$B$13,1)</x:f>
        <x:v>0.3333333333333333</x:v>
      </x:c>
      <x:c r="F19" s="16" t="n">
        <x:f>IF(AND('Queries'!E19&lt;='Rules'!$B$15,'Queries'!C19&gt;='Rules'!$B$14,'Queries'!D19&lt;'Rules'!$B$16),1,0)</x:f>
        <x:v>0</x:v>
      </x:c>
      <x:c r="G19" s="16" t="n">
        <x:v>1</x:v>
      </x:c>
      <x:c r="H19" s="16" t="n">
        <x:v>1</x:v>
      </x:c>
      <x:c r="I19" s="16" t="n">
        <x:f>ROUND((B19*'Rules'!$B$6+C19/'Rules'!$B$12*'Rules'!$B$7+D19*'Rules'!$B$8+E19*'Rules'!$B$9+F19*'Rules'!$B$10+G19*'Rules'!$B$11)*H19,1)</x:f>
        <x:v>65.8</x:v>
      </x:c>
      <x:c r="J19" s="18" t="n">
        <x:f>'Queries'!C19*'Queries'!E19</x:f>
        <x:v>19.98</x:v>
      </x:c>
    </x:row>
    <x:row r="20" ht="32" customHeight="1">
      <x:c r="A20" s="6" t="str">
        <x:v>mercedes specialist workshop</x:v>
      </x:c>
      <x:c r="B20" s="16" t="n">
        <x:v>0.8</x:v>
      </x:c>
      <x:c r="C20" s="16" t="n">
        <x:v>5</x:v>
      </x:c>
      <x:c r="D20" s="16" t="n">
        <x:f>IF('Queries'!E20&lt;='Rules'!$B$17,'Rules'!$B$21,IF('Queries'!E20&lt;='Rules'!$B$18,'Rules'!$B$22,IF('Queries'!E20&lt;='Rules'!$B$19,'Rules'!$B$23,IF('Queries'!E20&lt;='Rules'!$B$20,'Rules'!$B$24,'Rules'!$B$25))))</x:f>
        <x:v>1</x:v>
      </x:c>
      <x:c r="E20" s="16" t="n">
        <x:f>MIN(LOG10(1+'Queries'!C20)/'Rules'!$B$13,1)</x:f>
        <x:v>0.15904041823988732</x:v>
      </x:c>
      <x:c r="F20" s="16" t="n">
        <x:f>IF(AND('Queries'!E20&lt;='Rules'!$B$15,'Queries'!C20&gt;='Rules'!$B$14,'Queries'!D20&lt;'Rules'!$B$16),1,0)</x:f>
        <x:v>0</x:v>
      </x:c>
      <x:c r="G20" s="16" t="n">
        <x:v>1</x:v>
      </x:c>
      <x:c r="H20" s="16" t="n">
        <x:v>1</x:v>
      </x:c>
      <x:c r="I20" s="16" t="n">
        <x:f>ROUND((B20*'Rules'!$B$6+C20/'Rules'!$B$12*'Rules'!$B$7+D20*'Rules'!$B$8+E20*'Rules'!$B$9+F20*'Rules'!$B$10+G20*'Rules'!$B$11)*H20,1)</x:f>
        <x:v>76.6</x:v>
      </x:c>
      <x:c r="J20" s="18" t="n">
        <x:f>'Queries'!C20*'Queries'!E20</x:f>
        <x:v>12</x:v>
      </x:c>
    </x:row>
    <x:row r="21" ht="32" customHeight="1">
      <x:c r="A21" s="6" t="str">
        <x:v>mercedes service dubai</x:v>
      </x:c>
      <x:c r="B21" s="16" t="n">
        <x:v>1</x:v>
      </x:c>
      <x:c r="C21" s="16" t="n">
        <x:v>5</x:v>
      </x:c>
      <x:c r="D21" s="16" t="n">
        <x:f>IF('Queries'!E21&lt;='Rules'!$B$17,'Rules'!$B$21,IF('Queries'!E21&lt;='Rules'!$B$18,'Rules'!$B$22,IF('Queries'!E21&lt;='Rules'!$B$19,'Rules'!$B$23,IF('Queries'!E21&lt;='Rules'!$B$20,'Rules'!$B$24,'Rules'!$B$25))))</x:f>
        <x:v>0.7</x:v>
      </x:c>
      <x:c r="E21" s="16" t="n">
        <x:f>MIN(LOG10(1+'Queries'!C21)/'Rules'!$B$13,1)</x:f>
        <x:v>0.9241072355743066</x:v>
      </x:c>
      <x:c r="F21" s="16" t="n">
        <x:f>IF(AND('Queries'!E21&lt;='Rules'!$B$15,'Queries'!C21&gt;='Rules'!$B$14,'Queries'!D21&lt;'Rules'!$B$16),1,0)</x:f>
        <x:v>0</x:v>
      </x:c>
      <x:c r="G21" s="16" t="n">
        <x:v>1</x:v>
      </x:c>
      <x:c r="H21" s="16" t="n">
        <x:v>1</x:v>
      </x:c>
      <x:c r="I21" s="16" t="n">
        <x:f>ROUND((B21*'Rules'!$B$6+C21/'Rules'!$B$12*'Rules'!$B$7+D21*'Rules'!$B$8+E21*'Rules'!$B$9+F21*'Rules'!$B$10+G21*'Rules'!$B$11)*H21,1)</x:f>
        <x:v>81.7</x:v>
      </x:c>
      <x:c r="J21" s="18" t="n">
        <x:f>'Queries'!C21*'Queries'!E21</x:f>
        <x:v>9934.71</x:v>
      </x:c>
    </x:row>
    <x:row r="22" ht="32" customHeight="1">
      <x:c r="A22" s="6" t="str">
        <x:v>mclaren repair dubai</x:v>
      </x:c>
      <x:c r="B22" s="16" t="n">
        <x:v>1</x:v>
      </x:c>
      <x:c r="C22" s="16" t="n">
        <x:v>5</x:v>
      </x:c>
      <x:c r="D22" s="16" t="n">
        <x:f>IF('Queries'!E22&lt;='Rules'!$B$17,'Rules'!$B$21,IF('Queries'!E22&lt;='Rules'!$B$18,'Rules'!$B$22,IF('Queries'!E22&lt;='Rules'!$B$19,'Rules'!$B$23,IF('Queries'!E22&lt;='Rules'!$B$20,'Rules'!$B$24,'Rules'!$B$25))))</x:f>
        <x:v>0.7</x:v>
      </x:c>
      <x:c r="E22" s="16" t="n">
        <x:f>MIN(LOG10(1+'Queries'!C22)/'Rules'!$B$13,1)</x:f>
        <x:v>0.7884959949636333</x:v>
      </x:c>
      <x:c r="F22" s="16" t="n">
        <x:f>IF(AND('Queries'!E22&lt;='Rules'!$B$15,'Queries'!C22&gt;='Rules'!$B$14,'Queries'!D22&lt;'Rules'!$B$16),1,0)</x:f>
        <x:v>0</x:v>
      </x:c>
      <x:c r="G22" s="16" t="n">
        <x:v>1</x:v>
      </x:c>
      <x:c r="H22" s="16" t="n">
        <x:v>1</x:v>
      </x:c>
      <x:c r="I22" s="16" t="n">
        <x:f>ROUND((B22*'Rules'!$B$6+C22/'Rules'!$B$12*'Rules'!$B$7+D22*'Rules'!$B$8+E22*'Rules'!$B$9+F22*'Rules'!$B$10+G22*'Rules'!$B$11)*H22,1)</x:f>
        <x:v>80.4</x:v>
      </x:c>
      <x:c r="J22" s="18" t="n">
        <x:f>'Queries'!C22*'Queries'!E22</x:f>
        <x:v>3984.75</x:v>
      </x:c>
    </x:row>
    <x:row r="23" ht="32" customHeight="1">
      <x:c r="A23" s="6" t="str">
        <x:v>aston martin repair dubai</x:v>
      </x:c>
      <x:c r="B23" s="16" t="n">
        <x:v>1</x:v>
      </x:c>
      <x:c r="C23" s="16" t="n">
        <x:v>5</x:v>
      </x:c>
      <x:c r="D23" s="16" t="n">
        <x:f>IF('Queries'!E23&lt;='Rules'!$B$17,'Rules'!$B$21,IF('Queries'!E23&lt;='Rules'!$B$18,'Rules'!$B$22,IF('Queries'!E23&lt;='Rules'!$B$19,'Rules'!$B$23,IF('Queries'!E23&lt;='Rules'!$B$20,'Rules'!$B$24,'Rules'!$B$25))))</x:f>
        <x:v>0.7</x:v>
      </x:c>
      <x:c r="E23" s="16" t="n">
        <x:f>MIN(LOG10(1+'Queries'!C23)/'Rules'!$B$13,1)</x:f>
        <x:v>0.7853419523977067</x:v>
      </x:c>
      <x:c r="F23" s="16" t="n">
        <x:f>IF(AND('Queries'!E23&lt;='Rules'!$B$15,'Queries'!C23&gt;='Rules'!$B$14,'Queries'!D23&lt;'Rules'!$B$16),1,0)</x:f>
        <x:v>0</x:v>
      </x:c>
      <x:c r="G23" s="16" t="n">
        <x:v>1</x:v>
      </x:c>
      <x:c r="H23" s="16" t="n">
        <x:v>1</x:v>
      </x:c>
      <x:c r="I23" s="16" t="n">
        <x:f>ROUND((B23*'Rules'!$B$6+C23/'Rules'!$B$12*'Rules'!$B$7+D23*'Rules'!$B$8+E23*'Rules'!$B$9+F23*'Rules'!$B$10+G23*'Rules'!$B$11)*H23,1)</x:f>
        <x:v>80.4</x:v>
      </x:c>
      <x:c r="J23" s="18" t="n">
        <x:f>'Queries'!C23*'Queries'!E23</x:f>
        <x:v>5263.54</x:v>
      </x:c>
    </x:row>
    <x:row r="24" ht="32" customHeight="1">
      <x:c r="A24" s="6" t="str">
        <x:v>bmw service dubai</x:v>
      </x:c>
      <x:c r="B24" s="16" t="n">
        <x:v>1</x:v>
      </x:c>
      <x:c r="C24" s="16" t="n">
        <x:v>5</x:v>
      </x:c>
      <x:c r="D24" s="16" t="n">
        <x:f>IF('Queries'!E24&lt;='Rules'!$B$17,'Rules'!$B$21,IF('Queries'!E24&lt;='Rules'!$B$18,'Rules'!$B$22,IF('Queries'!E24&lt;='Rules'!$B$19,'Rules'!$B$23,IF('Queries'!E24&lt;='Rules'!$B$20,'Rules'!$B$24,'Rules'!$B$25))))</x:f>
        <x:v>0.7</x:v>
      </x:c>
      <x:c r="E24" s="16" t="n">
        <x:f>MIN(LOG10(1+'Queries'!C24)/'Rules'!$B$13,1)</x:f>
        <x:v>0.7781512503836433</x:v>
      </x:c>
      <x:c r="F24" s="16" t="n">
        <x:f>IF(AND('Queries'!E24&lt;='Rules'!$B$15,'Queries'!C24&gt;='Rules'!$B$14,'Queries'!D24&lt;'Rules'!$B$16),1,0)</x:f>
        <x:v>0</x:v>
      </x:c>
      <x:c r="G24" s="16" t="n">
        <x:v>1</x:v>
      </x:c>
      <x:c r="H24" s="16" t="n">
        <x:v>1</x:v>
      </x:c>
      <x:c r="I24" s="16" t="n">
        <x:f>ROUND((B24*'Rules'!$B$6+C24/'Rules'!$B$12*'Rules'!$B$7+D24*'Rules'!$B$8+E24*'Rules'!$B$9+F24*'Rules'!$B$10+G24*'Rules'!$B$11)*H24,1)</x:f>
        <x:v>80.3</x:v>
      </x:c>
      <x:c r="J24" s="18" t="n">
        <x:f>'Queries'!C24*'Queries'!E24</x:f>
        <x:v>5574.95</x:v>
      </x:c>
    </x:row>
    <x:row r="25" ht="32" customHeight="1">
      <x:c r="A25" s="6" t="str">
        <x:v>rolls royce repair dubai</x:v>
      </x:c>
      <x:c r="B25" s="16" t="n">
        <x:v>1</x:v>
      </x:c>
      <x:c r="C25" s="16" t="n">
        <x:v>5</x:v>
      </x:c>
      <x:c r="D25" s="16" t="n">
        <x:f>IF('Queries'!E25&lt;='Rules'!$B$17,'Rules'!$B$21,IF('Queries'!E25&lt;='Rules'!$B$18,'Rules'!$B$22,IF('Queries'!E25&lt;='Rules'!$B$19,'Rules'!$B$23,IF('Queries'!E25&lt;='Rules'!$B$20,'Rules'!$B$24,'Rules'!$B$25))))</x:f>
        <x:v>0.7</x:v>
      </x:c>
      <x:c r="E25" s="16" t="n">
        <x:f>MIN(LOG10(1+'Queries'!C25)/'Rules'!$B$13,1)</x:f>
        <x:v>0.7476793495620967</x:v>
      </x:c>
      <x:c r="F25" s="16" t="n">
        <x:f>IF(AND('Queries'!E25&lt;='Rules'!$B$15,'Queries'!C25&gt;='Rules'!$B$14,'Queries'!D25&lt;'Rules'!$B$16),1,0)</x:f>
        <x:v>0</x:v>
      </x:c>
      <x:c r="G25" s="16" t="n">
        <x:v>1</x:v>
      </x:c>
      <x:c r="H25" s="16" t="n">
        <x:v>1</x:v>
      </x:c>
      <x:c r="I25" s="16" t="n">
        <x:f>ROUND((B25*'Rules'!$B$6+C25/'Rules'!$B$12*'Rules'!$B$7+D25*'Rules'!$B$8+E25*'Rules'!$B$9+F25*'Rules'!$B$10+G25*'Rules'!$B$11)*H25,1)</x:f>
        <x:v>80</x:v>
      </x:c>
      <x:c r="J25" s="18" t="n">
        <x:f>'Queries'!C25*'Queries'!E25</x:f>
        <x:v>4459.62</x:v>
      </x:c>
    </x:row>
    <x:row r="26" ht="32" customHeight="1">
      <x:c r="A26" s="6" t="str">
        <x:v>vulcanizing shop near me</x:v>
      </x:c>
      <x:c r="B26" s="16" t="n">
        <x:v>1</x:v>
      </x:c>
      <x:c r="C26" s="16" t="n">
        <x:v>2</x:v>
      </x:c>
      <x:c r="D26" s="16" t="n">
        <x:f>IF('Queries'!E26&lt;='Rules'!$B$17,'Rules'!$B$21,IF('Queries'!E26&lt;='Rules'!$B$18,'Rules'!$B$22,IF('Queries'!E26&lt;='Rules'!$B$19,'Rules'!$B$23,IF('Queries'!E26&lt;='Rules'!$B$20,'Rules'!$B$24,'Rules'!$B$25))))</x:f>
        <x:v>1</x:v>
      </x:c>
      <x:c r="E26" s="16" t="n">
        <x:f>MIN(LOG10(1+'Queries'!C26)/'Rules'!$B$13,1)</x:f>
        <x:v>0.72728119598159</x:v>
      </x:c>
      <x:c r="F26" s="16" t="n">
        <x:f>IF(AND('Queries'!E26&lt;='Rules'!$B$15,'Queries'!C26&gt;='Rules'!$B$14,'Queries'!D26&lt;'Rules'!$B$16),1,0)</x:f>
        <x:v>1</x:v>
      </x:c>
      <x:c r="G26" s="16" t="n">
        <x:v>1</x:v>
      </x:c>
      <x:c r="H26" s="16" t="n">
        <x:v>1</x:v>
      </x:c>
      <x:c r="I26" s="16" t="n">
        <x:f>ROUND((B26*'Rules'!$B$6+C26/'Rules'!$B$12*'Rules'!$B$7+D26*'Rules'!$B$8+E26*'Rules'!$B$9+F26*'Rules'!$B$10+G26*'Rules'!$B$11)*H26,1)</x:f>
        <x:v>85.3</x:v>
      </x:c>
      <x:c r="J26" s="18" t="n">
        <x:f>'Queries'!C26*'Queries'!E26</x:f>
        <x:v>850.13</x:v>
      </x:c>
    </x:row>
    <x:row r="27" ht="32" customHeight="1">
      <x:c r="A27" s="6" t="str">
        <x:v>car oil change near me</x:v>
      </x:c>
      <x:c r="B27" s="16" t="n">
        <x:v>1</x:v>
      </x:c>
      <x:c r="C27" s="16" t="n">
        <x:v>3</x:v>
      </x:c>
      <x:c r="D27" s="16" t="n">
        <x:f>IF('Queries'!E27&lt;='Rules'!$B$17,'Rules'!$B$21,IF('Queries'!E27&lt;='Rules'!$B$18,'Rules'!$B$22,IF('Queries'!E27&lt;='Rules'!$B$19,'Rules'!$B$23,IF('Queries'!E27&lt;='Rules'!$B$20,'Rules'!$B$24,'Rules'!$B$25))))</x:f>
        <x:v>1</x:v>
      </x:c>
      <x:c r="E27" s="16" t="n">
        <x:f>MIN(LOG10(1+'Queries'!C27)/'Rules'!$B$13,1)</x:f>
        <x:v>0.7153760118927467</x:v>
      </x:c>
      <x:c r="F27" s="16" t="n">
        <x:f>IF(AND('Queries'!E27&lt;='Rules'!$B$15,'Queries'!C27&gt;='Rules'!$B$14,'Queries'!D27&lt;'Rules'!$B$16),1,0)</x:f>
        <x:v>0</x:v>
      </x:c>
      <x:c r="G27" s="16" t="n">
        <x:v>1</x:v>
      </x:c>
      <x:c r="H27" s="16" t="n">
        <x:v>1</x:v>
      </x:c>
      <x:c r="I27" s="16" t="n">
        <x:f>ROUND((B27*'Rules'!$B$6+C27/'Rules'!$B$12*'Rules'!$B$7+D27*'Rules'!$B$8+E27*'Rules'!$B$9+F27*'Rules'!$B$10+G27*'Rules'!$B$11)*H27,1)</x:f>
        <x:v>79.2</x:v>
      </x:c>
      <x:c r="J27" s="18" t="n">
        <x:f>'Queries'!C27*'Queries'!E27</x:f>
        <x:v>1876.5</x:v>
      </x:c>
    </x:row>
    <x:row r="28" ht="32" customHeight="1">
      <x:c r="A28" s="6" t="str">
        <x:v>mercedes transmission repair dubai</x:v>
      </x:c>
      <x:c r="B28" s="16" t="n">
        <x:v>1</x:v>
      </x:c>
      <x:c r="C28" s="16" t="n">
        <x:v>5</x:v>
      </x:c>
      <x:c r="D28" s="16" t="n">
        <x:f>IF('Queries'!E28&lt;='Rules'!$B$17,'Rules'!$B$21,IF('Queries'!E28&lt;='Rules'!$B$18,'Rules'!$B$22,IF('Queries'!E28&lt;='Rules'!$B$19,'Rules'!$B$23,IF('Queries'!E28&lt;='Rules'!$B$20,'Rules'!$B$24,'Rules'!$B$25))))</x:f>
        <x:v>0.7</x:v>
      </x:c>
      <x:c r="E28" s="16" t="n">
        <x:f>MIN(LOG10(1+'Queries'!C28)/'Rules'!$B$13,1)</x:f>
        <x:v>0.7024033232159567</x:v>
      </x:c>
      <x:c r="F28" s="16" t="n">
        <x:f>IF(AND('Queries'!E28&lt;='Rules'!$B$15,'Queries'!C28&gt;='Rules'!$B$14,'Queries'!D28&lt;'Rules'!$B$16),1,0)</x:f>
        <x:v>0</x:v>
      </x:c>
      <x:c r="G28" s="16" t="n">
        <x:v>1</x:v>
      </x:c>
      <x:c r="H28" s="16" t="n">
        <x:v>1</x:v>
      </x:c>
      <x:c r="I28" s="16" t="n">
        <x:f>ROUND((B28*'Rules'!$B$6+C28/'Rules'!$B$12*'Rules'!$B$7+D28*'Rules'!$B$8+E28*'Rules'!$B$9+F28*'Rules'!$B$10+G28*'Rules'!$B$11)*H28,1)</x:f>
        <x:v>79.5</x:v>
      </x:c>
      <x:c r="J28" s="18" t="n">
        <x:f>'Queries'!C28*'Queries'!E28</x:f>
        <x:v>2642.87</x:v>
      </x:c>
    </x:row>
    <x:row r="29" ht="32" customHeight="1">
      <x:c r="A29" s="6" t="str">
        <x:v>mercedes transmission repair</x:v>
      </x:c>
      <x:c r="B29" s="16" t="n">
        <x:v>0.8</x:v>
      </x:c>
      <x:c r="C29" s="16" t="n">
        <x:v>5</x:v>
      </x:c>
      <x:c r="D29" s="16" t="n">
        <x:f>IF('Queries'!E29&lt;='Rules'!$B$17,'Rules'!$B$21,IF('Queries'!E29&lt;='Rules'!$B$18,'Rules'!$B$22,IF('Queries'!E29&lt;='Rules'!$B$19,'Rules'!$B$23,IF('Queries'!E29&lt;='Rules'!$B$20,'Rules'!$B$24,'Rules'!$B$25))))</x:f>
        <x:v>0.4</x:v>
      </x:c>
      <x:c r="E29" s="16" t="n">
        <x:f>MIN(LOG10(1+'Queries'!C29)/'Rules'!$B$13,1)</x:f>
        <x:v>0.6652117315325167</x:v>
      </x:c>
      <x:c r="F29" s="16" t="n">
        <x:f>IF(AND('Queries'!E29&lt;='Rules'!$B$15,'Queries'!C29&gt;='Rules'!$B$14,'Queries'!D29&lt;'Rules'!$B$16),1,0)</x:f>
        <x:v>0</x:v>
      </x:c>
      <x:c r="G29" s="16" t="n">
        <x:v>1</x:v>
      </x:c>
      <x:c r="H29" s="16" t="n">
        <x:v>1</x:v>
      </x:c>
      <x:c r="I29" s="16" t="n">
        <x:f>ROUND((B29*'Rules'!$B$6+C29/'Rules'!$B$12*'Rules'!$B$7+D29*'Rules'!$B$8+E29*'Rules'!$B$9+F29*'Rules'!$B$10+G29*'Rules'!$B$11)*H29,1)</x:f>
        <x:v>66.7</x:v>
      </x:c>
      <x:c r="J29" s="18" t="n">
        <x:f>'Queries'!C29*'Queries'!E29</x:f>
        <x:v>3616.2</x:v>
      </x:c>
    </x:row>
    <x:row r="30" ht="32" customHeight="1">
      <x:c r="A30" s="6" t="str">
        <x:v>porsche repair dubai</x:v>
      </x:c>
      <x:c r="B30" s="16" t="n">
        <x:v>1</x:v>
      </x:c>
      <x:c r="C30" s="16" t="n">
        <x:v>5</x:v>
      </x:c>
      <x:c r="D30" s="16" t="n">
        <x:f>IF('Queries'!E30&lt;='Rules'!$B$17,'Rules'!$B$21,IF('Queries'!E30&lt;='Rules'!$B$18,'Rules'!$B$22,IF('Queries'!E30&lt;='Rules'!$B$19,'Rules'!$B$23,IF('Queries'!E30&lt;='Rules'!$B$20,'Rules'!$B$24,'Rules'!$B$25))))</x:f>
        <x:v>0.7</x:v>
      </x:c>
      <x:c r="E30" s="16" t="n">
        <x:f>MIN(LOG10(1+'Queries'!C30)/'Rules'!$B$13,1)</x:f>
        <x:v>0.64650641753954</x:v>
      </x:c>
      <x:c r="F30" s="16" t="n">
        <x:f>IF(AND('Queries'!E30&lt;='Rules'!$B$15,'Queries'!C30&gt;='Rules'!$B$14,'Queries'!D30&lt;'Rules'!$B$16),1,0)</x:f>
        <x:v>0</x:v>
      </x:c>
      <x:c r="G30" s="16" t="n">
        <x:v>1</x:v>
      </x:c>
      <x:c r="H30" s="16" t="n">
        <x:v>1</x:v>
      </x:c>
      <x:c r="I30" s="16" t="n">
        <x:f>ROUND((B30*'Rules'!$B$6+C30/'Rules'!$B$12*'Rules'!$B$7+D30*'Rules'!$B$8+E30*'Rules'!$B$9+F30*'Rules'!$B$10+G30*'Rules'!$B$11)*H30,1)</x:f>
        <x:v>79</x:v>
      </x:c>
      <x:c r="J30" s="18" t="n">
        <x:f>'Queries'!C30*'Queries'!E30</x:f>
        <x:v>2303.94</x:v>
      </x:c>
    </x:row>
    <x:row r="31" ht="32" customHeight="1">
      <x:c r="A31" s="6" t="str">
        <x:v>steering repair</x:v>
      </x:c>
      <x:c r="B31" s="16" t="n">
        <x:v>0.8</x:v>
      </x:c>
      <x:c r="C31" s="16" t="n">
        <x:v>3</x:v>
      </x:c>
      <x:c r="D31" s="16" t="n">
        <x:f>IF('Queries'!E31&lt;='Rules'!$B$17,'Rules'!$B$21,IF('Queries'!E31&lt;='Rules'!$B$18,'Rules'!$B$22,IF('Queries'!E31&lt;='Rules'!$B$19,'Rules'!$B$23,IF('Queries'!E31&lt;='Rules'!$B$20,'Rules'!$B$24,'Rules'!$B$25))))</x:f>
        <x:v>0.7</x:v>
      </x:c>
      <x:c r="E31" s="16" t="n">
        <x:f>MIN(LOG10(1+'Queries'!C31)/'Rules'!$B$13,1)</x:f>
        <x:v>0.63969269745869</x:v>
      </x:c>
      <x:c r="F31" s="16" t="n">
        <x:f>IF(AND('Queries'!E31&lt;='Rules'!$B$15,'Queries'!C31&gt;='Rules'!$B$14,'Queries'!D31&lt;'Rules'!$B$16),1,0)</x:f>
        <x:v>0</x:v>
      </x:c>
      <x:c r="G31" s="16" t="n">
        <x:v>1</x:v>
      </x:c>
      <x:c r="H31" s="16" t="n">
        <x:v>1</x:v>
      </x:c>
      <x:c r="I31" s="16" t="n">
        <x:f>ROUND((B31*'Rules'!$B$6+C31/'Rules'!$B$12*'Rules'!$B$7+D31*'Rules'!$B$8+E31*'Rules'!$B$9+F31*'Rules'!$B$10+G31*'Rules'!$B$11)*H31,1)</x:f>
        <x:v>65.9</x:v>
      </x:c>
      <x:c r="J31" s="18" t="n">
        <x:f>'Queries'!C31*'Queries'!E31</x:f>
        <x:v>1365.3</x:v>
      </x:c>
    </x:row>
    <x:row r="32" ht="32" customHeight="1">
      <x:c r="A32" s="6" t="str">
        <x:v>mercedes major service dubai</x:v>
      </x:c>
      <x:c r="B32" s="16" t="n">
        <x:v>1</x:v>
      </x:c>
      <x:c r="C32" s="16" t="n">
        <x:v>5</x:v>
      </x:c>
      <x:c r="D32" s="16" t="n">
        <x:f>IF('Queries'!E32&lt;='Rules'!$B$17,'Rules'!$B$21,IF('Queries'!E32&lt;='Rules'!$B$18,'Rules'!$B$22,IF('Queries'!E32&lt;='Rules'!$B$19,'Rules'!$B$23,IF('Queries'!E32&lt;='Rules'!$B$20,'Rules'!$B$24,'Rules'!$B$25))))</x:f>
        <x:v>1</x:v>
      </x:c>
      <x:c r="E32" s="16" t="n">
        <x:f>MIN(LOG10(1+'Queries'!C32)/'Rules'!$B$13,1)</x:f>
        <x:v>0.6170861162396933</x:v>
      </x:c>
      <x:c r="F32" s="16" t="n">
        <x:f>IF(AND('Queries'!E32&lt;='Rules'!$B$15,'Queries'!C32&gt;='Rules'!$B$14,'Queries'!D32&lt;'Rules'!$B$16),1,0)</x:f>
        <x:v>0</x:v>
      </x:c>
      <x:c r="G32" s="16" t="n">
        <x:v>1</x:v>
      </x:c>
      <x:c r="H32" s="16" t="n">
        <x:v>1</x:v>
      </x:c>
      <x:c r="I32" s="16" t="n">
        <x:f>ROUND((B32*'Rules'!$B$6+C32/'Rules'!$B$12*'Rules'!$B$7+D32*'Rules'!$B$8+E32*'Rules'!$B$9+F32*'Rules'!$B$10+G32*'Rules'!$B$11)*H32,1)</x:f>
        <x:v>86.2</x:v>
      </x:c>
      <x:c r="J32" s="18" t="n">
        <x:f>'Queries'!C32*'Queries'!E32</x:f>
        <x:v>996.8000000000001</x:v>
      </x:c>
    </x:row>
    <x:row r="33" ht="32" customHeight="1">
      <x:c r="A33" s="6" t="str">
        <x:v>car battery replacement</x:v>
      </x:c>
      <x:c r="B33" s="16" t="n">
        <x:v>0.8</x:v>
      </x:c>
      <x:c r="C33" s="16" t="n">
        <x:v>3</x:v>
      </x:c>
      <x:c r="D33" s="16" t="n">
        <x:f>IF('Queries'!E33&lt;='Rules'!$B$17,'Rules'!$B$21,IF('Queries'!E33&lt;='Rules'!$B$18,'Rules'!$B$22,IF('Queries'!E33&lt;='Rules'!$B$19,'Rules'!$B$23,IF('Queries'!E33&lt;='Rules'!$B$20,'Rules'!$B$24,'Rules'!$B$25))))</x:f>
        <x:v>0.15</x:v>
      </x:c>
      <x:c r="E33" s="16" t="n">
        <x:f>MIN(LOG10(1+'Queries'!C33)/'Rules'!$B$13,1)</x:f>
        <x:v>0.6170861162396933</x:v>
      </x:c>
      <x:c r="F33" s="16" t="n">
        <x:f>IF(AND('Queries'!E33&lt;='Rules'!$B$15,'Queries'!C33&gt;='Rules'!$B$14,'Queries'!D33&lt;'Rules'!$B$16),1,0)</x:f>
        <x:v>0</x:v>
      </x:c>
      <x:c r="G33" s="16" t="n">
        <x:v>1</x:v>
      </x:c>
      <x:c r="H33" s="16" t="n">
        <x:v>1</x:v>
      </x:c>
      <x:c r="I33" s="16" t="n">
        <x:f>ROUND((B33*'Rules'!$B$6+C33/'Rules'!$B$12*'Rules'!$B$7+D33*'Rules'!$B$8+E33*'Rules'!$B$9+F33*'Rules'!$B$10+G33*'Rules'!$B$11)*H33,1)</x:f>
        <x:v>51.9</x:v>
      </x:c>
      <x:c r="J33" s="18" t="n">
        <x:f>'Queries'!C33*'Queries'!E33</x:f>
        <x:v>2842</x:v>
      </x:c>
    </x:row>
    <x:row r="34" ht="32" customHeight="1">
      <x:c r="A34" s="6" t="str">
        <x:v>fuel system repair</x:v>
      </x:c>
      <x:c r="B34" s="16" t="n">
        <x:v>0.8</x:v>
      </x:c>
      <x:c r="C34" s="16" t="n">
        <x:v>3</x:v>
      </x:c>
      <x:c r="D34" s="16" t="n">
        <x:f>IF('Queries'!E34&lt;='Rules'!$B$17,'Rules'!$B$21,IF('Queries'!E34&lt;='Rules'!$B$18,'Rules'!$B$22,IF('Queries'!E34&lt;='Rules'!$B$19,'Rules'!$B$23,IF('Queries'!E34&lt;='Rules'!$B$20,'Rules'!$B$24,'Rules'!$B$25))))</x:f>
        <x:v>1</x:v>
      </x:c>
      <x:c r="E34" s="16" t="n">
        <x:f>MIN(LOG10(1+'Queries'!C34)/'Rules'!$B$13,1)</x:f>
        <x:v>0.5633986933428367</x:v>
      </x:c>
      <x:c r="F34" s="16" t="n">
        <x:f>IF(AND('Queries'!E34&lt;='Rules'!$B$15,'Queries'!C34&gt;='Rules'!$B$14,'Queries'!D34&lt;'Rules'!$B$16),1,0)</x:f>
        <x:v>0</x:v>
      </x:c>
      <x:c r="G34" s="16" t="n">
        <x:v>1</x:v>
      </x:c>
      <x:c r="H34" s="16" t="n">
        <x:v>1</x:v>
      </x:c>
      <x:c r="I34" s="16" t="n">
        <x:f>ROUND((B34*'Rules'!$B$6+C34/'Rules'!$B$12*'Rules'!$B$7+D34*'Rules'!$B$8+E34*'Rules'!$B$9+F34*'Rules'!$B$10+G34*'Rules'!$B$11)*H34,1)</x:f>
        <x:v>72.6</x:v>
      </x:c>
      <x:c r="J34" s="18" t="n">
        <x:f>'Queries'!C34*'Queries'!E34</x:f>
        <x:v>355.20000000000005</x:v>
      </x:c>
    </x:row>
    <x:row r="35" ht="32" customHeight="1">
      <x:c r="A35" s="6" t="str">
        <x:v>mercedes ac repair dubai</x:v>
      </x:c>
      <x:c r="B35" s="16" t="n">
        <x:v>1</x:v>
      </x:c>
      <x:c r="C35" s="16" t="n">
        <x:v>5</x:v>
      </x:c>
      <x:c r="D35" s="16" t="n">
        <x:f>IF('Queries'!E35&lt;='Rules'!$B$17,'Rules'!$B$21,IF('Queries'!E35&lt;='Rules'!$B$18,'Rules'!$B$22,IF('Queries'!E35&lt;='Rules'!$B$19,'Rules'!$B$23,IF('Queries'!E35&lt;='Rules'!$B$20,'Rules'!$B$24,'Rules'!$B$25))))</x:f>
        <x:v>0.7</x:v>
      </x:c>
      <x:c r="E35" s="16" t="n">
        <x:f>MIN(LOG10(1+'Queries'!C35)/'Rules'!$B$13,1)</x:f>
        <x:v>0.55736595264524</x:v>
      </x:c>
      <x:c r="F35" s="16" t="n">
        <x:f>IF(AND('Queries'!E35&lt;='Rules'!$B$15,'Queries'!C35&gt;='Rules'!$B$14,'Queries'!D35&lt;'Rules'!$B$16),1,0)</x:f>
        <x:v>0</x:v>
      </x:c>
      <x:c r="G35" s="16" t="n">
        <x:v>1</x:v>
      </x:c>
      <x:c r="H35" s="16" t="n">
        <x:v>1</x:v>
      </x:c>
      <x:c r="I35" s="16" t="n">
        <x:f>ROUND((B35*'Rules'!$B$6+C35/'Rules'!$B$12*'Rules'!$B$7+D35*'Rules'!$B$8+E35*'Rules'!$B$9+F35*'Rules'!$B$10+G35*'Rules'!$B$11)*H35,1)</x:f>
        <x:v>78.1</x:v>
      </x:c>
      <x:c r="J35" s="18" t="n">
        <x:f>'Queries'!C35*'Queries'!E35</x:f>
        <x:v>1052.02</x:v>
      </x:c>
    </x:row>
    <x:row r="36" ht="32" customHeight="1">
      <x:c r="A36" s="6" t="str">
        <x:v>mercedes gad motors</x:v>
      </x:c>
      <x:c r="B36" s="16" t="n">
        <x:v>0.8</x:v>
      </x:c>
      <x:c r="C36" s="16" t="n">
        <x:v>5</x:v>
      </x:c>
      <x:c r="D36" s="16" t="n">
        <x:f>IF('Queries'!E36&lt;='Rules'!$B$17,'Rules'!$B$21,IF('Queries'!E36&lt;='Rules'!$B$18,'Rules'!$B$22,IF('Queries'!E36&lt;='Rules'!$B$19,'Rules'!$B$23,IF('Queries'!E36&lt;='Rules'!$B$20,'Rules'!$B$24,'Rules'!$B$25))))</x:f>
        <x:v>1</x:v>
      </x:c>
      <x:c r="E36" s="16" t="n">
        <x:f>MIN(LOG10(1+'Queries'!C36)/'Rules'!$B$13,1)</x:f>
        <x:v>0.51049297234742</x:v>
      </x:c>
      <x:c r="F36" s="16" t="n">
        <x:f>IF(AND('Queries'!E36&lt;='Rules'!$B$15,'Queries'!C36&gt;='Rules'!$B$14,'Queries'!D36&lt;'Rules'!$B$16),1,0)</x:f>
        <x:v>0</x:v>
      </x:c>
      <x:c r="G36" s="16" t="n">
        <x:v>1</x:v>
      </x:c>
      <x:c r="H36" s="16" t="n">
        <x:v>1</x:v>
      </x:c>
      <x:c r="I36" s="16" t="n">
        <x:f>ROUND((B36*'Rules'!$B$6+C36/'Rules'!$B$12*'Rules'!$B$7+D36*'Rules'!$B$8+E36*'Rules'!$B$9+F36*'Rules'!$B$10+G36*'Rules'!$B$11)*H36,1)</x:f>
        <x:v>80.1</x:v>
      </x:c>
      <x:c r="J36" s="18" t="n">
        <x:f>'Queries'!C36*'Queries'!E36</x:f>
        <x:v>220.10999999999999</x:v>
      </x:c>
    </x:row>
    <x:row r="37" ht="32" customHeight="1">
      <x:c r="A37" s="6" t="str">
        <x:v>تصليح فرامل السيارة في دبي</x:v>
      </x:c>
      <x:c r="B37" s="16" t="n">
        <x:v>1</x:v>
      </x:c>
      <x:c r="C37" s="16" t="n">
        <x:v>3</x:v>
      </x:c>
      <x:c r="D37" s="16" t="n">
        <x:f>IF('Queries'!E37&lt;='Rules'!$B$17,'Rules'!$B$21,IF('Queries'!E37&lt;='Rules'!$B$18,'Rules'!$B$22,IF('Queries'!E37&lt;='Rules'!$B$19,'Rules'!$B$23,IF('Queries'!E37&lt;='Rules'!$B$20,'Rules'!$B$24,'Rules'!$B$25))))</x:f>
        <x:v>0.4</x:v>
      </x:c>
      <x:c r="E37" s="16" t="n">
        <x:f>MIN(LOG10(1+'Queries'!C37)/'Rules'!$B$13,1)</x:f>
        <x:v>0.51049297234742</x:v>
      </x:c>
      <x:c r="F37" s="16" t="n">
        <x:f>IF(AND('Queries'!E37&lt;='Rules'!$B$15,'Queries'!C37&gt;='Rules'!$B$14,'Queries'!D37&lt;'Rules'!$B$16),1,0)</x:f>
        <x:v>0</x:v>
      </x:c>
      <x:c r="G37" s="16" t="n">
        <x:v>1</x:v>
      </x:c>
      <x:c r="H37" s="16" t="n">
        <x:v>1</x:v>
      </x:c>
      <x:c r="I37" s="16" t="n">
        <x:f>ROUND((B37*'Rules'!$B$6+C37/'Rules'!$B$12*'Rules'!$B$7+D37*'Rules'!$B$8+E37*'Rules'!$B$9+F37*'Rules'!$B$10+G37*'Rules'!$B$11)*H37,1)</x:f>
        <x:v>62.1</x:v>
      </x:c>
      <x:c r="J37" s="18" t="n">
        <x:f>'Queries'!C37*'Queries'!E37</x:f>
        <x:v>1210.1100000000001</x:v>
      </x:c>
    </x:row>
    <x:row r="38" ht="32" customHeight="1">
      <x:c r="A38" s="6" t="str">
        <x:v>garage near me</x:v>
      </x:c>
      <x:c r="B38" s="16" t="n">
        <x:v>1</x:v>
      </x:c>
      <x:c r="C38" s="16" t="n">
        <x:v>3</x:v>
      </x:c>
      <x:c r="D38" s="16" t="n">
        <x:f>IF('Queries'!E38&lt;='Rules'!$B$17,'Rules'!$B$21,IF('Queries'!E38&lt;='Rules'!$B$18,'Rules'!$B$22,IF('Queries'!E38&lt;='Rules'!$B$19,'Rules'!$B$23,IF('Queries'!E38&lt;='Rules'!$B$20,'Rules'!$B$24,'Rules'!$B$25))))</x:f>
        <x:v>0.7</x:v>
      </x:c>
      <x:c r="E38" s="16" t="n">
        <x:f>MIN(LOG10(1+'Queries'!C38)/'Rules'!$B$13,1)</x:f>
        <x:v>0.50171665943997</x:v>
      </x:c>
      <x:c r="F38" s="16" t="n">
        <x:f>IF(AND('Queries'!E38&lt;='Rules'!$B$15,'Queries'!C38&gt;='Rules'!$B$14,'Queries'!D38&lt;'Rules'!$B$16),1,0)</x:f>
        <x:v>0</x:v>
      </x:c>
      <x:c r="G38" s="16" t="n">
        <x:v>1</x:v>
      </x:c>
      <x:c r="H38" s="16" t="n">
        <x:v>1</x:v>
      </x:c>
      <x:c r="I38" s="16" t="n">
        <x:f>ROUND((B38*'Rules'!$B$6+C38/'Rules'!$B$12*'Rules'!$B$7+D38*'Rules'!$B$8+E38*'Rules'!$B$9+F38*'Rules'!$B$10+G38*'Rules'!$B$11)*H38,1)</x:f>
        <x:v>69.5</x:v>
      </x:c>
      <x:c r="J38" s="18" t="n">
        <x:f>'Queries'!C38*'Queries'!E38</x:f>
        <x:v>514.91</x:v>
      </x:c>
    </x:row>
    <x:row r="39" ht="32" customHeight="1">
      <x:c r="A39" s="6" t="str">
        <x:v>land rover service dubai</x:v>
      </x:c>
      <x:c r="B39" s="16" t="n">
        <x:v>1</x:v>
      </x:c>
      <x:c r="C39" s="16" t="n">
        <x:v>5</x:v>
      </x:c>
      <x:c r="D39" s="16" t="n">
        <x:f>IF('Queries'!E39&lt;='Rules'!$B$17,'Rules'!$B$21,IF('Queries'!E39&lt;='Rules'!$B$18,'Rules'!$B$22,IF('Queries'!E39&lt;='Rules'!$B$19,'Rules'!$B$23,IF('Queries'!E39&lt;='Rules'!$B$20,'Rules'!$B$24,'Rules'!$B$25))))</x:f>
        <x:v>1</x:v>
      </x:c>
      <x:c r="E39" s="16" t="n">
        <x:f>MIN(LOG10(1+'Queries'!C39)/'Rules'!$B$13,1)</x:f>
        <x:v>0.46007041390387</x:v>
      </x:c>
      <x:c r="F39" s="16" t="n">
        <x:f>IF(AND('Queries'!E39&lt;='Rules'!$B$15,'Queries'!C39&gt;='Rules'!$B$14,'Queries'!D39&lt;'Rules'!$B$16),1,0)</x:f>
        <x:v>0</x:v>
      </x:c>
      <x:c r="G39" s="16" t="n">
        <x:v>1</x:v>
      </x:c>
      <x:c r="H39" s="16" t="n">
        <x:v>1</x:v>
      </x:c>
      <x:c r="I39" s="16" t="n">
        <x:f>ROUND((B39*'Rules'!$B$6+C39/'Rules'!$B$12*'Rules'!$B$7+D39*'Rules'!$B$8+E39*'Rules'!$B$9+F39*'Rules'!$B$10+G39*'Rules'!$B$11)*H39,1)</x:f>
        <x:v>84.6</x:v>
      </x:c>
      <x:c r="J39" s="18" t="n">
        <x:f>'Queries'!C39*'Queries'!E39</x:f>
        <x:v>278.07</x:v>
      </x:c>
    </x:row>
    <x:row r="40" ht="32" customHeight="1">
      <x:c r="A40" s="6" t="str">
        <x:v>porsche service dubai</x:v>
      </x:c>
      <x:c r="B40" s="16" t="n">
        <x:v>1</x:v>
      </x:c>
      <x:c r="C40" s="16" t="n">
        <x:v>5</x:v>
      </x:c>
      <x:c r="D40" s="16" t="n">
        <x:f>IF('Queries'!E40&lt;='Rules'!$B$17,'Rules'!$B$21,IF('Queries'!E40&lt;='Rules'!$B$18,'Rules'!$B$22,IF('Queries'!E40&lt;='Rules'!$B$19,'Rules'!$B$23,IF('Queries'!E40&lt;='Rules'!$B$20,'Rules'!$B$24,'Rules'!$B$25))))</x:f>
        <x:v>0.7</x:v>
      </x:c>
      <x:c r="E40" s="16" t="n">
        <x:f>MIN(LOG10(1+'Queries'!C40)/'Rules'!$B$13,1)</x:f>
        <x:v>0.43367666522132664</x:v>
      </x:c>
      <x:c r="F40" s="16" t="n">
        <x:f>IF(AND('Queries'!E40&lt;='Rules'!$B$15,'Queries'!C40&gt;='Rules'!$B$14,'Queries'!D40&lt;'Rules'!$B$16),1,0)</x:f>
        <x:v>0</x:v>
      </x:c>
      <x:c r="G40" s="16" t="n">
        <x:v>1</x:v>
      </x:c>
      <x:c r="H40" s="16" t="n">
        <x:v>1</x:v>
      </x:c>
      <x:c r="I40" s="16" t="n">
        <x:f>ROUND((B40*'Rules'!$B$6+C40/'Rules'!$B$12*'Rules'!$B$7+D40*'Rules'!$B$8+E40*'Rules'!$B$9+F40*'Rules'!$B$10+G40*'Rules'!$B$11)*H40,1)</x:f>
        <x:v>76.8</x:v>
      </x:c>
      <x:c r="J40" s="18" t="n">
        <x:f>'Queries'!C40*'Queries'!E40</x:f>
        <x:v>415.91</x:v>
      </x:c>
    </x:row>
    <x:row r="41" ht="32" customHeight="1">
      <x:c r="A41" s="6" t="str">
        <x:v>yes</x:v>
      </x:c>
      <x:c r="B41" s="16" t="n">
        <x:v>0</x:v>
      </x:c>
      <x:c r="C41" s="16" t="n">
        <x:v>0</x:v>
      </x:c>
      <x:c r="D41" s="16" t="n">
        <x:f>IF('Queries'!E41&lt;='Rules'!$B$17,'Rules'!$B$21,IF('Queries'!E41&lt;='Rules'!$B$18,'Rules'!$B$22,IF('Queries'!E41&lt;='Rules'!$B$19,'Rules'!$B$23,IF('Queries'!E41&lt;='Rules'!$B$20,'Rules'!$B$24,'Rules'!$B$25))))</x:f>
        <x:v>1</x:v>
      </x:c>
      <x:c r="E41" s="16" t="n">
        <x:f>MIN(LOG10(1+'Queries'!C41)/'Rules'!$B$13,1)</x:f>
        <x:v>0.42625120031761</x:v>
      </x:c>
      <x:c r="F41" s="16" t="n">
        <x:f>IF(AND('Queries'!E41&lt;='Rules'!$B$15,'Queries'!C41&gt;='Rules'!$B$14,'Queries'!D41&lt;'Rules'!$B$16),1,0)</x:f>
        <x:v>0</x:v>
      </x:c>
      <x:c r="G41" s="16" t="n">
        <x:v>0</x:v>
      </x:c>
      <x:c r="H41" s="16" t="n">
        <x:v>0</x:v>
      </x:c>
      <x:c r="I41" s="16" t="n">
        <x:f>ROUND((B41*'Rules'!$B$6+C41/'Rules'!$B$12*'Rules'!$B$7+D41*'Rules'!$B$8+E41*'Rules'!$B$9+F41*'Rules'!$B$10+G41*'Rules'!$B$11)*H41,1)</x:f>
        <x:v>0</x:v>
      </x:c>
      <x:c r="J41" s="18" t="n">
        <x:f>'Queries'!C41*'Queries'!E41</x:f>
        <x:v>127.98</x:v>
      </x:c>
    </x:row>
    <x:row r="42" ht="32" customHeight="1">
      <x:c r="A42" s="6" t="str">
        <x:v>land rover repair</x:v>
      </x:c>
      <x:c r="B42" s="16" t="n">
        <x:v>0.8</x:v>
      </x:c>
      <x:c r="C42" s="16" t="n">
        <x:v>5</x:v>
      </x:c>
      <x:c r="D42" s="16" t="n">
        <x:f>IF('Queries'!E42&lt;='Rules'!$B$17,'Rules'!$B$21,IF('Queries'!E42&lt;='Rules'!$B$18,'Rules'!$B$22,IF('Queries'!E42&lt;='Rules'!$B$19,'Rules'!$B$23,IF('Queries'!E42&lt;='Rules'!$B$20,'Rules'!$B$24,'Rules'!$B$25))))</x:f>
        <x:v>0.7</x:v>
      </x:c>
      <x:c r="E42" s="16" t="n">
        <x:f>MIN(LOG10(1+'Queries'!C42)/'Rules'!$B$13,1)</x:f>
        <x:v>0.4013733275519733</x:v>
      </x:c>
      <x:c r="F42" s="16" t="n">
        <x:f>IF(AND('Queries'!E42&lt;='Rules'!$B$15,'Queries'!C42&gt;='Rules'!$B$14,'Queries'!D42&lt;'Rules'!$B$16),1,0)</x:f>
        <x:v>0</x:v>
      </x:c>
      <x:c r="G42" s="16" t="n">
        <x:v>1</x:v>
      </x:c>
      <x:c r="H42" s="16" t="n">
        <x:v>1</x:v>
      </x:c>
      <x:c r="I42" s="16" t="n">
        <x:f>ROUND((B42*'Rules'!$B$6+C42/'Rules'!$B$12*'Rules'!$B$7+D42*'Rules'!$B$8+E42*'Rules'!$B$9+F42*'Rules'!$B$10+G42*'Rules'!$B$11)*H42,1)</x:f>
        <x:v>71.5</x:v>
      </x:c>
      <x:c r="J42" s="18" t="n">
        <x:f>'Queries'!C42*'Queries'!E42</x:f>
        <x:v>289.95</x:v>
      </x:c>
    </x:row>
    <x:row r="43" ht="32" customHeight="1">
      <x:c r="A43" s="6" t="str">
        <x:v>cadillac repair near me</x:v>
      </x:c>
      <x:c r="B43" s="16" t="n">
        <x:v>1</x:v>
      </x:c>
      <x:c r="C43" s="16" t="n">
        <x:v>3</x:v>
      </x:c>
      <x:c r="D43" s="16" t="n">
        <x:f>IF('Queries'!E43&lt;='Rules'!$B$17,'Rules'!$B$21,IF('Queries'!E43&lt;='Rules'!$B$18,'Rules'!$B$22,IF('Queries'!E43&lt;='Rules'!$B$19,'Rules'!$B$23,IF('Queries'!E43&lt;='Rules'!$B$20,'Rules'!$B$24,'Rules'!$B$25))))</x:f>
        <x:v>0.15</x:v>
      </x:c>
      <x:c r="E43" s="16" t="n">
        <x:f>MIN(LOG10(1+'Queries'!C43)/'Rules'!$B$13,1)</x:f>
        <x:v>0.3713144507689467</x:v>
      </x:c>
      <x:c r="F43" s="16" t="n">
        <x:f>IF(AND('Queries'!E43&lt;='Rules'!$B$15,'Queries'!C43&gt;='Rules'!$B$14,'Queries'!D43&lt;'Rules'!$B$16),1,0)</x:f>
        <x:v>0</x:v>
      </x:c>
      <x:c r="G43" s="16" t="n">
        <x:v>1</x:v>
      </x:c>
      <x:c r="H43" s="16" t="n">
        <x:v>1</x:v>
      </x:c>
      <x:c r="I43" s="16" t="n">
        <x:f>ROUND((B43*'Rules'!$B$6+C43/'Rules'!$B$12*'Rules'!$B$7+D43*'Rules'!$B$8+E43*'Rules'!$B$9+F43*'Rules'!$B$10+G43*'Rules'!$B$11)*H43,1)</x:f>
        <x:v>54.5</x:v>
      </x:c>
      <x:c r="J43" s="18" t="n">
        <x:f>'Queries'!C43*'Queries'!E43</x:f>
        <x:v>572.04</x:v>
      </x:c>
    </x:row>
    <x:row r="44" ht="32" customHeight="1">
      <x:c r="A44" s="6" t="str">
        <x:v>mercedes repair shop</x:v>
      </x:c>
      <x:c r="B44" s="16" t="n">
        <x:v>0.8</x:v>
      </x:c>
      <x:c r="C44" s="16" t="n">
        <x:v>5</x:v>
      </x:c>
      <x:c r="D44" s="16" t="n">
        <x:f>IF('Queries'!E44&lt;='Rules'!$B$17,'Rules'!$B$21,IF('Queries'!E44&lt;='Rules'!$B$18,'Rules'!$B$22,IF('Queries'!E44&lt;='Rules'!$B$19,'Rules'!$B$23,IF('Queries'!E44&lt;='Rules'!$B$20,'Rules'!$B$24,'Rules'!$B$25))))</x:f>
        <x:v>1</x:v>
      </x:c>
      <x:c r="E44" s="16" t="n">
        <x:f>MIN(LOG10(1+'Queries'!C44)/'Rules'!$B$13,1)</x:f>
        <x:v>0.35972708201587333</x:v>
      </x:c>
      <x:c r="F44" s="16" t="n">
        <x:f>IF(AND('Queries'!E44&lt;='Rules'!$B$15,'Queries'!C44&gt;='Rules'!$B$14,'Queries'!D44&lt;'Rules'!$B$16),1,0)</x:f>
        <x:v>0</x:v>
      </x:c>
      <x:c r="G44" s="16" t="n">
        <x:v>1</x:v>
      </x:c>
      <x:c r="H44" s="16" t="n">
        <x:v>1</x:v>
      </x:c>
      <x:c r="I44" s="16" t="n">
        <x:f>ROUND((B44*'Rules'!$B$6+C44/'Rules'!$B$12*'Rules'!$B$7+D44*'Rules'!$B$8+E44*'Rules'!$B$9+F44*'Rules'!$B$10+G44*'Rules'!$B$11)*H44,1)</x:f>
        <x:v>78.6</x:v>
      </x:c>
      <x:c r="J44" s="18" t="n">
        <x:f>'Queries'!C44*'Queries'!E44</x:f>
        <x:v>92.94999999999999</x:v>
      </x:c>
    </x:row>
    <x:row r="45" ht="32" customHeight="1">
      <x:c r="A45" s="6" t="str">
        <x:v>maybach repair dubai</x:v>
      </x:c>
      <x:c r="B45" s="16" t="n">
        <x:v>1</x:v>
      </x:c>
      <x:c r="C45" s="16" t="n">
        <x:v>5</x:v>
      </x:c>
      <x:c r="D45" s="16" t="n">
        <x:f>IF('Queries'!E45&lt;='Rules'!$B$17,'Rules'!$B$21,IF('Queries'!E45&lt;='Rules'!$B$18,'Rules'!$B$22,IF('Queries'!E45&lt;='Rules'!$B$19,'Rules'!$B$23,IF('Queries'!E45&lt;='Rules'!$B$20,'Rules'!$B$24,'Rules'!$B$25))))</x:f>
        <x:v>1</x:v>
      </x:c>
      <x:c r="E45" s="16" t="n">
        <x:f>MIN(LOG10(1+'Queries'!C45)/'Rules'!$B$13,1)</x:f>
        <x:v>0.34713089505274003</x:v>
      </x:c>
      <x:c r="F45" s="16" t="n">
        <x:f>IF(AND('Queries'!E45&lt;='Rules'!$B$15,'Queries'!C45&gt;='Rules'!$B$14,'Queries'!D45&lt;'Rules'!$B$16),1,0)</x:f>
        <x:v>0</x:v>
      </x:c>
      <x:c r="G45" s="16" t="n">
        <x:v>1</x:v>
      </x:c>
      <x:c r="H45" s="16" t="n">
        <x:v>1</x:v>
      </x:c>
      <x:c r="I45" s="16" t="n">
        <x:f>ROUND((B45*'Rules'!$B$6+C45/'Rules'!$B$12*'Rules'!$B$7+D45*'Rules'!$B$8+E45*'Rules'!$B$9+F45*'Rules'!$B$10+G45*'Rules'!$B$11)*H45,1)</x:f>
        <x:v>83.5</x:v>
      </x:c>
      <x:c r="J45" s="18" t="n">
        <x:f>'Queries'!C45*'Queries'!E45</x:f>
        <x:v>42</x:v>
      </x:c>
    </x:row>
    <x:row r="46" ht="32" customHeight="1">
      <x:c r="A46" s="6" t="str">
        <x:v>range rover workshop</x:v>
      </x:c>
      <x:c r="B46" s="16" t="n">
        <x:v>0.8</x:v>
      </x:c>
      <x:c r="C46" s="16" t="n">
        <x:v>5</x:v>
      </x:c>
      <x:c r="D46" s="16" t="n">
        <x:f>IF('Queries'!E46&lt;='Rules'!$B$17,'Rules'!$B$21,IF('Queries'!E46&lt;='Rules'!$B$18,'Rules'!$B$22,IF('Queries'!E46&lt;='Rules'!$B$19,'Rules'!$B$23,IF('Queries'!E46&lt;='Rules'!$B$20,'Rules'!$B$24,'Rules'!$B$25))))</x:f>
        <x:v>1</x:v>
      </x:c>
      <x:c r="E46" s="16" t="n">
        <x:f>MIN(LOG10(1+'Queries'!C46)/'Rules'!$B$13,1)</x:f>
        <x:v>0.3333333333333333</x:v>
      </x:c>
      <x:c r="F46" s="16" t="n">
        <x:f>IF(AND('Queries'!E46&lt;='Rules'!$B$15,'Queries'!C46&gt;='Rules'!$B$14,'Queries'!D46&lt;'Rules'!$B$16),1,0)</x:f>
        <x:v>0</x:v>
      </x:c>
      <x:c r="G46" s="16" t="n">
        <x:v>1</x:v>
      </x:c>
      <x:c r="H46" s="16" t="n">
        <x:v>1</x:v>
      </x:c>
      <x:c r="I46" s="16" t="n">
        <x:f>ROUND((B46*'Rules'!$B$6+C46/'Rules'!$B$12*'Rules'!$B$7+D46*'Rules'!$B$8+E46*'Rules'!$B$9+F46*'Rules'!$B$10+G46*'Rules'!$B$11)*H46,1)</x:f>
        <x:v>78.3</x:v>
      </x:c>
      <x:c r="J46" s="18" t="n">
        <x:f>'Queries'!C46*'Queries'!E46</x:f>
        <x:v>88.02</x:v>
      </x:c>
    </x:row>
    <x:row r="47" ht="32" customHeight="1">
      <x:c r="A47" s="6" t="str">
        <x:v>bmw service center in dubai</x:v>
      </x:c>
      <x:c r="B47" s="16" t="n">
        <x:v>1</x:v>
      </x:c>
      <x:c r="C47" s="16" t="n">
        <x:v>5</x:v>
      </x:c>
      <x:c r="D47" s="16" t="n">
        <x:f>IF('Queries'!E47&lt;='Rules'!$B$17,'Rules'!$B$21,IF('Queries'!E47&lt;='Rules'!$B$18,'Rules'!$B$22,IF('Queries'!E47&lt;='Rules'!$B$19,'Rules'!$B$23,IF('Queries'!E47&lt;='Rules'!$B$20,'Rules'!$B$24,'Rules'!$B$25))))</x:f>
        <x:v>0.7</x:v>
      </x:c>
      <x:c r="E47" s="16" t="n">
        <x:f>MIN(LOG10(1+'Queries'!C47)/'Rules'!$B$13,1)</x:f>
        <x:v>0.318080836479775</x:v>
      </x:c>
      <x:c r="F47" s="16" t="n">
        <x:f>IF(AND('Queries'!E47&lt;='Rules'!$B$15,'Queries'!C47&gt;='Rules'!$B$14,'Queries'!D47&lt;'Rules'!$B$16),1,0)</x:f>
        <x:v>0</x:v>
      </x:c>
      <x:c r="G47" s="16" t="n">
        <x:v>1</x:v>
      </x:c>
      <x:c r="H47" s="16" t="n">
        <x:v>1</x:v>
      </x:c>
      <x:c r="I47" s="16" t="n">
        <x:f>ROUND((B47*'Rules'!$B$6+C47/'Rules'!$B$12*'Rules'!$B$7+D47*'Rules'!$B$8+E47*'Rules'!$B$9+F47*'Rules'!$B$10+G47*'Rules'!$B$11)*H47,1)</x:f>
        <x:v>75.7</x:v>
      </x:c>
      <x:c r="J47" s="18" t="n">
        <x:f>'Queries'!C47*'Queries'!E47</x:f>
        <x:v>239.04</x:v>
      </x:c>
    </x:row>
    <x:row r="48" ht="32" customHeight="1">
      <x:c r="A48" s="6" t="str">
        <x:v>مركز صيانة بي واي دي</x:v>
      </x:c>
      <x:c r="B48" s="16" t="n">
        <x:v>0.8</x:v>
      </x:c>
      <x:c r="C48" s="16" t="n">
        <x:v>3</x:v>
      </x:c>
      <x:c r="D48" s="16" t="n">
        <x:f>IF('Queries'!E48&lt;='Rules'!$B$17,'Rules'!$B$21,IF('Queries'!E48&lt;='Rules'!$B$18,'Rules'!$B$22,IF('Queries'!E48&lt;='Rules'!$B$19,'Rules'!$B$23,IF('Queries'!E48&lt;='Rules'!$B$20,'Rules'!$B$24,'Rules'!$B$25))))</x:f>
        <x:v>1</x:v>
      </x:c>
      <x:c r="E48" s="16" t="n">
        <x:f>MIN(LOG10(1+'Queries'!C48)/'Rules'!$B$13,1)</x:f>
        <x:v>0.20068666377598732</x:v>
      </x:c>
      <x:c r="F48" s="16" t="n">
        <x:f>IF(AND('Queries'!E48&lt;='Rules'!$B$15,'Queries'!C48&gt;='Rules'!$B$14,'Queries'!D48&lt;'Rules'!$B$16),1,0)</x:f>
        <x:v>0</x:v>
      </x:c>
      <x:c r="G48" s="16" t="n">
        <x:v>1</x:v>
      </x:c>
      <x:c r="H48" s="16" t="n">
        <x:v>1</x:v>
      </x:c>
      <x:c r="I48" s="16" t="n">
        <x:f>ROUND((B48*'Rules'!$B$6+C48/'Rules'!$B$12*'Rules'!$B$7+D48*'Rules'!$B$8+E48*'Rules'!$B$9+F48*'Rules'!$B$10+G48*'Rules'!$B$11)*H48,1)</x:f>
        <x:v>69</x:v>
      </x:c>
      <x:c r="J48" s="18" t="n">
        <x:f>'Queries'!C48*'Queries'!E48</x:f>
        <x:v>33</x:v>
      </x:c>
    </x:row>
    <x:row r="49" ht="32" customHeight="1">
      <x:c r="A49" s="6" t="str">
        <x:v>tesla battery repair</x:v>
      </x:c>
      <x:c r="B49" s="16" t="n">
        <x:v>1</x:v>
      </x:c>
      <x:c r="C49" s="16" t="n">
        <x:v>1</x:v>
      </x:c>
      <x:c r="D49" s="16" t="n">
        <x:f>IF('Queries'!E49&lt;='Rules'!$B$17,'Rules'!$B$21,IF('Queries'!E49&lt;='Rules'!$B$18,'Rules'!$B$22,IF('Queries'!E49&lt;='Rules'!$B$19,'Rules'!$B$23,IF('Queries'!E49&lt;='Rules'!$B$20,'Rules'!$B$24,'Rules'!$B$25))))</x:f>
        <x:v>1</x:v>
      </x:c>
      <x:c r="E49" s="16" t="n">
        <x:f>MIN(LOG10(1+'Queries'!C49)/'Rules'!$B$13,1)</x:f>
        <x:v>0.15904041823988732</x:v>
      </x:c>
      <x:c r="F49" s="16" t="n">
        <x:f>IF(AND('Queries'!E49&lt;='Rules'!$B$15,'Queries'!C49&gt;='Rules'!$B$14,'Queries'!D49&lt;'Rules'!$B$16),1,0)</x:f>
        <x:v>0</x:v>
      </x:c>
      <x:c r="G49" s="16" t="n">
        <x:v>0.25</x:v>
      </x:c>
      <x:c r="H49" s="16" t="n">
        <x:v>0.1</x:v>
      </x:c>
      <x:c r="I49" s="16" t="n">
        <x:f>ROUND((B49*'Rules'!$B$6+C49/'Rules'!$B$12*'Rules'!$B$7+D49*'Rules'!$B$8+E49*'Rules'!$B$9+F49*'Rules'!$B$10+G49*'Rules'!$B$11)*H49,1)</x:f>
        <x:v>5.8</x:v>
      </x:c>
      <x:c r="J49" s="18" t="n">
        <x:f>'Queries'!C49*'Queries'!E49</x:f>
        <x:v>10</x:v>
      </x:c>
    </x:row>
    <x:row r="50" ht="32" customHeight="1">
      <x:c r="A50" s="6" t="str">
        <x:v>tire patching service near me</x:v>
      </x:c>
      <x:c r="B50" s="16" t="n">
        <x:v>1</x:v>
      </x:c>
      <x:c r="C50" s="16" t="n">
        <x:v>2</x:v>
      </x:c>
      <x:c r="D50" s="16" t="n">
        <x:f>IF('Queries'!E50&lt;='Rules'!$B$17,'Rules'!$B$21,IF('Queries'!E50&lt;='Rules'!$B$18,'Rules'!$B$22,IF('Queries'!E50&lt;='Rules'!$B$19,'Rules'!$B$23,IF('Queries'!E50&lt;='Rules'!$B$20,'Rules'!$B$24,'Rules'!$B$25))))</x:f>
        <x:v>1</x:v>
      </x:c>
      <x:c r="E50" s="16" t="n">
        <x:f>MIN(LOG10(1+'Queries'!C50)/'Rules'!$B$13,1)</x:f>
        <x:v>0.15904041823988732</x:v>
      </x:c>
      <x:c r="F50" s="16" t="n">
        <x:f>IF(AND('Queries'!E50&lt;='Rules'!$B$15,'Queries'!C50&gt;='Rules'!$B$14,'Queries'!D50&lt;'Rules'!$B$16),1,0)</x:f>
        <x:v>0</x:v>
      </x:c>
      <x:c r="G50" s="16" t="n">
        <x:v>1</x:v>
      </x:c>
      <x:c r="H50" s="16" t="n">
        <x:v>1</x:v>
      </x:c>
      <x:c r="I50" s="16" t="n">
        <x:f>ROUND((B50*'Rules'!$B$6+C50/'Rules'!$B$12*'Rules'!$B$7+D50*'Rules'!$B$8+E50*'Rules'!$B$9+F50*'Rules'!$B$10+G50*'Rules'!$B$11)*H50,1)</x:f>
        <x:v>69.6</x:v>
      </x:c>
      <x:c r="J50" s="18" t="n">
        <x:f>'Queries'!C50*'Queries'!E50</x:f>
        <x:v>18</x:v>
      </x:c>
    </x:row>
    <x:row r="51" ht="32" customHeight="1">
      <x:c r="A51" s="6" t="str">
        <x:v>any ithers</x:v>
      </x:c>
      <x:c r="B51" s="16" t="n">
        <x:v>0</x:v>
      </x:c>
      <x:c r="C51" s="16" t="n">
        <x:v>0</x:v>
      </x:c>
      <x:c r="D51" s="16" t="n">
        <x:f>IF('Queries'!E51&lt;='Rules'!$B$17,'Rules'!$B$21,IF('Queries'!E51&lt;='Rules'!$B$18,'Rules'!$B$22,IF('Queries'!E51&lt;='Rules'!$B$19,'Rules'!$B$23,IF('Queries'!E51&lt;='Rules'!$B$20,'Rules'!$B$24,'Rules'!$B$25))))</x:f>
        <x:v>0.3</x:v>
      </x:c>
      <x:c r="E51" s="16" t="n">
        <x:f>MIN(LOG10(1+'Queries'!C51)/'Rules'!$B$13,1)</x:f>
        <x:v>0.10034333188799366</x:v>
      </x:c>
      <x:c r="F51" s="16" t="n">
        <x:f>IF(AND('Queries'!E51&lt;='Rules'!$B$15,'Queries'!C51&gt;='Rules'!$B$14,'Queries'!D51&lt;'Rules'!$B$16),1,0)</x:f>
        <x:v>0</x:v>
      </x:c>
      <x:c r="G51" s="16" t="n">
        <x:v>0</x:v>
      </x:c>
      <x:c r="H51" s="16" t="n">
        <x:v>0</x:v>
      </x:c>
      <x:c r="I51" s="16" t="n">
        <x:f>ROUND((B51*'Rules'!$B$6+C51/'Rules'!$B$12*'Rules'!$B$7+D51*'Rules'!$B$8+E51*'Rules'!$B$9+F51*'Rules'!$B$10+G51*'Rules'!$B$11)*H51,1)</x:f>
        <x:v>0</x:v>
      </x:c>
      <x:c r="J51" s="18" t="n">
        <x:f>'Queries'!C51*'Queries'!E51</x:f>
        <x:v>3</x:v>
      </x:c>
    </x:row>
    <x:row r="52" ht="32" customHeight="1">
      <x:c r="A52" s="6" t="str">
        <x:v>suspension upgrades near me</x:v>
      </x:c>
      <x:c r="B52" s="16" t="n">
        <x:v>1</x:v>
      </x:c>
      <x:c r="C52" s="16" t="n">
        <x:v>1</x:v>
      </x:c>
      <x:c r="D52" s="16" t="n">
        <x:f>IF('Queries'!E52&lt;='Rules'!$B$17,'Rules'!$B$21,IF('Queries'!E52&lt;='Rules'!$B$18,'Rules'!$B$22,IF('Queries'!E52&lt;='Rules'!$B$19,'Rules'!$B$23,IF('Queries'!E52&lt;='Rules'!$B$20,'Rules'!$B$24,'Rules'!$B$25))))</x:f>
        <x:v>0.3</x:v>
      </x:c>
      <x:c r="E52" s="16" t="n">
        <x:f>MIN(LOG10(1+'Queries'!C52)/'Rules'!$B$13,1)</x:f>
        <x:v>0.10034333188799366</x:v>
      </x:c>
      <x:c r="F52" s="16" t="n">
        <x:f>IF(AND('Queries'!E52&lt;='Rules'!$B$15,'Queries'!C52&gt;='Rules'!$B$14,'Queries'!D52&lt;'Rules'!$B$16),1,0)</x:f>
        <x:v>0</x:v>
      </x:c>
      <x:c r="G52" s="16" t="n">
        <x:v>1</x:v>
      </x:c>
      <x:c r="H52" s="16" t="n">
        <x:v>0.1</x:v>
      </x:c>
      <x:c r="I52" s="16" t="n">
        <x:f>ROUND((B52*'Rules'!$B$6+C52/'Rules'!$B$12*'Rules'!$B$7+D52*'Rules'!$B$8+E52*'Rules'!$B$9+F52*'Rules'!$B$10+G52*'Rules'!$B$11)*H52,1)</x:f>
        <x:v>4.8</x:v>
      </x:c>
      <x:c r="J52" s="18" t="n">
        <x:f>'Queries'!C52*'Queries'!E52</x:f>
        <x:v>3</x:v>
      </x:c>
    </x:row>
    <x:row r="53" ht="32" customHeight="1">
      <x:c r="A53" s="6" t="str">
        <x:v>mini workshop</x:v>
      </x:c>
      <x:c r="B53" s="16" t="n">
        <x:v>0.8</x:v>
      </x:c>
      <x:c r="C53" s="16" t="n">
        <x:v>3</x:v>
      </x:c>
      <x:c r="D53" s="16" t="n">
        <x:f>IF('Queries'!E53&lt;='Rules'!$B$17,'Rules'!$B$21,IF('Queries'!E53&lt;='Rules'!$B$18,'Rules'!$B$22,IF('Queries'!E53&lt;='Rules'!$B$19,'Rules'!$B$23,IF('Queries'!E53&lt;='Rules'!$B$20,'Rules'!$B$24,'Rules'!$B$25))))</x:f>
        <x:v>1</x:v>
      </x:c>
      <x:c r="E53" s="16" t="n">
        <x:f>MIN(LOG10(1+'Queries'!C53)/'Rules'!$B$13,1)</x:f>
        <x:v>0.10034333188799366</x:v>
      </x:c>
      <x:c r="F53" s="16" t="n">
        <x:f>IF(AND('Queries'!E53&lt;='Rules'!$B$15,'Queries'!C53&gt;='Rules'!$B$14,'Queries'!D53&lt;'Rules'!$B$16),1,0)</x:f>
        <x:v>0</x:v>
      </x:c>
      <x:c r="G53" s="16" t="n">
        <x:v>1</x:v>
      </x:c>
      <x:c r="H53" s="16" t="n">
        <x:v>1</x:v>
      </x:c>
      <x:c r="I53" s="16" t="n">
        <x:f>ROUND((B53*'Rules'!$B$6+C53/'Rules'!$B$12*'Rules'!$B$7+D53*'Rules'!$B$8+E53*'Rules'!$B$9+F53*'Rules'!$B$10+G53*'Rules'!$B$11)*H53,1)</x:f>
        <x:v>68</x:v>
      </x:c>
      <x:c r="J53" s="18" t="n">
        <x:f>'Queries'!C53*'Queries'!E53</x:f>
        <x:v>5</x:v>
      </x:c>
    </x:row>
    <x:row r="54" ht="32" customHeight="1">
      <x:c r="A54" s="6" t="str">
        <x:v>dubai</x:v>
      </x:c>
      <x:c r="B54" s="16" t="n">
        <x:v>0</x:v>
      </x:c>
      <x:c r="C54" s="16" t="n">
        <x:v>0</x:v>
      </x:c>
      <x:c r="D54" s="16" t="n">
        <x:f>IF('Queries'!E54&lt;='Rules'!$B$17,'Rules'!$B$21,IF('Queries'!E54&lt;='Rules'!$B$18,'Rules'!$B$22,IF('Queries'!E54&lt;='Rules'!$B$19,'Rules'!$B$23,IF('Queries'!E54&lt;='Rules'!$B$20,'Rules'!$B$24,'Rules'!$B$25))))</x:f>
        <x:v>1</x:v>
      </x:c>
      <x:c r="E54" s="16" t="n">
        <x:f>MIN(LOG10(1+'Queries'!C54)/'Rules'!$B$13,1)</x:f>
        <x:v>0.10034333188799366</x:v>
      </x:c>
      <x:c r="F54" s="16" t="n">
        <x:f>IF(AND('Queries'!E54&lt;='Rules'!$B$15,'Queries'!C54&gt;='Rules'!$B$14,'Queries'!D54&lt;'Rules'!$B$16),1,0)</x:f>
        <x:v>0</x:v>
      </x:c>
      <x:c r="G54" s="16" t="n">
        <x:v>0</x:v>
      </x:c>
      <x:c r="H54" s="16" t="n">
        <x:v>0</x:v>
      </x:c>
      <x:c r="I54" s="16" t="n">
        <x:f>ROUND((B54*'Rules'!$B$6+C54/'Rules'!$B$12*'Rules'!$B$7+D54*'Rules'!$B$8+E54*'Rules'!$B$9+F54*'Rules'!$B$10+G54*'Rules'!$B$11)*H54,1)</x:f>
        <x:v>0</x:v>
      </x:c>
      <x:c r="J54" s="18" t="n">
        <x:f>'Queries'!C54*'Queries'!E54</x:f>
        <x:v>6</x:v>
      </x:c>
    </x:row>
    <x:row r="55" ht="32" customHeight="1">
      <x:c r="A55" s="6" t="str">
        <x:v>nissan mechanic</x:v>
      </x:c>
      <x:c r="B55" s="16" t="n">
        <x:v>0.8</x:v>
      </x:c>
      <x:c r="C55" s="16" t="n">
        <x:v>3</x:v>
      </x:c>
      <x:c r="D55" s="16" t="n">
        <x:f>IF('Queries'!E55&lt;='Rules'!$B$17,'Rules'!$B$21,IF('Queries'!E55&lt;='Rules'!$B$18,'Rules'!$B$22,IF('Queries'!E55&lt;='Rules'!$B$19,'Rules'!$B$23,IF('Queries'!E55&lt;='Rules'!$B$20,'Rules'!$B$24,'Rules'!$B$25))))</x:f>
        <x:v>1</x:v>
      </x:c>
      <x:c r="E55" s="16" t="n">
        <x:f>MIN(LOG10(1+'Queries'!C55)/'Rules'!$B$13,1)</x:f>
        <x:v>0.10034333188799366</x:v>
      </x:c>
      <x:c r="F55" s="16" t="n">
        <x:f>IF(AND('Queries'!E55&lt;='Rules'!$B$15,'Queries'!C55&gt;='Rules'!$B$14,'Queries'!D55&lt;'Rules'!$B$16),1,0)</x:f>
        <x:v>0</x:v>
      </x:c>
      <x:c r="G55" s="16" t="n">
        <x:v>1</x:v>
      </x:c>
      <x:c r="H55" s="16" t="n">
        <x:v>1</x:v>
      </x:c>
      <x:c r="I55" s="16" t="n">
        <x:f>ROUND((B55*'Rules'!$B$6+C55/'Rules'!$B$12*'Rules'!$B$7+D55*'Rules'!$B$8+E55*'Rules'!$B$9+F55*'Rules'!$B$10+G55*'Rules'!$B$11)*H55,1)</x:f>
        <x:v>68</x:v>
      </x:c>
      <x:c r="J55" s="18" t="n">
        <x:f>'Queries'!C55*'Queries'!E55</x:f>
        <x:v>9</x:v>
      </x:c>
    </x:row>
    <x:row r="56" ht="32" customHeight="1">
      <x:c r="A56" s="6" t="str">
        <x:v>car door repair</x:v>
      </x:c>
      <x:c r="B56" s="16" t="n">
        <x:v>0.8</x:v>
      </x:c>
      <x:c r="C56" s="16" t="n">
        <x:v>3</x:v>
      </x:c>
      <x:c r="D56" s="16" t="n">
        <x:f>IF('Queries'!E56&lt;='Rules'!$B$17,'Rules'!$B$21,IF('Queries'!E56&lt;='Rules'!$B$18,'Rules'!$B$22,IF('Queries'!E56&lt;='Rules'!$B$19,'Rules'!$B$23,IF('Queries'!E56&lt;='Rules'!$B$20,'Rules'!$B$24,'Rules'!$B$25))))</x:f>
        <x:v>1</x:v>
      </x:c>
      <x:c r="E56" s="16" t="n">
        <x:f>MIN(LOG10(1+'Queries'!C56)/'Rules'!$B$13,1)</x:f>
        <x:v>0.10034333188799366</x:v>
      </x:c>
      <x:c r="F56" s="16" t="n">
        <x:f>IF(AND('Queries'!E56&lt;='Rules'!$B$15,'Queries'!C56&gt;='Rules'!$B$14,'Queries'!D56&lt;'Rules'!$B$16),1,0)</x:f>
        <x:v>0</x:v>
      </x:c>
      <x:c r="G56" s="16" t="n">
        <x:v>1</x:v>
      </x:c>
      <x:c r="H56" s="16" t="n">
        <x:v>1</x:v>
      </x:c>
      <x:c r="I56" s="16" t="n">
        <x:f>ROUND((B56*'Rules'!$B$6+C56/'Rules'!$B$12*'Rules'!$B$7+D56*'Rules'!$B$8+E56*'Rules'!$B$9+F56*'Rules'!$B$10+G56*'Rules'!$B$11)*H56,1)</x:f>
        <x:v>68</x:v>
      </x:c>
      <x:c r="J56" s="18" t="n">
        <x:f>'Queries'!C56*'Queries'!E56</x:f>
        <x:v>13</x:v>
      </x:c>
    </x:row>
    <x:row r="57" ht="32" customHeight="1">
      <x:c r="A57" s="6" t="str">
        <x:v>car oil change dubai</x:v>
      </x:c>
      <x:c r="B57" s="16" t="n">
        <x:v>1</x:v>
      </x:c>
      <x:c r="C57" s="16" t="n">
        <x:v>3</x:v>
      </x:c>
      <x:c r="D57" s="16" t="n">
        <x:f>IF('Queries'!E57&lt;='Rules'!$B$17,'Rules'!$B$21,IF('Queries'!E57&lt;='Rules'!$B$18,'Rules'!$B$22,IF('Queries'!E57&lt;='Rules'!$B$19,'Rules'!$B$23,IF('Queries'!E57&lt;='Rules'!$B$20,'Rules'!$B$24,'Rules'!$B$25))))</x:f>
        <x:v>0.7</x:v>
      </x:c>
      <x:c r="E57" s="16" t="n">
        <x:f>MIN(LOG10(1+'Queries'!C57)/'Rules'!$B$13,1)</x:f>
        <x:v>0.9456522456865167</x:v>
      </x:c>
      <x:c r="F57" s="16" t="n">
        <x:f>IF(AND('Queries'!E57&lt;='Rules'!$B$15,'Queries'!C57&gt;='Rules'!$B$14,'Queries'!D57&lt;'Rules'!$B$16),1,0)</x:f>
        <x:v>0</x:v>
      </x:c>
      <x:c r="G57" s="16" t="n">
        <x:v>1</x:v>
      </x:c>
      <x:c r="H57" s="16" t="n">
        <x:v>1</x:v>
      </x:c>
      <x:c r="I57" s="16" t="n">
        <x:f>ROUND((B57*'Rules'!$B$6+C57/'Rules'!$B$12*'Rules'!$B$7+D57*'Rules'!$B$8+E57*'Rules'!$B$9+F57*'Rules'!$B$10+G57*'Rules'!$B$11)*H57,1)</x:f>
        <x:v>74</x:v>
      </x:c>
      <x:c r="J57" s="18" t="n">
        <x:f>'Queries'!C57*'Queries'!E57</x:f>
        <x:v>20326.18</x:v>
      </x:c>
    </x:row>
    <x:row r="58" ht="32" customHeight="1">
      <x:c r="A58" s="6" t="str">
        <x:v>mercedes repair</x:v>
      </x:c>
      <x:c r="B58" s="16" t="n">
        <x:v>0.8</x:v>
      </x:c>
      <x:c r="C58" s="16" t="n">
        <x:v>5</x:v>
      </x:c>
      <x:c r="D58" s="16" t="n">
        <x:f>IF('Queries'!E58&lt;='Rules'!$B$17,'Rules'!$B$21,IF('Queries'!E58&lt;='Rules'!$B$18,'Rules'!$B$22,IF('Queries'!E58&lt;='Rules'!$B$19,'Rules'!$B$23,IF('Queries'!E58&lt;='Rules'!$B$20,'Rules'!$B$24,'Rules'!$B$25))))</x:f>
        <x:v>0.7</x:v>
      </x:c>
      <x:c r="E58" s="16" t="n">
        <x:f>MIN(LOG10(1+'Queries'!C58)/'Rules'!$B$13,1)</x:f>
        <x:v>0.9344857052161366</x:v>
      </x:c>
      <x:c r="F58" s="16" t="n">
        <x:f>IF(AND('Queries'!E58&lt;='Rules'!$B$15,'Queries'!C58&gt;='Rules'!$B$14,'Queries'!D58&lt;'Rules'!$B$16),1,0)</x:f>
        <x:v>0</x:v>
      </x:c>
      <x:c r="G58" s="16" t="n">
        <x:v>1</x:v>
      </x:c>
      <x:c r="H58" s="16" t="n">
        <x:v>1</x:v>
      </x:c>
      <x:c r="I58" s="16" t="n">
        <x:f>ROUND((B58*'Rules'!$B$6+C58/'Rules'!$B$12*'Rules'!$B$7+D58*'Rules'!$B$8+E58*'Rules'!$B$9+F58*'Rules'!$B$10+G58*'Rules'!$B$11)*H58,1)</x:f>
        <x:v>76.8</x:v>
      </x:c>
      <x:c r="J58" s="18" t="n">
        <x:f>'Queries'!C58*'Queries'!E58</x:f>
        <x:v>10991.849999999999</x:v>
      </x:c>
    </x:row>
    <x:row r="59" ht="32" customHeight="1">
      <x:c r="A59" s="6" t="str">
        <x:v>oil change dubai</x:v>
      </x:c>
      <x:c r="B59" s="16" t="n">
        <x:v>1</x:v>
      </x:c>
      <x:c r="C59" s="16" t="n">
        <x:v>3</x:v>
      </x:c>
      <x:c r="D59" s="16" t="n">
        <x:f>IF('Queries'!E59&lt;='Rules'!$B$17,'Rules'!$B$21,IF('Queries'!E59&lt;='Rules'!$B$18,'Rules'!$B$22,IF('Queries'!E59&lt;='Rules'!$B$19,'Rules'!$B$23,IF('Queries'!E59&lt;='Rules'!$B$20,'Rules'!$B$24,'Rules'!$B$25))))</x:f>
        <x:v>0.7</x:v>
      </x:c>
      <x:c r="E59" s="16" t="n">
        <x:f>MIN(LOG10(1+'Queries'!C59)/'Rules'!$B$13,1)</x:f>
        <x:v>0.9058901676674199</x:v>
      </x:c>
      <x:c r="F59" s="16" t="n">
        <x:f>IF(AND('Queries'!E59&lt;='Rules'!$B$15,'Queries'!C59&gt;='Rules'!$B$14,'Queries'!D59&lt;'Rules'!$B$16),1,0)</x:f>
        <x:v>0</x:v>
      </x:c>
      <x:c r="G59" s="16" t="n">
        <x:v>1</x:v>
      </x:c>
      <x:c r="H59" s="16" t="n">
        <x:v>1</x:v>
      </x:c>
      <x:c r="I59" s="16" t="n">
        <x:f>ROUND((B59*'Rules'!$B$6+C59/'Rules'!$B$12*'Rules'!$B$7+D59*'Rules'!$B$8+E59*'Rules'!$B$9+F59*'Rules'!$B$10+G59*'Rules'!$B$11)*H59,1)</x:f>
        <x:v>73.6</x:v>
      </x:c>
      <x:c r="J59" s="18" t="n">
        <x:f>'Queries'!C59*'Queries'!E59</x:f>
        <x:v>13363.65</x:v>
      </x:c>
    </x:row>
    <x:row r="60" ht="32" customHeight="1">
      <x:c r="A60" s="6" t="str">
        <x:v>oil change near me</x:v>
      </x:c>
      <x:c r="B60" s="16" t="n">
        <x:v>1</x:v>
      </x:c>
      <x:c r="C60" s="16" t="n">
        <x:v>3</x:v>
      </x:c>
      <x:c r="D60" s="16" t="n">
        <x:f>IF('Queries'!E60&lt;='Rules'!$B$17,'Rules'!$B$21,IF('Queries'!E60&lt;='Rules'!$B$18,'Rules'!$B$22,IF('Queries'!E60&lt;='Rules'!$B$19,'Rules'!$B$23,IF('Queries'!E60&lt;='Rules'!$B$20,'Rules'!$B$24,'Rules'!$B$25))))</x:f>
        <x:v>1</x:v>
      </x:c>
      <x:c r="E60" s="16" t="n">
        <x:f>MIN(LOG10(1+'Queries'!C60)/'Rules'!$B$13,1)</x:f>
        <x:v>0.8774857640615733</x:v>
      </x:c>
      <x:c r="F60" s="16" t="n">
        <x:f>IF(AND('Queries'!E60&lt;='Rules'!$B$15,'Queries'!C60&gt;='Rules'!$B$14,'Queries'!D60&lt;'Rules'!$B$16),1,0)</x:f>
        <x:v>0</x:v>
      </x:c>
      <x:c r="G60" s="16" t="n">
        <x:v>1</x:v>
      </x:c>
      <x:c r="H60" s="16" t="n">
        <x:v>1</x:v>
      </x:c>
      <x:c r="I60" s="16" t="n">
        <x:f>ROUND((B60*'Rules'!$B$6+C60/'Rules'!$B$12*'Rules'!$B$7+D60*'Rules'!$B$8+E60*'Rules'!$B$9+F60*'Rules'!$B$10+G60*'Rules'!$B$11)*H60,1)</x:f>
        <x:v>80.8</x:v>
      </x:c>
      <x:c r="J60" s="18" t="n">
        <x:f>'Queries'!C60*'Queries'!E60</x:f>
        <x:v>5332.88</x:v>
      </x:c>
    </x:row>
    <x:row r="61" ht="32" customHeight="1">
      <x:c r="A61" s="6" t="str">
        <x:v>car paint protection</x:v>
      </x:c>
      <x:c r="B61" s="16" t="n">
        <x:v>0.8</x:v>
      </x:c>
      <x:c r="C61" s="16" t="n">
        <x:v>5</x:v>
      </x:c>
      <x:c r="D61" s="16" t="n">
        <x:f>IF('Queries'!E61&lt;='Rules'!$B$17,'Rules'!$B$21,IF('Queries'!E61&lt;='Rules'!$B$18,'Rules'!$B$22,IF('Queries'!E61&lt;='Rules'!$B$19,'Rules'!$B$23,IF('Queries'!E61&lt;='Rules'!$B$20,'Rules'!$B$24,'Rules'!$B$25))))</x:f>
        <x:v>0.15</x:v>
      </x:c>
      <x:c r="E61" s="16" t="n">
        <x:f>MIN(LOG10(1+'Queries'!C61)/'Rules'!$B$13,1)</x:f>
        <x:v>0.86915167440489</x:v>
      </x:c>
      <x:c r="F61" s="16" t="n">
        <x:f>IF(AND('Queries'!E61&lt;='Rules'!$B$15,'Queries'!C61&gt;='Rules'!$B$14,'Queries'!D61&lt;'Rules'!$B$16),1,0)</x:f>
        <x:v>0</x:v>
      </x:c>
      <x:c r="G61" s="16" t="n">
        <x:v>1</x:v>
      </x:c>
      <x:c r="H61" s="16" t="n">
        <x:v>1</x:v>
      </x:c>
      <x:c r="I61" s="16" t="n">
        <x:f>ROUND((B61*'Rules'!$B$6+C61/'Rules'!$B$12*'Rules'!$B$7+D61*'Rules'!$B$8+E61*'Rules'!$B$9+F61*'Rules'!$B$10+G61*'Rules'!$B$11)*H61,1)</x:f>
        <x:v>62.4</x:v>
      </x:c>
      <x:c r="J61" s="18" t="n">
        <x:f>'Queries'!C61*'Queries'!E61</x:f>
        <x:v>17372</x:v>
      </x:c>
    </x:row>
    <x:row r="62" ht="32" customHeight="1">
      <x:c r="A62" s="6" t="str">
        <x:v>mercedes workshop dubai</x:v>
      </x:c>
      <x:c r="B62" s="16" t="n">
        <x:v>1</x:v>
      </x:c>
      <x:c r="C62" s="16" t="n">
        <x:v>5</x:v>
      </x:c>
      <x:c r="D62" s="16" t="n">
        <x:f>IF('Queries'!E62&lt;='Rules'!$B$17,'Rules'!$B$21,IF('Queries'!E62&lt;='Rules'!$B$18,'Rules'!$B$22,IF('Queries'!E62&lt;='Rules'!$B$19,'Rules'!$B$23,IF('Queries'!E62&lt;='Rules'!$B$20,'Rules'!$B$24,'Rules'!$B$25))))</x:f>
        <x:v>0.7</x:v>
      </x:c>
      <x:c r="E62" s="16" t="n">
        <x:f>MIN(LOG10(1+'Queries'!C62)/'Rules'!$B$13,1)</x:f>
        <x:v>0.8580104225759068</x:v>
      </x:c>
      <x:c r="F62" s="16" t="n">
        <x:f>IF(AND('Queries'!E62&lt;='Rules'!$B$15,'Queries'!C62&gt;='Rules'!$B$14,'Queries'!D62&lt;'Rules'!$B$16),1,0)</x:f>
        <x:v>0</x:v>
      </x:c>
      <x:c r="G62" s="16" t="n">
        <x:v>1</x:v>
      </x:c>
      <x:c r="H62" s="16" t="n">
        <x:v>1</x:v>
      </x:c>
      <x:c r="I62" s="16" t="n">
        <x:f>ROUND((B62*'Rules'!$B$6+C62/'Rules'!$B$12*'Rules'!$B$7+D62*'Rules'!$B$8+E62*'Rules'!$B$9+F62*'Rules'!$B$10+G62*'Rules'!$B$11)*H62,1)</x:f>
        <x:v>81.1</x:v>
      </x:c>
      <x:c r="J62" s="18" t="n">
        <x:f>'Queries'!C62*'Queries'!E62</x:f>
        <x:v>8239.220000000001</x:v>
      </x:c>
    </x:row>
    <x:row r="63" ht="32" customHeight="1">
      <x:c r="A63" s="6" t="str">
        <x:v>frenos near me</x:v>
      </x:c>
      <x:c r="B63" s="16" t="n">
        <x:v>1</x:v>
      </x:c>
      <x:c r="C63" s="16" t="n">
        <x:v>2</x:v>
      </x:c>
      <x:c r="D63" s="16" t="n">
        <x:f>IF('Queries'!E63&lt;='Rules'!$B$17,'Rules'!$B$21,IF('Queries'!E63&lt;='Rules'!$B$18,'Rules'!$B$22,IF('Queries'!E63&lt;='Rules'!$B$19,'Rules'!$B$23,IF('Queries'!E63&lt;='Rules'!$B$20,'Rules'!$B$24,'Rules'!$B$25))))</x:f>
        <x:v>1</x:v>
      </x:c>
      <x:c r="E63" s="16" t="n">
        <x:f>MIN(LOG10(1+'Queries'!C63)/'Rules'!$B$13,1)</x:f>
        <x:v>0.85762386740016</x:v>
      </x:c>
      <x:c r="F63" s="16" t="n">
        <x:f>IF(AND('Queries'!E63&lt;='Rules'!$B$15,'Queries'!C63&gt;='Rules'!$B$14,'Queries'!D63&lt;'Rules'!$B$16),1,0)</x:f>
        <x:v>1</x:v>
      </x:c>
      <x:c r="G63" s="16" t="n">
        <x:v>1</x:v>
      </x:c>
      <x:c r="H63" s="16" t="n">
        <x:v>0.65</x:v>
      </x:c>
      <x:c r="I63" s="16" t="n">
        <x:f>ROUND((B63*'Rules'!$B$6+C63/'Rules'!$B$12*'Rules'!$B$7+D63*'Rules'!$B$8+E63*'Rules'!$B$9+F63*'Rules'!$B$10+G63*'Rules'!$B$11)*H63,1)</x:f>
        <x:v>56.3</x:v>
      </x:c>
      <x:c r="J63" s="18" t="n">
        <x:f>'Queries'!C63*'Queries'!E63</x:f>
        <x:v>3707.62</x:v>
      </x:c>
    </x:row>
    <x:row r="64" ht="32" customHeight="1">
      <x:c r="A64" s="6" t="str">
        <x:v>ceramic paint protection dubai</x:v>
      </x:c>
      <x:c r="B64" s="16" t="n">
        <x:v>1</x:v>
      </x:c>
      <x:c r="C64" s="16" t="n">
        <x:v>5</x:v>
      </x:c>
      <x:c r="D64" s="16" t="n">
        <x:f>IF('Queries'!E64&lt;='Rules'!$B$17,'Rules'!$B$21,IF('Queries'!E64&lt;='Rules'!$B$18,'Rules'!$B$22,IF('Queries'!E64&lt;='Rules'!$B$19,'Rules'!$B$23,IF('Queries'!E64&lt;='Rules'!$B$20,'Rules'!$B$24,'Rules'!$B$25))))</x:f>
        <x:v>0.4</x:v>
      </x:c>
      <x:c r="E64" s="16" t="n">
        <x:f>MIN(LOG10(1+'Queries'!C64)/'Rules'!$B$13,1)</x:f>
        <x:v>0.8516981495261066</x:v>
      </x:c>
      <x:c r="F64" s="16" t="n">
        <x:f>IF(AND('Queries'!E64&lt;='Rules'!$B$15,'Queries'!C64&gt;='Rules'!$B$14,'Queries'!D64&lt;'Rules'!$B$16),1,0)</x:f>
        <x:v>0</x:v>
      </x:c>
      <x:c r="G64" s="16" t="n">
        <x:v>1</x:v>
      </x:c>
      <x:c r="H64" s="16" t="n">
        <x:v>1</x:v>
      </x:c>
      <x:c r="I64" s="16" t="n">
        <x:f>ROUND((B64*'Rules'!$B$6+C64/'Rules'!$B$12*'Rules'!$B$7+D64*'Rules'!$B$8+E64*'Rules'!$B$9+F64*'Rules'!$B$10+G64*'Rules'!$B$11)*H64,1)</x:f>
        <x:v>73.5</x:v>
      </x:c>
      <x:c r="J64" s="18" t="n">
        <x:f>'Queries'!C64*'Queries'!E64</x:f>
        <x:v>13081.32</x:v>
      </x:c>
    </x:row>
    <x:row r="65" ht="32" customHeight="1">
      <x:c r="A65" s="6" t="str">
        <x:v>cue screen replacement in dubai</x:v>
      </x:c>
      <x:c r="B65" s="16" t="n">
        <x:v>1</x:v>
      </x:c>
      <x:c r="C65" s="16" t="n">
        <x:v>1</x:v>
      </x:c>
      <x:c r="D65" s="16" t="n">
        <x:f>IF('Queries'!E65&lt;='Rules'!$B$17,'Rules'!$B$21,IF('Queries'!E65&lt;='Rules'!$B$18,'Rules'!$B$22,IF('Queries'!E65&lt;='Rules'!$B$19,'Rules'!$B$23,IF('Queries'!E65&lt;='Rules'!$B$20,'Rules'!$B$24,'Rules'!$B$25))))</x:f>
        <x:v>0.15</x:v>
      </x:c>
      <x:c r="E65" s="16" t="n">
        <x:f>MIN(LOG10(1+'Queries'!C65)/'Rules'!$B$13,1)</x:f>
        <x:v>0.8496677540085966</x:v>
      </x:c>
      <x:c r="F65" s="16" t="n">
        <x:f>IF(AND('Queries'!E65&lt;='Rules'!$B$15,'Queries'!C65&gt;='Rules'!$B$14,'Queries'!D65&lt;'Rules'!$B$16),1,0)</x:f>
        <x:v>0</x:v>
      </x:c>
      <x:c r="G65" s="16" t="n">
        <x:v>0</x:v>
      </x:c>
      <x:c r="H65" s="16" t="n">
        <x:v>0.1</x:v>
      </x:c>
      <x:c r="I65" s="16" t="n">
        <x:f>ROUND((B65*'Rules'!$B$6+C65/'Rules'!$B$12*'Rules'!$B$7+D65*'Rules'!$B$8+E65*'Rules'!$B$9+F65*'Rules'!$B$10+G65*'Rules'!$B$11)*H65,1)</x:f>
        <x:v>4.1</x:v>
      </x:c>
      <x:c r="J65" s="18" t="n">
        <x:f>'Queries'!C65*'Queries'!E65</x:f>
        <x:v>14889.539999999999</x:v>
      </x:c>
    </x:row>
    <x:row r="66" ht="32" customHeight="1">
      <x:c r="A66" s="6" t="str">
        <x:v>paint protection coating</x:v>
      </x:c>
      <x:c r="B66" s="16" t="n">
        <x:v>0.8</x:v>
      </x:c>
      <x:c r="C66" s="16" t="n">
        <x:v>5</x:v>
      </x:c>
      <x:c r="D66" s="16" t="n">
        <x:f>IF('Queries'!E66&lt;='Rules'!$B$17,'Rules'!$B$21,IF('Queries'!E66&lt;='Rules'!$B$18,'Rules'!$B$22,IF('Queries'!E66&lt;='Rules'!$B$19,'Rules'!$B$23,IF('Queries'!E66&lt;='Rules'!$B$20,'Rules'!$B$24,'Rules'!$B$25))))</x:f>
        <x:v>0.4</x:v>
      </x:c>
      <x:c r="E66" s="16" t="n">
        <x:f>MIN(LOG10(1+'Queries'!C66)/'Rules'!$B$13,1)</x:f>
        <x:v>0.8459396983577566</x:v>
      </x:c>
      <x:c r="F66" s="16" t="n">
        <x:f>IF(AND('Queries'!E66&lt;='Rules'!$B$15,'Queries'!C66&gt;='Rules'!$B$14,'Queries'!D66&lt;'Rules'!$B$16),1,0)</x:f>
        <x:v>0</x:v>
      </x:c>
      <x:c r="G66" s="16" t="n">
        <x:v>1</x:v>
      </x:c>
      <x:c r="H66" s="16" t="n">
        <x:v>1</x:v>
      </x:c>
      <x:c r="I66" s="16" t="n">
        <x:f>ROUND((B66*'Rules'!$B$6+C66/'Rules'!$B$12*'Rules'!$B$7+D66*'Rules'!$B$8+E66*'Rules'!$B$9+F66*'Rules'!$B$10+G66*'Rules'!$B$11)*H66,1)</x:f>
        <x:v>68.5</x:v>
      </x:c>
      <x:c r="J66" s="18" t="n">
        <x:f>'Queries'!C66*'Queries'!E66</x:f>
        <x:v>11259.119999999999</x:v>
      </x:c>
    </x:row>
    <x:row r="67" ht="32" customHeight="1">
      <x:c r="A67" s="6" t="str">
        <x:v>mercedes service</x:v>
      </x:c>
      <x:c r="B67" s="16" t="n">
        <x:v>0.8</x:v>
      </x:c>
      <x:c r="C67" s="16" t="n">
        <x:v>5</x:v>
      </x:c>
      <x:c r="D67" s="16" t="n">
        <x:f>IF('Queries'!E67&lt;='Rules'!$B$17,'Rules'!$B$21,IF('Queries'!E67&lt;='Rules'!$B$18,'Rules'!$B$22,IF('Queries'!E67&lt;='Rules'!$B$19,'Rules'!$B$23,IF('Queries'!E67&lt;='Rules'!$B$20,'Rules'!$B$24,'Rules'!$B$25))))</x:f>
        <x:v>0.7</x:v>
      </x:c>
      <x:c r="E67" s="16" t="n">
        <x:f>MIN(LOG10(1+'Queries'!C67)/'Rules'!$B$13,1)</x:f>
        <x:v>0.8403793612346799</x:v>
      </x:c>
      <x:c r="F67" s="16" t="n">
        <x:f>IF(AND('Queries'!E67&lt;='Rules'!$B$15,'Queries'!C67&gt;='Rules'!$B$14,'Queries'!D67&lt;'Rules'!$B$16),1,0)</x:f>
        <x:v>0</x:v>
      </x:c>
      <x:c r="G67" s="16" t="n">
        <x:v>1</x:v>
      </x:c>
      <x:c r="H67" s="16" t="n">
        <x:v>1</x:v>
      </x:c>
      <x:c r="I67" s="16" t="n">
        <x:f>ROUND((B67*'Rules'!$B$6+C67/'Rules'!$B$12*'Rules'!$B$7+D67*'Rules'!$B$8+E67*'Rules'!$B$9+F67*'Rules'!$B$10+G67*'Rules'!$B$11)*H67,1)</x:f>
        <x:v>75.9</x:v>
      </x:c>
      <x:c r="J67" s="18" t="n">
        <x:f>'Queries'!C67*'Queries'!E67</x:f>
        <x:v>8556.35</x:v>
      </x:c>
    </x:row>
    <x:row r="68" ht="32" customHeight="1">
      <x:c r="A68" s="6" t="str">
        <x:v>bentley reverse camera in dubai</x:v>
      </x:c>
      <x:c r="B68" s="16" t="n">
        <x:v>1</x:v>
      </x:c>
      <x:c r="C68" s="16" t="n">
        <x:v>1</x:v>
      </x:c>
      <x:c r="D68" s="16" t="n">
        <x:f>IF('Queries'!E68&lt;='Rules'!$B$17,'Rules'!$B$21,IF('Queries'!E68&lt;='Rules'!$B$18,'Rules'!$B$22,IF('Queries'!E68&lt;='Rules'!$B$19,'Rules'!$B$23,IF('Queries'!E68&lt;='Rules'!$B$20,'Rules'!$B$24,'Rules'!$B$25))))</x:f>
        <x:v>0.15</x:v>
      </x:c>
      <x:c r="E68" s="16" t="n">
        <x:f>MIN(LOG10(1+'Queries'!C68)/'Rules'!$B$13,1)</x:f>
        <x:v>0.8390652993166566</x:v>
      </x:c>
      <x:c r="F68" s="16" t="n">
        <x:f>IF(AND('Queries'!E68&lt;='Rules'!$B$15,'Queries'!C68&gt;='Rules'!$B$14,'Queries'!D68&lt;'Rules'!$B$16),1,0)</x:f>
        <x:v>0</x:v>
      </x:c>
      <x:c r="G68" s="16" t="n">
        <x:v>0</x:v>
      </x:c>
      <x:c r="H68" s="16" t="n">
        <x:v>0.1</x:v>
      </x:c>
      <x:c r="I68" s="16" t="n">
        <x:f>ROUND((B68*'Rules'!$B$6+C68/'Rules'!$B$12*'Rules'!$B$7+D68*'Rules'!$B$8+E68*'Rules'!$B$9+F68*'Rules'!$B$10+G68*'Rules'!$B$11)*H68,1)</x:f>
        <x:v>4.1</x:v>
      </x:c>
      <x:c r="J68" s="18" t="n">
        <x:f>'Queries'!C68*'Queries'!E68</x:f>
        <x:v>14556.640000000001</x:v>
      </x:c>
    </x:row>
    <x:row r="69" ht="32" customHeight="1">
      <x:c r="A69" s="6" t="str">
        <x:v>mercedes specialist dubai</x:v>
      </x:c>
      <x:c r="B69" s="16" t="n">
        <x:v>1</x:v>
      </x:c>
      <x:c r="C69" s="16" t="n">
        <x:v>5</x:v>
      </x:c>
      <x:c r="D69" s="16" t="n">
        <x:f>IF('Queries'!E69&lt;='Rules'!$B$17,'Rules'!$B$21,IF('Queries'!E69&lt;='Rules'!$B$18,'Rules'!$B$22,IF('Queries'!E69&lt;='Rules'!$B$19,'Rules'!$B$23,IF('Queries'!E69&lt;='Rules'!$B$20,'Rules'!$B$24,'Rules'!$B$25))))</x:f>
        <x:v>1</x:v>
      </x:c>
      <x:c r="E69" s="16" t="n">
        <x:f>MIN(LOG10(1+'Queries'!C69)/'Rules'!$B$13,1)</x:f>
        <x:v>0.8332290275394666</x:v>
      </x:c>
      <x:c r="F69" s="16" t="n">
        <x:f>IF(AND('Queries'!E69&lt;='Rules'!$B$15,'Queries'!C69&gt;='Rules'!$B$14,'Queries'!D69&lt;'Rules'!$B$16),1,0)</x:f>
        <x:v>0</x:v>
      </x:c>
      <x:c r="G69" s="16" t="n">
        <x:v>1</x:v>
      </x:c>
      <x:c r="H69" s="16" t="n">
        <x:v>1</x:v>
      </x:c>
      <x:c r="I69" s="16" t="n">
        <x:f>ROUND((B69*'Rules'!$B$6+C69/'Rules'!$B$12*'Rules'!$B$7+D69*'Rules'!$B$8+E69*'Rules'!$B$9+F69*'Rules'!$B$10+G69*'Rules'!$B$11)*H69,1)</x:f>
        <x:v>88.3</x:v>
      </x:c>
      <x:c r="J69" s="18" t="n">
        <x:f>'Queries'!C69*'Queries'!E69</x:f>
        <x:v>3420.8999999999996</x:v>
      </x:c>
    </x:row>
    <x:row r="70" ht="32" customHeight="1">
      <x:c r="A70" s="6" t="str">
        <x:v>cadillac touch screen repair in dubai</x:v>
      </x:c>
      <x:c r="B70" s="16" t="n">
        <x:v>1</x:v>
      </x:c>
      <x:c r="C70" s="16" t="n">
        <x:v>1</x:v>
      </x:c>
      <x:c r="D70" s="16" t="n">
        <x:f>IF('Queries'!E70&lt;='Rules'!$B$17,'Rules'!$B$21,IF('Queries'!E70&lt;='Rules'!$B$18,'Rules'!$B$22,IF('Queries'!E70&lt;='Rules'!$B$19,'Rules'!$B$23,IF('Queries'!E70&lt;='Rules'!$B$20,'Rules'!$B$24,'Rules'!$B$25))))</x:f>
        <x:v>0.15</x:v>
      </x:c>
      <x:c r="E70" s="16" t="n">
        <x:f>MIN(LOG10(1+'Queries'!C70)/'Rules'!$B$13,1)</x:f>
        <x:v>0.8182816200028368</x:v>
      </x:c>
      <x:c r="F70" s="16" t="n">
        <x:f>IF(AND('Queries'!E70&lt;='Rules'!$B$15,'Queries'!C70&gt;='Rules'!$B$14,'Queries'!D70&lt;'Rules'!$B$16),1,0)</x:f>
        <x:v>0</x:v>
      </x:c>
      <x:c r="G70" s="16" t="n">
        <x:v>0</x:v>
      </x:c>
      <x:c r="H70" s="16" t="n">
        <x:v>0.1</x:v>
      </x:c>
      <x:c r="I70" s="16" t="n">
        <x:f>ROUND((B70*'Rules'!$B$6+C70/'Rules'!$B$12*'Rules'!$B$7+D70*'Rules'!$B$8+E70*'Rules'!$B$9+F70*'Rules'!$B$10+G70*'Rules'!$B$11)*H70,1)</x:f>
        <x:v>4.1</x:v>
      </x:c>
      <x:c r="J70" s="18" t="n">
        <x:f>'Queries'!C70*'Queries'!E70</x:f>
        <x:v>14310.76</x:v>
      </x:c>
    </x:row>
    <x:row r="71" ht="32" customHeight="1">
      <x:c r="A71" s="6" t="str">
        <x:v>ferrari service dubai</x:v>
      </x:c>
      <x:c r="B71" s="16" t="n">
        <x:v>1</x:v>
      </x:c>
      <x:c r="C71" s="16" t="n">
        <x:v>5</x:v>
      </x:c>
      <x:c r="D71" s="16" t="n">
        <x:f>IF('Queries'!E71&lt;='Rules'!$B$17,'Rules'!$B$21,IF('Queries'!E71&lt;='Rules'!$B$18,'Rules'!$B$22,IF('Queries'!E71&lt;='Rules'!$B$19,'Rules'!$B$23,IF('Queries'!E71&lt;='Rules'!$B$20,'Rules'!$B$24,'Rules'!$B$25))))</x:f>
        <x:v>0.7</x:v>
      </x:c>
      <x:c r="E71" s="16" t="n">
        <x:f>MIN(LOG10(1+'Queries'!C71)/'Rules'!$B$13,1)</x:f>
        <x:v>0.8177727800156801</x:v>
      </x:c>
      <x:c r="F71" s="16" t="n">
        <x:f>IF(AND('Queries'!E71&lt;='Rules'!$B$15,'Queries'!C71&gt;='Rules'!$B$14,'Queries'!D71&lt;'Rules'!$B$16),1,0)</x:f>
        <x:v>0</x:v>
      </x:c>
      <x:c r="G71" s="16" t="n">
        <x:v>1</x:v>
      </x:c>
      <x:c r="H71" s="16" t="n">
        <x:v>1</x:v>
      </x:c>
      <x:c r="I71" s="16" t="n">
        <x:f>ROUND((B71*'Rules'!$B$6+C71/'Rules'!$B$12*'Rules'!$B$7+D71*'Rules'!$B$8+E71*'Rules'!$B$9+F71*'Rules'!$B$10+G71*'Rules'!$B$11)*H71,1)</x:f>
        <x:v>80.7</x:v>
      </x:c>
      <x:c r="J71" s="18" t="n">
        <x:f>'Queries'!C71*'Queries'!E71</x:f>
        <x:v>5130.79</x:v>
      </x:c>
    </x:row>
    <x:row r="72" ht="32" customHeight="1">
      <x:c r="A72" s="6" t="str">
        <x:v>battery replacement dubai</x:v>
      </x:c>
      <x:c r="B72" s="16" t="n">
        <x:v>1</x:v>
      </x:c>
      <x:c r="C72" s="16" t="n">
        <x:v>3</x:v>
      </x:c>
      <x:c r="D72" s="16" t="n">
        <x:f>IF('Queries'!E72&lt;='Rules'!$B$17,'Rules'!$B$21,IF('Queries'!E72&lt;='Rules'!$B$18,'Rules'!$B$22,IF('Queries'!E72&lt;='Rules'!$B$19,'Rules'!$B$23,IF('Queries'!E72&lt;='Rules'!$B$20,'Rules'!$B$24,'Rules'!$B$25))))</x:f>
        <x:v>0.15</x:v>
      </x:c>
      <x:c r="E72" s="16" t="n">
        <x:f>MIN(LOG10(1+'Queries'!C72)/'Rules'!$B$13,1)</x:f>
        <x:v>0.8131108979434201</x:v>
      </x:c>
      <x:c r="F72" s="16" t="n">
        <x:f>IF(AND('Queries'!E72&lt;='Rules'!$B$15,'Queries'!C72&gt;='Rules'!$B$14,'Queries'!D72&lt;'Rules'!$B$16),1,0)</x:f>
        <x:v>0</x:v>
      </x:c>
      <x:c r="G72" s="16" t="n">
        <x:v>1</x:v>
      </x:c>
      <x:c r="H72" s="16" t="n">
        <x:v>1</x:v>
      </x:c>
      <x:c r="I72" s="16" t="n">
        <x:f>ROUND((B72*'Rules'!$B$6+C72/'Rules'!$B$12*'Rules'!$B$7+D72*'Rules'!$B$8+E72*'Rules'!$B$9+F72*'Rules'!$B$10+G72*'Rules'!$B$11)*H72,1)</x:f>
        <x:v>58.9</x:v>
      </x:c>
      <x:c r="J72" s="18" t="n">
        <x:f>'Queries'!C72*'Queries'!E72</x:f>
        <x:v>12283.42</x:v>
      </x:c>
    </x:row>
    <x:row r="73" ht="32" customHeight="1">
      <x:c r="A73" s="6" t="str">
        <x:v>mercedes service center dubai</x:v>
      </x:c>
      <x:c r="B73" s="16" t="n">
        <x:v>1</x:v>
      </x:c>
      <x:c r="C73" s="16" t="n">
        <x:v>5</x:v>
      </x:c>
      <x:c r="D73" s="16" t="n">
        <x:f>IF('Queries'!E73&lt;='Rules'!$B$17,'Rules'!$B$21,IF('Queries'!E73&lt;='Rules'!$B$18,'Rules'!$B$22,IF('Queries'!E73&lt;='Rules'!$B$19,'Rules'!$B$23,IF('Queries'!E73&lt;='Rules'!$B$20,'Rules'!$B$24,'Rules'!$B$25))))</x:f>
        <x:v>0.7</x:v>
      </x:c>
      <x:c r="E73" s="16" t="n">
        <x:f>MIN(LOG10(1+'Queries'!C73)/'Rules'!$B$13,1)</x:f>
        <x:v>0.8061004304399167</x:v>
      </x:c>
      <x:c r="F73" s="16" t="n">
        <x:f>IF(AND('Queries'!E73&lt;='Rules'!$B$15,'Queries'!C73&gt;='Rules'!$B$14,'Queries'!D73&lt;'Rules'!$B$16),1,0)</x:f>
        <x:v>0</x:v>
      </x:c>
      <x:c r="G73" s="16" t="n">
        <x:v>1</x:v>
      </x:c>
      <x:c r="H73" s="16" t="n">
        <x:v>1</x:v>
      </x:c>
      <x:c r="I73" s="16" t="n">
        <x:f>ROUND((B73*'Rules'!$B$6+C73/'Rules'!$B$12*'Rules'!$B$7+D73*'Rules'!$B$8+E73*'Rules'!$B$9+F73*'Rules'!$B$10+G73*'Rules'!$B$11)*H73,1)</x:f>
        <x:v>80.6</x:v>
      </x:c>
      <x:c r="J73" s="18" t="n">
        <x:f>'Queries'!C73*'Queries'!E73</x:f>
        <x:v>4356.09</x:v>
      </x:c>
    </x:row>
    <x:row r="74" ht="32" customHeight="1">
      <x:c r="A74" s="6" t="str">
        <x:v>ferrari repair dubai</x:v>
      </x:c>
      <x:c r="B74" s="16" t="n">
        <x:v>1</x:v>
      </x:c>
      <x:c r="C74" s="16" t="n">
        <x:v>5</x:v>
      </x:c>
      <x:c r="D74" s="16" t="n">
        <x:f>IF('Queries'!E74&lt;='Rules'!$B$17,'Rules'!$B$21,IF('Queries'!E74&lt;='Rules'!$B$18,'Rules'!$B$22,IF('Queries'!E74&lt;='Rules'!$B$19,'Rules'!$B$23,IF('Queries'!E74&lt;='Rules'!$B$20,'Rules'!$B$24,'Rules'!$B$25))))</x:f>
        <x:v>0.7</x:v>
      </x:c>
      <x:c r="E74" s="16" t="n">
        <x:f>MIN(LOG10(1+'Queries'!C74)/'Rules'!$B$13,1)</x:f>
        <x:v>0.8061004304399167</x:v>
      </x:c>
      <x:c r="F74" s="16" t="n">
        <x:f>IF(AND('Queries'!E74&lt;='Rules'!$B$15,'Queries'!C74&gt;='Rules'!$B$14,'Queries'!D74&lt;'Rules'!$B$16),1,0)</x:f>
        <x:v>0</x:v>
      </x:c>
      <x:c r="G74" s="16" t="n">
        <x:v>1</x:v>
      </x:c>
      <x:c r="H74" s="16" t="n">
        <x:v>1</x:v>
      </x:c>
      <x:c r="I74" s="16" t="n">
        <x:f>ROUND((B74*'Rules'!$B$6+C74/'Rules'!$B$12*'Rules'!$B$7+D74*'Rules'!$B$8+E74*'Rules'!$B$9+F74*'Rules'!$B$10+G74*'Rules'!$B$11)*H74,1)</x:f>
        <x:v>80.6</x:v>
      </x:c>
      <x:c r="J74" s="18" t="n">
        <x:f>'Queries'!C74*'Queries'!E74</x:f>
        <x:v>5932.53</x:v>
      </x:c>
    </x:row>
    <x:row r="75" ht="32" customHeight="1">
      <x:c r="A75" s="6" t="str">
        <x:v>brake repair dubai</x:v>
      </x:c>
      <x:c r="B75" s="16" t="n">
        <x:v>1</x:v>
      </x:c>
      <x:c r="C75" s="16" t="n">
        <x:v>3</x:v>
      </x:c>
      <x:c r="D75" s="16" t="n">
        <x:f>IF('Queries'!E75&lt;='Rules'!$B$17,'Rules'!$B$21,IF('Queries'!E75&lt;='Rules'!$B$18,'Rules'!$B$22,IF('Queries'!E75&lt;='Rules'!$B$19,'Rules'!$B$23,IF('Queries'!E75&lt;='Rules'!$B$20,'Rules'!$B$24,'Rules'!$B$25))))</x:f>
        <x:v>0.4</x:v>
      </x:c>
      <x:c r="E75" s="16" t="n">
        <x:f>MIN(LOG10(1+'Queries'!C75)/'Rules'!$B$13,1)</x:f>
        <x:v>0.8049911159902733</x:v>
      </x:c>
      <x:c r="F75" s="16" t="n">
        <x:f>IF(AND('Queries'!E75&lt;='Rules'!$B$15,'Queries'!C75&gt;='Rules'!$B$14,'Queries'!D75&lt;'Rules'!$B$16),1,0)</x:f>
        <x:v>0</x:v>
      </x:c>
      <x:c r="G75" s="16" t="n">
        <x:v>1</x:v>
      </x:c>
      <x:c r="H75" s="16" t="n">
        <x:v>1</x:v>
      </x:c>
      <x:c r="I75" s="16" t="n">
        <x:f>ROUND((B75*'Rules'!$B$6+C75/'Rules'!$B$12*'Rules'!$B$7+D75*'Rules'!$B$8+E75*'Rules'!$B$9+F75*'Rules'!$B$10+G75*'Rules'!$B$11)*H75,1)</x:f>
        <x:v>65</x:v>
      </x:c>
      <x:c r="J75" s="18" t="n">
        <x:f>'Queries'!C75*'Queries'!E75</x:f>
        <x:v>8484.84</x:v>
      </x:c>
    </x:row>
    <x:row r="76" ht="32" customHeight="1">
      <x:c r="A76" s="6" t="str">
        <x:v>car ac gas refill dubai</x:v>
      </x:c>
      <x:c r="B76" s="16" t="n">
        <x:v>1</x:v>
      </x:c>
      <x:c r="C76" s="16" t="n">
        <x:v>3</x:v>
      </x:c>
      <x:c r="D76" s="16" t="n">
        <x:f>IF('Queries'!E76&lt;='Rules'!$B$17,'Rules'!$B$21,IF('Queries'!E76&lt;='Rules'!$B$18,'Rules'!$B$22,IF('Queries'!E76&lt;='Rules'!$B$19,'Rules'!$B$23,IF('Queries'!E76&lt;='Rules'!$B$20,'Rules'!$B$24,'Rules'!$B$25))))</x:f>
        <x:v>0.4</x:v>
      </x:c>
      <x:c r="E76" s="16" t="n">
        <x:f>MIN(LOG10(1+'Queries'!C76)/'Rules'!$B$13,1)</x:f>
        <x:v>0.7998912404936801</x:v>
      </x:c>
      <x:c r="F76" s="16" t="n">
        <x:f>IF(AND('Queries'!E76&lt;='Rules'!$B$15,'Queries'!C76&gt;='Rules'!$B$14,'Queries'!D76&lt;'Rules'!$B$16),1,0)</x:f>
        <x:v>0</x:v>
      </x:c>
      <x:c r="G76" s="16" t="n">
        <x:v>1</x:v>
      </x:c>
      <x:c r="H76" s="16" t="n">
        <x:v>1</x:v>
      </x:c>
      <x:c r="I76" s="16" t="n">
        <x:f>ROUND((B76*'Rules'!$B$6+C76/'Rules'!$B$12*'Rules'!$B$7+D76*'Rules'!$B$8+E76*'Rules'!$B$9+F76*'Rules'!$B$10+G76*'Rules'!$B$11)*H76,1)</x:f>
        <x:v>65</x:v>
      </x:c>
      <x:c r="J76" s="18" t="n">
        <x:f>'Queries'!C76*'Queries'!E76</x:f>
        <x:v>9225</x:v>
      </x:c>
    </x:row>
    <x:row r="77" ht="32" customHeight="1">
      <x:c r="A77" s="6" t="str">
        <x:v>command unit repairing dubai</x:v>
      </x:c>
      <x:c r="B77" s="16" t="n">
        <x:v>1</x:v>
      </x:c>
      <x:c r="C77" s="16" t="n">
        <x:v>1</x:v>
      </x:c>
      <x:c r="D77" s="16" t="n">
        <x:f>IF('Queries'!E77&lt;='Rules'!$B$17,'Rules'!$B$21,IF('Queries'!E77&lt;='Rules'!$B$18,'Rules'!$B$22,IF('Queries'!E77&lt;='Rules'!$B$19,'Rules'!$B$23,IF('Queries'!E77&lt;='Rules'!$B$20,'Rules'!$B$24,'Rules'!$B$25))))</x:f>
        <x:v>0.15</x:v>
      </x:c>
      <x:c r="E77" s="16" t="n">
        <x:f>MIN(LOG10(1+'Queries'!C77)/'Rules'!$B$13,1)</x:f>
        <x:v>0.7998912404936801</x:v>
      </x:c>
      <x:c r="F77" s="16" t="n">
        <x:f>IF(AND('Queries'!E77&lt;='Rules'!$B$15,'Queries'!C77&gt;='Rules'!$B$14,'Queries'!D77&lt;'Rules'!$B$16),1,0)</x:f>
        <x:v>0</x:v>
      </x:c>
      <x:c r="G77" s="16" t="n">
        <x:v>0</x:v>
      </x:c>
      <x:c r="H77" s="16" t="n">
        <x:v>0.1</x:v>
      </x:c>
      <x:c r="I77" s="16" t="n">
        <x:f>ROUND((B77*'Rules'!$B$6+C77/'Rules'!$B$12*'Rules'!$B$7+D77*'Rules'!$B$8+E77*'Rules'!$B$9+F77*'Rules'!$B$10+G77*'Rules'!$B$11)*H77,1)</x:f>
        <x:v>4.1</x:v>
      </x:c>
      <x:c r="J77" s="18" t="n">
        <x:f>'Queries'!C77*'Queries'!E77</x:f>
        <x:v>11352.5</x:v>
      </x:c>
    </x:row>
    <x:row r="78" ht="32" customHeight="1">
      <x:c r="A78" s="6" t="str">
        <x:v>rolls royce service dubai</x:v>
      </x:c>
      <x:c r="B78" s="16" t="n">
        <x:v>1</x:v>
      </x:c>
      <x:c r="C78" s="16" t="n">
        <x:v>5</x:v>
      </x:c>
      <x:c r="D78" s="16" t="n">
        <x:f>IF('Queries'!E78&lt;='Rules'!$B$17,'Rules'!$B$21,IF('Queries'!E78&lt;='Rules'!$B$18,'Rules'!$B$22,IF('Queries'!E78&lt;='Rules'!$B$19,'Rules'!$B$23,IF('Queries'!E78&lt;='Rules'!$B$20,'Rules'!$B$24,'Rules'!$B$25))))</x:f>
        <x:v>0.7</x:v>
      </x:c>
      <x:c r="E78" s="16" t="n">
        <x:f>MIN(LOG10(1+'Queries'!C78)/'Rules'!$B$13,1)</x:f>
        <x:v>0.7981505602754067</x:v>
      </x:c>
      <x:c r="F78" s="16" t="n">
        <x:f>IF(AND('Queries'!E78&lt;='Rules'!$B$15,'Queries'!C78&gt;='Rules'!$B$14,'Queries'!D78&lt;'Rules'!$B$16),1,0)</x:f>
        <x:v>0</x:v>
      </x:c>
      <x:c r="G78" s="16" t="n">
        <x:v>1</x:v>
      </x:c>
      <x:c r="H78" s="16" t="n">
        <x:v>1</x:v>
      </x:c>
      <x:c r="I78" s="16" t="n">
        <x:f>ROUND((B78*'Rules'!$B$6+C78/'Rules'!$B$12*'Rules'!$B$7+D78*'Rules'!$B$8+E78*'Rules'!$B$9+F78*'Rules'!$B$10+G78*'Rules'!$B$11)*H78,1)</x:f>
        <x:v>80.5</x:v>
      </x:c>
      <x:c r="J78" s="18" t="n">
        <x:f>'Queries'!C78*'Queries'!E78</x:f>
        <x:v>5641.48</x:v>
      </x:c>
    </x:row>
    <x:row r="79" ht="32" customHeight="1">
      <x:c r="A79" s="6" t="str">
        <x:v>mercedes suspension repair dubai</x:v>
      </x:c>
      <x:c r="B79" s="16" t="n">
        <x:v>1</x:v>
      </x:c>
      <x:c r="C79" s="16" t="n">
        <x:v>5</x:v>
      </x:c>
      <x:c r="D79" s="16" t="n">
        <x:f>IF('Queries'!E79&lt;='Rules'!$B$17,'Rules'!$B$21,IF('Queries'!E79&lt;='Rules'!$B$18,'Rules'!$B$22,IF('Queries'!E79&lt;='Rules'!$B$19,'Rules'!$B$23,IF('Queries'!E79&lt;='Rules'!$B$20,'Rules'!$B$24,'Rules'!$B$25))))</x:f>
        <x:v>0.7</x:v>
      </x:c>
      <x:c r="E79" s="16" t="n">
        <x:f>MIN(LOG10(1+'Queries'!C79)/'Rules'!$B$13,1)</x:f>
        <x:v>0.7969783690344601</x:v>
      </x:c>
      <x:c r="F79" s="16" t="n">
        <x:f>IF(AND('Queries'!E79&lt;='Rules'!$B$15,'Queries'!C79&gt;='Rules'!$B$14,'Queries'!D79&lt;'Rules'!$B$16),1,0)</x:f>
        <x:v>0</x:v>
      </x:c>
      <x:c r="G79" s="16" t="n">
        <x:v>1</x:v>
      </x:c>
      <x:c r="H79" s="16" t="n">
        <x:v>1</x:v>
      </x:c>
      <x:c r="I79" s="16" t="n">
        <x:f>ROUND((B79*'Rules'!$B$6+C79/'Rules'!$B$12*'Rules'!$B$7+D79*'Rules'!$B$8+E79*'Rules'!$B$9+F79*'Rules'!$B$10+G79*'Rules'!$B$11)*H79,1)</x:f>
        <x:v>80.5</x:v>
      </x:c>
      <x:c r="J79" s="18" t="n">
        <x:f>'Queries'!C79*'Queries'!E79</x:f>
        <x:v>3973.8999999999996</x:v>
      </x:c>
    </x:row>
    <x:row r="80" ht="32" customHeight="1">
      <x:c r="A80" s="6" t="str">
        <x:v>mercedes repair specialist</x:v>
      </x:c>
      <x:c r="B80" s="16" t="n">
        <x:v>0.8</x:v>
      </x:c>
      <x:c r="C80" s="16" t="n">
        <x:v>5</x:v>
      </x:c>
      <x:c r="D80" s="16" t="n">
        <x:f>IF('Queries'!E80&lt;='Rules'!$B$17,'Rules'!$B$21,IF('Queries'!E80&lt;='Rules'!$B$18,'Rules'!$B$22,IF('Queries'!E80&lt;='Rules'!$B$19,'Rules'!$B$23,IF('Queries'!E80&lt;='Rules'!$B$20,'Rules'!$B$24,'Rules'!$B$25))))</x:f>
        <x:v>0.7</x:v>
      </x:c>
      <x:c r="E80" s="16" t="n">
        <x:f>MIN(LOG10(1+'Queries'!C80)/'Rules'!$B$13,1)</x:f>
        <x:v>0.7952020911994366</x:v>
      </x:c>
      <x:c r="F80" s="16" t="n">
        <x:f>IF(AND('Queries'!E80&lt;='Rules'!$B$15,'Queries'!C80&gt;='Rules'!$B$14,'Queries'!D80&lt;'Rules'!$B$16),1,0)</x:f>
        <x:v>0</x:v>
      </x:c>
      <x:c r="G80" s="16" t="n">
        <x:v>1</x:v>
      </x:c>
      <x:c r="H80" s="16" t="n">
        <x:v>1</x:v>
      </x:c>
      <x:c r="I80" s="16" t="n">
        <x:f>ROUND((B80*'Rules'!$B$6+C80/'Rules'!$B$12*'Rules'!$B$7+D80*'Rules'!$B$8+E80*'Rules'!$B$9+F80*'Rules'!$B$10+G80*'Rules'!$B$11)*H80,1)</x:f>
        <x:v>75.5</x:v>
      </x:c>
      <x:c r="J80" s="18" t="n">
        <x:f>'Queries'!C80*'Queries'!E80</x:f>
        <x:v>3995.4200000000005</x:v>
      </x:c>
    </x:row>
    <x:row r="81" ht="32" customHeight="1">
      <x:c r="A81" s="6" t="str">
        <x:v>mercedes maintenance dubai</x:v>
      </x:c>
      <x:c r="B81" s="16" t="n">
        <x:v>1</x:v>
      </x:c>
      <x:c r="C81" s="16" t="n">
        <x:v>5</x:v>
      </x:c>
      <x:c r="D81" s="16" t="n">
        <x:f>IF('Queries'!E81&lt;='Rules'!$B$17,'Rules'!$B$21,IF('Queries'!E81&lt;='Rules'!$B$18,'Rules'!$B$22,IF('Queries'!E81&lt;='Rules'!$B$19,'Rules'!$B$23,IF('Queries'!E81&lt;='Rules'!$B$20,'Rules'!$B$24,'Rules'!$B$25))))</x:f>
        <x:v>0.7</x:v>
      </x:c>
      <x:c r="E81" s="16" t="n">
        <x:f>MIN(LOG10(1+'Queries'!C81)/'Rules'!$B$13,1)</x:f>
        <x:v>0.7946051219934768</x:v>
      </x:c>
      <x:c r="F81" s="16" t="n">
        <x:f>IF(AND('Queries'!E81&lt;='Rules'!$B$15,'Queries'!C81&gt;='Rules'!$B$14,'Queries'!D81&lt;'Rules'!$B$16),1,0)</x:f>
        <x:v>0</x:v>
      </x:c>
      <x:c r="G81" s="16" t="n">
        <x:v>1</x:v>
      </x:c>
      <x:c r="H81" s="16" t="n">
        <x:v>1</x:v>
      </x:c>
      <x:c r="I81" s="16" t="n">
        <x:f>ROUND((B81*'Rules'!$B$6+C81/'Rules'!$B$12*'Rules'!$B$7+D81*'Rules'!$B$8+E81*'Rules'!$B$9+F81*'Rules'!$B$10+G81*'Rules'!$B$11)*H81,1)</x:f>
        <x:v>80.4</x:v>
      </x:c>
      <x:c r="J81" s="18" t="n">
        <x:f>'Queries'!C81*'Queries'!E81</x:f>
        <x:v>3776.47</x:v>
      </x:c>
    </x:row>
    <x:row r="82" ht="32" customHeight="1">
      <x:c r="A82" s="6" t="str">
        <x:v>ceramic paint protection</x:v>
      </x:c>
      <x:c r="B82" s="16" t="n">
        <x:v>0.8</x:v>
      </x:c>
      <x:c r="C82" s="16" t="n">
        <x:v>5</x:v>
      </x:c>
      <x:c r="D82" s="16" t="n">
        <x:f>IF('Queries'!E82&lt;='Rules'!$B$17,'Rules'!$B$21,IF('Queries'!E82&lt;='Rules'!$B$18,'Rules'!$B$22,IF('Queries'!E82&lt;='Rules'!$B$19,'Rules'!$B$23,IF('Queries'!E82&lt;='Rules'!$B$20,'Rules'!$B$24,'Rules'!$B$25))))</x:f>
        <x:v>0.4</x:v>
      </x:c>
      <x:c r="E82" s="16" t="n">
        <x:f>MIN(LOG10(1+'Queries'!C82)/'Rules'!$B$13,1)</x:f>
        <x:v>0.7903559540905799</x:v>
      </x:c>
      <x:c r="F82" s="16" t="n">
        <x:f>IF(AND('Queries'!E82&lt;='Rules'!$B$15,'Queries'!C82&gt;='Rules'!$B$14,'Queries'!D82&lt;'Rules'!$B$16),1,0)</x:f>
        <x:v>0</x:v>
      </x:c>
      <x:c r="G82" s="16" t="n">
        <x:v>1</x:v>
      </x:c>
      <x:c r="H82" s="16" t="n">
        <x:v>1</x:v>
      </x:c>
      <x:c r="I82" s="16" t="n">
        <x:f>ROUND((B82*'Rules'!$B$6+C82/'Rules'!$B$12*'Rules'!$B$7+D82*'Rules'!$B$8+E82*'Rules'!$B$9+F82*'Rules'!$B$10+G82*'Rules'!$B$11)*H82,1)</x:f>
        <x:v>67.9</x:v>
      </x:c>
      <x:c r="J82" s="18" t="n">
        <x:f>'Queries'!C82*'Queries'!E82</x:f>
        <x:v>8817.12</x:v>
      </x:c>
    </x:row>
    <x:row r="83" ht="32" customHeight="1">
      <x:c r="A83" s="6" t="str">
        <x:v>mercedes engine repair</x:v>
      </x:c>
      <x:c r="B83" s="16" t="n">
        <x:v>0.8</x:v>
      </x:c>
      <x:c r="C83" s="16" t="n">
        <x:v>5</x:v>
      </x:c>
      <x:c r="D83" s="16" t="n">
        <x:f>IF('Queries'!E83&lt;='Rules'!$B$17,'Rules'!$B$21,IF('Queries'!E83&lt;='Rules'!$B$18,'Rules'!$B$22,IF('Queries'!E83&lt;='Rules'!$B$19,'Rules'!$B$23,IF('Queries'!E83&lt;='Rules'!$B$20,'Rules'!$B$24,'Rules'!$B$25))))</x:f>
        <x:v>0.15</x:v>
      </x:c>
      <x:c r="E83" s="16" t="n">
        <x:f>MIN(LOG10(1+'Queries'!C83)/'Rules'!$B$13,1)</x:f>
        <x:v>0.7821176581502134</x:v>
      </x:c>
      <x:c r="F83" s="16" t="n">
        <x:f>IF(AND('Queries'!E83&lt;='Rules'!$B$15,'Queries'!C83&gt;='Rules'!$B$14,'Queries'!D83&lt;'Rules'!$B$16),1,0)</x:f>
        <x:v>0</x:v>
      </x:c>
      <x:c r="G83" s="16" t="n">
        <x:v>1</x:v>
      </x:c>
      <x:c r="H83" s="16" t="n">
        <x:v>1</x:v>
      </x:c>
      <x:c r="I83" s="16" t="n">
        <x:f>ROUND((B83*'Rules'!$B$6+C83/'Rules'!$B$12*'Rules'!$B$7+D83*'Rules'!$B$8+E83*'Rules'!$B$9+F83*'Rules'!$B$10+G83*'Rules'!$B$11)*H83,1)</x:f>
        <x:v>61.6</x:v>
      </x:c>
      <x:c r="J83" s="18" t="n">
        <x:f>'Queries'!C83*'Queries'!E83</x:f>
        <x:v>12555.01</x:v>
      </x:c>
    </x:row>
    <x:row r="84" ht="32" customHeight="1">
      <x:c r="A84" s="6" t="str">
        <x:v>car electrical repair dubai</x:v>
      </x:c>
      <x:c r="B84" s="16" t="n">
        <x:v>1</x:v>
      </x:c>
      <x:c r="C84" s="16" t="n">
        <x:v>3</x:v>
      </x:c>
      <x:c r="D84" s="16" t="n">
        <x:f>IF('Queries'!E84&lt;='Rules'!$B$17,'Rules'!$B$21,IF('Queries'!E84&lt;='Rules'!$B$18,'Rules'!$B$22,IF('Queries'!E84&lt;='Rules'!$B$19,'Rules'!$B$23,IF('Queries'!E84&lt;='Rules'!$B$20,'Rules'!$B$24,'Rules'!$B$25))))</x:f>
        <x:v>0.15</x:v>
      </x:c>
      <x:c r="E84" s="16" t="n">
        <x:f>MIN(LOG10(1+'Queries'!C84)/'Rules'!$B$13,1)</x:f>
        <x:v>0.78014803828004</x:v>
      </x:c>
      <x:c r="F84" s="16" t="n">
        <x:f>IF(AND('Queries'!E84&lt;='Rules'!$B$15,'Queries'!C84&gt;='Rules'!$B$14,'Queries'!D84&lt;'Rules'!$B$16),1,0)</x:f>
        <x:v>0</x:v>
      </x:c>
      <x:c r="G84" s="16" t="n">
        <x:v>1</x:v>
      </x:c>
      <x:c r="H84" s="16" t="n">
        <x:v>1</x:v>
      </x:c>
      <x:c r="I84" s="16" t="n">
        <x:f>ROUND((B84*'Rules'!$B$6+C84/'Rules'!$B$12*'Rules'!$B$7+D84*'Rules'!$B$8+E84*'Rules'!$B$9+F84*'Rules'!$B$10+G84*'Rules'!$B$11)*H84,1)</x:f>
        <x:v>58.6</x:v>
      </x:c>
      <x:c r="J84" s="18" t="n">
        <x:f>'Queries'!C84*'Queries'!E84</x:f>
        <x:v>12264.68</x:v>
      </x:c>
    </x:row>
    <x:row r="85" ht="32" customHeight="1">
      <x:c r="A85" s="6" t="str">
        <x:v>car suspension repair dubai</x:v>
      </x:c>
      <x:c r="B85" s="16" t="n">
        <x:v>1</x:v>
      </x:c>
      <x:c r="C85" s="16" t="n">
        <x:v>3</x:v>
      </x:c>
      <x:c r="D85" s="16" t="n">
        <x:f>IF('Queries'!E85&lt;='Rules'!$B$17,'Rules'!$B$21,IF('Queries'!E85&lt;='Rules'!$B$18,'Rules'!$B$22,IF('Queries'!E85&lt;='Rules'!$B$19,'Rules'!$B$23,IF('Queries'!E85&lt;='Rules'!$B$20,'Rules'!$B$24,'Rules'!$B$25))))</x:f>
        <x:v>0.4</x:v>
      </x:c>
      <x:c r="E85" s="16" t="n">
        <x:f>MIN(LOG10(1+'Queries'!C85)/'Rules'!$B$13,1)</x:f>
        <x:v>0.7774794866385334</x:v>
      </x:c>
      <x:c r="F85" s="16" t="n">
        <x:f>IF(AND('Queries'!E85&lt;='Rules'!$B$15,'Queries'!C85&gt;='Rules'!$B$14,'Queries'!D85&lt;'Rules'!$B$16),1,0)</x:f>
        <x:v>0</x:v>
      </x:c>
      <x:c r="G85" s="16" t="n">
        <x:v>1</x:v>
      </x:c>
      <x:c r="H85" s="16" t="n">
        <x:v>1</x:v>
      </x:c>
      <x:c r="I85" s="16" t="n">
        <x:f>ROUND((B85*'Rules'!$B$6+C85/'Rules'!$B$12*'Rules'!$B$7+D85*'Rules'!$B$8+E85*'Rules'!$B$9+F85*'Rules'!$B$10+G85*'Rules'!$B$11)*H85,1)</x:f>
        <x:v>64.8</x:v>
      </x:c>
      <x:c r="J85" s="18" t="n">
        <x:f>'Queries'!C85*'Queries'!E85</x:f>
        <x:v>7453.62</x:v>
      </x:c>
    </x:row>
    <x:row r="86" ht="32" customHeight="1">
      <x:c r="A86" s="6" t="str">
        <x:v>lamborghini service dubai</x:v>
      </x:c>
      <x:c r="B86" s="16" t="n">
        <x:v>1</x:v>
      </x:c>
      <x:c r="C86" s="16" t="n">
        <x:v>5</x:v>
      </x:c>
      <x:c r="D86" s="16" t="n">
        <x:f>IF('Queries'!E86&lt;='Rules'!$B$17,'Rules'!$B$21,IF('Queries'!E86&lt;='Rules'!$B$18,'Rules'!$B$22,IF('Queries'!E86&lt;='Rules'!$B$19,'Rules'!$B$23,IF('Queries'!E86&lt;='Rules'!$B$20,'Rules'!$B$24,'Rules'!$B$25))))</x:f>
        <x:v>0.7</x:v>
      </x:c>
      <x:c r="E86" s="16" t="n">
        <x:f>MIN(LOG10(1+'Queries'!C86)/'Rules'!$B$13,1)</x:f>
        <x:v>0.77338209537035</x:v>
      </x:c>
      <x:c r="F86" s="16" t="n">
        <x:f>IF(AND('Queries'!E86&lt;='Rules'!$B$15,'Queries'!C86&gt;='Rules'!$B$14,'Queries'!D86&lt;'Rules'!$B$16),1,0)</x:f>
        <x:v>0</x:v>
      </x:c>
      <x:c r="G86" s="16" t="n">
        <x:v>1</x:v>
      </x:c>
      <x:c r="H86" s="16" t="n">
        <x:v>1</x:v>
      </x:c>
      <x:c r="I86" s="16" t="n">
        <x:f>ROUND((B86*'Rules'!$B$6+C86/'Rules'!$B$12*'Rules'!$B$7+D86*'Rules'!$B$8+E86*'Rules'!$B$9+F86*'Rules'!$B$10+G86*'Rules'!$B$11)*H86,1)</x:f>
        <x:v>80.2</x:v>
      </x:c>
      <x:c r="J86" s="18" t="n">
        <x:f>'Queries'!C86*'Queries'!E86</x:f>
        <x:v>4141.28</x:v>
      </x:c>
    </x:row>
    <x:row r="87" ht="32" customHeight="1">
      <x:c r="A87" s="6" t="str">
        <x:v>lamborghini repair dubai</x:v>
      </x:c>
      <x:c r="B87" s="16" t="n">
        <x:v>1</x:v>
      </x:c>
      <x:c r="C87" s="16" t="n">
        <x:v>5</x:v>
      </x:c>
      <x:c r="D87" s="16" t="n">
        <x:f>IF('Queries'!E87&lt;='Rules'!$B$17,'Rules'!$B$21,IF('Queries'!E87&lt;='Rules'!$B$18,'Rules'!$B$22,IF('Queries'!E87&lt;='Rules'!$B$19,'Rules'!$B$23,IF('Queries'!E87&lt;='Rules'!$B$20,'Rules'!$B$24,'Rules'!$B$25))))</x:f>
        <x:v>0.7</x:v>
      </x:c>
      <x:c r="E87" s="16" t="n">
        <x:f>MIN(LOG10(1+'Queries'!C87)/'Rules'!$B$13,1)</x:f>
        <x:v>0.7662843588032366</x:v>
      </x:c>
      <x:c r="F87" s="16" t="n">
        <x:f>IF(AND('Queries'!E87&lt;='Rules'!$B$15,'Queries'!C87&gt;='Rules'!$B$14,'Queries'!D87&lt;'Rules'!$B$16),1,0)</x:f>
        <x:v>0</x:v>
      </x:c>
      <x:c r="G87" s="16" t="n">
        <x:v>1</x:v>
      </x:c>
      <x:c r="H87" s="16" t="n">
        <x:v>1</x:v>
      </x:c>
      <x:c r="I87" s="16" t="n">
        <x:f>ROUND((B87*'Rules'!$B$6+C87/'Rules'!$B$12*'Rules'!$B$7+D87*'Rules'!$B$8+E87*'Rules'!$B$9+F87*'Rules'!$B$10+G87*'Rules'!$B$11)*H87,1)</x:f>
        <x:v>80.2</x:v>
      </x:c>
      <x:c r="J87" s="18" t="n">
        <x:f>'Queries'!C87*'Queries'!E87</x:f>
        <x:v>4843.08</x:v>
      </x:c>
    </x:row>
    <x:row r="88" ht="32" customHeight="1">
      <x:c r="A88" s="6" t="str">
        <x:v>aston martin service dubai</x:v>
      </x:c>
      <x:c r="B88" s="16" t="n">
        <x:v>1</x:v>
      </x:c>
      <x:c r="C88" s="16" t="n">
        <x:v>5</x:v>
      </x:c>
      <x:c r="D88" s="16" t="n">
        <x:f>IF('Queries'!E88&lt;='Rules'!$B$17,'Rules'!$B$21,IF('Queries'!E88&lt;='Rules'!$B$18,'Rules'!$B$22,IF('Queries'!E88&lt;='Rules'!$B$19,'Rules'!$B$23,IF('Queries'!E88&lt;='Rules'!$B$20,'Rules'!$B$24,'Rules'!$B$25))))</x:f>
        <x:v>0.7</x:v>
      </x:c>
      <x:c r="E88" s="16" t="n">
        <x:f>MIN(LOG10(1+'Queries'!C88)/'Rules'!$B$13,1)</x:f>
        <x:v>0.7633448704541733</x:v>
      </x:c>
      <x:c r="F88" s="16" t="n">
        <x:f>IF(AND('Queries'!E88&lt;='Rules'!$B$15,'Queries'!C88&gt;='Rules'!$B$14,'Queries'!D88&lt;'Rules'!$B$16),1,0)</x:f>
        <x:v>0</x:v>
      </x:c>
      <x:c r="G88" s="16" t="n">
        <x:v>1</x:v>
      </x:c>
      <x:c r="H88" s="16" t="n">
        <x:v>1</x:v>
      </x:c>
      <x:c r="I88" s="16" t="n">
        <x:f>ROUND((B88*'Rules'!$B$6+C88/'Rules'!$B$12*'Rules'!$B$7+D88*'Rules'!$B$8+E88*'Rules'!$B$9+F88*'Rules'!$B$10+G88*'Rules'!$B$11)*H88,1)</x:f>
        <x:v>80.1</x:v>
      </x:c>
      <x:c r="J88" s="18" t="n">
        <x:f>'Queries'!C88*'Queries'!E88</x:f>
        <x:v>3621.9800000000005</x:v>
      </x:c>
    </x:row>
    <x:row r="89" ht="32" customHeight="1">
      <x:c r="A89" s="6" t="str">
        <x:v>digitech dubai</x:v>
      </x:c>
      <x:c r="B89" s="16" t="n">
        <x:v>0.6</x:v>
      </x:c>
      <x:c r="C89" s="16" t="n">
        <x:v>3</x:v>
      </x:c>
      <x:c r="D89" s="16" t="n">
        <x:f>IF('Queries'!E89&lt;='Rules'!$B$17,'Rules'!$B$21,IF('Queries'!E89&lt;='Rules'!$B$18,'Rules'!$B$22,IF('Queries'!E89&lt;='Rules'!$B$19,'Rules'!$B$23,IF('Queries'!E89&lt;='Rules'!$B$20,'Rules'!$B$24,'Rules'!$B$25))))</x:f>
        <x:v>1</x:v>
      </x:c>
      <x:c r="E89" s="16" t="n">
        <x:f>MIN(LOG10(1+'Queries'!C89)/'Rules'!$B$13,1)</x:f>
        <x:v>0.76260057664341</x:v>
      </x:c>
      <x:c r="F89" s="16" t="n">
        <x:f>IF(AND('Queries'!E89&lt;='Rules'!$B$15,'Queries'!C89&gt;='Rules'!$B$14,'Queries'!D89&lt;'Rules'!$B$16),1,0)</x:f>
        <x:v>1</x:v>
      </x:c>
      <x:c r="G89" s="16" t="n">
        <x:v>1</x:v>
      </x:c>
      <x:c r="H89" s="16" t="n">
        <x:v>0.65</x:v>
      </x:c>
      <x:c r="I89" s="16" t="n">
        <x:f>ROUND((B89*'Rules'!$B$6+C89/'Rules'!$B$12*'Rules'!$B$7+D89*'Rules'!$B$8+E89*'Rules'!$B$9+F89*'Rules'!$B$10+G89*'Rules'!$B$11)*H89,1)</x:f>
        <x:v>51.8</x:v>
      </x:c>
      <x:c r="J89" s="18" t="n">
        <x:f>'Queries'!C89*'Queries'!E89</x:f>
        <x:v>1331.7</x:v>
      </x:c>
    </x:row>
    <x:row r="90" ht="32" customHeight="1">
      <x:c r="A90" s="6" t="str">
        <x:v>car paint protection dubai</x:v>
      </x:c>
      <x:c r="B90" s="16" t="n">
        <x:v>1</x:v>
      </x:c>
      <x:c r="C90" s="16" t="n">
        <x:v>5</x:v>
      </x:c>
      <x:c r="D90" s="16" t="n">
        <x:f>IF('Queries'!E90&lt;='Rules'!$B$17,'Rules'!$B$21,IF('Queries'!E90&lt;='Rules'!$B$18,'Rules'!$B$22,IF('Queries'!E90&lt;='Rules'!$B$19,'Rules'!$B$23,IF('Queries'!E90&lt;='Rules'!$B$20,'Rules'!$B$24,'Rules'!$B$25))))</x:f>
        <x:v>0.4</x:v>
      </x:c>
      <x:c r="E90" s="16" t="n">
        <x:f>MIN(LOG10(1+'Queries'!C90)/'Rules'!$B$13,1)</x:f>
        <x:v>0.76260057664341</x:v>
      </x:c>
      <x:c r="F90" s="16" t="n">
        <x:f>IF(AND('Queries'!E90&lt;='Rules'!$B$15,'Queries'!C90&gt;='Rules'!$B$14,'Queries'!D90&lt;'Rules'!$B$16),1,0)</x:f>
        <x:v>0</x:v>
      </x:c>
      <x:c r="G90" s="16" t="n">
        <x:v>1</x:v>
      </x:c>
      <x:c r="H90" s="16" t="n">
        <x:v>1</x:v>
      </x:c>
      <x:c r="I90" s="16" t="n">
        <x:f>ROUND((B90*'Rules'!$B$6+C90/'Rules'!$B$12*'Rules'!$B$7+D90*'Rules'!$B$8+E90*'Rules'!$B$9+F90*'Rules'!$B$10+G90*'Rules'!$B$11)*H90,1)</x:f>
        <x:v>72.6</x:v>
      </x:c>
      <x:c r="J90" s="18" t="n">
        <x:f>'Queries'!C90*'Queries'!E90</x:f>
        <x:v>6372.860000000001</x:v>
      </x:c>
    </x:row>
    <x:row r="91" ht="32" customHeight="1">
      <x:c r="A91" s="6" t="str">
        <x:v>mercedes benz repair dubai</x:v>
      </x:c>
      <x:c r="B91" s="16" t="n">
        <x:v>1</x:v>
      </x:c>
      <x:c r="C91" s="16" t="n">
        <x:v>5</x:v>
      </x:c>
      <x:c r="D91" s="16" t="n">
        <x:f>IF('Queries'!E91&lt;='Rules'!$B$17,'Rules'!$B$21,IF('Queries'!E91&lt;='Rules'!$B$18,'Rules'!$B$22,IF('Queries'!E91&lt;='Rules'!$B$19,'Rules'!$B$23,IF('Queries'!E91&lt;='Rules'!$B$20,'Rules'!$B$24,'Rules'!$B$25))))</x:f>
        <x:v>1</x:v>
      </x:c>
      <x:c r="E91" s="16" t="n">
        <x:f>MIN(LOG10(1+'Queries'!C91)/'Rules'!$B$13,1)</x:f>
        <x:v>0.7618524363359233</x:v>
      </x:c>
      <x:c r="F91" s="16" t="n">
        <x:f>IF(AND('Queries'!E91&lt;='Rules'!$B$15,'Queries'!C91&gt;='Rules'!$B$14,'Queries'!D91&lt;'Rules'!$B$16),1,0)</x:f>
        <x:v>0</x:v>
      </x:c>
      <x:c r="G91" s="16" t="n">
        <x:v>1</x:v>
      </x:c>
      <x:c r="H91" s="16" t="n">
        <x:v>1</x:v>
      </x:c>
      <x:c r="I91" s="16" t="n">
        <x:f>ROUND((B91*'Rules'!$B$6+C91/'Rules'!$B$12*'Rules'!$B$7+D91*'Rules'!$B$8+E91*'Rules'!$B$9+F91*'Rules'!$B$10+G91*'Rules'!$B$11)*H91,1)</x:f>
        <x:v>87.6</x:v>
      </x:c>
      <x:c r="J91" s="18" t="n">
        <x:f>'Queries'!C91*'Queries'!E91</x:f>
        <x:v>2503.68</x:v>
      </x:c>
    </x:row>
    <x:row r="92" ht="32" customHeight="1">
      <x:c r="A92" s="6" t="str">
        <x:v>car battery replacement dubai</x:v>
      </x:c>
      <x:c r="B92" s="16" t="n">
        <x:v>1</x:v>
      </x:c>
      <x:c r="C92" s="16" t="n">
        <x:v>3</x:v>
      </x:c>
      <x:c r="D92" s="16" t="n">
        <x:f>IF('Queries'!E92&lt;='Rules'!$B$17,'Rules'!$B$21,IF('Queries'!E92&lt;='Rules'!$B$18,'Rules'!$B$22,IF('Queries'!E92&lt;='Rules'!$B$19,'Rules'!$B$23,IF('Queries'!E92&lt;='Rules'!$B$20,'Rules'!$B$24,'Rules'!$B$25))))</x:f>
        <x:v>0.4</x:v>
      </x:c>
      <x:c r="E92" s="16" t="n">
        <x:f>MIN(LOG10(1+'Queries'!C92)/'Rules'!$B$13,1)</x:f>
        <x:v>0.7618524363359233</x:v>
      </x:c>
      <x:c r="F92" s="16" t="n">
        <x:f>IF(AND('Queries'!E92&lt;='Rules'!$B$15,'Queries'!C92&gt;='Rules'!$B$14,'Queries'!D92&lt;'Rules'!$B$16),1,0)</x:f>
        <x:v>0</x:v>
      </x:c>
      <x:c r="G92" s="16" t="n">
        <x:v>1</x:v>
      </x:c>
      <x:c r="H92" s="16" t="n">
        <x:v>1</x:v>
      </x:c>
      <x:c r="I92" s="16" t="n">
        <x:f>ROUND((B92*'Rules'!$B$6+C92/'Rules'!$B$12*'Rules'!$B$7+D92*'Rules'!$B$8+E92*'Rules'!$B$9+F92*'Rules'!$B$10+G92*'Rules'!$B$11)*H92,1)</x:f>
        <x:v>64.6</x:v>
      </x:c>
      <x:c r="J92" s="18" t="n">
        <x:f>'Queries'!C92*'Queries'!E92</x:f>
        <x:v>7315.200000000001</x:v>
      </x:c>
    </x:row>
    <x:row r="93" ht="32" customHeight="1">
      <x:c r="A93" s="6" t="str">
        <x:v>suspension repair dubai</x:v>
      </x:c>
      <x:c r="B93" s="16" t="n">
        <x:v>1</x:v>
      </x:c>
      <x:c r="C93" s="16" t="n">
        <x:v>3</x:v>
      </x:c>
      <x:c r="D93" s="16" t="n">
        <x:f>IF('Queries'!E93&lt;='Rules'!$B$17,'Rules'!$B$21,IF('Queries'!E93&lt;='Rules'!$B$18,'Rules'!$B$22,IF('Queries'!E93&lt;='Rules'!$B$19,'Rules'!$B$23,IF('Queries'!E93&lt;='Rules'!$B$20,'Rules'!$B$24,'Rules'!$B$25))))</x:f>
        <x:v>0.4</x:v>
      </x:c>
      <x:c r="E93" s="16" t="n">
        <x:f>MIN(LOG10(1+'Queries'!C93)/'Rules'!$B$13,1)</x:f>
        <x:v>0.7611004095678501</x:v>
      </x:c>
      <x:c r="F93" s="16" t="n">
        <x:f>IF(AND('Queries'!E93&lt;='Rules'!$B$15,'Queries'!C93&gt;='Rules'!$B$14,'Queries'!D93&lt;'Rules'!$B$16),1,0)</x:f>
        <x:v>0</x:v>
      </x:c>
      <x:c r="G93" s="16" t="n">
        <x:v>1</x:v>
      </x:c>
      <x:c r="H93" s="16" t="n">
        <x:v>1</x:v>
      </x:c>
      <x:c r="I93" s="16" t="n">
        <x:f>ROUND((B93*'Rules'!$B$6+C93/'Rules'!$B$12*'Rules'!$B$7+D93*'Rules'!$B$8+E93*'Rules'!$B$9+F93*'Rules'!$B$10+G93*'Rules'!$B$11)*H93,1)</x:f>
        <x:v>64.6</x:v>
      </x:c>
      <x:c r="J93" s="18" t="n">
        <x:f>'Queries'!C93*'Queries'!E93</x:f>
        <x:v>6469.169999999999</x:v>
      </x:c>
    </x:row>
    <x:row r="94" ht="32" customHeight="1">
      <x:c r="A94" s="6" t="str">
        <x:v>car brake maintenance in dubai</x:v>
      </x:c>
      <x:c r="B94" s="16" t="n">
        <x:v>1</x:v>
      </x:c>
      <x:c r="C94" s="16" t="n">
        <x:v>3</x:v>
      </x:c>
      <x:c r="D94" s="16" t="n">
        <x:f>IF('Queries'!E94&lt;='Rules'!$B$17,'Rules'!$B$21,IF('Queries'!E94&lt;='Rules'!$B$18,'Rules'!$B$22,IF('Queries'!E94&lt;='Rules'!$B$19,'Rules'!$B$23,IF('Queries'!E94&lt;='Rules'!$B$20,'Rules'!$B$24,'Rules'!$B$25))))</x:f>
        <x:v>0.15</x:v>
      </x:c>
      <x:c r="E94" s="16" t="n">
        <x:f>MIN(LOG10(1+'Queries'!C94)/'Rules'!$B$13,1)</x:f>
        <x:v>0.7572805355121667</x:v>
      </x:c>
      <x:c r="F94" s="16" t="n">
        <x:f>IF(AND('Queries'!E94&lt;='Rules'!$B$15,'Queries'!C94&gt;='Rules'!$B$14,'Queries'!D94&lt;'Rules'!$B$16),1,0)</x:f>
        <x:v>0</x:v>
      </x:c>
      <x:c r="G94" s="16" t="n">
        <x:v>1</x:v>
      </x:c>
      <x:c r="H94" s="16" t="n">
        <x:v>1</x:v>
      </x:c>
      <x:c r="I94" s="16" t="n">
        <x:f>ROUND((B94*'Rules'!$B$6+C94/'Rules'!$B$12*'Rules'!$B$7+D94*'Rules'!$B$8+E94*'Rules'!$B$9+F94*'Rules'!$B$10+G94*'Rules'!$B$11)*H94,1)</x:f>
        <x:v>58.3</x:v>
      </x:c>
      <x:c r="J94" s="18" t="n">
        <x:f>'Queries'!C94*'Queries'!E94</x:f>
        <x:v>9331.62</x:v>
      </x:c>
    </x:row>
    <x:row r="95" ht="32" customHeight="1">
      <x:c r="A95" s="6" t="str">
        <x:v>mercedes engine repair dubai</x:v>
      </x:c>
      <x:c r="B95" s="16" t="n">
        <x:v>1</x:v>
      </x:c>
      <x:c r="C95" s="16" t="n">
        <x:v>5</x:v>
      </x:c>
      <x:c r="D95" s="16" t="n">
        <x:f>IF('Queries'!E95&lt;='Rules'!$B$17,'Rules'!$B$21,IF('Queries'!E95&lt;='Rules'!$B$18,'Rules'!$B$22,IF('Queries'!E95&lt;='Rules'!$B$19,'Rules'!$B$23,IF('Queries'!E95&lt;='Rules'!$B$20,'Rules'!$B$24,'Rules'!$B$25))))</x:f>
        <x:v>0.7</x:v>
      </x:c>
      <x:c r="E95" s="16" t="n">
        <x:f>MIN(LOG10(1+'Queries'!C95)/'Rules'!$B$13,1)</x:f>
        <x:v>0.7557239094676701</x:v>
      </x:c>
      <x:c r="F95" s="16" t="n">
        <x:f>IF(AND('Queries'!E95&lt;='Rules'!$B$15,'Queries'!C95&gt;='Rules'!$B$14,'Queries'!D95&lt;'Rules'!$B$16),1,0)</x:f>
        <x:v>0</x:v>
      </x:c>
      <x:c r="G95" s="16" t="n">
        <x:v>1</x:v>
      </x:c>
      <x:c r="H95" s="16" t="n">
        <x:v>1</x:v>
      </x:c>
      <x:c r="I95" s="16" t="n">
        <x:f>ROUND((B95*'Rules'!$B$6+C95/'Rules'!$B$12*'Rules'!$B$7+D95*'Rules'!$B$8+E95*'Rules'!$B$9+F95*'Rules'!$B$10+G95*'Rules'!$B$11)*H95,1)</x:f>
        <x:v>80.1</x:v>
      </x:c>
      <x:c r="J95" s="18" t="n">
        <x:f>'Queries'!C95*'Queries'!E95</x:f>
        <x:v>3214.4799999999996</x:v>
      </x:c>
    </x:row>
    <x:row r="96" ht="32" customHeight="1">
      <x:c r="A96" s="6" t="str">
        <x:v>paint protection film near me</x:v>
      </x:c>
      <x:c r="B96" s="16" t="n">
        <x:v>1</x:v>
      </x:c>
      <x:c r="C96" s="16" t="n">
        <x:v>5</x:v>
      </x:c>
      <x:c r="D96" s="16" t="n">
        <x:f>IF('Queries'!E96&lt;='Rules'!$B$17,'Rules'!$B$21,IF('Queries'!E96&lt;='Rules'!$B$18,'Rules'!$B$22,IF('Queries'!E96&lt;='Rules'!$B$19,'Rules'!$B$23,IF('Queries'!E96&lt;='Rules'!$B$20,'Rules'!$B$24,'Rules'!$B$25))))</x:f>
        <x:v>0.7</x:v>
      </x:c>
      <x:c r="E96" s="16" t="n">
        <x:f>MIN(LOG10(1+'Queries'!C96)/'Rules'!$B$13,1)</x:f>
        <x:v>0.7549392743365133</x:v>
      </x:c>
      <x:c r="F96" s="16" t="n">
        <x:f>IF(AND('Queries'!E96&lt;='Rules'!$B$15,'Queries'!C96&gt;='Rules'!$B$14,'Queries'!D96&lt;'Rules'!$B$16),1,0)</x:f>
        <x:v>0</x:v>
      </x:c>
      <x:c r="G96" s="16" t="n">
        <x:v>1</x:v>
      </x:c>
      <x:c r="H96" s="16" t="n">
        <x:v>1</x:v>
      </x:c>
      <x:c r="I96" s="16" t="n">
        <x:f>ROUND((B96*'Rules'!$B$6+C96/'Rules'!$B$12*'Rules'!$B$7+D96*'Rules'!$B$8+E96*'Rules'!$B$9+F96*'Rules'!$B$10+G96*'Rules'!$B$11)*H96,1)</x:f>
        <x:v>80</x:v>
      </x:c>
      <x:c r="J96" s="18" t="n">
        <x:f>'Queries'!C96*'Queries'!E96</x:f>
        <x:v>4529.25</x:v>
      </x:c>
    </x:row>
    <x:row r="97" ht="32" customHeight="1">
      <x:c r="A97" s="6" t="str">
        <x:v>battery replacement</x:v>
      </x:c>
      <x:c r="B97" s="16" t="n">
        <x:v>0.8</x:v>
      </x:c>
      <x:c r="C97" s="16" t="n">
        <x:v>3</x:v>
      </x:c>
      <x:c r="D97" s="16" t="n">
        <x:f>IF('Queries'!E97&lt;='Rules'!$B$17,'Rules'!$B$21,IF('Queries'!E97&lt;='Rules'!$B$18,'Rules'!$B$22,IF('Queries'!E97&lt;='Rules'!$B$19,'Rules'!$B$23,IF('Queries'!E97&lt;='Rules'!$B$20,'Rules'!$B$24,'Rules'!$B$25))))</x:f>
        <x:v>0.4</x:v>
      </x:c>
      <x:c r="E97" s="16" t="n">
        <x:f>MIN(LOG10(1+'Queries'!C97)/'Rules'!$B$13,1)</x:f>
        <x:v>0.7533571293283566</x:v>
      </x:c>
      <x:c r="F97" s="16" t="n">
        <x:f>IF(AND('Queries'!E97&lt;='Rules'!$B$15,'Queries'!C97&gt;='Rules'!$B$14,'Queries'!D97&lt;'Rules'!$B$16),1,0)</x:f>
        <x:v>0</x:v>
      </x:c>
      <x:c r="G97" s="16" t="n">
        <x:v>1</x:v>
      </x:c>
      <x:c r="H97" s="16" t="n">
        <x:v>1</x:v>
      </x:c>
      <x:c r="I97" s="16" t="n">
        <x:f>ROUND((B97*'Rules'!$B$6+C97/'Rules'!$B$12*'Rules'!$B$7+D97*'Rules'!$B$8+E97*'Rules'!$B$9+F97*'Rules'!$B$10+G97*'Rules'!$B$11)*H97,1)</x:f>
        <x:v>59.5</x:v>
      </x:c>
      <x:c r="J97" s="18" t="n">
        <x:f>'Queries'!C97*'Queries'!E97</x:f>
        <x:v>6673.469999999999</x:v>
      </x:c>
    </x:row>
    <x:row r="98" ht="32" customHeight="1">
      <x:c r="A98" s="6" t="str">
        <x:v>luxury car repair dubai</x:v>
      </x:c>
      <x:c r="B98" s="16" t="n">
        <x:v>1</x:v>
      </x:c>
      <x:c r="C98" s="16" t="n">
        <x:v>3</x:v>
      </x:c>
      <x:c r="D98" s="16" t="n">
        <x:f>IF('Queries'!E98&lt;='Rules'!$B$17,'Rules'!$B$21,IF('Queries'!E98&lt;='Rules'!$B$18,'Rules'!$B$22,IF('Queries'!E98&lt;='Rules'!$B$19,'Rules'!$B$23,IF('Queries'!E98&lt;='Rules'!$B$20,'Rules'!$B$24,'Rules'!$B$25))))</x:f>
        <x:v>0.15</x:v>
      </x:c>
      <x:c r="E98" s="16" t="n">
        <x:f>MIN(LOG10(1+'Queries'!C98)/'Rules'!$B$13,1)</x:f>
        <x:v>0.7533571293283566</x:v>
      </x:c>
      <x:c r="F98" s="16" t="n">
        <x:f>IF(AND('Queries'!E98&lt;='Rules'!$B$15,'Queries'!C98&gt;='Rules'!$B$14,'Queries'!D98&lt;'Rules'!$B$16),1,0)</x:f>
        <x:v>0</x:v>
      </x:c>
      <x:c r="G98" s="16" t="n">
        <x:v>1</x:v>
      </x:c>
      <x:c r="H98" s="16" t="n">
        <x:v>1</x:v>
      </x:c>
      <x:c r="I98" s="16" t="n">
        <x:f>ROUND((B98*'Rules'!$B$6+C98/'Rules'!$B$12*'Rules'!$B$7+D98*'Rules'!$B$8+E98*'Rules'!$B$9+F98*'Rules'!$B$10+G98*'Rules'!$B$11)*H98,1)</x:f>
        <x:v>58.3</x:v>
      </x:c>
      <x:c r="J98" s="18" t="n">
        <x:f>'Queries'!C98*'Queries'!E98</x:f>
        <x:v>8555.87</x:v>
      </x:c>
    </x:row>
    <x:row r="99" ht="32" customHeight="1">
      <x:c r="A99" s="6" t="str">
        <x:v>battery change dubai</x:v>
      </x:c>
      <x:c r="B99" s="16" t="n">
        <x:v>1</x:v>
      </x:c>
      <x:c r="C99" s="16" t="n">
        <x:v>3</x:v>
      </x:c>
      <x:c r="D99" s="16" t="n">
        <x:f>IF('Queries'!E99&lt;='Rules'!$B$17,'Rules'!$B$21,IF('Queries'!E99&lt;='Rules'!$B$18,'Rules'!$B$22,IF('Queries'!E99&lt;='Rules'!$B$19,'Rules'!$B$23,IF('Queries'!E99&lt;='Rules'!$B$20,'Rules'!$B$24,'Rules'!$B$25))))</x:f>
        <x:v>0.4</x:v>
      </x:c>
      <x:c r="E99" s="16" t="n">
        <x:f>MIN(LOG10(1+'Queries'!C99)/'Rules'!$B$13,1)</x:f>
        <x:v>0.7525595249563933</x:v>
      </x:c>
      <x:c r="F99" s="16" t="n">
        <x:f>IF(AND('Queries'!E99&lt;='Rules'!$B$15,'Queries'!C99&gt;='Rules'!$B$14,'Queries'!D99&lt;'Rules'!$B$16),1,0)</x:f>
        <x:v>0</x:v>
      </x:c>
      <x:c r="G99" s="16" t="n">
        <x:v>1</x:v>
      </x:c>
      <x:c r="H99" s="16" t="n">
        <x:v>1</x:v>
      </x:c>
      <x:c r="I99" s="16" t="n">
        <x:f>ROUND((B99*'Rules'!$B$6+C99/'Rules'!$B$12*'Rules'!$B$7+D99*'Rules'!$B$8+E99*'Rules'!$B$9+F99*'Rules'!$B$10+G99*'Rules'!$B$11)*H99,1)</x:f>
        <x:v>64.5</x:v>
      </x:c>
      <x:c r="J99" s="18" t="n">
        <x:f>'Queries'!C99*'Queries'!E99</x:f>
        <x:v>6492.6</x:v>
      </x:c>
    </x:row>
    <x:row r="100" ht="32" customHeight="1">
      <x:c r="A100" s="6" t="str">
        <x:v>mercedes coding service</x:v>
      </x:c>
      <x:c r="B100" s="16" t="n">
        <x:v>0.8</x:v>
      </x:c>
      <x:c r="C100" s="16" t="n">
        <x:v>5</x:v>
      </x:c>
      <x:c r="D100" s="16" t="n">
        <x:f>IF('Queries'!E100&lt;='Rules'!$B$17,'Rules'!$B$21,IF('Queries'!E100&lt;='Rules'!$B$18,'Rules'!$B$22,IF('Queries'!E100&lt;='Rules'!$B$19,'Rules'!$B$23,IF('Queries'!E100&lt;='Rules'!$B$20,'Rules'!$B$24,'Rules'!$B$25))))</x:f>
        <x:v>0.15</x:v>
      </x:c>
      <x:c r="E100" s="16" t="n">
        <x:f>MIN(LOG10(1+'Queries'!C100)/'Rules'!$B$13,1)</x:f>
        <x:v>0.7525595249563933</x:v>
      </x:c>
      <x:c r="F100" s="16" t="n">
        <x:f>IF(AND('Queries'!E100&lt;='Rules'!$B$15,'Queries'!C100&gt;='Rules'!$B$14,'Queries'!D100&lt;'Rules'!$B$16),1,0)</x:f>
        <x:v>0</x:v>
      </x:c>
      <x:c r="G100" s="16" t="n">
        <x:v>1</x:v>
      </x:c>
      <x:c r="H100" s="16" t="n">
        <x:v>1</x:v>
      </x:c>
      <x:c r="I100" s="16" t="n">
        <x:f>ROUND((B100*'Rules'!$B$6+C100/'Rules'!$B$12*'Rules'!$B$7+D100*'Rules'!$B$8+E100*'Rules'!$B$9+F100*'Rules'!$B$10+G100*'Rules'!$B$11)*H100,1)</x:f>
        <x:v>61.3</x:v>
      </x:c>
      <x:c r="J100" s="18" t="n">
        <x:f>'Queries'!C100*'Queries'!E100</x:f>
        <x:v>9288</x:v>
      </x:c>
    </x:row>
    <x:row r="101" ht="32" customHeight="1">
      <x:c r="A101" s="6" t="str">
        <x:v>mercedes oil change dubai</x:v>
      </x:c>
      <x:c r="B101" s="16" t="n">
        <x:v>1</x:v>
      </x:c>
      <x:c r="C101" s="16" t="n">
        <x:v>5</x:v>
      </x:c>
      <x:c r="D101" s="16" t="n">
        <x:f>IF('Queries'!E101&lt;='Rules'!$B$17,'Rules'!$B$21,IF('Queries'!E101&lt;='Rules'!$B$18,'Rules'!$B$22,IF('Queries'!E101&lt;='Rules'!$B$19,'Rules'!$B$23,IF('Queries'!E101&lt;='Rules'!$B$20,'Rules'!$B$24,'Rules'!$B$25))))</x:f>
        <x:v>0.7</x:v>
      </x:c>
      <x:c r="E101" s="16" t="n">
        <x:f>MIN(LOG10(1+'Queries'!C101)/'Rules'!$B$13,1)</x:f>
        <x:v>0.7493244221206034</x:v>
      </x:c>
      <x:c r="F101" s="16" t="n">
        <x:f>IF(AND('Queries'!E101&lt;='Rules'!$B$15,'Queries'!C101&gt;='Rules'!$B$14,'Queries'!D101&lt;'Rules'!$B$16),1,0)</x:f>
        <x:v>0</x:v>
      </x:c>
      <x:c r="G101" s="16" t="n">
        <x:v>1</x:v>
      </x:c>
      <x:c r="H101" s="16" t="n">
        <x:v>1</x:v>
      </x:c>
      <x:c r="I101" s="16" t="n">
        <x:f>ROUND((B101*'Rules'!$B$6+C101/'Rules'!$B$12*'Rules'!$B$7+D101*'Rules'!$B$8+E101*'Rules'!$B$9+F101*'Rules'!$B$10+G101*'Rules'!$B$11)*H101,1)</x:f>
        <x:v>80</x:v>
      </x:c>
      <x:c r="J101" s="18" t="n">
        <x:f>'Queries'!C101*'Queries'!E101</x:f>
        <x:v>2986.72</x:v>
      </x:c>
    </x:row>
    <x:row r="102" ht="32" customHeight="1">
      <x:c r="A102" s="6" t="str">
        <x:v>paint protection</x:v>
      </x:c>
      <x:c r="B102" s="16" t="n">
        <x:v>0.8</x:v>
      </x:c>
      <x:c r="C102" s="16" t="n">
        <x:v>5</x:v>
      </x:c>
      <x:c r="D102" s="16" t="n">
        <x:f>IF('Queries'!E102&lt;='Rules'!$B$17,'Rules'!$B$21,IF('Queries'!E102&lt;='Rules'!$B$18,'Rules'!$B$22,IF('Queries'!E102&lt;='Rules'!$B$19,'Rules'!$B$23,IF('Queries'!E102&lt;='Rules'!$B$20,'Rules'!$B$24,'Rules'!$B$25))))</x:f>
        <x:v>0.15</x:v>
      </x:c>
      <x:c r="E102" s="16" t="n">
        <x:f>MIN(LOG10(1+'Queries'!C102)/'Rules'!$B$13,1)</x:f>
        <x:v>0.7485042226047166</x:v>
      </x:c>
      <x:c r="F102" s="16" t="n">
        <x:f>IF(AND('Queries'!E102&lt;='Rules'!$B$15,'Queries'!C102&gt;='Rules'!$B$14,'Queries'!D102&lt;'Rules'!$B$16),1,0)</x:f>
        <x:v>0</x:v>
      </x:c>
      <x:c r="G102" s="16" t="n">
        <x:v>1</x:v>
      </x:c>
      <x:c r="H102" s="16" t="n">
        <x:v>1</x:v>
      </x:c>
      <x:c r="I102" s="16" t="n">
        <x:f>ROUND((B102*'Rules'!$B$6+C102/'Rules'!$B$12*'Rules'!$B$7+D102*'Rules'!$B$8+E102*'Rules'!$B$9+F102*'Rules'!$B$10+G102*'Rules'!$B$11)*H102,1)</x:f>
        <x:v>61.2</x:v>
      </x:c>
      <x:c r="J102" s="18" t="n">
        <x:f>'Queries'!C102*'Queries'!E102</x:f>
        <x:v>7535.5</x:v>
      </x:c>
    </x:row>
    <x:row r="103" ht="32" customHeight="1">
      <x:c r="A103" s="6" t="str">
        <x:v>tire repair near me</x:v>
      </x:c>
      <x:c r="B103" s="16" t="n">
        <x:v>1</x:v>
      </x:c>
      <x:c r="C103" s="16" t="n">
        <x:v>2</x:v>
      </x:c>
      <x:c r="D103" s="16" t="n">
        <x:f>IF('Queries'!E103&lt;='Rules'!$B$17,'Rules'!$B$21,IF('Queries'!E103&lt;='Rules'!$B$18,'Rules'!$B$22,IF('Queries'!E103&lt;='Rules'!$B$19,'Rules'!$B$23,IF('Queries'!E103&lt;='Rules'!$B$20,'Rules'!$B$24,'Rules'!$B$25))))</x:f>
        <x:v>1</x:v>
      </x:c>
      <x:c r="E103" s="16" t="n">
        <x:f>MIN(LOG10(1+'Queries'!C103)/'Rules'!$B$13,1)</x:f>
        <x:v>0.7443320367973834</x:v>
      </x:c>
      <x:c r="F103" s="16" t="n">
        <x:f>IF(AND('Queries'!E103&lt;='Rules'!$B$15,'Queries'!C103&gt;='Rules'!$B$14,'Queries'!D103&lt;'Rules'!$B$16),1,0)</x:f>
        <x:v>0</x:v>
      </x:c>
      <x:c r="G103" s="16" t="n">
        <x:v>1</x:v>
      </x:c>
      <x:c r="H103" s="16" t="n">
        <x:v>1</x:v>
      </x:c>
      <x:c r="I103" s="16" t="n">
        <x:f>ROUND((B103*'Rules'!$B$6+C103/'Rules'!$B$12*'Rules'!$B$7+D103*'Rules'!$B$8+E103*'Rules'!$B$9+F103*'Rules'!$B$10+G103*'Rules'!$B$11)*H103,1)</x:f>
        <x:v>75.4</x:v>
      </x:c>
      <x:c r="J103" s="18" t="n">
        <x:f>'Queries'!C103*'Queries'!E103</x:f>
        <x:v>1754.4</x:v>
      </x:c>
    </x:row>
    <x:row r="104" ht="32" customHeight="1">
      <x:c r="A104" s="6" t="str">
        <x:v>ferrari service center dubai</x:v>
      </x:c>
      <x:c r="B104" s="16" t="n">
        <x:v>1</x:v>
      </x:c>
      <x:c r="C104" s="16" t="n">
        <x:v>5</x:v>
      </x:c>
      <x:c r="D104" s="16" t="n">
        <x:f>IF('Queries'!E104&lt;='Rules'!$B$17,'Rules'!$B$21,IF('Queries'!E104&lt;='Rules'!$B$18,'Rules'!$B$22,IF('Queries'!E104&lt;='Rules'!$B$19,'Rules'!$B$23,IF('Queries'!E104&lt;='Rules'!$B$20,'Rules'!$B$24,'Rules'!$B$25))))</x:f>
        <x:v>0.7</x:v>
      </x:c>
      <x:c r="E104" s="16" t="n">
        <x:f>MIN(LOG10(1+'Queries'!C104)/'Rules'!$B$13,1)</x:f>
        <x:v>0.7443320367973834</x:v>
      </x:c>
      <x:c r="F104" s="16" t="n">
        <x:f>IF(AND('Queries'!E104&lt;='Rules'!$B$15,'Queries'!C104&gt;='Rules'!$B$14,'Queries'!D104&lt;'Rules'!$B$16),1,0)</x:f>
        <x:v>0</x:v>
      </x:c>
      <x:c r="G104" s="16" t="n">
        <x:v>1</x:v>
      </x:c>
      <x:c r="H104" s="16" t="n">
        <x:v>1</x:v>
      </x:c>
      <x:c r="I104" s="16" t="n">
        <x:f>ROUND((B104*'Rules'!$B$6+C104/'Rules'!$B$12*'Rules'!$B$7+D104*'Rules'!$B$8+E104*'Rules'!$B$9+F104*'Rules'!$B$10+G104*'Rules'!$B$11)*H104,1)</x:f>
        <x:v>79.9</x:v>
      </x:c>
      <x:c r="J104" s="18" t="n">
        <x:f>'Queries'!C104*'Queries'!E104</x:f>
        <x:v>3913.4</x:v>
      </x:c>
    </x:row>
    <x:row r="105" ht="32" customHeight="1">
      <x:c r="A105" s="6" t="str">
        <x:v>ferrari service</x:v>
      </x:c>
      <x:c r="B105" s="16" t="n">
        <x:v>0.8</x:v>
      </x:c>
      <x:c r="C105" s="16" t="n">
        <x:v>5</x:v>
      </x:c>
      <x:c r="D105" s="16" t="n">
        <x:f>IF('Queries'!E105&lt;='Rules'!$B$17,'Rules'!$B$21,IF('Queries'!E105&lt;='Rules'!$B$18,'Rules'!$B$22,IF('Queries'!E105&lt;='Rules'!$B$19,'Rules'!$B$23,IF('Queries'!E105&lt;='Rules'!$B$20,'Rules'!$B$24,'Rules'!$B$25))))</x:f>
        <x:v>0.7</x:v>
      </x:c>
      <x:c r="E105" s="16" t="n">
        <x:f>MIN(LOG10(1+'Queries'!C105)/'Rules'!$B$13,1)</x:f>
        <x:v>0.7417697605752868</x:v>
      </x:c>
      <x:c r="F105" s="16" t="n">
        <x:f>IF(AND('Queries'!E105&lt;='Rules'!$B$15,'Queries'!C105&gt;='Rules'!$B$14,'Queries'!D105&lt;'Rules'!$B$16),1,0)</x:f>
        <x:v>0</x:v>
      </x:c>
      <x:c r="G105" s="16" t="n">
        <x:v>1</x:v>
      </x:c>
      <x:c r="H105" s="16" t="n">
        <x:v>1</x:v>
      </x:c>
      <x:c r="I105" s="16" t="n">
        <x:f>ROUND((B105*'Rules'!$B$6+C105/'Rules'!$B$12*'Rules'!$B$7+D105*'Rules'!$B$8+E105*'Rules'!$B$9+F105*'Rules'!$B$10+G105*'Rules'!$B$11)*H105,1)</x:f>
        <x:v>74.9</x:v>
      </x:c>
      <x:c r="J105" s="18" t="n">
        <x:f>'Queries'!C105*'Queries'!E105</x:f>
        <x:v>2947.5499999999997</x:v>
      </x:c>
    </x:row>
    <x:row r="106" ht="32" customHeight="1">
      <x:c r="A106" s="6" t="str">
        <x:v>mclaren service dubai</x:v>
      </x:c>
      <x:c r="B106" s="16" t="n">
        <x:v>1</x:v>
      </x:c>
      <x:c r="C106" s="16" t="n">
        <x:v>5</x:v>
      </x:c>
      <x:c r="D106" s="16" t="n">
        <x:f>IF('Queries'!E106&lt;='Rules'!$B$17,'Rules'!$B$21,IF('Queries'!E106&lt;='Rules'!$B$18,'Rules'!$B$22,IF('Queries'!E106&lt;='Rules'!$B$19,'Rules'!$B$23,IF('Queries'!E106&lt;='Rules'!$B$20,'Rules'!$B$24,'Rules'!$B$25))))</x:f>
        <x:v>1</x:v>
      </x:c>
      <x:c r="E106" s="16" t="n">
        <x:f>MIN(LOG10(1+'Queries'!C106)/'Rules'!$B$13,1)</x:f>
        <x:v>0.7409054903825267</x:v>
      </x:c>
      <x:c r="F106" s="16" t="n">
        <x:f>IF(AND('Queries'!E106&lt;='Rules'!$B$15,'Queries'!C106&gt;='Rules'!$B$14,'Queries'!D106&lt;'Rules'!$B$16),1,0)</x:f>
        <x:v>0</x:v>
      </x:c>
      <x:c r="G106" s="16" t="n">
        <x:v>1</x:v>
      </x:c>
      <x:c r="H106" s="16" t="n">
        <x:v>1</x:v>
      </x:c>
      <x:c r="I106" s="16" t="n">
        <x:f>ROUND((B106*'Rules'!$B$6+C106/'Rules'!$B$12*'Rules'!$B$7+D106*'Rules'!$B$8+E106*'Rules'!$B$9+F106*'Rules'!$B$10+G106*'Rules'!$B$11)*H106,1)</x:f>
        <x:v>87.4</x:v>
      </x:c>
      <x:c r="J106" s="18" t="n">
        <x:f>'Queries'!C106*'Queries'!E106</x:f>
        <x:v>2362.1800000000003</x:v>
      </x:c>
    </x:row>
    <x:row r="107" ht="32" customHeight="1">
      <x:c r="A107" s="6" t="str">
        <x:v>mercedes stereo upgrade in dubai</x:v>
      </x:c>
      <x:c r="B107" s="16" t="n">
        <x:v>1</x:v>
      </x:c>
      <x:c r="C107" s="16" t="n">
        <x:v>1</x:v>
      </x:c>
      <x:c r="D107" s="16" t="n">
        <x:f>IF('Queries'!E107&lt;='Rules'!$B$17,'Rules'!$B$21,IF('Queries'!E107&lt;='Rules'!$B$18,'Rules'!$B$22,IF('Queries'!E107&lt;='Rules'!$B$19,'Rules'!$B$23,IF('Queries'!E107&lt;='Rules'!$B$20,'Rules'!$B$24,'Rules'!$B$25))))</x:f>
        <x:v>0.15</x:v>
      </x:c>
      <x:c r="E107" s="16" t="n">
        <x:f>MIN(LOG10(1+'Queries'!C107)/'Rules'!$B$13,1)</x:f>
        <x:v>0.7409054903825267</x:v>
      </x:c>
      <x:c r="F107" s="16" t="n">
        <x:f>IF(AND('Queries'!E107&lt;='Rules'!$B$15,'Queries'!C107&gt;='Rules'!$B$14,'Queries'!D107&lt;'Rules'!$B$16),1,0)</x:f>
        <x:v>0</x:v>
      </x:c>
      <x:c r="G107" s="16" t="n">
        <x:v>0</x:v>
      </x:c>
      <x:c r="H107" s="16" t="n">
        <x:v>0.1</x:v>
      </x:c>
      <x:c r="I107" s="16" t="n">
        <x:f>ROUND((B107*'Rules'!$B$6+C107/'Rules'!$B$12*'Rules'!$B$7+D107*'Rules'!$B$8+E107*'Rules'!$B$9+F107*'Rules'!$B$10+G107*'Rules'!$B$11)*H107,1)</x:f>
        <x:v>4</x:v>
      </x:c>
      <x:c r="J107" s="18" t="n">
        <x:f>'Queries'!C107*'Queries'!E107</x:f>
        <x:v>9264.460000000001</x:v>
      </x:c>
    </x:row>
    <x:row r="108" ht="32" customHeight="1">
      <x:c r="A108" s="6" t="str">
        <x:v>lamborghini reverse camera in dubai</x:v>
      </x:c>
      <x:c r="B108" s="16" t="n">
        <x:v>1</x:v>
      </x:c>
      <x:c r="C108" s="16" t="n">
        <x:v>1</x:v>
      </x:c>
      <x:c r="D108" s="16" t="n">
        <x:f>IF('Queries'!E108&lt;='Rules'!$B$17,'Rules'!$B$21,IF('Queries'!E108&lt;='Rules'!$B$18,'Rules'!$B$22,IF('Queries'!E108&lt;='Rules'!$B$19,'Rules'!$B$23,IF('Queries'!E108&lt;='Rules'!$B$20,'Rules'!$B$24,'Rules'!$B$25))))</x:f>
        <x:v>0.7</x:v>
      </x:c>
      <x:c r="E108" s="16" t="n">
        <x:f>MIN(LOG10(1+'Queries'!C108)/'Rules'!$B$13,1)</x:f>
        <x:v>0.7382812826825668</x:v>
      </x:c>
      <x:c r="F108" s="16" t="n">
        <x:f>IF(AND('Queries'!E108&lt;='Rules'!$B$15,'Queries'!C108&gt;='Rules'!$B$14,'Queries'!D108&lt;'Rules'!$B$16),1,0)</x:f>
        <x:v>0</x:v>
      </x:c>
      <x:c r="G108" s="16" t="n">
        <x:v>0</x:v>
      </x:c>
      <x:c r="H108" s="16" t="n">
        <x:v>0.1</x:v>
      </x:c>
      <x:c r="I108" s="16" t="n">
        <x:f>ROUND((B108*'Rules'!$B$6+C108/'Rules'!$B$12*'Rules'!$B$7+D108*'Rules'!$B$8+E108*'Rules'!$B$9+F108*'Rules'!$B$10+G108*'Rules'!$B$11)*H108,1)</x:f>
        <x:v>5.4</x:v>
      </x:c>
      <x:c r="J108" s="18" t="n">
        <x:f>'Queries'!C108*'Queries'!E108</x:f>
        <x:v>3574.59</x:v>
      </x:c>
    </x:row>
    <x:row r="109" ht="32" customHeight="1">
      <x:c r="A109" s="6" t="str">
        <x:v>car service package dubai</x:v>
      </x:c>
      <x:c r="B109" s="16" t="n">
        <x:v>1</x:v>
      </x:c>
      <x:c r="C109" s="16" t="n">
        <x:v>3</x:v>
      </x:c>
      <x:c r="D109" s="16" t="n">
        <x:f>IF('Queries'!E109&lt;='Rules'!$B$17,'Rules'!$B$21,IF('Queries'!E109&lt;='Rules'!$B$18,'Rules'!$B$22,IF('Queries'!E109&lt;='Rules'!$B$19,'Rules'!$B$23,IF('Queries'!E109&lt;='Rules'!$B$20,'Rules'!$B$24,'Rules'!$B$25))))</x:f>
        <x:v>0.15</x:v>
      </x:c>
      <x:c r="E109" s="16" t="n">
        <x:f>MIN(LOG10(1+'Queries'!C109)/'Rules'!$B$13,1)</x:f>
        <x:v>0.7282304769392001</x:v>
      </x:c>
      <x:c r="F109" s="16" t="n">
        <x:f>IF(AND('Queries'!E109&lt;='Rules'!$B$15,'Queries'!C109&gt;='Rules'!$B$14,'Queries'!D109&lt;'Rules'!$B$16),1,0)</x:f>
        <x:v>0</x:v>
      </x:c>
      <x:c r="G109" s="16" t="n">
        <x:v>1</x:v>
      </x:c>
      <x:c r="H109" s="16" t="n">
        <x:v>1</x:v>
      </x:c>
      <x:c r="I109" s="16" t="n">
        <x:f>ROUND((B109*'Rules'!$B$6+C109/'Rules'!$B$12*'Rules'!$B$7+D109*'Rules'!$B$8+E109*'Rules'!$B$9+F109*'Rules'!$B$10+G109*'Rules'!$B$11)*H109,1)</x:f>
        <x:v>58</x:v>
      </x:c>
      <x:c r="J109" s="18" t="n">
        <x:f>'Queries'!C109*'Queries'!E109</x:f>
        <x:v>9785.759999999998</x:v>
      </x:c>
    </x:row>
    <x:row r="110" ht="32" customHeight="1">
      <x:c r="A110" s="6" t="str">
        <x:v>mercedes repairs</x:v>
      </x:c>
      <x:c r="B110" s="16" t="n">
        <x:v>0.8</x:v>
      </x:c>
      <x:c r="C110" s="16" t="n">
        <x:v>5</x:v>
      </x:c>
      <x:c r="D110" s="16" t="n">
        <x:f>IF('Queries'!E110&lt;='Rules'!$B$17,'Rules'!$B$21,IF('Queries'!E110&lt;='Rules'!$B$18,'Rules'!$B$22,IF('Queries'!E110&lt;='Rules'!$B$19,'Rules'!$B$23,IF('Queries'!E110&lt;='Rules'!$B$20,'Rules'!$B$24,'Rules'!$B$25))))</x:f>
        <x:v>1</x:v>
      </x:c>
      <x:c r="E110" s="16" t="n">
        <x:f>MIN(LOG10(1+'Queries'!C110)/'Rules'!$B$13,1)</x:f>
        <x:v>0.7263256490977233</x:v>
      </x:c>
      <x:c r="F110" s="16" t="n">
        <x:f>IF(AND('Queries'!E110&lt;='Rules'!$B$15,'Queries'!C110&gt;='Rules'!$B$14,'Queries'!D110&lt;'Rules'!$B$16),1,0)</x:f>
        <x:v>0</x:v>
      </x:c>
      <x:c r="G110" s="16" t="n">
        <x:v>1</x:v>
      </x:c>
      <x:c r="H110" s="16" t="n">
        <x:v>1</x:v>
      </x:c>
      <x:c r="I110" s="16" t="n">
        <x:f>ROUND((B110*'Rules'!$B$6+C110/'Rules'!$B$12*'Rules'!$B$7+D110*'Rules'!$B$8+E110*'Rules'!$B$9+F110*'Rules'!$B$10+G110*'Rules'!$B$11)*H110,1)</x:f>
        <x:v>82.3</x:v>
      </x:c>
      <x:c r="J110" s="18" t="n">
        <x:f>'Queries'!C110*'Queries'!E110</x:f>
        <x:v>1693.4999999999998</x:v>
      </x:c>
    </x:row>
    <x:row r="111" ht="32" customHeight="1">
      <x:c r="A111" s="6" t="str">
        <x:v>mercedes benz service center dubai</x:v>
      </x:c>
      <x:c r="B111" s="16" t="n">
        <x:v>1</x:v>
      </x:c>
      <x:c r="C111" s="16" t="n">
        <x:v>5</x:v>
      </x:c>
      <x:c r="D111" s="16" t="n">
        <x:f>IF('Queries'!E111&lt;='Rules'!$B$17,'Rules'!$B$21,IF('Queries'!E111&lt;='Rules'!$B$18,'Rules'!$B$22,IF('Queries'!E111&lt;='Rules'!$B$19,'Rules'!$B$23,IF('Queries'!E111&lt;='Rules'!$B$20,'Rules'!$B$24,'Rules'!$B$25))))</x:f>
        <x:v>0.7</x:v>
      </x:c>
      <x:c r="E111" s="16" t="n">
        <x:f>MIN(LOG10(1+'Queries'!C111)/'Rules'!$B$13,1)</x:f>
        <x:v>0.7263256490977233</x:v>
      </x:c>
      <x:c r="F111" s="16" t="n">
        <x:f>IF(AND('Queries'!E111&lt;='Rules'!$B$15,'Queries'!C111&gt;='Rules'!$B$14,'Queries'!D111&lt;'Rules'!$B$16),1,0)</x:f>
        <x:v>0</x:v>
      </x:c>
      <x:c r="G111" s="16" t="n">
        <x:v>1</x:v>
      </x:c>
      <x:c r="H111" s="16" t="n">
        <x:v>1</x:v>
      </x:c>
      <x:c r="I111" s="16" t="n">
        <x:f>ROUND((B111*'Rules'!$B$6+C111/'Rules'!$B$12*'Rules'!$B$7+D111*'Rules'!$B$8+E111*'Rules'!$B$9+F111*'Rules'!$B$10+G111*'Rules'!$B$11)*H111,1)</x:f>
        <x:v>79.8</x:v>
      </x:c>
      <x:c r="J111" s="18" t="n">
        <x:f>'Queries'!C111*'Queries'!E111</x:f>
        <x:v>3174</x:v>
      </x:c>
    </x:row>
    <x:row r="112" ht="32" customHeight="1">
      <x:c r="A112" s="6" t="str">
        <x:v>ferrari service center</x:v>
      </x:c>
      <x:c r="B112" s="16" t="n">
        <x:v>0.8</x:v>
      </x:c>
      <x:c r="C112" s="16" t="n">
        <x:v>5</x:v>
      </x:c>
      <x:c r="D112" s="16" t="n">
        <x:f>IF('Queries'!E112&lt;='Rules'!$B$17,'Rules'!$B$21,IF('Queries'!E112&lt;='Rules'!$B$18,'Rules'!$B$22,IF('Queries'!E112&lt;='Rules'!$B$19,'Rules'!$B$23,IF('Queries'!E112&lt;='Rules'!$B$20,'Rules'!$B$24,'Rules'!$B$25))))</x:f>
        <x:v>0.7</x:v>
      </x:c>
      <x:c r="E112" s="16" t="n">
        <x:f>MIN(LOG10(1+'Queries'!C112)/'Rules'!$B$13,1)</x:f>
        <x:v>0.72536375301856</x:v>
      </x:c>
      <x:c r="F112" s="16" t="n">
        <x:f>IF(AND('Queries'!E112&lt;='Rules'!$B$15,'Queries'!C112&gt;='Rules'!$B$14,'Queries'!D112&lt;'Rules'!$B$16),1,0)</x:f>
        <x:v>0</x:v>
      </x:c>
      <x:c r="G112" s="16" t="n">
        <x:v>1</x:v>
      </x:c>
      <x:c r="H112" s="16" t="n">
        <x:v>1</x:v>
      </x:c>
      <x:c r="I112" s="16" t="n">
        <x:f>ROUND((B112*'Rules'!$B$6+C112/'Rules'!$B$12*'Rules'!$B$7+D112*'Rules'!$B$8+E112*'Rules'!$B$9+F112*'Rules'!$B$10+G112*'Rules'!$B$11)*H112,1)</x:f>
        <x:v>74.8</x:v>
      </x:c>
      <x:c r="J112" s="18" t="n">
        <x:f>'Queries'!C112*'Queries'!E112</x:f>
        <x:v>4273.32</x:v>
      </x:c>
    </x:row>
    <x:row r="113" ht="32" customHeight="1">
      <x:c r="A113" s="6" t="str">
        <x:v>mercedes service in dubai</x:v>
      </x:c>
      <x:c r="B113" s="16" t="n">
        <x:v>1</x:v>
      </x:c>
      <x:c r="C113" s="16" t="n">
        <x:v>5</x:v>
      </x:c>
      <x:c r="D113" s="16" t="n">
        <x:f>IF('Queries'!E113&lt;='Rules'!$B$17,'Rules'!$B$21,IF('Queries'!E113&lt;='Rules'!$B$18,'Rules'!$B$22,IF('Queries'!E113&lt;='Rules'!$B$19,'Rules'!$B$23,IF('Queries'!E113&lt;='Rules'!$B$20,'Rules'!$B$24,'Rules'!$B$25))))</x:f>
        <x:v>1</x:v>
      </x:c>
      <x:c r="E113" s="16" t="n">
        <x:f>MIN(LOG10(1+'Queries'!C113)/'Rules'!$B$13,1)</x:f>
        <x:v>0.72439542280409</x:v>
      </x:c>
      <x:c r="F113" s="16" t="n">
        <x:f>IF(AND('Queries'!E113&lt;='Rules'!$B$15,'Queries'!C113&gt;='Rules'!$B$14,'Queries'!D113&lt;'Rules'!$B$16),1,0)</x:f>
        <x:v>1</x:v>
      </x:c>
      <x:c r="G113" s="16" t="n">
        <x:v>1</x:v>
      </x:c>
      <x:c r="H113" s="16" t="n">
        <x:v>1</x:v>
      </x:c>
      <x:c r="I113" s="16" t="n">
        <x:f>ROUND((B113*'Rules'!$B$6+C113/'Rules'!$B$12*'Rules'!$B$7+D113*'Rules'!$B$8+E113*'Rules'!$B$9+F113*'Rules'!$B$10+G113*'Rules'!$B$11)*H113,1)</x:f>
        <x:v>97.2</x:v>
      </x:c>
      <x:c r="J113" s="18" t="n">
        <x:f>'Queries'!C113*'Queries'!E113</x:f>
        <x:v>997.52</x:v>
      </x:c>
    </x:row>
    <x:row r="114" ht="32" customHeight="1">
      <x:c r="A114" s="6" t="str">
        <x:v>transmission repair dubai</x:v>
      </x:c>
      <x:c r="B114" s="16" t="n">
        <x:v>1</x:v>
      </x:c>
      <x:c r="C114" s="16" t="n">
        <x:v>3</x:v>
      </x:c>
      <x:c r="D114" s="16" t="n">
        <x:f>IF('Queries'!E114&lt;='Rules'!$B$17,'Rules'!$B$21,IF('Queries'!E114&lt;='Rules'!$B$18,'Rules'!$B$22,IF('Queries'!E114&lt;='Rules'!$B$19,'Rules'!$B$23,IF('Queries'!E114&lt;='Rules'!$B$20,'Rules'!$B$24,'Rules'!$B$25))))</x:f>
        <x:v>0.7</x:v>
      </x:c>
      <x:c r="E114" s="16" t="n">
        <x:f>MIN(LOG10(1+'Queries'!C114)/'Rules'!$B$13,1)</x:f>
        <x:v>0.7224391115827267</x:v>
      </x:c>
      <x:c r="F114" s="16" t="n">
        <x:f>IF(AND('Queries'!E114&lt;='Rules'!$B$15,'Queries'!C114&gt;='Rules'!$B$14,'Queries'!D114&lt;'Rules'!$B$16),1,0)</x:f>
        <x:v>0</x:v>
      </x:c>
      <x:c r="G114" s="16" t="n">
        <x:v>1</x:v>
      </x:c>
      <x:c r="H114" s="16" t="n">
        <x:v>1</x:v>
      </x:c>
      <x:c r="I114" s="16" t="n">
        <x:f>ROUND((B114*'Rules'!$B$6+C114/'Rules'!$B$12*'Rules'!$B$7+D114*'Rules'!$B$8+E114*'Rules'!$B$9+F114*'Rules'!$B$10+G114*'Rules'!$B$11)*H114,1)</x:f>
        <x:v>71.7</x:v>
      </x:c>
      <x:c r="J114" s="18" t="n">
        <x:f>'Queries'!C114*'Queries'!E114</x:f>
        <x:v>3623.7200000000003</x:v>
      </x:c>
    </x:row>
    <x:row r="115" ht="32" customHeight="1">
      <x:c r="A115" s="6" t="str">
        <x:v>mercedes maintenance</x:v>
      </x:c>
      <x:c r="B115" s="16" t="n">
        <x:v>0.8</x:v>
      </x:c>
      <x:c r="C115" s="16" t="n">
        <x:v>5</x:v>
      </x:c>
      <x:c r="D115" s="16" t="n">
        <x:f>IF('Queries'!E115&lt;='Rules'!$B$17,'Rules'!$B$21,IF('Queries'!E115&lt;='Rules'!$B$18,'Rules'!$B$22,IF('Queries'!E115&lt;='Rules'!$B$19,'Rules'!$B$23,IF('Queries'!E115&lt;='Rules'!$B$20,'Rules'!$B$24,'Rules'!$B$25))))</x:f>
        <x:v>0.4</x:v>
      </x:c>
      <x:c r="E115" s="16" t="n">
        <x:f>MIN(LOG10(1+'Queries'!C115)/'Rules'!$B$13,1)</x:f>
        <x:v>0.7224391115827267</x:v>
      </x:c>
      <x:c r="F115" s="16" t="n">
        <x:f>IF(AND('Queries'!E115&lt;='Rules'!$B$15,'Queries'!C115&gt;='Rules'!$B$14,'Queries'!D115&lt;'Rules'!$B$16),1,0)</x:f>
        <x:v>0</x:v>
      </x:c>
      <x:c r="G115" s="16" t="n">
        <x:v>1</x:v>
      </x:c>
      <x:c r="H115" s="16" t="n">
        <x:v>1</x:v>
      </x:c>
      <x:c r="I115" s="16" t="n">
        <x:f>ROUND((B115*'Rules'!$B$6+C115/'Rules'!$B$12*'Rules'!$B$7+D115*'Rules'!$B$8+E115*'Rules'!$B$9+F115*'Rules'!$B$10+G115*'Rules'!$B$11)*H115,1)</x:f>
        <x:v>67.2</x:v>
      </x:c>
      <x:c r="J115" s="18" t="n">
        <x:f>'Queries'!C115*'Queries'!E115</x:f>
        <x:v>4384.38</x:v>
      </x:c>
    </x:row>
    <x:row r="116" ht="32" customHeight="1">
      <x:c r="A116" s="6" t="str">
        <x:v>brake service dubai</x:v>
      </x:c>
      <x:c r="B116" s="16" t="n">
        <x:v>1</x:v>
      </x:c>
      <x:c r="C116" s="16" t="n">
        <x:v>3</x:v>
      </x:c>
      <x:c r="D116" s="16" t="n">
        <x:f>IF('Queries'!E116&lt;='Rules'!$B$17,'Rules'!$B$21,IF('Queries'!E116&lt;='Rules'!$B$18,'Rules'!$B$22,IF('Queries'!E116&lt;='Rules'!$B$19,'Rules'!$B$23,IF('Queries'!E116&lt;='Rules'!$B$20,'Rules'!$B$24,'Rules'!$B$25))))</x:f>
        <x:v>0.15</x:v>
      </x:c>
      <x:c r="E116" s="16" t="n">
        <x:f>MIN(LOG10(1+'Queries'!C116)/'Rules'!$B$13,1)</x:f>
        <x:v>0.7194541640317501</x:v>
      </x:c>
      <x:c r="F116" s="16" t="n">
        <x:f>IF(AND('Queries'!E116&lt;='Rules'!$B$15,'Queries'!C116&gt;='Rules'!$B$14,'Queries'!D116&lt;'Rules'!$B$16),1,0)</x:f>
        <x:v>0</x:v>
      </x:c>
      <x:c r="G116" s="16" t="n">
        <x:v>1</x:v>
      </x:c>
      <x:c r="H116" s="16" t="n">
        <x:v>1</x:v>
      </x:c>
      <x:c r="I116" s="16" t="n">
        <x:f>ROUND((B116*'Rules'!$B$6+C116/'Rules'!$B$12*'Rules'!$B$7+D116*'Rules'!$B$8+E116*'Rules'!$B$9+F116*'Rules'!$B$10+G116*'Rules'!$B$11)*H116,1)</x:f>
        <x:v>57.9</x:v>
      </x:c>
      <x:c r="J116" s="18" t="n">
        <x:f>'Queries'!C116*'Queries'!E116</x:f>
        <x:v>6522.23</x:v>
      </x:c>
    </x:row>
    <x:row r="117" ht="32" customHeight="1">
      <x:c r="A117" s="6" t="str">
        <x:v>porsche suspension repair dubai</x:v>
      </x:c>
      <x:c r="B117" s="16" t="n">
        <x:v>1</x:v>
      </x:c>
      <x:c r="C117" s="16" t="n">
        <x:v>5</x:v>
      </x:c>
      <x:c r="D117" s="16" t="n">
        <x:f>IF('Queries'!E117&lt;='Rules'!$B$17,'Rules'!$B$21,IF('Queries'!E117&lt;='Rules'!$B$18,'Rules'!$B$22,IF('Queries'!E117&lt;='Rules'!$B$19,'Rules'!$B$23,IF('Queries'!E117&lt;='Rules'!$B$20,'Rules'!$B$24,'Rules'!$B$25))))</x:f>
        <x:v>0.4</x:v>
      </x:c>
      <x:c r="E117" s="16" t="n">
        <x:f>MIN(LOG10(1+'Queries'!C117)/'Rules'!$B$13,1)</x:f>
        <x:v>0.7184453458216867</x:v>
      </x:c>
      <x:c r="F117" s="16" t="n">
        <x:f>IF(AND('Queries'!E117&lt;='Rules'!$B$15,'Queries'!C117&gt;='Rules'!$B$14,'Queries'!D117&lt;'Rules'!$B$16),1,0)</x:f>
        <x:v>0</x:v>
      </x:c>
      <x:c r="G117" s="16" t="n">
        <x:v>1</x:v>
      </x:c>
      <x:c r="H117" s="16" t="n">
        <x:v>1</x:v>
      </x:c>
      <x:c r="I117" s="16" t="n">
        <x:f>ROUND((B117*'Rules'!$B$6+C117/'Rules'!$B$12*'Rules'!$B$7+D117*'Rules'!$B$8+E117*'Rules'!$B$9+F117*'Rules'!$B$10+G117*'Rules'!$B$11)*H117,1)</x:f>
        <x:v>72.2</x:v>
      </x:c>
      <x:c r="J117" s="18" t="n">
        <x:f>'Queries'!C117*'Queries'!E117</x:f>
        <x:v>5012.599999999999</x:v>
      </x:c>
    </x:row>
    <x:row r="118" ht="32" customHeight="1">
      <x:c r="A118" s="6" t="str">
        <x:v>digitech</x:v>
      </x:c>
      <x:c r="B118" s="16" t="n">
        <x:v>0.6</x:v>
      </x:c>
      <x:c r="C118" s="16" t="n">
        <x:v>3</x:v>
      </x:c>
      <x:c r="D118" s="16" t="n">
        <x:f>IF('Queries'!E118&lt;='Rules'!$B$17,'Rules'!$B$21,IF('Queries'!E118&lt;='Rules'!$B$18,'Rules'!$B$22,IF('Queries'!E118&lt;='Rules'!$B$19,'Rules'!$B$23,IF('Queries'!E118&lt;='Rules'!$B$20,'Rules'!$B$24,'Rules'!$B$25))))</x:f>
        <x:v>1</x:v>
      </x:c>
      <x:c r="E118" s="16" t="n">
        <x:f>MIN(LOG10(1+'Queries'!C118)/'Rules'!$B$13,1)</x:f>
        <x:v>0.7132930288004133</x:v>
      </x:c>
      <x:c r="F118" s="16" t="n">
        <x:f>IF(AND('Queries'!E118&lt;='Rules'!$B$15,'Queries'!C118&gt;='Rules'!$B$14,'Queries'!D118&lt;'Rules'!$B$16),1,0)</x:f>
        <x:v>1</x:v>
      </x:c>
      <x:c r="G118" s="16" t="n">
        <x:v>1</x:v>
      </x:c>
      <x:c r="H118" s="16" t="n">
        <x:v>0.65</x:v>
      </x:c>
      <x:c r="I118" s="16" t="n">
        <x:f>ROUND((B118*'Rules'!$B$6+C118/'Rules'!$B$12*'Rules'!$B$7+D118*'Rules'!$B$8+E118*'Rules'!$B$9+F118*'Rules'!$B$10+G118*'Rules'!$B$11)*H118,1)</x:f>
        <x:v>51.4</x:v>
      </x:c>
      <x:c r="J118" s="18" t="n">
        <x:f>'Queries'!C118*'Queries'!E118</x:f>
        <x:v>572.66</x:v>
      </x:c>
    </x:row>
    <x:row r="119" ht="32" customHeight="1">
      <x:c r="A119" s="6" t="str">
        <x:v>car oil change in dubai</x:v>
      </x:c>
      <x:c r="B119" s="16" t="n">
        <x:v>1</x:v>
      </x:c>
      <x:c r="C119" s="16" t="n">
        <x:v>3</x:v>
      </x:c>
      <x:c r="D119" s="16" t="n">
        <x:f>IF('Queries'!E119&lt;='Rules'!$B$17,'Rules'!$B$21,IF('Queries'!E119&lt;='Rules'!$B$18,'Rules'!$B$22,IF('Queries'!E119&lt;='Rules'!$B$19,'Rules'!$B$23,IF('Queries'!E119&lt;='Rules'!$B$20,'Rules'!$B$24,'Rules'!$B$25))))</x:f>
        <x:v>0.4</x:v>
      </x:c>
      <x:c r="E119" s="16" t="n">
        <x:f>MIN(LOG10(1+'Queries'!C119)/'Rules'!$B$13,1)</x:f>
        <x:v>0.7122401890521366</x:v>
      </x:c>
      <x:c r="F119" s="16" t="n">
        <x:f>IF(AND('Queries'!E119&lt;='Rules'!$B$15,'Queries'!C119&gt;='Rules'!$B$14,'Queries'!D119&lt;'Rules'!$B$16),1,0)</x:f>
        <x:v>0</x:v>
      </x:c>
      <x:c r="G119" s="16" t="n">
        <x:v>1</x:v>
      </x:c>
      <x:c r="H119" s="16" t="n">
        <x:v>1</x:v>
      </x:c>
      <x:c r="I119" s="16" t="n">
        <x:f>ROUND((B119*'Rules'!$B$6+C119/'Rules'!$B$12*'Rules'!$B$7+D119*'Rules'!$B$8+E119*'Rules'!$B$9+F119*'Rules'!$B$10+G119*'Rules'!$B$11)*H119,1)</x:f>
        <x:v>64.1</x:v>
      </x:c>
      <x:c r="J119" s="18" t="n">
        <x:f>'Queries'!C119*'Queries'!E119</x:f>
        <x:v>4678.4</x:v>
      </x:c>
    </x:row>
    <x:row r="120" ht="32" customHeight="1">
      <x:c r="A120" s="6" t="str">
        <x:v>car suspension repair in dubai</x:v>
      </x:c>
      <x:c r="B120" s="16" t="n">
        <x:v>1</x:v>
      </x:c>
      <x:c r="C120" s="16" t="n">
        <x:v>3</x:v>
      </x:c>
      <x:c r="D120" s="16" t="n">
        <x:f>IF('Queries'!E120&lt;='Rules'!$B$17,'Rules'!$B$21,IF('Queries'!E120&lt;='Rules'!$B$18,'Rules'!$B$22,IF('Queries'!E120&lt;='Rules'!$B$19,'Rules'!$B$23,IF('Queries'!E120&lt;='Rules'!$B$20,'Rules'!$B$24,'Rules'!$B$25))))</x:f>
        <x:v>0.4</x:v>
      </x:c>
      <x:c r="E120" s="16" t="n">
        <x:f>MIN(LOG10(1+'Queries'!C120)/'Rules'!$B$13,1)</x:f>
        <x:v>0.7111796361234067</x:v>
      </x:c>
      <x:c r="F120" s="16" t="n">
        <x:f>IF(AND('Queries'!E120&lt;='Rules'!$B$15,'Queries'!C120&gt;='Rules'!$B$14,'Queries'!D120&lt;'Rules'!$B$16),1,0)</x:f>
        <x:v>0</x:v>
      </x:c>
      <x:c r="G120" s="16" t="n">
        <x:v>1</x:v>
      </x:c>
      <x:c r="H120" s="16" t="n">
        <x:v>1</x:v>
      </x:c>
      <x:c r="I120" s="16" t="n">
        <x:f>ROUND((B120*'Rules'!$B$6+C120/'Rules'!$B$12*'Rules'!$B$7+D120*'Rules'!$B$8+E120*'Rules'!$B$9+F120*'Rules'!$B$10+G120*'Rules'!$B$11)*H120,1)</x:f>
        <x:v>64.1</x:v>
      </x:c>
      <x:c r="J120" s="18" t="n">
        <x:f>'Queries'!C120*'Queries'!E120</x:f>
        <x:v>5228.549999999999</x:v>
      </x:c>
    </x:row>
    <x:row r="121" ht="32" customHeight="1">
      <x:c r="A121" s="6" t="str">
        <x:v>ferrari maintenance dubai</x:v>
      </x:c>
      <x:c r="B121" s="16" t="n">
        <x:v>1</x:v>
      </x:c>
      <x:c r="C121" s="16" t="n">
        <x:v>5</x:v>
      </x:c>
      <x:c r="D121" s="16" t="n">
        <x:f>IF('Queries'!E121&lt;='Rules'!$B$17,'Rules'!$B$21,IF('Queries'!E121&lt;='Rules'!$B$18,'Rules'!$B$22,IF('Queries'!E121&lt;='Rules'!$B$19,'Rules'!$B$23,IF('Queries'!E121&lt;='Rules'!$B$20,'Rules'!$B$24,'Rules'!$B$25))))</x:f>
        <x:v>0.7</x:v>
      </x:c>
      <x:c r="E121" s="16" t="n">
        <x:f>MIN(LOG10(1+'Queries'!C121)/'Rules'!$B$13,1)</x:f>
        <x:v>0.7101112561650034</x:v>
      </x:c>
      <x:c r="F121" s="16" t="n">
        <x:f>IF(AND('Queries'!E121&lt;='Rules'!$B$15,'Queries'!C121&gt;='Rules'!$B$14,'Queries'!D121&lt;'Rules'!$B$16),1,0)</x:f>
        <x:v>0</x:v>
      </x:c>
      <x:c r="G121" s="16" t="n">
        <x:v>1</x:v>
      </x:c>
      <x:c r="H121" s="16" t="n">
        <x:v>1</x:v>
      </x:c>
      <x:c r="I121" s="16" t="n">
        <x:f>ROUND((B121*'Rules'!$B$6+C121/'Rules'!$B$12*'Rules'!$B$7+D121*'Rules'!$B$8+E121*'Rules'!$B$9+F121*'Rules'!$B$10+G121*'Rules'!$B$11)*H121,1)</x:f>
        <x:v>79.6</x:v>
      </x:c>
      <x:c r="J121" s="18" t="n">
        <x:f>'Queries'!C121*'Queries'!E121</x:f>
        <x:v>2529.92</x:v>
      </x:c>
    </x:row>
    <x:row r="122" ht="32" customHeight="1">
      <x:c r="A122" s="6" t="str">
        <x:v>ferrari suspension repair dubai</x:v>
      </x:c>
      <x:c r="B122" s="16" t="n">
        <x:v>1</x:v>
      </x:c>
      <x:c r="C122" s="16" t="n">
        <x:v>5</x:v>
      </x:c>
      <x:c r="D122" s="16" t="n">
        <x:f>IF('Queries'!E122&lt;='Rules'!$B$17,'Rules'!$B$21,IF('Queries'!E122&lt;='Rules'!$B$18,'Rules'!$B$22,IF('Queries'!E122&lt;='Rules'!$B$19,'Rules'!$B$23,IF('Queries'!E122&lt;='Rules'!$B$20,'Rules'!$B$24,'Rules'!$B$25))))</x:f>
        <x:v>0.7</x:v>
      </x:c>
      <x:c r="E122" s="16" t="n">
        <x:f>MIN(LOG10(1+'Queries'!C122)/'Rules'!$B$13,1)</x:f>
        <x:v>0.70903493278827</x:v>
      </x:c>
      <x:c r="F122" s="16" t="n">
        <x:f>IF(AND('Queries'!E122&lt;='Rules'!$B$15,'Queries'!C122&gt;='Rules'!$B$14,'Queries'!D122&lt;'Rules'!$B$16),1,0)</x:f>
        <x:v>0</x:v>
      </x:c>
      <x:c r="G122" s="16" t="n">
        <x:v>1</x:v>
      </x:c>
      <x:c r="H122" s="16" t="n">
        <x:v>1</x:v>
      </x:c>
      <x:c r="I122" s="16" t="n">
        <x:f>ROUND((B122*'Rules'!$B$6+C122/'Rules'!$B$12*'Rules'!$B$7+D122*'Rules'!$B$8+E122*'Rules'!$B$9+F122*'Rules'!$B$10+G122*'Rules'!$B$11)*H122,1)</x:f>
        <x:v>79.6</x:v>
      </x:c>
      <x:c r="J122" s="18" t="n">
        <x:f>'Queries'!C122*'Queries'!E122</x:f>
        <x:v>3262.4900000000002</x:v>
      </x:c>
    </x:row>
    <x:row r="123" ht="32" customHeight="1">
      <x:c r="A123" s="6" t="str">
        <x:v>mercedes e class audio upgrade in dubai</x:v>
      </x:c>
      <x:c r="B123" s="16" t="n">
        <x:v>1</x:v>
      </x:c>
      <x:c r="C123" s="16" t="n">
        <x:v>1</x:v>
      </x:c>
      <x:c r="D123" s="16" t="n">
        <x:f>IF('Queries'!E123&lt;='Rules'!$B$17,'Rules'!$B$21,IF('Queries'!E123&lt;='Rules'!$B$18,'Rules'!$B$22,IF('Queries'!E123&lt;='Rules'!$B$19,'Rules'!$B$23,IF('Queries'!E123&lt;='Rules'!$B$20,'Rules'!$B$24,'Rules'!$B$25))))</x:f>
        <x:v>0.15</x:v>
      </x:c>
      <x:c r="E123" s="16" t="n">
        <x:f>MIN(LOG10(1+'Queries'!C123)/'Rules'!$B$13,1)</x:f>
        <x:v>0.70903493278827</x:v>
      </x:c>
      <x:c r="F123" s="16" t="n">
        <x:f>IF(AND('Queries'!E123&lt;='Rules'!$B$15,'Queries'!C123&gt;='Rules'!$B$14,'Queries'!D123&lt;'Rules'!$B$16),1,0)</x:f>
        <x:v>0</x:v>
      </x:c>
      <x:c r="G123" s="16" t="n">
        <x:v>0</x:v>
      </x:c>
      <x:c r="H123" s="16" t="n">
        <x:v>0.1</x:v>
      </x:c>
      <x:c r="I123" s="16" t="n">
        <x:f>ROUND((B123*'Rules'!$B$6+C123/'Rules'!$B$12*'Rules'!$B$7+D123*'Rules'!$B$8+E123*'Rules'!$B$9+F123*'Rules'!$B$10+G123*'Rules'!$B$11)*H123,1)</x:f>
        <x:v>4</x:v>
      </x:c>
      <x:c r="J123" s="18" t="n">
        <x:f>'Queries'!C123*'Queries'!E123</x:f>
        <x:v>7796.46</x:v>
      </x:c>
    </x:row>
    <x:row r="124" ht="32" customHeight="1">
      <x:c r="A124" s="6" t="str">
        <x:v>lamborghini maintenance dubai</x:v>
      </x:c>
      <x:c r="B124" s="16" t="n">
        <x:v>1</x:v>
      </x:c>
      <x:c r="C124" s="16" t="n">
        <x:v>5</x:v>
      </x:c>
      <x:c r="D124" s="16" t="n">
        <x:f>IF('Queries'!E124&lt;='Rules'!$B$17,'Rules'!$B$21,IF('Queries'!E124&lt;='Rules'!$B$18,'Rules'!$B$22,IF('Queries'!E124&lt;='Rules'!$B$19,'Rules'!$B$23,IF('Queries'!E124&lt;='Rules'!$B$20,'Rules'!$B$24,'Rules'!$B$25))))</x:f>
        <x:v>0.7</x:v>
      </x:c>
      <x:c r="E124" s="16" t="n">
        <x:f>MIN(LOG10(1+'Queries'!C124)/'Rules'!$B$13,1)</x:f>
        <x:v>0.7079505469890299</x:v>
      </x:c>
      <x:c r="F124" s="16" t="n">
        <x:f>IF(AND('Queries'!E124&lt;='Rules'!$B$15,'Queries'!C124&gt;='Rules'!$B$14,'Queries'!D124&lt;'Rules'!$B$16),1,0)</x:f>
        <x:v>0</x:v>
      </x:c>
      <x:c r="G124" s="16" t="n">
        <x:v>1</x:v>
      </x:c>
      <x:c r="H124" s="16" t="n">
        <x:v>1</x:v>
      </x:c>
      <x:c r="I124" s="16" t="n">
        <x:f>ROUND((B124*'Rules'!$B$6+C124/'Rules'!$B$12*'Rules'!$B$7+D124*'Rules'!$B$8+E124*'Rules'!$B$9+F124*'Rules'!$B$10+G124*'Rules'!$B$11)*H124,1)</x:f>
        <x:v>79.6</x:v>
      </x:c>
      <x:c r="J124" s="18" t="n">
        <x:f>'Queries'!C124*'Queries'!E124</x:f>
        <x:v>2845.9199999999996</x:v>
      </x:c>
    </x:row>
    <x:row r="125" ht="32" customHeight="1">
      <x:c r="A125" s="6" t="str">
        <x:v>oil change service</x:v>
      </x:c>
      <x:c r="B125" s="16" t="n">
        <x:v>0.8</x:v>
      </x:c>
      <x:c r="C125" s="16" t="n">
        <x:v>3</x:v>
      </x:c>
      <x:c r="D125" s="16" t="n">
        <x:f>IF('Queries'!E125&lt;='Rules'!$B$17,'Rules'!$B$21,IF('Queries'!E125&lt;='Rules'!$B$18,'Rules'!$B$22,IF('Queries'!E125&lt;='Rules'!$B$19,'Rules'!$B$23,IF('Queries'!E125&lt;='Rules'!$B$20,'Rules'!$B$24,'Rules'!$B$25))))</x:f>
        <x:v>0.7</x:v>
      </x:c>
      <x:c r="E125" s="16" t="n">
        <x:f>MIN(LOG10(1+'Queries'!C125)/'Rules'!$B$13,1)</x:f>
        <x:v>0.7068579770686166</x:v>
      </x:c>
      <x:c r="F125" s="16" t="n">
        <x:f>IF(AND('Queries'!E125&lt;='Rules'!$B$15,'Queries'!C125&gt;='Rules'!$B$14,'Queries'!D125&lt;'Rules'!$B$16),1,0)</x:f>
        <x:v>0</x:v>
      </x:c>
      <x:c r="G125" s="16" t="n">
        <x:v>1</x:v>
      </x:c>
      <x:c r="H125" s="16" t="n">
        <x:v>1</x:v>
      </x:c>
      <x:c r="I125" s="16" t="n">
        <x:f>ROUND((B125*'Rules'!$B$6+C125/'Rules'!$B$12*'Rules'!$B$7+D125*'Rules'!$B$8+E125*'Rules'!$B$9+F125*'Rules'!$B$10+G125*'Rules'!$B$11)*H125,1)</x:f>
        <x:v>66.6</x:v>
      </x:c>
      <x:c r="J125" s="18" t="n">
        <x:f>'Queries'!C125*'Queries'!E125</x:f>
        <x:v>3670.62</x:v>
      </x:c>
    </x:row>
    <x:row r="126" ht="32" customHeight="1">
      <x:c r="A126" s="6" t="str">
        <x:v>head unit repairing dubai</x:v>
      </x:c>
      <x:c r="B126" s="16" t="n">
        <x:v>1</x:v>
      </x:c>
      <x:c r="C126" s="16" t="n">
        <x:v>1</x:v>
      </x:c>
      <x:c r="D126" s="16" t="n">
        <x:f>IF('Queries'!E126&lt;='Rules'!$B$17,'Rules'!$B$21,IF('Queries'!E126&lt;='Rules'!$B$18,'Rules'!$B$22,IF('Queries'!E126&lt;='Rules'!$B$19,'Rules'!$B$23,IF('Queries'!E126&lt;='Rules'!$B$20,'Rules'!$B$24,'Rules'!$B$25))))</x:f>
        <x:v>0.15</x:v>
      </x:c>
      <x:c r="E126" s="16" t="n">
        <x:f>MIN(LOG10(1+'Queries'!C126)/'Rules'!$B$13,1)</x:f>
        <x:v>0.7068579770686166</x:v>
      </x:c>
      <x:c r="F126" s="16" t="n">
        <x:f>IF(AND('Queries'!E126&lt;='Rules'!$B$15,'Queries'!C126&gt;='Rules'!$B$14,'Queries'!D126&lt;'Rules'!$B$16),1,0)</x:f>
        <x:v>0</x:v>
      </x:c>
      <x:c r="G126" s="16" t="n">
        <x:v>0</x:v>
      </x:c>
      <x:c r="H126" s="16" t="n">
        <x:v>0.1</x:v>
      </x:c>
      <x:c r="I126" s="16" t="n">
        <x:f>ROUND((B126*'Rules'!$B$6+C126/'Rules'!$B$12*'Rules'!$B$7+D126*'Rules'!$B$8+E126*'Rules'!$B$9+F126*'Rules'!$B$10+G126*'Rules'!$B$11)*H126,1)</x:f>
        <x:v>4</x:v>
      </x:c>
      <x:c r="J126" s="18" t="n">
        <x:f>'Queries'!C126*'Queries'!E126</x:f>
        <x:v>6539.52</x:v>
      </x:c>
    </x:row>
    <x:row r="127" ht="32" customHeight="1">
      <x:c r="A127" s="6" t="str">
        <x:v>bmw service center dubai</x:v>
      </x:c>
      <x:c r="B127" s="16" t="n">
        <x:v>1</x:v>
      </x:c>
      <x:c r="C127" s="16" t="n">
        <x:v>5</x:v>
      </x:c>
      <x:c r="D127" s="16" t="n">
        <x:f>IF('Queries'!E127&lt;='Rules'!$B$17,'Rules'!$B$21,IF('Queries'!E127&lt;='Rules'!$B$18,'Rules'!$B$22,IF('Queries'!E127&lt;='Rules'!$B$19,'Rules'!$B$23,IF('Queries'!E127&lt;='Rules'!$B$20,'Rules'!$B$24,'Rules'!$B$25))))</x:f>
        <x:v>0.4</x:v>
      </x:c>
      <x:c r="E127" s="16" t="n">
        <x:f>MIN(LOG10(1+'Queries'!C127)/'Rules'!$B$13,1)</x:f>
        <x:v>0.70464778410228</x:v>
      </x:c>
      <x:c r="F127" s="16" t="n">
        <x:f>IF(AND('Queries'!E127&lt;='Rules'!$B$15,'Queries'!C127&gt;='Rules'!$B$14,'Queries'!D127&lt;'Rules'!$B$16),1,0)</x:f>
        <x:v>0</x:v>
      </x:c>
      <x:c r="G127" s="16" t="n">
        <x:v>1</x:v>
      </x:c>
      <x:c r="H127" s="16" t="n">
        <x:v>1</x:v>
      </x:c>
      <x:c r="I127" s="16" t="n">
        <x:f>ROUND((B127*'Rules'!$B$6+C127/'Rules'!$B$12*'Rules'!$B$7+D127*'Rules'!$B$8+E127*'Rules'!$B$9+F127*'Rules'!$B$10+G127*'Rules'!$B$11)*H127,1)</x:f>
        <x:v>72</x:v>
      </x:c>
      <x:c r="J127" s="18" t="n">
        <x:f>'Queries'!C127*'Queries'!E127</x:f>
        <x:v>3946.11</x:v>
      </x:c>
    </x:row>
    <x:row r="128" ht="32" customHeight="1">
      <x:c r="A128" s="6" t="str">
        <x:v>bugatti repair dubai</x:v>
      </x:c>
      <x:c r="B128" s="16" t="n">
        <x:v>1</x:v>
      </x:c>
      <x:c r="C128" s="16" t="n">
        <x:v>5</x:v>
      </x:c>
      <x:c r="D128" s="16" t="n">
        <x:f>IF('Queries'!E128&lt;='Rules'!$B$17,'Rules'!$B$21,IF('Queries'!E128&lt;='Rules'!$B$18,'Rules'!$B$22,IF('Queries'!E128&lt;='Rules'!$B$19,'Rules'!$B$23,IF('Queries'!E128&lt;='Rules'!$B$20,'Rules'!$B$24,'Rules'!$B$25))))</x:f>
        <x:v>0.7</x:v>
      </x:c>
      <x:c r="E128" s="16" t="n">
        <x:f>MIN(LOG10(1+'Queries'!C128)/'Rules'!$B$13,1)</x:f>
        <x:v>0.7024033232159567</x:v>
      </x:c>
      <x:c r="F128" s="16" t="n">
        <x:f>IF(AND('Queries'!E128&lt;='Rules'!$B$15,'Queries'!C128&gt;='Rules'!$B$14,'Queries'!D128&lt;'Rules'!$B$16),1,0)</x:f>
        <x:v>0</x:v>
      </x:c>
      <x:c r="G128" s="16" t="n">
        <x:v>1</x:v>
      </x:c>
      <x:c r="H128" s="16" t="n">
        <x:v>1</x:v>
      </x:c>
      <x:c r="I128" s="16" t="n">
        <x:f>ROUND((B128*'Rules'!$B$6+C128/'Rules'!$B$12*'Rules'!$B$7+D128*'Rules'!$B$8+E128*'Rules'!$B$9+F128*'Rules'!$B$10+G128*'Rules'!$B$11)*H128,1)</x:f>
        <x:v>79.5</x:v>
      </x:c>
      <x:c r="J128" s="18" t="n">
        <x:f>'Queries'!C128*'Queries'!E128</x:f>
        <x:v>3576.32</x:v>
      </x:c>
    </x:row>
    <x:row r="129" ht="32" customHeight="1">
      <x:c r="A129" s="6" t="str">
        <x:v>paint protection dubai</x:v>
      </x:c>
      <x:c r="B129" s="16" t="n">
        <x:v>1</x:v>
      </x:c>
      <x:c r="C129" s="16" t="n">
        <x:v>5</x:v>
      </x:c>
      <x:c r="D129" s="16" t="n">
        <x:f>IF('Queries'!E129&lt;='Rules'!$B$17,'Rules'!$B$21,IF('Queries'!E129&lt;='Rules'!$B$18,'Rules'!$B$22,IF('Queries'!E129&lt;='Rules'!$B$19,'Rules'!$B$23,IF('Queries'!E129&lt;='Rules'!$B$20,'Rules'!$B$24,'Rules'!$B$25))))</x:f>
        <x:v>0.4</x:v>
      </x:c>
      <x:c r="E129" s="16" t="n">
        <x:f>MIN(LOG10(1+'Queries'!C129)/'Rules'!$B$13,1)</x:f>
        <x:v>0.7024033232159567</x:v>
      </x:c>
      <x:c r="F129" s="16" t="n">
        <x:f>IF(AND('Queries'!E129&lt;='Rules'!$B$15,'Queries'!C129&gt;='Rules'!$B$14,'Queries'!D129&lt;'Rules'!$B$16),1,0)</x:f>
        <x:v>0</x:v>
      </x:c>
      <x:c r="G129" s="16" t="n">
        <x:v>1</x:v>
      </x:c>
      <x:c r="H129" s="16" t="n">
        <x:v>1</x:v>
      </x:c>
      <x:c r="I129" s="16" t="n">
        <x:f>ROUND((B129*'Rules'!$B$6+C129/'Rules'!$B$12*'Rules'!$B$7+D129*'Rules'!$B$8+E129*'Rules'!$B$9+F129*'Rules'!$B$10+G129*'Rules'!$B$11)*H129,1)</x:f>
        <x:v>72</x:v>
      </x:c>
      <x:c r="J129" s="18" t="n">
        <x:f>'Queries'!C129*'Queries'!E129</x:f>
        <x:v>4531.36</x:v>
      </x:c>
    </x:row>
    <x:row r="130" ht="32" customHeight="1">
      <x:c r="A130" s="6" t="str">
        <x:v>mercedes garage dubai</x:v>
      </x:c>
      <x:c r="B130" s="16" t="n">
        <x:v>1</x:v>
      </x:c>
      <x:c r="C130" s="16" t="n">
        <x:v>5</x:v>
      </x:c>
      <x:c r="D130" s="16" t="n">
        <x:f>IF('Queries'!E130&lt;='Rules'!$B$17,'Rules'!$B$21,IF('Queries'!E130&lt;='Rules'!$B$18,'Rules'!$B$22,IF('Queries'!E130&lt;='Rules'!$B$19,'Rules'!$B$23,IF('Queries'!E130&lt;='Rules'!$B$20,'Rules'!$B$24,'Rules'!$B$25))))</x:f>
        <x:v>0.7</x:v>
      </x:c>
      <x:c r="E130" s="16" t="n">
        <x:f>MIN(LOG10(1+'Queries'!C130)/'Rules'!$B$13,1)</x:f>
        <x:v>0.7012679069853199</x:v>
      </x:c>
      <x:c r="F130" s="16" t="n">
        <x:f>IF(AND('Queries'!E130&lt;='Rules'!$B$15,'Queries'!C130&gt;='Rules'!$B$14,'Queries'!D130&lt;'Rules'!$B$16),1,0)</x:f>
        <x:v>0</x:v>
      </x:c>
      <x:c r="G130" s="16" t="n">
        <x:v>1</x:v>
      </x:c>
      <x:c r="H130" s="16" t="n">
        <x:v>1</x:v>
      </x:c>
      <x:c r="I130" s="16" t="n">
        <x:f>ROUND((B130*'Rules'!$B$6+C130/'Rules'!$B$12*'Rules'!$B$7+D130*'Rules'!$B$8+E130*'Rules'!$B$9+F130*'Rules'!$B$10+G130*'Rules'!$B$11)*H130,1)</x:f>
        <x:v>79.5</x:v>
      </x:c>
      <x:c r="J130" s="18" t="n">
        <x:f>'Queries'!C130*'Queries'!E130</x:f>
        <x:v>3709.44</x:v>
      </x:c>
    </x:row>
    <x:row r="131" ht="32" customHeight="1">
      <x:c r="A131" s="6" t="str">
        <x:v>car diagnostic dubai</x:v>
      </x:c>
      <x:c r="B131" s="16" t="n">
        <x:v>1</x:v>
      </x:c>
      <x:c r="C131" s="16" t="n">
        <x:v>3</x:v>
      </x:c>
      <x:c r="D131" s="16" t="n">
        <x:f>IF('Queries'!E131&lt;='Rules'!$B$17,'Rules'!$B$21,IF('Queries'!E131&lt;='Rules'!$B$18,'Rules'!$B$22,IF('Queries'!E131&lt;='Rules'!$B$19,'Rules'!$B$23,IF('Queries'!E131&lt;='Rules'!$B$20,'Rules'!$B$24,'Rules'!$B$25))))</x:f>
        <x:v>0.4</x:v>
      </x:c>
      <x:c r="E131" s="16" t="n">
        <x:f>MIN(LOG10(1+'Queries'!C131)/'Rules'!$B$13,1)</x:f>
        <x:v>0.7012679069853199</x:v>
      </x:c>
      <x:c r="F131" s="16" t="n">
        <x:f>IF(AND('Queries'!E131&lt;='Rules'!$B$15,'Queries'!C131&gt;='Rules'!$B$14,'Queries'!D131&lt;'Rules'!$B$16),1,0)</x:f>
        <x:v>0</x:v>
      </x:c>
      <x:c r="G131" s="16" t="n">
        <x:v>1</x:v>
      </x:c>
      <x:c r="H131" s="16" t="n">
        <x:v>1</x:v>
      </x:c>
      <x:c r="I131" s="16" t="n">
        <x:f>ROUND((B131*'Rules'!$B$6+C131/'Rules'!$B$12*'Rules'!$B$7+D131*'Rules'!$B$8+E131*'Rules'!$B$9+F131*'Rules'!$B$10+G131*'Rules'!$B$11)*H131,1)</x:f>
        <x:v>64</x:v>
      </x:c>
      <x:c r="J131" s="18" t="n">
        <x:f>'Queries'!C131*'Queries'!E131</x:f>
        <x:v>3985.3799999999997</x:v>
      </x:c>
    </x:row>
    <x:row r="132" ht="32" customHeight="1">
      <x:c r="A132" s="6" t="str">
        <x:v>mercedes car service in dubai</x:v>
      </x:c>
      <x:c r="B132" s="16" t="n">
        <x:v>1</x:v>
      </x:c>
      <x:c r="C132" s="16" t="n">
        <x:v>5</x:v>
      </x:c>
      <x:c r="D132" s="16" t="n">
        <x:f>IF('Queries'!E132&lt;='Rules'!$B$17,'Rules'!$B$21,IF('Queries'!E132&lt;='Rules'!$B$18,'Rules'!$B$22,IF('Queries'!E132&lt;='Rules'!$B$19,'Rules'!$B$23,IF('Queries'!E132&lt;='Rules'!$B$20,'Rules'!$B$24,'Rules'!$B$25))))</x:f>
        <x:v>1</x:v>
      </x:c>
      <x:c r="E132" s="16" t="n">
        <x:f>MIN(LOG10(1+'Queries'!C132)/'Rules'!$B$13,1)</x:f>
        <x:v>0.7001235150391866</x:v>
      </x:c>
      <x:c r="F132" s="16" t="n">
        <x:f>IF(AND('Queries'!E132&lt;='Rules'!$B$15,'Queries'!C132&gt;='Rules'!$B$14,'Queries'!D132&lt;'Rules'!$B$16),1,0)</x:f>
        <x:v>0</x:v>
      </x:c>
      <x:c r="G132" s="16" t="n">
        <x:v>1</x:v>
      </x:c>
      <x:c r="H132" s="16" t="n">
        <x:v>1</x:v>
      </x:c>
      <x:c r="I132" s="16" t="n">
        <x:f>ROUND((B132*'Rules'!$B$6+C132/'Rules'!$B$12*'Rules'!$B$7+D132*'Rules'!$B$8+E132*'Rules'!$B$9+F132*'Rules'!$B$10+G132*'Rules'!$B$11)*H132,1)</x:f>
        <x:v>87</x:v>
      </x:c>
      <x:c r="J132" s="18" t="n">
        <x:f>'Queries'!C132*'Queries'!E132</x:f>
        <x:v>1287.5</x:v>
      </x:c>
    </x:row>
    <x:row r="133" ht="42" customHeight="1">
      <x:c r="A133" s="6" t="str">
        <x:v>professional paint protection film in dubai</x:v>
      </x:c>
      <x:c r="B133" s="16" t="n">
        <x:v>1</x:v>
      </x:c>
      <x:c r="C133" s="16" t="n">
        <x:v>5</x:v>
      </x:c>
      <x:c r="D133" s="16" t="n">
        <x:f>IF('Queries'!E133&lt;='Rules'!$B$17,'Rules'!$B$21,IF('Queries'!E133&lt;='Rules'!$B$18,'Rules'!$B$22,IF('Queries'!E133&lt;='Rules'!$B$19,'Rules'!$B$23,IF('Queries'!E133&lt;='Rules'!$B$20,'Rules'!$B$24,'Rules'!$B$25))))</x:f>
        <x:v>0.7</x:v>
      </x:c>
      <x:c r="E133" s="16" t="n">
        <x:f>MIN(LOG10(1+'Queries'!C133)/'Rules'!$B$13,1)</x:f>
        <x:v>0.7001235150391866</x:v>
      </x:c>
      <x:c r="F133" s="16" t="n">
        <x:f>IF(AND('Queries'!E133&lt;='Rules'!$B$15,'Queries'!C133&gt;='Rules'!$B$14,'Queries'!D133&lt;'Rules'!$B$16),1,0)</x:f>
        <x:v>0</x:v>
      </x:c>
      <x:c r="G133" s="16" t="n">
        <x:v>1</x:v>
      </x:c>
      <x:c r="H133" s="16" t="n">
        <x:v>1</x:v>
      </x:c>
      <x:c r="I133" s="16" t="n">
        <x:f>ROUND((B133*'Rules'!$B$6+C133/'Rules'!$B$12*'Rules'!$B$7+D133*'Rules'!$B$8+E133*'Rules'!$B$9+F133*'Rules'!$B$10+G133*'Rules'!$B$11)*H133,1)</x:f>
        <x:v>79.5</x:v>
      </x:c>
      <x:c r="J133" s="18" t="n">
        <x:f>'Queries'!C133*'Queries'!E133</x:f>
        <x:v>3181.25</x:v>
      </x:c>
    </x:row>
    <x:row r="134" ht="32" customHeight="1">
      <x:c r="A134" s="6" t="str">
        <x:v>porsche brake repair dubai</x:v>
      </x:c>
      <x:c r="B134" s="16" t="n">
        <x:v>1</x:v>
      </x:c>
      <x:c r="C134" s="16" t="n">
        <x:v>5</x:v>
      </x:c>
      <x:c r="D134" s="16" t="n">
        <x:f>IF('Queries'!E134&lt;='Rules'!$B$17,'Rules'!$B$21,IF('Queries'!E134&lt;='Rules'!$B$18,'Rules'!$B$22,IF('Queries'!E134&lt;='Rules'!$B$19,'Rules'!$B$23,IF('Queries'!E134&lt;='Rules'!$B$20,'Rules'!$B$24,'Rules'!$B$25))))</x:f>
        <x:v>0.4</x:v>
      </x:c>
      <x:c r="E134" s="16" t="n">
        <x:f>MIN(LOG10(1+'Queries'!C134)/'Rules'!$B$13,1)</x:f>
        <x:v>0.7001235150391866</x:v>
      </x:c>
      <x:c r="F134" s="16" t="n">
        <x:f>IF(AND('Queries'!E134&lt;='Rules'!$B$15,'Queries'!C134&gt;='Rules'!$B$14,'Queries'!D134&lt;'Rules'!$B$16),1,0)</x:f>
        <x:v>0</x:v>
      </x:c>
      <x:c r="G134" s="16" t="n">
        <x:v>1</x:v>
      </x:c>
      <x:c r="H134" s="16" t="n">
        <x:v>1</x:v>
      </x:c>
      <x:c r="I134" s="16" t="n">
        <x:f>ROUND((B134*'Rules'!$B$6+C134/'Rules'!$B$12*'Rules'!$B$7+D134*'Rules'!$B$8+E134*'Rules'!$B$9+F134*'Rules'!$B$10+G134*'Rules'!$B$11)*H134,1)</x:f>
        <x:v>72</x:v>
      </x:c>
      <x:c r="J134" s="18" t="n">
        <x:f>'Queries'!C134*'Queries'!E134</x:f>
        <x:v>4823.75</x:v>
      </x:c>
    </x:row>
    <x:row r="135" ht="32" customHeight="1">
      <x:c r="A135" s="6" t="str">
        <x:v>car tuning dubai</x:v>
      </x:c>
      <x:c r="B135" s="16" t="n">
        <x:v>1</x:v>
      </x:c>
      <x:c r="C135" s="16" t="n">
        <x:v>5</x:v>
      </x:c>
      <x:c r="D135" s="16" t="n">
        <x:f>IF('Queries'!E135&lt;='Rules'!$B$17,'Rules'!$B$21,IF('Queries'!E135&lt;='Rules'!$B$18,'Rules'!$B$22,IF('Queries'!E135&lt;='Rules'!$B$19,'Rules'!$B$23,IF('Queries'!E135&lt;='Rules'!$B$20,'Rules'!$B$24,'Rules'!$B$25))))</x:f>
        <x:v>0.7</x:v>
      </x:c>
      <x:c r="E135" s="16" t="n">
        <x:f>MIN(LOG10(1+'Queries'!C135)/'Rules'!$B$13,1)</x:f>
        <x:v>0.69897000433602</x:v>
      </x:c>
      <x:c r="F135" s="16" t="n">
        <x:f>IF(AND('Queries'!E135&lt;='Rules'!$B$15,'Queries'!C135&gt;='Rules'!$B$14,'Queries'!D135&lt;'Rules'!$B$16),1,0)</x:f>
        <x:v>0</x:v>
      </x:c>
      <x:c r="G135" s="16" t="n">
        <x:v>1</x:v>
      </x:c>
      <x:c r="H135" s="16" t="n">
        <x:v>1</x:v>
      </x:c>
      <x:c r="I135" s="16" t="n">
        <x:f>ROUND((B135*'Rules'!$B$6+C135/'Rules'!$B$12*'Rules'!$B$7+D135*'Rules'!$B$8+E135*'Rules'!$B$9+F135*'Rules'!$B$10+G135*'Rules'!$B$11)*H135,1)</x:f>
        <x:v>79.5</x:v>
      </x:c>
      <x:c r="J135" s="18" t="n">
        <x:f>'Queries'!C135*'Queries'!E135</x:f>
        <x:v>3443.48</x:v>
      </x:c>
    </x:row>
    <x:row r="136" ht="32" customHeight="1">
      <x:c r="A136" s="6" t="str">
        <x:v>car steering repair</x:v>
      </x:c>
      <x:c r="B136" s="16" t="n">
        <x:v>0.8</x:v>
      </x:c>
      <x:c r="C136" s="16" t="n">
        <x:v>3</x:v>
      </x:c>
      <x:c r="D136" s="16" t="n">
        <x:f>IF('Queries'!E136&lt;='Rules'!$B$17,'Rules'!$B$21,IF('Queries'!E136&lt;='Rules'!$B$18,'Rules'!$B$22,IF('Queries'!E136&lt;='Rules'!$B$19,'Rules'!$B$23,IF('Queries'!E136&lt;='Rules'!$B$20,'Rules'!$B$24,'Rules'!$B$25))))</x:f>
        <x:v>1</x:v>
      </x:c>
      <x:c r="E136" s="16" t="n">
        <x:f>MIN(LOG10(1+'Queries'!C136)/'Rules'!$B$13,1)</x:f>
        <x:v>0.6942617901054833</x:v>
      </x:c>
      <x:c r="F136" s="16" t="n">
        <x:f>IF(AND('Queries'!E136&lt;='Rules'!$B$15,'Queries'!C136&gt;='Rules'!$B$14,'Queries'!D136&lt;'Rules'!$B$16),1,0)</x:f>
        <x:v>0</x:v>
      </x:c>
      <x:c r="G136" s="16" t="n">
        <x:v>1</x:v>
      </x:c>
      <x:c r="H136" s="16" t="n">
        <x:v>1</x:v>
      </x:c>
      <x:c r="I136" s="16" t="n">
        <x:f>ROUND((B136*'Rules'!$B$6+C136/'Rules'!$B$12*'Rules'!$B$7+D136*'Rules'!$B$8+E136*'Rules'!$B$9+F136*'Rules'!$B$10+G136*'Rules'!$B$11)*H136,1)</x:f>
        <x:v>73.9</x:v>
      </x:c>
      <x:c r="J136" s="18" t="n">
        <x:f>'Queries'!C136*'Queries'!E136</x:f>
        <x:v>1738.8</x:v>
      </x:c>
    </x:row>
    <x:row r="137" ht="32" customHeight="1">
      <x:c r="A137" s="6" t="str">
        <x:v>mercedes repair garage in dubai</x:v>
      </x:c>
      <x:c r="B137" s="16" t="n">
        <x:v>1</x:v>
      </x:c>
      <x:c r="C137" s="16" t="n">
        <x:v>5</x:v>
      </x:c>
      <x:c r="D137" s="16" t="n">
        <x:f>IF('Queries'!E137&lt;='Rules'!$B$17,'Rules'!$B$21,IF('Queries'!E137&lt;='Rules'!$B$18,'Rules'!$B$22,IF('Queries'!E137&lt;='Rules'!$B$19,'Rules'!$B$23,IF('Queries'!E137&lt;='Rules'!$B$20,'Rules'!$B$24,'Rules'!$B$25))))</x:f>
        <x:v>0.7</x:v>
      </x:c>
      <x:c r="E137" s="16" t="n">
        <x:f>MIN(LOG10(1+'Queries'!C137)/'Rules'!$B$13,1)</x:f>
        <x:v>0.6930604153492066</x:v>
      </x:c>
      <x:c r="F137" s="16" t="n">
        <x:f>IF(AND('Queries'!E137&lt;='Rules'!$B$15,'Queries'!C137&gt;='Rules'!$B$14,'Queries'!D137&lt;'Rules'!$B$16),1,0)</x:f>
        <x:v>0</x:v>
      </x:c>
      <x:c r="G137" s="16" t="n">
        <x:v>1</x:v>
      </x:c>
      <x:c r="H137" s="16" t="n">
        <x:v>1</x:v>
      </x:c>
      <x:c r="I137" s="16" t="n">
        <x:f>ROUND((B137*'Rules'!$B$6+C137/'Rules'!$B$12*'Rules'!$B$7+D137*'Rules'!$B$8+E137*'Rules'!$B$9+F137*'Rules'!$B$10+G137*'Rules'!$B$11)*H137,1)</x:f>
        <x:v>79.4</x:v>
      </x:c>
      <x:c r="J137" s="18" t="n">
        <x:f>'Queries'!C137*'Queries'!E137</x:f>
        <x:v>2020.6200000000001</x:v>
      </x:c>
    </x:row>
    <x:row r="138" ht="32" customHeight="1">
      <x:c r="A138" s="6" t="str">
        <x:v>car paint protection coating</x:v>
      </x:c>
      <x:c r="B138" s="16" t="n">
        <x:v>0.8</x:v>
      </x:c>
      <x:c r="C138" s="16" t="n">
        <x:v>5</x:v>
      </x:c>
      <x:c r="D138" s="16" t="n">
        <x:f>IF('Queries'!E138&lt;='Rules'!$B$17,'Rules'!$B$21,IF('Queries'!E138&lt;='Rules'!$B$18,'Rules'!$B$22,IF('Queries'!E138&lt;='Rules'!$B$19,'Rules'!$B$23,IF('Queries'!E138&lt;='Rules'!$B$20,'Rules'!$B$24,'Rules'!$B$25))))</x:f>
        <x:v>0.4</x:v>
      </x:c>
      <x:c r="E138" s="16" t="n">
        <x:f>MIN(LOG10(1+'Queries'!C138)/'Rules'!$B$13,1)</x:f>
        <x:v>0.6930604153492066</x:v>
      </x:c>
      <x:c r="F138" s="16" t="n">
        <x:f>IF(AND('Queries'!E138&lt;='Rules'!$B$15,'Queries'!C138&gt;='Rules'!$B$14,'Queries'!D138&lt;'Rules'!$B$16),1,0)</x:f>
        <x:v>0</x:v>
      </x:c>
      <x:c r="G138" s="16" t="n">
        <x:v>1</x:v>
      </x:c>
      <x:c r="H138" s="16" t="n">
        <x:v>1</x:v>
      </x:c>
      <x:c r="I138" s="16" t="n">
        <x:f>ROUND((B138*'Rules'!$B$6+C138/'Rules'!$B$12*'Rules'!$B$7+D138*'Rules'!$B$8+E138*'Rules'!$B$9+F138*'Rules'!$B$10+G138*'Rules'!$B$11)*H138,1)</x:f>
        <x:v>66.9</x:v>
      </x:c>
      <x:c r="J138" s="18" t="n">
        <x:f>'Queries'!C138*'Queries'!E138</x:f>
        <x:v>3662.82</x:v>
      </x:c>
    </x:row>
    <x:row r="139" ht="32" customHeight="1">
      <x:c r="A139" s="6" t="str">
        <x:v>bentley service dubai</x:v>
      </x:c>
      <x:c r="B139" s="16" t="n">
        <x:v>1</x:v>
      </x:c>
      <x:c r="C139" s="16" t="n">
        <x:v>5</x:v>
      </x:c>
      <x:c r="D139" s="16" t="n">
        <x:f>IF('Queries'!E139&lt;='Rules'!$B$17,'Rules'!$B$21,IF('Queries'!E139&lt;='Rules'!$B$18,'Rules'!$B$22,IF('Queries'!E139&lt;='Rules'!$B$19,'Rules'!$B$23,IF('Queries'!E139&lt;='Rules'!$B$20,'Rules'!$B$24,'Rules'!$B$25))))</x:f>
        <x:v>0.15</x:v>
      </x:c>
      <x:c r="E139" s="16" t="n">
        <x:f>MIN(LOG10(1+'Queries'!C139)/'Rules'!$B$13,1)</x:f>
        <x:v>0.6930604153492066</x:v>
      </x:c>
      <x:c r="F139" s="16" t="n">
        <x:f>IF(AND('Queries'!E139&lt;='Rules'!$B$15,'Queries'!C139&gt;='Rules'!$B$14,'Queries'!D139&lt;'Rules'!$B$16),1,0)</x:f>
        <x:v>0</x:v>
      </x:c>
      <x:c r="G139" s="16" t="n">
        <x:v>1</x:v>
      </x:c>
      <x:c r="H139" s="16" t="n">
        <x:v>1</x:v>
      </x:c>
      <x:c r="I139" s="16" t="n">
        <x:f>ROUND((B139*'Rules'!$B$6+C139/'Rules'!$B$12*'Rules'!$B$7+D139*'Rules'!$B$8+E139*'Rules'!$B$9+F139*'Rules'!$B$10+G139*'Rules'!$B$11)*H139,1)</x:f>
        <x:v>65.7</x:v>
      </x:c>
      <x:c r="J139" s="18" t="n">
        <x:f>'Queries'!C139*'Queries'!E139</x:f>
        <x:v>5018.2300000000005</x:v>
      </x:c>
    </x:row>
    <x:row r="140" ht="32" customHeight="1">
      <x:c r="A140" s="6" t="str">
        <x:v>mercedes car repair dubai</x:v>
      </x:c>
      <x:c r="B140" s="16" t="n">
        <x:v>1</x:v>
      </x:c>
      <x:c r="C140" s="16" t="n">
        <x:v>5</x:v>
      </x:c>
      <x:c r="D140" s="16" t="n">
        <x:f>IF('Queries'!E140&lt;='Rules'!$B$17,'Rules'!$B$21,IF('Queries'!E140&lt;='Rules'!$B$18,'Rules'!$B$22,IF('Queries'!E140&lt;='Rules'!$B$19,'Rules'!$B$23,IF('Queries'!E140&lt;='Rules'!$B$20,'Rules'!$B$24,'Rules'!$B$25))))</x:f>
        <x:v>1</x:v>
      </x:c>
      <x:c r="E140" s="16" t="n">
        <x:f>MIN(LOG10(1+'Queries'!C140)/'Rules'!$B$13,1)</x:f>
        <x:v>0.6918489871308434</x:v>
      </x:c>
      <x:c r="F140" s="16" t="n">
        <x:f>IF(AND('Queries'!E140&lt;='Rules'!$B$15,'Queries'!C140&gt;='Rules'!$B$14,'Queries'!D140&lt;'Rules'!$B$16),1,0)</x:f>
        <x:v>1</x:v>
      </x:c>
      <x:c r="G140" s="16" t="n">
        <x:v>1</x:v>
      </x:c>
      <x:c r="H140" s="16" t="n">
        <x:v>1</x:v>
      </x:c>
      <x:c r="I140" s="16" t="n">
        <x:f>ROUND((B140*'Rules'!$B$6+C140/'Rules'!$B$12*'Rules'!$B$7+D140*'Rules'!$B$8+E140*'Rules'!$B$9+F140*'Rules'!$B$10+G140*'Rules'!$B$11)*H140,1)</x:f>
        <x:v>96.9</x:v>
      </x:c>
      <x:c r="J140" s="18" t="n">
        <x:f>'Queries'!C140*'Queries'!E140</x:f>
        <x:v>1057.2800000000002</x:v>
      </x:c>
    </x:row>
    <x:row r="141" ht="32" customHeight="1">
      <x:c r="A141" s="6" t="str">
        <x:v>mclaren engine repair dubai</x:v>
      </x:c>
      <x:c r="B141" s="16" t="n">
        <x:v>1</x:v>
      </x:c>
      <x:c r="C141" s="16" t="n">
        <x:v>5</x:v>
      </x:c>
      <x:c r="D141" s="16" t="n">
        <x:f>IF('Queries'!E141&lt;='Rules'!$B$17,'Rules'!$B$21,IF('Queries'!E141&lt;='Rules'!$B$18,'Rules'!$B$22,IF('Queries'!E141&lt;='Rules'!$B$19,'Rules'!$B$23,IF('Queries'!E141&lt;='Rules'!$B$20,'Rules'!$B$24,'Rules'!$B$25))))</x:f>
        <x:v>0.7</x:v>
      </x:c>
      <x:c r="E141" s="16" t="n">
        <x:f>MIN(LOG10(1+'Queries'!C141)/'Rules'!$B$13,1)</x:f>
        <x:v>0.6918489871308434</x:v>
      </x:c>
      <x:c r="F141" s="16" t="n">
        <x:f>IF(AND('Queries'!E141&lt;='Rules'!$B$15,'Queries'!C141&gt;='Rules'!$B$14,'Queries'!D141&lt;'Rules'!$B$16),1,0)</x:f>
        <x:v>0</x:v>
      </x:c>
      <x:c r="G141" s="16" t="n">
        <x:v>1</x:v>
      </x:c>
      <x:c r="H141" s="16" t="n">
        <x:v>1</x:v>
      </x:c>
      <x:c r="I141" s="16" t="n">
        <x:f>ROUND((B141*'Rules'!$B$6+C141/'Rules'!$B$12*'Rules'!$B$7+D141*'Rules'!$B$8+E141*'Rules'!$B$9+F141*'Rules'!$B$10+G141*'Rules'!$B$11)*H141,1)</x:f>
        <x:v>79.4</x:v>
      </x:c>
      <x:c r="J141" s="18" t="n">
        <x:f>'Queries'!C141*'Queries'!E141</x:f>
        <x:v>2301</x:v>
      </x:c>
    </x:row>
    <x:row r="142" ht="32" customHeight="1">
      <x:c r="A142" s="6" t="str">
        <x:v>lamborghini service center dubai</x:v>
      </x:c>
      <x:c r="B142" s="16" t="n">
        <x:v>1</x:v>
      </x:c>
      <x:c r="C142" s="16" t="n">
        <x:v>5</x:v>
      </x:c>
      <x:c r="D142" s="16" t="n">
        <x:f>IF('Queries'!E142&lt;='Rules'!$B$17,'Rules'!$B$21,IF('Queries'!E142&lt;='Rules'!$B$18,'Rules'!$B$22,IF('Queries'!E142&lt;='Rules'!$B$19,'Rules'!$B$23,IF('Queries'!E142&lt;='Rules'!$B$20,'Rules'!$B$24,'Rules'!$B$25))))</x:f>
        <x:v>0.7</x:v>
      </x:c>
      <x:c r="E142" s="16" t="n">
        <x:f>MIN(LOG10(1+'Queries'!C142)/'Rules'!$B$13,1)</x:f>
        <x:v>0.6918489871308434</x:v>
      </x:c>
      <x:c r="F142" s="16" t="n">
        <x:f>IF(AND('Queries'!E142&lt;='Rules'!$B$15,'Queries'!C142&gt;='Rules'!$B$14,'Queries'!D142&lt;'Rules'!$B$16),1,0)</x:f>
        <x:v>0</x:v>
      </x:c>
      <x:c r="G142" s="16" t="n">
        <x:v>1</x:v>
      </x:c>
      <x:c r="H142" s="16" t="n">
        <x:v>1</x:v>
      </x:c>
      <x:c r="I142" s="16" t="n">
        <x:f>ROUND((B142*'Rules'!$B$6+C142/'Rules'!$B$12*'Rules'!$B$7+D142*'Rules'!$B$8+E142*'Rules'!$B$9+F142*'Rules'!$B$10+G142*'Rules'!$B$11)*H142,1)</x:f>
        <x:v>79.4</x:v>
      </x:c>
      <x:c r="J142" s="18" t="n">
        <x:f>'Queries'!C142*'Queries'!E142</x:f>
        <x:v>2781.26</x:v>
      </x:c>
    </x:row>
    <x:row r="143" ht="32" customHeight="1">
      <x:c r="A143" s="6" t="str">
        <x:v>mercedes suspension repair</x:v>
      </x:c>
      <x:c r="B143" s="16" t="n">
        <x:v>0.8</x:v>
      </x:c>
      <x:c r="C143" s="16" t="n">
        <x:v>5</x:v>
      </x:c>
      <x:c r="D143" s="16" t="n">
        <x:f>IF('Queries'!E143&lt;='Rules'!$B$17,'Rules'!$B$21,IF('Queries'!E143&lt;='Rules'!$B$18,'Rules'!$B$22,IF('Queries'!E143&lt;='Rules'!$B$19,'Rules'!$B$23,IF('Queries'!E143&lt;='Rules'!$B$20,'Rules'!$B$24,'Rules'!$B$25))))</x:f>
        <x:v>0.7</x:v>
      </x:c>
      <x:c r="E143" s="16" t="n">
        <x:f>MIN(LOG10(1+'Queries'!C143)/'Rules'!$B$13,1)</x:f>
        <x:v>0.6918489871308434</x:v>
      </x:c>
      <x:c r="F143" s="16" t="n">
        <x:f>IF(AND('Queries'!E143&lt;='Rules'!$B$15,'Queries'!C143&gt;='Rules'!$B$14,'Queries'!D143&lt;'Rules'!$B$16),1,0)</x:f>
        <x:v>0</x:v>
      </x:c>
      <x:c r="G143" s="16" t="n">
        <x:v>1</x:v>
      </x:c>
      <x:c r="H143" s="16" t="n">
        <x:v>1</x:v>
      </x:c>
      <x:c r="I143" s="16" t="n">
        <x:f>ROUND((B143*'Rules'!$B$6+C143/'Rules'!$B$12*'Rules'!$B$7+D143*'Rules'!$B$8+E143*'Rules'!$B$9+F143*'Rules'!$B$10+G143*'Rules'!$B$11)*H143,1)</x:f>
        <x:v>74.4</x:v>
      </x:c>
      <x:c r="J143" s="18" t="n">
        <x:f>'Queries'!C143*'Queries'!E143</x:f>
        <x:v>3532.92</x:v>
      </x:c>
    </x:row>
    <x:row r="144" ht="32" customHeight="1">
      <x:c r="A144" s="6" t="str">
        <x:v>mercedes oil change</x:v>
      </x:c>
      <x:c r="B144" s="16" t="n">
        <x:v>0.8</x:v>
      </x:c>
      <x:c r="C144" s="16" t="n">
        <x:v>5</x:v>
      </x:c>
      <x:c r="D144" s="16" t="n">
        <x:f>IF('Queries'!E144&lt;='Rules'!$B$17,'Rules'!$B$21,IF('Queries'!E144&lt;='Rules'!$B$18,'Rules'!$B$22,IF('Queries'!E144&lt;='Rules'!$B$19,'Rules'!$B$23,IF('Queries'!E144&lt;='Rules'!$B$20,'Rules'!$B$24,'Rules'!$B$25))))</x:f>
        <x:v>0.7</x:v>
      </x:c>
      <x:c r="E144" s="16" t="n">
        <x:f>MIN(LOG10(1+'Queries'!C144)/'Rules'!$B$13,1)</x:f>
        <x:v>0.68939528724872</x:v>
      </x:c>
      <x:c r="F144" s="16" t="n">
        <x:f>IF(AND('Queries'!E144&lt;='Rules'!$B$15,'Queries'!C144&gt;='Rules'!$B$14,'Queries'!D144&lt;'Rules'!$B$16),1,0)</x:f>
        <x:v>0</x:v>
      </x:c>
      <x:c r="G144" s="16" t="n">
        <x:v>1</x:v>
      </x:c>
      <x:c r="H144" s="16" t="n">
        <x:v>1</x:v>
      </x:c>
      <x:c r="I144" s="16" t="n">
        <x:f>ROUND((B144*'Rules'!$B$6+C144/'Rules'!$B$12*'Rules'!$B$7+D144*'Rules'!$B$8+E144*'Rules'!$B$9+F144*'Rules'!$B$10+G144*'Rules'!$B$11)*H144,1)</x:f>
        <x:v>74.4</x:v>
      </x:c>
      <x:c r="J144" s="18" t="n">
        <x:f>'Queries'!C144*'Queries'!E144</x:f>
        <x:v>2217.92</x:v>
      </x:c>
    </x:row>
    <x:row r="145" ht="32" customHeight="1">
      <x:c r="A145" s="6" t="str">
        <x:v>car ac repair dubai</x:v>
      </x:c>
      <x:c r="B145" s="16" t="n">
        <x:v>1</x:v>
      </x:c>
      <x:c r="C145" s="16" t="n">
        <x:v>3</x:v>
      </x:c>
      <x:c r="D145" s="16" t="n">
        <x:f>IF('Queries'!E145&lt;='Rules'!$B$17,'Rules'!$B$21,IF('Queries'!E145&lt;='Rules'!$B$18,'Rules'!$B$22,IF('Queries'!E145&lt;='Rules'!$B$19,'Rules'!$B$23,IF('Queries'!E145&lt;='Rules'!$B$20,'Rules'!$B$24,'Rules'!$B$25))))</x:f>
        <x:v>0.7</x:v>
      </x:c>
      <x:c r="E145" s="16" t="n">
        <x:f>MIN(LOG10(1+'Queries'!C145)/'Rules'!$B$13,1)</x:f>
        <x:v>0.6881526630756399</x:v>
      </x:c>
      <x:c r="F145" s="16" t="n">
        <x:f>IF(AND('Queries'!E145&lt;='Rules'!$B$15,'Queries'!C145&gt;='Rules'!$B$14,'Queries'!D145&lt;'Rules'!$B$16),1,0)</x:f>
        <x:v>0</x:v>
      </x:c>
      <x:c r="G145" s="16" t="n">
        <x:v>1</x:v>
      </x:c>
      <x:c r="H145" s="16" t="n">
        <x:v>1</x:v>
      </x:c>
      <x:c r="I145" s="16" t="n">
        <x:f>ROUND((B145*'Rules'!$B$6+C145/'Rules'!$B$12*'Rules'!$B$7+D145*'Rules'!$B$8+E145*'Rules'!$B$9+F145*'Rules'!$B$10+G145*'Rules'!$B$11)*H145,1)</x:f>
        <x:v>71.4</x:v>
      </x:c>
      <x:c r="J145" s="18" t="n">
        <x:f>'Queries'!C145*'Queries'!E145</x:f>
        <x:v>3410.9</x:v>
      </x:c>
    </x:row>
    <x:row r="146" ht="32" customHeight="1">
      <x:c r="A146" s="6" t="str">
        <x:v>mercedes specialist</x:v>
      </x:c>
      <x:c r="B146" s="16" t="n">
        <x:v>0.8</x:v>
      </x:c>
      <x:c r="C146" s="16" t="n">
        <x:v>5</x:v>
      </x:c>
      <x:c r="D146" s="16" t="n">
        <x:f>IF('Queries'!E146&lt;='Rules'!$B$17,'Rules'!$B$21,IF('Queries'!E146&lt;='Rules'!$B$18,'Rules'!$B$22,IF('Queries'!E146&lt;='Rules'!$B$19,'Rules'!$B$23,IF('Queries'!E146&lt;='Rules'!$B$20,'Rules'!$B$24,'Rules'!$B$25))))</x:f>
        <x:v>1</x:v>
      </x:c>
      <x:c r="E146" s="16" t="n">
        <x:f>MIN(LOG10(1+'Queries'!C146)/'Rules'!$B$13,1)</x:f>
        <x:v>0.68689928011787</x:v>
      </x:c>
      <x:c r="F146" s="16" t="n">
        <x:f>IF(AND('Queries'!E146&lt;='Rules'!$B$15,'Queries'!C146&gt;='Rules'!$B$14,'Queries'!D146&lt;'Rules'!$B$16),1,0)</x:f>
        <x:v>0</x:v>
      </x:c>
      <x:c r="G146" s="16" t="n">
        <x:v>1</x:v>
      </x:c>
      <x:c r="H146" s="16" t="n">
        <x:v>1</x:v>
      </x:c>
      <x:c r="I146" s="16" t="n">
        <x:f>ROUND((B146*'Rules'!$B$6+C146/'Rules'!$B$12*'Rules'!$B$7+D146*'Rules'!$B$8+E146*'Rules'!$B$9+F146*'Rules'!$B$10+G146*'Rules'!$B$11)*H146,1)</x:f>
        <x:v>81.9</x:v>
      </x:c>
      <x:c r="J146" s="18" t="n">
        <x:f>'Queries'!C146*'Queries'!E146</x:f>
        <x:v>1311</x:v>
      </x:c>
    </x:row>
    <x:row r="147" ht="32" customHeight="1">
      <x:c r="A147" s="6" t="str">
        <x:v>lamborghini workshop dubai</x:v>
      </x:c>
      <x:c r="B147" s="16" t="n">
        <x:v>1</x:v>
      </x:c>
      <x:c r="C147" s="16" t="n">
        <x:v>5</x:v>
      </x:c>
      <x:c r="D147" s="16" t="n">
        <x:f>IF('Queries'!E147&lt;='Rules'!$B$17,'Rules'!$B$21,IF('Queries'!E147&lt;='Rules'!$B$18,'Rules'!$B$22,IF('Queries'!E147&lt;='Rules'!$B$19,'Rules'!$B$23,IF('Queries'!E147&lt;='Rules'!$B$20,'Rules'!$B$24,'Rules'!$B$25))))</x:f>
        <x:v>0.7</x:v>
      </x:c>
      <x:c r="E147" s="16" t="n">
        <x:f>MIN(LOG10(1+'Queries'!C147)/'Rules'!$B$13,1)</x:f>
        <x:v>0.68689928011787</x:v>
      </x:c>
      <x:c r="F147" s="16" t="n">
        <x:f>IF(AND('Queries'!E147&lt;='Rules'!$B$15,'Queries'!C147&gt;='Rules'!$B$14,'Queries'!D147&lt;'Rules'!$B$16),1,0)</x:f>
        <x:v>0</x:v>
      </x:c>
      <x:c r="G147" s="16" t="n">
        <x:v>1</x:v>
      </x:c>
      <x:c r="H147" s="16" t="n">
        <x:v>1</x:v>
      </x:c>
      <x:c r="I147" s="16" t="n">
        <x:f>ROUND((B147*'Rules'!$B$6+C147/'Rules'!$B$12*'Rules'!$B$7+D147*'Rules'!$B$8+E147*'Rules'!$B$9+F147*'Rules'!$B$10+G147*'Rules'!$B$11)*H147,1)</x:f>
        <x:v>79.4</x:v>
      </x:c>
      <x:c r="J147" s="18" t="n">
        <x:f>'Queries'!C147*'Queries'!E147</x:f>
        <x:v>1846.8</x:v>
      </x:c>
    </x:row>
    <x:row r="148" ht="32" customHeight="1">
      <x:c r="A148" s="6" t="str">
        <x:v>range rover repair dubai</x:v>
      </x:c>
      <x:c r="B148" s="16" t="n">
        <x:v>1</x:v>
      </x:c>
      <x:c r="C148" s="16" t="n">
        <x:v>5</x:v>
      </x:c>
      <x:c r="D148" s="16" t="n">
        <x:f>IF('Queries'!E148&lt;='Rules'!$B$17,'Rules'!$B$21,IF('Queries'!E148&lt;='Rules'!$B$18,'Rules'!$B$22,IF('Queries'!E148&lt;='Rules'!$B$19,'Rules'!$B$23,IF('Queries'!E148&lt;='Rules'!$B$20,'Rules'!$B$24,'Rules'!$B$25))))</x:f>
        <x:v>0.4</x:v>
      </x:c>
      <x:c r="E148" s="16" t="n">
        <x:f>MIN(LOG10(1+'Queries'!C148)/'Rules'!$B$13,1)</x:f>
        <x:v>0.68689928011787</x:v>
      </x:c>
      <x:c r="F148" s="16" t="n">
        <x:f>IF(AND('Queries'!E148&lt;='Rules'!$B$15,'Queries'!C148&gt;='Rules'!$B$14,'Queries'!D148&lt;'Rules'!$B$16),1,0)</x:f>
        <x:v>0</x:v>
      </x:c>
      <x:c r="G148" s="16" t="n">
        <x:v>1</x:v>
      </x:c>
      <x:c r="H148" s="16" t="n">
        <x:v>1</x:v>
      </x:c>
      <x:c r="I148" s="16" t="n">
        <x:f>ROUND((B148*'Rules'!$B$6+C148/'Rules'!$B$12*'Rules'!$B$7+D148*'Rules'!$B$8+E148*'Rules'!$B$9+F148*'Rules'!$B$10+G148*'Rules'!$B$11)*H148,1)</x:f>
        <x:v>71.9</x:v>
      </x:c>
      <x:c r="J148" s="18" t="n">
        <x:f>'Queries'!C148*'Queries'!E148</x:f>
        <x:v>4213.4400000000005</x:v>
      </x:c>
    </x:row>
    <x:row r="149" ht="32" customHeight="1">
      <x:c r="A149" s="6" t="str">
        <x:v>cadillac srx screen replacement in dubai</x:v>
      </x:c>
      <x:c r="B149" s="16" t="n">
        <x:v>1</x:v>
      </x:c>
      <x:c r="C149" s="16" t="n">
        <x:v>1</x:v>
      </x:c>
      <x:c r="D149" s="16" t="n">
        <x:f>IF('Queries'!E149&lt;='Rules'!$B$17,'Rules'!$B$21,IF('Queries'!E149&lt;='Rules'!$B$18,'Rules'!$B$22,IF('Queries'!E149&lt;='Rules'!$B$19,'Rules'!$B$23,IF('Queries'!E149&lt;='Rules'!$B$20,'Rules'!$B$24,'Rules'!$B$25))))</x:f>
        <x:v>0.15</x:v>
      </x:c>
      <x:c r="E149" s="16" t="n">
        <x:f>MIN(LOG10(1+'Queries'!C149)/'Rules'!$B$13,1)</x:f>
        <x:v>0.68435948116114</x:v>
      </x:c>
      <x:c r="F149" s="16" t="n">
        <x:f>IF(AND('Queries'!E149&lt;='Rules'!$B$15,'Queries'!C149&gt;='Rules'!$B$14,'Queries'!D149&lt;'Rules'!$B$16),1,0)</x:f>
        <x:v>0</x:v>
      </x:c>
      <x:c r="G149" s="16" t="n">
        <x:v>0</x:v>
      </x:c>
      <x:c r="H149" s="16" t="n">
        <x:v>0.1</x:v>
      </x:c>
      <x:c r="I149" s="16" t="n">
        <x:f>ROUND((B149*'Rules'!$B$6+C149/'Rules'!$B$12*'Rules'!$B$7+D149*'Rules'!$B$8+E149*'Rules'!$B$9+F149*'Rules'!$B$10+G149*'Rules'!$B$11)*H149,1)</x:f>
        <x:v>4</x:v>
      </x:c>
      <x:c r="J149" s="18" t="n">
        <x:f>'Queries'!C149*'Queries'!E149</x:f>
        <x:v>6572.16</x:v>
      </x:c>
    </x:row>
    <x:row r="150" ht="32" customHeight="1">
      <x:c r="A150" s="6" t="str">
        <x:v>exhaust repair near me</x:v>
      </x:c>
      <x:c r="B150" s="16" t="n">
        <x:v>1</x:v>
      </x:c>
      <x:c r="C150" s="16" t="n">
        <x:v>3</x:v>
      </x:c>
      <x:c r="D150" s="16" t="n">
        <x:f>IF('Queries'!E150&lt;='Rules'!$B$17,'Rules'!$B$21,IF('Queries'!E150&lt;='Rules'!$B$18,'Rules'!$B$22,IF('Queries'!E150&lt;='Rules'!$B$19,'Rules'!$B$23,IF('Queries'!E150&lt;='Rules'!$B$20,'Rules'!$B$24,'Rules'!$B$25))))</x:f>
        <x:v>1</x:v>
      </x:c>
      <x:c r="E150" s="16" t="n">
        <x:f>MIN(LOG10(1+'Queries'!C150)/'Rules'!$B$13,1)</x:f>
        <x:v>0.6817743262622199</x:v>
      </x:c>
      <x:c r="F150" s="16" t="n">
        <x:f>IF(AND('Queries'!E150&lt;='Rules'!$B$15,'Queries'!C150&gt;='Rules'!$B$14,'Queries'!D150&lt;'Rules'!$B$16),1,0)</x:f>
        <x:v>1</x:v>
      </x:c>
      <x:c r="G150" s="16" t="n">
        <x:v>1</x:v>
      </x:c>
      <x:c r="H150" s="16" t="n">
        <x:v>1</x:v>
      </x:c>
      <x:c r="I150" s="16" t="n">
        <x:f>ROUND((B150*'Rules'!$B$6+C150/'Rules'!$B$12*'Rules'!$B$7+D150*'Rules'!$B$8+E150*'Rules'!$B$9+F150*'Rules'!$B$10+G150*'Rules'!$B$11)*H150,1)</x:f>
        <x:v>88.8</x:v>
      </x:c>
      <x:c r="J150" s="18" t="n">
        <x:f>'Queries'!C150*'Queries'!E150</x:f>
        <x:v>905.3000000000001</x:v>
      </x:c>
    </x:row>
    <x:row r="151" ht="32" customHeight="1">
      <x:c r="A151" s="6" t="str">
        <x:v>ferrari servicing</x:v>
      </x:c>
      <x:c r="B151" s="16" t="n">
        <x:v>0.8</x:v>
      </x:c>
      <x:c r="C151" s="16" t="n">
        <x:v>5</x:v>
      </x:c>
      <x:c r="D151" s="16" t="n">
        <x:f>IF('Queries'!E151&lt;='Rules'!$B$17,'Rules'!$B$21,IF('Queries'!E151&lt;='Rules'!$B$18,'Rules'!$B$22,IF('Queries'!E151&lt;='Rules'!$B$19,'Rules'!$B$23,IF('Queries'!E151&lt;='Rules'!$B$20,'Rules'!$B$24,'Rules'!$B$25))))</x:f>
        <x:v>0.7</x:v>
      </x:c>
      <x:c r="E151" s="16" t="n">
        <x:f>MIN(LOG10(1+'Queries'!C151)/'Rules'!$B$13,1)</x:f>
        <x:v>0.6817743262622199</x:v>
      </x:c>
      <x:c r="F151" s="16" t="n">
        <x:f>IF(AND('Queries'!E151&lt;='Rules'!$B$15,'Queries'!C151&gt;='Rules'!$B$14,'Queries'!D151&lt;'Rules'!$B$16),1,0)</x:f>
        <x:v>0</x:v>
      </x:c>
      <x:c r="G151" s="16" t="n">
        <x:v>1</x:v>
      </x:c>
      <x:c r="H151" s="16" t="n">
        <x:v>1</x:v>
      </x:c>
      <x:c r="I151" s="16" t="n">
        <x:f>ROUND((B151*'Rules'!$B$6+C151/'Rules'!$B$12*'Rules'!$B$7+D151*'Rules'!$B$8+E151*'Rules'!$B$9+F151*'Rules'!$B$10+G151*'Rules'!$B$11)*H151,1)</x:f>
        <x:v>74.3</x:v>
      </x:c>
      <x:c r="J151" s="18" t="n">
        <x:f>'Queries'!C151*'Queries'!E151</x:f>
        <x:v>1823.7999999999997</x:v>
      </x:c>
    </x:row>
    <x:row r="152" ht="32" customHeight="1">
      <x:c r="A152" s="6" t="str">
        <x:v>luxury car workshop</x:v>
      </x:c>
      <x:c r="B152" s="16" t="n">
        <x:v>0.8</x:v>
      </x:c>
      <x:c r="C152" s="16" t="n">
        <x:v>3</x:v>
      </x:c>
      <x:c r="D152" s="16" t="n">
        <x:f>IF('Queries'!E152&lt;='Rules'!$B$17,'Rules'!$B$21,IF('Queries'!E152&lt;='Rules'!$B$18,'Rules'!$B$22,IF('Queries'!E152&lt;='Rules'!$B$19,'Rules'!$B$23,IF('Queries'!E152&lt;='Rules'!$B$20,'Rules'!$B$24,'Rules'!$B$25))))</x:f>
        <x:v>0.7</x:v>
      </x:c>
      <x:c r="E152" s="16" t="n">
        <x:f>MIN(LOG10(1+'Queries'!C152)/'Rules'!$B$13,1)</x:f>
        <x:v>0.6817743262622199</x:v>
      </x:c>
      <x:c r="F152" s="16" t="n">
        <x:f>IF(AND('Queries'!E152&lt;='Rules'!$B$15,'Queries'!C152&gt;='Rules'!$B$14,'Queries'!D152&lt;'Rules'!$B$16),1,0)</x:f>
        <x:v>0</x:v>
      </x:c>
      <x:c r="G152" s="16" t="n">
        <x:v>1</x:v>
      </x:c>
      <x:c r="H152" s="16" t="n">
        <x:v>1</x:v>
      </x:c>
      <x:c r="I152" s="16" t="n">
        <x:f>ROUND((B152*'Rules'!$B$6+C152/'Rules'!$B$12*'Rules'!$B$7+D152*'Rules'!$B$8+E152*'Rules'!$B$9+F152*'Rules'!$B$10+G152*'Rules'!$B$11)*H152,1)</x:f>
        <x:v>66.3</x:v>
      </x:c>
      <x:c r="J152" s="18" t="n">
        <x:f>'Queries'!C152*'Queries'!E152</x:f>
        <x:v>2506.9</x:v>
      </x:c>
    </x:row>
    <x:row r="153" ht="32" customHeight="1">
      <x:c r="A153" s="6" t="str">
        <x:v>car diagnostics dip2</x:v>
      </x:c>
      <x:c r="B153" s="16" t="n">
        <x:v>1</x:v>
      </x:c>
      <x:c r="C153" s="16" t="n">
        <x:v>3</x:v>
      </x:c>
      <x:c r="D153" s="16" t="n">
        <x:f>IF('Queries'!E153&lt;='Rules'!$B$17,'Rules'!$B$21,IF('Queries'!E153&lt;='Rules'!$B$18,'Rules'!$B$22,IF('Queries'!E153&lt;='Rules'!$B$19,'Rules'!$B$23,IF('Queries'!E153&lt;='Rules'!$B$20,'Rules'!$B$24,'Rules'!$B$25))))</x:f>
        <x:v>0.4</x:v>
      </x:c>
      <x:c r="E153" s="16" t="n">
        <x:f>MIN(LOG10(1+'Queries'!C153)/'Rules'!$B$13,1)</x:f>
        <x:v>0.6791421659802066</x:v>
      </x:c>
      <x:c r="F153" s="16" t="n">
        <x:f>IF(AND('Queries'!E153&lt;='Rules'!$B$15,'Queries'!C153&gt;='Rules'!$B$14,'Queries'!D153&lt;'Rules'!$B$16),1,0)</x:f>
        <x:v>0</x:v>
      </x:c>
      <x:c r="G153" s="16" t="n">
        <x:v>1</x:v>
      </x:c>
      <x:c r="H153" s="16" t="n">
        <x:v>1</x:v>
      </x:c>
      <x:c r="I153" s="16" t="n">
        <x:f>ROUND((B153*'Rules'!$B$6+C153/'Rules'!$B$12*'Rules'!$B$7+D153*'Rules'!$B$8+E153*'Rules'!$B$9+F153*'Rules'!$B$10+G153*'Rules'!$B$11)*H153,1)</x:f>
        <x:v>63.8</x:v>
      </x:c>
      <x:c r="J153" s="18" t="n">
        <x:f>'Queries'!C153*'Queries'!E153</x:f>
        <x:v>3827.5199999999995</x:v>
      </x:c>
    </x:row>
    <x:row r="154" ht="32" customHeight="1">
      <x:c r="A154" s="6" t="str">
        <x:v>fault code scanning dubai</x:v>
      </x:c>
      <x:c r="B154" s="16" t="n">
        <x:v>1</x:v>
      </x:c>
      <x:c r="C154" s="16" t="n">
        <x:v>3</x:v>
      </x:c>
      <x:c r="D154" s="16" t="n">
        <x:f>IF('Queries'!E154&lt;='Rules'!$B$17,'Rules'!$B$21,IF('Queries'!E154&lt;='Rules'!$B$18,'Rules'!$B$22,IF('Queries'!E154&lt;='Rules'!$B$19,'Rules'!$B$23,IF('Queries'!E154&lt;='Rules'!$B$20,'Rules'!$B$24,'Rules'!$B$25))))</x:f>
        <x:v>0.7</x:v>
      </x:c>
      <x:c r="E154" s="16" t="n">
        <x:f>MIN(LOG10(1+'Queries'!C154)/'Rules'!$B$13,1)</x:f>
        <x:v>0.6778079184956499</x:v>
      </x:c>
      <x:c r="F154" s="16" t="n">
        <x:f>IF(AND('Queries'!E154&lt;='Rules'!$B$15,'Queries'!C154&gt;='Rules'!$B$14,'Queries'!D154&lt;'Rules'!$B$16),1,0)</x:f>
        <x:v>0</x:v>
      </x:c>
      <x:c r="G154" s="16" t="n">
        <x:v>1</x:v>
      </x:c>
      <x:c r="H154" s="16" t="n">
        <x:v>1</x:v>
      </x:c>
      <x:c r="I154" s="16" t="n">
        <x:f>ROUND((B154*'Rules'!$B$6+C154/'Rules'!$B$12*'Rules'!$B$7+D154*'Rules'!$B$8+E154*'Rules'!$B$9+F154*'Rules'!$B$10+G154*'Rules'!$B$11)*H154,1)</x:f>
        <x:v>71.3</x:v>
      </x:c>
      <x:c r="J154" s="18" t="n">
        <x:f>'Queries'!C154*'Queries'!E154</x:f>
        <x:v>2853.69</x:v>
      </x:c>
    </x:row>
    <x:row r="155" ht="32" customHeight="1">
      <x:c r="A155" s="6" t="str">
        <x:v>car exhaust cleaning services</x:v>
      </x:c>
      <x:c r="B155" s="16" t="n">
        <x:v>0.8</x:v>
      </x:c>
      <x:c r="C155" s="16" t="n">
        <x:v>3</x:v>
      </x:c>
      <x:c r="D155" s="16" t="n">
        <x:f>IF('Queries'!E155&lt;='Rules'!$B$17,'Rules'!$B$21,IF('Queries'!E155&lt;='Rules'!$B$18,'Rules'!$B$22,IF('Queries'!E155&lt;='Rules'!$B$19,'Rules'!$B$23,IF('Queries'!E155&lt;='Rules'!$B$20,'Rules'!$B$24,'Rules'!$B$25))))</x:f>
        <x:v>0.7</x:v>
      </x:c>
      <x:c r="E155" s="16" t="n">
        <x:f>MIN(LOG10(1+'Queries'!C155)/'Rules'!$B$13,1)</x:f>
        <x:v>0.6764612592284034</x:v>
      </x:c>
      <x:c r="F155" s="16" t="n">
        <x:f>IF(AND('Queries'!E155&lt;='Rules'!$B$15,'Queries'!C155&gt;='Rules'!$B$14,'Queries'!D155&lt;'Rules'!$B$16),1,0)</x:f>
        <x:v>0</x:v>
      </x:c>
      <x:c r="G155" s="16" t="n">
        <x:v>1</x:v>
      </x:c>
      <x:c r="H155" s="16" t="n">
        <x:v>1</x:v>
      </x:c>
      <x:c r="I155" s="16" t="n">
        <x:f>ROUND((B155*'Rules'!$B$6+C155/'Rules'!$B$12*'Rules'!$B$7+D155*'Rules'!$B$8+E155*'Rules'!$B$9+F155*'Rules'!$B$10+G155*'Rules'!$B$11)*H155,1)</x:f>
        <x:v>66.3</x:v>
      </x:c>
      <x:c r="J155" s="18" t="n">
        <x:f>'Queries'!C155*'Queries'!E155</x:f>
        <x:v>1926.0200000000002</x:v>
      </x:c>
    </x:row>
    <x:row r="156" ht="32" customHeight="1">
      <x:c r="A156" s="6" t="str">
        <x:v>ride height adjustment dubai</x:v>
      </x:c>
      <x:c r="B156" s="16" t="n">
        <x:v>1</x:v>
      </x:c>
      <x:c r="C156" s="16" t="n">
        <x:v>3</x:v>
      </x:c>
      <x:c r="D156" s="16" t="n">
        <x:f>IF('Queries'!E156&lt;='Rules'!$B$17,'Rules'!$B$21,IF('Queries'!E156&lt;='Rules'!$B$18,'Rules'!$B$22,IF('Queries'!E156&lt;='Rules'!$B$19,'Rules'!$B$23,IF('Queries'!E156&lt;='Rules'!$B$20,'Rules'!$B$24,'Rules'!$B$25))))</x:f>
        <x:v>0.7</x:v>
      </x:c>
      <x:c r="E156" s="16" t="n">
        <x:f>MIN(LOG10(1+'Queries'!C156)/'Rules'!$B$13,1)</x:f>
        <x:v>0.6764612592284034</x:v>
      </x:c>
      <x:c r="F156" s="16" t="n">
        <x:f>IF(AND('Queries'!E156&lt;='Rules'!$B$15,'Queries'!C156&gt;='Rules'!$B$14,'Queries'!D156&lt;'Rules'!$B$16),1,0)</x:f>
        <x:v>0</x:v>
      </x:c>
      <x:c r="G156" s="16" t="n">
        <x:v>1</x:v>
      </x:c>
      <x:c r="H156" s="16" t="n">
        <x:v>1</x:v>
      </x:c>
      <x:c r="I156" s="16" t="n">
        <x:f>ROUND((B156*'Rules'!$B$6+C156/'Rules'!$B$12*'Rules'!$B$7+D156*'Rules'!$B$8+E156*'Rules'!$B$9+F156*'Rules'!$B$10+G156*'Rules'!$B$11)*H156,1)</x:f>
        <x:v>71.3</x:v>
      </x:c>
      <x:c r="J156" s="18" t="n">
        <x:f>'Queries'!C156*'Queries'!E156</x:f>
        <x:v>1986.4399999999998</x:v>
      </x:c>
    </x:row>
    <x:row r="157" ht="32" customHeight="1">
      <x:c r="A157" s="6" t="str">
        <x:v>porsche steering repair dubai</x:v>
      </x:c>
      <x:c r="B157" s="16" t="n">
        <x:v>1</x:v>
      </x:c>
      <x:c r="C157" s="16" t="n">
        <x:v>5</x:v>
      </x:c>
      <x:c r="D157" s="16" t="n">
        <x:f>IF('Queries'!E157&lt;='Rules'!$B$17,'Rules'!$B$21,IF('Queries'!E157&lt;='Rules'!$B$18,'Rules'!$B$22,IF('Queries'!E157&lt;='Rules'!$B$19,'Rules'!$B$23,IF('Queries'!E157&lt;='Rules'!$B$20,'Rules'!$B$24,'Rules'!$B$25))))</x:f>
        <x:v>1</x:v>
      </x:c>
      <x:c r="E157" s="16" t="n">
        <x:f>MIN(LOG10(1+'Queries'!C157)/'Rules'!$B$13,1)</x:f>
        <x:v>0.6751019550882567</x:v>
      </x:c>
      <x:c r="F157" s="16" t="n">
        <x:f>IF(AND('Queries'!E157&lt;='Rules'!$B$15,'Queries'!C157&gt;='Rules'!$B$14,'Queries'!D157&lt;'Rules'!$B$16),1,0)</x:f>
        <x:v>0</x:v>
      </x:c>
      <x:c r="G157" s="16" t="n">
        <x:v>1</x:v>
      </x:c>
      <x:c r="H157" s="16" t="n">
        <x:v>1</x:v>
      </x:c>
      <x:c r="I157" s="16" t="n">
        <x:f>ROUND((B157*'Rules'!$B$6+C157/'Rules'!$B$12*'Rules'!$B$7+D157*'Rules'!$B$8+E157*'Rules'!$B$9+F157*'Rules'!$B$10+G157*'Rules'!$B$11)*H157,1)</x:f>
        <x:v>86.8</x:v>
      </x:c>
      <x:c r="J157" s="18" t="n">
        <x:f>'Queries'!C157*'Queries'!E157</x:f>
        <x:v>1130.85</x:v>
      </x:c>
    </x:row>
    <x:row r="158" ht="32" customHeight="1">
      <x:c r="A158" s="6" t="str">
        <x:v>tire repair dubai</x:v>
      </x:c>
      <x:c r="B158" s="16" t="n">
        <x:v>1</x:v>
      </x:c>
      <x:c r="C158" s="16" t="n">
        <x:v>2</x:v>
      </x:c>
      <x:c r="D158" s="16" t="n">
        <x:f>IF('Queries'!E158&lt;='Rules'!$B$17,'Rules'!$B$21,IF('Queries'!E158&lt;='Rules'!$B$18,'Rules'!$B$22,IF('Queries'!E158&lt;='Rules'!$B$19,'Rules'!$B$23,IF('Queries'!E158&lt;='Rules'!$B$20,'Rules'!$B$24,'Rules'!$B$25))))</x:f>
        <x:v>0.7</x:v>
      </x:c>
      <x:c r="E158" s="16" t="n">
        <x:f>MIN(LOG10(1+'Queries'!C158)/'Rules'!$B$13,1)</x:f>
        <x:v>0.6751019550882567</x:v>
      </x:c>
      <x:c r="F158" s="16" t="n">
        <x:f>IF(AND('Queries'!E158&lt;='Rules'!$B$15,'Queries'!C158&gt;='Rules'!$B$14,'Queries'!D158&lt;'Rules'!$B$16),1,0)</x:f>
        <x:v>0</x:v>
      </x:c>
      <x:c r="G158" s="16" t="n">
        <x:v>1</x:v>
      </x:c>
      <x:c r="H158" s="16" t="n">
        <x:v>1</x:v>
      </x:c>
      <x:c r="I158" s="16" t="n">
        <x:f>ROUND((B158*'Rules'!$B$6+C158/'Rules'!$B$12*'Rules'!$B$7+D158*'Rules'!$B$8+E158*'Rules'!$B$9+F158*'Rules'!$B$10+G158*'Rules'!$B$11)*H158,1)</x:f>
        <x:v>67.3</x:v>
      </x:c>
      <x:c r="J158" s="18" t="n">
        <x:f>'Queries'!C158*'Queries'!E158</x:f>
        <x:v>2907.4500000000003</x:v>
      </x:c>
    </x:row>
    <x:row r="159" ht="32" customHeight="1">
      <x:c r="A159" s="6" t="str">
        <x:v>cadillac cue screen replacement in dubai</x:v>
      </x:c>
      <x:c r="B159" s="16" t="n">
        <x:v>1</x:v>
      </x:c>
      <x:c r="C159" s="16" t="n">
        <x:v>1</x:v>
      </x:c>
      <x:c r="D159" s="16" t="n">
        <x:f>IF('Queries'!E159&lt;='Rules'!$B$17,'Rules'!$B$21,IF('Queries'!E159&lt;='Rules'!$B$18,'Rules'!$B$22,IF('Queries'!E159&lt;='Rules'!$B$19,'Rules'!$B$23,IF('Queries'!E159&lt;='Rules'!$B$20,'Rules'!$B$24,'Rules'!$B$25))))</x:f>
        <x:v>0.15</x:v>
      </x:c>
      <x:c r="E159" s="16" t="n">
        <x:f>MIN(LOG10(1+'Queries'!C159)/'Rules'!$B$13,1)</x:f>
        <x:v>0.6751019550882567</x:v>
      </x:c>
      <x:c r="F159" s="16" t="n">
        <x:f>IF(AND('Queries'!E159&lt;='Rules'!$B$15,'Queries'!C159&gt;='Rules'!$B$14,'Queries'!D159&lt;'Rules'!$B$16),1,0)</x:f>
        <x:v>0</x:v>
      </x:c>
      <x:c r="G159" s="16" t="n">
        <x:v>0</x:v>
      </x:c>
      <x:c r="H159" s="16" t="n">
        <x:v>0.1</x:v>
      </x:c>
      <x:c r="I159" s="16" t="n">
        <x:f>ROUND((B159*'Rules'!$B$6+C159/'Rules'!$B$12*'Rules'!$B$7+D159*'Rules'!$B$8+E159*'Rules'!$B$9+F159*'Rules'!$B$10+G159*'Rules'!$B$11)*H159,1)</x:f>
        <x:v>4</x:v>
      </x:c>
      <x:c r="J159" s="18" t="n">
        <x:f>'Queries'!C159*'Queries'!E159</x:f>
        <x:v>5394.900000000001</x:v>
      </x:c>
    </x:row>
    <x:row r="160" ht="32" customHeight="1">
      <x:c r="A160" s="6" t="str">
        <x:v>car electrical services dubai</x:v>
      </x:c>
      <x:c r="B160" s="16" t="n">
        <x:v>1</x:v>
      </x:c>
      <x:c r="C160" s="16" t="n">
        <x:v>3</x:v>
      </x:c>
      <x:c r="D160" s="16" t="n">
        <x:f>IF('Queries'!E160&lt;='Rules'!$B$17,'Rules'!$B$21,IF('Queries'!E160&lt;='Rules'!$B$18,'Rules'!$B$22,IF('Queries'!E160&lt;='Rules'!$B$19,'Rules'!$B$23,IF('Queries'!E160&lt;='Rules'!$B$20,'Rules'!$B$24,'Rules'!$B$25))))</x:f>
        <x:v>0.15</x:v>
      </x:c>
      <x:c r="E160" s="16" t="n">
        <x:f>MIN(LOG10(1+'Queries'!C160)/'Rules'!$B$13,1)</x:f>
        <x:v>0.6751019550882567</x:v>
      </x:c>
      <x:c r="F160" s="16" t="n">
        <x:f>IF(AND('Queries'!E160&lt;='Rules'!$B$15,'Queries'!C160&gt;='Rules'!$B$14,'Queries'!D160&lt;'Rules'!$B$16),1,0)</x:f>
        <x:v>0</x:v>
      </x:c>
      <x:c r="G160" s="16" t="n">
        <x:v>1</x:v>
      </x:c>
      <x:c r="H160" s="16" t="n">
        <x:v>1</x:v>
      </x:c>
      <x:c r="I160" s="16" t="n">
        <x:f>ROUND((B160*'Rules'!$B$6+C160/'Rules'!$B$12*'Rules'!$B$7+D160*'Rules'!$B$8+E160*'Rules'!$B$9+F160*'Rules'!$B$10+G160*'Rules'!$B$11)*H160,1)</x:f>
        <x:v>57.5</x:v>
      </x:c>
      <x:c r="J160" s="18" t="n">
        <x:f>'Queries'!C160*'Queries'!E160</x:f>
        <x:v>7961.099999999999</x:v>
      </x:c>
    </x:row>
    <x:row r="161" ht="32" customHeight="1">
      <x:c r="A161" s="6" t="str">
        <x:v>luxury car oil change</x:v>
      </x:c>
      <x:c r="B161" s="16" t="n">
        <x:v>0.8</x:v>
      </x:c>
      <x:c r="C161" s="16" t="n">
        <x:v>3</x:v>
      </x:c>
      <x:c r="D161" s="16" t="n">
        <x:f>IF('Queries'!E161&lt;='Rules'!$B$17,'Rules'!$B$21,IF('Queries'!E161&lt;='Rules'!$B$18,'Rules'!$B$22,IF('Queries'!E161&lt;='Rules'!$B$19,'Rules'!$B$23,IF('Queries'!E161&lt;='Rules'!$B$20,'Rules'!$B$24,'Rules'!$B$25))))</x:f>
        <x:v>0.7</x:v>
      </x:c>
      <x:c r="E161" s="16" t="n">
        <x:f>MIN(LOG10(1+'Queries'!C161)/'Rules'!$B$13,1)</x:f>
        <x:v>0.6723444464329266</x:v>
      </x:c>
      <x:c r="F161" s="16" t="n">
        <x:f>IF(AND('Queries'!E161&lt;='Rules'!$B$15,'Queries'!C161&gt;='Rules'!$B$14,'Queries'!D161&lt;'Rules'!$B$16),1,0)</x:f>
        <x:v>0</x:v>
      </x:c>
      <x:c r="G161" s="16" t="n">
        <x:v>1</x:v>
      </x:c>
      <x:c r="H161" s="16" t="n">
        <x:v>1</x:v>
      </x:c>
      <x:c r="I161" s="16" t="n">
        <x:f>ROUND((B161*'Rules'!$B$6+C161/'Rules'!$B$12*'Rules'!$B$7+D161*'Rules'!$B$8+E161*'Rules'!$B$9+F161*'Rules'!$B$10+G161*'Rules'!$B$11)*H161,1)</x:f>
        <x:v>66.2</x:v>
      </x:c>
      <x:c r="J161" s="18" t="n">
        <x:f>'Queries'!C161*'Queries'!E161</x:f>
        <x:v>2326.77</x:v>
      </x:c>
    </x:row>
    <x:row r="162" ht="32" customHeight="1">
      <x:c r="A162" s="6" t="str">
        <x:v>cars workshop dubai</x:v>
      </x:c>
      <x:c r="B162" s="16" t="n">
        <x:v>1</x:v>
      </x:c>
      <x:c r="C162" s="16" t="n">
        <x:v>3</x:v>
      </x:c>
      <x:c r="D162" s="16" t="n">
        <x:f>IF('Queries'!E162&lt;='Rules'!$B$17,'Rules'!$B$21,IF('Queries'!E162&lt;='Rules'!$B$18,'Rules'!$B$22,IF('Queries'!E162&lt;='Rules'!$B$19,'Rules'!$B$23,IF('Queries'!E162&lt;='Rules'!$B$20,'Rules'!$B$24,'Rules'!$B$25))))</x:f>
        <x:v>0.4</x:v>
      </x:c>
      <x:c r="E162" s="16" t="n">
        <x:f>MIN(LOG10(1+'Queries'!C162)/'Rules'!$B$13,1)</x:f>
        <x:v>0.6723444464329266</x:v>
      </x:c>
      <x:c r="F162" s="16" t="n">
        <x:f>IF(AND('Queries'!E162&lt;='Rules'!$B$15,'Queries'!C162&gt;='Rules'!$B$14,'Queries'!D162&lt;'Rules'!$B$16),1,0)</x:f>
        <x:v>0</x:v>
      </x:c>
      <x:c r="G162" s="16" t="n">
        <x:v>1</x:v>
      </x:c>
      <x:c r="H162" s="16" t="n">
        <x:v>1</x:v>
      </x:c>
      <x:c r="I162" s="16" t="n">
        <x:f>ROUND((B162*'Rules'!$B$6+C162/'Rules'!$B$12*'Rules'!$B$7+D162*'Rules'!$B$8+E162*'Rules'!$B$9+F162*'Rules'!$B$10+G162*'Rules'!$B$11)*H162,1)</x:f>
        <x:v>63.7</x:v>
      </x:c>
      <x:c r="J162" s="18" t="n">
        <x:f>'Queries'!C162*'Queries'!E162</x:f>
        <x:v>3500.9700000000003</x:v>
      </x:c>
    </x:row>
    <x:row r="163" ht="32" customHeight="1">
      <x:c r="A163" s="6" t="str">
        <x:v>ferrari brake repair dubai</x:v>
      </x:c>
      <x:c r="B163" s="16" t="n">
        <x:v>1</x:v>
      </x:c>
      <x:c r="C163" s="16" t="n">
        <x:v>5</x:v>
      </x:c>
      <x:c r="D163" s="16" t="n">
        <x:f>IF('Queries'!E163&lt;='Rules'!$B$17,'Rules'!$B$21,IF('Queries'!E163&lt;='Rules'!$B$18,'Rules'!$B$22,IF('Queries'!E163&lt;='Rules'!$B$19,'Rules'!$B$23,IF('Queries'!E163&lt;='Rules'!$B$20,'Rules'!$B$24,'Rules'!$B$25))))</x:f>
        <x:v>0.4</x:v>
      </x:c>
      <x:c r="E163" s="16" t="n">
        <x:f>MIN(LOG10(1+'Queries'!C163)/'Rules'!$B$13,1)</x:f>
        <x:v>0.6723444464329266</x:v>
      </x:c>
      <x:c r="F163" s="16" t="n">
        <x:f>IF(AND('Queries'!E163&lt;='Rules'!$B$15,'Queries'!C163&gt;='Rules'!$B$14,'Queries'!D163&lt;'Rules'!$B$16),1,0)</x:f>
        <x:v>0</x:v>
      </x:c>
      <x:c r="G163" s="16" t="n">
        <x:v>1</x:v>
      </x:c>
      <x:c r="H163" s="16" t="n">
        <x:v>1</x:v>
      </x:c>
      <x:c r="I163" s="16" t="n">
        <x:f>ROUND((B163*'Rules'!$B$6+C163/'Rules'!$B$12*'Rules'!$B$7+D163*'Rules'!$B$8+E163*'Rules'!$B$9+F163*'Rules'!$B$10+G163*'Rules'!$B$11)*H163,1)</x:f>
        <x:v>71.7</x:v>
      </x:c>
      <x:c r="J163" s="18" t="n">
        <x:f>'Queries'!C163*'Queries'!E163</x:f>
        <x:v>3513.33</x:v>
      </x:c>
    </x:row>
    <x:row r="164" ht="32" customHeight="1">
      <x:c r="A164" s="6" t="str">
        <x:v>car oil change service dubai</x:v>
      </x:c>
      <x:c r="B164" s="16" t="n">
        <x:v>1</x:v>
      </x:c>
      <x:c r="C164" s="16" t="n">
        <x:v>3</x:v>
      </x:c>
      <x:c r="D164" s="16" t="n">
        <x:f>IF('Queries'!E164&lt;='Rules'!$B$17,'Rules'!$B$21,IF('Queries'!E164&lt;='Rules'!$B$18,'Rules'!$B$22,IF('Queries'!E164&lt;='Rules'!$B$19,'Rules'!$B$23,IF('Queries'!E164&lt;='Rules'!$B$20,'Rules'!$B$24,'Rules'!$B$25))))</x:f>
        <x:v>0.4</x:v>
      </x:c>
      <x:c r="E164" s="16" t="n">
        <x:f>MIN(LOG10(1+'Queries'!C164)/'Rules'!$B$13,1)</x:f>
        <x:v>0.6709457415683899</x:v>
      </x:c>
      <x:c r="F164" s="16" t="n">
        <x:f>IF(AND('Queries'!E164&lt;='Rules'!$B$15,'Queries'!C164&gt;='Rules'!$B$14,'Queries'!D164&lt;'Rules'!$B$16),1,0)</x:f>
        <x:v>0</x:v>
      </x:c>
      <x:c r="G164" s="16" t="n">
        <x:v>1</x:v>
      </x:c>
      <x:c r="H164" s="16" t="n">
        <x:v>1</x:v>
      </x:c>
      <x:c r="I164" s="16" t="n">
        <x:f>ROUND((B164*'Rules'!$B$6+C164/'Rules'!$B$12*'Rules'!$B$7+D164*'Rules'!$B$8+E164*'Rules'!$B$9+F164*'Rules'!$B$10+G164*'Rules'!$B$11)*H164,1)</x:f>
        <x:v>63.7</x:v>
      </x:c>
      <x:c r="J164" s="18" t="n">
        <x:f>'Queries'!C164*'Queries'!E164</x:f>
        <x:v>3928.02</x:v>
      </x:c>
    </x:row>
    <x:row r="165" ht="32" customHeight="1">
      <x:c r="A165" s="6" t="str">
        <x:v>mercedes battery replacement dubai</x:v>
      </x:c>
      <x:c r="B165" s="16" t="n">
        <x:v>1</x:v>
      </x:c>
      <x:c r="C165" s="16" t="n">
        <x:v>5</x:v>
      </x:c>
      <x:c r="D165" s="16" t="n">
        <x:f>IF('Queries'!E165&lt;='Rules'!$B$17,'Rules'!$B$21,IF('Queries'!E165&lt;='Rules'!$B$18,'Rules'!$B$22,IF('Queries'!E165&lt;='Rules'!$B$19,'Rules'!$B$23,IF('Queries'!E165&lt;='Rules'!$B$20,'Rules'!$B$24,'Rules'!$B$25))))</x:f>
        <x:v>0.7</x:v>
      </x:c>
      <x:c r="E165" s="16" t="n">
        <x:f>MIN(LOG10(1+'Queries'!C165)/'Rules'!$B$13,1)</x:f>
        <x:v>0.6695333905873068</x:v>
      </x:c>
      <x:c r="F165" s="16" t="n">
        <x:f>IF(AND('Queries'!E165&lt;='Rules'!$B$15,'Queries'!C165&gt;='Rules'!$B$14,'Queries'!D165&lt;'Rules'!$B$16),1,0)</x:f>
        <x:v>0</x:v>
      </x:c>
      <x:c r="G165" s="16" t="n">
        <x:v>1</x:v>
      </x:c>
      <x:c r="H165" s="16" t="n">
        <x:v>1</x:v>
      </x:c>
      <x:c r="I165" s="16" t="n">
        <x:f>ROUND((B165*'Rules'!$B$6+C165/'Rules'!$B$12*'Rules'!$B$7+D165*'Rules'!$B$8+E165*'Rules'!$B$9+F165*'Rules'!$B$10+G165*'Rules'!$B$11)*H165,1)</x:f>
        <x:v>79.2</x:v>
      </x:c>
      <x:c r="J165" s="18" t="n">
        <x:f>'Queries'!C165*'Queries'!E165</x:f>
        <x:v>2341.18</x:v>
      </x:c>
    </x:row>
    <x:row r="166" ht="32" customHeight="1">
      <x:c r="A166" s="6" t="str">
        <x:v>lamborghini service</x:v>
      </x:c>
      <x:c r="B166" s="16" t="n">
        <x:v>0.8</x:v>
      </x:c>
      <x:c r="C166" s="16" t="n">
        <x:v>5</x:v>
      </x:c>
      <x:c r="D166" s="16" t="n">
        <x:f>IF('Queries'!E166&lt;='Rules'!$B$17,'Rules'!$B$21,IF('Queries'!E166&lt;='Rules'!$B$18,'Rules'!$B$22,IF('Queries'!E166&lt;='Rules'!$B$19,'Rules'!$B$23,IF('Queries'!E166&lt;='Rules'!$B$20,'Rules'!$B$24,'Rules'!$B$25))))</x:f>
        <x:v>0.7</x:v>
      </x:c>
      <x:c r="E166" s="16" t="n">
        <x:f>MIN(LOG10(1+'Queries'!C166)/'Rules'!$B$13,1)</x:f>
        <x:v>0.6681071245942133</x:v>
      </x:c>
      <x:c r="F166" s="16" t="n">
        <x:f>IF(AND('Queries'!E166&lt;='Rules'!$B$15,'Queries'!C166&gt;='Rules'!$B$14,'Queries'!D166&lt;'Rules'!$B$16),1,0)</x:f>
        <x:v>0</x:v>
      </x:c>
      <x:c r="G166" s="16" t="n">
        <x:v>1</x:v>
      </x:c>
      <x:c r="H166" s="16" t="n">
        <x:v>1</x:v>
      </x:c>
      <x:c r="I166" s="16" t="n">
        <x:f>ROUND((B166*'Rules'!$B$6+C166/'Rules'!$B$12*'Rules'!$B$7+D166*'Rules'!$B$8+E166*'Rules'!$B$9+F166*'Rules'!$B$10+G166*'Rules'!$B$11)*H166,1)</x:f>
        <x:v>74.2</x:v>
      </x:c>
      <x:c r="J166" s="18" t="n">
        <x:f>'Queries'!C166*'Queries'!E166</x:f>
        <x:v>1910.0000000000002</x:v>
      </x:c>
    </x:row>
    <x:row r="167" ht="32" customHeight="1">
      <x:c r="A167" s="6" t="str">
        <x:v>chrysler oil change in dubai</x:v>
      </x:c>
      <x:c r="B167" s="16" t="n">
        <x:v>1</x:v>
      </x:c>
      <x:c r="C167" s="16" t="n">
        <x:v>3</x:v>
      </x:c>
      <x:c r="D167" s="16" t="n">
        <x:f>IF('Queries'!E167&lt;='Rules'!$B$17,'Rules'!$B$21,IF('Queries'!E167&lt;='Rules'!$B$18,'Rules'!$B$22,IF('Queries'!E167&lt;='Rules'!$B$19,'Rules'!$B$23,IF('Queries'!E167&lt;='Rules'!$B$20,'Rules'!$B$24,'Rules'!$B$25))))</x:f>
        <x:v>0.7</x:v>
      </x:c>
      <x:c r="E167" s="16" t="n">
        <x:f>MIN(LOG10(1+'Queries'!C167)/'Rules'!$B$13,1)</x:f>
        <x:v>0.6681071245942133</x:v>
      </x:c>
      <x:c r="F167" s="16" t="n">
        <x:f>IF(AND('Queries'!E167&lt;='Rules'!$B$15,'Queries'!C167&gt;='Rules'!$B$14,'Queries'!D167&lt;'Rules'!$B$16),1,0)</x:f>
        <x:v>0</x:v>
      </x:c>
      <x:c r="G167" s="16" t="n">
        <x:v>1</x:v>
      </x:c>
      <x:c r="H167" s="16" t="n">
        <x:v>1</x:v>
      </x:c>
      <x:c r="I167" s="16" t="n">
        <x:f>ROUND((B167*'Rules'!$B$6+C167/'Rules'!$B$12*'Rules'!$B$7+D167*'Rules'!$B$8+E167*'Rules'!$B$9+F167*'Rules'!$B$10+G167*'Rules'!$B$11)*H167,1)</x:f>
        <x:v>71.2</x:v>
      </x:c>
      <x:c r="J167" s="18" t="n">
        <x:f>'Queries'!C167*'Queries'!E167</x:f>
        <x:v>2737</x:v>
      </x:c>
    </x:row>
    <x:row r="168" ht="32" customHeight="1">
      <x:c r="A168" s="6" t="str">
        <x:v>mercedes servicing</x:v>
      </x:c>
      <x:c r="B168" s="16" t="n">
        <x:v>0.8</x:v>
      </x:c>
      <x:c r="C168" s="16" t="n">
        <x:v>5</x:v>
      </x:c>
      <x:c r="D168" s="16" t="n">
        <x:f>IF('Queries'!E168&lt;='Rules'!$B$17,'Rules'!$B$21,IF('Queries'!E168&lt;='Rules'!$B$18,'Rules'!$B$22,IF('Queries'!E168&lt;='Rules'!$B$19,'Rules'!$B$23,IF('Queries'!E168&lt;='Rules'!$B$20,'Rules'!$B$24,'Rules'!$B$25))))</x:f>
        <x:v>0.7</x:v>
      </x:c>
      <x:c r="E168" s="16" t="n">
        <x:f>MIN(LOG10(1+'Queries'!C168)/'Rules'!$B$13,1)</x:f>
        <x:v>0.6666666666666666</x:v>
      </x:c>
      <x:c r="F168" s="16" t="n">
        <x:f>IF(AND('Queries'!E168&lt;='Rules'!$B$15,'Queries'!C168&gt;='Rules'!$B$14,'Queries'!D168&lt;'Rules'!$B$16),1,0)</x:f>
        <x:v>0</x:v>
      </x:c>
      <x:c r="G168" s="16" t="n">
        <x:v>1</x:v>
      </x:c>
      <x:c r="H168" s="16" t="n">
        <x:v>1</x:v>
      </x:c>
      <x:c r="I168" s="16" t="n">
        <x:f>ROUND((B168*'Rules'!$B$6+C168/'Rules'!$B$12*'Rules'!$B$7+D168*'Rules'!$B$8+E168*'Rules'!$B$9+F168*'Rules'!$B$10+G168*'Rules'!$B$11)*H168,1)</x:f>
        <x:v>74.2</x:v>
      </x:c>
      <x:c r="J168" s="18" t="n">
        <x:f>'Queries'!C168*'Queries'!E168</x:f>
        <x:v>2797.7400000000002</x:v>
      </x:c>
    </x:row>
    <x:row r="169" ht="32" customHeight="1">
      <x:c r="A169" s="6" t="str">
        <x:v>bmw service</x:v>
      </x:c>
      <x:c r="B169" s="16" t="n">
        <x:v>0.8</x:v>
      </x:c>
      <x:c r="C169" s="16" t="n">
        <x:v>5</x:v>
      </x:c>
      <x:c r="D169" s="16" t="n">
        <x:f>IF('Queries'!E169&lt;='Rules'!$B$17,'Rules'!$B$21,IF('Queries'!E169&lt;='Rules'!$B$18,'Rules'!$B$22,IF('Queries'!E169&lt;='Rules'!$B$19,'Rules'!$B$23,IF('Queries'!E169&lt;='Rules'!$B$20,'Rules'!$B$24,'Rules'!$B$25))))</x:f>
        <x:v>0.7</x:v>
      </x:c>
      <x:c r="E169" s="16" t="n">
        <x:f>MIN(LOG10(1+'Queries'!C169)/'Rules'!$B$13,1)</x:f>
        <x:v>0.66374202523083</x:v>
      </x:c>
      <x:c r="F169" s="16" t="n">
        <x:f>IF(AND('Queries'!E169&lt;='Rules'!$B$15,'Queries'!C169&gt;='Rules'!$B$14,'Queries'!D169&lt;'Rules'!$B$16),1,0)</x:f>
        <x:v>0</x:v>
      </x:c>
      <x:c r="G169" s="16" t="n">
        <x:v>1</x:v>
      </x:c>
      <x:c r="H169" s="16" t="n">
        <x:v>1</x:v>
      </x:c>
      <x:c r="I169" s="16" t="n">
        <x:f>ROUND((B169*'Rules'!$B$6+C169/'Rules'!$B$12*'Rules'!$B$7+D169*'Rules'!$B$8+E169*'Rules'!$B$9+F169*'Rules'!$B$10+G169*'Rules'!$B$11)*H169,1)</x:f>
        <x:v>74.1</x:v>
      </x:c>
      <x:c r="J169" s="18" t="n">
        <x:f>'Queries'!C169*'Queries'!E169</x:f>
        <x:v>2176.6800000000003</x:v>
      </x:c>
    </x:row>
    <x:row r="170" ht="32" customHeight="1">
      <x:c r="A170" s="6" t="str">
        <x:v>gearbox repair dubai</x:v>
      </x:c>
      <x:c r="B170" s="16" t="n">
        <x:v>1</x:v>
      </x:c>
      <x:c r="C170" s="16" t="n">
        <x:v>3</x:v>
      </x:c>
      <x:c r="D170" s="16" t="n">
        <x:f>IF('Queries'!E170&lt;='Rules'!$B$17,'Rules'!$B$21,IF('Queries'!E170&lt;='Rules'!$B$18,'Rules'!$B$22,IF('Queries'!E170&lt;='Rules'!$B$19,'Rules'!$B$23,IF('Queries'!E170&lt;='Rules'!$B$20,'Rules'!$B$24,'Rules'!$B$25))))</x:f>
        <x:v>0.4</x:v>
      </x:c>
      <x:c r="E170" s="16" t="n">
        <x:f>MIN(LOG10(1+'Queries'!C170)/'Rules'!$B$13,1)</x:f>
        <x:v>0.66374202523083</x:v>
      </x:c>
      <x:c r="F170" s="16" t="n">
        <x:f>IF(AND('Queries'!E170&lt;='Rules'!$B$15,'Queries'!C170&gt;='Rules'!$B$14,'Queries'!D170&lt;'Rules'!$B$16),1,0)</x:f>
        <x:v>0</x:v>
      </x:c>
      <x:c r="G170" s="16" t="n">
        <x:v>1</x:v>
      </x:c>
      <x:c r="H170" s="16" t="n">
        <x:v>1</x:v>
      </x:c>
      <x:c r="I170" s="16" t="n">
        <x:f>ROUND((B170*'Rules'!$B$6+C170/'Rules'!$B$12*'Rules'!$B$7+D170*'Rules'!$B$8+E170*'Rules'!$B$9+F170*'Rules'!$B$10+G170*'Rules'!$B$11)*H170,1)</x:f>
        <x:v>63.6</x:v>
      </x:c>
      <x:c r="J170" s="18" t="n">
        <x:f>'Queries'!C170*'Queries'!E170</x:f>
        <x:v>3848.96</x:v>
      </x:c>
    </x:row>
    <x:row r="171" ht="32" customHeight="1">
      <x:c r="A171" s="6" t="str">
        <x:v>bmw repair</x:v>
      </x:c>
      <x:c r="B171" s="16" t="n">
        <x:v>0.8</x:v>
      </x:c>
      <x:c r="C171" s="16" t="n">
        <x:v>5</x:v>
      </x:c>
      <x:c r="D171" s="16" t="n">
        <x:f>IF('Queries'!E171&lt;='Rules'!$B$17,'Rules'!$B$21,IF('Queries'!E171&lt;='Rules'!$B$18,'Rules'!$B$22,IF('Queries'!E171&lt;='Rules'!$B$19,'Rules'!$B$23,IF('Queries'!E171&lt;='Rules'!$B$20,'Rules'!$B$24,'Rules'!$B$25))))</x:f>
        <x:v>0.7</x:v>
      </x:c>
      <x:c r="E171" s="16" t="n">
        <x:f>MIN(LOG10(1+'Queries'!C171)/'Rules'!$B$13,1)</x:f>
        <x:v>0.6622572447554134</x:v>
      </x:c>
      <x:c r="F171" s="16" t="n">
        <x:f>IF(AND('Queries'!E171&lt;='Rules'!$B$15,'Queries'!C171&gt;='Rules'!$B$14,'Queries'!D171&lt;'Rules'!$B$16),1,0)</x:f>
        <x:v>0</x:v>
      </x:c>
      <x:c r="G171" s="16" t="n">
        <x:v>1</x:v>
      </x:c>
      <x:c r="H171" s="16" t="n">
        <x:v>1</x:v>
      </x:c>
      <x:c r="I171" s="16" t="n">
        <x:f>ROUND((B171*'Rules'!$B$6+C171/'Rules'!$B$12*'Rules'!$B$7+D171*'Rules'!$B$8+E171*'Rules'!$B$9+F171*'Rules'!$B$10+G171*'Rules'!$B$11)*H171,1)</x:f>
        <x:v>74.1</x:v>
      </x:c>
      <x:c r="J171" s="18" t="n">
        <x:f>'Queries'!C171*'Queries'!E171</x:f>
        <x:v>1640.6399999999999</x:v>
      </x:c>
    </x:row>
    <x:row r="172" ht="32" customHeight="1">
      <x:c r="A172" s="6" t="str">
        <x:v>car body repair dubai</x:v>
      </x:c>
      <x:c r="B172" s="16" t="n">
        <x:v>1</x:v>
      </x:c>
      <x:c r="C172" s="16" t="n">
        <x:v>3</x:v>
      </x:c>
      <x:c r="D172" s="16" t="n">
        <x:f>IF('Queries'!E172&lt;='Rules'!$B$17,'Rules'!$B$21,IF('Queries'!E172&lt;='Rules'!$B$18,'Rules'!$B$22,IF('Queries'!E172&lt;='Rules'!$B$19,'Rules'!$B$23,IF('Queries'!E172&lt;='Rules'!$B$20,'Rules'!$B$24,'Rules'!$B$25))))</x:f>
        <x:v>0.4</x:v>
      </x:c>
      <x:c r="E172" s="16" t="n">
        <x:f>MIN(LOG10(1+'Queries'!C172)/'Rules'!$B$13,1)</x:f>
        <x:v>0.6622572447554134</x:v>
      </x:c>
      <x:c r="F172" s="16" t="n">
        <x:f>IF(AND('Queries'!E172&lt;='Rules'!$B$15,'Queries'!C172&gt;='Rules'!$B$14,'Queries'!D172&lt;'Rules'!$B$16),1,0)</x:f>
        <x:v>0</x:v>
      </x:c>
      <x:c r="G172" s="16" t="n">
        <x:v>1</x:v>
      </x:c>
      <x:c r="H172" s="16" t="n">
        <x:v>1</x:v>
      </x:c>
      <x:c r="I172" s="16" t="n">
        <x:f>ROUND((B172*'Rules'!$B$6+C172/'Rules'!$B$12*'Rules'!$B$7+D172*'Rules'!$B$8+E172*'Rules'!$B$9+F172*'Rules'!$B$10+G172*'Rules'!$B$11)*H172,1)</x:f>
        <x:v>63.6</x:v>
      </x:c>
      <x:c r="J172" s="18" t="n">
        <x:f>'Queries'!C172*'Queries'!E172</x:f>
        <x:v>3321.6000000000004</x:v>
      </x:c>
    </x:row>
    <x:row r="173" ht="32" customHeight="1">
      <x:c r="A173" s="6" t="str">
        <x:v>brake inspection dubai</x:v>
      </x:c>
      <x:c r="B173" s="16" t="n">
        <x:v>1</x:v>
      </x:c>
      <x:c r="C173" s="16" t="n">
        <x:v>3</x:v>
      </x:c>
      <x:c r="D173" s="16" t="n">
        <x:f>IF('Queries'!E173&lt;='Rules'!$B$17,'Rules'!$B$21,IF('Queries'!E173&lt;='Rules'!$B$18,'Rules'!$B$22,IF('Queries'!E173&lt;='Rules'!$B$19,'Rules'!$B$23,IF('Queries'!E173&lt;='Rules'!$B$20,'Rules'!$B$24,'Rules'!$B$25))))</x:f>
        <x:v>0.15</x:v>
      </x:c>
      <x:c r="E173" s="16" t="n">
        <x:f>MIN(LOG10(1+'Queries'!C173)/'Rules'!$B$13,1)</x:f>
        <x:v>0.6622572447554134</x:v>
      </x:c>
      <x:c r="F173" s="16" t="n">
        <x:f>IF(AND('Queries'!E173&lt;='Rules'!$B$15,'Queries'!C173&gt;='Rules'!$B$14,'Queries'!D173&lt;'Rules'!$B$16),1,0)</x:f>
        <x:v>0</x:v>
      </x:c>
      <x:c r="G173" s="16" t="n">
        <x:v>1</x:v>
      </x:c>
      <x:c r="H173" s="16" t="n">
        <x:v>1</x:v>
      </x:c>
      <x:c r="I173" s="16" t="n">
        <x:f>ROUND((B173*'Rules'!$B$6+C173/'Rules'!$B$12*'Rules'!$B$7+D173*'Rules'!$B$8+E173*'Rules'!$B$9+F173*'Rules'!$B$10+G173*'Rules'!$B$11)*H173,1)</x:f>
        <x:v>57.4</x:v>
      </x:c>
      <x:c r="J173" s="18" t="n">
        <x:f>'Queries'!C173*'Queries'!E173</x:f>
        <x:v>5428.799999999999</x:v>
      </x:c>
    </x:row>
    <x:row r="174" ht="32" customHeight="1">
      <x:c r="A174" s="6" t="str">
        <x:v>aston martin engine repair dubai</x:v>
      </x:c>
      <x:c r="B174" s="16" t="n">
        <x:v>1</x:v>
      </x:c>
      <x:c r="C174" s="16" t="n">
        <x:v>5</x:v>
      </x:c>
      <x:c r="D174" s="16" t="n">
        <x:f>IF('Queries'!E174&lt;='Rules'!$B$17,'Rules'!$B$21,IF('Queries'!E174&lt;='Rules'!$B$18,'Rules'!$B$22,IF('Queries'!E174&lt;='Rules'!$B$19,'Rules'!$B$23,IF('Queries'!E174&lt;='Rules'!$B$20,'Rules'!$B$24,'Rules'!$B$25))))</x:f>
        <x:v>0.7</x:v>
      </x:c>
      <x:c r="E174" s="16" t="n">
        <x:f>MIN(LOG10(1+'Queries'!C174)/'Rules'!$B$13,1)</x:f>
        <x:v>0.6607570776798567</x:v>
      </x:c>
      <x:c r="F174" s="16" t="n">
        <x:f>IF(AND('Queries'!E174&lt;='Rules'!$B$15,'Queries'!C174&gt;='Rules'!$B$14,'Queries'!D174&lt;'Rules'!$B$16),1,0)</x:f>
        <x:v>0</x:v>
      </x:c>
      <x:c r="G174" s="16" t="n">
        <x:v>1</x:v>
      </x:c>
      <x:c r="H174" s="16" t="n">
        <x:v>1</x:v>
      </x:c>
      <x:c r="I174" s="16" t="n">
        <x:f>ROUND((B174*'Rules'!$B$6+C174/'Rules'!$B$12*'Rules'!$B$7+D174*'Rules'!$B$8+E174*'Rules'!$B$9+F174*'Rules'!$B$10+G174*'Rules'!$B$11)*H174,1)</x:f>
        <x:v>79.1</x:v>
      </x:c>
      <x:c r="J174" s="18" t="n">
        <x:f>'Queries'!C174*'Queries'!E174</x:f>
        <x:v>2515.6</x:v>
      </x:c>
    </x:row>
    <x:row r="175" ht="32" customHeight="1">
      <x:c r="A175" s="6" t="str">
        <x:v>mclaren workshop dubai</x:v>
      </x:c>
      <x:c r="B175" s="16" t="n">
        <x:v>1</x:v>
      </x:c>
      <x:c r="C175" s="16" t="n">
        <x:v>5</x:v>
      </x:c>
      <x:c r="D175" s="16" t="n">
        <x:f>IF('Queries'!E175&lt;='Rules'!$B$17,'Rules'!$B$21,IF('Queries'!E175&lt;='Rules'!$B$18,'Rules'!$B$22,IF('Queries'!E175&lt;='Rules'!$B$19,'Rules'!$B$23,IF('Queries'!E175&lt;='Rules'!$B$20,'Rules'!$B$24,'Rules'!$B$25))))</x:f>
        <x:v>0.7</x:v>
      </x:c>
      <x:c r="E175" s="16" t="n">
        <x:f>MIN(LOG10(1+'Queries'!C175)/'Rules'!$B$13,1)</x:f>
        <x:v>0.6577092845332334</x:v>
      </x:c>
      <x:c r="F175" s="16" t="n">
        <x:f>IF(AND('Queries'!E175&lt;='Rules'!$B$15,'Queries'!C175&gt;='Rules'!$B$14,'Queries'!D175&lt;'Rules'!$B$16),1,0)</x:f>
        <x:v>0</x:v>
      </x:c>
      <x:c r="G175" s="16" t="n">
        <x:v>1</x:v>
      </x:c>
      <x:c r="H175" s="16" t="n">
        <x:v>1</x:v>
      </x:c>
      <x:c r="I175" s="16" t="n">
        <x:f>ROUND((B175*'Rules'!$B$6+C175/'Rules'!$B$12*'Rules'!$B$7+D175*'Rules'!$B$8+E175*'Rules'!$B$9+F175*'Rules'!$B$10+G175*'Rules'!$B$11)*H175,1)</x:f>
        <x:v>79.1</x:v>
      </x:c>
      <x:c r="J175" s="18" t="n">
        <x:f>'Queries'!C175*'Queries'!E175</x:f>
        <x:v>1688.88</x:v>
      </x:c>
    </x:row>
    <x:row r="176" ht="32" customHeight="1">
      <x:c r="A176" s="6" t="str">
        <x:v>porsche oil change dubai</x:v>
      </x:c>
      <x:c r="B176" s="16" t="n">
        <x:v>1</x:v>
      </x:c>
      <x:c r="C176" s="16" t="n">
        <x:v>5</x:v>
      </x:c>
      <x:c r="D176" s="16" t="n">
        <x:f>IF('Queries'!E176&lt;='Rules'!$B$17,'Rules'!$B$21,IF('Queries'!E176&lt;='Rules'!$B$18,'Rules'!$B$22,IF('Queries'!E176&lt;='Rules'!$B$19,'Rules'!$B$23,IF('Queries'!E176&lt;='Rules'!$B$20,'Rules'!$B$24,'Rules'!$B$25))))</x:f>
        <x:v>0.7</x:v>
      </x:c>
      <x:c r="E176" s="16" t="n">
        <x:f>MIN(LOG10(1+'Queries'!C176)/'Rules'!$B$13,1)</x:f>
        <x:v>0.6577092845332334</x:v>
      </x:c>
      <x:c r="F176" s="16" t="n">
        <x:f>IF(AND('Queries'!E176&lt;='Rules'!$B$15,'Queries'!C176&gt;='Rules'!$B$14,'Queries'!D176&lt;'Rules'!$B$16),1,0)</x:f>
        <x:v>0</x:v>
      </x:c>
      <x:c r="G176" s="16" t="n">
        <x:v>1</x:v>
      </x:c>
      <x:c r="H176" s="16" t="n">
        <x:v>1</x:v>
      </x:c>
      <x:c r="I176" s="16" t="n">
        <x:f>ROUND((B176*'Rules'!$B$6+C176/'Rules'!$B$12*'Rules'!$B$7+D176*'Rules'!$B$8+E176*'Rules'!$B$9+F176*'Rules'!$B$10+G176*'Rules'!$B$11)*H176,1)</x:f>
        <x:v>79.1</x:v>
      </x:c>
      <x:c r="J176" s="18" t="n">
        <x:f>'Queries'!C176*'Queries'!E176</x:f>
        <x:v>1732.59</x:v>
      </x:c>
    </x:row>
    <x:row r="177" ht="32" customHeight="1">
      <x:c r="A177" s="6" t="str">
        <x:v>car brake maintenance dubai</x:v>
      </x:c>
      <x:c r="B177" s="16" t="n">
        <x:v>1</x:v>
      </x:c>
      <x:c r="C177" s="16" t="n">
        <x:v>3</x:v>
      </x:c>
      <x:c r="D177" s="16" t="n">
        <x:f>IF('Queries'!E177&lt;='Rules'!$B$17,'Rules'!$B$21,IF('Queries'!E177&lt;='Rules'!$B$18,'Rules'!$B$22,IF('Queries'!E177&lt;='Rules'!$B$19,'Rules'!$B$23,IF('Queries'!E177&lt;='Rules'!$B$20,'Rules'!$B$24,'Rules'!$B$25))))</x:f>
        <x:v>0.15</x:v>
      </x:c>
      <x:c r="E177" s="16" t="n">
        <x:f>MIN(LOG10(1+'Queries'!C177)/'Rules'!$B$13,1)</x:f>
        <x:v>0.6577092845332334</x:v>
      </x:c>
      <x:c r="F177" s="16" t="n">
        <x:f>IF(AND('Queries'!E177&lt;='Rules'!$B$15,'Queries'!C177&gt;='Rules'!$B$14,'Queries'!D177&lt;'Rules'!$B$16),1,0)</x:f>
        <x:v>0</x:v>
      </x:c>
      <x:c r="G177" s="16" t="n">
        <x:v>1</x:v>
      </x:c>
      <x:c r="H177" s="16" t="n">
        <x:v>1</x:v>
      </x:c>
      <x:c r="I177" s="16" t="n">
        <x:f>ROUND((B177*'Rules'!$B$6+C177/'Rules'!$B$12*'Rules'!$B$7+D177*'Rules'!$B$8+E177*'Rules'!$B$9+F177*'Rules'!$B$10+G177*'Rules'!$B$11)*H177,1)</x:f>
        <x:v>57.3</x:v>
      </x:c>
      <x:c r="J177" s="18" t="n">
        <x:f>'Queries'!C177*'Queries'!E177</x:f>
        <x:v>4354.26</x:v>
      </x:c>
    </x:row>
    <x:row r="178" ht="32" customHeight="1">
      <x:c r="A178" s="6" t="str">
        <x:v>ferrari workshop dubai</x:v>
      </x:c>
      <x:c r="B178" s="16" t="n">
        <x:v>1</x:v>
      </x:c>
      <x:c r="C178" s="16" t="n">
        <x:v>5</x:v>
      </x:c>
      <x:c r="D178" s="16" t="n">
        <x:f>IF('Queries'!E178&lt;='Rules'!$B$17,'Rules'!$B$21,IF('Queries'!E178&lt;='Rules'!$B$18,'Rules'!$B$22,IF('Queries'!E178&lt;='Rules'!$B$19,'Rules'!$B$23,IF('Queries'!E178&lt;='Rules'!$B$20,'Rules'!$B$24,'Rules'!$B$25))))</x:f>
        <x:v>0.7</x:v>
      </x:c>
      <x:c r="E178" s="16" t="n">
        <x:f>MIN(LOG10(1+'Queries'!C178)/'Rules'!$B$13,1)</x:f>
        <x:v>0.6561609828513133</x:v>
      </x:c>
      <x:c r="F178" s="16" t="n">
        <x:f>IF(AND('Queries'!E178&lt;='Rules'!$B$15,'Queries'!C178&gt;='Rules'!$B$14,'Queries'!D178&lt;'Rules'!$B$16),1,0)</x:f>
        <x:v>0</x:v>
      </x:c>
      <x:c r="G178" s="16" t="n">
        <x:v>1</x:v>
      </x:c>
      <x:c r="H178" s="16" t="n">
        <x:v>1</x:v>
      </x:c>
      <x:c r="I178" s="16" t="n">
        <x:f>ROUND((B178*'Rules'!$B$6+C178/'Rules'!$B$12*'Rules'!$B$7+D178*'Rules'!$B$8+E178*'Rules'!$B$9+F178*'Rules'!$B$10+G178*'Rules'!$B$11)*H178,1)</x:f>
        <x:v>79.1</x:v>
      </x:c>
      <x:c r="J178" s="18" t="n">
        <x:f>'Queries'!C178*'Queries'!E178</x:f>
        <x:v>2362.56</x:v>
      </x:c>
    </x:row>
    <x:row r="179" ht="32" customHeight="1">
      <x:c r="A179" s="6" t="str">
        <x:v>engine oil change dubai</x:v>
      </x:c>
      <x:c r="B179" s="16" t="n">
        <x:v>1</x:v>
      </x:c>
      <x:c r="C179" s="16" t="n">
        <x:v>3</x:v>
      </x:c>
      <x:c r="D179" s="16" t="n">
        <x:f>IF('Queries'!E179&lt;='Rules'!$B$17,'Rules'!$B$21,IF('Queries'!E179&lt;='Rules'!$B$18,'Rules'!$B$22,IF('Queries'!E179&lt;='Rules'!$B$19,'Rules'!$B$23,IF('Queries'!E179&lt;='Rules'!$B$20,'Rules'!$B$24,'Rules'!$B$25))))</x:f>
        <x:v>0.4</x:v>
      </x:c>
      <x:c r="E179" s="16" t="n">
        <x:f>MIN(LOG10(1+'Queries'!C179)/'Rules'!$B$13,1)</x:f>
        <x:v>0.6561609828513133</x:v>
      </x:c>
      <x:c r="F179" s="16" t="n">
        <x:f>IF(AND('Queries'!E179&lt;='Rules'!$B$15,'Queries'!C179&gt;='Rules'!$B$14,'Queries'!D179&lt;'Rules'!$B$16),1,0)</x:f>
        <x:v>0</x:v>
      </x:c>
      <x:c r="G179" s="16" t="n">
        <x:v>1</x:v>
      </x:c>
      <x:c r="H179" s="16" t="n">
        <x:v>1</x:v>
      </x:c>
      <x:c r="I179" s="16" t="n">
        <x:f>ROUND((B179*'Rules'!$B$6+C179/'Rules'!$B$12*'Rules'!$B$7+D179*'Rules'!$B$8+E179*'Rules'!$B$9+F179*'Rules'!$B$10+G179*'Rules'!$B$11)*H179,1)</x:f>
        <x:v>63.6</x:v>
      </x:c>
      <x:c r="J179" s="18" t="n">
        <x:f>'Queries'!C179*'Queries'!E179</x:f>
        <x:v>3500.6</x:v>
      </x:c>
    </x:row>
    <x:row r="180" ht="32" customHeight="1">
      <x:c r="A180" s="6" t="str">
        <x:v>auto electrical diagnostics dubai</x:v>
      </x:c>
      <x:c r="B180" s="16" t="n">
        <x:v>1</x:v>
      </x:c>
      <x:c r="C180" s="16" t="n">
        <x:v>3</x:v>
      </x:c>
      <x:c r="D180" s="16" t="n">
        <x:f>IF('Queries'!E180&lt;='Rules'!$B$17,'Rules'!$B$21,IF('Queries'!E180&lt;='Rules'!$B$18,'Rules'!$B$22,IF('Queries'!E180&lt;='Rules'!$B$19,'Rules'!$B$23,IF('Queries'!E180&lt;='Rules'!$B$20,'Rules'!$B$24,'Rules'!$B$25))))</x:f>
        <x:v>0.15</x:v>
      </x:c>
      <x:c r="E180" s="16" t="n">
        <x:f>MIN(LOG10(1+'Queries'!C180)/'Rules'!$B$13,1)</x:f>
        <x:v>0.6561609828513133</x:v>
      </x:c>
      <x:c r="F180" s="16" t="n">
        <x:f>IF(AND('Queries'!E180&lt;='Rules'!$B$15,'Queries'!C180&gt;='Rules'!$B$14,'Queries'!D180&lt;'Rules'!$B$16),1,0)</x:f>
        <x:v>0</x:v>
      </x:c>
      <x:c r="G180" s="16" t="n">
        <x:v>1</x:v>
      </x:c>
      <x:c r="H180" s="16" t="n">
        <x:v>1</x:v>
      </x:c>
      <x:c r="I180" s="16" t="n">
        <x:f>ROUND((B180*'Rules'!$B$6+C180/'Rules'!$B$12*'Rules'!$B$7+D180*'Rules'!$B$8+E180*'Rules'!$B$9+F180*'Rules'!$B$10+G180*'Rules'!$B$11)*H180,1)</x:f>
        <x:v>57.3</x:v>
      </x:c>
      <x:c r="J180" s="18" t="n">
        <x:f>'Queries'!C180*'Queries'!E180</x:f>
        <x:v>3815.24</x:v>
      </x:c>
    </x:row>
    <x:row r="181" ht="32" customHeight="1">
      <x:c r="A181" s="6" t="str">
        <x:v>lamborghini battery replacement dubai</x:v>
      </x:c>
      <x:c r="B181" s="16" t="n">
        <x:v>1</x:v>
      </x:c>
      <x:c r="C181" s="16" t="n">
        <x:v>5</x:v>
      </x:c>
      <x:c r="D181" s="16" t="n">
        <x:f>IF('Queries'!E181&lt;='Rules'!$B$17,'Rules'!$B$21,IF('Queries'!E181&lt;='Rules'!$B$18,'Rules'!$B$22,IF('Queries'!E181&lt;='Rules'!$B$19,'Rules'!$B$23,IF('Queries'!E181&lt;='Rules'!$B$20,'Rules'!$B$24,'Rules'!$B$25))))</x:f>
        <x:v>0.7</x:v>
      </x:c>
      <x:c r="E181" s="16" t="n">
        <x:f>MIN(LOG10(1+'Queries'!C181)/'Rules'!$B$13,1)</x:f>
        <x:v>0.6530137974403634</x:v>
      </x:c>
      <x:c r="F181" s="16" t="n">
        <x:f>IF(AND('Queries'!E181&lt;='Rules'!$B$15,'Queries'!C181&gt;='Rules'!$B$14,'Queries'!D181&lt;'Rules'!$B$16),1,0)</x:f>
        <x:v>0</x:v>
      </x:c>
      <x:c r="G181" s="16" t="n">
        <x:v>1</x:v>
      </x:c>
      <x:c r="H181" s="16" t="n">
        <x:v>1</x:v>
      </x:c>
      <x:c r="I181" s="16" t="n">
        <x:f>ROUND((B181*'Rules'!$B$6+C181/'Rules'!$B$12*'Rules'!$B$7+D181*'Rules'!$B$8+E181*'Rules'!$B$9+F181*'Rules'!$B$10+G181*'Rules'!$B$11)*H181,1)</x:f>
        <x:v>79</x:v>
      </x:c>
      <x:c r="J181" s="18" t="n">
        <x:f>'Queries'!C181*'Queries'!E181</x:f>
        <x:v>2517.2999999999997</x:v>
      </x:c>
    </x:row>
    <x:row r="182" ht="32" customHeight="1">
      <x:c r="A182" s="6" t="str">
        <x:v>oil change offers near me</x:v>
      </x:c>
      <x:c r="B182" s="16" t="n">
        <x:v>1</x:v>
      </x:c>
      <x:c r="C182" s="16" t="n">
        <x:v>2</x:v>
      </x:c>
      <x:c r="D182" s="16" t="n">
        <x:f>IF('Queries'!E182&lt;='Rules'!$B$17,'Rules'!$B$21,IF('Queries'!E182&lt;='Rules'!$B$18,'Rules'!$B$22,IF('Queries'!E182&lt;='Rules'!$B$19,'Rules'!$B$23,IF('Queries'!E182&lt;='Rules'!$B$20,'Rules'!$B$24,'Rules'!$B$25))))</x:f>
        <x:v>0.4</x:v>
      </x:c>
      <x:c r="E182" s="16" t="n">
        <x:f>MIN(LOG10(1+'Queries'!C182)/'Rules'!$B$13,1)</x:f>
        <x:v>0.6530137974403634</x:v>
      </x:c>
      <x:c r="F182" s="16" t="n">
        <x:f>IF(AND('Queries'!E182&lt;='Rules'!$B$15,'Queries'!C182&gt;='Rules'!$B$14,'Queries'!D182&lt;'Rules'!$B$16),1,0)</x:f>
        <x:v>0</x:v>
      </x:c>
      <x:c r="G182" s="16" t="n">
        <x:v>1</x:v>
      </x:c>
      <x:c r="H182" s="16" t="n">
        <x:v>0.65</x:v>
      </x:c>
      <x:c r="I182" s="16" t="n">
        <x:f>ROUND((B182*'Rules'!$B$6+C182/'Rules'!$B$12*'Rules'!$B$7+D182*'Rules'!$B$8+E182*'Rules'!$B$9+F182*'Rules'!$B$10+G182*'Rules'!$B$11)*H182,1)</x:f>
        <x:v>38.7</x:v>
      </x:c>
      <x:c r="J182" s="18" t="n">
        <x:f>'Queries'!C182*'Queries'!E182</x:f>
        <x:v>2876.4</x:v>
      </x:c>
    </x:row>
    <x:row r="183" ht="32" customHeight="1">
      <x:c r="A183" s="6" t="str">
        <x:v>rolls royce service</x:v>
      </x:c>
      <x:c r="B183" s="16" t="n">
        <x:v>0.8</x:v>
      </x:c>
      <x:c r="C183" s="16" t="n">
        <x:v>5</x:v>
      </x:c>
      <x:c r="D183" s="16" t="n">
        <x:f>IF('Queries'!E183&lt;='Rules'!$B$17,'Rules'!$B$21,IF('Queries'!E183&lt;='Rules'!$B$18,'Rules'!$B$22,IF('Queries'!E183&lt;='Rules'!$B$19,'Rules'!$B$23,IF('Queries'!E183&lt;='Rules'!$B$20,'Rules'!$B$24,'Rules'!$B$25))))</x:f>
        <x:v>0.7</x:v>
      </x:c>
      <x:c r="E183" s="16" t="n">
        <x:f>MIN(LOG10(1+'Queries'!C183)/'Rules'!$B$13,1)</x:f>
        <x:v>0.6514141698131067</x:v>
      </x:c>
      <x:c r="F183" s="16" t="n">
        <x:f>IF(AND('Queries'!E183&lt;='Rules'!$B$15,'Queries'!C183&gt;='Rules'!$B$14,'Queries'!D183&lt;'Rules'!$B$16),1,0)</x:f>
        <x:v>0</x:v>
      </x:c>
      <x:c r="G183" s="16" t="n">
        <x:v>1</x:v>
      </x:c>
      <x:c r="H183" s="16" t="n">
        <x:v>1</x:v>
      </x:c>
      <x:c r="I183" s="16" t="n">
        <x:f>ROUND((B183*'Rules'!$B$6+C183/'Rules'!$B$12*'Rules'!$B$7+D183*'Rules'!$B$8+E183*'Rules'!$B$9+F183*'Rules'!$B$10+G183*'Rules'!$B$11)*H183,1)</x:f>
        <x:v>74</x:v>
      </x:c>
      <x:c r="J183" s="18" t="n">
        <x:f>'Queries'!C183*'Queries'!E183</x:f>
        <x:v>1716.81</x:v>
      </x:c>
    </x:row>
    <x:row r="184" ht="32" customHeight="1">
      <x:c r="A184" s="6" t="str">
        <x:v>ferrari specialist dubai</x:v>
      </x:c>
      <x:c r="B184" s="16" t="n">
        <x:v>1</x:v>
      </x:c>
      <x:c r="C184" s="16" t="n">
        <x:v>5</x:v>
      </x:c>
      <x:c r="D184" s="16" t="n">
        <x:f>IF('Queries'!E184&lt;='Rules'!$B$17,'Rules'!$B$21,IF('Queries'!E184&lt;='Rules'!$B$18,'Rules'!$B$22,IF('Queries'!E184&lt;='Rules'!$B$19,'Rules'!$B$23,IF('Queries'!E184&lt;='Rules'!$B$20,'Rules'!$B$24,'Rules'!$B$25))))</x:f>
        <x:v>0.4</x:v>
      </x:c>
      <x:c r="E184" s="16" t="n">
        <x:f>MIN(LOG10(1+'Queries'!C184)/'Rules'!$B$13,1)</x:f>
        <x:v>0.6514141698131067</x:v>
      </x:c>
      <x:c r="F184" s="16" t="n">
        <x:f>IF(AND('Queries'!E184&lt;='Rules'!$B$15,'Queries'!C184&gt;='Rules'!$B$14,'Queries'!D184&lt;'Rules'!$B$16),1,0)</x:f>
        <x:v>0</x:v>
      </x:c>
      <x:c r="G184" s="16" t="n">
        <x:v>1</x:v>
      </x:c>
      <x:c r="H184" s="16" t="n">
        <x:v>1</x:v>
      </x:c>
      <x:c r="I184" s="16" t="n">
        <x:f>ROUND((B184*'Rules'!$B$6+C184/'Rules'!$B$12*'Rules'!$B$7+D184*'Rules'!$B$8+E184*'Rules'!$B$9+F184*'Rules'!$B$10+G184*'Rules'!$B$11)*H184,1)</x:f>
        <x:v>71.5</x:v>
      </x:c>
      <x:c r="J184" s="18" t="n">
        <x:f>'Queries'!C184*'Queries'!E184</x:f>
        <x:v>2920.09</x:v>
      </x:c>
    </x:row>
    <x:row r="185" ht="32" customHeight="1">
      <x:c r="A185" s="6" t="str">
        <x:v>car brake maintenance in uae</x:v>
      </x:c>
      <x:c r="B185" s="16" t="n">
        <x:v>0.8</x:v>
      </x:c>
      <x:c r="C185" s="16" t="n">
        <x:v>3</x:v>
      </x:c>
      <x:c r="D185" s="16" t="n">
        <x:f>IF('Queries'!E185&lt;='Rules'!$B$17,'Rules'!$B$21,IF('Queries'!E185&lt;='Rules'!$B$18,'Rules'!$B$22,IF('Queries'!E185&lt;='Rules'!$B$19,'Rules'!$B$23,IF('Queries'!E185&lt;='Rules'!$B$20,'Rules'!$B$24,'Rules'!$B$25))))</x:f>
        <x:v>0.15</x:v>
      </x:c>
      <x:c r="E185" s="16" t="n">
        <x:f>MIN(LOG10(1+'Queries'!C185)/'Rules'!$B$13,1)</x:f>
        <x:v>0.6514141698131067</x:v>
      </x:c>
      <x:c r="F185" s="16" t="n">
        <x:f>IF(AND('Queries'!E185&lt;='Rules'!$B$15,'Queries'!C185&gt;='Rules'!$B$14,'Queries'!D185&lt;'Rules'!$B$16),1,0)</x:f>
        <x:v>0</x:v>
      </x:c>
      <x:c r="G185" s="16" t="n">
        <x:v>1</x:v>
      </x:c>
      <x:c r="H185" s="16" t="n">
        <x:v>1</x:v>
      </x:c>
      <x:c r="I185" s="16" t="n">
        <x:f>ROUND((B185*'Rules'!$B$6+C185/'Rules'!$B$12*'Rules'!$B$7+D185*'Rules'!$B$8+E185*'Rules'!$B$9+F185*'Rules'!$B$10+G185*'Rules'!$B$11)*H185,1)</x:f>
        <x:v>52.3</x:v>
      </x:c>
      <x:c r="J185" s="18" t="n">
        <x:f>'Queries'!C185*'Queries'!E185</x:f>
        <x:v>5089.91</x:v>
      </x:c>
    </x:row>
    <x:row r="186" ht="32" customHeight="1">
      <x:c r="A186" s="6" t="str">
        <x:v>paint protection film</x:v>
      </x:c>
      <x:c r="B186" s="16" t="n">
        <x:v>0.8</x:v>
      </x:c>
      <x:c r="C186" s="16" t="n">
        <x:v>5</x:v>
      </x:c>
      <x:c r="D186" s="16" t="n">
        <x:f>IF('Queries'!E186&lt;='Rules'!$B$17,'Rules'!$B$21,IF('Queries'!E186&lt;='Rules'!$B$18,'Rules'!$B$22,IF('Queries'!E186&lt;='Rules'!$B$19,'Rules'!$B$23,IF('Queries'!E186&lt;='Rules'!$B$20,'Rules'!$B$24,'Rules'!$B$25))))</x:f>
        <x:v>0.15</x:v>
      </x:c>
      <x:c r="E186" s="16" t="n">
        <x:f>MIN(LOG10(1+'Queries'!C186)/'Rules'!$B$13,1)</x:f>
        <x:v>0.6514141698131067</x:v>
      </x:c>
      <x:c r="F186" s="16" t="n">
        <x:f>IF(AND('Queries'!E186&lt;='Rules'!$B$15,'Queries'!C186&gt;='Rules'!$B$14,'Queries'!D186&lt;'Rules'!$B$16),1,0)</x:f>
        <x:v>0</x:v>
      </x:c>
      <x:c r="G186" s="16" t="n">
        <x:v>1</x:v>
      </x:c>
      <x:c r="H186" s="16" t="n">
        <x:v>1</x:v>
      </x:c>
      <x:c r="I186" s="16" t="n">
        <x:f>ROUND((B186*'Rules'!$B$6+C186/'Rules'!$B$12*'Rules'!$B$7+D186*'Rules'!$B$8+E186*'Rules'!$B$9+F186*'Rules'!$B$10+G186*'Rules'!$B$11)*H186,1)</x:f>
        <x:v>60.3</x:v>
      </x:c>
      <x:c r="J186" s="18" t="n">
        <x:f>'Queries'!C186*'Queries'!E186</x:f>
        <x:v>5794.79</x:v>
      </x:c>
    </x:row>
    <x:row r="187" ht="32" customHeight="1">
      <x:c r="A187" s="6" t="str">
        <x:v>mercedes auto repair in dubai</x:v>
      </x:c>
      <x:c r="B187" s="16" t="n">
        <x:v>1</x:v>
      </x:c>
      <x:c r="C187" s="16" t="n">
        <x:v>5</x:v>
      </x:c>
      <x:c r="D187" s="16" t="n">
        <x:f>IF('Queries'!E187&lt;='Rules'!$B$17,'Rules'!$B$21,IF('Queries'!E187&lt;='Rules'!$B$18,'Rules'!$B$22,IF('Queries'!E187&lt;='Rules'!$B$19,'Rules'!$B$23,IF('Queries'!E187&lt;='Rules'!$B$20,'Rules'!$B$24,'Rules'!$B$25))))</x:f>
        <x:v>1</x:v>
      </x:c>
      <x:c r="E187" s="16" t="n">
        <x:f>MIN(LOG10(1+'Queries'!C187)/'Rules'!$B$13,1)</x:f>
        <x:v>0.6497966688816367</x:v>
      </x:c>
      <x:c r="F187" s="16" t="n">
        <x:f>IF(AND('Queries'!E187&lt;='Rules'!$B$15,'Queries'!C187&gt;='Rules'!$B$14,'Queries'!D187&lt;'Rules'!$B$16),1,0)</x:f>
        <x:v>0</x:v>
      </x:c>
      <x:c r="G187" s="16" t="n">
        <x:v>1</x:v>
      </x:c>
      <x:c r="H187" s="16" t="n">
        <x:v>1</x:v>
      </x:c>
      <x:c r="I187" s="16" t="n">
        <x:f>ROUND((B187*'Rules'!$B$6+C187/'Rules'!$B$12*'Rules'!$B$7+D187*'Rules'!$B$8+E187*'Rules'!$B$9+F187*'Rules'!$B$10+G187*'Rules'!$B$11)*H187,1)</x:f>
        <x:v>86.5</x:v>
      </x:c>
      <x:c r="J187" s="18" t="n">
        <x:f>'Queries'!C187*'Queries'!E187</x:f>
        <x:v>1047.2</x:v>
      </x:c>
    </x:row>
    <x:row r="188" ht="32" customHeight="1">
      <x:c r="A188" s="6" t="str">
        <x:v>bmw service in dubai</x:v>
      </x:c>
      <x:c r="B188" s="16" t="n">
        <x:v>1</x:v>
      </x:c>
      <x:c r="C188" s="16" t="n">
        <x:v>5</x:v>
      </x:c>
      <x:c r="D188" s="16" t="n">
        <x:f>IF('Queries'!E188&lt;='Rules'!$B$17,'Rules'!$B$21,IF('Queries'!E188&lt;='Rules'!$B$18,'Rules'!$B$22,IF('Queries'!E188&lt;='Rules'!$B$19,'Rules'!$B$23,IF('Queries'!E188&lt;='Rules'!$B$20,'Rules'!$B$24,'Rules'!$B$25))))</x:f>
        <x:v>0.7</x:v>
      </x:c>
      <x:c r="E188" s="16" t="n">
        <x:f>MIN(LOG10(1+'Queries'!C188)/'Rules'!$B$13,1)</x:f>
        <x:v>0.6497966688816367</x:v>
      </x:c>
      <x:c r="F188" s="16" t="n">
        <x:f>IF(AND('Queries'!E188&lt;='Rules'!$B$15,'Queries'!C188&gt;='Rules'!$B$14,'Queries'!D188&lt;'Rules'!$B$16),1,0)</x:f>
        <x:v>0</x:v>
      </x:c>
      <x:c r="G188" s="16" t="n">
        <x:v>1</x:v>
      </x:c>
      <x:c r="H188" s="16" t="n">
        <x:v>1</x:v>
      </x:c>
      <x:c r="I188" s="16" t="n">
        <x:f>ROUND((B188*'Rules'!$B$6+C188/'Rules'!$B$12*'Rules'!$B$7+D188*'Rules'!$B$8+E188*'Rules'!$B$9+F188*'Rules'!$B$10+G188*'Rules'!$B$11)*H188,1)</x:f>
        <x:v>79</x:v>
      </x:c>
      <x:c r="J188" s="18" t="n">
        <x:f>'Queries'!C188*'Queries'!E188</x:f>
        <x:v>1797.84</x:v>
      </x:c>
    </x:row>
    <x:row r="189" ht="32" customHeight="1">
      <x:c r="A189" s="6" t="str">
        <x:v>porsche air suspension dubai</x:v>
      </x:c>
      <x:c r="B189" s="16" t="n">
        <x:v>1</x:v>
      </x:c>
      <x:c r="C189" s="16" t="n">
        <x:v>5</x:v>
      </x:c>
      <x:c r="D189" s="16" t="n">
        <x:f>IF('Queries'!E189&lt;='Rules'!$B$17,'Rules'!$B$21,IF('Queries'!E189&lt;='Rules'!$B$18,'Rules'!$B$22,IF('Queries'!E189&lt;='Rules'!$B$19,'Rules'!$B$23,IF('Queries'!E189&lt;='Rules'!$B$20,'Rules'!$B$24,'Rules'!$B$25))))</x:f>
        <x:v>0.7</x:v>
      </x:c>
      <x:c r="E189" s="16" t="n">
        <x:f>MIN(LOG10(1+'Queries'!C189)/'Rules'!$B$13,1)</x:f>
        <x:v>0.6481608907167233</x:v>
      </x:c>
      <x:c r="F189" s="16" t="n">
        <x:f>IF(AND('Queries'!E189&lt;='Rules'!$B$15,'Queries'!C189&gt;='Rules'!$B$14,'Queries'!D189&lt;'Rules'!$B$16),1,0)</x:f>
        <x:v>0</x:v>
      </x:c>
      <x:c r="G189" s="16" t="n">
        <x:v>1</x:v>
      </x:c>
      <x:c r="H189" s="16" t="n">
        <x:v>1</x:v>
      </x:c>
      <x:c r="I189" s="16" t="n">
        <x:f>ROUND((B189*'Rules'!$B$6+C189/'Rules'!$B$12*'Rules'!$B$7+D189*'Rules'!$B$8+E189*'Rules'!$B$9+F189*'Rules'!$B$10+G189*'Rules'!$B$11)*H189,1)</x:f>
        <x:v>79</x:v>
      </x:c>
      <x:c r="J189" s="18" t="n">
        <x:f>'Queries'!C189*'Queries'!E189</x:f>
        <x:v>2381.19</x:v>
      </x:c>
    </x:row>
    <x:row r="190" ht="32" customHeight="1">
      <x:c r="A190" s="6" t="str">
        <x:v>car brake repair dubai</x:v>
      </x:c>
      <x:c r="B190" s="16" t="n">
        <x:v>1</x:v>
      </x:c>
      <x:c r="C190" s="16" t="n">
        <x:v>3</x:v>
      </x:c>
      <x:c r="D190" s="16" t="n">
        <x:f>IF('Queries'!E190&lt;='Rules'!$B$17,'Rules'!$B$21,IF('Queries'!E190&lt;='Rules'!$B$18,'Rules'!$B$22,IF('Queries'!E190&lt;='Rules'!$B$19,'Rules'!$B$23,IF('Queries'!E190&lt;='Rules'!$B$20,'Rules'!$B$24,'Rules'!$B$25))))</x:f>
        <x:v>0.4</x:v>
      </x:c>
      <x:c r="E190" s="16" t="n">
        <x:f>MIN(LOG10(1+'Queries'!C190)/'Rules'!$B$13,1)</x:f>
        <x:v>0.6481608907167233</x:v>
      </x:c>
      <x:c r="F190" s="16" t="n">
        <x:f>IF(AND('Queries'!E190&lt;='Rules'!$B$15,'Queries'!C190&gt;='Rules'!$B$14,'Queries'!D190&lt;'Rules'!$B$16),1,0)</x:f>
        <x:v>0</x:v>
      </x:c>
      <x:c r="G190" s="16" t="n">
        <x:v>1</x:v>
      </x:c>
      <x:c r="H190" s="16" t="n">
        <x:v>1</x:v>
      </x:c>
      <x:c r="I190" s="16" t="n">
        <x:f>ROUND((B190*'Rules'!$B$6+C190/'Rules'!$B$12*'Rules'!$B$7+D190*'Rules'!$B$8+E190*'Rules'!$B$9+F190*'Rules'!$B$10+G190*'Rules'!$B$11)*H190,1)</x:f>
        <x:v>63.5</x:v>
      </x:c>
      <x:c r="J190" s="18" t="n">
        <x:f>'Queries'!C190*'Queries'!E190</x:f>
        <x:v>3120.6899999999996</x:v>
      </x:c>
    </x:row>
    <x:row r="191" ht="32" customHeight="1">
      <x:c r="A191" s="6" t="str">
        <x:v>oil service dubai</x:v>
      </x:c>
      <x:c r="B191" s="16" t="n">
        <x:v>1</x:v>
      </x:c>
      <x:c r="C191" s="16" t="n">
        <x:v>3</x:v>
      </x:c>
      <x:c r="D191" s="16" t="n">
        <x:f>IF('Queries'!E191&lt;='Rules'!$B$17,'Rules'!$B$21,IF('Queries'!E191&lt;='Rules'!$B$18,'Rules'!$B$22,IF('Queries'!E191&lt;='Rules'!$B$19,'Rules'!$B$23,IF('Queries'!E191&lt;='Rules'!$B$20,'Rules'!$B$24,'Rules'!$B$25))))</x:f>
        <x:v>0.15</x:v>
      </x:c>
      <x:c r="E191" s="16" t="n">
        <x:f>MIN(LOG10(1+'Queries'!C191)/'Rules'!$B$13,1)</x:f>
        <x:v>0.6481608907167233</x:v>
      </x:c>
      <x:c r="F191" s="16" t="n">
        <x:f>IF(AND('Queries'!E191&lt;='Rules'!$B$15,'Queries'!C191&gt;='Rules'!$B$14,'Queries'!D191&lt;'Rules'!$B$16),1,0)</x:f>
        <x:v>0</x:v>
      </x:c>
      <x:c r="G191" s="16" t="n">
        <x:v>1</x:v>
      </x:c>
      <x:c r="H191" s="16" t="n">
        <x:v>1</x:v>
      </x:c>
      <x:c r="I191" s="16" t="n">
        <x:f>ROUND((B191*'Rules'!$B$6+C191/'Rules'!$B$12*'Rules'!$B$7+D191*'Rules'!$B$8+E191*'Rules'!$B$9+F191*'Rules'!$B$10+G191*'Rules'!$B$11)*H191,1)</x:f>
        <x:v>57.2</x:v>
      </x:c>
      <x:c r="J191" s="18" t="n">
        <x:f>'Queries'!C191*'Queries'!E191</x:f>
        <x:v>3672.27</x:v>
      </x:c>
    </x:row>
    <x:row r="192" ht="32" customHeight="1">
      <x:c r="A192" s="6" t="str">
        <x:v>bmw transmission repair dubai</x:v>
      </x:c>
      <x:c r="B192" s="16" t="n">
        <x:v>1</x:v>
      </x:c>
      <x:c r="C192" s="16" t="n">
        <x:v>5</x:v>
      </x:c>
      <x:c r="D192" s="16" t="n">
        <x:f>IF('Queries'!E192&lt;='Rules'!$B$17,'Rules'!$B$21,IF('Queries'!E192&lt;='Rules'!$B$18,'Rules'!$B$22,IF('Queries'!E192&lt;='Rules'!$B$19,'Rules'!$B$23,IF('Queries'!E192&lt;='Rules'!$B$20,'Rules'!$B$24,'Rules'!$B$25))))</x:f>
        <x:v>1</x:v>
      </x:c>
      <x:c r="E192" s="16" t="n">
        <x:f>MIN(LOG10(1+'Queries'!C192)/'Rules'!$B$13,1)</x:f>
        <x:v>0.64650641753954</x:v>
      </x:c>
      <x:c r="F192" s="16" t="n">
        <x:f>IF(AND('Queries'!E192&lt;='Rules'!$B$15,'Queries'!C192&gt;='Rules'!$B$14,'Queries'!D192&lt;'Rules'!$B$16),1,0)</x:f>
        <x:v>0</x:v>
      </x:c>
      <x:c r="G192" s="16" t="n">
        <x:v>1</x:v>
      </x:c>
      <x:c r="H192" s="16" t="n">
        <x:v>1</x:v>
      </x:c>
      <x:c r="I192" s="16" t="n">
        <x:f>ROUND((B192*'Rules'!$B$6+C192/'Rules'!$B$12*'Rules'!$B$7+D192*'Rules'!$B$8+E192*'Rules'!$B$9+F192*'Rules'!$B$10+G192*'Rules'!$B$11)*H192,1)</x:f>
        <x:v>86.5</x:v>
      </x:c>
      <x:c r="J192" s="18" t="n">
        <x:f>'Queries'!C192*'Queries'!E192</x:f>
        <x:v>1003.62</x:v>
      </x:c>
    </x:row>
    <x:row r="193" ht="32" customHeight="1">
      <x:c r="A193" s="6" t="str">
        <x:v>rolls royce maintenance dubai</x:v>
      </x:c>
      <x:c r="B193" s="16" t="n">
        <x:v>1</x:v>
      </x:c>
      <x:c r="C193" s="16" t="n">
        <x:v>5</x:v>
      </x:c>
      <x:c r="D193" s="16" t="n">
        <x:f>IF('Queries'!E193&lt;='Rules'!$B$17,'Rules'!$B$21,IF('Queries'!E193&lt;='Rules'!$B$18,'Rules'!$B$22,IF('Queries'!E193&lt;='Rules'!$B$19,'Rules'!$B$23,IF('Queries'!E193&lt;='Rules'!$B$20,'Rules'!$B$24,'Rules'!$B$25))))</x:f>
        <x:v>0.7</x:v>
      </x:c>
      <x:c r="E193" s="16" t="n">
        <x:f>MIN(LOG10(1+'Queries'!C193)/'Rules'!$B$13,1)</x:f>
        <x:v>0.6414264286872934</x:v>
      </x:c>
      <x:c r="F193" s="16" t="n">
        <x:f>IF(AND('Queries'!E193&lt;='Rules'!$B$15,'Queries'!C193&gt;='Rules'!$B$14,'Queries'!D193&lt;'Rules'!$B$16),1,0)</x:f>
        <x:v>0</x:v>
      </x:c>
      <x:c r="G193" s="16" t="n">
        <x:v>1</x:v>
      </x:c>
      <x:c r="H193" s="16" t="n">
        <x:v>1</x:v>
      </x:c>
      <x:c r="I193" s="16" t="n">
        <x:f>ROUND((B193*'Rules'!$B$6+C193/'Rules'!$B$12*'Rules'!$B$7+D193*'Rules'!$B$8+E193*'Rules'!$B$9+F193*'Rules'!$B$10+G193*'Rules'!$B$11)*H193,1)</x:f>
        <x:v>78.9</x:v>
      </x:c>
      <x:c r="J193" s="18" t="n">
        <x:f>'Queries'!C193*'Queries'!E193</x:f>
        <x:v>1644.2299999999998</x:v>
      </x:c>
    </x:row>
    <x:row r="194" ht="32" customHeight="1">
      <x:c r="A194" s="6" t="str">
        <x:v>synthetic oil change dubai</x:v>
      </x:c>
      <x:c r="B194" s="16" t="n">
        <x:v>1</x:v>
      </x:c>
      <x:c r="C194" s="16" t="n">
        <x:v>3</x:v>
      </x:c>
      <x:c r="D194" s="16" t="n">
        <x:f>IF('Queries'!E194&lt;='Rules'!$B$17,'Rules'!$B$21,IF('Queries'!E194&lt;='Rules'!$B$18,'Rules'!$B$22,IF('Queries'!E194&lt;='Rules'!$B$19,'Rules'!$B$23,IF('Queries'!E194&lt;='Rules'!$B$20,'Rules'!$B$24,'Rules'!$B$25))))</x:f>
        <x:v>0.4</x:v>
      </x:c>
      <x:c r="E194" s="16" t="n">
        <x:f>MIN(LOG10(1+'Queries'!C194)/'Rules'!$B$13,1)</x:f>
        <x:v>0.63969269745869</x:v>
      </x:c>
      <x:c r="F194" s="16" t="n">
        <x:f>IF(AND('Queries'!E194&lt;='Rules'!$B$15,'Queries'!C194&gt;='Rules'!$B$14,'Queries'!D194&lt;'Rules'!$B$16),1,0)</x:f>
        <x:v>0</x:v>
      </x:c>
      <x:c r="G194" s="16" t="n">
        <x:v>1</x:v>
      </x:c>
      <x:c r="H194" s="16" t="n">
        <x:v>1</x:v>
      </x:c>
      <x:c r="I194" s="16" t="n">
        <x:f>ROUND((B194*'Rules'!$B$6+C194/'Rules'!$B$12*'Rules'!$B$7+D194*'Rules'!$B$8+E194*'Rules'!$B$9+F194*'Rules'!$B$10+G194*'Rules'!$B$11)*H194,1)</x:f>
        <x:v>63.4</x:v>
      </x:c>
      <x:c r="J194" s="18" t="n">
        <x:f>'Queries'!C194*'Queries'!E194</x:f>
        <x:v>3153.7200000000003</x:v>
      </x:c>
    </x:row>
    <x:row r="195" ht="32" customHeight="1">
      <x:c r="A195" s="6" t="str">
        <x:v>nissan service center dubai</x:v>
      </x:c>
      <x:c r="B195" s="16" t="n">
        <x:v>1</x:v>
      </x:c>
      <x:c r="C195" s="16" t="n">
        <x:v>3</x:v>
      </x:c>
      <x:c r="D195" s="16" t="n">
        <x:f>IF('Queries'!E195&lt;='Rules'!$B$17,'Rules'!$B$21,IF('Queries'!E195&lt;='Rules'!$B$18,'Rules'!$B$22,IF('Queries'!E195&lt;='Rules'!$B$19,'Rules'!$B$23,IF('Queries'!E195&lt;='Rules'!$B$20,'Rules'!$B$24,'Rules'!$B$25))))</x:f>
        <x:v>0.7</x:v>
      </x:c>
      <x:c r="E195" s="16" t="n">
        <x:f>MIN(LOG10(1+'Queries'!C195)/'Rules'!$B$13,1)</x:f>
        <x:v>0.6379379507945734</x:v>
      </x:c>
      <x:c r="F195" s="16" t="n">
        <x:f>IF(AND('Queries'!E195&lt;='Rules'!$B$15,'Queries'!C195&gt;='Rules'!$B$14,'Queries'!D195&lt;'Rules'!$B$16),1,0)</x:f>
        <x:v>0</x:v>
      </x:c>
      <x:c r="G195" s="16" t="n">
        <x:v>1</x:v>
      </x:c>
      <x:c r="H195" s="16" t="n">
        <x:v>1</x:v>
      </x:c>
      <x:c r="I195" s="16" t="n">
        <x:f>ROUND((B195*'Rules'!$B$6+C195/'Rules'!$B$12*'Rules'!$B$7+D195*'Rules'!$B$8+E195*'Rules'!$B$9+F195*'Rules'!$B$10+G195*'Rules'!$B$11)*H195,1)</x:f>
        <x:v>70.9</x:v>
      </x:c>
      <x:c r="J195" s="18" t="n">
        <x:f>'Queries'!C195*'Queries'!E195</x:f>
        <x:v>1308.96</x:v>
      </x:c>
    </x:row>
    <x:row r="196" ht="32" customHeight="1">
      <x:c r="A196" s="6" t="str">
        <x:v>mercedes benz service dubai</x:v>
      </x:c>
      <x:c r="B196" s="16" t="n">
        <x:v>1</x:v>
      </x:c>
      <x:c r="C196" s="16" t="n">
        <x:v>5</x:v>
      </x:c>
      <x:c r="D196" s="16" t="n">
        <x:f>IF('Queries'!E196&lt;='Rules'!$B$17,'Rules'!$B$21,IF('Queries'!E196&lt;='Rules'!$B$18,'Rules'!$B$22,IF('Queries'!E196&lt;='Rules'!$B$19,'Rules'!$B$23,IF('Queries'!E196&lt;='Rules'!$B$20,'Rules'!$B$24,'Rules'!$B$25))))</x:f>
        <x:v>0.7</x:v>
      </x:c>
      <x:c r="E196" s="16" t="n">
        <x:f>MIN(LOG10(1+'Queries'!C196)/'Rules'!$B$13,1)</x:f>
        <x:v>0.63616167295955</x:v>
      </x:c>
      <x:c r="F196" s="16" t="n">
        <x:f>IF(AND('Queries'!E196&lt;='Rules'!$B$15,'Queries'!C196&gt;='Rules'!$B$14,'Queries'!D196&lt;'Rules'!$B$16),1,0)</x:f>
        <x:v>0</x:v>
      </x:c>
      <x:c r="G196" s="16" t="n">
        <x:v>1</x:v>
      </x:c>
      <x:c r="H196" s="16" t="n">
        <x:v>1</x:v>
      </x:c>
      <x:c r="I196" s="16" t="n">
        <x:f>ROUND((B196*'Rules'!$B$6+C196/'Rules'!$B$12*'Rules'!$B$7+D196*'Rules'!$B$8+E196*'Rules'!$B$9+F196*'Rules'!$B$10+G196*'Rules'!$B$11)*H196,1)</x:f>
        <x:v>78.9</x:v>
      </x:c>
      <x:c r="J196" s="18" t="n">
        <x:f>'Queries'!C196*'Queries'!E196</x:f>
        <x:v>1208</x:v>
      </x:c>
    </x:row>
    <x:row r="197" ht="32" customHeight="1">
      <x:c r="A197" s="6" t="str">
        <x:v>mclaren repair abu dhabi</x:v>
      </x:c>
      <x:c r="B197" s="16" t="n">
        <x:v>1</x:v>
      </x:c>
      <x:c r="C197" s="16" t="n">
        <x:v>1</x:v>
      </x:c>
      <x:c r="D197" s="16" t="n">
        <x:f>IF('Queries'!E197&lt;='Rules'!$B$17,'Rules'!$B$21,IF('Queries'!E197&lt;='Rules'!$B$18,'Rules'!$B$22,IF('Queries'!E197&lt;='Rules'!$B$19,'Rules'!$B$23,IF('Queries'!E197&lt;='Rules'!$B$20,'Rules'!$B$24,'Rules'!$B$25))))</x:f>
        <x:v>0.7</x:v>
      </x:c>
      <x:c r="E197" s="16" t="n">
        <x:f>MIN(LOG10(1+'Queries'!C197)/'Rules'!$B$13,1)</x:f>
        <x:v>0.63616167295955</x:v>
      </x:c>
      <x:c r="F197" s="16" t="n">
        <x:f>IF(AND('Queries'!E197&lt;='Rules'!$B$15,'Queries'!C197&gt;='Rules'!$B$14,'Queries'!D197&lt;'Rules'!$B$16),1,0)</x:f>
        <x:v>0</x:v>
      </x:c>
      <x:c r="G197" s="16" t="n">
        <x:v>1</x:v>
      </x:c>
      <x:c r="H197" s="16" t="n">
        <x:v>0.2</x:v>
      </x:c>
      <x:c r="I197" s="16" t="n">
        <x:f>ROUND((B197*'Rules'!$B$6+C197/'Rules'!$B$12*'Rules'!$B$7+D197*'Rules'!$B$8+E197*'Rules'!$B$9+F197*'Rules'!$B$10+G197*'Rules'!$B$11)*H197,1)</x:f>
        <x:v>12.6</x:v>
      </x:c>
      <x:c r="J197" s="18" t="n">
        <x:f>'Queries'!C197*'Queries'!E197</x:f>
        <x:v>1591.2</x:v>
      </x:c>
    </x:row>
    <x:row r="198" ht="32" customHeight="1">
      <x:c r="A198" s="6" t="str">
        <x:v>mclaren maintenance dubai</x:v>
      </x:c>
      <x:c r="B198" s="16" t="n">
        <x:v>1</x:v>
      </x:c>
      <x:c r="C198" s="16" t="n">
        <x:v>5</x:v>
      </x:c>
      <x:c r="D198" s="16" t="n">
        <x:f>IF('Queries'!E198&lt;='Rules'!$B$17,'Rules'!$B$21,IF('Queries'!E198&lt;='Rules'!$B$18,'Rules'!$B$22,IF('Queries'!E198&lt;='Rules'!$B$19,'Rules'!$B$23,IF('Queries'!E198&lt;='Rules'!$B$20,'Rules'!$B$24,'Rules'!$B$25))))</x:f>
        <x:v>1</x:v>
      </x:c>
      <x:c r="E198" s="16" t="n">
        <x:f>MIN(LOG10(1+'Queries'!C198)/'Rules'!$B$13,1)</x:f>
        <x:v>0.6343633289973133</x:v>
      </x:c>
      <x:c r="F198" s="16" t="n">
        <x:f>IF(AND('Queries'!E198&lt;='Rules'!$B$15,'Queries'!C198&gt;='Rules'!$B$14,'Queries'!D198&lt;'Rules'!$B$16),1,0)</x:f>
        <x:v>0</x:v>
      </x:c>
      <x:c r="G198" s="16" t="n">
        <x:v>1</x:v>
      </x:c>
      <x:c r="H198" s="16" t="n">
        <x:v>1</x:v>
      </x:c>
      <x:c r="I198" s="16" t="n">
        <x:f>ROUND((B198*'Rules'!$B$6+C198/'Rules'!$B$12*'Rules'!$B$7+D198*'Rules'!$B$8+E198*'Rules'!$B$9+F198*'Rules'!$B$10+G198*'Rules'!$B$11)*H198,1)</x:f>
        <x:v>86.3</x:v>
      </x:c>
      <x:c r="J198" s="18" t="n">
        <x:f>'Queries'!C198*'Queries'!E198</x:f>
        <x:v>1063.3400000000001</x:v>
      </x:c>
    </x:row>
    <x:row r="199" ht="32" customHeight="1">
      <x:c r="A199" s="6" t="str">
        <x:v>aston martin brake repair dubai</x:v>
      </x:c>
      <x:c r="B199" s="16" t="n">
        <x:v>1</x:v>
      </x:c>
      <x:c r="C199" s="16" t="n">
        <x:v>5</x:v>
      </x:c>
      <x:c r="D199" s="16" t="n">
        <x:f>IF('Queries'!E199&lt;='Rules'!$B$17,'Rules'!$B$21,IF('Queries'!E199&lt;='Rules'!$B$18,'Rules'!$B$22,IF('Queries'!E199&lt;='Rules'!$B$19,'Rules'!$B$23,IF('Queries'!E199&lt;='Rules'!$B$20,'Rules'!$B$24,'Rules'!$B$25))))</x:f>
        <x:v>1</x:v>
      </x:c>
      <x:c r="E199" s="16" t="n">
        <x:f>MIN(LOG10(1+'Queries'!C199)/'Rules'!$B$13,1)</x:f>
        <x:v>0.6343633289973133</x:v>
      </x:c>
      <x:c r="F199" s="16" t="n">
        <x:f>IF(AND('Queries'!E199&lt;='Rules'!$B$15,'Queries'!C199&gt;='Rules'!$B$14,'Queries'!D199&lt;'Rules'!$B$16),1,0)</x:f>
        <x:v>0</x:v>
      </x:c>
      <x:c r="G199" s="16" t="n">
        <x:v>1</x:v>
      </x:c>
      <x:c r="H199" s="16" t="n">
        <x:v>1</x:v>
      </x:c>
      <x:c r="I199" s="16" t="n">
        <x:f>ROUND((B199*'Rules'!$B$6+C199/'Rules'!$B$12*'Rules'!$B$7+D199*'Rules'!$B$8+E199*'Rules'!$B$9+F199*'Rules'!$B$10+G199*'Rules'!$B$11)*H199,1)</x:f>
        <x:v>86.3</x:v>
      </x:c>
      <x:c r="J199" s="18" t="n">
        <x:f>'Queries'!C199*'Queries'!E199</x:f>
        <x:v>1094.1499999999999</x:v>
      </x:c>
    </x:row>
    <x:row r="200" ht="32" customHeight="1">
      <x:c r="A200" s="6" t="str">
        <x:v>hummer engine repair dubai</x:v>
      </x:c>
      <x:c r="B200" s="16" t="n">
        <x:v>1</x:v>
      </x:c>
      <x:c r="C200" s="16" t="n">
        <x:v>3</x:v>
      </x:c>
      <x:c r="D200" s="16" t="n">
        <x:f>IF('Queries'!E200&lt;='Rules'!$B$17,'Rules'!$B$21,IF('Queries'!E200&lt;='Rules'!$B$18,'Rules'!$B$22,IF('Queries'!E200&lt;='Rules'!$B$19,'Rules'!$B$23,IF('Queries'!E200&lt;='Rules'!$B$20,'Rules'!$B$24,'Rules'!$B$25))))</x:f>
        <x:v>0.7</x:v>
      </x:c>
      <x:c r="E200" s="16" t="n">
        <x:f>MIN(LOG10(1+'Queries'!C200)/'Rules'!$B$13,1)</x:f>
        <x:v>0.6343633289973133</x:v>
      </x:c>
      <x:c r="F200" s="16" t="n">
        <x:f>IF(AND('Queries'!E200&lt;='Rules'!$B$15,'Queries'!C200&gt;='Rules'!$B$14,'Queries'!D200&lt;'Rules'!$B$16),1,0)</x:f>
        <x:v>0</x:v>
      </x:c>
      <x:c r="G200" s="16" t="n">
        <x:v>1</x:v>
      </x:c>
      <x:c r="H200" s="16" t="n">
        <x:v>1</x:v>
      </x:c>
      <x:c r="I200" s="16" t="n">
        <x:f>ROUND((B200*'Rules'!$B$6+C200/'Rules'!$B$12*'Rules'!$B$7+D200*'Rules'!$B$8+E200*'Rules'!$B$9+F200*'Rules'!$B$10+G200*'Rules'!$B$11)*H200,1)</x:f>
        <x:v>70.8</x:v>
      </x:c>
      <x:c r="J200" s="18" t="n">
        <x:f>'Queries'!C200*'Queries'!E200</x:f>
        <x:v>2083.23</x:v>
      </x:c>
    </x:row>
    <x:row r="201" ht="32" customHeight="1">
      <x:c r="A201" s="6" t="str">
        <x:v>car oil change services in dubai</x:v>
      </x:c>
      <x:c r="B201" s="16" t="n">
        <x:v>1</x:v>
      </x:c>
      <x:c r="C201" s="16" t="n">
        <x:v>3</x:v>
      </x:c>
      <x:c r="D201" s="16" t="n">
        <x:f>IF('Queries'!E201&lt;='Rules'!$B$17,'Rules'!$B$21,IF('Queries'!E201&lt;='Rules'!$B$18,'Rules'!$B$22,IF('Queries'!E201&lt;='Rules'!$B$19,'Rules'!$B$23,IF('Queries'!E201&lt;='Rules'!$B$20,'Rules'!$B$24,'Rules'!$B$25))))</x:f>
        <x:v>0.15</x:v>
      </x:c>
      <x:c r="E201" s="16" t="n">
        <x:f>MIN(LOG10(1+'Queries'!C201)/'Rules'!$B$13,1)</x:f>
        <x:v>0.6343633289973133</x:v>
      </x:c>
      <x:c r="F201" s="16" t="n">
        <x:f>IF(AND('Queries'!E201&lt;='Rules'!$B$15,'Queries'!C201&gt;='Rules'!$B$14,'Queries'!D201&lt;'Rules'!$B$16),1,0)</x:f>
        <x:v>0</x:v>
      </x:c>
      <x:c r="G201" s="16" t="n">
        <x:v>1</x:v>
      </x:c>
      <x:c r="H201" s="16" t="n">
        <x:v>1</x:v>
      </x:c>
      <x:c r="I201" s="16" t="n">
        <x:f>ROUND((B201*'Rules'!$B$6+C201/'Rules'!$B$12*'Rules'!$B$7+D201*'Rules'!$B$8+E201*'Rules'!$B$9+F201*'Rules'!$B$10+G201*'Rules'!$B$11)*H201,1)</x:f>
        <x:v>57.1</x:v>
      </x:c>
      <x:c r="J201" s="18" t="n">
        <x:f>'Queries'!C201*'Queries'!E201</x:f>
        <x:v>3183.7</x:v>
      </x:c>
    </x:row>
    <x:row r="202" ht="32" customHeight="1">
      <x:c r="A202" s="6" t="str">
        <x:v>tyre change dubai</x:v>
      </x:c>
      <x:c r="B202" s="16" t="n">
        <x:v>1</x:v>
      </x:c>
      <x:c r="C202" s="16" t="n">
        <x:v>2</x:v>
      </x:c>
      <x:c r="D202" s="16" t="n">
        <x:f>IF('Queries'!E202&lt;='Rules'!$B$17,'Rules'!$B$21,IF('Queries'!E202&lt;='Rules'!$B$18,'Rules'!$B$22,IF('Queries'!E202&lt;='Rules'!$B$19,'Rules'!$B$23,IF('Queries'!E202&lt;='Rules'!$B$20,'Rules'!$B$24,'Rules'!$B$25))))</x:f>
        <x:v>0.15</x:v>
      </x:c>
      <x:c r="E202" s="16" t="n">
        <x:f>MIN(LOG10(1+'Queries'!C202)/'Rules'!$B$13,1)</x:f>
        <x:v>0.6343633289973133</x:v>
      </x:c>
      <x:c r="F202" s="16" t="n">
        <x:f>IF(AND('Queries'!E202&lt;='Rules'!$B$15,'Queries'!C202&gt;='Rules'!$B$14,'Queries'!D202&lt;'Rules'!$B$16),1,0)</x:f>
        <x:v>0</x:v>
      </x:c>
      <x:c r="G202" s="16" t="n">
        <x:v>1</x:v>
      </x:c>
      <x:c r="H202" s="16" t="n">
        <x:v>1</x:v>
      </x:c>
      <x:c r="I202" s="16" t="n">
        <x:f>ROUND((B202*'Rules'!$B$6+C202/'Rules'!$B$12*'Rules'!$B$7+D202*'Rules'!$B$8+E202*'Rules'!$B$9+F202*'Rules'!$B$10+G202*'Rules'!$B$11)*H202,1)</x:f>
        <x:v>53.1</x:v>
      </x:c>
      <x:c r="J202" s="18" t="n">
        <x:f>'Queries'!C202*'Queries'!E202</x:f>
        <x:v>5590.83</x:v>
      </x:c>
    </x:row>
    <x:row r="203" ht="32" customHeight="1">
      <x:c r="A203" s="6" t="str">
        <x:v>tire puncture repair near me</x:v>
      </x:c>
      <x:c r="B203" s="16" t="n">
        <x:v>1</x:v>
      </x:c>
      <x:c r="C203" s="16" t="n">
        <x:v>2</x:v>
      </x:c>
      <x:c r="D203" s="16" t="n">
        <x:f>IF('Queries'!E203&lt;='Rules'!$B$17,'Rules'!$B$21,IF('Queries'!E203&lt;='Rules'!$B$18,'Rules'!$B$22,IF('Queries'!E203&lt;='Rules'!$B$19,'Rules'!$B$23,IF('Queries'!E203&lt;='Rules'!$B$20,'Rules'!$B$24,'Rules'!$B$25))))</x:f>
        <x:v>1</x:v>
      </x:c>
      <x:c r="E203" s="16" t="n">
        <x:f>MIN(LOG10(1+'Queries'!C203)/'Rules'!$B$13,1)</x:f>
        <x:v>0.63254236376348</x:v>
      </x:c>
      <x:c r="F203" s="16" t="n">
        <x:f>IF(AND('Queries'!E203&lt;='Rules'!$B$15,'Queries'!C203&gt;='Rules'!$B$14,'Queries'!D203&lt;'Rules'!$B$16),1,0)</x:f>
        <x:v>1</x:v>
      </x:c>
      <x:c r="G203" s="16" t="n">
        <x:v>1</x:v>
      </x:c>
      <x:c r="H203" s="16" t="n">
        <x:v>1</x:v>
      </x:c>
      <x:c r="I203" s="16" t="n">
        <x:f>ROUND((B203*'Rules'!$B$6+C203/'Rules'!$B$12*'Rules'!$B$7+D203*'Rules'!$B$8+E203*'Rules'!$B$9+F203*'Rules'!$B$10+G203*'Rules'!$B$11)*H203,1)</x:f>
        <x:v>84.3</x:v>
      </x:c>
      <x:c r="J203" s="18" t="n">
        <x:f>'Queries'!C203*'Queries'!E203</x:f>
        <x:v>684.8399999999999</x:v>
      </x:c>
    </x:row>
    <x:row r="204" ht="32" customHeight="1">
      <x:c r="A204" s="6" t="str">
        <x:v>porsche gearbox repair dubai</x:v>
      </x:c>
      <x:c r="B204" s="16" t="n">
        <x:v>1</x:v>
      </x:c>
      <x:c r="C204" s="16" t="n">
        <x:v>5</x:v>
      </x:c>
      <x:c r="D204" s="16" t="n">
        <x:f>IF('Queries'!E204&lt;='Rules'!$B$17,'Rules'!$B$21,IF('Queries'!E204&lt;='Rules'!$B$18,'Rules'!$B$22,IF('Queries'!E204&lt;='Rules'!$B$19,'Rules'!$B$23,IF('Queries'!E204&lt;='Rules'!$B$20,'Rules'!$B$24,'Rules'!$B$25))))</x:f>
        <x:v>0.7</x:v>
      </x:c>
      <x:c r="E204" s="16" t="n">
        <x:f>MIN(LOG10(1+'Queries'!C204)/'Rules'!$B$13,1)</x:f>
        <x:v>0.63254236376348</x:v>
      </x:c>
      <x:c r="F204" s="16" t="n">
        <x:f>IF(AND('Queries'!E204&lt;='Rules'!$B$15,'Queries'!C204&gt;='Rules'!$B$14,'Queries'!D204&lt;'Rules'!$B$16),1,0)</x:f>
        <x:v>0</x:v>
      </x:c>
      <x:c r="G204" s="16" t="n">
        <x:v>1</x:v>
      </x:c>
      <x:c r="H204" s="16" t="n">
        <x:v>1</x:v>
      </x:c>
      <x:c r="I204" s="16" t="n">
        <x:f>ROUND((B204*'Rules'!$B$6+C204/'Rules'!$B$12*'Rules'!$B$7+D204*'Rules'!$B$8+E204*'Rules'!$B$9+F204*'Rules'!$B$10+G204*'Rules'!$B$11)*H204,1)</x:f>
        <x:v>78.8</x:v>
      </x:c>
      <x:c r="J204" s="18" t="n">
        <x:f>'Queries'!C204*'Queries'!E204</x:f>
        <x:v>1857.96</x:v>
      </x:c>
    </x:row>
    <x:row r="205" ht="32" customHeight="1">
      <x:c r="A205" s="6" t="str">
        <x:v>best chevrolet workshop</x:v>
      </x:c>
      <x:c r="B205" s="16" t="n">
        <x:v>0.8</x:v>
      </x:c>
      <x:c r="C205" s="16" t="n">
        <x:v>3</x:v>
      </x:c>
      <x:c r="D205" s="16" t="n">
        <x:f>IF('Queries'!E205&lt;='Rules'!$B$17,'Rules'!$B$21,IF('Queries'!E205&lt;='Rules'!$B$18,'Rules'!$B$22,IF('Queries'!E205&lt;='Rules'!$B$19,'Rules'!$B$23,IF('Queries'!E205&lt;='Rules'!$B$20,'Rules'!$B$24,'Rules'!$B$25))))</x:f>
        <x:v>0.7</x:v>
      </x:c>
      <x:c r="E205" s="16" t="n">
        <x:f>MIN(LOG10(1+'Queries'!C205)/'Rules'!$B$13,1)</x:f>
        <x:v>0.63254236376348</x:v>
      </x:c>
      <x:c r="F205" s="16" t="n">
        <x:f>IF(AND('Queries'!E205&lt;='Rules'!$B$15,'Queries'!C205&gt;='Rules'!$B$14,'Queries'!D205&lt;'Rules'!$B$16),1,0)</x:f>
        <x:v>0</x:v>
      </x:c>
      <x:c r="G205" s="16" t="n">
        <x:v>1</x:v>
      </x:c>
      <x:c r="H205" s="16" t="n">
        <x:v>1</x:v>
      </x:c>
      <x:c r="I205" s="16" t="n">
        <x:f>ROUND((B205*'Rules'!$B$6+C205/'Rules'!$B$12*'Rules'!$B$7+D205*'Rules'!$B$8+E205*'Rules'!$B$9+F205*'Rules'!$B$10+G205*'Rules'!$B$11)*H205,1)</x:f>
        <x:v>65.8</x:v>
      </x:c>
      <x:c r="J205" s="18" t="n">
        <x:f>'Queries'!C205*'Queries'!E205</x:f>
        <x:v>1968.7199999999998</x:v>
      </x:c>
    </x:row>
    <x:row r="206" ht="32" customHeight="1">
      <x:c r="A206" s="6" t="str">
        <x:v>car ac refill services dubai</x:v>
      </x:c>
      <x:c r="B206" s="16" t="n">
        <x:v>1</x:v>
      </x:c>
      <x:c r="C206" s="16" t="n">
        <x:v>3</x:v>
      </x:c>
      <x:c r="D206" s="16" t="n">
        <x:f>IF('Queries'!E206&lt;='Rules'!$B$17,'Rules'!$B$21,IF('Queries'!E206&lt;='Rules'!$B$18,'Rules'!$B$22,IF('Queries'!E206&lt;='Rules'!$B$19,'Rules'!$B$23,IF('Queries'!E206&lt;='Rules'!$B$20,'Rules'!$B$24,'Rules'!$B$25))))</x:f>
        <x:v>0.4</x:v>
      </x:c>
      <x:c r="E206" s="16" t="n">
        <x:f>MIN(LOG10(1+'Queries'!C206)/'Rules'!$B$13,1)</x:f>
        <x:v>0.63254236376348</x:v>
      </x:c>
      <x:c r="F206" s="16" t="n">
        <x:f>IF(AND('Queries'!E206&lt;='Rules'!$B$15,'Queries'!C206&gt;='Rules'!$B$14,'Queries'!D206&lt;'Rules'!$B$16),1,0)</x:f>
        <x:v>0</x:v>
      </x:c>
      <x:c r="G206" s="16" t="n">
        <x:v>1</x:v>
      </x:c>
      <x:c r="H206" s="16" t="n">
        <x:v>1</x:v>
      </x:c>
      <x:c r="I206" s="16" t="n">
        <x:f>ROUND((B206*'Rules'!$B$6+C206/'Rules'!$B$12*'Rules'!$B$7+D206*'Rules'!$B$8+E206*'Rules'!$B$9+F206*'Rules'!$B$10+G206*'Rules'!$B$11)*H206,1)</x:f>
        <x:v>63.3</x:v>
      </x:c>
      <x:c r="J206" s="18" t="n">
        <x:f>'Queries'!C206*'Queries'!E206</x:f>
        <x:v>2349.36</x:v>
      </x:c>
    </x:row>
    <x:row r="207" ht="32" customHeight="1">
      <x:c r="A207" s="6" t="str">
        <x:v>paint protection film in deira dubai</x:v>
      </x:c>
      <x:c r="B207" s="16" t="n">
        <x:v>1</x:v>
      </x:c>
      <x:c r="C207" s="16" t="n">
        <x:v>5</x:v>
      </x:c>
      <x:c r="D207" s="16" t="n">
        <x:f>IF('Queries'!E207&lt;='Rules'!$B$17,'Rules'!$B$21,IF('Queries'!E207&lt;='Rules'!$B$18,'Rules'!$B$22,IF('Queries'!E207&lt;='Rules'!$B$19,'Rules'!$B$23,IF('Queries'!E207&lt;='Rules'!$B$20,'Rules'!$B$24,'Rules'!$B$25))))</x:f>
        <x:v>0.4</x:v>
      </x:c>
      <x:c r="E207" s="16" t="n">
        <x:f>MIN(LOG10(1+'Queries'!C207)/'Rules'!$B$13,1)</x:f>
        <x:v>0.63254236376348</x:v>
      </x:c>
      <x:c r="F207" s="16" t="n">
        <x:f>IF(AND('Queries'!E207&lt;='Rules'!$B$15,'Queries'!C207&gt;='Rules'!$B$14,'Queries'!D207&lt;'Rules'!$B$16),1,0)</x:f>
        <x:v>0</x:v>
      </x:c>
      <x:c r="G207" s="16" t="n">
        <x:v>1</x:v>
      </x:c>
      <x:c r="H207" s="16" t="n">
        <x:v>1</x:v>
      </x:c>
      <x:c r="I207" s="16" t="n">
        <x:f>ROUND((B207*'Rules'!$B$6+C207/'Rules'!$B$12*'Rules'!$B$7+D207*'Rules'!$B$8+E207*'Rules'!$B$9+F207*'Rules'!$B$10+G207*'Rules'!$B$11)*H207,1)</x:f>
        <x:v>71.3</x:v>
      </x:c>
      <x:c r="J207" s="18" t="n">
        <x:f>'Queries'!C207*'Queries'!E207</x:f>
        <x:v>2698.0200000000004</x:v>
      </x:c>
    </x:row>
    <x:row r="208" ht="32" customHeight="1">
      <x:c r="A208" s="6" t="str">
        <x:v>car battery change</x:v>
      </x:c>
      <x:c r="B208" s="16" t="n">
        <x:v>0.8</x:v>
      </x:c>
      <x:c r="C208" s="16" t="n">
        <x:v>3</x:v>
      </x:c>
      <x:c r="D208" s="16" t="n">
        <x:f>IF('Queries'!E208&lt;='Rules'!$B$17,'Rules'!$B$21,IF('Queries'!E208&lt;='Rules'!$B$18,'Rules'!$B$22,IF('Queries'!E208&lt;='Rules'!$B$19,'Rules'!$B$23,IF('Queries'!E208&lt;='Rules'!$B$20,'Rules'!$B$24,'Rules'!$B$25))))</x:f>
        <x:v>0.15</x:v>
      </x:c>
      <x:c r="E208" s="16" t="n">
        <x:f>MIN(LOG10(1+'Queries'!C208)/'Rules'!$B$13,1)</x:f>
        <x:v>0.63254236376348</x:v>
      </x:c>
      <x:c r="F208" s="16" t="n">
        <x:f>IF(AND('Queries'!E208&lt;='Rules'!$B$15,'Queries'!C208&gt;='Rules'!$B$14,'Queries'!D208&lt;'Rules'!$B$16),1,0)</x:f>
        <x:v>0</x:v>
      </x:c>
      <x:c r="G208" s="16" t="n">
        <x:v>1</x:v>
      </x:c>
      <x:c r="H208" s="16" t="n">
        <x:v>1</x:v>
      </x:c>
      <x:c r="I208" s="16" t="n">
        <x:f>ROUND((B208*'Rules'!$B$6+C208/'Rules'!$B$12*'Rules'!$B$7+D208*'Rules'!$B$8+E208*'Rules'!$B$9+F208*'Rules'!$B$10+G208*'Rules'!$B$11)*H208,1)</x:f>
        <x:v>52.1</x:v>
      </x:c>
      <x:c r="J208" s="18" t="n">
        <x:f>'Queries'!C208*'Queries'!E208</x:f>
        <x:v>3371.16</x:v>
      </x:c>
    </x:row>
    <x:row r="209" ht="32" customHeight="1">
      <x:c r="A209" s="6" t="str">
        <x:v>aston martin repair</x:v>
      </x:c>
      <x:c r="B209" s="16" t="n">
        <x:v>0.8</x:v>
      </x:c>
      <x:c r="C209" s="16" t="n">
        <x:v>5</x:v>
      </x:c>
      <x:c r="D209" s="16" t="n">
        <x:f>IF('Queries'!E209&lt;='Rules'!$B$17,'Rules'!$B$21,IF('Queries'!E209&lt;='Rules'!$B$18,'Rules'!$B$22,IF('Queries'!E209&lt;='Rules'!$B$19,'Rules'!$B$23,IF('Queries'!E209&lt;='Rules'!$B$20,'Rules'!$B$24,'Rules'!$B$25))))</x:f>
        <x:v>0.7</x:v>
      </x:c>
      <x:c r="E209" s="16" t="n">
        <x:f>MIN(LOG10(1+'Queries'!C209)/'Rules'!$B$13,1)</x:f>
        <x:v>0.6306982008968266</x:v>
      </x:c>
      <x:c r="F209" s="16" t="n">
        <x:f>IF(AND('Queries'!E209&lt;='Rules'!$B$15,'Queries'!C209&gt;='Rules'!$B$14,'Queries'!D209&lt;'Rules'!$B$16),1,0)</x:f>
        <x:v>0</x:v>
      </x:c>
      <x:c r="G209" s="16" t="n">
        <x:v>1</x:v>
      </x:c>
      <x:c r="H209" s="16" t="n">
        <x:v>1</x:v>
      </x:c>
      <x:c r="I209" s="16" t="n">
        <x:f>ROUND((B209*'Rules'!$B$6+C209/'Rules'!$B$12*'Rules'!$B$7+D209*'Rules'!$B$8+E209*'Rules'!$B$9+F209*'Rules'!$B$10+G209*'Rules'!$B$11)*H209,1)</x:f>
        <x:v>73.8</x:v>
      </x:c>
      <x:c r="J209" s="18" t="n">
        <x:f>'Queries'!C209*'Queries'!E209</x:f>
        <x:v>1603.14</x:v>
      </x:c>
    </x:row>
    <x:row r="210" ht="32" customHeight="1">
      <x:c r="A210" s="6" t="str">
        <x:v>auto body repair dubai</x:v>
      </x:c>
      <x:c r="B210" s="16" t="n">
        <x:v>1</x:v>
      </x:c>
      <x:c r="C210" s="16" t="n">
        <x:v>3</x:v>
      </x:c>
      <x:c r="D210" s="16" t="n">
        <x:f>IF('Queries'!E210&lt;='Rules'!$B$17,'Rules'!$B$21,IF('Queries'!E210&lt;='Rules'!$B$18,'Rules'!$B$22,IF('Queries'!E210&lt;='Rules'!$B$19,'Rules'!$B$23,IF('Queries'!E210&lt;='Rules'!$B$20,'Rules'!$B$24,'Rules'!$B$25))))</x:f>
        <x:v>0.15</x:v>
      </x:c>
      <x:c r="E210" s="16" t="n">
        <x:f>MIN(LOG10(1+'Queries'!C210)/'Rules'!$B$13,1)</x:f>
        <x:v>0.6306982008968266</x:v>
      </x:c>
      <x:c r="F210" s="16" t="n">
        <x:f>IF(AND('Queries'!E210&lt;='Rules'!$B$15,'Queries'!C210&gt;='Rules'!$B$14,'Queries'!D210&lt;'Rules'!$B$16),1,0)</x:f>
        <x:v>0</x:v>
      </x:c>
      <x:c r="G210" s="16" t="n">
        <x:v>1</x:v>
      </x:c>
      <x:c r="H210" s="16" t="n">
        <x:v>1</x:v>
      </x:c>
      <x:c r="I210" s="16" t="n">
        <x:f>ROUND((B210*'Rules'!$B$6+C210/'Rules'!$B$12*'Rules'!$B$7+D210*'Rules'!$B$8+E210*'Rules'!$B$9+F210*'Rules'!$B$10+G210*'Rules'!$B$11)*H210,1)</x:f>
        <x:v>57.1</x:v>
      </x:c>
      <x:c r="J210" s="18" t="n">
        <x:f>'Queries'!C210*'Queries'!E210</x:f>
        <x:v>4121.81</x:v>
      </x:c>
    </x:row>
    <x:row r="211" ht="32" customHeight="1">
      <x:c r="A211" s="6" t="str">
        <x:v>best ferrari garage in dubai</x:v>
      </x:c>
      <x:c r="B211" s="16" t="n">
        <x:v>1</x:v>
      </x:c>
      <x:c r="C211" s="16" t="n">
        <x:v>5</x:v>
      </x:c>
      <x:c r="D211" s="16" t="n">
        <x:f>IF('Queries'!E211&lt;='Rules'!$B$17,'Rules'!$B$21,IF('Queries'!E211&lt;='Rules'!$B$18,'Rules'!$B$22,IF('Queries'!E211&lt;='Rules'!$B$19,'Rules'!$B$23,IF('Queries'!E211&lt;='Rules'!$B$20,'Rules'!$B$24,'Rules'!$B$25))))</x:f>
        <x:v>0.7</x:v>
      </x:c>
      <x:c r="E211" s="16" t="n">
        <x:f>MIN(LOG10(1+'Queries'!C211)/'Rules'!$B$13,1)</x:f>
        <x:v>0.62883024172416</x:v>
      </x:c>
      <x:c r="F211" s="16" t="n">
        <x:f>IF(AND('Queries'!E211&lt;='Rules'!$B$15,'Queries'!C211&gt;='Rules'!$B$14,'Queries'!D211&lt;'Rules'!$B$16),1,0)</x:f>
        <x:v>0</x:v>
      </x:c>
      <x:c r="G211" s="16" t="n">
        <x:v>1</x:v>
      </x:c>
      <x:c r="H211" s="16" t="n">
        <x:v>1</x:v>
      </x:c>
      <x:c r="I211" s="16" t="n">
        <x:f>ROUND((B211*'Rules'!$B$6+C211/'Rules'!$B$12*'Rules'!$B$7+D211*'Rules'!$B$8+E211*'Rules'!$B$9+F211*'Rules'!$B$10+G211*'Rules'!$B$11)*H211,1)</x:f>
        <x:v>78.8</x:v>
      </x:c>
      <x:c r="J211" s="18" t="n">
        <x:f>'Queries'!C211*'Queries'!E211</x:f>
        <x:v>1972.2</x:v>
      </x:c>
    </x:row>
    <x:row r="212" ht="32" customHeight="1">
      <x:c r="A212" s="6" t="str">
        <x:v>mercedes sound system upgrade in dubai</x:v>
      </x:c>
      <x:c r="B212" s="16" t="n">
        <x:v>1</x:v>
      </x:c>
      <x:c r="C212" s="16" t="n">
        <x:v>1</x:v>
      </x:c>
      <x:c r="D212" s="16" t="n">
        <x:f>IF('Queries'!E212&lt;='Rules'!$B$17,'Rules'!$B$21,IF('Queries'!E212&lt;='Rules'!$B$18,'Rules'!$B$22,IF('Queries'!E212&lt;='Rules'!$B$19,'Rules'!$B$23,IF('Queries'!E212&lt;='Rules'!$B$20,'Rules'!$B$24,'Rules'!$B$25))))</x:f>
        <x:v>0.15</x:v>
      </x:c>
      <x:c r="E212" s="16" t="n">
        <x:f>MIN(LOG10(1+'Queries'!C212)/'Rules'!$B$13,1)</x:f>
        <x:v>0.62883024172416</x:v>
      </x:c>
      <x:c r="F212" s="16" t="n">
        <x:f>IF(AND('Queries'!E212&lt;='Rules'!$B$15,'Queries'!C212&gt;='Rules'!$B$14,'Queries'!D212&lt;'Rules'!$B$16),1,0)</x:f>
        <x:v>0</x:v>
      </x:c>
      <x:c r="G212" s="16" t="n">
        <x:v>0</x:v>
      </x:c>
      <x:c r="H212" s="16" t="n">
        <x:v>0.1</x:v>
      </x:c>
      <x:c r="I212" s="16" t="n">
        <x:f>ROUND((B212*'Rules'!$B$6+C212/'Rules'!$B$12*'Rules'!$B$7+D212*'Rules'!$B$8+E212*'Rules'!$B$9+F212*'Rules'!$B$10+G212*'Rules'!$B$11)*H212,1)</x:f>
        <x:v>3.9</x:v>
      </x:c>
      <x:c r="J212" s="18" t="n">
        <x:f>'Queries'!C212*'Queries'!E212</x:f>
        <x:v>4626.12</x:v>
      </x:c>
    </x:row>
    <x:row r="213" ht="32" customHeight="1">
      <x:c r="A213" s="6" t="str">
        <x:v>puncher workshop near me</x:v>
      </x:c>
      <x:c r="B213" s="16" t="n">
        <x:v>1</x:v>
      </x:c>
      <x:c r="C213" s="16" t="n">
        <x:v>2</x:v>
      </x:c>
      <x:c r="D213" s="16" t="n">
        <x:f>IF('Queries'!E213&lt;='Rules'!$B$17,'Rules'!$B$21,IF('Queries'!E213&lt;='Rules'!$B$18,'Rules'!$B$22,IF('Queries'!E213&lt;='Rules'!$B$19,'Rules'!$B$23,IF('Queries'!E213&lt;='Rules'!$B$20,'Rules'!$B$24,'Rules'!$B$25))))</x:f>
        <x:v>1</x:v>
      </x:c>
      <x:c r="E213" s="16" t="n">
        <x:f>MIN(LOG10(1+'Queries'!C213)/'Rules'!$B$13,1)</x:f>
        <x:v>0.6269378640935966</x:v>
      </x:c>
      <x:c r="F213" s="16" t="n">
        <x:f>IF(AND('Queries'!E213&lt;='Rules'!$B$15,'Queries'!C213&gt;='Rules'!$B$14,'Queries'!D213&lt;'Rules'!$B$16),1,0)</x:f>
        <x:v>1</x:v>
      </x:c>
      <x:c r="G213" s="16" t="n">
        <x:v>1</x:v>
      </x:c>
      <x:c r="H213" s="16" t="n">
        <x:v>1</x:v>
      </x:c>
      <x:c r="I213" s="16" t="n">
        <x:f>ROUND((B213*'Rules'!$B$6+C213/'Rules'!$B$12*'Rules'!$B$7+D213*'Rules'!$B$8+E213*'Rules'!$B$9+F213*'Rules'!$B$10+G213*'Rules'!$B$11)*H213,1)</x:f>
        <x:v>84.3</x:v>
      </x:c>
      <x:c r="J213" s="18" t="n">
        <x:f>'Queries'!C213*'Queries'!E213</x:f>
        <x:v>714</x:v>
      </x:c>
    </x:row>
    <x:row r="214" ht="32" customHeight="1">
      <x:c r="A214" s="6" t="str">
        <x:v>bmw workshop dubai</x:v>
      </x:c>
      <x:c r="B214" s="16" t="n">
        <x:v>1</x:v>
      </x:c>
      <x:c r="C214" s="16" t="n">
        <x:v>5</x:v>
      </x:c>
      <x:c r="D214" s="16" t="n">
        <x:f>IF('Queries'!E214&lt;='Rules'!$B$17,'Rules'!$B$21,IF('Queries'!E214&lt;='Rules'!$B$18,'Rules'!$B$22,IF('Queries'!E214&lt;='Rules'!$B$19,'Rules'!$B$23,IF('Queries'!E214&lt;='Rules'!$B$20,'Rules'!$B$24,'Rules'!$B$25))))</x:f>
        <x:v>0.7</x:v>
      </x:c>
      <x:c r="E214" s="16" t="n">
        <x:f>MIN(LOG10(1+'Queries'!C214)/'Rules'!$B$13,1)</x:f>
        <x:v>0.6269378640935966</x:v>
      </x:c>
      <x:c r="F214" s="16" t="n">
        <x:f>IF(AND('Queries'!E214&lt;='Rules'!$B$15,'Queries'!C214&gt;='Rules'!$B$14,'Queries'!D214&lt;'Rules'!$B$16),1,0)</x:f>
        <x:v>0</x:v>
      </x:c>
      <x:c r="G214" s="16" t="n">
        <x:v>1</x:v>
      </x:c>
      <x:c r="H214" s="16" t="n">
        <x:v>1</x:v>
      </x:c>
      <x:c r="I214" s="16" t="n">
        <x:f>ROUND((B214*'Rules'!$B$6+C214/'Rules'!$B$12*'Rules'!$B$7+D214*'Rules'!$B$8+E214*'Rules'!$B$9+F214*'Rules'!$B$10+G214*'Rules'!$B$11)*H214,1)</x:f>
        <x:v>78.8</x:v>
      </x:c>
      <x:c r="J214" s="18" t="n">
        <x:f>'Queries'!C214*'Queries'!E214</x:f>
        <x:v>1614</x:v>
      </x:c>
    </x:row>
    <x:row r="215" ht="32" customHeight="1">
      <x:c r="A215" s="6" t="str">
        <x:v>nissan body shop</x:v>
      </x:c>
      <x:c r="B215" s="16" t="n">
        <x:v>0.8</x:v>
      </x:c>
      <x:c r="C215" s="16" t="n">
        <x:v>3</x:v>
      </x:c>
      <x:c r="D215" s="16" t="n">
        <x:f>IF('Queries'!E215&lt;='Rules'!$B$17,'Rules'!$B$21,IF('Queries'!E215&lt;='Rules'!$B$18,'Rules'!$B$22,IF('Queries'!E215&lt;='Rules'!$B$19,'Rules'!$B$23,IF('Queries'!E215&lt;='Rules'!$B$20,'Rules'!$B$24,'Rules'!$B$25))))</x:f>
        <x:v>1</x:v>
      </x:c>
      <x:c r="E215" s="16" t="n">
        <x:f>MIN(LOG10(1+'Queries'!C215)/'Rules'!$B$13,1)</x:f>
        <x:v>0.6250204211305667</x:v>
      </x:c>
      <x:c r="F215" s="16" t="n">
        <x:f>IF(AND('Queries'!E215&lt;='Rules'!$B$15,'Queries'!C215&gt;='Rules'!$B$14,'Queries'!D215&lt;'Rules'!$B$16),1,0)</x:f>
        <x:v>0</x:v>
      </x:c>
      <x:c r="G215" s="16" t="n">
        <x:v>1</x:v>
      </x:c>
      <x:c r="H215" s="16" t="n">
        <x:v>1</x:v>
      </x:c>
      <x:c r="I215" s="16" t="n">
        <x:f>ROUND((B215*'Rules'!$B$6+C215/'Rules'!$B$12*'Rules'!$B$7+D215*'Rules'!$B$8+E215*'Rules'!$B$9+F215*'Rules'!$B$10+G215*'Rules'!$B$11)*H215,1)</x:f>
        <x:v>73.3</x:v>
      </x:c>
      <x:c r="J215" s="18" t="n">
        <x:f>'Queries'!C215*'Queries'!E215</x:f>
        <x:v>962.74</x:v>
      </x:c>
    </x:row>
    <x:row r="216" ht="32" customHeight="1">
      <x:c r="A216" s="6" t="str">
        <x:v>bentley workshop dubai</x:v>
      </x:c>
      <x:c r="B216" s="16" t="n">
        <x:v>1</x:v>
      </x:c>
      <x:c r="C216" s="16" t="n">
        <x:v>5</x:v>
      </x:c>
      <x:c r="D216" s="16" t="n">
        <x:f>IF('Queries'!E216&lt;='Rules'!$B$17,'Rules'!$B$21,IF('Queries'!E216&lt;='Rules'!$B$18,'Rules'!$B$22,IF('Queries'!E216&lt;='Rules'!$B$19,'Rules'!$B$23,IF('Queries'!E216&lt;='Rules'!$B$20,'Rules'!$B$24,'Rules'!$B$25))))</x:f>
        <x:v>0.4</x:v>
      </x:c>
      <x:c r="E216" s="16" t="n">
        <x:f>MIN(LOG10(1+'Queries'!C216)/'Rules'!$B$13,1)</x:f>
        <x:v>0.6250204211305667</x:v>
      </x:c>
      <x:c r="F216" s="16" t="n">
        <x:f>IF(AND('Queries'!E216&lt;='Rules'!$B$15,'Queries'!C216&gt;='Rules'!$B$14,'Queries'!D216&lt;'Rules'!$B$16),1,0)</x:f>
        <x:v>0</x:v>
      </x:c>
      <x:c r="G216" s="16" t="n">
        <x:v>1</x:v>
      </x:c>
      <x:c r="H216" s="16" t="n">
        <x:v>1</x:v>
      </x:c>
      <x:c r="I216" s="16" t="n">
        <x:f>ROUND((B216*'Rules'!$B$6+C216/'Rules'!$B$12*'Rules'!$B$7+D216*'Rules'!$B$8+E216*'Rules'!$B$9+F216*'Rules'!$B$10+G216*'Rules'!$B$11)*H216,1)</x:f>
        <x:v>71.3</x:v>
      </x:c>
      <x:c r="J216" s="18" t="n">
        <x:f>'Queries'!C216*'Queries'!E216</x:f>
        <x:v>2698.04</x:v>
      </x:c>
    </x:row>
    <x:row r="217" ht="32" customHeight="1">
      <x:c r="A217" s="6" t="str">
        <x:v>rolls royce engine repair dubai</x:v>
      </x:c>
      <x:c r="B217" s="16" t="n">
        <x:v>1</x:v>
      </x:c>
      <x:c r="C217" s="16" t="n">
        <x:v>5</x:v>
      </x:c>
      <x:c r="D217" s="16" t="n">
        <x:f>IF('Queries'!E217&lt;='Rules'!$B$17,'Rules'!$B$21,IF('Queries'!E217&lt;='Rules'!$B$18,'Rules'!$B$22,IF('Queries'!E217&lt;='Rules'!$B$19,'Rules'!$B$23,IF('Queries'!E217&lt;='Rules'!$B$20,'Rules'!$B$24,'Rules'!$B$25))))</x:f>
        <x:v>0.7</x:v>
      </x:c>
      <x:c r="E217" s="16" t="n">
        <x:f>MIN(LOG10(1+'Queries'!C217)/'Rules'!$B$13,1)</x:f>
        <x:v>0.6230772399103267</x:v>
      </x:c>
      <x:c r="F217" s="16" t="n">
        <x:f>IF(AND('Queries'!E217&lt;='Rules'!$B$15,'Queries'!C217&gt;='Rules'!$B$14,'Queries'!D217&lt;'Rules'!$B$16),1,0)</x:f>
        <x:v>0</x:v>
      </x:c>
      <x:c r="G217" s="16" t="n">
        <x:v>1</x:v>
      </x:c>
      <x:c r="H217" s="16" t="n">
        <x:v>1</x:v>
      </x:c>
      <x:c r="I217" s="16" t="n">
        <x:f>ROUND((B217*'Rules'!$B$6+C217/'Rules'!$B$12*'Rules'!$B$7+D217*'Rules'!$B$8+E217*'Rules'!$B$9+F217*'Rules'!$B$10+G217*'Rules'!$B$11)*H217,1)</x:f>
        <x:v>78.7</x:v>
      </x:c>
      <x:c r="J217" s="18" t="n">
        <x:f>'Queries'!C217*'Queries'!E217</x:f>
        <x:v>2046.9199999999998</x:v>
      </x:c>
    </x:row>
    <x:row r="218" ht="32" customHeight="1">
      <x:c r="A218" s="6" t="str">
        <x:v>ferrari specialist</x:v>
      </x:c>
      <x:c r="B218" s="16" t="n">
        <x:v>0.8</x:v>
      </x:c>
      <x:c r="C218" s="16" t="n">
        <x:v>5</x:v>
      </x:c>
      <x:c r="D218" s="16" t="n">
        <x:f>IF('Queries'!E218&lt;='Rules'!$B$17,'Rules'!$B$21,IF('Queries'!E218&lt;='Rules'!$B$18,'Rules'!$B$22,IF('Queries'!E218&lt;='Rules'!$B$19,'Rules'!$B$23,IF('Queries'!E218&lt;='Rules'!$B$20,'Rules'!$B$24,'Rules'!$B$25))))</x:f>
        <x:v>0.7</x:v>
      </x:c>
      <x:c r="E218" s="16" t="n">
        <x:f>MIN(LOG10(1+'Queries'!C218)/'Rules'!$B$13,1)</x:f>
        <x:v>0.6230772399103267</x:v>
      </x:c>
      <x:c r="F218" s="16" t="n">
        <x:f>IF(AND('Queries'!E218&lt;='Rules'!$B$15,'Queries'!C218&gt;='Rules'!$B$14,'Queries'!D218&lt;'Rules'!$B$16),1,0)</x:f>
        <x:v>0</x:v>
      </x:c>
      <x:c r="G218" s="16" t="n">
        <x:v>1</x:v>
      </x:c>
      <x:c r="H218" s="16" t="n">
        <x:v>1</x:v>
      </x:c>
      <x:c r="I218" s="16" t="n">
        <x:f>ROUND((B218*'Rules'!$B$6+C218/'Rules'!$B$12*'Rules'!$B$7+D218*'Rules'!$B$8+E218*'Rules'!$B$9+F218*'Rules'!$B$10+G218*'Rules'!$B$11)*H218,1)</x:f>
        <x:v>73.7</x:v>
      </x:c>
      <x:c r="J218" s="18" t="n">
        <x:f>'Queries'!C218*'Queries'!E218</x:f>
        <x:v>2160.07</x:v>
      </x:c>
    </x:row>
    <x:row r="219" ht="32" customHeight="1">
      <x:c r="A219" s="6" t="str">
        <x:v>car battery change dubai</x:v>
      </x:c>
      <x:c r="B219" s="16" t="n">
        <x:v>1</x:v>
      </x:c>
      <x:c r="C219" s="16" t="n">
        <x:v>3</x:v>
      </x:c>
      <x:c r="D219" s="16" t="n">
        <x:f>IF('Queries'!E219&lt;='Rules'!$B$17,'Rules'!$B$21,IF('Queries'!E219&lt;='Rules'!$B$18,'Rules'!$B$22,IF('Queries'!E219&lt;='Rules'!$B$19,'Rules'!$B$23,IF('Queries'!E219&lt;='Rules'!$B$20,'Rules'!$B$24,'Rules'!$B$25))))</x:f>
        <x:v>0.15</x:v>
      </x:c>
      <x:c r="E219" s="16" t="n">
        <x:f>MIN(LOG10(1+'Queries'!C219)/'Rules'!$B$13,1)</x:f>
        <x:v>0.6230772399103267</x:v>
      </x:c>
      <x:c r="F219" s="16" t="n">
        <x:f>IF(AND('Queries'!E219&lt;='Rules'!$B$15,'Queries'!C219&gt;='Rules'!$B$14,'Queries'!D219&lt;'Rules'!$B$16),1,0)</x:f>
        <x:v>0</x:v>
      </x:c>
      <x:c r="G219" s="16" t="n">
        <x:v>1</x:v>
      </x:c>
      <x:c r="H219" s="16" t="n">
        <x:v>1</x:v>
      </x:c>
      <x:c r="I219" s="16" t="n">
        <x:f>ROUND((B219*'Rules'!$B$6+C219/'Rules'!$B$12*'Rules'!$B$7+D219*'Rules'!$B$8+E219*'Rules'!$B$9+F219*'Rules'!$B$10+G219*'Rules'!$B$11)*H219,1)</x:f>
        <x:v>57</x:v>
      </x:c>
      <x:c r="J219" s="18" t="n">
        <x:f>'Queries'!C219*'Queries'!E219</x:f>
        <x:v>2979.13</x:v>
      </x:c>
    </x:row>
    <x:row r="220" ht="32" customHeight="1">
      <x:c r="A220" s="6" t="str">
        <x:v>best paint protection film al murar</x:v>
      </x:c>
      <x:c r="B220" s="16" t="n">
        <x:v>1</x:v>
      </x:c>
      <x:c r="C220" s="16" t="n">
        <x:v>5</x:v>
      </x:c>
      <x:c r="D220" s="16" t="n">
        <x:f>IF('Queries'!E220&lt;='Rules'!$B$17,'Rules'!$B$21,IF('Queries'!E220&lt;='Rules'!$B$18,'Rules'!$B$22,IF('Queries'!E220&lt;='Rules'!$B$19,'Rules'!$B$23,IF('Queries'!E220&lt;='Rules'!$B$20,'Rules'!$B$24,'Rules'!$B$25))))</x:f>
        <x:v>0.15</x:v>
      </x:c>
      <x:c r="E220" s="16" t="n">
        <x:f>MIN(LOG10(1+'Queries'!C220)/'Rules'!$B$13,1)</x:f>
        <x:v>0.6230772399103267</x:v>
      </x:c>
      <x:c r="F220" s="16" t="n">
        <x:f>IF(AND('Queries'!E220&lt;='Rules'!$B$15,'Queries'!C220&gt;='Rules'!$B$14,'Queries'!D220&lt;'Rules'!$B$16),1,0)</x:f>
        <x:v>0</x:v>
      </x:c>
      <x:c r="G220" s="16" t="n">
        <x:v>1</x:v>
      </x:c>
      <x:c r="H220" s="16" t="n">
        <x:v>1</x:v>
      </x:c>
      <x:c r="I220" s="16" t="n">
        <x:f>ROUND((B220*'Rules'!$B$6+C220/'Rules'!$B$12*'Rules'!$B$7+D220*'Rules'!$B$8+E220*'Rules'!$B$9+F220*'Rules'!$B$10+G220*'Rules'!$B$11)*H220,1)</x:f>
        <x:v>65</x:v>
      </x:c>
      <x:c r="J220" s="18" t="n">
        <x:f>'Queries'!C220*'Queries'!E220</x:f>
        <x:v>5372.799999999999</x:v>
      </x:c>
    </x:row>
    <x:row r="221" ht="32" customHeight="1">
      <x:c r="A221" s="6" t="str">
        <x:v>ferrari service centre dubai</x:v>
      </x:c>
      <x:c r="B221" s="16" t="n">
        <x:v>1</x:v>
      </x:c>
      <x:c r="C221" s="16" t="n">
        <x:v>5</x:v>
      </x:c>
      <x:c r="D221" s="16" t="n">
        <x:f>IF('Queries'!E221&lt;='Rules'!$B$17,'Rules'!$B$21,IF('Queries'!E221&lt;='Rules'!$B$18,'Rules'!$B$22,IF('Queries'!E221&lt;='Rules'!$B$19,'Rules'!$B$23,IF('Queries'!E221&lt;='Rules'!$B$20,'Rules'!$B$24,'Rules'!$B$25))))</x:f>
        <x:v>0.7</x:v>
      </x:c>
      <x:c r="E221" s="16" t="n">
        <x:f>MIN(LOG10(1+'Queries'!C221)/'Rules'!$B$13,1)</x:f>
        <x:v>0.6211076200401533</x:v>
      </x:c>
      <x:c r="F221" s="16" t="n">
        <x:f>IF(AND('Queries'!E221&lt;='Rules'!$B$15,'Queries'!C221&gt;='Rules'!$B$14,'Queries'!D221&lt;'Rules'!$B$16),1,0)</x:f>
        <x:v>0</x:v>
      </x:c>
      <x:c r="G221" s="16" t="n">
        <x:v>1</x:v>
      </x:c>
      <x:c r="H221" s="16" t="n">
        <x:v>1</x:v>
      </x:c>
      <x:c r="I221" s="16" t="n">
        <x:f>ROUND((B221*'Rules'!$B$6+C221/'Rules'!$B$12*'Rules'!$B$7+D221*'Rules'!$B$8+E221*'Rules'!$B$9+F221*'Rules'!$B$10+G221*'Rules'!$B$11)*H221,1)</x:f>
        <x:v>78.7</x:v>
      </x:c>
      <x:c r="J221" s="18" t="n">
        <x:f>'Queries'!C221*'Queries'!E221</x:f>
        <x:v>1936.8</x:v>
      </x:c>
    </x:row>
    <x:row r="222" ht="32" customHeight="1">
      <x:c r="A222" s="6" t="str">
        <x:v>bmw coding service</x:v>
      </x:c>
      <x:c r="B222" s="16" t="n">
        <x:v>0.8</x:v>
      </x:c>
      <x:c r="C222" s="16" t="n">
        <x:v>5</x:v>
      </x:c>
      <x:c r="D222" s="16" t="n">
        <x:f>IF('Queries'!E222&lt;='Rules'!$B$17,'Rules'!$B$21,IF('Queries'!E222&lt;='Rules'!$B$18,'Rules'!$B$22,IF('Queries'!E222&lt;='Rules'!$B$19,'Rules'!$B$23,IF('Queries'!E222&lt;='Rules'!$B$20,'Rules'!$B$24,'Rules'!$B$25))))</x:f>
        <x:v>0.4</x:v>
      </x:c>
      <x:c r="E222" s="16" t="n">
        <x:f>MIN(LOG10(1+'Queries'!C222)/'Rules'!$B$13,1)</x:f>
        <x:v>0.6211076200401533</x:v>
      </x:c>
      <x:c r="F222" s="16" t="n">
        <x:f>IF(AND('Queries'!E222&lt;='Rules'!$B$15,'Queries'!C222&gt;='Rules'!$B$14,'Queries'!D222&lt;'Rules'!$B$16),1,0)</x:f>
        <x:v>0</x:v>
      </x:c>
      <x:c r="G222" s="16" t="n">
        <x:v>1</x:v>
      </x:c>
      <x:c r="H222" s="16" t="n">
        <x:v>1</x:v>
      </x:c>
      <x:c r="I222" s="16" t="n">
        <x:f>ROUND((B222*'Rules'!$B$6+C222/'Rules'!$B$12*'Rules'!$B$7+D222*'Rules'!$B$8+E222*'Rules'!$B$9+F222*'Rules'!$B$10+G222*'Rules'!$B$11)*H222,1)</x:f>
        <x:v>66.2</x:v>
      </x:c>
      <x:c r="J222" s="18" t="n">
        <x:f>'Queries'!C222*'Queries'!E222</x:f>
        <x:v>2643.84</x:v>
      </x:c>
    </x:row>
    <x:row r="223" ht="32" customHeight="1">
      <x:c r="A223" s="6" t="str">
        <x:v>jeep repair dubai</x:v>
      </x:c>
      <x:c r="B223" s="16" t="n">
        <x:v>1</x:v>
      </x:c>
      <x:c r="C223" s="16" t="n">
        <x:v>3</x:v>
      </x:c>
      <x:c r="D223" s="16" t="n">
        <x:f>IF('Queries'!E223&lt;='Rules'!$B$17,'Rules'!$B$21,IF('Queries'!E223&lt;='Rules'!$B$18,'Rules'!$B$22,IF('Queries'!E223&lt;='Rules'!$B$19,'Rules'!$B$23,IF('Queries'!E223&lt;='Rules'!$B$20,'Rules'!$B$24,'Rules'!$B$25))))</x:f>
        <x:v>0.15</x:v>
      </x:c>
      <x:c r="E223" s="16" t="n">
        <x:f>MIN(LOG10(1+'Queries'!C223)/'Rules'!$B$13,1)</x:f>
        <x:v>0.6170861162396933</x:v>
      </x:c>
      <x:c r="F223" s="16" t="n">
        <x:f>IF(AND('Queries'!E223&lt;='Rules'!$B$15,'Queries'!C223&gt;='Rules'!$B$14,'Queries'!D223&lt;'Rules'!$B$16),1,0)</x:f>
        <x:v>0</x:v>
      </x:c>
      <x:c r="G223" s="16" t="n">
        <x:v>1</x:v>
      </x:c>
      <x:c r="H223" s="16" t="n">
        <x:v>1</x:v>
      </x:c>
      <x:c r="I223" s="16" t="n">
        <x:f>ROUND((B223*'Rules'!$B$6+C223/'Rules'!$B$12*'Rules'!$B$7+D223*'Rules'!$B$8+E223*'Rules'!$B$9+F223*'Rules'!$B$10+G223*'Rules'!$B$11)*H223,1)</x:f>
        <x:v>56.9</x:v>
      </x:c>
      <x:c r="J223" s="18" t="n">
        <x:f>'Queries'!C223*'Queries'!E223</x:f>
        <x:v>2923.2</x:v>
      </x:c>
    </x:row>
    <x:row r="224" ht="32" customHeight="1">
      <x:c r="A224" s="6" t="str">
        <x:v>mclaren oil change service dubai</x:v>
      </x:c>
      <x:c r="B224" s="16" t="n">
        <x:v>1</x:v>
      </x:c>
      <x:c r="C224" s="16" t="n">
        <x:v>5</x:v>
      </x:c>
      <x:c r="D224" s="16" t="n">
        <x:f>IF('Queries'!E224&lt;='Rules'!$B$17,'Rules'!$B$21,IF('Queries'!E224&lt;='Rules'!$B$18,'Rules'!$B$22,IF('Queries'!E224&lt;='Rules'!$B$19,'Rules'!$B$23,IF('Queries'!E224&lt;='Rules'!$B$20,'Rules'!$B$24,'Rules'!$B$25))))</x:f>
        <x:v>1</x:v>
      </x:c>
      <x:c r="E224" s="16" t="n">
        <x:f>MIN(LOG10(1+'Queries'!C224)/'Rules'!$B$13,1)</x:f>
        <x:v>0.6150326800047533</x:v>
      </x:c>
      <x:c r="F224" s="16" t="n">
        <x:f>IF(AND('Queries'!E224&lt;='Rules'!$B$15,'Queries'!C224&gt;='Rules'!$B$14,'Queries'!D224&lt;'Rules'!$B$16),1,0)</x:f>
        <x:v>0</x:v>
      </x:c>
      <x:c r="G224" s="16" t="n">
        <x:v>1</x:v>
      </x:c>
      <x:c r="H224" s="16" t="n">
        <x:v>1</x:v>
      </x:c>
      <x:c r="I224" s="16" t="n">
        <x:f>ROUND((B224*'Rules'!$B$6+C224/'Rules'!$B$12*'Rules'!$B$7+D224*'Rules'!$B$8+E224*'Rules'!$B$9+F224*'Rules'!$B$10+G224*'Rules'!$B$11)*H224,1)</x:f>
        <x:v>86.2</x:v>
      </x:c>
      <x:c r="J224" s="18" t="n">
        <x:f>'Queries'!C224*'Queries'!E224</x:f>
        <x:v>1032.24</x:v>
      </x:c>
    </x:row>
    <x:row r="225" ht="32" customHeight="1">
      <x:c r="A225" s="6" t="str">
        <x:v>rolls royce workshop dubai</x:v>
      </x:c>
      <x:c r="B225" s="16" t="n">
        <x:v>1</x:v>
      </x:c>
      <x:c r="C225" s="16" t="n">
        <x:v>5</x:v>
      </x:c>
      <x:c r="D225" s="16" t="n">
        <x:f>IF('Queries'!E225&lt;='Rules'!$B$17,'Rules'!$B$21,IF('Queries'!E225&lt;='Rules'!$B$18,'Rules'!$B$22,IF('Queries'!E225&lt;='Rules'!$B$19,'Rules'!$B$23,IF('Queries'!E225&lt;='Rules'!$B$20,'Rules'!$B$24,'Rules'!$B$25))))</x:f>
        <x:v>0.7</x:v>
      </x:c>
      <x:c r="E225" s="16" t="n">
        <x:f>MIN(LOG10(1+'Queries'!C225)/'Rules'!$B$13,1)</x:f>
        <x:v>0.6150326800047533</x:v>
      </x:c>
      <x:c r="F225" s="16" t="n">
        <x:f>IF(AND('Queries'!E225&lt;='Rules'!$B$15,'Queries'!C225&gt;='Rules'!$B$14,'Queries'!D225&lt;'Rules'!$B$16),1,0)</x:f>
        <x:v>0</x:v>
      </x:c>
      <x:c r="G225" s="16" t="n">
        <x:v>1</x:v>
      </x:c>
      <x:c r="H225" s="16" t="n">
        <x:v>1</x:v>
      </x:c>
      <x:c r="I225" s="16" t="n">
        <x:f>ROUND((B225*'Rules'!$B$6+C225/'Rules'!$B$12*'Rules'!$B$7+D225*'Rules'!$B$8+E225*'Rules'!$B$9+F225*'Rules'!$B$10+G225*'Rules'!$B$11)*H225,1)</x:f>
        <x:v>78.7</x:v>
      </x:c>
      <x:c r="J225" s="18" t="n">
        <x:f>'Queries'!C225*'Queries'!E225</x:f>
        <x:v>1613.91</x:v>
      </x:c>
    </x:row>
    <x:row r="226" ht="32" customHeight="1">
      <x:c r="A226" s="6" t="str">
        <x:v>cadillac ac repair</x:v>
      </x:c>
      <x:c r="B226" s="16" t="n">
        <x:v>0.8</x:v>
      </x:c>
      <x:c r="C226" s="16" t="n">
        <x:v>3</x:v>
      </x:c>
      <x:c r="D226" s="16" t="n">
        <x:f>IF('Queries'!E226&lt;='Rules'!$B$17,'Rules'!$B$21,IF('Queries'!E226&lt;='Rules'!$B$18,'Rules'!$B$22,IF('Queries'!E226&lt;='Rules'!$B$19,'Rules'!$B$23,IF('Queries'!E226&lt;='Rules'!$B$20,'Rules'!$B$24,'Rules'!$B$25))))</x:f>
        <x:v>0.15</x:v>
      </x:c>
      <x:c r="E226" s="16" t="n">
        <x:f>MIN(LOG10(1+'Queries'!C226)/'Rules'!$B$13,1)</x:f>
        <x:v>0.6150326800047533</x:v>
      </x:c>
      <x:c r="F226" s="16" t="n">
        <x:f>IF(AND('Queries'!E226&lt;='Rules'!$B$15,'Queries'!C226&gt;='Rules'!$B$14,'Queries'!D226&lt;'Rules'!$B$16),1,0)</x:f>
        <x:v>0</x:v>
      </x:c>
      <x:c r="G226" s="16" t="n">
        <x:v>1</x:v>
      </x:c>
      <x:c r="H226" s="16" t="n">
        <x:v>1</x:v>
      </x:c>
      <x:c r="I226" s="16" t="n">
        <x:f>ROUND((B226*'Rules'!$B$6+C226/'Rules'!$B$12*'Rules'!$B$7+D226*'Rules'!$B$8+E226*'Rules'!$B$9+F226*'Rules'!$B$10+G226*'Rules'!$B$11)*H226,1)</x:f>
        <x:v>51.9</x:v>
      </x:c>
      <x:c r="J226" s="18" t="n">
        <x:f>'Queries'!C226*'Queries'!E226</x:f>
        <x:v>3194.7</x:v>
      </x:c>
    </x:row>
    <x:row r="227" ht="32" customHeight="1">
      <x:c r="A227" s="6" t="str">
        <x:v>bmw engine repair dubai</x:v>
      </x:c>
      <x:c r="B227" s="16" t="n">
        <x:v>1</x:v>
      </x:c>
      <x:c r="C227" s="16" t="n">
        <x:v>5</x:v>
      </x:c>
      <x:c r="D227" s="16" t="n">
        <x:f>IF('Queries'!E227&lt;='Rules'!$B$17,'Rules'!$B$21,IF('Queries'!E227&lt;='Rules'!$B$18,'Rules'!$B$22,IF('Queries'!E227&lt;='Rules'!$B$19,'Rules'!$B$23,IF('Queries'!E227&lt;='Rules'!$B$20,'Rules'!$B$24,'Rules'!$B$25))))</x:f>
        <x:v>0.7</x:v>
      </x:c>
      <x:c r="E227" s="16" t="n">
        <x:f>MIN(LOG10(1+'Queries'!C227)/'Rules'!$B$13,1)</x:f>
        <x:v>0.6129496969124201</x:v>
      </x:c>
      <x:c r="F227" s="16" t="n">
        <x:f>IF(AND('Queries'!E227&lt;='Rules'!$B$15,'Queries'!C227&gt;='Rules'!$B$14,'Queries'!D227&lt;'Rules'!$B$16),1,0)</x:f>
        <x:v>0</x:v>
      </x:c>
      <x:c r="G227" s="16" t="n">
        <x:v>1</x:v>
      </x:c>
      <x:c r="H227" s="16" t="n">
        <x:v>1</x:v>
      </x:c>
      <x:c r="I227" s="16" t="n">
        <x:f>ROUND((B227*'Rules'!$B$6+C227/'Rules'!$B$12*'Rules'!$B$7+D227*'Rules'!$B$8+E227*'Rules'!$B$9+F227*'Rules'!$B$10+G227*'Rules'!$B$11)*H227,1)</x:f>
        <x:v>78.6</x:v>
      </x:c>
      <x:c r="J227" s="18" t="n">
        <x:f>'Queries'!C227*'Queries'!E227</x:f>
        <x:v>1145.12</x:v>
      </x:c>
    </x:row>
    <x:row r="228" ht="32" customHeight="1">
      <x:c r="A228" s="6" t="str">
        <x:v>porsche transmission repair dubai</x:v>
      </x:c>
      <x:c r="B228" s="16" t="n">
        <x:v>1</x:v>
      </x:c>
      <x:c r="C228" s="16" t="n">
        <x:v>5</x:v>
      </x:c>
      <x:c r="D228" s="16" t="n">
        <x:f>IF('Queries'!E228&lt;='Rules'!$B$17,'Rules'!$B$21,IF('Queries'!E228&lt;='Rules'!$B$18,'Rules'!$B$22,IF('Queries'!E228&lt;='Rules'!$B$19,'Rules'!$B$23,IF('Queries'!E228&lt;='Rules'!$B$20,'Rules'!$B$24,'Rules'!$B$25))))</x:f>
        <x:v>0.7</x:v>
      </x:c>
      <x:c r="E228" s="16" t="n">
        <x:f>MIN(LOG10(1+'Queries'!C228)/'Rules'!$B$13,1)</x:f>
        <x:v>0.6129496969124201</x:v>
      </x:c>
      <x:c r="F228" s="16" t="n">
        <x:f>IF(AND('Queries'!E228&lt;='Rules'!$B$15,'Queries'!C228&gt;='Rules'!$B$14,'Queries'!D228&lt;'Rules'!$B$16),1,0)</x:f>
        <x:v>0</x:v>
      </x:c>
      <x:c r="G228" s="16" t="n">
        <x:v>1</x:v>
      </x:c>
      <x:c r="H228" s="16" t="n">
        <x:v>1</x:v>
      </x:c>
      <x:c r="I228" s="16" t="n">
        <x:f>ROUND((B228*'Rules'!$B$6+C228/'Rules'!$B$12*'Rules'!$B$7+D228*'Rules'!$B$8+E228*'Rules'!$B$9+F228*'Rules'!$B$10+G228*'Rules'!$B$11)*H228,1)</x:f>
        <x:v>78.6</x:v>
      </x:c>
      <x:c r="J228" s="18" t="n">
        <x:f>'Queries'!C228*'Queries'!E228</x:f>
        <x:v>1221.96</x:v>
      </x:c>
    </x:row>
    <x:row r="229" ht="32" customHeight="1">
      <x:c r="A229" s="6" t="str">
        <x:v>oil change in dubai</x:v>
      </x:c>
      <x:c r="B229" s="16" t="n">
        <x:v>1</x:v>
      </x:c>
      <x:c r="C229" s="16" t="n">
        <x:v>3</x:v>
      </x:c>
      <x:c r="D229" s="16" t="n">
        <x:f>IF('Queries'!E229&lt;='Rules'!$B$17,'Rules'!$B$21,IF('Queries'!E229&lt;='Rules'!$B$18,'Rules'!$B$22,IF('Queries'!E229&lt;='Rules'!$B$19,'Rules'!$B$23,IF('Queries'!E229&lt;='Rules'!$B$20,'Rules'!$B$24,'Rules'!$B$25))))</x:f>
        <x:v>0.7</x:v>
      </x:c>
      <x:c r="E229" s="16" t="n">
        <x:f>MIN(LOG10(1+'Queries'!C229)/'Rules'!$B$13,1)</x:f>
        <x:v>0.6108363042354134</x:v>
      </x:c>
      <x:c r="F229" s="16" t="n">
        <x:f>IF(AND('Queries'!E229&lt;='Rules'!$B$15,'Queries'!C229&gt;='Rules'!$B$14,'Queries'!D229&lt;'Rules'!$B$16),1,0)</x:f>
        <x:v>0</x:v>
      </x:c>
      <x:c r="G229" s="16" t="n">
        <x:v>1</x:v>
      </x:c>
      <x:c r="H229" s="16" t="n">
        <x:v>1</x:v>
      </x:c>
      <x:c r="I229" s="16" t="n">
        <x:f>ROUND((B229*'Rules'!$B$6+C229/'Rules'!$B$12*'Rules'!$B$7+D229*'Rules'!$B$8+E229*'Rules'!$B$9+F229*'Rules'!$B$10+G229*'Rules'!$B$11)*H229,1)</x:f>
        <x:v>70.6</x:v>
      </x:c>
      <x:c r="J229" s="18" t="n">
        <x:f>'Queries'!C229*'Queries'!E229</x:f>
        <x:v>1575.17</x:v>
      </x:c>
    </x:row>
    <x:row r="230" ht="32" customHeight="1">
      <x:c r="A230" s="6" t="str">
        <x:v>mercedes ac repair</x:v>
      </x:c>
      <x:c r="B230" s="16" t="n">
        <x:v>0.8</x:v>
      </x:c>
      <x:c r="C230" s="16" t="n">
        <x:v>5</x:v>
      </x:c>
      <x:c r="D230" s="16" t="n">
        <x:f>IF('Queries'!E230&lt;='Rules'!$B$17,'Rules'!$B$21,IF('Queries'!E230&lt;='Rules'!$B$18,'Rules'!$B$22,IF('Queries'!E230&lt;='Rules'!$B$19,'Rules'!$B$23,IF('Queries'!E230&lt;='Rules'!$B$20,'Rules'!$B$24,'Rules'!$B$25))))</x:f>
        <x:v>0.7</x:v>
      </x:c>
      <x:c r="E230" s="16" t="n">
        <x:f>MIN(LOG10(1+'Queries'!C230)/'Rules'!$B$13,1)</x:f>
        <x:v>0.6108363042354134</x:v>
      </x:c>
      <x:c r="F230" s="16" t="n">
        <x:f>IF(AND('Queries'!E230&lt;='Rules'!$B$15,'Queries'!C230&gt;='Rules'!$B$14,'Queries'!D230&lt;'Rules'!$B$16),1,0)</x:f>
        <x:v>0</x:v>
      </x:c>
      <x:c r="G230" s="16" t="n">
        <x:v>1</x:v>
      </x:c>
      <x:c r="H230" s="16" t="n">
        <x:v>1</x:v>
      </x:c>
      <x:c r="I230" s="16" t="n">
        <x:f>ROUND((B230*'Rules'!$B$6+C230/'Rules'!$B$12*'Rules'!$B$7+D230*'Rules'!$B$8+E230*'Rules'!$B$9+F230*'Rules'!$B$10+G230*'Rules'!$B$11)*H230,1)</x:f>
        <x:v>73.6</x:v>
      </x:c>
      <x:c r="J230" s="18" t="n">
        <x:f>'Queries'!C230*'Queries'!E230</x:f>
        <x:v>1737.98</x:v>
      </x:c>
    </x:row>
    <x:row r="231" ht="32" customHeight="1">
      <x:c r="A231" s="6" t="str">
        <x:v>ferrari battery replacement dubai</x:v>
      </x:c>
      <x:c r="B231" s="16" t="n">
        <x:v>1</x:v>
      </x:c>
      <x:c r="C231" s="16" t="n">
        <x:v>5</x:v>
      </x:c>
      <x:c r="D231" s="16" t="n">
        <x:f>IF('Queries'!E231&lt;='Rules'!$B$17,'Rules'!$B$21,IF('Queries'!E231&lt;='Rules'!$B$18,'Rules'!$B$22,IF('Queries'!E231&lt;='Rules'!$B$19,'Rules'!$B$23,IF('Queries'!E231&lt;='Rules'!$B$20,'Rules'!$B$24,'Rules'!$B$25))))</x:f>
        <x:v>0.4</x:v>
      </x:c>
      <x:c r="E231" s="16" t="n">
        <x:f>MIN(LOG10(1+'Queries'!C231)/'Rules'!$B$13,1)</x:f>
        <x:v>0.6108363042354134</x:v>
      </x:c>
      <x:c r="F231" s="16" t="n">
        <x:f>IF(AND('Queries'!E231&lt;='Rules'!$B$15,'Queries'!C231&gt;='Rules'!$B$14,'Queries'!D231&lt;'Rules'!$B$16),1,0)</x:f>
        <x:v>0</x:v>
      </x:c>
      <x:c r="G231" s="16" t="n">
        <x:v>1</x:v>
      </x:c>
      <x:c r="H231" s="16" t="n">
        <x:v>1</x:v>
      </x:c>
      <x:c r="I231" s="16" t="n">
        <x:f>ROUND((B231*'Rules'!$B$6+C231/'Rules'!$B$12*'Rules'!$B$7+D231*'Rules'!$B$8+E231*'Rules'!$B$9+F231*'Rules'!$B$10+G231*'Rules'!$B$11)*H231,1)</x:f>
        <x:v>71.1</x:v>
      </x:c>
      <x:c r="J231" s="18" t="n">
        <x:f>'Queries'!C231*'Queries'!E231</x:f>
        <x:v>2107.15</x:v>
      </x:c>
    </x:row>
    <x:row r="232" ht="32" customHeight="1">
      <x:c r="A232" s="6" t="str">
        <x:v>audi transmission repair dubai</x:v>
      </x:c>
      <x:c r="B232" s="16" t="n">
        <x:v>1</x:v>
      </x:c>
      <x:c r="C232" s="16" t="n">
        <x:v>5</x:v>
      </x:c>
      <x:c r="D232" s="16" t="n">
        <x:f>IF('Queries'!E232&lt;='Rules'!$B$17,'Rules'!$B$21,IF('Queries'!E232&lt;='Rules'!$B$18,'Rules'!$B$22,IF('Queries'!E232&lt;='Rules'!$B$19,'Rules'!$B$23,IF('Queries'!E232&lt;='Rules'!$B$20,'Rules'!$B$24,'Rules'!$B$25))))</x:f>
        <x:v>0.4</x:v>
      </x:c>
      <x:c r="E232" s="16" t="n">
        <x:f>MIN(LOG10(1+'Queries'!C232)/'Rules'!$B$13,1)</x:f>
        <x:v>0.6086916009002766</x:v>
      </x:c>
      <x:c r="F232" s="16" t="n">
        <x:f>IF(AND('Queries'!E232&lt;='Rules'!$B$15,'Queries'!C232&gt;='Rules'!$B$14,'Queries'!D232&lt;'Rules'!$B$16),1,0)</x:f>
        <x:v>0</x:v>
      </x:c>
      <x:c r="G232" s="16" t="n">
        <x:v>1</x:v>
      </x:c>
      <x:c r="H232" s="16" t="n">
        <x:v>1</x:v>
      </x:c>
      <x:c r="I232" s="16" t="n">
        <x:f>ROUND((B232*'Rules'!$B$6+C232/'Rules'!$B$12*'Rules'!$B$7+D232*'Rules'!$B$8+E232*'Rules'!$B$9+F232*'Rules'!$B$10+G232*'Rules'!$B$11)*H232,1)</x:f>
        <x:v>71.1</x:v>
      </x:c>
      <x:c r="J232" s="18" t="n">
        <x:f>'Queries'!C232*'Queries'!E232</x:f>
        <x:v>2189.2200000000003</x:v>
      </x:c>
    </x:row>
    <x:row r="233" ht="32" customHeight="1">
      <x:c r="A233" s="6" t="str">
        <x:v>bugatti service dubai</x:v>
      </x:c>
      <x:c r="B233" s="16" t="n">
        <x:v>1</x:v>
      </x:c>
      <x:c r="C233" s="16" t="n">
        <x:v>5</x:v>
      </x:c>
      <x:c r="D233" s="16" t="n">
        <x:f>IF('Queries'!E233&lt;='Rules'!$B$17,'Rules'!$B$21,IF('Queries'!E233&lt;='Rules'!$B$18,'Rules'!$B$22,IF('Queries'!E233&lt;='Rules'!$B$19,'Rules'!$B$23,IF('Queries'!E233&lt;='Rules'!$B$20,'Rules'!$B$24,'Rules'!$B$25))))</x:f>
        <x:v>1</x:v>
      </x:c>
      <x:c r="E233" s="16" t="n">
        <x:f>MIN(LOG10(1+'Queries'!C233)/'Rules'!$B$13,1)</x:f>
        <x:v>0.6065146451806234</x:v>
      </x:c>
      <x:c r="F233" s="16" t="n">
        <x:f>IF(AND('Queries'!E233&lt;='Rules'!$B$15,'Queries'!C233&gt;='Rules'!$B$14,'Queries'!D233&lt;'Rules'!$B$16),1,0)</x:f>
        <x:v>0</x:v>
      </x:c>
      <x:c r="G233" s="16" t="n">
        <x:v>1</x:v>
      </x:c>
      <x:c r="H233" s="16" t="n">
        <x:v>1</x:v>
      </x:c>
      <x:c r="I233" s="16" t="n">
        <x:f>ROUND((B233*'Rules'!$B$6+C233/'Rules'!$B$12*'Rules'!$B$7+D233*'Rules'!$B$8+E233*'Rules'!$B$9+F233*'Rules'!$B$10+G233*'Rules'!$B$11)*H233,1)</x:f>
        <x:v>86.1</x:v>
      </x:c>
      <x:c r="J233" s="18" t="n">
        <x:f>'Queries'!C233*'Queries'!E233</x:f>
        <x:v>904.15</x:v>
      </x:c>
    </x:row>
    <x:row r="234" ht="32" customHeight="1">
      <x:c r="A234" s="6" t="str">
        <x:v>car diagnostic</x:v>
      </x:c>
      <x:c r="B234" s="16" t="n">
        <x:v>0.8</x:v>
      </x:c>
      <x:c r="C234" s="16" t="n">
        <x:v>3</x:v>
      </x:c>
      <x:c r="D234" s="16" t="n">
        <x:f>IF('Queries'!E234&lt;='Rules'!$B$17,'Rules'!$B$21,IF('Queries'!E234&lt;='Rules'!$B$18,'Rules'!$B$22,IF('Queries'!E234&lt;='Rules'!$B$19,'Rules'!$B$23,IF('Queries'!E234&lt;='Rules'!$B$20,'Rules'!$B$24,'Rules'!$B$25))))</x:f>
        <x:v>0.15</x:v>
      </x:c>
      <x:c r="E234" s="16" t="n">
        <x:f>MIN(LOG10(1+'Queries'!C234)/'Rules'!$B$13,1)</x:f>
        <x:v>0.6065146451806234</x:v>
      </x:c>
      <x:c r="F234" s="16" t="n">
        <x:f>IF(AND('Queries'!E234&lt;='Rules'!$B$15,'Queries'!C234&gt;='Rules'!$B$14,'Queries'!D234&lt;'Rules'!$B$16),1,0)</x:f>
        <x:v>0</x:v>
      </x:c>
      <x:c r="G234" s="16" t="n">
        <x:v>1</x:v>
      </x:c>
      <x:c r="H234" s="16" t="n">
        <x:v>1</x:v>
      </x:c>
      <x:c r="I234" s="16" t="n">
        <x:f>ROUND((B234*'Rules'!$B$6+C234/'Rules'!$B$12*'Rules'!$B$7+D234*'Rules'!$B$8+E234*'Rules'!$B$9+F234*'Rules'!$B$10+G234*'Rules'!$B$11)*H234,1)</x:f>
        <x:v>51.8</x:v>
      </x:c>
      <x:c r="J234" s="18" t="n">
        <x:f>'Queries'!C234*'Queries'!E234</x:f>
        <x:v>2926.3</x:v>
      </x:c>
    </x:row>
    <x:row r="235" ht="32" customHeight="1">
      <x:c r="A235" s="6" t="str">
        <x:v>flat tire repair near me</x:v>
      </x:c>
      <x:c r="B235" s="16" t="n">
        <x:v>1</x:v>
      </x:c>
      <x:c r="C235" s="16" t="n">
        <x:v>2</x:v>
      </x:c>
      <x:c r="D235" s="16" t="n">
        <x:f>IF('Queries'!E235&lt;='Rules'!$B$17,'Rules'!$B$21,IF('Queries'!E235&lt;='Rules'!$B$18,'Rules'!$B$22,IF('Queries'!E235&lt;='Rules'!$B$19,'Rules'!$B$23,IF('Queries'!E235&lt;='Rules'!$B$20,'Rules'!$B$24,'Rules'!$B$25))))</x:f>
        <x:v>1</x:v>
      </x:c>
      <x:c r="E235" s="16" t="n">
        <x:f>MIN(LOG10(1+'Queries'!C235)/'Rules'!$B$13,1)</x:f>
        <x:v>0.6043044522142866</x:v>
      </x:c>
      <x:c r="F235" s="16" t="n">
        <x:f>IF(AND('Queries'!E235&lt;='Rules'!$B$15,'Queries'!C235&gt;='Rules'!$B$14,'Queries'!D235&lt;'Rules'!$B$16),1,0)</x:f>
        <x:v>1</x:v>
      </x:c>
      <x:c r="G235" s="16" t="n">
        <x:v>1</x:v>
      </x:c>
      <x:c r="H235" s="16" t="n">
        <x:v>1</x:v>
      </x:c>
      <x:c r="I235" s="16" t="n">
        <x:f>ROUND((B235*'Rules'!$B$6+C235/'Rules'!$B$12*'Rules'!$B$7+D235*'Rules'!$B$8+E235*'Rules'!$B$9+F235*'Rules'!$B$10+G235*'Rules'!$B$11)*H235,1)</x:f>
        <x:v>84</x:v>
      </x:c>
      <x:c r="J235" s="18" t="n">
        <x:f>'Queries'!C235*'Queries'!E235</x:f>
        <x:v>634.88</x:v>
      </x:c>
    </x:row>
    <x:row r="236" ht="32" customHeight="1">
      <x:c r="A236" s="6" t="str">
        <x:v>mercedes benz auto repair in dubai</x:v>
      </x:c>
      <x:c r="B236" s="16" t="n">
        <x:v>1</x:v>
      </x:c>
      <x:c r="C236" s="16" t="n">
        <x:v>5</x:v>
      </x:c>
      <x:c r="D236" s="16" t="n">
        <x:f>IF('Queries'!E236&lt;='Rules'!$B$17,'Rules'!$B$21,IF('Queries'!E236&lt;='Rules'!$B$18,'Rules'!$B$22,IF('Queries'!E236&lt;='Rules'!$B$19,'Rules'!$B$23,IF('Queries'!E236&lt;='Rules'!$B$20,'Rules'!$B$24,'Rules'!$B$25))))</x:f>
        <x:v>0.7</x:v>
      </x:c>
      <x:c r="E236" s="16" t="n">
        <x:f>MIN(LOG10(1+'Queries'!C236)/'Rules'!$B$13,1)</x:f>
        <x:v>0.6043044522142866</x:v>
      </x:c>
      <x:c r="F236" s="16" t="n">
        <x:f>IF(AND('Queries'!E236&lt;='Rules'!$B$15,'Queries'!C236&gt;='Rules'!$B$14,'Queries'!D236&lt;'Rules'!$B$16),1,0)</x:f>
        <x:v>0</x:v>
      </x:c>
      <x:c r="G236" s="16" t="n">
        <x:v>1</x:v>
      </x:c>
      <x:c r="H236" s="16" t="n">
        <x:v>1</x:v>
      </x:c>
      <x:c r="I236" s="16" t="n">
        <x:f>ROUND((B236*'Rules'!$B$6+C236/'Rules'!$B$12*'Rules'!$B$7+D236*'Rules'!$B$8+E236*'Rules'!$B$9+F236*'Rules'!$B$10+G236*'Rules'!$B$11)*H236,1)</x:f>
        <x:v>78.5</x:v>
      </x:c>
      <x:c r="J236" s="18" t="n">
        <x:f>'Queries'!C236*'Queries'!E236</x:f>
        <x:v>1189.76</x:v>
      </x:c>
    </x:row>
    <x:row r="237" ht="32" customHeight="1">
      <x:c r="A237" s="6" t="str">
        <x:v>audi battery replacement dubai</x:v>
      </x:c>
      <x:c r="B237" s="16" t="n">
        <x:v>1</x:v>
      </x:c>
      <x:c r="C237" s="16" t="n">
        <x:v>5</x:v>
      </x:c>
      <x:c r="D237" s="16" t="n">
        <x:f>IF('Queries'!E237&lt;='Rules'!$B$17,'Rules'!$B$21,IF('Queries'!E237&lt;='Rules'!$B$18,'Rules'!$B$22,IF('Queries'!E237&lt;='Rules'!$B$19,'Rules'!$B$23,IF('Queries'!E237&lt;='Rules'!$B$20,'Rules'!$B$24,'Rules'!$B$25))))</x:f>
        <x:v>0.7</x:v>
      </x:c>
      <x:c r="E237" s="16" t="n">
        <x:f>MIN(LOG10(1+'Queries'!C237)/'Rules'!$B$13,1)</x:f>
        <x:v>0.6043044522142866</x:v>
      </x:c>
      <x:c r="F237" s="16" t="n">
        <x:f>IF(AND('Queries'!E237&lt;='Rules'!$B$15,'Queries'!C237&gt;='Rules'!$B$14,'Queries'!D237&lt;'Rules'!$B$16),1,0)</x:f>
        <x:v>0</x:v>
      </x:c>
      <x:c r="G237" s="16" t="n">
        <x:v>1</x:v>
      </x:c>
      <x:c r="H237" s="16" t="n">
        <x:v>1</x:v>
      </x:c>
      <x:c r="I237" s="16" t="n">
        <x:f>ROUND((B237*'Rules'!$B$6+C237/'Rules'!$B$12*'Rules'!$B$7+D237*'Rules'!$B$8+E237*'Rules'!$B$9+F237*'Rules'!$B$10+G237*'Rules'!$B$11)*H237,1)</x:f>
        <x:v>78.5</x:v>
      </x:c>
      <x:c r="J237" s="18" t="n">
        <x:f>'Queries'!C237*'Queries'!E237</x:f>
        <x:v>1239.04</x:v>
      </x:c>
    </x:row>
    <x:row r="238" ht="32" customHeight="1">
      <x:c r="A238" s="6" t="str">
        <x:v>land rover repair dubai</x:v>
      </x:c>
      <x:c r="B238" s="16" t="n">
        <x:v>1</x:v>
      </x:c>
      <x:c r="C238" s="16" t="n">
        <x:v>5</x:v>
      </x:c>
      <x:c r="D238" s="16" t="n">
        <x:f>IF('Queries'!E238&lt;='Rules'!$B$17,'Rules'!$B$21,IF('Queries'!E238&lt;='Rules'!$B$18,'Rules'!$B$22,IF('Queries'!E238&lt;='Rules'!$B$19,'Rules'!$B$23,IF('Queries'!E238&lt;='Rules'!$B$20,'Rules'!$B$24,'Rules'!$B$25))))</x:f>
        <x:v>0.7</x:v>
      </x:c>
      <x:c r="E238" s="16" t="n">
        <x:f>MIN(LOG10(1+'Queries'!C238)/'Rules'!$B$13,1)</x:f>
        <x:v>0.6043044522142866</x:v>
      </x:c>
      <x:c r="F238" s="16" t="n">
        <x:f>IF(AND('Queries'!E238&lt;='Rules'!$B$15,'Queries'!C238&gt;='Rules'!$B$14,'Queries'!D238&lt;'Rules'!$B$16),1,0)</x:f>
        <x:v>0</x:v>
      </x:c>
      <x:c r="G238" s="16" t="n">
        <x:v>1</x:v>
      </x:c>
      <x:c r="H238" s="16" t="n">
        <x:v>1</x:v>
      </x:c>
      <x:c r="I238" s="16" t="n">
        <x:f>ROUND((B238*'Rules'!$B$6+C238/'Rules'!$B$12*'Rules'!$B$7+D238*'Rules'!$B$8+E238*'Rules'!$B$9+F238*'Rules'!$B$10+G238*'Rules'!$B$11)*H238,1)</x:f>
        <x:v>78.5</x:v>
      </x:c>
      <x:c r="J238" s="18" t="n">
        <x:f>'Queries'!C238*'Queries'!E238</x:f>
        <x:v>1248</x:v>
      </x:c>
    </x:row>
    <x:row r="239" ht="32" customHeight="1">
      <x:c r="A239" s="6" t="str">
        <x:v>car scanning and diagnostics in dubai</x:v>
      </x:c>
      <x:c r="B239" s="16" t="n">
        <x:v>1</x:v>
      </x:c>
      <x:c r="C239" s="16" t="n">
        <x:v>3</x:v>
      </x:c>
      <x:c r="D239" s="16" t="n">
        <x:f>IF('Queries'!E239&lt;='Rules'!$B$17,'Rules'!$B$21,IF('Queries'!E239&lt;='Rules'!$B$18,'Rules'!$B$22,IF('Queries'!E239&lt;='Rules'!$B$19,'Rules'!$B$23,IF('Queries'!E239&lt;='Rules'!$B$20,'Rules'!$B$24,'Rules'!$B$25))))</x:f>
        <x:v>0.15</x:v>
      </x:c>
      <x:c r="E239" s="16" t="n">
        <x:f>MIN(LOG10(1+'Queries'!C239)/'Rules'!$B$13,1)</x:f>
        <x:v>0.6043044522142866</x:v>
      </x:c>
      <x:c r="F239" s="16" t="n">
        <x:f>IF(AND('Queries'!E239&lt;='Rules'!$B$15,'Queries'!C239&gt;='Rules'!$B$14,'Queries'!D239&lt;'Rules'!$B$16),1,0)</x:f>
        <x:v>0</x:v>
      </x:c>
      <x:c r="G239" s="16" t="n">
        <x:v>1</x:v>
      </x:c>
      <x:c r="H239" s="16" t="n">
        <x:v>1</x:v>
      </x:c>
      <x:c r="I239" s="16" t="n">
        <x:f>ROUND((B239*'Rules'!$B$6+C239/'Rules'!$B$12*'Rules'!$B$7+D239*'Rules'!$B$8+E239*'Rules'!$B$9+F239*'Rules'!$B$10+G239*'Rules'!$B$11)*H239,1)</x:f>
        <x:v>56.8</x:v>
      </x:c>
      <x:c r="J239" s="18" t="n">
        <x:f>'Queries'!C239*'Queries'!E239</x:f>
        <x:v>3377.28</x:v>
      </x:c>
    </x:row>
    <x:row r="240" ht="32" customHeight="1">
      <x:c r="A240" s="6" t="str">
        <x:v>mclaren garage dubai</x:v>
      </x:c>
      <x:c r="B240" s="16" t="n">
        <x:v>1</x:v>
      </x:c>
      <x:c r="C240" s="16" t="n">
        <x:v>5</x:v>
      </x:c>
      <x:c r="D240" s="16" t="n">
        <x:f>IF('Queries'!E240&lt;='Rules'!$B$17,'Rules'!$B$21,IF('Queries'!E240&lt;='Rules'!$B$18,'Rules'!$B$22,IF('Queries'!E240&lt;='Rules'!$B$19,'Rules'!$B$23,IF('Queries'!E240&lt;='Rules'!$B$20,'Rules'!$B$24,'Rules'!$B$25))))</x:f>
        <x:v>0.4</x:v>
      </x:c>
      <x:c r="E240" s="16" t="n">
        <x:f>MIN(LOG10(1+'Queries'!C240)/'Rules'!$B$13,1)</x:f>
        <x:v>0.6020599913279633</x:v>
      </x:c>
      <x:c r="F240" s="16" t="n">
        <x:f>IF(AND('Queries'!E240&lt;='Rules'!$B$15,'Queries'!C240&gt;='Rules'!$B$14,'Queries'!D240&lt;'Rules'!$B$16),1,0)</x:f>
        <x:v>0</x:v>
      </x:c>
      <x:c r="G240" s="16" t="n">
        <x:v>1</x:v>
      </x:c>
      <x:c r="H240" s="16" t="n">
        <x:v>1</x:v>
      </x:c>
      <x:c r="I240" s="16" t="n">
        <x:f>ROUND((B240*'Rules'!$B$6+C240/'Rules'!$B$12*'Rules'!$B$7+D240*'Rules'!$B$8+E240*'Rules'!$B$9+F240*'Rules'!$B$10+G240*'Rules'!$B$11)*H240,1)</x:f>
        <x:v>71</x:v>
      </x:c>
      <x:c r="J240" s="18" t="n">
        <x:f>'Queries'!C240*'Queries'!E240</x:f>
        <x:v>2046.2399999999998</x:v>
      </x:c>
    </x:row>
    <x:row r="241" ht="32" customHeight="1">
      <x:c r="A241" s="6" t="str">
        <x:v>oil change</x:v>
      </x:c>
      <x:c r="B241" s="16" t="n">
        <x:v>0.8</x:v>
      </x:c>
      <x:c r="C241" s="16" t="n">
        <x:v>3</x:v>
      </x:c>
      <x:c r="D241" s="16" t="n">
        <x:f>IF('Queries'!E241&lt;='Rules'!$B$17,'Rules'!$B$21,IF('Queries'!E241&lt;='Rules'!$B$18,'Rules'!$B$22,IF('Queries'!E241&lt;='Rules'!$B$19,'Rules'!$B$23,IF('Queries'!E241&lt;='Rules'!$B$20,'Rules'!$B$24,'Rules'!$B$25))))</x:f>
        <x:v>0.4</x:v>
      </x:c>
      <x:c r="E241" s="16" t="n">
        <x:f>MIN(LOG10(1+'Queries'!C241)/'Rules'!$B$13,1)</x:f>
        <x:v>0.6020599913279633</x:v>
      </x:c>
      <x:c r="F241" s="16" t="n">
        <x:f>IF(AND('Queries'!E241&lt;='Rules'!$B$15,'Queries'!C241&gt;='Rules'!$B$14,'Queries'!D241&lt;'Rules'!$B$16),1,0)</x:f>
        <x:v>0</x:v>
      </x:c>
      <x:c r="G241" s="16" t="n">
        <x:v>1</x:v>
      </x:c>
      <x:c r="H241" s="16" t="n">
        <x:v>1</x:v>
      </x:c>
      <x:c r="I241" s="16" t="n">
        <x:f>ROUND((B241*'Rules'!$B$6+C241/'Rules'!$B$12*'Rules'!$B$7+D241*'Rules'!$B$8+E241*'Rules'!$B$9+F241*'Rules'!$B$10+G241*'Rules'!$B$11)*H241,1)</x:f>
        <x:v>58</x:v>
      </x:c>
      <x:c r="J241" s="18" t="n">
        <x:f>'Queries'!C241*'Queries'!E241</x:f>
        <x:v>2055.69</x:v>
      </x:c>
    </x:row>
    <x:row r="242" ht="32" customHeight="1">
      <x:c r="A242" s="6" t="str">
        <x:v>jeep service dubai</x:v>
      </x:c>
      <x:c r="B242" s="16" t="n">
        <x:v>1</x:v>
      </x:c>
      <x:c r="C242" s="16" t="n">
        <x:v>3</x:v>
      </x:c>
      <x:c r="D242" s="16" t="n">
        <x:f>IF('Queries'!E242&lt;='Rules'!$B$17,'Rules'!$B$21,IF('Queries'!E242&lt;='Rules'!$B$18,'Rules'!$B$22,IF('Queries'!E242&lt;='Rules'!$B$19,'Rules'!$B$23,IF('Queries'!E242&lt;='Rules'!$B$20,'Rules'!$B$24,'Rules'!$B$25))))</x:f>
        <x:v>0.4</x:v>
      </x:c>
      <x:c r="E242" s="16" t="n">
        <x:f>MIN(LOG10(1+'Queries'!C242)/'Rules'!$B$13,1)</x:f>
        <x:v>0.6020599913279633</x:v>
      </x:c>
      <x:c r="F242" s="16" t="n">
        <x:f>IF(AND('Queries'!E242&lt;='Rules'!$B$15,'Queries'!C242&gt;='Rules'!$B$14,'Queries'!D242&lt;'Rules'!$B$16),1,0)</x:f>
        <x:v>0</x:v>
      </x:c>
      <x:c r="G242" s="16" t="n">
        <x:v>1</x:v>
      </x:c>
      <x:c r="H242" s="16" t="n">
        <x:v>1</x:v>
      </x:c>
      <x:c r="I242" s="16" t="n">
        <x:f>ROUND((B242*'Rules'!$B$6+C242/'Rules'!$B$12*'Rules'!$B$7+D242*'Rules'!$B$8+E242*'Rules'!$B$9+F242*'Rules'!$B$10+G242*'Rules'!$B$11)*H242,1)</x:f>
        <x:v>63</x:v>
      </x:c>
      <x:c r="J242" s="18" t="n">
        <x:f>'Queries'!C242*'Queries'!E242</x:f>
        <x:v>2511.81</x:v>
      </x:c>
    </x:row>
    <x:row r="243" ht="32" customHeight="1">
      <x:c r="A243" s="6" t="str">
        <x:v>tire change dubai</x:v>
      </x:c>
      <x:c r="B243" s="16" t="n">
        <x:v>1</x:v>
      </x:c>
      <x:c r="C243" s="16" t="n">
        <x:v>2</x:v>
      </x:c>
      <x:c r="D243" s="16" t="n">
        <x:f>IF('Queries'!E243&lt;='Rules'!$B$17,'Rules'!$B$21,IF('Queries'!E243&lt;='Rules'!$B$18,'Rules'!$B$22,IF('Queries'!E243&lt;='Rules'!$B$19,'Rules'!$B$23,IF('Queries'!E243&lt;='Rules'!$B$20,'Rules'!$B$24,'Rules'!$B$25))))</x:f>
        <x:v>0.15</x:v>
      </x:c>
      <x:c r="E243" s="16" t="n">
        <x:f>MIN(LOG10(1+'Queries'!C243)/'Rules'!$B$13,1)</x:f>
        <x:v>0.6020599913279633</x:v>
      </x:c>
      <x:c r="F243" s="16" t="n">
        <x:f>IF(AND('Queries'!E243&lt;='Rules'!$B$15,'Queries'!C243&gt;='Rules'!$B$14,'Queries'!D243&lt;'Rules'!$B$16),1,0)</x:f>
        <x:v>0</x:v>
      </x:c>
      <x:c r="G243" s="16" t="n">
        <x:v>1</x:v>
      </x:c>
      <x:c r="H243" s="16" t="n">
        <x:v>1</x:v>
      </x:c>
      <x:c r="I243" s="16" t="n">
        <x:f>ROUND((B243*'Rules'!$B$6+C243/'Rules'!$B$12*'Rules'!$B$7+D243*'Rules'!$B$8+E243*'Rules'!$B$9+F243*'Rules'!$B$10+G243*'Rules'!$B$11)*H243,1)</x:f>
        <x:v>52.8</x:v>
      </x:c>
      <x:c r="J243" s="18" t="n">
        <x:f>'Queries'!C243*'Queries'!E243</x:f>
        <x:v>3427.2</x:v>
      </x:c>
    </x:row>
    <x:row r="244" ht="32" customHeight="1">
      <x:c r="A244" s="6" t="str">
        <x:v>mercedes minor service dubai</x:v>
      </x:c>
      <x:c r="B244" s="16" t="n">
        <x:v>1</x:v>
      </x:c>
      <x:c r="C244" s="16" t="n">
        <x:v>5</x:v>
      </x:c>
      <x:c r="D244" s="16" t="n">
        <x:f>IF('Queries'!E244&lt;='Rules'!$B$17,'Rules'!$B$21,IF('Queries'!E244&lt;='Rules'!$B$18,'Rules'!$B$22,IF('Queries'!E244&lt;='Rules'!$B$19,'Rules'!$B$23,IF('Queries'!E244&lt;='Rules'!$B$20,'Rules'!$B$24,'Rules'!$B$25))))</x:f>
        <x:v>1</x:v>
      </x:c>
      <x:c r="E244" s="16" t="n">
        <x:f>MIN(LOG10(1+'Queries'!C244)/'Rules'!$B$13,1)</x:f>
        <x:v>0.5997801831511933</x:v>
      </x:c>
      <x:c r="F244" s="16" t="n">
        <x:f>IF(AND('Queries'!E244&lt;='Rules'!$B$15,'Queries'!C244&gt;='Rules'!$B$14,'Queries'!D244&lt;'Rules'!$B$16),1,0)</x:f>
        <x:v>0</x:v>
      </x:c>
      <x:c r="G244" s="16" t="n">
        <x:v>1</x:v>
      </x:c>
      <x:c r="H244" s="16" t="n">
        <x:v>1</x:v>
      </x:c>
      <x:c r="I244" s="16" t="n">
        <x:f>ROUND((B244*'Rules'!$B$6+C244/'Rules'!$B$12*'Rules'!$B$7+D244*'Rules'!$B$8+E244*'Rules'!$B$9+F244*'Rules'!$B$10+G244*'Rules'!$B$11)*H244,1)</x:f>
        <x:v>86</x:v>
      </x:c>
      <x:c r="J244" s="18" t="n">
        <x:f>'Queries'!C244*'Queries'!E244</x:f>
        <x:v>799.1800000000001</x:v>
      </x:c>
    </x:row>
    <x:row r="245" ht="32" customHeight="1">
      <x:c r="A245" s="6" t="str">
        <x:v>ferrari oil change in dubai</x:v>
      </x:c>
      <x:c r="B245" s="16" t="n">
        <x:v>1</x:v>
      </x:c>
      <x:c r="C245" s="16" t="n">
        <x:v>5</x:v>
      </x:c>
      <x:c r="D245" s="16" t="n">
        <x:f>IF('Queries'!E245&lt;='Rules'!$B$17,'Rules'!$B$21,IF('Queries'!E245&lt;='Rules'!$B$18,'Rules'!$B$22,IF('Queries'!E245&lt;='Rules'!$B$19,'Rules'!$B$23,IF('Queries'!E245&lt;='Rules'!$B$20,'Rules'!$B$24,'Rules'!$B$25))))</x:f>
        <x:v>0.7</x:v>
      </x:c>
      <x:c r="E245" s="16" t="n">
        <x:f>MIN(LOG10(1+'Queries'!C245)/'Rules'!$B$13,1)</x:f>
        <x:v>0.5997801831511933</x:v>
      </x:c>
      <x:c r="F245" s="16" t="n">
        <x:f>IF(AND('Queries'!E245&lt;='Rules'!$B$15,'Queries'!C245&gt;='Rules'!$B$14,'Queries'!D245&lt;'Rules'!$B$16),1,0)</x:f>
        <x:v>0</x:v>
      </x:c>
      <x:c r="G245" s="16" t="n">
        <x:v>1</x:v>
      </x:c>
      <x:c r="H245" s="16" t="n">
        <x:v>1</x:v>
      </x:c>
      <x:c r="I245" s="16" t="n">
        <x:f>ROUND((B245*'Rules'!$B$6+C245/'Rules'!$B$12*'Rules'!$B$7+D245*'Rules'!$B$8+E245*'Rules'!$B$9+F245*'Rules'!$B$10+G245*'Rules'!$B$11)*H245,1)</x:f>
        <x:v>78.5</x:v>
      </x:c>
      <x:c r="J245" s="18" t="n">
        <x:f>'Queries'!C245*'Queries'!E245</x:f>
        <x:v>1460.72</x:v>
      </x:c>
    </x:row>
    <x:row r="246" ht="32" customHeight="1">
      <x:c r="A246" s="6" t="str">
        <x:v>aston martin maintenance dubai</x:v>
      </x:c>
      <x:c r="B246" s="16" t="n">
        <x:v>1</x:v>
      </x:c>
      <x:c r="C246" s="16" t="n">
        <x:v>5</x:v>
      </x:c>
      <x:c r="D246" s="16" t="n">
        <x:f>IF('Queries'!E246&lt;='Rules'!$B$17,'Rules'!$B$21,IF('Queries'!E246&lt;='Rules'!$B$18,'Rules'!$B$22,IF('Queries'!E246&lt;='Rules'!$B$19,'Rules'!$B$23,IF('Queries'!E246&lt;='Rules'!$B$20,'Rules'!$B$24,'Rules'!$B$25))))</x:f>
        <x:v>0.7</x:v>
      </x:c>
      <x:c r="E246" s="16" t="n">
        <x:f>MIN(LOG10(1+'Queries'!C246)/'Rules'!$B$13,1)</x:f>
        <x:v>0.5997801831511933</x:v>
      </x:c>
      <x:c r="F246" s="16" t="n">
        <x:f>IF(AND('Queries'!E246&lt;='Rules'!$B$15,'Queries'!C246&gt;='Rules'!$B$14,'Queries'!D246&lt;'Rules'!$B$16),1,0)</x:f>
        <x:v>0</x:v>
      </x:c>
      <x:c r="G246" s="16" t="n">
        <x:v>1</x:v>
      </x:c>
      <x:c r="H246" s="16" t="n">
        <x:v>1</x:v>
      </x:c>
      <x:c r="I246" s="16" t="n">
        <x:f>ROUND((B246*'Rules'!$B$6+C246/'Rules'!$B$12*'Rules'!$B$7+D246*'Rules'!$B$8+E246*'Rules'!$B$9+F246*'Rules'!$B$10+G246*'Rules'!$B$11)*H246,1)</x:f>
        <x:v>78.5</x:v>
      </x:c>
      <x:c r="J246" s="18" t="n">
        <x:f>'Queries'!C246*'Queries'!E246</x:f>
        <x:v>1463.2</x:v>
      </x:c>
    </x:row>
    <x:row r="247" ht="32" customHeight="1">
      <x:c r="A247" s="6" t="str">
        <x:v>aston martin repair near me</x:v>
      </x:c>
      <x:c r="B247" s="16" t="n">
        <x:v>1</x:v>
      </x:c>
      <x:c r="C247" s="16" t="n">
        <x:v>5</x:v>
      </x:c>
      <x:c r="D247" s="16" t="n">
        <x:f>IF('Queries'!E247&lt;='Rules'!$B$17,'Rules'!$B$21,IF('Queries'!E247&lt;='Rules'!$B$18,'Rules'!$B$22,IF('Queries'!E247&lt;='Rules'!$B$19,'Rules'!$B$23,IF('Queries'!E247&lt;='Rules'!$B$20,'Rules'!$B$24,'Rules'!$B$25))))</x:f>
        <x:v>0.4</x:v>
      </x:c>
      <x:c r="E247" s="16" t="n">
        <x:f>MIN(LOG10(1+'Queries'!C247)/'Rules'!$B$13,1)</x:f>
        <x:v>0.5997801831511933</x:v>
      </x:c>
      <x:c r="F247" s="16" t="n">
        <x:f>IF(AND('Queries'!E247&lt;='Rules'!$B$15,'Queries'!C247&gt;='Rules'!$B$14,'Queries'!D247&lt;'Rules'!$B$16),1,0)</x:f>
        <x:v>0</x:v>
      </x:c>
      <x:c r="G247" s="16" t="n">
        <x:v>1</x:v>
      </x:c>
      <x:c r="H247" s="16" t="n">
        <x:v>1</x:v>
      </x:c>
      <x:c r="I247" s="16" t="n">
        <x:f>ROUND((B247*'Rules'!$B$6+C247/'Rules'!$B$12*'Rules'!$B$7+D247*'Rules'!$B$8+E247*'Rules'!$B$9+F247*'Rules'!$B$10+G247*'Rules'!$B$11)*H247,1)</x:f>
        <x:v>71</x:v>
      </x:c>
      <x:c r="J247" s="18" t="n">
        <x:f>'Queries'!C247*'Queries'!E247</x:f>
        <x:v>1920.76</x:v>
      </x:c>
    </x:row>
    <x:row r="248" ht="32" customHeight="1">
      <x:c r="A248" s="6" t="str">
        <x:v>power steering repair</x:v>
      </x:c>
      <x:c r="B248" s="16" t="n">
        <x:v>0.8</x:v>
      </x:c>
      <x:c r="C248" s="16" t="n">
        <x:v>3</x:v>
      </x:c>
      <x:c r="D248" s="16" t="n">
        <x:f>IF('Queries'!E248&lt;='Rules'!$B$17,'Rules'!$B$21,IF('Queries'!E248&lt;='Rules'!$B$18,'Rules'!$B$22,IF('Queries'!E248&lt;='Rules'!$B$19,'Rules'!$B$23,IF('Queries'!E248&lt;='Rules'!$B$20,'Rules'!$B$24,'Rules'!$B$25))))</x:f>
        <x:v>1</x:v>
      </x:c>
      <x:c r="E248" s="16" t="n">
        <x:f>MIN(LOG10(1+'Queries'!C248)/'Rules'!$B$13,1)</x:f>
        <x:v>0.5974638964994167</x:v>
      </x:c>
      <x:c r="F248" s="16" t="n">
        <x:f>IF(AND('Queries'!E248&lt;='Rules'!$B$15,'Queries'!C248&gt;='Rules'!$B$14,'Queries'!D248&lt;'Rules'!$B$16),1,0)</x:f>
        <x:v>0</x:v>
      </x:c>
      <x:c r="G248" s="16" t="n">
        <x:v>1</x:v>
      </x:c>
      <x:c r="H248" s="16" t="n">
        <x:v>1</x:v>
      </x:c>
      <x:c r="I248" s="16" t="n">
        <x:f>ROUND((B248*'Rules'!$B$6+C248/'Rules'!$B$12*'Rules'!$B$7+D248*'Rules'!$B$8+E248*'Rules'!$B$9+F248*'Rules'!$B$10+G248*'Rules'!$B$11)*H248,1)</x:f>
        <x:v>73</x:v>
      </x:c>
      <x:c r="J248" s="18" t="n">
        <x:f>'Queries'!C248*'Queries'!E248</x:f>
        <x:v>860.1</x:v>
      </x:c>
    </x:row>
    <x:row r="249" ht="32" customHeight="1">
      <x:c r="A249" s="6" t="str">
        <x:v>oil change service dubai</x:v>
      </x:c>
      <x:c r="B249" s="16" t="n">
        <x:v>1</x:v>
      </x:c>
      <x:c r="C249" s="16" t="n">
        <x:v>3</x:v>
      </x:c>
      <x:c r="D249" s="16" t="n">
        <x:f>IF('Queries'!E249&lt;='Rules'!$B$17,'Rules'!$B$21,IF('Queries'!E249&lt;='Rules'!$B$18,'Rules'!$B$22,IF('Queries'!E249&lt;='Rules'!$B$19,'Rules'!$B$23,IF('Queries'!E249&lt;='Rules'!$B$20,'Rules'!$B$24,'Rules'!$B$25))))</x:f>
        <x:v>0.7</x:v>
      </x:c>
      <x:c r="E249" s="16" t="n">
        <x:f>MIN(LOG10(1+'Queries'!C249)/'Rules'!$B$13,1)</x:f>
        <x:v>0.5974638964994167</x:v>
      </x:c>
      <x:c r="F249" s="16" t="n">
        <x:f>IF(AND('Queries'!E249&lt;='Rules'!$B$15,'Queries'!C249&gt;='Rules'!$B$14,'Queries'!D249&lt;'Rules'!$B$16),1,0)</x:f>
        <x:v>0</x:v>
      </x:c>
      <x:c r="G249" s="16" t="n">
        <x:v>1</x:v>
      </x:c>
      <x:c r="H249" s="16" t="n">
        <x:v>1</x:v>
      </x:c>
      <x:c r="I249" s="16" t="n">
        <x:f>ROUND((B249*'Rules'!$B$6+C249/'Rules'!$B$12*'Rules'!$B$7+D249*'Rules'!$B$8+E249*'Rules'!$B$9+F249*'Rules'!$B$10+G249*'Rules'!$B$11)*H249,1)</x:f>
        <x:v>70.5</x:v>
      </x:c>
      <x:c r="J249" s="18" t="n">
        <x:f>'Queries'!C249*'Queries'!E249</x:f>
        <x:v>1642.1200000000001</x:v>
      </x:c>
    </x:row>
    <x:row r="250" ht="32" customHeight="1">
      <x:c r="A250" s="6" t="str">
        <x:v>best luxury car garages in dubai</x:v>
      </x:c>
      <x:c r="B250" s="16" t="n">
        <x:v>1</x:v>
      </x:c>
      <x:c r="C250" s="16" t="n">
        <x:v>3</x:v>
      </x:c>
      <x:c r="D250" s="16" t="n">
        <x:f>IF('Queries'!E250&lt;='Rules'!$B$17,'Rules'!$B$21,IF('Queries'!E250&lt;='Rules'!$B$18,'Rules'!$B$22,IF('Queries'!E250&lt;='Rules'!$B$19,'Rules'!$B$23,IF('Queries'!E250&lt;='Rules'!$B$20,'Rules'!$B$24,'Rules'!$B$25))))</x:f>
        <x:v>0.4</x:v>
      </x:c>
      <x:c r="E250" s="16" t="n">
        <x:f>MIN(LOG10(1+'Queries'!C250)/'Rules'!$B$13,1)</x:f>
        <x:v>0.5974638964994167</x:v>
      </x:c>
      <x:c r="F250" s="16" t="n">
        <x:f>IF(AND('Queries'!E250&lt;='Rules'!$B$15,'Queries'!C250&gt;='Rules'!$B$14,'Queries'!D250&lt;'Rules'!$B$16),1,0)</x:f>
        <x:v>0</x:v>
      </x:c>
      <x:c r="G250" s="16" t="n">
        <x:v>1</x:v>
      </x:c>
      <x:c r="H250" s="16" t="n">
        <x:v>1</x:v>
      </x:c>
      <x:c r="I250" s="16" t="n">
        <x:f>ROUND((B250*'Rules'!$B$6+C250/'Rules'!$B$12*'Rules'!$B$7+D250*'Rules'!$B$8+E250*'Rules'!$B$9+F250*'Rules'!$B$10+G250*'Rules'!$B$11)*H250,1)</x:f>
        <x:v>63</x:v>
      </x:c>
      <x:c r="J250" s="18" t="n">
        <x:f>'Queries'!C250*'Queries'!E250</x:f>
        <x:v>2086.2000000000003</x:v>
      </x:c>
    </x:row>
    <x:row r="251" ht="32" customHeight="1">
      <x:c r="A251" s="6" t="str">
        <x:v>best mini workshop abu dhabi</x:v>
      </x:c>
      <x:c r="B251" s="16" t="n">
        <x:v>1</x:v>
      </x:c>
      <x:c r="C251" s="16" t="n">
        <x:v>1</x:v>
      </x:c>
      <x:c r="D251" s="16" t="n">
        <x:f>IF('Queries'!E251&lt;='Rules'!$B$17,'Rules'!$B$21,IF('Queries'!E251&lt;='Rules'!$B$18,'Rules'!$B$22,IF('Queries'!E251&lt;='Rules'!$B$19,'Rules'!$B$23,IF('Queries'!E251&lt;='Rules'!$B$20,'Rules'!$B$24,'Rules'!$B$25))))</x:f>
        <x:v>0.7</x:v>
      </x:c>
      <x:c r="E251" s="16" t="n">
        <x:f>MIN(LOG10(1+'Queries'!C251)/'Rules'!$B$13,1)</x:f>
        <x:v>0.59510994500359</x:v>
      </x:c>
      <x:c r="F251" s="16" t="n">
        <x:f>IF(AND('Queries'!E251&lt;='Rules'!$B$15,'Queries'!C251&gt;='Rules'!$B$14,'Queries'!D251&lt;'Rules'!$B$16),1,0)</x:f>
        <x:v>0</x:v>
      </x:c>
      <x:c r="G251" s="16" t="n">
        <x:v>1</x:v>
      </x:c>
      <x:c r="H251" s="16" t="n">
        <x:v>0.2</x:v>
      </x:c>
      <x:c r="I251" s="16" t="n">
        <x:f>ROUND((B251*'Rules'!$B$6+C251/'Rules'!$B$12*'Rules'!$B$7+D251*'Rules'!$B$8+E251*'Rules'!$B$9+F251*'Rules'!$B$10+G251*'Rules'!$B$11)*H251,1)</x:f>
        <x:v>12.5</x:v>
      </x:c>
      <x:c r="J251" s="18" t="n">
        <x:f>'Queries'!C251*'Queries'!E251</x:f>
        <x:v>1087.2</x:v>
      </x:c>
    </x:row>
    <x:row r="252" ht="32" customHeight="1">
      <x:c r="A252" s="6" t="str">
        <x:v>ferrari engine repair dubai</x:v>
      </x:c>
      <x:c r="B252" s="16" t="n">
        <x:v>1</x:v>
      </x:c>
      <x:c r="C252" s="16" t="n">
        <x:v>5</x:v>
      </x:c>
      <x:c r="D252" s="16" t="n">
        <x:f>IF('Queries'!E252&lt;='Rules'!$B$17,'Rules'!$B$21,IF('Queries'!E252&lt;='Rules'!$B$18,'Rules'!$B$22,IF('Queries'!E252&lt;='Rules'!$B$19,'Rules'!$B$23,IF('Queries'!E252&lt;='Rules'!$B$20,'Rules'!$B$24,'Rules'!$B$25))))</x:f>
        <x:v>0.4</x:v>
      </x:c>
      <x:c r="E252" s="16" t="n">
        <x:f>MIN(LOG10(1+'Queries'!C252)/'Rules'!$B$13,1)</x:f>
        <x:v>0.5927170834612133</x:v>
      </x:c>
      <x:c r="F252" s="16" t="n">
        <x:f>IF(AND('Queries'!E252&lt;='Rules'!$B$15,'Queries'!C252&gt;='Rules'!$B$14,'Queries'!D252&lt;'Rules'!$B$16),1,0)</x:f>
        <x:v>0</x:v>
      </x:c>
      <x:c r="G252" s="16" t="n">
        <x:v>1</x:v>
      </x:c>
      <x:c r="H252" s="16" t="n">
        <x:v>1</x:v>
      </x:c>
      <x:c r="I252" s="16" t="n">
        <x:f>ROUND((B252*'Rules'!$B$6+C252/'Rules'!$B$12*'Rules'!$B$7+D252*'Rules'!$B$8+E252*'Rules'!$B$9+F252*'Rules'!$B$10+G252*'Rules'!$B$11)*H252,1)</x:f>
        <x:v>70.9</x:v>
      </x:c>
      <x:c r="J252" s="18" t="n">
        <x:f>'Queries'!C252*'Queries'!E252</x:f>
        <x:v>2026.0600000000002</x:v>
      </x:c>
    </x:row>
    <x:row r="253" ht="32" customHeight="1">
      <x:c r="A253" s="6" t="str">
        <x:v>tyre shop dip</x:v>
      </x:c>
      <x:c r="B253" s="16" t="n">
        <x:v>1</x:v>
      </x:c>
      <x:c r="C253" s="16" t="n">
        <x:v>2</x:v>
      </x:c>
      <x:c r="D253" s="16" t="n">
        <x:f>IF('Queries'!E253&lt;='Rules'!$B$17,'Rules'!$B$21,IF('Queries'!E253&lt;='Rules'!$B$18,'Rules'!$B$22,IF('Queries'!E253&lt;='Rules'!$B$19,'Rules'!$B$23,IF('Queries'!E253&lt;='Rules'!$B$20,'Rules'!$B$24,'Rules'!$B$25))))</x:f>
        <x:v>0.15</x:v>
      </x:c>
      <x:c r="E253" s="16" t="n">
        <x:f>MIN(LOG10(1+'Queries'!C253)/'Rules'!$B$13,1)</x:f>
        <x:v>0.5927170834612133</x:v>
      </x:c>
      <x:c r="F253" s="16" t="n">
        <x:f>IF(AND('Queries'!E253&lt;='Rules'!$B$15,'Queries'!C253&gt;='Rules'!$B$14,'Queries'!D253&lt;'Rules'!$B$16),1,0)</x:f>
        <x:v>0</x:v>
      </x:c>
      <x:c r="G253" s="16" t="n">
        <x:v>1</x:v>
      </x:c>
      <x:c r="H253" s="16" t="n">
        <x:v>1</x:v>
      </x:c>
      <x:c r="I253" s="16" t="n">
        <x:f>ROUND((B253*'Rules'!$B$6+C253/'Rules'!$B$12*'Rules'!$B$7+D253*'Rules'!$B$8+E253*'Rules'!$B$9+F253*'Rules'!$B$10+G253*'Rules'!$B$11)*H253,1)</x:f>
        <x:v>52.7</x:v>
      </x:c>
      <x:c r="J253" s="18" t="n">
        <x:f>'Queries'!C253*'Queries'!E253</x:f>
        <x:v>3542.95</x:v>
      </x:c>
    </x:row>
    <x:row r="254" ht="32" customHeight="1">
      <x:c r="A254" s="6" t="str">
        <x:v>merceds repair</x:v>
      </x:c>
      <x:c r="B254" s="16" t="n">
        <x:v>0.8</x:v>
      </x:c>
      <x:c r="C254" s="16" t="n">
        <x:v>5</x:v>
      </x:c>
      <x:c r="D254" s="16" t="n">
        <x:f>IF('Queries'!E254&lt;='Rules'!$B$17,'Rules'!$B$21,IF('Queries'!E254&lt;='Rules'!$B$18,'Rules'!$B$22,IF('Queries'!E254&lt;='Rules'!$B$19,'Rules'!$B$23,IF('Queries'!E254&lt;='Rules'!$B$20,'Rules'!$B$24,'Rules'!$B$25))))</x:f>
        <x:v>1</x:v>
      </x:c>
      <x:c r="E254" s="16" t="n">
        <x:f>MIN(LOG10(1+'Queries'!C254)/'Rules'!$B$13,1)</x:f>
        <x:v>0.5902840038807133</x:v>
      </x:c>
      <x:c r="F254" s="16" t="n">
        <x:f>IF(AND('Queries'!E254&lt;='Rules'!$B$15,'Queries'!C254&gt;='Rules'!$B$14,'Queries'!D254&lt;'Rules'!$B$16),1,0)</x:f>
        <x:v>1</x:v>
      </x:c>
      <x:c r="G254" s="16" t="n">
        <x:v>1</x:v>
      </x:c>
      <x:c r="H254" s="16" t="n">
        <x:v>1</x:v>
      </x:c>
      <x:c r="I254" s="16" t="n">
        <x:f>ROUND((B254*'Rules'!$B$6+C254/'Rules'!$B$12*'Rules'!$B$7+D254*'Rules'!$B$8+E254*'Rules'!$B$9+F254*'Rules'!$B$10+G254*'Rules'!$B$11)*H254,1)</x:f>
        <x:v>90.9</x:v>
      </x:c>
      <x:c r="J254" s="18" t="n">
        <x:f>'Queries'!C254*'Queries'!E254</x:f>
        <x:v>480.23999999999995</x:v>
      </x:c>
    </x:row>
    <x:row r="255" ht="32" customHeight="1">
      <x:c r="A255" s="6" t="str">
        <x:v>puncture repair near me</x:v>
      </x:c>
      <x:c r="B255" s="16" t="n">
        <x:v>1</x:v>
      </x:c>
      <x:c r="C255" s="16" t="n">
        <x:v>2</x:v>
      </x:c>
      <x:c r="D255" s="16" t="n">
        <x:f>IF('Queries'!E255&lt;='Rules'!$B$17,'Rules'!$B$21,IF('Queries'!E255&lt;='Rules'!$B$18,'Rules'!$B$22,IF('Queries'!E255&lt;='Rules'!$B$19,'Rules'!$B$23,IF('Queries'!E255&lt;='Rules'!$B$20,'Rules'!$B$24,'Rules'!$B$25))))</x:f>
        <x:v>1</x:v>
      </x:c>
      <x:c r="E255" s="16" t="n">
        <x:f>MIN(LOG10(1+'Queries'!C255)/'Rules'!$B$13,1)</x:f>
        <x:v>0.5902840038807133</x:v>
      </x:c>
      <x:c r="F255" s="16" t="n">
        <x:f>IF(AND('Queries'!E255&lt;='Rules'!$B$15,'Queries'!C255&gt;='Rules'!$B$14,'Queries'!D255&lt;'Rules'!$B$16),1,0)</x:f>
        <x:v>1</x:v>
      </x:c>
      <x:c r="G255" s="16" t="n">
        <x:v>1</x:v>
      </x:c>
      <x:c r="H255" s="16" t="n">
        <x:v>1</x:v>
      </x:c>
      <x:c r="I255" s="16" t="n">
        <x:f>ROUND((B255*'Rules'!$B$6+C255/'Rules'!$B$12*'Rules'!$B$7+D255*'Rules'!$B$8+E255*'Rules'!$B$9+F255*'Rules'!$B$10+G255*'Rules'!$B$11)*H255,1)</x:f>
        <x:v>83.9</x:v>
      </x:c>
      <x:c r="J255" s="18" t="n">
        <x:f>'Queries'!C255*'Queries'!E255</x:f>
        <x:v>527.8</x:v>
      </x:c>
    </x:row>
    <x:row r="256" ht="32" customHeight="1">
      <x:c r="A256" s="6" t="str">
        <x:v>bmw car service dubai</x:v>
      </x:c>
      <x:c r="B256" s="16" t="n">
        <x:v>1</x:v>
      </x:c>
      <x:c r="C256" s="16" t="n">
        <x:v>5</x:v>
      </x:c>
      <x:c r="D256" s="16" t="n">
        <x:f>IF('Queries'!E256&lt;='Rules'!$B$17,'Rules'!$B$21,IF('Queries'!E256&lt;='Rules'!$B$18,'Rules'!$B$22,IF('Queries'!E256&lt;='Rules'!$B$19,'Rules'!$B$23,IF('Queries'!E256&lt;='Rules'!$B$20,'Rules'!$B$24,'Rules'!$B$25))))</x:f>
        <x:v>0.7</x:v>
      </x:c>
      <x:c r="E256" s="16" t="n">
        <x:f>MIN(LOG10(1+'Queries'!C256)/'Rules'!$B$13,1)</x:f>
        <x:v>0.5902840038807133</x:v>
      </x:c>
      <x:c r="F256" s="16" t="n">
        <x:f>IF(AND('Queries'!E256&lt;='Rules'!$B$15,'Queries'!C256&gt;='Rules'!$B$14,'Queries'!D256&lt;'Rules'!$B$16),1,0)</x:f>
        <x:v>0</x:v>
      </x:c>
      <x:c r="G256" s="16" t="n">
        <x:v>1</x:v>
      </x:c>
      <x:c r="H256" s="16" t="n">
        <x:v>1</x:v>
      </x:c>
      <x:c r="I256" s="16" t="n">
        <x:f>ROUND((B256*'Rules'!$B$6+C256/'Rules'!$B$12*'Rules'!$B$7+D256*'Rules'!$B$8+E256*'Rules'!$B$9+F256*'Rules'!$B$10+G256*'Rules'!$B$11)*H256,1)</x:f>
        <x:v>78.4</x:v>
      </x:c>
      <x:c r="J256" s="18" t="n">
        <x:f>'Queries'!C256*'Queries'!E256</x:f>
        <x:v>1451.74</x:v>
      </x:c>
    </x:row>
    <x:row r="257" ht="32" customHeight="1">
      <x:c r="A257" s="6" t="str">
        <x:v>ford oil change service in dubai</x:v>
      </x:c>
      <x:c r="B257" s="16" t="n">
        <x:v>1</x:v>
      </x:c>
      <x:c r="C257" s="16" t="n">
        <x:v>3</x:v>
      </x:c>
      <x:c r="D257" s="16" t="n">
        <x:f>IF('Queries'!E257&lt;='Rules'!$B$17,'Rules'!$B$21,IF('Queries'!E257&lt;='Rules'!$B$18,'Rules'!$B$22,IF('Queries'!E257&lt;='Rules'!$B$19,'Rules'!$B$23,IF('Queries'!E257&lt;='Rules'!$B$20,'Rules'!$B$24,'Rules'!$B$25))))</x:f>
        <x:v>0.7</x:v>
      </x:c>
      <x:c r="E257" s="16" t="n">
        <x:f>MIN(LOG10(1+'Queries'!C257)/'Rules'!$B$13,1)</x:f>
        <x:v>0.5902840038807133</x:v>
      </x:c>
      <x:c r="F257" s="16" t="n">
        <x:f>IF(AND('Queries'!E257&lt;='Rules'!$B$15,'Queries'!C257&gt;='Rules'!$B$14,'Queries'!D257&lt;'Rules'!$B$16),1,0)</x:f>
        <x:v>0</x:v>
      </x:c>
      <x:c r="G257" s="16" t="n">
        <x:v>1</x:v>
      </x:c>
      <x:c r="H257" s="16" t="n">
        <x:v>1</x:v>
      </x:c>
      <x:c r="I257" s="16" t="n">
        <x:f>ROUND((B257*'Rules'!$B$6+C257/'Rules'!$B$12*'Rules'!$B$7+D257*'Rules'!$B$8+E257*'Rules'!$B$9+F257*'Rules'!$B$10+G257*'Rules'!$B$11)*H257,1)</x:f>
        <x:v>70.4</x:v>
      </x:c>
      <x:c r="J257" s="18" t="n">
        <x:f>'Queries'!C257*'Queries'!E257</x:f>
        <x:v>1698.82</x:v>
      </x:c>
    </x:row>
    <x:row r="258" ht="32" customHeight="1">
      <x:c r="A258" s="6" t="str">
        <x:v>self healing ppf</x:v>
      </x:c>
      <x:c r="B258" s="16" t="n">
        <x:v>0.8</x:v>
      </x:c>
      <x:c r="C258" s="16" t="n">
        <x:v>5</x:v>
      </x:c>
      <x:c r="D258" s="16" t="n">
        <x:f>IF('Queries'!E258&lt;='Rules'!$B$17,'Rules'!$B$21,IF('Queries'!E258&lt;='Rules'!$B$18,'Rules'!$B$22,IF('Queries'!E258&lt;='Rules'!$B$19,'Rules'!$B$23,IF('Queries'!E258&lt;='Rules'!$B$20,'Rules'!$B$24,'Rules'!$B$25))))</x:f>
        <x:v>0.15</x:v>
      </x:c>
      <x:c r="E258" s="16" t="n">
        <x:f>MIN(LOG10(1+'Queries'!C258)/'Rules'!$B$13,1)</x:f>
        <x:v>0.5902840038807133</x:v>
      </x:c>
      <x:c r="F258" s="16" t="n">
        <x:f>IF(AND('Queries'!E258&lt;='Rules'!$B$15,'Queries'!C258&gt;='Rules'!$B$14,'Queries'!D258&lt;'Rules'!$B$16),1,0)</x:f>
        <x:v>0</x:v>
      </x:c>
      <x:c r="G258" s="16" t="n">
        <x:v>1</x:v>
      </x:c>
      <x:c r="H258" s="16" t="n">
        <x:v>1</x:v>
      </x:c>
      <x:c r="I258" s="16" t="n">
        <x:f>ROUND((B258*'Rules'!$B$6+C258/'Rules'!$B$12*'Rules'!$B$7+D258*'Rules'!$B$8+E258*'Rules'!$B$9+F258*'Rules'!$B$10+G258*'Rules'!$B$11)*H258,1)</x:f>
        <x:v>59.7</x:v>
      </x:c>
      <x:c r="J258" s="18" t="n">
        <x:f>'Queries'!C258*'Queries'!E258</x:f>
        <x:v>2525.8999999999996</x:v>
      </x:c>
    </x:row>
    <x:row r="259" ht="32" customHeight="1">
      <x:c r="A259" s="6" t="str">
        <x:v>صيانة بريكات السيارات</x:v>
      </x:c>
      <x:c r="B259" s="16" t="n">
        <x:v>0.8</x:v>
      </x:c>
      <x:c r="C259" s="16" t="n">
        <x:v>3</x:v>
      </x:c>
      <x:c r="D259" s="16" t="n">
        <x:f>IF('Queries'!E259&lt;='Rules'!$B$17,'Rules'!$B$21,IF('Queries'!E259&lt;='Rules'!$B$18,'Rules'!$B$22,IF('Queries'!E259&lt;='Rules'!$B$19,'Rules'!$B$23,IF('Queries'!E259&lt;='Rules'!$B$20,'Rules'!$B$24,'Rules'!$B$25))))</x:f>
        <x:v>0.15</x:v>
      </x:c>
      <x:c r="E259" s="16" t="n">
        <x:f>MIN(LOG10(1+'Queries'!C259)/'Rules'!$B$13,1)</x:f>
        <x:v>0.5902840038807133</x:v>
      </x:c>
      <x:c r="F259" s="16" t="n">
        <x:f>IF(AND('Queries'!E259&lt;='Rules'!$B$15,'Queries'!C259&gt;='Rules'!$B$14,'Queries'!D259&lt;'Rules'!$B$16),1,0)</x:f>
        <x:v>0</x:v>
      </x:c>
      <x:c r="G259" s="16" t="n">
        <x:v>1</x:v>
      </x:c>
      <x:c r="H259" s="16" t="n">
        <x:v>1</x:v>
      </x:c>
      <x:c r="I259" s="16" t="n">
        <x:f>ROUND((B259*'Rules'!$B$6+C259/'Rules'!$B$12*'Rules'!$B$7+D259*'Rules'!$B$8+E259*'Rules'!$B$9+F259*'Rules'!$B$10+G259*'Rules'!$B$11)*H259,1)</x:f>
        <x:v>51.7</x:v>
      </x:c>
      <x:c r="J259" s="18" t="n">
        <x:f>'Queries'!C259*'Queries'!E259</x:f>
        <x:v>2953.94</x:v>
      </x:c>
    </x:row>
    <x:row r="260" ht="32" customHeight="1">
      <x:c r="A260" s="6" t="str">
        <x:v>gad mercedes</x:v>
      </x:c>
      <x:c r="B260" s="16" t="n">
        <x:v>0.8</x:v>
      </x:c>
      <x:c r="C260" s="16" t="n">
        <x:v>5</x:v>
      </x:c>
      <x:c r="D260" s="16" t="n">
        <x:f>IF('Queries'!E260&lt;='Rules'!$B$17,'Rules'!$B$21,IF('Queries'!E260&lt;='Rules'!$B$18,'Rules'!$B$22,IF('Queries'!E260&lt;='Rules'!$B$19,'Rules'!$B$23,IF('Queries'!E260&lt;='Rules'!$B$20,'Rules'!$B$24,'Rules'!$B$25))))</x:f>
        <x:v>1</x:v>
      </x:c>
      <x:c r="E260" s="16" t="n">
        <x:f>MIN(LOG10(1+'Queries'!C260)/'Rules'!$B$13,1)</x:f>
        <x:v>0.5878093311876467</x:v>
      </x:c>
      <x:c r="F260" s="16" t="n">
        <x:f>IF(AND('Queries'!E260&lt;='Rules'!$B$15,'Queries'!C260&gt;='Rules'!$B$14,'Queries'!D260&lt;'Rules'!$B$16),1,0)</x:f>
        <x:v>1</x:v>
      </x:c>
      <x:c r="G260" s="16" t="n">
        <x:v>1</x:v>
      </x:c>
      <x:c r="H260" s="16" t="n">
        <x:v>1</x:v>
      </x:c>
      <x:c r="I260" s="16" t="n">
        <x:f>ROUND((B260*'Rules'!$B$6+C260/'Rules'!$B$12*'Rules'!$B$7+D260*'Rules'!$B$8+E260*'Rules'!$B$9+F260*'Rules'!$B$10+G260*'Rules'!$B$11)*H260,1)</x:f>
        <x:v>90.9</x:v>
      </x:c>
      <x:c r="J260" s="18" t="n">
        <x:f>'Queries'!C260*'Queries'!E260</x:f>
        <x:v>449.15999999999997</x:v>
      </x:c>
    </x:row>
    <x:row r="261" ht="32" customHeight="1">
      <x:c r="A261" s="6" t="str">
        <x:v>mclaren repair</x:v>
      </x:c>
      <x:c r="B261" s="16" t="n">
        <x:v>0.8</x:v>
      </x:c>
      <x:c r="C261" s="16" t="n">
        <x:v>5</x:v>
      </x:c>
      <x:c r="D261" s="16" t="n">
        <x:f>IF('Queries'!E261&lt;='Rules'!$B$17,'Rules'!$B$21,IF('Queries'!E261&lt;='Rules'!$B$18,'Rules'!$B$22,IF('Queries'!E261&lt;='Rules'!$B$19,'Rules'!$B$23,IF('Queries'!E261&lt;='Rules'!$B$20,'Rules'!$B$24,'Rules'!$B$25))))</x:f>
        <x:v>1</x:v>
      </x:c>
      <x:c r="E261" s="16" t="n">
        <x:f>MIN(LOG10(1+'Queries'!C261)/'Rules'!$B$13,1)</x:f>
        <x:v>0.5878093311876467</x:v>
      </x:c>
      <x:c r="F261" s="16" t="n">
        <x:f>IF(AND('Queries'!E261&lt;='Rules'!$B$15,'Queries'!C261&gt;='Rules'!$B$14,'Queries'!D261&lt;'Rules'!$B$16),1,0)</x:f>
        <x:v>0</x:v>
      </x:c>
      <x:c r="G261" s="16" t="n">
        <x:v>1</x:v>
      </x:c>
      <x:c r="H261" s="16" t="n">
        <x:v>1</x:v>
      </x:c>
      <x:c r="I261" s="16" t="n">
        <x:f>ROUND((B261*'Rules'!$B$6+C261/'Rules'!$B$12*'Rules'!$B$7+D261*'Rules'!$B$8+E261*'Rules'!$B$9+F261*'Rules'!$B$10+G261*'Rules'!$B$11)*H261,1)</x:f>
        <x:v>80.9</x:v>
      </x:c>
      <x:c r="J261" s="18" t="n">
        <x:f>'Queries'!C261*'Queries'!E261</x:f>
        <x:v>612.1800000000001</x:v>
      </x:c>
    </x:row>
    <x:row r="262" ht="32" customHeight="1">
      <x:c r="A262" s="6" t="str">
        <x:v>car oil change</x:v>
      </x:c>
      <x:c r="B262" s="16" t="n">
        <x:v>0.8</x:v>
      </x:c>
      <x:c r="C262" s="16" t="n">
        <x:v>3</x:v>
      </x:c>
      <x:c r="D262" s="16" t="n">
        <x:f>IF('Queries'!E262&lt;='Rules'!$B$17,'Rules'!$B$21,IF('Queries'!E262&lt;='Rules'!$B$18,'Rules'!$B$22,IF('Queries'!E262&lt;='Rules'!$B$19,'Rules'!$B$23,IF('Queries'!E262&lt;='Rules'!$B$20,'Rules'!$B$24,'Rules'!$B$25))))</x:f>
        <x:v>0.4</x:v>
      </x:c>
      <x:c r="E262" s="16" t="n">
        <x:f>MIN(LOG10(1+'Queries'!C262)/'Rules'!$B$13,1)</x:f>
        <x:v>0.5878093311876467</x:v>
      </x:c>
      <x:c r="F262" s="16" t="n">
        <x:f>IF(AND('Queries'!E262&lt;='Rules'!$B$15,'Queries'!C262&gt;='Rules'!$B$14,'Queries'!D262&lt;'Rules'!$B$16),1,0)</x:f>
        <x:v>0</x:v>
      </x:c>
      <x:c r="G262" s="16" t="n">
        <x:v>1</x:v>
      </x:c>
      <x:c r="H262" s="16" t="n">
        <x:v>1</x:v>
      </x:c>
      <x:c r="I262" s="16" t="n">
        <x:f>ROUND((B262*'Rules'!$B$6+C262/'Rules'!$B$12*'Rules'!$B$7+D262*'Rules'!$B$8+E262*'Rules'!$B$9+F262*'Rules'!$B$10+G262*'Rules'!$B$11)*H262,1)</x:f>
        <x:v>57.9</x:v>
      </x:c>
      <x:c r="J262" s="18" t="n">
        <x:f>'Queries'!C262*'Queries'!E262</x:f>
        <x:v>1922.04</x:v>
      </x:c>
    </x:row>
    <x:row r="263" ht="32" customHeight="1">
      <x:c r="A263" s="6" t="str">
        <x:v>audi brake repair dubai</x:v>
      </x:c>
      <x:c r="B263" s="16" t="n">
        <x:v>1</x:v>
      </x:c>
      <x:c r="C263" s="16" t="n">
        <x:v>5</x:v>
      </x:c>
      <x:c r="D263" s="16" t="n">
        <x:f>IF('Queries'!E263&lt;='Rules'!$B$17,'Rules'!$B$21,IF('Queries'!E263&lt;='Rules'!$B$18,'Rules'!$B$22,IF('Queries'!E263&lt;='Rules'!$B$19,'Rules'!$B$23,IF('Queries'!E263&lt;='Rules'!$B$20,'Rules'!$B$24,'Rules'!$B$25))))</x:f>
        <x:v>0.15</x:v>
      </x:c>
      <x:c r="E263" s="16" t="n">
        <x:f>MIN(LOG10(1+'Queries'!C263)/'Rules'!$B$13,1)</x:f>
        <x:v>0.5878093311876467</x:v>
      </x:c>
      <x:c r="F263" s="16" t="n">
        <x:f>IF(AND('Queries'!E263&lt;='Rules'!$B$15,'Queries'!C263&gt;='Rules'!$B$14,'Queries'!D263&lt;'Rules'!$B$16),1,0)</x:f>
        <x:v>0</x:v>
      </x:c>
      <x:c r="G263" s="16" t="n">
        <x:v>1</x:v>
      </x:c>
      <x:c r="H263" s="16" t="n">
        <x:v>1</x:v>
      </x:c>
      <x:c r="I263" s="16" t="n">
        <x:f>ROUND((B263*'Rules'!$B$6+C263/'Rules'!$B$12*'Rules'!$B$7+D263*'Rules'!$B$8+E263*'Rules'!$B$9+F263*'Rules'!$B$10+G263*'Rules'!$B$11)*H263,1)</x:f>
        <x:v>64.6</x:v>
      </x:c>
      <x:c r="J263" s="18" t="n">
        <x:f>'Queries'!C263*'Queries'!E263</x:f>
        <x:v>2424.7799999999997</x:v>
      </x:c>
    </x:row>
    <x:row r="264" ht="32" customHeight="1">
      <x:c r="A264" s="6" t="str">
        <x:v>mercedes garage in dubai</x:v>
      </x:c>
      <x:c r="B264" s="16" t="n">
        <x:v>1</x:v>
      </x:c>
      <x:c r="C264" s="16" t="n">
        <x:v>5</x:v>
      </x:c>
      <x:c r="D264" s="16" t="n">
        <x:f>IF('Queries'!E264&lt;='Rules'!$B$17,'Rules'!$B$21,IF('Queries'!E264&lt;='Rules'!$B$18,'Rules'!$B$22,IF('Queries'!E264&lt;='Rules'!$B$19,'Rules'!$B$23,IF('Queries'!E264&lt;='Rules'!$B$20,'Rules'!$B$24,'Rules'!$B$25))))</x:f>
        <x:v>1</x:v>
      </x:c>
      <x:c r="E264" s="16" t="n">
        <x:f>MIN(LOG10(1+'Queries'!C264)/'Rules'!$B$13,1)</x:f>
        <x:v>0.5852916185574967</x:v>
      </x:c>
      <x:c r="F264" s="16" t="n">
        <x:f>IF(AND('Queries'!E264&lt;='Rules'!$B$15,'Queries'!C264&gt;='Rules'!$B$14,'Queries'!D264&lt;'Rules'!$B$16),1,0)</x:f>
        <x:v>1</x:v>
      </x:c>
      <x:c r="G264" s="16" t="n">
        <x:v>1</x:v>
      </x:c>
      <x:c r="H264" s="16" t="n">
        <x:v>1</x:v>
      </x:c>
      <x:c r="I264" s="16" t="n">
        <x:f>ROUND((B264*'Rules'!$B$6+C264/'Rules'!$B$12*'Rules'!$B$7+D264*'Rules'!$B$8+E264*'Rules'!$B$9+F264*'Rules'!$B$10+G264*'Rules'!$B$11)*H264,1)</x:f>
        <x:v>95.9</x:v>
      </x:c>
      <x:c r="J264" s="18" t="n">
        <x:f>'Queries'!C264*'Queries'!E264</x:f>
        <x:v>502.88</x:v>
      </x:c>
    </x:row>
    <x:row r="265" ht="32" customHeight="1">
      <x:c r="A265" s="6" t="str">
        <x:v>car battery replacement in dubai</x:v>
      </x:c>
      <x:c r="B265" s="16" t="n">
        <x:v>1</x:v>
      </x:c>
      <x:c r="C265" s="16" t="n">
        <x:v>3</x:v>
      </x:c>
      <x:c r="D265" s="16" t="n">
        <x:f>IF('Queries'!E265&lt;='Rules'!$B$17,'Rules'!$B$21,IF('Queries'!E265&lt;='Rules'!$B$18,'Rules'!$B$22,IF('Queries'!E265&lt;='Rules'!$B$19,'Rules'!$B$23,IF('Queries'!E265&lt;='Rules'!$B$20,'Rules'!$B$24,'Rules'!$B$25))))</x:f>
        <x:v>0.7</x:v>
      </x:c>
      <x:c r="E265" s="16" t="n">
        <x:f>MIN(LOG10(1+'Queries'!C265)/'Rules'!$B$13,1)</x:f>
        <x:v>0.5852916185574967</x:v>
      </x:c>
      <x:c r="F265" s="16" t="n">
        <x:f>IF(AND('Queries'!E265&lt;='Rules'!$B$15,'Queries'!C265&gt;='Rules'!$B$14,'Queries'!D265&lt;'Rules'!$B$16),1,0)</x:f>
        <x:v>0</x:v>
      </x:c>
      <x:c r="G265" s="16" t="n">
        <x:v>1</x:v>
      </x:c>
      <x:c r="H265" s="16" t="n">
        <x:v>1</x:v>
      </x:c>
      <x:c r="I265" s="16" t="n">
        <x:f>ROUND((B265*'Rules'!$B$6+C265/'Rules'!$B$12*'Rules'!$B$7+D265*'Rules'!$B$8+E265*'Rules'!$B$9+F265*'Rules'!$B$10+G265*'Rules'!$B$11)*H265,1)</x:f>
        <x:v>70.4</x:v>
      </x:c>
      <x:c r="J265" s="18" t="n">
        <x:f>'Queries'!C265*'Queries'!E265</x:f>
        <x:v>1350.1599999999999</x:v>
      </x:c>
    </x:row>
    <x:row r="266" ht="32" customHeight="1">
      <x:c r="A266" s="6" t="str">
        <x:v>aston martin transmission repair dubai</x:v>
      </x:c>
      <x:c r="B266" s="16" t="n">
        <x:v>1</x:v>
      </x:c>
      <x:c r="C266" s="16" t="n">
        <x:v>5</x:v>
      </x:c>
      <x:c r="D266" s="16" t="n">
        <x:f>IF('Queries'!E266&lt;='Rules'!$B$17,'Rules'!$B$21,IF('Queries'!E266&lt;='Rules'!$B$18,'Rules'!$B$22,IF('Queries'!E266&lt;='Rules'!$B$19,'Rules'!$B$23,IF('Queries'!E266&lt;='Rules'!$B$20,'Rules'!$B$24,'Rules'!$B$25))))</x:f>
        <x:v>1</x:v>
      </x:c>
      <x:c r="E266" s="16" t="n">
        <x:f>MIN(LOG10(1+'Queries'!C266)/'Rules'!$B$13,1)</x:f>
        <x:v>0.5827293423354</x:v>
      </x:c>
      <x:c r="F266" s="16" t="n">
        <x:f>IF(AND('Queries'!E266&lt;='Rules'!$B$15,'Queries'!C266&gt;='Rules'!$B$14,'Queries'!D266&lt;'Rules'!$B$16),1,0)</x:f>
        <x:v>0</x:v>
      </x:c>
      <x:c r="G266" s="16" t="n">
        <x:v>1</x:v>
      </x:c>
      <x:c r="H266" s="16" t="n">
        <x:v>1</x:v>
      </x:c>
      <x:c r="I266" s="16" t="n">
        <x:f>ROUND((B266*'Rules'!$B$6+C266/'Rules'!$B$12*'Rules'!$B$7+D266*'Rules'!$B$8+E266*'Rules'!$B$9+F266*'Rules'!$B$10+G266*'Rules'!$B$11)*H266,1)</x:f>
        <x:v>85.8</x:v>
      </x:c>
      <x:c r="J266" s="18" t="n">
        <x:f>'Queries'!C266*'Queries'!E266</x:f>
        <x:v>563.2</x:v>
      </x:c>
    </x:row>
    <x:row r="267" ht="32" customHeight="1">
      <x:c r="A267" s="6" t="str">
        <x:v>car steering repair near me</x:v>
      </x:c>
      <x:c r="B267" s="16" t="n">
        <x:v>1</x:v>
      </x:c>
      <x:c r="C267" s="16" t="n">
        <x:v>3</x:v>
      </x:c>
      <x:c r="D267" s="16" t="n">
        <x:f>IF('Queries'!E267&lt;='Rules'!$B$17,'Rules'!$B$21,IF('Queries'!E267&lt;='Rules'!$B$18,'Rules'!$B$22,IF('Queries'!E267&lt;='Rules'!$B$19,'Rules'!$B$23,IF('Queries'!E267&lt;='Rules'!$B$20,'Rules'!$B$24,'Rules'!$B$25))))</x:f>
        <x:v>1</x:v>
      </x:c>
      <x:c r="E267" s="16" t="n">
        <x:f>MIN(LOG10(1+'Queries'!C267)/'Rules'!$B$13,1)</x:f>
        <x:v>0.5827293423354</x:v>
      </x:c>
      <x:c r="F267" s="16" t="n">
        <x:f>IF(AND('Queries'!E267&lt;='Rules'!$B$15,'Queries'!C267&gt;='Rules'!$B$14,'Queries'!D267&lt;'Rules'!$B$16),1,0)</x:f>
        <x:v>0</x:v>
      </x:c>
      <x:c r="G267" s="16" t="n">
        <x:v>1</x:v>
      </x:c>
      <x:c r="H267" s="16" t="n">
        <x:v>1</x:v>
      </x:c>
      <x:c r="I267" s="16" t="n">
        <x:f>ROUND((B267*'Rules'!$B$6+C267/'Rules'!$B$12*'Rules'!$B$7+D267*'Rules'!$B$8+E267*'Rules'!$B$9+F267*'Rules'!$B$10+G267*'Rules'!$B$11)*H267,1)</x:f>
        <x:v>77.8</x:v>
      </x:c>
      <x:c r="J267" s="18" t="n">
        <x:f>'Queries'!C267*'Queries'!E267</x:f>
        <x:v>766.15</x:v>
      </x:c>
    </x:row>
    <x:row r="268" ht="32" customHeight="1">
      <x:c r="A268" s="6" t="str">
        <x:v>ferrari repair</x:v>
      </x:c>
      <x:c r="B268" s="16" t="n">
        <x:v>0.8</x:v>
      </x:c>
      <x:c r="C268" s="16" t="n">
        <x:v>5</x:v>
      </x:c>
      <x:c r="D268" s="16" t="n">
        <x:f>IF('Queries'!E268&lt;='Rules'!$B$17,'Rules'!$B$21,IF('Queries'!E268&lt;='Rules'!$B$18,'Rules'!$B$22,IF('Queries'!E268&lt;='Rules'!$B$19,'Rules'!$B$23,IF('Queries'!E268&lt;='Rules'!$B$20,'Rules'!$B$24,'Rules'!$B$25))))</x:f>
        <x:v>0.7</x:v>
      </x:c>
      <x:c r="E268" s="16" t="n">
        <x:f>MIN(LOG10(1+'Queries'!C268)/'Rules'!$B$13,1)</x:f>
        <x:v>0.5827293423354</x:v>
      </x:c>
      <x:c r="F268" s="16" t="n">
        <x:f>IF(AND('Queries'!E268&lt;='Rules'!$B$15,'Queries'!C268&gt;='Rules'!$B$14,'Queries'!D268&lt;'Rules'!$B$16),1,0)</x:f>
        <x:v>0</x:v>
      </x:c>
      <x:c r="G268" s="16" t="n">
        <x:v>1</x:v>
      </x:c>
      <x:c r="H268" s="16" t="n">
        <x:v>1</x:v>
      </x:c>
      <x:c r="I268" s="16" t="n">
        <x:f>ROUND((B268*'Rules'!$B$6+C268/'Rules'!$B$12*'Rules'!$B$7+D268*'Rules'!$B$8+E268*'Rules'!$B$9+F268*'Rules'!$B$10+G268*'Rules'!$B$11)*H268,1)</x:f>
        <x:v>73.3</x:v>
      </x:c>
      <x:c r="J268" s="18" t="n">
        <x:f>'Queries'!C268*'Queries'!E268</x:f>
        <x:v>998.8</x:v>
      </x:c>
    </x:row>
    <x:row r="269" ht="32" customHeight="1">
      <x:c r="A269" s="6" t="str">
        <x:v>bugatti workshop dubai</x:v>
      </x:c>
      <x:c r="B269" s="16" t="n">
        <x:v>1</x:v>
      </x:c>
      <x:c r="C269" s="16" t="n">
        <x:v>5</x:v>
      </x:c>
      <x:c r="D269" s="16" t="n">
        <x:f>IF('Queries'!E269&lt;='Rules'!$B$17,'Rules'!$B$21,IF('Queries'!E269&lt;='Rules'!$B$18,'Rules'!$B$22,IF('Queries'!E269&lt;='Rules'!$B$19,'Rules'!$B$23,IF('Queries'!E269&lt;='Rules'!$B$20,'Rules'!$B$24,'Rules'!$B$25))))</x:f>
        <x:v>0.7</x:v>
      </x:c>
      <x:c r="E269" s="16" t="n">
        <x:f>MIN(LOG10(1+'Queries'!C269)/'Rules'!$B$13,1)</x:f>
        <x:v>0.5827293423354</x:v>
      </x:c>
      <x:c r="F269" s="16" t="n">
        <x:f>IF(AND('Queries'!E269&lt;='Rules'!$B$15,'Queries'!C269&gt;='Rules'!$B$14,'Queries'!D269&lt;'Rules'!$B$16),1,0)</x:f>
        <x:v>0</x:v>
      </x:c>
      <x:c r="G269" s="16" t="n">
        <x:v>1</x:v>
      </x:c>
      <x:c r="H269" s="16" t="n">
        <x:v>1</x:v>
      </x:c>
      <x:c r="I269" s="16" t="n">
        <x:f>ROUND((B269*'Rules'!$B$6+C269/'Rules'!$B$12*'Rules'!$B$7+D269*'Rules'!$B$8+E269*'Rules'!$B$9+F269*'Rules'!$B$10+G269*'Rules'!$B$11)*H269,1)</x:f>
        <x:v>78.3</x:v>
      </x:c>
      <x:c r="J269" s="18" t="n">
        <x:f>'Queries'!C269*'Queries'!E269</x:f>
        <x:v>1038.95</x:v>
      </x:c>
    </x:row>
    <x:row r="270" ht="32" customHeight="1">
      <x:c r="A270" s="6" t="str">
        <x:v>cadillac oil change dubai</x:v>
      </x:c>
      <x:c r="B270" s="16" t="n">
        <x:v>1</x:v>
      </x:c>
      <x:c r="C270" s="16" t="n">
        <x:v>3</x:v>
      </x:c>
      <x:c r="D270" s="16" t="n">
        <x:f>IF('Queries'!E270&lt;='Rules'!$B$17,'Rules'!$B$21,IF('Queries'!E270&lt;='Rules'!$B$18,'Rules'!$B$22,IF('Queries'!E270&lt;='Rules'!$B$19,'Rules'!$B$23,IF('Queries'!E270&lt;='Rules'!$B$20,'Rules'!$B$24,'Rules'!$B$25))))</x:f>
        <x:v>0.7</x:v>
      </x:c>
      <x:c r="E270" s="16" t="n">
        <x:f>MIN(LOG10(1+'Queries'!C270)/'Rules'!$B$13,1)</x:f>
        <x:v>0.5827293423354</x:v>
      </x:c>
      <x:c r="F270" s="16" t="n">
        <x:f>IF(AND('Queries'!E270&lt;='Rules'!$B$15,'Queries'!C270&gt;='Rules'!$B$14,'Queries'!D270&lt;'Rules'!$B$16),1,0)</x:f>
        <x:v>0</x:v>
      </x:c>
      <x:c r="G270" s="16" t="n">
        <x:v>1</x:v>
      </x:c>
      <x:c r="H270" s="16" t="n">
        <x:v>1</x:v>
      </x:c>
      <x:c r="I270" s="16" t="n">
        <x:f>ROUND((B270*'Rules'!$B$6+C270/'Rules'!$B$12*'Rules'!$B$7+D270*'Rules'!$B$8+E270*'Rules'!$B$9+F270*'Rules'!$B$10+G270*'Rules'!$B$11)*H270,1)</x:f>
        <x:v>70.3</x:v>
      </x:c>
      <x:c r="J270" s="18" t="n">
        <x:f>'Queries'!C270*'Queries'!E270</x:f>
        <x:v>1174.8</x:v>
      </x:c>
    </x:row>
    <x:row r="271" ht="32" customHeight="1">
      <x:c r="A271" s="6" t="str">
        <x:v>rolls royce repair in dubai</x:v>
      </x:c>
      <x:c r="B271" s="16" t="n">
        <x:v>1</x:v>
      </x:c>
      <x:c r="C271" s="16" t="n">
        <x:v>5</x:v>
      </x:c>
      <x:c r="D271" s="16" t="n">
        <x:f>IF('Queries'!E271&lt;='Rules'!$B$17,'Rules'!$B$21,IF('Queries'!E271&lt;='Rules'!$B$18,'Rules'!$B$22,IF('Queries'!E271&lt;='Rules'!$B$19,'Rules'!$B$23,IF('Queries'!E271&lt;='Rules'!$B$20,'Rules'!$B$24,'Rules'!$B$25))))</x:f>
        <x:v>0.7</x:v>
      </x:c>
      <x:c r="E271" s="16" t="n">
        <x:f>MIN(LOG10(1+'Queries'!C271)/'Rules'!$B$13,1)</x:f>
        <x:v>0.5827293423354</x:v>
      </x:c>
      <x:c r="F271" s="16" t="n">
        <x:f>IF(AND('Queries'!E271&lt;='Rules'!$B$15,'Queries'!C271&gt;='Rules'!$B$14,'Queries'!D271&lt;'Rules'!$B$16),1,0)</x:f>
        <x:v>0</x:v>
      </x:c>
      <x:c r="G271" s="16" t="n">
        <x:v>1</x:v>
      </x:c>
      <x:c r="H271" s="16" t="n">
        <x:v>1</x:v>
      </x:c>
      <x:c r="I271" s="16" t="n">
        <x:f>ROUND((B271*'Rules'!$B$6+C271/'Rules'!$B$12*'Rules'!$B$7+D271*'Rules'!$B$8+E271*'Rules'!$B$9+F271*'Rules'!$B$10+G271*'Rules'!$B$11)*H271,1)</x:f>
        <x:v>78.3</x:v>
      </x:c>
      <x:c r="J271" s="18" t="n">
        <x:f>'Queries'!C271*'Queries'!E271</x:f>
        <x:v>1535.05</x:v>
      </x:c>
    </x:row>
    <x:row r="272" ht="32" customHeight="1">
      <x:c r="A272" s="6" t="str">
        <x:v>mercedes brake service dubai</x:v>
      </x:c>
      <x:c r="B272" s="16" t="n">
        <x:v>1</x:v>
      </x:c>
      <x:c r="C272" s="16" t="n">
        <x:v>5</x:v>
      </x:c>
      <x:c r="D272" s="16" t="n">
        <x:f>IF('Queries'!E272&lt;='Rules'!$B$17,'Rules'!$B$21,IF('Queries'!E272&lt;='Rules'!$B$18,'Rules'!$B$22,IF('Queries'!E272&lt;='Rules'!$B$19,'Rules'!$B$23,IF('Queries'!E272&lt;='Rules'!$B$20,'Rules'!$B$24,'Rules'!$B$25))))</x:f>
        <x:v>0.4</x:v>
      </x:c>
      <x:c r="E272" s="16" t="n">
        <x:f>MIN(LOG10(1+'Queries'!C272)/'Rules'!$B$13,1)</x:f>
        <x:v>0.5827293423354</x:v>
      </x:c>
      <x:c r="F272" s="16" t="n">
        <x:f>IF(AND('Queries'!E272&lt;='Rules'!$B$15,'Queries'!C272&gt;='Rules'!$B$14,'Queries'!D272&lt;'Rules'!$B$16),1,0)</x:f>
        <x:v>0</x:v>
      </x:c>
      <x:c r="G272" s="16" t="n">
        <x:v>1</x:v>
      </x:c>
      <x:c r="H272" s="16" t="n">
        <x:v>1</x:v>
      </x:c>
      <x:c r="I272" s="16" t="n">
        <x:f>ROUND((B272*'Rules'!$B$6+C272/'Rules'!$B$12*'Rules'!$B$7+D272*'Rules'!$B$8+E272*'Rules'!$B$9+F272*'Rules'!$B$10+G272*'Rules'!$B$11)*H272,1)</x:f>
        <x:v>70.8</x:v>
      </x:c>
      <x:c r="J272" s="18" t="n">
        <x:f>'Queries'!C272*'Queries'!E272</x:f>
        <x:v>1724.25</x:v>
      </x:c>
    </x:row>
    <x:row r="273" ht="32" customHeight="1">
      <x:c r="A273" s="6" t="str">
        <x:v>auto air con</x:v>
      </x:c>
      <x:c r="B273" s="16" t="n">
        <x:v>0.8</x:v>
      </x:c>
      <x:c r="C273" s="16" t="n">
        <x:v>3</x:v>
      </x:c>
      <x:c r="D273" s="16" t="n">
        <x:f>IF('Queries'!E273&lt;='Rules'!$B$17,'Rules'!$B$21,IF('Queries'!E273&lt;='Rules'!$B$18,'Rules'!$B$22,IF('Queries'!E273&lt;='Rules'!$B$19,'Rules'!$B$23,IF('Queries'!E273&lt;='Rules'!$B$20,'Rules'!$B$24,'Rules'!$B$25))))</x:f>
        <x:v>0.15</x:v>
      </x:c>
      <x:c r="E273" s="16" t="n">
        <x:f>MIN(LOG10(1+'Queries'!C273)/'Rules'!$B$13,1)</x:f>
        <x:v>0.5827293423354</x:v>
      </x:c>
      <x:c r="F273" s="16" t="n">
        <x:f>IF(AND('Queries'!E273&lt;='Rules'!$B$15,'Queries'!C273&gt;='Rules'!$B$14,'Queries'!D273&lt;'Rules'!$B$16),1,0)</x:f>
        <x:v>0</x:v>
      </x:c>
      <x:c r="G273" s="16" t="n">
        <x:v>1</x:v>
      </x:c>
      <x:c r="H273" s="16" t="n">
        <x:v>1</x:v>
      </x:c>
      <x:c r="I273" s="16" t="n">
        <x:f>ROUND((B273*'Rules'!$B$6+C273/'Rules'!$B$12*'Rules'!$B$7+D273*'Rules'!$B$8+E273*'Rules'!$B$9+F273*'Rules'!$B$10+G273*'Rules'!$B$11)*H273,1)</x:f>
        <x:v>51.6</x:v>
      </x:c>
      <x:c r="J273" s="18" t="n">
        <x:f>'Queries'!C273*'Queries'!E273</x:f>
        <x:v>3592.05</x:v>
      </x:c>
    </x:row>
    <x:row r="274" ht="32" customHeight="1">
      <x:c r="A274" s="6" t="str">
        <x:v>nissan service center al quoz</x:v>
      </x:c>
      <x:c r="B274" s="16" t="n">
        <x:v>1</x:v>
      </x:c>
      <x:c r="C274" s="16" t="n">
        <x:v>3</x:v>
      </x:c>
      <x:c r="D274" s="16" t="n">
        <x:f>IF('Queries'!E274&lt;='Rules'!$B$17,'Rules'!$B$21,IF('Queries'!E274&lt;='Rules'!$B$18,'Rules'!$B$22,IF('Queries'!E274&lt;='Rules'!$B$19,'Rules'!$B$23,IF('Queries'!E274&lt;='Rules'!$B$20,'Rules'!$B$24,'Rules'!$B$25))))</x:f>
        <x:v>1</x:v>
      </x:c>
      <x:c r="E274" s="16" t="n">
        <x:f>MIN(LOG10(1+'Queries'!C274)/'Rules'!$B$13,1)</x:f>
        <x:v>0.58012089649808</x:v>
      </x:c>
      <x:c r="F274" s="16" t="n">
        <x:f>IF(AND('Queries'!E274&lt;='Rules'!$B$15,'Queries'!C274&gt;='Rules'!$B$14,'Queries'!D274&lt;'Rules'!$B$16),1,0)</x:f>
        <x:v>1</x:v>
      </x:c>
      <x:c r="G274" s="16" t="n">
        <x:v>1</x:v>
      </x:c>
      <x:c r="H274" s="16" t="n">
        <x:v>1</x:v>
      </x:c>
      <x:c r="I274" s="16" t="n">
        <x:f>ROUND((B274*'Rules'!$B$6+C274/'Rules'!$B$12*'Rules'!$B$7+D274*'Rules'!$B$8+E274*'Rules'!$B$9+F274*'Rules'!$B$10+G274*'Rules'!$B$11)*H274,1)</x:f>
        <x:v>87.8</x:v>
      </x:c>
      <x:c r="J274" s="18" t="n">
        <x:f>'Queries'!C274*'Queries'!E274</x:f>
        <x:v>502.20000000000005</x:v>
      </x:c>
    </x:row>
    <x:row r="275" ht="32" customHeight="1">
      <x:c r="A275" s="6" t="str">
        <x:v>maserati workshop dubai</x:v>
      </x:c>
      <x:c r="B275" s="16" t="n">
        <x:v>1</x:v>
      </x:c>
      <x:c r="C275" s="16" t="n">
        <x:v>5</x:v>
      </x:c>
      <x:c r="D275" s="16" t="n">
        <x:f>IF('Queries'!E275&lt;='Rules'!$B$17,'Rules'!$B$21,IF('Queries'!E275&lt;='Rules'!$B$18,'Rules'!$B$22,IF('Queries'!E275&lt;='Rules'!$B$19,'Rules'!$B$23,IF('Queries'!E275&lt;='Rules'!$B$20,'Rules'!$B$24,'Rules'!$B$25))))</x:f>
        <x:v>1</x:v>
      </x:c>
      <x:c r="E275" s="16" t="n">
        <x:f>MIN(LOG10(1+'Queries'!C275)/'Rules'!$B$13,1)</x:f>
        <x:v>0.58012089649808</x:v>
      </x:c>
      <x:c r="F275" s="16" t="n">
        <x:f>IF(AND('Queries'!E275&lt;='Rules'!$B$15,'Queries'!C275&gt;='Rules'!$B$14,'Queries'!D275&lt;'Rules'!$B$16),1,0)</x:f>
        <x:v>0</x:v>
      </x:c>
      <x:c r="G275" s="16" t="n">
        <x:v>1</x:v>
      </x:c>
      <x:c r="H275" s="16" t="n">
        <x:v>1</x:v>
      </x:c>
      <x:c r="I275" s="16" t="n">
        <x:f>ROUND((B275*'Rules'!$B$6+C275/'Rules'!$B$12*'Rules'!$B$7+D275*'Rules'!$B$8+E275*'Rules'!$B$9+F275*'Rules'!$B$10+G275*'Rules'!$B$11)*H275,1)</x:f>
        <x:v>85.8</x:v>
      </x:c>
      <x:c r="J275" s="18" t="n">
        <x:f>'Queries'!C275*'Queries'!E275</x:f>
        <x:v>767.88</x:v>
      </x:c>
    </x:row>
    <x:row r="276" ht="32" customHeight="1">
      <x:c r="A276" s="6" t="str">
        <x:v>bmw workshop dubai al quoz</x:v>
      </x:c>
      <x:c r="B276" s="16" t="n">
        <x:v>1</x:v>
      </x:c>
      <x:c r="C276" s="16" t="n">
        <x:v>5</x:v>
      </x:c>
      <x:c r="D276" s="16" t="n">
        <x:f>IF('Queries'!E276&lt;='Rules'!$B$17,'Rules'!$B$21,IF('Queries'!E276&lt;='Rules'!$B$18,'Rules'!$B$22,IF('Queries'!E276&lt;='Rules'!$B$19,'Rules'!$B$23,IF('Queries'!E276&lt;='Rules'!$B$20,'Rules'!$B$24,'Rules'!$B$25))))</x:f>
        <x:v>1</x:v>
      </x:c>
      <x:c r="E276" s="16" t="n">
        <x:f>MIN(LOG10(1+'Queries'!C276)/'Rules'!$B$13,1)</x:f>
        <x:v>0.58012089649808</x:v>
      </x:c>
      <x:c r="F276" s="16" t="n">
        <x:f>IF(AND('Queries'!E276&lt;='Rules'!$B$15,'Queries'!C276&gt;='Rules'!$B$14,'Queries'!D276&lt;'Rules'!$B$16),1,0)</x:f>
        <x:v>0</x:v>
      </x:c>
      <x:c r="G276" s="16" t="n">
        <x:v>1</x:v>
      </x:c>
      <x:c r="H276" s="16" t="n">
        <x:v>1</x:v>
      </x:c>
      <x:c r="I276" s="16" t="n">
        <x:f>ROUND((B276*'Rules'!$B$6+C276/'Rules'!$B$12*'Rules'!$B$7+D276*'Rules'!$B$8+E276*'Rules'!$B$9+F276*'Rules'!$B$10+G276*'Rules'!$B$11)*H276,1)</x:f>
        <x:v>85.8</x:v>
      </x:c>
      <x:c r="J276" s="18" t="n">
        <x:f>'Queries'!C276*'Queries'!E276</x:f>
        <x:v>784.0799999999999</x:v>
      </x:c>
    </x:row>
    <x:row r="277" ht="32" customHeight="1">
      <x:c r="A277" s="6" t="str">
        <x:v>bugatti maintenance dubai</x:v>
      </x:c>
      <x:c r="B277" s="16" t="n">
        <x:v>1</x:v>
      </x:c>
      <x:c r="C277" s="16" t="n">
        <x:v>5</x:v>
      </x:c>
      <x:c r="D277" s="16" t="n">
        <x:f>IF('Queries'!E277&lt;='Rules'!$B$17,'Rules'!$B$21,IF('Queries'!E277&lt;='Rules'!$B$18,'Rules'!$B$22,IF('Queries'!E277&lt;='Rules'!$B$19,'Rules'!$B$23,IF('Queries'!E277&lt;='Rules'!$B$20,'Rules'!$B$24,'Rules'!$B$25))))</x:f>
        <x:v>0.7</x:v>
      </x:c>
      <x:c r="E277" s="16" t="n">
        <x:f>MIN(LOG10(1+'Queries'!C277)/'Rules'!$B$13,1)</x:f>
        <x:v>0.58012089649808</x:v>
      </x:c>
      <x:c r="F277" s="16" t="n">
        <x:f>IF(AND('Queries'!E277&lt;='Rules'!$B$15,'Queries'!C277&gt;='Rules'!$B$14,'Queries'!D277&lt;'Rules'!$B$16),1,0)</x:f>
        <x:v>0</x:v>
      </x:c>
      <x:c r="G277" s="16" t="n">
        <x:v>1</x:v>
      </x:c>
      <x:c r="H277" s="16" t="n">
        <x:v>1</x:v>
      </x:c>
      <x:c r="I277" s="16" t="n">
        <x:f>ROUND((B277*'Rules'!$B$6+C277/'Rules'!$B$12*'Rules'!$B$7+D277*'Rules'!$B$8+E277*'Rules'!$B$9+F277*'Rules'!$B$10+G277*'Rules'!$B$11)*H277,1)</x:f>
        <x:v>78.3</x:v>
      </x:c>
      <x:c r="J277" s="18" t="n">
        <x:f>'Queries'!C277*'Queries'!E277</x:f>
        <x:v>1074.06</x:v>
      </x:c>
    </x:row>
    <x:row r="278" ht="32" customHeight="1">
      <x:c r="A278" s="6" t="str">
        <x:v>mercedes service center</x:v>
      </x:c>
      <x:c r="B278" s="16" t="n">
        <x:v>0.8</x:v>
      </x:c>
      <x:c r="C278" s="16" t="n">
        <x:v>5</x:v>
      </x:c>
      <x:c r="D278" s="16" t="n">
        <x:f>IF('Queries'!E278&lt;='Rules'!$B$17,'Rules'!$B$21,IF('Queries'!E278&lt;='Rules'!$B$18,'Rules'!$B$22,IF('Queries'!E278&lt;='Rules'!$B$19,'Rules'!$B$23,IF('Queries'!E278&lt;='Rules'!$B$20,'Rules'!$B$24,'Rules'!$B$25))))</x:f>
        <x:v>0.7</x:v>
      </x:c>
      <x:c r="E278" s="16" t="n">
        <x:f>MIN(LOG10(1+'Queries'!C278)/'Rules'!$B$13,1)</x:f>
        <x:v>0.58012089649808</x:v>
      </x:c>
      <x:c r="F278" s="16" t="n">
        <x:f>IF(AND('Queries'!E278&lt;='Rules'!$B$15,'Queries'!C278&gt;='Rules'!$B$14,'Queries'!D278&lt;'Rules'!$B$16),1,0)</x:f>
        <x:v>0</x:v>
      </x:c>
      <x:c r="G278" s="16" t="n">
        <x:v>1</x:v>
      </x:c>
      <x:c r="H278" s="16" t="n">
        <x:v>1</x:v>
      </x:c>
      <x:c r="I278" s="16" t="n">
        <x:f>ROUND((B278*'Rules'!$B$6+C278/'Rules'!$B$12*'Rules'!$B$7+D278*'Rules'!$B$8+E278*'Rules'!$B$9+F278*'Rules'!$B$10+G278*'Rules'!$B$11)*H278,1)</x:f>
        <x:v>73.3</x:v>
      </x:c>
      <x:c r="J278" s="18" t="n">
        <x:f>'Queries'!C278*'Queries'!E278</x:f>
        <x:v>1155.06</x:v>
      </x:c>
    </x:row>
    <x:row r="279" ht="32" customHeight="1">
      <x:c r="A279" s="6" t="str">
        <x:v>car transmission repair dubai</x:v>
      </x:c>
      <x:c r="B279" s="16" t="n">
        <x:v>1</x:v>
      </x:c>
      <x:c r="C279" s="16" t="n">
        <x:v>3</x:v>
      </x:c>
      <x:c r="D279" s="16" t="n">
        <x:f>IF('Queries'!E279&lt;='Rules'!$B$17,'Rules'!$B$21,IF('Queries'!E279&lt;='Rules'!$B$18,'Rules'!$B$22,IF('Queries'!E279&lt;='Rules'!$B$19,'Rules'!$B$23,IF('Queries'!E279&lt;='Rules'!$B$20,'Rules'!$B$24,'Rules'!$B$25))))</x:f>
        <x:v>0.4</x:v>
      </x:c>
      <x:c r="E279" s="16" t="n">
        <x:f>MIN(LOG10(1+'Queries'!C279)/'Rules'!$B$13,1)</x:f>
        <x:v>0.58012089649808</x:v>
      </x:c>
      <x:c r="F279" s="16" t="n">
        <x:f>IF(AND('Queries'!E279&lt;='Rules'!$B$15,'Queries'!C279&gt;='Rules'!$B$14,'Queries'!D279&lt;'Rules'!$B$16),1,0)</x:f>
        <x:v>0</x:v>
      </x:c>
      <x:c r="G279" s="16" t="n">
        <x:v>1</x:v>
      </x:c>
      <x:c r="H279" s="16" t="n">
        <x:v>1</x:v>
      </x:c>
      <x:c r="I279" s="16" t="n">
        <x:f>ROUND((B279*'Rules'!$B$6+C279/'Rules'!$B$12*'Rules'!$B$7+D279*'Rules'!$B$8+E279*'Rules'!$B$9+F279*'Rules'!$B$10+G279*'Rules'!$B$11)*H279,1)</x:f>
        <x:v>62.8</x:v>
      </x:c>
      <x:c r="J279" s="18" t="n">
        <x:f>'Queries'!C279*'Queries'!E279</x:f>
        <x:v>2062.8</x:v>
      </x:c>
    </x:row>
    <x:row r="280" ht="32" customHeight="1">
      <x:c r="A280" s="6" t="str">
        <x:v>porsche workshop dubai</x:v>
      </x:c>
      <x:c r="B280" s="16" t="n">
        <x:v>1</x:v>
      </x:c>
      <x:c r="C280" s="16" t="n">
        <x:v>5</x:v>
      </x:c>
      <x:c r="D280" s="16" t="n">
        <x:f>IF('Queries'!E280&lt;='Rules'!$B$17,'Rules'!$B$21,IF('Queries'!E280&lt;='Rules'!$B$18,'Rules'!$B$22,IF('Queries'!E280&lt;='Rules'!$B$19,'Rules'!$B$23,IF('Queries'!E280&lt;='Rules'!$B$20,'Rules'!$B$24,'Rules'!$B$25))))</x:f>
        <x:v>0.4</x:v>
      </x:c>
      <x:c r="E280" s="16" t="n">
        <x:f>MIN(LOG10(1+'Queries'!C280)/'Rules'!$B$13,1)</x:f>
        <x:v>0.58012089649808</x:v>
      </x:c>
      <x:c r="F280" s="16" t="n">
        <x:f>IF(AND('Queries'!E280&lt;='Rules'!$B$15,'Queries'!C280&gt;='Rules'!$B$14,'Queries'!D280&lt;'Rules'!$B$16),1,0)</x:f>
        <x:v>0</x:v>
      </x:c>
      <x:c r="G280" s="16" t="n">
        <x:v>1</x:v>
      </x:c>
      <x:c r="H280" s="16" t="n">
        <x:v>1</x:v>
      </x:c>
      <x:c r="I280" s="16" t="n">
        <x:f>ROUND((B280*'Rules'!$B$6+C280/'Rules'!$B$12*'Rules'!$B$7+D280*'Rules'!$B$8+E280*'Rules'!$B$9+F280*'Rules'!$B$10+G280*'Rules'!$B$11)*H280,1)</x:f>
        <x:v>70.8</x:v>
      </x:c>
      <x:c r="J280" s="18" t="n">
        <x:f>'Queries'!C280*'Queries'!E280</x:f>
        <x:v>2152.98</x:v>
      </x:c>
    </x:row>
    <x:row r="281" ht="32" customHeight="1">
      <x:c r="A281" s="6" t="str">
        <x:v>car electrical repair in dubai</x:v>
      </x:c>
      <x:c r="B281" s="16" t="n">
        <x:v>1</x:v>
      </x:c>
      <x:c r="C281" s="16" t="n">
        <x:v>3</x:v>
      </x:c>
      <x:c r="D281" s="16" t="n">
        <x:f>IF('Queries'!E281&lt;='Rules'!$B$17,'Rules'!$B$21,IF('Queries'!E281&lt;='Rules'!$B$18,'Rules'!$B$22,IF('Queries'!E281&lt;='Rules'!$B$19,'Rules'!$B$23,IF('Queries'!E281&lt;='Rules'!$B$20,'Rules'!$B$24,'Rules'!$B$25))))</x:f>
        <x:v>0.15</x:v>
      </x:c>
      <x:c r="E281" s="16" t="n">
        <x:f>MIN(LOG10(1+'Queries'!C281)/'Rules'!$B$13,1)</x:f>
        <x:v>0.58012089649808</x:v>
      </x:c>
      <x:c r="F281" s="16" t="n">
        <x:f>IF(AND('Queries'!E281&lt;='Rules'!$B$15,'Queries'!C281&gt;='Rules'!$B$14,'Queries'!D281&lt;'Rules'!$B$16),1,0)</x:f>
        <x:v>0</x:v>
      </x:c>
      <x:c r="G281" s="16" t="n">
        <x:v>1</x:v>
      </x:c>
      <x:c r="H281" s="16" t="n">
        <x:v>1</x:v>
      </x:c>
      <x:c r="I281" s="16" t="n">
        <x:f>ROUND((B281*'Rules'!$B$6+C281/'Rules'!$B$12*'Rules'!$B$7+D281*'Rules'!$B$8+E281*'Rules'!$B$9+F281*'Rules'!$B$10+G281*'Rules'!$B$11)*H281,1)</x:f>
        <x:v>56.6</x:v>
      </x:c>
      <x:c r="J281" s="18" t="n">
        <x:f>'Queries'!C281*'Queries'!E281</x:f>
        <x:v>3385.8</x:v>
      </x:c>
    </x:row>
    <x:row r="282" ht="32" customHeight="1">
      <x:c r="A282" s="6" t="str">
        <x:v>steering box repair</x:v>
      </x:c>
      <x:c r="B282" s="16" t="n">
        <x:v>0.8</x:v>
      </x:c>
      <x:c r="C282" s="16" t="n">
        <x:v>3</x:v>
      </x:c>
      <x:c r="D282" s="16" t="n">
        <x:f>IF('Queries'!E282&lt;='Rules'!$B$17,'Rules'!$B$21,IF('Queries'!E282&lt;='Rules'!$B$18,'Rules'!$B$22,IF('Queries'!E282&lt;='Rules'!$B$19,'Rules'!$B$23,IF('Queries'!E282&lt;='Rules'!$B$20,'Rules'!$B$24,'Rules'!$B$25))))</x:f>
        <x:v>1</x:v>
      </x:c>
      <x:c r="E282" s="16" t="n">
        <x:f>MIN(LOG10(1+'Queries'!C282)/'Rules'!$B$13,1)</x:f>
        <x:v>0.5774645866076566</x:v>
      </x:c>
      <x:c r="F282" s="16" t="n">
        <x:f>IF(AND('Queries'!E282&lt;='Rules'!$B$15,'Queries'!C282&gt;='Rules'!$B$14,'Queries'!D282&lt;'Rules'!$B$16),1,0)</x:f>
        <x:v>0</x:v>
      </x:c>
      <x:c r="G282" s="16" t="n">
        <x:v>1</x:v>
      </x:c>
      <x:c r="H282" s="16" t="n">
        <x:v>1</x:v>
      </x:c>
      <x:c r="I282" s="16" t="n">
        <x:f>ROUND((B282*'Rules'!$B$6+C282/'Rules'!$B$12*'Rules'!$B$7+D282*'Rules'!$B$8+E282*'Rules'!$B$9+F282*'Rules'!$B$10+G282*'Rules'!$B$11)*H282,1)</x:f>
        <x:v>72.8</x:v>
      </x:c>
      <x:c r="J282" s="18" t="n">
        <x:f>'Queries'!C282*'Queries'!E282</x:f>
        <x:v>754.19</x:v>
      </x:c>
    </x:row>
    <x:row r="283" ht="32" customHeight="1">
      <x:c r="A283" s="6" t="str">
        <x:v>rolls royce service center</x:v>
      </x:c>
      <x:c r="B283" s="16" t="n">
        <x:v>0.8</x:v>
      </x:c>
      <x:c r="C283" s="16" t="n">
        <x:v>5</x:v>
      </x:c>
      <x:c r="D283" s="16" t="n">
        <x:f>IF('Queries'!E283&lt;='Rules'!$B$17,'Rules'!$B$21,IF('Queries'!E283&lt;='Rules'!$B$18,'Rules'!$B$22,IF('Queries'!E283&lt;='Rules'!$B$19,'Rules'!$B$23,IF('Queries'!E283&lt;='Rules'!$B$20,'Rules'!$B$24,'Rules'!$B$25))))</x:f>
        <x:v>0.7</x:v>
      </x:c>
      <x:c r="E283" s="16" t="n">
        <x:f>MIN(LOG10(1+'Queries'!C283)/'Rules'!$B$13,1)</x:f>
        <x:v>0.5774645866076566</x:v>
      </x:c>
      <x:c r="F283" s="16" t="n">
        <x:f>IF(AND('Queries'!E283&lt;='Rules'!$B$15,'Queries'!C283&gt;='Rules'!$B$14,'Queries'!D283&lt;'Rules'!$B$16),1,0)</x:f>
        <x:v>0</x:v>
      </x:c>
      <x:c r="G283" s="16" t="n">
        <x:v>1</x:v>
      </x:c>
      <x:c r="H283" s="16" t="n">
        <x:v>1</x:v>
      </x:c>
      <x:c r="I283" s="16" t="n">
        <x:f>ROUND((B283*'Rules'!$B$6+C283/'Rules'!$B$12*'Rules'!$B$7+D283*'Rules'!$B$8+E283*'Rules'!$B$9+F283*'Rules'!$B$10+G283*'Rules'!$B$11)*H283,1)</x:f>
        <x:v>73.3</x:v>
      </x:c>
      <x:c r="J283" s="18" t="n">
        <x:f>'Queries'!C283*'Queries'!E283</x:f>
        <x:v>876.09</x:v>
      </x:c>
    </x:row>
    <x:row r="284" ht="32" customHeight="1">
      <x:c r="A284" s="6" t="str">
        <x:v>fuel system design dubai</x:v>
      </x:c>
      <x:c r="B284" s="16" t="n">
        <x:v>1</x:v>
      </x:c>
      <x:c r="C284" s="16" t="n">
        <x:v>1</x:v>
      </x:c>
      <x:c r="D284" s="16" t="n">
        <x:f>IF('Queries'!E284&lt;='Rules'!$B$17,'Rules'!$B$21,IF('Queries'!E284&lt;='Rules'!$B$18,'Rules'!$B$22,IF('Queries'!E284&lt;='Rules'!$B$19,'Rules'!$B$23,IF('Queries'!E284&lt;='Rules'!$B$20,'Rules'!$B$24,'Rules'!$B$25))))</x:f>
        <x:v>0.7</x:v>
      </x:c>
      <x:c r="E284" s="16" t="n">
        <x:f>MIN(LOG10(1+'Queries'!C284)/'Rules'!$B$13,1)</x:f>
        <x:v>0.5774645866076566</x:v>
      </x:c>
      <x:c r="F284" s="16" t="n">
        <x:f>IF(AND('Queries'!E284&lt;='Rules'!$B$15,'Queries'!C284&gt;='Rules'!$B$14,'Queries'!D284&lt;'Rules'!$B$16),1,0)</x:f>
        <x:v>0</x:v>
      </x:c>
      <x:c r="G284" s="16" t="n">
        <x:v>1</x:v>
      </x:c>
      <x:c r="H284" s="16" t="n">
        <x:v>0.1</x:v>
      </x:c>
      <x:c r="I284" s="16" t="n">
        <x:f>ROUND((B284*'Rules'!$B$6+C284/'Rules'!$B$12*'Rules'!$B$7+D284*'Rules'!$B$8+E284*'Rules'!$B$9+F284*'Rules'!$B$10+G284*'Rules'!$B$11)*H284,1)</x:f>
        <x:v>6.2</x:v>
      </x:c>
      <x:c r="J284" s="18" t="n">
        <x:f>'Queries'!C284*'Queries'!E284</x:f>
        <x:v>1349.9099999999999</x:v>
      </x:c>
    </x:row>
    <x:row r="285" ht="32" customHeight="1">
      <x:c r="A285" s="6" t="str">
        <x:v>dodge oil change in dubai</x:v>
      </x:c>
      <x:c r="B285" s="16" t="n">
        <x:v>1</x:v>
      </x:c>
      <x:c r="C285" s="16" t="n">
        <x:v>3</x:v>
      </x:c>
      <x:c r="D285" s="16" t="n">
        <x:f>IF('Queries'!E285&lt;='Rules'!$B$17,'Rules'!$B$21,IF('Queries'!E285&lt;='Rules'!$B$18,'Rules'!$B$22,IF('Queries'!E285&lt;='Rules'!$B$19,'Rules'!$B$23,IF('Queries'!E285&lt;='Rules'!$B$20,'Rules'!$B$24,'Rules'!$B$25))))</x:f>
        <x:v>0.4</x:v>
      </x:c>
      <x:c r="E285" s="16" t="n">
        <x:f>MIN(LOG10(1+'Queries'!C285)/'Rules'!$B$13,1)</x:f>
        <x:v>0.5774645866076566</x:v>
      </x:c>
      <x:c r="F285" s="16" t="n">
        <x:f>IF(AND('Queries'!E285&lt;='Rules'!$B$15,'Queries'!C285&gt;='Rules'!$B$14,'Queries'!D285&lt;'Rules'!$B$16),1,0)</x:f>
        <x:v>0</x:v>
      </x:c>
      <x:c r="G285" s="16" t="n">
        <x:v>1</x:v>
      </x:c>
      <x:c r="H285" s="16" t="n">
        <x:v>1</x:v>
      </x:c>
      <x:c r="I285" s="16" t="n">
        <x:f>ROUND((B285*'Rules'!$B$6+C285/'Rules'!$B$12*'Rules'!$B$7+D285*'Rules'!$B$8+E285*'Rules'!$B$9+F285*'Rules'!$B$10+G285*'Rules'!$B$11)*H285,1)</x:f>
        <x:v>62.8</x:v>
      </x:c>
      <x:c r="J285" s="18" t="n">
        <x:f>'Queries'!C285*'Queries'!E285</x:f>
        <x:v>1604.8400000000001</x:v>
      </x:c>
    </x:row>
    <x:row r="286" ht="32" customHeight="1">
      <x:c r="A286" s="6" t="str">
        <x:v>lamborghini repair in dubai</x:v>
      </x:c>
      <x:c r="B286" s="16" t="n">
        <x:v>1</x:v>
      </x:c>
      <x:c r="C286" s="16" t="n">
        <x:v>5</x:v>
      </x:c>
      <x:c r="D286" s="16" t="n">
        <x:f>IF('Queries'!E286&lt;='Rules'!$B$17,'Rules'!$B$21,IF('Queries'!E286&lt;='Rules'!$B$18,'Rules'!$B$22,IF('Queries'!E286&lt;='Rules'!$B$19,'Rules'!$B$23,IF('Queries'!E286&lt;='Rules'!$B$20,'Rules'!$B$24,'Rules'!$B$25))))</x:f>
        <x:v>0.4</x:v>
      </x:c>
      <x:c r="E286" s="16" t="n">
        <x:f>MIN(LOG10(1+'Queries'!C286)/'Rules'!$B$13,1)</x:f>
        <x:v>0.5774645866076566</x:v>
      </x:c>
      <x:c r="F286" s="16" t="n">
        <x:f>IF(AND('Queries'!E286&lt;='Rules'!$B$15,'Queries'!C286&gt;='Rules'!$B$14,'Queries'!D286&lt;'Rules'!$B$16),1,0)</x:f>
        <x:v>0</x:v>
      </x:c>
      <x:c r="G286" s="16" t="n">
        <x:v>1</x:v>
      </x:c>
      <x:c r="H286" s="16" t="n">
        <x:v>1</x:v>
      </x:c>
      <x:c r="I286" s="16" t="n">
        <x:f>ROUND((B286*'Rules'!$B$6+C286/'Rules'!$B$12*'Rules'!$B$7+D286*'Rules'!$B$8+E286*'Rules'!$B$9+F286*'Rules'!$B$10+G286*'Rules'!$B$11)*H286,1)</x:f>
        <x:v>70.8</x:v>
      </x:c>
      <x:c r="J286" s="18" t="n">
        <x:f>'Queries'!C286*'Queries'!E286</x:f>
        <x:v>1867.1899999999998</x:v>
      </x:c>
    </x:row>
    <x:row r="287" ht="32" customHeight="1">
      <x:c r="A287" s="6" t="str">
        <x:v>car diagnostic service dubai</x:v>
      </x:c>
      <x:c r="B287" s="16" t="n">
        <x:v>1</x:v>
      </x:c>
      <x:c r="C287" s="16" t="n">
        <x:v>3</x:v>
      </x:c>
      <x:c r="D287" s="16" t="n">
        <x:f>IF('Queries'!E287&lt;='Rules'!$B$17,'Rules'!$B$21,IF('Queries'!E287&lt;='Rules'!$B$18,'Rules'!$B$22,IF('Queries'!E287&lt;='Rules'!$B$19,'Rules'!$B$23,IF('Queries'!E287&lt;='Rules'!$B$20,'Rules'!$B$24,'Rules'!$B$25))))</x:f>
        <x:v>0.15</x:v>
      </x:c>
      <x:c r="E287" s="16" t="n">
        <x:f>MIN(LOG10(1+'Queries'!C287)/'Rules'!$B$13,1)</x:f>
        <x:v>0.5774645866076566</x:v>
      </x:c>
      <x:c r="F287" s="16" t="n">
        <x:f>IF(AND('Queries'!E287&lt;='Rules'!$B$15,'Queries'!C287&gt;='Rules'!$B$14,'Queries'!D287&lt;'Rules'!$B$16),1,0)</x:f>
        <x:v>0</x:v>
      </x:c>
      <x:c r="G287" s="16" t="n">
        <x:v>1</x:v>
      </x:c>
      <x:c r="H287" s="16" t="n">
        <x:v>1</x:v>
      </x:c>
      <x:c r="I287" s="16" t="n">
        <x:f>ROUND((B287*'Rules'!$B$6+C287/'Rules'!$B$12*'Rules'!$B$7+D287*'Rules'!$B$8+E287*'Rules'!$B$9+F287*'Rules'!$B$10+G287*'Rules'!$B$11)*H287,1)</x:f>
        <x:v>56.5</x:v>
      </x:c>
      <x:c r="J287" s="18" t="n">
        <x:f>'Queries'!C287*'Queries'!E287</x:f>
        <x:v>2304.9700000000003</x:v>
      </x:c>
    </x:row>
    <x:row r="288" ht="32" customHeight="1">
      <x:c r="A288" s="6" t="str">
        <x:v>paint protection film in naif dubai</x:v>
      </x:c>
      <x:c r="B288" s="16" t="n">
        <x:v>1</x:v>
      </x:c>
      <x:c r="C288" s="16" t="n">
        <x:v>5</x:v>
      </x:c>
      <x:c r="D288" s="16" t="n">
        <x:f>IF('Queries'!E288&lt;='Rules'!$B$17,'Rules'!$B$21,IF('Queries'!E288&lt;='Rules'!$B$18,'Rules'!$B$22,IF('Queries'!E288&lt;='Rules'!$B$19,'Rules'!$B$23,IF('Queries'!E288&lt;='Rules'!$B$20,'Rules'!$B$24,'Rules'!$B$25))))</x:f>
        <x:v>0.15</x:v>
      </x:c>
      <x:c r="E288" s="16" t="n">
        <x:f>MIN(LOG10(1+'Queries'!C288)/'Rules'!$B$13,1)</x:f>
        <x:v>0.5774645866076566</x:v>
      </x:c>
      <x:c r="F288" s="16" t="n">
        <x:f>IF(AND('Queries'!E288&lt;='Rules'!$B$15,'Queries'!C288&gt;='Rules'!$B$14,'Queries'!D288&lt;'Rules'!$B$16),1,0)</x:f>
        <x:v>0</x:v>
      </x:c>
      <x:c r="G288" s="16" t="n">
        <x:v>1</x:v>
      </x:c>
      <x:c r="H288" s="16" t="n">
        <x:v>1</x:v>
      </x:c>
      <x:c r="I288" s="16" t="n">
        <x:f>ROUND((B288*'Rules'!$B$6+C288/'Rules'!$B$12*'Rules'!$B$7+D288*'Rules'!$B$8+E288*'Rules'!$B$9+F288*'Rules'!$B$10+G288*'Rules'!$B$11)*H288,1)</x:f>
        <x:v>64.5</x:v>
      </x:c>
      <x:c r="J288" s="18" t="n">
        <x:f>'Queries'!C288*'Queries'!E288</x:f>
        <x:v>2327.76</x:v>
      </x:c>
    </x:row>
    <x:row r="289" ht="32" customHeight="1">
      <x:c r="A289" s="6" t="str">
        <x:v>car servicing package</x:v>
      </x:c>
      <x:c r="B289" s="16" t="n">
        <x:v>0.8</x:v>
      </x:c>
      <x:c r="C289" s="16" t="n">
        <x:v>3</x:v>
      </x:c>
      <x:c r="D289" s="16" t="n">
        <x:f>IF('Queries'!E289&lt;='Rules'!$B$17,'Rules'!$B$21,IF('Queries'!E289&lt;='Rules'!$B$18,'Rules'!$B$22,IF('Queries'!E289&lt;='Rules'!$B$19,'Rules'!$B$23,IF('Queries'!E289&lt;='Rules'!$B$20,'Rules'!$B$24,'Rules'!$B$25))))</x:f>
        <x:v>0.15</x:v>
      </x:c>
      <x:c r="E289" s="16" t="n">
        <x:f>MIN(LOG10(1+'Queries'!C289)/'Rules'!$B$13,1)</x:f>
        <x:v>0.5774645866076566</x:v>
      </x:c>
      <x:c r="F289" s="16" t="n">
        <x:f>IF(AND('Queries'!E289&lt;='Rules'!$B$15,'Queries'!C289&gt;='Rules'!$B$14,'Queries'!D289&lt;'Rules'!$B$16),1,0)</x:f>
        <x:v>0</x:v>
      </x:c>
      <x:c r="G289" s="16" t="n">
        <x:v>1</x:v>
      </x:c>
      <x:c r="H289" s="16" t="n">
        <x:v>1</x:v>
      </x:c>
      <x:c r="I289" s="16" t="n">
        <x:f>ROUND((B289*'Rules'!$B$6+C289/'Rules'!$B$12*'Rules'!$B$7+D289*'Rules'!$B$8+E289*'Rules'!$B$9+F289*'Rules'!$B$10+G289*'Rules'!$B$11)*H289,1)</x:f>
        <x:v>51.5</x:v>
      </x:c>
      <x:c r="J289" s="18" t="n">
        <x:f>'Queries'!C289*'Queries'!E289</x:f>
        <x:v>3308.79</x:v>
      </x:c>
    </x:row>
    <x:row r="290" ht="32" customHeight="1">
      <x:c r="A290" s="6" t="str">
        <x:v>car suspension repair</x:v>
      </x:c>
      <x:c r="B290" s="16" t="n">
        <x:v>0.8</x:v>
      </x:c>
      <x:c r="C290" s="16" t="n">
        <x:v>3</x:v>
      </x:c>
      <x:c r="D290" s="16" t="n">
        <x:f>IF('Queries'!E290&lt;='Rules'!$B$17,'Rules'!$B$21,IF('Queries'!E290&lt;='Rules'!$B$18,'Rules'!$B$22,IF('Queries'!E290&lt;='Rules'!$B$19,'Rules'!$B$23,IF('Queries'!E290&lt;='Rules'!$B$20,'Rules'!$B$24,'Rules'!$B$25))))</x:f>
        <x:v>0.7</x:v>
      </x:c>
      <x:c r="E290" s="16" t="n">
        <x:f>MIN(LOG10(1+'Queries'!C290)/'Rules'!$B$13,1)</x:f>
        <x:v>0.5747586232002634</x:v>
      </x:c>
      <x:c r="F290" s="16" t="n">
        <x:f>IF(AND('Queries'!E290&lt;='Rules'!$B$15,'Queries'!C290&gt;='Rules'!$B$14,'Queries'!D290&lt;'Rules'!$B$16),1,0)</x:f>
        <x:v>0</x:v>
      </x:c>
      <x:c r="G290" s="16" t="n">
        <x:v>1</x:v>
      </x:c>
      <x:c r="H290" s="16" t="n">
        <x:v>1</x:v>
      </x:c>
      <x:c r="I290" s="16" t="n">
        <x:f>ROUND((B290*'Rules'!$B$6+C290/'Rules'!$B$12*'Rules'!$B$7+D290*'Rules'!$B$8+E290*'Rules'!$B$9+F290*'Rules'!$B$10+G290*'Rules'!$B$11)*H290,1)</x:f>
        <x:v>65.2</x:v>
      </x:c>
      <x:c r="J290" s="18" t="n">
        <x:f>'Queries'!C290*'Queries'!E290</x:f>
        <x:v>1337.96</x:v>
      </x:c>
    </x:row>
    <x:row r="291" ht="32" customHeight="1">
      <x:c r="A291" s="6" t="str">
        <x:v>car workshop dubai</x:v>
      </x:c>
      <x:c r="B291" s="16" t="n">
        <x:v>1</x:v>
      </x:c>
      <x:c r="C291" s="16" t="n">
        <x:v>3</x:v>
      </x:c>
      <x:c r="D291" s="16" t="n">
        <x:f>IF('Queries'!E291&lt;='Rules'!$B$17,'Rules'!$B$21,IF('Queries'!E291&lt;='Rules'!$B$18,'Rules'!$B$22,IF('Queries'!E291&lt;='Rules'!$B$19,'Rules'!$B$23,IF('Queries'!E291&lt;='Rules'!$B$20,'Rules'!$B$24,'Rules'!$B$25))))</x:f>
        <x:v>0.7</x:v>
      </x:c>
      <x:c r="E291" s="16" t="n">
        <x:f>MIN(LOG10(1+'Queries'!C291)/'Rules'!$B$13,1)</x:f>
        <x:v>0.5747586232002634</x:v>
      </x:c>
      <x:c r="F291" s="16" t="n">
        <x:f>IF(AND('Queries'!E291&lt;='Rules'!$B$15,'Queries'!C291&gt;='Rules'!$B$14,'Queries'!D291&lt;'Rules'!$B$16),1,0)</x:f>
        <x:v>0</x:v>
      </x:c>
      <x:c r="G291" s="16" t="n">
        <x:v>1</x:v>
      </x:c>
      <x:c r="H291" s="16" t="n">
        <x:v>1</x:v>
      </x:c>
      <x:c r="I291" s="16" t="n">
        <x:f>ROUND((B291*'Rules'!$B$6+C291/'Rules'!$B$12*'Rules'!$B$7+D291*'Rules'!$B$8+E291*'Rules'!$B$9+F291*'Rules'!$B$10+G291*'Rules'!$B$11)*H291,1)</x:f>
        <x:v>70.2</x:v>
      </x:c>
      <x:c r="J291" s="18" t="n">
        <x:f>'Queries'!C291*'Queries'!E291</x:f>
        <x:v>1388.92</x:v>
      </x:c>
    </x:row>
    <x:row r="292" ht="32" customHeight="1">
      <x:c r="A292" s="6" t="str">
        <x:v>mercedes body repair dubai</x:v>
      </x:c>
      <x:c r="B292" s="16" t="n">
        <x:v>1</x:v>
      </x:c>
      <x:c r="C292" s="16" t="n">
        <x:v>5</x:v>
      </x:c>
      <x:c r="D292" s="16" t="n">
        <x:f>IF('Queries'!E292&lt;='Rules'!$B$17,'Rules'!$B$21,IF('Queries'!E292&lt;='Rules'!$B$18,'Rules'!$B$22,IF('Queries'!E292&lt;='Rules'!$B$19,'Rules'!$B$23,IF('Queries'!E292&lt;='Rules'!$B$20,'Rules'!$B$24,'Rules'!$B$25))))</x:f>
        <x:v>0.7</x:v>
      </x:c>
      <x:c r="E292" s="16" t="n">
        <x:f>MIN(LOG10(1+'Queries'!C292)/'Rules'!$B$13,1)</x:f>
        <x:v>0.5747586232002634</x:v>
      </x:c>
      <x:c r="F292" s="16" t="n">
        <x:f>IF(AND('Queries'!E292&lt;='Rules'!$B$15,'Queries'!C292&gt;='Rules'!$B$14,'Queries'!D292&lt;'Rules'!$B$16),1,0)</x:f>
        <x:v>0</x:v>
      </x:c>
      <x:c r="G292" s="16" t="n">
        <x:v>1</x:v>
      </x:c>
      <x:c r="H292" s="16" t="n">
        <x:v>1</x:v>
      </x:c>
      <x:c r="I292" s="16" t="n">
        <x:f>ROUND((B292*'Rules'!$B$6+C292/'Rules'!$B$12*'Rules'!$B$7+D292*'Rules'!$B$8+E292*'Rules'!$B$9+F292*'Rules'!$B$10+G292*'Rules'!$B$11)*H292,1)</x:f>
        <x:v>78.2</x:v>
      </x:c>
      <x:c r="J292" s="18" t="n">
        <x:f>'Queries'!C292*'Queries'!E292</x:f>
        <x:v>1471.08</x:v>
      </x:c>
    </x:row>
    <x:row r="293" ht="32" customHeight="1">
      <x:c r="A293" s="6" t="str">
        <x:v>luxury car repair</x:v>
      </x:c>
      <x:c r="B293" s="16" t="n">
        <x:v>0.8</x:v>
      </x:c>
      <x:c r="C293" s="16" t="n">
        <x:v>3</x:v>
      </x:c>
      <x:c r="D293" s="16" t="n">
        <x:f>IF('Queries'!E293&lt;='Rules'!$B$17,'Rules'!$B$21,IF('Queries'!E293&lt;='Rules'!$B$18,'Rules'!$B$22,IF('Queries'!E293&lt;='Rules'!$B$19,'Rules'!$B$23,IF('Queries'!E293&lt;='Rules'!$B$20,'Rules'!$B$24,'Rules'!$B$25))))</x:f>
        <x:v>0.4</x:v>
      </x:c>
      <x:c r="E293" s="16" t="n">
        <x:f>MIN(LOG10(1+'Queries'!C293)/'Rules'!$B$13,1)</x:f>
        <x:v>0.5747586232002634</x:v>
      </x:c>
      <x:c r="F293" s="16" t="n">
        <x:f>IF(AND('Queries'!E293&lt;='Rules'!$B$15,'Queries'!C293&gt;='Rules'!$B$14,'Queries'!D293&lt;'Rules'!$B$16),1,0)</x:f>
        <x:v>0</x:v>
      </x:c>
      <x:c r="G293" s="16" t="n">
        <x:v>1</x:v>
      </x:c>
      <x:c r="H293" s="16" t="n">
        <x:v>1</x:v>
      </x:c>
      <x:c r="I293" s="16" t="n">
        <x:f>ROUND((B293*'Rules'!$B$6+C293/'Rules'!$B$12*'Rules'!$B$7+D293*'Rules'!$B$8+E293*'Rules'!$B$9+F293*'Rules'!$B$10+G293*'Rules'!$B$11)*H293,1)</x:f>
        <x:v>57.7</x:v>
      </x:c>
      <x:c r="J293" s="18" t="n">
        <x:f>'Queries'!C293*'Queries'!E293</x:f>
        <x:v>1685.8400000000001</x:v>
      </x:c>
    </x:row>
    <x:row r="294" ht="32" customHeight="1">
      <x:c r="A294" s="6" t="str">
        <x:v>porsche specialist dubai</x:v>
      </x:c>
      <x:c r="B294" s="16" t="n">
        <x:v>1</x:v>
      </x:c>
      <x:c r="C294" s="16" t="n">
        <x:v>5</x:v>
      </x:c>
      <x:c r="D294" s="16" t="n">
        <x:f>IF('Queries'!E294&lt;='Rules'!$B$17,'Rules'!$B$21,IF('Queries'!E294&lt;='Rules'!$B$18,'Rules'!$B$22,IF('Queries'!E294&lt;='Rules'!$B$19,'Rules'!$B$23,IF('Queries'!E294&lt;='Rules'!$B$20,'Rules'!$B$24,'Rules'!$B$25))))</x:f>
        <x:v>0.15</x:v>
      </x:c>
      <x:c r="E294" s="16" t="n">
        <x:f>MIN(LOG10(1+'Queries'!C294)/'Rules'!$B$13,1)</x:f>
        <x:v>0.5747586232002634</x:v>
      </x:c>
      <x:c r="F294" s="16" t="n">
        <x:f>IF(AND('Queries'!E294&lt;='Rules'!$B$15,'Queries'!C294&gt;='Rules'!$B$14,'Queries'!D294&lt;'Rules'!$B$16),1,0)</x:f>
        <x:v>0</x:v>
      </x:c>
      <x:c r="G294" s="16" t="n">
        <x:v>1</x:v>
      </x:c>
      <x:c r="H294" s="16" t="n">
        <x:v>1</x:v>
      </x:c>
      <x:c r="I294" s="16" t="n">
        <x:f>ROUND((B294*'Rules'!$B$6+C294/'Rules'!$B$12*'Rules'!$B$7+D294*'Rules'!$B$8+E294*'Rules'!$B$9+F294*'Rules'!$B$10+G294*'Rules'!$B$11)*H294,1)</x:f>
        <x:v>64.5</x:v>
      </x:c>
      <x:c r="J294" s="18" t="n">
        <x:f>'Queries'!C294*'Queries'!E294</x:f>
        <x:v>2397.2000000000003</x:v>
      </x:c>
    </x:row>
    <x:row r="295" ht="32" customHeight="1">
      <x:c r="A295" s="6" t="str">
        <x:v>supercar service dubai</x:v>
      </x:c>
      <x:c r="B295" s="16" t="n">
        <x:v>1</x:v>
      </x:c>
      <x:c r="C295" s="16" t="n">
        <x:v>3</x:v>
      </x:c>
      <x:c r="D295" s="16" t="n">
        <x:f>IF('Queries'!E295&lt;='Rules'!$B$17,'Rules'!$B$21,IF('Queries'!E295&lt;='Rules'!$B$18,'Rules'!$B$22,IF('Queries'!E295&lt;='Rules'!$B$19,'Rules'!$B$23,IF('Queries'!E295&lt;='Rules'!$B$20,'Rules'!$B$24,'Rules'!$B$25))))</x:f>
        <x:v>0.15</x:v>
      </x:c>
      <x:c r="E295" s="16" t="n">
        <x:f>MIN(LOG10(1+'Queries'!C295)/'Rules'!$B$13,1)</x:f>
        <x:v>0.5747586232002634</x:v>
      </x:c>
      <x:c r="F295" s="16" t="n">
        <x:f>IF(AND('Queries'!E295&lt;='Rules'!$B$15,'Queries'!C295&gt;='Rules'!$B$14,'Queries'!D295&lt;'Rules'!$B$16),1,0)</x:f>
        <x:v>0</x:v>
      </x:c>
      <x:c r="G295" s="16" t="n">
        <x:v>1</x:v>
      </x:c>
      <x:c r="H295" s="16" t="n">
        <x:v>1</x:v>
      </x:c>
      <x:c r="I295" s="16" t="n">
        <x:f>ROUND((B295*'Rules'!$B$6+C295/'Rules'!$B$12*'Rules'!$B$7+D295*'Rules'!$B$8+E295*'Rules'!$B$9+F295*'Rules'!$B$10+G295*'Rules'!$B$11)*H295,1)</x:f>
        <x:v>56.5</x:v>
      </x:c>
      <x:c r="J295" s="18" t="n">
        <x:f>'Queries'!C295*'Queries'!E295</x:f>
        <x:v>2711.7999999999997</x:v>
      </x:c>
    </x:row>
    <x:row r="296" ht="42" customHeight="1">
      <x:c r="A296" s="6" t="str">
        <x:v>range rover sport subwoofer upgrade in dubai</x:v>
      </x:c>
      <x:c r="B296" s="16" t="n">
        <x:v>1</x:v>
      </x:c>
      <x:c r="C296" s="16" t="n">
        <x:v>1</x:v>
      </x:c>
      <x:c r="D296" s="16" t="n">
        <x:f>IF('Queries'!E296&lt;='Rules'!$B$17,'Rules'!$B$21,IF('Queries'!E296&lt;='Rules'!$B$18,'Rules'!$B$22,IF('Queries'!E296&lt;='Rules'!$B$19,'Rules'!$B$23,IF('Queries'!E296&lt;='Rules'!$B$20,'Rules'!$B$24,'Rules'!$B$25))))</x:f>
        <x:v>0.15</x:v>
      </x:c>
      <x:c r="E296" s="16" t="n">
        <x:f>MIN(LOG10(1+'Queries'!C296)/'Rules'!$B$13,1)</x:f>
        <x:v>0.5747586232002634</x:v>
      </x:c>
      <x:c r="F296" s="16" t="n">
        <x:f>IF(AND('Queries'!E296&lt;='Rules'!$B$15,'Queries'!C296&gt;='Rules'!$B$14,'Queries'!D296&lt;'Rules'!$B$16),1,0)</x:f>
        <x:v>0</x:v>
      </x:c>
      <x:c r="G296" s="16" t="n">
        <x:v>0</x:v>
      </x:c>
      <x:c r="H296" s="16" t="n">
        <x:v>0.1</x:v>
      </x:c>
      <x:c r="I296" s="16" t="n">
        <x:f>ROUND((B296*'Rules'!$B$6+C296/'Rules'!$B$12*'Rules'!$B$7+D296*'Rules'!$B$8+E296*'Rules'!$B$9+F296*'Rules'!$B$10+G296*'Rules'!$B$11)*H296,1)</x:f>
        <x:v>3.8</x:v>
      </x:c>
      <x:c r="J296" s="18" t="n">
        <x:f>'Queries'!C296*'Queries'!E296</x:f>
        <x:v>4701.84</x:v>
      </x:c>
    </x:row>
    <x:row r="297" ht="32" customHeight="1">
      <x:c r="A297" s="6" t="str">
        <x:v>gad performance</x:v>
      </x:c>
      <x:c r="B297" s="16" t="n">
        <x:v>0.8</x:v>
      </x:c>
      <x:c r="C297" s="16" t="n">
        <x:v>5</x:v>
      </x:c>
      <x:c r="D297" s="16" t="n">
        <x:f>IF('Queries'!E297&lt;='Rules'!$B$17,'Rules'!$B$21,IF('Queries'!E297&lt;='Rules'!$B$18,'Rules'!$B$22,IF('Queries'!E297&lt;='Rules'!$B$19,'Rules'!$B$23,IF('Queries'!E297&lt;='Rules'!$B$20,'Rules'!$B$24,'Rules'!$B$25))))</x:f>
        <x:v>1</x:v>
      </x:c>
      <x:c r="E297" s="16" t="n">
        <x:f>MIN(LOG10(1+'Queries'!C297)/'Rules'!$B$13,1)</x:f>
        <x:v>0.5720011145449333</x:v>
      </x:c>
      <x:c r="F297" s="16" t="n">
        <x:f>IF(AND('Queries'!E297&lt;='Rules'!$B$15,'Queries'!C297&gt;='Rules'!$B$14,'Queries'!D297&lt;'Rules'!$B$16),1,0)</x:f>
        <x:v>1</x:v>
      </x:c>
      <x:c r="G297" s="16" t="n">
        <x:v>1</x:v>
      </x:c>
      <x:c r="H297" s="16" t="n">
        <x:v>1</x:v>
      </x:c>
      <x:c r="I297" s="16" t="n">
        <x:f>ROUND((B297*'Rules'!$B$6+C297/'Rules'!$B$12*'Rules'!$B$7+D297*'Rules'!$B$8+E297*'Rules'!$B$9+F297*'Rules'!$B$10+G297*'Rules'!$B$11)*H297,1)</x:f>
        <x:v>90.7</x:v>
      </x:c>
      <x:c r="J297" s="18" t="n">
        <x:f>'Queries'!C297*'Queries'!E297</x:f>
        <x:v>312.12</x:v>
      </x:c>
    </x:row>
    <x:row r="298" ht="32" customHeight="1">
      <x:c r="A298" s="6" t="str">
        <x:v>range rover body repair</x:v>
      </x:c>
      <x:c r="B298" s="16" t="n">
        <x:v>0.8</x:v>
      </x:c>
      <x:c r="C298" s="16" t="n">
        <x:v>5</x:v>
      </x:c>
      <x:c r="D298" s="16" t="n">
        <x:f>IF('Queries'!E298&lt;='Rules'!$B$17,'Rules'!$B$21,IF('Queries'!E298&lt;='Rules'!$B$18,'Rules'!$B$22,IF('Queries'!E298&lt;='Rules'!$B$19,'Rules'!$B$23,IF('Queries'!E298&lt;='Rules'!$B$20,'Rules'!$B$24,'Rules'!$B$25))))</x:f>
        <x:v>1</x:v>
      </x:c>
      <x:c r="E298" s="16" t="n">
        <x:f>MIN(LOG10(1+'Queries'!C298)/'Rules'!$B$13,1)</x:f>
        <x:v>0.5720011145449333</x:v>
      </x:c>
      <x:c r="F298" s="16" t="n">
        <x:f>IF(AND('Queries'!E298&lt;='Rules'!$B$15,'Queries'!C298&gt;='Rules'!$B$14,'Queries'!D298&lt;'Rules'!$B$16),1,0)</x:f>
        <x:v>0</x:v>
      </x:c>
      <x:c r="G298" s="16" t="n">
        <x:v>1</x:v>
      </x:c>
      <x:c r="H298" s="16" t="n">
        <x:v>1</x:v>
      </x:c>
      <x:c r="I298" s="16" t="n">
        <x:f>ROUND((B298*'Rules'!$B$6+C298/'Rules'!$B$12*'Rules'!$B$7+D298*'Rules'!$B$8+E298*'Rules'!$B$9+F298*'Rules'!$B$10+G298*'Rules'!$B$11)*H298,1)</x:f>
        <x:v>80.7</x:v>
      </x:c>
      <x:c r="J298" s="18" t="n">
        <x:f>'Queries'!C298*'Queries'!E298</x:f>
        <x:v>732.87</x:v>
      </x:c>
    </x:row>
    <x:row r="299" ht="32" customHeight="1">
      <x:c r="A299" s="6" t="str">
        <x:v>best car workshop in dubai</x:v>
      </x:c>
      <x:c r="B299" s="16" t="n">
        <x:v>1</x:v>
      </x:c>
      <x:c r="C299" s="16" t="n">
        <x:v>3</x:v>
      </x:c>
      <x:c r="D299" s="16" t="n">
        <x:f>IF('Queries'!E299&lt;='Rules'!$B$17,'Rules'!$B$21,IF('Queries'!E299&lt;='Rules'!$B$18,'Rules'!$B$22,IF('Queries'!E299&lt;='Rules'!$B$19,'Rules'!$B$23,IF('Queries'!E299&lt;='Rules'!$B$20,'Rules'!$B$24,'Rules'!$B$25))))</x:f>
        <x:v>0.7</x:v>
      </x:c>
      <x:c r="E299" s="16" t="n">
        <x:f>MIN(LOG10(1+'Queries'!C299)/'Rules'!$B$13,1)</x:f>
        <x:v>0.5720011145449333</x:v>
      </x:c>
      <x:c r="F299" s="16" t="n">
        <x:f>IF(AND('Queries'!E299&lt;='Rules'!$B$15,'Queries'!C299&gt;='Rules'!$B$14,'Queries'!D299&lt;'Rules'!$B$16),1,0)</x:f>
        <x:v>0</x:v>
      </x:c>
      <x:c r="G299" s="16" t="n">
        <x:v>1</x:v>
      </x:c>
      <x:c r="H299" s="16" t="n">
        <x:v>1</x:v>
      </x:c>
      <x:c r="I299" s="16" t="n">
        <x:f>ROUND((B299*'Rules'!$B$6+C299/'Rules'!$B$12*'Rules'!$B$7+D299*'Rules'!$B$8+E299*'Rules'!$B$9+F299*'Rules'!$B$10+G299*'Rules'!$B$11)*H299,1)</x:f>
        <x:v>70.2</x:v>
      </x:c>
      <x:c r="J299" s="18" t="n">
        <x:f>'Queries'!C299*'Queries'!E299</x:f>
        <x:v>865.98</x:v>
      </x:c>
    </x:row>
    <x:row r="300" ht="32" customHeight="1">
      <x:c r="A300" s="6" t="str">
        <x:v>porsche specialist near motor city</x:v>
      </x:c>
      <x:c r="B300" s="16" t="n">
        <x:v>1</x:v>
      </x:c>
      <x:c r="C300" s="16" t="n">
        <x:v>5</x:v>
      </x:c>
      <x:c r="D300" s="16" t="n">
        <x:f>IF('Queries'!E300&lt;='Rules'!$B$17,'Rules'!$B$21,IF('Queries'!E300&lt;='Rules'!$B$18,'Rules'!$B$22,IF('Queries'!E300&lt;='Rules'!$B$19,'Rules'!$B$23,IF('Queries'!E300&lt;='Rules'!$B$20,'Rules'!$B$24,'Rules'!$B$25))))</x:f>
        <x:v>0.15</x:v>
      </x:c>
      <x:c r="E300" s="16" t="n">
        <x:f>MIN(LOG10(1+'Queries'!C300)/'Rules'!$B$13,1)</x:f>
        <x:v>0.5720011145449333</x:v>
      </x:c>
      <x:c r="F300" s="16" t="n">
        <x:f>IF(AND('Queries'!E300&lt;='Rules'!$B$15,'Queries'!C300&gt;='Rules'!$B$14,'Queries'!D300&lt;'Rules'!$B$16),1,0)</x:f>
        <x:v>0</x:v>
      </x:c>
      <x:c r="G300" s="16" t="n">
        <x:v>1</x:v>
      </x:c>
      <x:c r="H300" s="16" t="n">
        <x:v>1</x:v>
      </x:c>
      <x:c r="I300" s="16" t="n">
        <x:f>ROUND((B300*'Rules'!$B$6+C300/'Rules'!$B$12*'Rules'!$B$7+D300*'Rules'!$B$8+E300*'Rules'!$B$9+F300*'Rules'!$B$10+G300*'Rules'!$B$11)*H300,1)</x:f>
        <x:v>64.5</x:v>
      </x:c>
      <x:c r="J300" s="18" t="n">
        <x:f>'Queries'!C300*'Queries'!E300</x:f>
        <x:v>2700.96</x:v>
      </x:c>
    </x:row>
    <x:row r="301" ht="32" customHeight="1">
      <x:c r="A301" s="6" t="str">
        <x:v>power steering specialists</x:v>
      </x:c>
      <x:c r="B301" s="16" t="n">
        <x:v>0.8</x:v>
      </x:c>
      <x:c r="C301" s="16" t="n">
        <x:v>3</x:v>
      </x:c>
      <x:c r="D301" s="16" t="n">
        <x:f>IF('Queries'!E301&lt;='Rules'!$B$17,'Rules'!$B$21,IF('Queries'!E301&lt;='Rules'!$B$18,'Rules'!$B$22,IF('Queries'!E301&lt;='Rules'!$B$19,'Rules'!$B$23,IF('Queries'!E301&lt;='Rules'!$B$20,'Rules'!$B$24,'Rules'!$B$25))))</x:f>
        <x:v>1</x:v>
      </x:c>
      <x:c r="E301" s="16" t="n">
        <x:f>MIN(LOG10(1+'Queries'!C301)/'Rules'!$B$13,1)</x:f>
        <x:v>0.5691900586993134</x:v>
      </x:c>
      <x:c r="F301" s="16" t="n">
        <x:f>IF(AND('Queries'!E301&lt;='Rules'!$B$15,'Queries'!C301&gt;='Rules'!$B$14,'Queries'!D301&lt;'Rules'!$B$16),1,0)</x:f>
        <x:v>1</x:v>
      </x:c>
      <x:c r="G301" s="16" t="n">
        <x:v>1</x:v>
      </x:c>
      <x:c r="H301" s="16" t="n">
        <x:v>1</x:v>
      </x:c>
      <x:c r="I301" s="16" t="n">
        <x:f>ROUND((B301*'Rules'!$B$6+C301/'Rules'!$B$12*'Rules'!$B$7+D301*'Rules'!$B$8+E301*'Rules'!$B$9+F301*'Rules'!$B$10+G301*'Rules'!$B$11)*H301,1)</x:f>
        <x:v>82.7</x:v>
      </x:c>
      <x:c r="J301" s="18" t="n">
        <x:f>'Queries'!C301*'Queries'!E301</x:f>
        <x:v>314</x:v>
      </x:c>
    </x:row>
    <x:row r="302" ht="32" customHeight="1">
      <x:c r="A302" s="6" t="str">
        <x:v>porsche maintenance</x:v>
      </x:c>
      <x:c r="B302" s="16" t="n">
        <x:v>0.8</x:v>
      </x:c>
      <x:c r="C302" s="16" t="n">
        <x:v>5</x:v>
      </x:c>
      <x:c r="D302" s="16" t="n">
        <x:f>IF('Queries'!E302&lt;='Rules'!$B$17,'Rules'!$B$21,IF('Queries'!E302&lt;='Rules'!$B$18,'Rules'!$B$22,IF('Queries'!E302&lt;='Rules'!$B$19,'Rules'!$B$23,IF('Queries'!E302&lt;='Rules'!$B$20,'Rules'!$B$24,'Rules'!$B$25))))</x:f>
        <x:v>1</x:v>
      </x:c>
      <x:c r="E302" s="16" t="n">
        <x:f>MIN(LOG10(1+'Queries'!C302)/'Rules'!$B$13,1)</x:f>
        <x:v>0.5691900586993134</x:v>
      </x:c>
      <x:c r="F302" s="16" t="n">
        <x:f>IF(AND('Queries'!E302&lt;='Rules'!$B$15,'Queries'!C302&gt;='Rules'!$B$14,'Queries'!D302&lt;'Rules'!$B$16),1,0)</x:f>
        <x:v>1</x:v>
      </x:c>
      <x:c r="G302" s="16" t="n">
        <x:v>1</x:v>
      </x:c>
      <x:c r="H302" s="16" t="n">
        <x:v>1</x:v>
      </x:c>
      <x:c r="I302" s="16" t="n">
        <x:f>ROUND((B302*'Rules'!$B$6+C302/'Rules'!$B$12*'Rules'!$B$7+D302*'Rules'!$B$8+E302*'Rules'!$B$9+F302*'Rules'!$B$10+G302*'Rules'!$B$11)*H302,1)</x:f>
        <x:v>90.7</x:v>
      </x:c>
      <x:c r="J302" s="18" t="n">
        <x:f>'Queries'!C302*'Queries'!E302</x:f>
        <x:v>459</x:v>
      </x:c>
    </x:row>
    <x:row r="303" ht="32" customHeight="1">
      <x:c r="A303" s="6" t="str">
        <x:v>air suspension repair</x:v>
      </x:c>
      <x:c r="B303" s="16" t="n">
        <x:v>0.8</x:v>
      </x:c>
      <x:c r="C303" s="16" t="n">
        <x:v>3</x:v>
      </x:c>
      <x:c r="D303" s="16" t="n">
        <x:f>IF('Queries'!E303&lt;='Rules'!$B$17,'Rules'!$B$21,IF('Queries'!E303&lt;='Rules'!$B$18,'Rules'!$B$22,IF('Queries'!E303&lt;='Rules'!$B$19,'Rules'!$B$23,IF('Queries'!E303&lt;='Rules'!$B$20,'Rules'!$B$24,'Rules'!$B$25))))</x:f>
        <x:v>1</x:v>
      </x:c>
      <x:c r="E303" s="16" t="n">
        <x:f>MIN(LOG10(1+'Queries'!C303)/'Rules'!$B$13,1)</x:f>
        <x:v>0.5691900586993134</x:v>
      </x:c>
      <x:c r="F303" s="16" t="n">
        <x:f>IF(AND('Queries'!E303&lt;='Rules'!$B$15,'Queries'!C303&gt;='Rules'!$B$14,'Queries'!D303&lt;'Rules'!$B$16),1,0)</x:f>
        <x:v>0</x:v>
      </x:c>
      <x:c r="G303" s="16" t="n">
        <x:v>1</x:v>
      </x:c>
      <x:c r="H303" s="16" t="n">
        <x:v>1</x:v>
      </x:c>
      <x:c r="I303" s="16" t="n">
        <x:f>ROUND((B303*'Rules'!$B$6+C303/'Rules'!$B$12*'Rules'!$B$7+D303*'Rules'!$B$8+E303*'Rules'!$B$9+F303*'Rules'!$B$10+G303*'Rules'!$B$11)*H303,1)</x:f>
        <x:v>72.7</x:v>
      </x:c>
      <x:c r="J303" s="18" t="n">
        <x:f>'Queries'!C303*'Queries'!E303</x:f>
        <x:v>746</x:v>
      </x:c>
    </x:row>
    <x:row r="304" ht="32" customHeight="1">
      <x:c r="A304" s="6" t="str">
        <x:v>bmw transmission service</x:v>
      </x:c>
      <x:c r="B304" s="16" t="n">
        <x:v>0.8</x:v>
      </x:c>
      <x:c r="C304" s="16" t="n">
        <x:v>5</x:v>
      </x:c>
      <x:c r="D304" s="16" t="n">
        <x:f>IF('Queries'!E304&lt;='Rules'!$B$17,'Rules'!$B$21,IF('Queries'!E304&lt;='Rules'!$B$18,'Rules'!$B$22,IF('Queries'!E304&lt;='Rules'!$B$19,'Rules'!$B$23,IF('Queries'!E304&lt;='Rules'!$B$20,'Rules'!$B$24,'Rules'!$B$25))))</x:f>
        <x:v>0.7</x:v>
      </x:c>
      <x:c r="E304" s="16" t="n">
        <x:f>MIN(LOG10(1+'Queries'!C304)/'Rules'!$B$13,1)</x:f>
        <x:v>0.5691900586993134</x:v>
      </x:c>
      <x:c r="F304" s="16" t="n">
        <x:f>IF(AND('Queries'!E304&lt;='Rules'!$B$15,'Queries'!C304&gt;='Rules'!$B$14,'Queries'!D304&lt;'Rules'!$B$16),1,0)</x:f>
        <x:v>0</x:v>
      </x:c>
      <x:c r="G304" s="16" t="n">
        <x:v>1</x:v>
      </x:c>
      <x:c r="H304" s="16" t="n">
        <x:v>1</x:v>
      </x:c>
      <x:c r="I304" s="16" t="n">
        <x:f>ROUND((B304*'Rules'!$B$6+C304/'Rules'!$B$12*'Rules'!$B$7+D304*'Rules'!$B$8+E304*'Rules'!$B$9+F304*'Rules'!$B$10+G304*'Rules'!$B$11)*H304,1)</x:f>
        <x:v>73.2</x:v>
      </x:c>
      <x:c r="J304" s="18" t="n">
        <x:f>'Queries'!C304*'Queries'!E304</x:f>
        <x:v>994.9999999999999</x:v>
      </x:c>
    </x:row>
    <x:row r="305" ht="32" customHeight="1">
      <x:c r="A305" s="6" t="str">
        <x:v>porsche performance tuning dubai</x:v>
      </x:c>
      <x:c r="B305" s="16" t="n">
        <x:v>1</x:v>
      </x:c>
      <x:c r="C305" s="16" t="n">
        <x:v>5</x:v>
      </x:c>
      <x:c r="D305" s="16" t="n">
        <x:f>IF('Queries'!E305&lt;='Rules'!$B$17,'Rules'!$B$21,IF('Queries'!E305&lt;='Rules'!$B$18,'Rules'!$B$22,IF('Queries'!E305&lt;='Rules'!$B$19,'Rules'!$B$23,IF('Queries'!E305&lt;='Rules'!$B$20,'Rules'!$B$24,'Rules'!$B$25))))</x:f>
        <x:v>0.7</x:v>
      </x:c>
      <x:c r="E305" s="16" t="n">
        <x:f>MIN(LOG10(1+'Queries'!C305)/'Rules'!$B$13,1)</x:f>
        <x:v>0.5691900586993134</x:v>
      </x:c>
      <x:c r="F305" s="16" t="n">
        <x:f>IF(AND('Queries'!E305&lt;='Rules'!$B$15,'Queries'!C305&gt;='Rules'!$B$14,'Queries'!D305&lt;'Rules'!$B$16),1,0)</x:f>
        <x:v>0</x:v>
      </x:c>
      <x:c r="G305" s="16" t="n">
        <x:v>1</x:v>
      </x:c>
      <x:c r="H305" s="16" t="n">
        <x:v>1</x:v>
      </x:c>
      <x:c r="I305" s="16" t="n">
        <x:f>ROUND((B305*'Rules'!$B$6+C305/'Rules'!$B$12*'Rules'!$B$7+D305*'Rules'!$B$8+E305*'Rules'!$B$9+F305*'Rules'!$B$10+G305*'Rules'!$B$11)*H305,1)</x:f>
        <x:v>78.2</x:v>
      </x:c>
      <x:c r="J305" s="18" t="n">
        <x:f>'Queries'!C305*'Queries'!E305</x:f>
        <x:v>1349</x:v>
      </x:c>
    </x:row>
    <x:row r="306" ht="32" customHeight="1">
      <x:c r="A306" s="6" t="str">
        <x:v>chevrolet repair in dubai</x:v>
      </x:c>
      <x:c r="B306" s="16" t="n">
        <x:v>1</x:v>
      </x:c>
      <x:c r="C306" s="16" t="n">
        <x:v>3</x:v>
      </x:c>
      <x:c r="D306" s="16" t="n">
        <x:f>IF('Queries'!E306&lt;='Rules'!$B$17,'Rules'!$B$21,IF('Queries'!E306&lt;='Rules'!$B$18,'Rules'!$B$22,IF('Queries'!E306&lt;='Rules'!$B$19,'Rules'!$B$23,IF('Queries'!E306&lt;='Rules'!$B$20,'Rules'!$B$24,'Rules'!$B$25))))</x:f>
        <x:v>0.7</x:v>
      </x:c>
      <x:c r="E306" s="16" t="n">
        <x:f>MIN(LOG10(1+'Queries'!C306)/'Rules'!$B$13,1)</x:f>
        <x:v>0.5691900586993134</x:v>
      </x:c>
      <x:c r="F306" s="16" t="n">
        <x:f>IF(AND('Queries'!E306&lt;='Rules'!$B$15,'Queries'!C306&gt;='Rules'!$B$14,'Queries'!D306&lt;'Rules'!$B$16),1,0)</x:f>
        <x:v>0</x:v>
      </x:c>
      <x:c r="G306" s="16" t="n">
        <x:v>1</x:v>
      </x:c>
      <x:c r="H306" s="16" t="n">
        <x:v>1</x:v>
      </x:c>
      <x:c r="I306" s="16" t="n">
        <x:f>ROUND((B306*'Rules'!$B$6+C306/'Rules'!$B$12*'Rules'!$B$7+D306*'Rules'!$B$8+E306*'Rules'!$B$9+F306*'Rules'!$B$10+G306*'Rules'!$B$11)*H306,1)</x:f>
        <x:v>70.2</x:v>
      </x:c>
      <x:c r="J306" s="18" t="n">
        <x:f>'Queries'!C306*'Queries'!E306</x:f>
        <x:v>1403</x:v>
      </x:c>
    </x:row>
    <x:row r="307" ht="32" customHeight="1">
      <x:c r="A307" s="6" t="str">
        <x:v>lamborghini servicing</x:v>
      </x:c>
      <x:c r="B307" s="16" t="n">
        <x:v>0.8</x:v>
      </x:c>
      <x:c r="C307" s="16" t="n">
        <x:v>5</x:v>
      </x:c>
      <x:c r="D307" s="16" t="n">
        <x:f>IF('Queries'!E307&lt;='Rules'!$B$17,'Rules'!$B$21,IF('Queries'!E307&lt;='Rules'!$B$18,'Rules'!$B$22,IF('Queries'!E307&lt;='Rules'!$B$19,'Rules'!$B$23,IF('Queries'!E307&lt;='Rules'!$B$20,'Rules'!$B$24,'Rules'!$B$25))))</x:f>
        <x:v>0.7</x:v>
      </x:c>
      <x:c r="E307" s="16" t="n">
        <x:f>MIN(LOG10(1+'Queries'!C307)/'Rules'!$B$13,1)</x:f>
        <x:v>0.5691900586993134</x:v>
      </x:c>
      <x:c r="F307" s="16" t="n">
        <x:f>IF(AND('Queries'!E307&lt;='Rules'!$B$15,'Queries'!C307&gt;='Rules'!$B$14,'Queries'!D307&lt;'Rules'!$B$16),1,0)</x:f>
        <x:v>0</x:v>
      </x:c>
      <x:c r="G307" s="16" t="n">
        <x:v>1</x:v>
      </x:c>
      <x:c r="H307" s="16" t="n">
        <x:v>1</x:v>
      </x:c>
      <x:c r="I307" s="16" t="n">
        <x:f>ROUND((B307*'Rules'!$B$6+C307/'Rules'!$B$12*'Rules'!$B$7+D307*'Rules'!$B$8+E307*'Rules'!$B$9+F307*'Rules'!$B$10+G307*'Rules'!$B$11)*H307,1)</x:f>
        <x:v>73.2</x:v>
      </x:c>
      <x:c r="J307" s="18" t="n">
        <x:f>'Queries'!C307*'Queries'!E307</x:f>
        <x:v>1431</x:v>
      </x:c>
    </x:row>
    <x:row r="308" ht="32" customHeight="1">
      <x:c r="A308" s="6" t="str">
        <x:v>vehicle diagnostics dubai</x:v>
      </x:c>
      <x:c r="B308" s="16" t="n">
        <x:v>1</x:v>
      </x:c>
      <x:c r="C308" s="16" t="n">
        <x:v>3</x:v>
      </x:c>
      <x:c r="D308" s="16" t="n">
        <x:f>IF('Queries'!E308&lt;='Rules'!$B$17,'Rules'!$B$21,IF('Queries'!E308&lt;='Rules'!$B$18,'Rules'!$B$22,IF('Queries'!E308&lt;='Rules'!$B$19,'Rules'!$B$23,IF('Queries'!E308&lt;='Rules'!$B$20,'Rules'!$B$24,'Rules'!$B$25))))</x:f>
        <x:v>0.15</x:v>
      </x:c>
      <x:c r="E308" s="16" t="n">
        <x:f>MIN(LOG10(1+'Queries'!C308)/'Rules'!$B$13,1)</x:f>
        <x:v>0.5691900586993134</x:v>
      </x:c>
      <x:c r="F308" s="16" t="n">
        <x:f>IF(AND('Queries'!E308&lt;='Rules'!$B$15,'Queries'!C308&gt;='Rules'!$B$14,'Queries'!D308&lt;'Rules'!$B$16),1,0)</x:f>
        <x:v>0</x:v>
      </x:c>
      <x:c r="G308" s="16" t="n">
        <x:v>1</x:v>
      </x:c>
      <x:c r="H308" s="16" t="n">
        <x:v>1</x:v>
      </x:c>
      <x:c r="I308" s="16" t="n">
        <x:f>ROUND((B308*'Rules'!$B$6+C308/'Rules'!$B$12*'Rules'!$B$7+D308*'Rules'!$B$8+E308*'Rules'!$B$9+F308*'Rules'!$B$10+G308*'Rules'!$B$11)*H308,1)</x:f>
        <x:v>56.4</x:v>
      </x:c>
      <x:c r="J308" s="18" t="n">
        <x:f>'Queries'!C308*'Queries'!E308</x:f>
        <x:v>2103</x:v>
      </x:c>
    </x:row>
    <x:row r="309" ht="32" customHeight="1">
      <x:c r="A309" s="6" t="str">
        <x:v>car scanning dubai</x:v>
      </x:c>
      <x:c r="B309" s="16" t="n">
        <x:v>1</x:v>
      </x:c>
      <x:c r="C309" s="16" t="n">
        <x:v>3</x:v>
      </x:c>
      <x:c r="D309" s="16" t="n">
        <x:f>IF('Queries'!E309&lt;='Rules'!$B$17,'Rules'!$B$21,IF('Queries'!E309&lt;='Rules'!$B$18,'Rules'!$B$22,IF('Queries'!E309&lt;='Rules'!$B$19,'Rules'!$B$23,IF('Queries'!E309&lt;='Rules'!$B$20,'Rules'!$B$24,'Rules'!$B$25))))</x:f>
        <x:v>0.15</x:v>
      </x:c>
      <x:c r="E309" s="16" t="n">
        <x:f>MIN(LOG10(1+'Queries'!C309)/'Rules'!$B$13,1)</x:f>
        <x:v>0.5691900586993134</x:v>
      </x:c>
      <x:c r="F309" s="16" t="n">
        <x:f>IF(AND('Queries'!E309&lt;='Rules'!$B$15,'Queries'!C309&gt;='Rules'!$B$14,'Queries'!D309&lt;'Rules'!$B$16),1,0)</x:f>
        <x:v>0</x:v>
      </x:c>
      <x:c r="G309" s="16" t="n">
        <x:v>1</x:v>
      </x:c>
      <x:c r="H309" s="16" t="n">
        <x:v>1</x:v>
      </x:c>
      <x:c r="I309" s="16" t="n">
        <x:f>ROUND((B309*'Rules'!$B$6+C309/'Rules'!$B$12*'Rules'!$B$7+D309*'Rules'!$B$8+E309*'Rules'!$B$9+F309*'Rules'!$B$10+G309*'Rules'!$B$11)*H309,1)</x:f>
        <x:v>56.4</x:v>
      </x:c>
      <x:c r="J309" s="18" t="n">
        <x:f>'Queries'!C309*'Queries'!E309</x:f>
        <x:v>3075</x:v>
      </x:c>
    </x:row>
    <x:row r="310" ht="32" customHeight="1">
      <x:c r="A310" s="6" t="str">
        <x:v>power steering mechanic</x:v>
      </x:c>
      <x:c r="B310" s="16" t="n">
        <x:v>0.8</x:v>
      </x:c>
      <x:c r="C310" s="16" t="n">
        <x:v>3</x:v>
      </x:c>
      <x:c r="D310" s="16" t="n">
        <x:f>IF('Queries'!E310&lt;='Rules'!$B$17,'Rules'!$B$21,IF('Queries'!E310&lt;='Rules'!$B$18,'Rules'!$B$22,IF('Queries'!E310&lt;='Rules'!$B$19,'Rules'!$B$23,IF('Queries'!E310&lt;='Rules'!$B$20,'Rules'!$B$24,'Rules'!$B$25))))</x:f>
        <x:v>1</x:v>
      </x:c>
      <x:c r="E310" s="16" t="n">
        <x:f>MIN(LOG10(1+'Queries'!C310)/'Rules'!$B$13,1)</x:f>
        <x:v>0.5663233347786734</x:v>
      </x:c>
      <x:c r="F310" s="16" t="n">
        <x:f>IF(AND('Queries'!E310&lt;='Rules'!$B$15,'Queries'!C310&gt;='Rules'!$B$14,'Queries'!D310&lt;'Rules'!$B$16),1,0)</x:f>
        <x:v>1</x:v>
      </x:c>
      <x:c r="G310" s="16" t="n">
        <x:v>1</x:v>
      </x:c>
      <x:c r="H310" s="16" t="n">
        <x:v>1</x:v>
      </x:c>
      <x:c r="I310" s="16" t="n">
        <x:f>ROUND((B310*'Rules'!$B$6+C310/'Rules'!$B$12*'Rules'!$B$7+D310*'Rules'!$B$8+E310*'Rules'!$B$9+F310*'Rules'!$B$10+G310*'Rules'!$B$11)*H310,1)</x:f>
        <x:v>82.7</x:v>
      </x:c>
      <x:c r="J310" s="18" t="n">
        <x:f>'Queries'!C310*'Queries'!E310</x:f>
        <x:v>396.9</x:v>
      </x:c>
    </x:row>
    <x:row r="311" ht="32" customHeight="1">
      <x:c r="A311" s="6" t="str">
        <x:v>power steering shop</x:v>
      </x:c>
      <x:c r="B311" s="16" t="n">
        <x:v>0.8</x:v>
      </x:c>
      <x:c r="C311" s="16" t="n">
        <x:v>3</x:v>
      </x:c>
      <x:c r="D311" s="16" t="n">
        <x:f>IF('Queries'!E311&lt;='Rules'!$B$17,'Rules'!$B$21,IF('Queries'!E311&lt;='Rules'!$B$18,'Rules'!$B$22,IF('Queries'!E311&lt;='Rules'!$B$19,'Rules'!$B$23,IF('Queries'!E311&lt;='Rules'!$B$20,'Rules'!$B$24,'Rules'!$B$25))))</x:f>
        <x:v>1</x:v>
      </x:c>
      <x:c r="E311" s="16" t="n">
        <x:f>MIN(LOG10(1+'Queries'!C311)/'Rules'!$B$13,1)</x:f>
        <x:v>0.5663233347786734</x:v>
      </x:c>
      <x:c r="F311" s="16" t="n">
        <x:f>IF(AND('Queries'!E311&lt;='Rules'!$B$15,'Queries'!C311&gt;='Rules'!$B$14,'Queries'!D311&lt;'Rules'!$B$16),1,0)</x:f>
        <x:v>0</x:v>
      </x:c>
      <x:c r="G311" s="16" t="n">
        <x:v>1</x:v>
      </x:c>
      <x:c r="H311" s="16" t="n">
        <x:v>1</x:v>
      </x:c>
      <x:c r="I311" s="16" t="n">
        <x:f>ROUND((B311*'Rules'!$B$6+C311/'Rules'!$B$12*'Rules'!$B$7+D311*'Rules'!$B$8+E311*'Rules'!$B$9+F311*'Rules'!$B$10+G311*'Rules'!$B$11)*H311,1)</x:f>
        <x:v>72.7</x:v>
      </x:c>
      <x:c r="J311" s="18" t="n">
        <x:f>'Queries'!C311*'Queries'!E311</x:f>
        <x:v>500.78000000000003</x:v>
      </x:c>
    </x:row>
    <x:row r="312" ht="32" customHeight="1">
      <x:c r="A312" s="6" t="str">
        <x:v>nissan service</x:v>
      </x:c>
      <x:c r="B312" s="16" t="n">
        <x:v>0.8</x:v>
      </x:c>
      <x:c r="C312" s="16" t="n">
        <x:v>3</x:v>
      </x:c>
      <x:c r="D312" s="16" t="n">
        <x:f>IF('Queries'!E312&lt;='Rules'!$B$17,'Rules'!$B$21,IF('Queries'!E312&lt;='Rules'!$B$18,'Rules'!$B$22,IF('Queries'!E312&lt;='Rules'!$B$19,'Rules'!$B$23,IF('Queries'!E312&lt;='Rules'!$B$20,'Rules'!$B$24,'Rules'!$B$25))))</x:f>
        <x:v>1</x:v>
      </x:c>
      <x:c r="E312" s="16" t="n">
        <x:f>MIN(LOG10(1+'Queries'!C312)/'Rules'!$B$13,1)</x:f>
        <x:v>0.5663233347786734</x:v>
      </x:c>
      <x:c r="F312" s="16" t="n">
        <x:f>IF(AND('Queries'!E312&lt;='Rules'!$B$15,'Queries'!C312&gt;='Rules'!$B$14,'Queries'!D312&lt;'Rules'!$B$16),1,0)</x:f>
        <x:v>0</x:v>
      </x:c>
      <x:c r="G312" s="16" t="n">
        <x:v>1</x:v>
      </x:c>
      <x:c r="H312" s="16" t="n">
        <x:v>1</x:v>
      </x:c>
      <x:c r="I312" s="16" t="n">
        <x:f>ROUND((B312*'Rules'!$B$6+C312/'Rules'!$B$12*'Rules'!$B$7+D312*'Rules'!$B$8+E312*'Rules'!$B$9+F312*'Rules'!$B$10+G312*'Rules'!$B$11)*H312,1)</x:f>
        <x:v>72.7</x:v>
      </x:c>
      <x:c r="J312" s="18" t="n">
        <x:f>'Queries'!C312*'Queries'!E312</x:f>
        <x:v>652.19</x:v>
      </x:c>
    </x:row>
    <x:row r="313" ht="32" customHeight="1">
      <x:c r="A313" s="6" t="str">
        <x:v>suspension repair near me</x:v>
      </x:c>
      <x:c r="B313" s="16" t="n">
        <x:v>1</x:v>
      </x:c>
      <x:c r="C313" s="16" t="n">
        <x:v>3</x:v>
      </x:c>
      <x:c r="D313" s="16" t="n">
        <x:f>IF('Queries'!E313&lt;='Rules'!$B$17,'Rules'!$B$21,IF('Queries'!E313&lt;='Rules'!$B$18,'Rules'!$B$22,IF('Queries'!E313&lt;='Rules'!$B$19,'Rules'!$B$23,IF('Queries'!E313&lt;='Rules'!$B$20,'Rules'!$B$24,'Rules'!$B$25))))</x:f>
        <x:v>1</x:v>
      </x:c>
      <x:c r="E313" s="16" t="n">
        <x:f>MIN(LOG10(1+'Queries'!C313)/'Rules'!$B$13,1)</x:f>
        <x:v>0.5663233347786734</x:v>
      </x:c>
      <x:c r="F313" s="16" t="n">
        <x:f>IF(AND('Queries'!E313&lt;='Rules'!$B$15,'Queries'!C313&gt;='Rules'!$B$14,'Queries'!D313&lt;'Rules'!$B$16),1,0)</x:f>
        <x:v>0</x:v>
      </x:c>
      <x:c r="G313" s="16" t="n">
        <x:v>1</x:v>
      </x:c>
      <x:c r="H313" s="16" t="n">
        <x:v>1</x:v>
      </x:c>
      <x:c r="I313" s="16" t="n">
        <x:f>ROUND((B313*'Rules'!$B$6+C313/'Rules'!$B$12*'Rules'!$B$7+D313*'Rules'!$B$8+E313*'Rules'!$B$9+F313*'Rules'!$B$10+G313*'Rules'!$B$11)*H313,1)</x:f>
        <x:v>77.7</x:v>
      </x:c>
      <x:c r="J313" s="18" t="n">
        <x:f>'Queries'!C313*'Queries'!E313</x:f>
        <x:v>675.2199999999999</x:v>
      </x:c>
    </x:row>
    <x:row r="314" ht="32" customHeight="1">
      <x:c r="A314" s="6" t="str">
        <x:v>car body repair</x:v>
      </x:c>
      <x:c r="B314" s="16" t="n">
        <x:v>0.8</x:v>
      </x:c>
      <x:c r="C314" s="16" t="n">
        <x:v>3</x:v>
      </x:c>
      <x:c r="D314" s="16" t="n">
        <x:f>IF('Queries'!E314&lt;='Rules'!$B$17,'Rules'!$B$21,IF('Queries'!E314&lt;='Rules'!$B$18,'Rules'!$B$22,IF('Queries'!E314&lt;='Rules'!$B$19,'Rules'!$B$23,IF('Queries'!E314&lt;='Rules'!$B$20,'Rules'!$B$24,'Rules'!$B$25))))</x:f>
        <x:v>0.7</x:v>
      </x:c>
      <x:c r="E314" s="16" t="n">
        <x:f>MIN(LOG10(1+'Queries'!C314)/'Rules'!$B$13,1)</x:f>
        <x:v>0.5663233347786734</x:v>
      </x:c>
      <x:c r="F314" s="16" t="n">
        <x:f>IF(AND('Queries'!E314&lt;='Rules'!$B$15,'Queries'!C314&gt;='Rules'!$B$14,'Queries'!D314&lt;'Rules'!$B$16),1,0)</x:f>
        <x:v>0</x:v>
      </x:c>
      <x:c r="G314" s="16" t="n">
        <x:v>1</x:v>
      </x:c>
      <x:c r="H314" s="16" t="n">
        <x:v>1</x:v>
      </x:c>
      <x:c r="I314" s="16" t="n">
        <x:f>ROUND((B314*'Rules'!$B$6+C314/'Rules'!$B$12*'Rules'!$B$7+D314*'Rules'!$B$8+E314*'Rules'!$B$9+F314*'Rules'!$B$10+G314*'Rules'!$B$11)*H314,1)</x:f>
        <x:v>65.2</x:v>
      </x:c>
      <x:c r="J314" s="18" t="n">
        <x:f>'Queries'!C314*'Queries'!E314</x:f>
        <x:v>1377.88</x:v>
      </x:c>
    </x:row>
    <x:row r="315" ht="32" customHeight="1">
      <x:c r="A315" s="6" t="str">
        <x:v>power steering repairs</x:v>
      </x:c>
      <x:c r="B315" s="16" t="n">
        <x:v>0.8</x:v>
      </x:c>
      <x:c r="C315" s="16" t="n">
        <x:v>3</x:v>
      </x:c>
      <x:c r="D315" s="16" t="n">
        <x:f>IF('Queries'!E315&lt;='Rules'!$B$17,'Rules'!$B$21,IF('Queries'!E315&lt;='Rules'!$B$18,'Rules'!$B$22,IF('Queries'!E315&lt;='Rules'!$B$19,'Rules'!$B$23,IF('Queries'!E315&lt;='Rules'!$B$20,'Rules'!$B$24,'Rules'!$B$25))))</x:f>
        <x:v>1</x:v>
      </x:c>
      <x:c r="E315" s="16" t="n">
        <x:f>MIN(LOG10(1+'Queries'!C315)/'Rules'!$B$13,1)</x:f>
        <x:v>0.5633986933428367</x:v>
      </x:c>
      <x:c r="F315" s="16" t="n">
        <x:f>IF(AND('Queries'!E315&lt;='Rules'!$B$15,'Queries'!C315&gt;='Rules'!$B$14,'Queries'!D315&lt;'Rules'!$B$16),1,0)</x:f>
        <x:v>1</x:v>
      </x:c>
      <x:c r="G315" s="16" t="n">
        <x:v>1</x:v>
      </x:c>
      <x:c r="H315" s="16" t="n">
        <x:v>1</x:v>
      </x:c>
      <x:c r="I315" s="16" t="n">
        <x:f>ROUND((B315*'Rules'!$B$6+C315/'Rules'!$B$12*'Rules'!$B$7+D315*'Rules'!$B$8+E315*'Rules'!$B$9+F315*'Rules'!$B$10+G315*'Rules'!$B$11)*H315,1)</x:f>
        <x:v>82.6</x:v>
      </x:c>
      <x:c r="J315" s="18" t="n">
        <x:f>'Queries'!C315*'Queries'!E315</x:f>
        <x:v>421.91999999999996</x:v>
      </x:c>
    </x:row>
    <x:row r="316" ht="32" customHeight="1">
      <x:c r="A316" s="6" t="str">
        <x:v>power steering repair shop</x:v>
      </x:c>
      <x:c r="B316" s="16" t="n">
        <x:v>0.8</x:v>
      </x:c>
      <x:c r="C316" s="16" t="n">
        <x:v>3</x:v>
      </x:c>
      <x:c r="D316" s="16" t="n">
        <x:f>IF('Queries'!E316&lt;='Rules'!$B$17,'Rules'!$B$21,IF('Queries'!E316&lt;='Rules'!$B$18,'Rules'!$B$22,IF('Queries'!E316&lt;='Rules'!$B$19,'Rules'!$B$23,IF('Queries'!E316&lt;='Rules'!$B$20,'Rules'!$B$24,'Rules'!$B$25))))</x:f>
        <x:v>1</x:v>
      </x:c>
      <x:c r="E316" s="16" t="n">
        <x:f>MIN(LOG10(1+'Queries'!C316)/'Rules'!$B$13,1)</x:f>
        <x:v>0.5604137457918633</x:v>
      </x:c>
      <x:c r="F316" s="16" t="n">
        <x:f>IF(AND('Queries'!E316&lt;='Rules'!$B$15,'Queries'!C316&gt;='Rules'!$B$14,'Queries'!D316&lt;'Rules'!$B$16),1,0)</x:f>
        <x:v>1</x:v>
      </x:c>
      <x:c r="G316" s="16" t="n">
        <x:v>1</x:v>
      </x:c>
      <x:c r="H316" s="16" t="n">
        <x:v>1</x:v>
      </x:c>
      <x:c r="I316" s="16" t="n">
        <x:f>ROUND((B316*'Rules'!$B$6+C316/'Rules'!$B$12*'Rules'!$B$7+D316*'Rules'!$B$8+E316*'Rules'!$B$9+F316*'Rules'!$B$10+G316*'Rules'!$B$11)*H316,1)</x:f>
        <x:v>82.6</x:v>
      </x:c>
      <x:c r="J316" s="18" t="n">
        <x:f>'Queries'!C316*'Queries'!E316</x:f>
        <x:v>295.16</x:v>
      </x:c>
    </x:row>
    <x:row r="317" ht="32" customHeight="1">
      <x:c r="A317" s="6" t="str">
        <x:v>ferrari repair in dubai</x:v>
      </x:c>
      <x:c r="B317" s="16" t="n">
        <x:v>1</x:v>
      </x:c>
      <x:c r="C317" s="16" t="n">
        <x:v>5</x:v>
      </x:c>
      <x:c r="D317" s="16" t="n">
        <x:f>IF('Queries'!E317&lt;='Rules'!$B$17,'Rules'!$B$21,IF('Queries'!E317&lt;='Rules'!$B$18,'Rules'!$B$22,IF('Queries'!E317&lt;='Rules'!$B$19,'Rules'!$B$23,IF('Queries'!E317&lt;='Rules'!$B$20,'Rules'!$B$24,'Rules'!$B$25))))</x:f>
        <x:v>0.7</x:v>
      </x:c>
      <x:c r="E317" s="16" t="n">
        <x:f>MIN(LOG10(1+'Queries'!C317)/'Rules'!$B$13,1)</x:f>
        <x:v>0.5604137457918633</x:v>
      </x:c>
      <x:c r="F317" s="16" t="n">
        <x:f>IF(AND('Queries'!E317&lt;='Rules'!$B$15,'Queries'!C317&gt;='Rules'!$B$14,'Queries'!D317&lt;'Rules'!$B$16),1,0)</x:f>
        <x:v>0</x:v>
      </x:c>
      <x:c r="G317" s="16" t="n">
        <x:v>1</x:v>
      </x:c>
      <x:c r="H317" s="16" t="n">
        <x:v>1</x:v>
      </x:c>
      <x:c r="I317" s="16" t="n">
        <x:f>ROUND((B317*'Rules'!$B$6+C317/'Rules'!$B$12*'Rules'!$B$7+D317*'Rules'!$B$8+E317*'Rules'!$B$9+F317*'Rules'!$B$10+G317*'Rules'!$B$11)*H317,1)</x:f>
        <x:v>78.1</x:v>
      </x:c>
      <x:c r="J317" s="18" t="n">
        <x:f>'Queries'!C317*'Queries'!E317</x:f>
        <x:v>1331.04</x:v>
      </x:c>
    </x:row>
    <x:row r="318" ht="32" customHeight="1">
      <x:c r="A318" s="6" t="str">
        <x:v>volkswagen service dubai</x:v>
      </x:c>
      <x:c r="B318" s="16" t="n">
        <x:v>1</x:v>
      </x:c>
      <x:c r="C318" s="16" t="n">
        <x:v>3</x:v>
      </x:c>
      <x:c r="D318" s="16" t="n">
        <x:f>IF('Queries'!E318&lt;='Rules'!$B$17,'Rules'!$B$21,IF('Queries'!E318&lt;='Rules'!$B$18,'Rules'!$B$22,IF('Queries'!E318&lt;='Rules'!$B$19,'Rules'!$B$23,IF('Queries'!E318&lt;='Rules'!$B$20,'Rules'!$B$24,'Rules'!$B$25))))</x:f>
        <x:v>0.4</x:v>
      </x:c>
      <x:c r="E318" s="16" t="n">
        <x:f>MIN(LOG10(1+'Queries'!C318)/'Rules'!$B$13,1)</x:f>
        <x:v>0.5604137457918633</x:v>
      </x:c>
      <x:c r="F318" s="16" t="n">
        <x:f>IF(AND('Queries'!E318&lt;='Rules'!$B$15,'Queries'!C318&gt;='Rules'!$B$14,'Queries'!D318&lt;'Rules'!$B$16),1,0)</x:f>
        <x:v>0</x:v>
      </x:c>
      <x:c r="G318" s="16" t="n">
        <x:v>1</x:v>
      </x:c>
      <x:c r="H318" s="16" t="n">
        <x:v>1</x:v>
      </x:c>
      <x:c r="I318" s="16" t="n">
        <x:f>ROUND((B318*'Rules'!$B$6+C318/'Rules'!$B$12*'Rules'!$B$7+D318*'Rules'!$B$8+E318*'Rules'!$B$9+F318*'Rules'!$B$10+G318*'Rules'!$B$11)*H318,1)</x:f>
        <x:v>62.6</x:v>
      </x:c>
      <x:c r="J318" s="18" t="n">
        <x:f>'Queries'!C318*'Queries'!E318</x:f>
        <x:v>1585.7800000000002</x:v>
      </x:c>
    </x:row>
    <x:row r="319" ht="32" customHeight="1">
      <x:c r="A319" s="6" t="str">
        <x:v>power steering rack repairs</x:v>
      </x:c>
      <x:c r="B319" s="16" t="n">
        <x:v>0.8</x:v>
      </x:c>
      <x:c r="C319" s="16" t="n">
        <x:v>3</x:v>
      </x:c>
      <x:c r="D319" s="16" t="n">
        <x:f>IF('Queries'!E319&lt;='Rules'!$B$17,'Rules'!$B$21,IF('Queries'!E319&lt;='Rules'!$B$18,'Rules'!$B$22,IF('Queries'!E319&lt;='Rules'!$B$19,'Rules'!$B$23,IF('Queries'!E319&lt;='Rules'!$B$20,'Rules'!$B$24,'Rules'!$B$25))))</x:f>
        <x:v>1</x:v>
      </x:c>
      <x:c r="E319" s="16" t="n">
        <x:f>MIN(LOG10(1+'Queries'!C319)/'Rules'!$B$13,1)</x:f>
        <x:v>0.55736595264524</x:v>
      </x:c>
      <x:c r="F319" s="16" t="n">
        <x:f>IF(AND('Queries'!E319&lt;='Rules'!$B$15,'Queries'!C319&gt;='Rules'!$B$14,'Queries'!D319&lt;'Rules'!$B$16),1,0)</x:f>
        <x:v>0</x:v>
      </x:c>
      <x:c r="G319" s="16" t="n">
        <x:v>1</x:v>
      </x:c>
      <x:c r="H319" s="16" t="n">
        <x:v>1</x:v>
      </x:c>
      <x:c r="I319" s="16" t="n">
        <x:f>ROUND((B319*'Rules'!$B$6+C319/'Rules'!$B$12*'Rules'!$B$7+D319*'Rules'!$B$8+E319*'Rules'!$B$9+F319*'Rules'!$B$10+G319*'Rules'!$B$11)*H319,1)</x:f>
        <x:v>72.6</x:v>
      </x:c>
      <x:c r="J319" s="18" t="n">
        <x:f>'Queries'!C319*'Queries'!E319</x:f>
        <x:v>540.04</x:v>
      </x:c>
    </x:row>
    <x:row r="320" ht="32" customHeight="1">
      <x:c r="A320" s="6" t="str">
        <x:v>range rover service dubai</x:v>
      </x:c>
      <x:c r="B320" s="16" t="n">
        <x:v>1</x:v>
      </x:c>
      <x:c r="C320" s="16" t="n">
        <x:v>5</x:v>
      </x:c>
      <x:c r="D320" s="16" t="n">
        <x:f>IF('Queries'!E320&lt;='Rules'!$B$17,'Rules'!$B$21,IF('Queries'!E320&lt;='Rules'!$B$18,'Rules'!$B$22,IF('Queries'!E320&lt;='Rules'!$B$19,'Rules'!$B$23,IF('Queries'!E320&lt;='Rules'!$B$20,'Rules'!$B$24,'Rules'!$B$25))))</x:f>
        <x:v>1</x:v>
      </x:c>
      <x:c r="E320" s="16" t="n">
        <x:f>MIN(LOG10(1+'Queries'!C320)/'Rules'!$B$13,1)</x:f>
        <x:v>0.55736595264524</x:v>
      </x:c>
      <x:c r="F320" s="16" t="n">
        <x:f>IF(AND('Queries'!E320&lt;='Rules'!$B$15,'Queries'!C320&gt;='Rules'!$B$14,'Queries'!D320&lt;'Rules'!$B$16),1,0)</x:f>
        <x:v>0</x:v>
      </x:c>
      <x:c r="G320" s="16" t="n">
        <x:v>1</x:v>
      </x:c>
      <x:c r="H320" s="16" t="n">
        <x:v>1</x:v>
      </x:c>
      <x:c r="I320" s="16" t="n">
        <x:f>ROUND((B320*'Rules'!$B$6+C320/'Rules'!$B$12*'Rules'!$B$7+D320*'Rules'!$B$8+E320*'Rules'!$B$9+F320*'Rules'!$B$10+G320*'Rules'!$B$11)*H320,1)</x:f>
        <x:v>85.6</x:v>
      </x:c>
      <x:c r="J320" s="18" t="n">
        <x:f>'Queries'!C320*'Queries'!E320</x:f>
        <x:v>575</x:v>
      </x:c>
    </x:row>
    <x:row r="321" ht="32" customHeight="1">
      <x:c r="A321" s="6" t="str">
        <x:v>rolls royce service center dubai</x:v>
      </x:c>
      <x:c r="B321" s="16" t="n">
        <x:v>1</x:v>
      </x:c>
      <x:c r="C321" s="16" t="n">
        <x:v>5</x:v>
      </x:c>
      <x:c r="D321" s="16" t="n">
        <x:f>IF('Queries'!E321&lt;='Rules'!$B$17,'Rules'!$B$21,IF('Queries'!E321&lt;='Rules'!$B$18,'Rules'!$B$22,IF('Queries'!E321&lt;='Rules'!$B$19,'Rules'!$B$23,IF('Queries'!E321&lt;='Rules'!$B$20,'Rules'!$B$24,'Rules'!$B$25))))</x:f>
        <x:v>0.7</x:v>
      </x:c>
      <x:c r="E321" s="16" t="n">
        <x:f>MIN(LOG10(1+'Queries'!C321)/'Rules'!$B$13,1)</x:f>
        <x:v>0.55736595264524</x:v>
      </x:c>
      <x:c r="F321" s="16" t="n">
        <x:f>IF(AND('Queries'!E321&lt;='Rules'!$B$15,'Queries'!C321&gt;='Rules'!$B$14,'Queries'!D321&lt;'Rules'!$B$16),1,0)</x:f>
        <x:v>0</x:v>
      </x:c>
      <x:c r="G321" s="16" t="n">
        <x:v>1</x:v>
      </x:c>
      <x:c r="H321" s="16" t="n">
        <x:v>1</x:v>
      </x:c>
      <x:c r="I321" s="16" t="n">
        <x:f>ROUND((B321*'Rules'!$B$6+C321/'Rules'!$B$12*'Rules'!$B$7+D321*'Rules'!$B$8+E321*'Rules'!$B$9+F321*'Rules'!$B$10+G321*'Rules'!$B$11)*H321,1)</x:f>
        <x:v>78.1</x:v>
      </x:c>
      <x:c r="J321" s="18" t="n">
        <x:f>'Queries'!C321*'Queries'!E321</x:f>
        <x:v>1034.08</x:v>
      </x:c>
    </x:row>
    <x:row r="322" ht="32" customHeight="1">
      <x:c r="A322" s="6" t="str">
        <x:v>best bmw workshop abu dhabi</x:v>
      </x:c>
      <x:c r="B322" s="16" t="n">
        <x:v>1</x:v>
      </x:c>
      <x:c r="C322" s="16" t="n">
        <x:v>1</x:v>
      </x:c>
      <x:c r="D322" s="16" t="n">
        <x:f>IF('Queries'!E322&lt;='Rules'!$B$17,'Rules'!$B$21,IF('Queries'!E322&lt;='Rules'!$B$18,'Rules'!$B$22,IF('Queries'!E322&lt;='Rules'!$B$19,'Rules'!$B$23,IF('Queries'!E322&lt;='Rules'!$B$20,'Rules'!$B$24,'Rules'!$B$25))))</x:f>
        <x:v>0.15</x:v>
      </x:c>
      <x:c r="E322" s="16" t="n">
        <x:f>MIN(LOG10(1+'Queries'!C322)/'Rules'!$B$13,1)</x:f>
        <x:v>0.55736595264524</x:v>
      </x:c>
      <x:c r="F322" s="16" t="n">
        <x:f>IF(AND('Queries'!E322&lt;='Rules'!$B$15,'Queries'!C322&gt;='Rules'!$B$14,'Queries'!D322&lt;'Rules'!$B$16),1,0)</x:f>
        <x:v>0</x:v>
      </x:c>
      <x:c r="G322" s="16" t="n">
        <x:v>1</x:v>
      </x:c>
      <x:c r="H322" s="16" t="n">
        <x:v>0.2</x:v>
      </x:c>
      <x:c r="I322" s="16" t="n">
        <x:f>ROUND((B322*'Rules'!$B$6+C322/'Rules'!$B$12*'Rules'!$B$7+D322*'Rules'!$B$8+E322*'Rules'!$B$9+F322*'Rules'!$B$10+G322*'Rules'!$B$11)*H322,1)</x:f>
        <x:v>9.7</x:v>
      </x:c>
      <x:c r="J322" s="18" t="n">
        <x:f>'Queries'!C322*'Queries'!E322</x:f>
        <x:v>1965.12</x:v>
      </x:c>
    </x:row>
    <x:row r="323" ht="32" customHeight="1">
      <x:c r="A323" s="6" t="str">
        <x:v>range rover workshop dubai</x:v>
      </x:c>
      <x:c r="B323" s="16" t="n">
        <x:v>1</x:v>
      </x:c>
      <x:c r="C323" s="16" t="n">
        <x:v>5</x:v>
      </x:c>
      <x:c r="D323" s="16" t="n">
        <x:f>IF('Queries'!E323&lt;='Rules'!$B$17,'Rules'!$B$21,IF('Queries'!E323&lt;='Rules'!$B$18,'Rules'!$B$22,IF('Queries'!E323&lt;='Rules'!$B$19,'Rules'!$B$23,IF('Queries'!E323&lt;='Rules'!$B$20,'Rules'!$B$24,'Rules'!$B$25))))</x:f>
        <x:v>0.15</x:v>
      </x:c>
      <x:c r="E323" s="16" t="n">
        <x:f>MIN(LOG10(1+'Queries'!C323)/'Rules'!$B$13,1)</x:f>
        <x:v>0.55736595264524</x:v>
      </x:c>
      <x:c r="F323" s="16" t="n">
        <x:f>IF(AND('Queries'!E323&lt;='Rules'!$B$15,'Queries'!C323&gt;='Rules'!$B$14,'Queries'!D323&lt;'Rules'!$B$16),1,0)</x:f>
        <x:v>0</x:v>
      </x:c>
      <x:c r="G323" s="16" t="n">
        <x:v>1</x:v>
      </x:c>
      <x:c r="H323" s="16" t="n">
        <x:v>1</x:v>
      </x:c>
      <x:c r="I323" s="16" t="n">
        <x:f>ROUND((B323*'Rules'!$B$6+C323/'Rules'!$B$12*'Rules'!$B$7+D323*'Rules'!$B$8+E323*'Rules'!$B$9+F323*'Rules'!$B$10+G323*'Rules'!$B$11)*H323,1)</x:f>
        <x:v>64.3</x:v>
      </x:c>
      <x:c r="J323" s="18" t="n">
        <x:f>'Queries'!C323*'Queries'!E323</x:f>
        <x:v>2202.94</x:v>
      </x:c>
    </x:row>
    <x:row r="324" ht="32" customHeight="1">
      <x:c r="A324" s="6" t="str">
        <x:v>car wiring repair</x:v>
      </x:c>
      <x:c r="B324" s="16" t="n">
        <x:v>0.8</x:v>
      </x:c>
      <x:c r="C324" s="16" t="n">
        <x:v>3</x:v>
      </x:c>
      <x:c r="D324" s="16" t="n">
        <x:f>IF('Queries'!E324&lt;='Rules'!$B$17,'Rules'!$B$21,IF('Queries'!E324&lt;='Rules'!$B$18,'Rules'!$B$22,IF('Queries'!E324&lt;='Rules'!$B$19,'Rules'!$B$23,IF('Queries'!E324&lt;='Rules'!$B$20,'Rules'!$B$24,'Rules'!$B$25))))</x:f>
        <x:v>0.15</x:v>
      </x:c>
      <x:c r="E324" s="16" t="n">
        <x:f>MIN(LOG10(1+'Queries'!C324)/'Rules'!$B$13,1)</x:f>
        <x:v>0.55736595264524</x:v>
      </x:c>
      <x:c r="F324" s="16" t="n">
        <x:f>IF(AND('Queries'!E324&lt;='Rules'!$B$15,'Queries'!C324&gt;='Rules'!$B$14,'Queries'!D324&lt;'Rules'!$B$16),1,0)</x:f>
        <x:v>0</x:v>
      </x:c>
      <x:c r="G324" s="16" t="n">
        <x:v>1</x:v>
      </x:c>
      <x:c r="H324" s="16" t="n">
        <x:v>1</x:v>
      </x:c>
      <x:c r="I324" s="16" t="n">
        <x:f>ROUND((B324*'Rules'!$B$6+C324/'Rules'!$B$12*'Rules'!$B$7+D324*'Rules'!$B$8+E324*'Rules'!$B$9+F324*'Rules'!$B$10+G324*'Rules'!$B$11)*H324,1)</x:f>
        <x:v>51.3</x:v>
      </x:c>
      <x:c r="J324" s="18" t="n">
        <x:f>'Queries'!C324*'Queries'!E324</x:f>
        <x:v>2340.94</x:v>
      </x:c>
    </x:row>
    <x:row r="325" ht="32" customHeight="1">
      <x:c r="A325" s="6" t="str">
        <x:v>bmw programing abu dhabi</x:v>
      </x:c>
      <x:c r="B325" s="16" t="n">
        <x:v>1</x:v>
      </x:c>
      <x:c r="C325" s="16" t="n">
        <x:v>1</x:v>
      </x:c>
      <x:c r="D325" s="16" t="n">
        <x:f>IF('Queries'!E325&lt;='Rules'!$B$17,'Rules'!$B$21,IF('Queries'!E325&lt;='Rules'!$B$18,'Rules'!$B$22,IF('Queries'!E325&lt;='Rules'!$B$19,'Rules'!$B$23,IF('Queries'!E325&lt;='Rules'!$B$20,'Rules'!$B$24,'Rules'!$B$25))))</x:f>
        <x:v>0.15</x:v>
      </x:c>
      <x:c r="E325" s="16" t="n">
        <x:f>MIN(LOG10(1+'Queries'!C325)/'Rules'!$B$13,1)</x:f>
        <x:v>0.55736595264524</x:v>
      </x:c>
      <x:c r="F325" s="16" t="n">
        <x:f>IF(AND('Queries'!E325&lt;='Rules'!$B$15,'Queries'!C325&gt;='Rules'!$B$14,'Queries'!D325&lt;'Rules'!$B$16),1,0)</x:f>
        <x:v>0</x:v>
      </x:c>
      <x:c r="G325" s="16" t="n">
        <x:v>1</x:v>
      </x:c>
      <x:c r="H325" s="16" t="n">
        <x:v>0.2</x:v>
      </x:c>
      <x:c r="I325" s="16" t="n">
        <x:f>ROUND((B325*'Rules'!$B$6+C325/'Rules'!$B$12*'Rules'!$B$7+D325*'Rules'!$B$8+E325*'Rules'!$B$9+F325*'Rules'!$B$10+G325*'Rules'!$B$11)*H325,1)</x:f>
        <x:v>9.7</x:v>
      </x:c>
      <x:c r="J325" s="18" t="n">
        <x:f>'Queries'!C325*'Queries'!E325</x:f>
        <x:v>2505.16</x:v>
      </x:c>
    </x:row>
    <x:row r="326" ht="32" customHeight="1">
      <x:c r="A326" s="6" t="str">
        <x:v>mercedes benz ac repair</x:v>
      </x:c>
      <x:c r="B326" s="16" t="n">
        <x:v>0.8</x:v>
      </x:c>
      <x:c r="C326" s="16" t="n">
        <x:v>5</x:v>
      </x:c>
      <x:c r="D326" s="16" t="n">
        <x:f>IF('Queries'!E326&lt;='Rules'!$B$17,'Rules'!$B$21,IF('Queries'!E326&lt;='Rules'!$B$18,'Rules'!$B$22,IF('Queries'!E326&lt;='Rules'!$B$19,'Rules'!$B$23,IF('Queries'!E326&lt;='Rules'!$B$20,'Rules'!$B$24,'Rules'!$B$25))))</x:f>
        <x:v>0.7</x:v>
      </x:c>
      <x:c r="E326" s="16" t="n">
        <x:f>MIN(LOG10(1+'Queries'!C326)/'Rules'!$B$13,1)</x:f>
        <x:v>0.5542526105605233</x:v>
      </x:c>
      <x:c r="F326" s="16" t="n">
        <x:f>IF(AND('Queries'!E326&lt;='Rules'!$B$15,'Queries'!C326&gt;='Rules'!$B$14,'Queries'!D326&lt;'Rules'!$B$16),1,0)</x:f>
        <x:v>0</x:v>
      </x:c>
      <x:c r="G326" s="16" t="n">
        <x:v>1</x:v>
      </x:c>
      <x:c r="H326" s="16" t="n">
        <x:v>1</x:v>
      </x:c>
      <x:c r="I326" s="16" t="n">
        <x:f>ROUND((B326*'Rules'!$B$6+C326/'Rules'!$B$12*'Rules'!$B$7+D326*'Rules'!$B$8+E326*'Rules'!$B$9+F326*'Rules'!$B$10+G326*'Rules'!$B$11)*H326,1)</x:f>
        <x:v>73</x:v>
      </x:c>
      <x:c r="J326" s="18" t="n">
        <x:f>'Queries'!C326*'Queries'!E326</x:f>
        <x:v>837.9000000000001</x:v>
      </x:c>
    </x:row>
    <x:row r="327" ht="32" customHeight="1">
      <x:c r="A327" s="6" t="str">
        <x:v>audi specialist dubai</x:v>
      </x:c>
      <x:c r="B327" s="16" t="n">
        <x:v>1</x:v>
      </x:c>
      <x:c r="C327" s="16" t="n">
        <x:v>5</x:v>
      </x:c>
      <x:c r="D327" s="16" t="n">
        <x:f>IF('Queries'!E327&lt;='Rules'!$B$17,'Rules'!$B$21,IF('Queries'!E327&lt;='Rules'!$B$18,'Rules'!$B$22,IF('Queries'!E327&lt;='Rules'!$B$19,'Rules'!$B$23,IF('Queries'!E327&lt;='Rules'!$B$20,'Rules'!$B$24,'Rules'!$B$25))))</x:f>
        <x:v>0.7</x:v>
      </x:c>
      <x:c r="E327" s="16" t="n">
        <x:f>MIN(LOG10(1+'Queries'!C327)/'Rules'!$B$13,1)</x:f>
        <x:v>0.5542526105605233</x:v>
      </x:c>
      <x:c r="F327" s="16" t="n">
        <x:f>IF(AND('Queries'!E327&lt;='Rules'!$B$15,'Queries'!C327&gt;='Rules'!$B$14,'Queries'!D327&lt;'Rules'!$B$16),1,0)</x:f>
        <x:v>0</x:v>
      </x:c>
      <x:c r="G327" s="16" t="n">
        <x:v>1</x:v>
      </x:c>
      <x:c r="H327" s="16" t="n">
        <x:v>1</x:v>
      </x:c>
      <x:c r="I327" s="16" t="n">
        <x:f>ROUND((B327*'Rules'!$B$6+C327/'Rules'!$B$12*'Rules'!$B$7+D327*'Rules'!$B$8+E327*'Rules'!$B$9+F327*'Rules'!$B$10+G327*'Rules'!$B$11)*H327,1)</x:f>
        <x:v>78</x:v>
      </x:c>
      <x:c r="J327" s="18" t="n">
        <x:f>'Queries'!C327*'Queries'!E327</x:f>
        <x:v>882.0000000000001</x:v>
      </x:c>
    </x:row>
    <x:row r="328" ht="32" customHeight="1">
      <x:c r="A328" s="6" t="str">
        <x:v>mercedes air conditioning repair</x:v>
      </x:c>
      <x:c r="B328" s="16" t="n">
        <x:v>0.8</x:v>
      </x:c>
      <x:c r="C328" s="16" t="n">
        <x:v>5</x:v>
      </x:c>
      <x:c r="D328" s="16" t="n">
        <x:f>IF('Queries'!E328&lt;='Rules'!$B$17,'Rules'!$B$21,IF('Queries'!E328&lt;='Rules'!$B$18,'Rules'!$B$22,IF('Queries'!E328&lt;='Rules'!$B$19,'Rules'!$B$23,IF('Queries'!E328&lt;='Rules'!$B$20,'Rules'!$B$24,'Rules'!$B$25))))</x:f>
        <x:v>0.7</x:v>
      </x:c>
      <x:c r="E328" s="16" t="n">
        <x:f>MIN(LOG10(1+'Queries'!C328)/'Rules'!$B$13,1)</x:f>
        <x:v>0.5542526105605233</x:v>
      </x:c>
      <x:c r="F328" s="16" t="n">
        <x:f>IF(AND('Queries'!E328&lt;='Rules'!$B$15,'Queries'!C328&gt;='Rules'!$B$14,'Queries'!D328&lt;'Rules'!$B$16),1,0)</x:f>
        <x:v>0</x:v>
      </x:c>
      <x:c r="G328" s="16" t="n">
        <x:v>1</x:v>
      </x:c>
      <x:c r="H328" s="16" t="n">
        <x:v>1</x:v>
      </x:c>
      <x:c r="I328" s="16" t="n">
        <x:f>ROUND((B328*'Rules'!$B$6+C328/'Rules'!$B$12*'Rules'!$B$7+D328*'Rules'!$B$8+E328*'Rules'!$B$9+F328*'Rules'!$B$10+G328*'Rules'!$B$11)*H328,1)</x:f>
        <x:v>73</x:v>
      </x:c>
      <x:c r="J328" s="18" t="n">
        <x:f>'Queries'!C328*'Queries'!E328</x:f>
        <x:v>1206.9</x:v>
      </x:c>
    </x:row>
    <x:row r="329" ht="32" customHeight="1">
      <x:c r="A329" s="6" t="str">
        <x:v>luxury car maintenance dubai</x:v>
      </x:c>
      <x:c r="B329" s="16" t="n">
        <x:v>1</x:v>
      </x:c>
      <x:c r="C329" s="16" t="n">
        <x:v>3</x:v>
      </x:c>
      <x:c r="D329" s="16" t="n">
        <x:f>IF('Queries'!E329&lt;='Rules'!$B$17,'Rules'!$B$21,IF('Queries'!E329&lt;='Rules'!$B$18,'Rules'!$B$22,IF('Queries'!E329&lt;='Rules'!$B$19,'Rules'!$B$23,IF('Queries'!E329&lt;='Rules'!$B$20,'Rules'!$B$24,'Rules'!$B$25))))</x:f>
        <x:v>0.15</x:v>
      </x:c>
      <x:c r="E329" s="16" t="n">
        <x:f>MIN(LOG10(1+'Queries'!C329)/'Rules'!$B$13,1)</x:f>
        <x:v>0.5542526105605233</x:v>
      </x:c>
      <x:c r="F329" s="16" t="n">
        <x:f>IF(AND('Queries'!E329&lt;='Rules'!$B$15,'Queries'!C329&gt;='Rules'!$B$14,'Queries'!D329&lt;'Rules'!$B$16),1,0)</x:f>
        <x:v>0</x:v>
      </x:c>
      <x:c r="G329" s="16" t="n">
        <x:v>1</x:v>
      </x:c>
      <x:c r="H329" s="16" t="n">
        <x:v>1</x:v>
      </x:c>
      <x:c r="I329" s="16" t="n">
        <x:f>ROUND((B329*'Rules'!$B$6+C329/'Rules'!$B$12*'Rules'!$B$7+D329*'Rules'!$B$8+E329*'Rules'!$B$9+F329*'Rules'!$B$10+G329*'Rules'!$B$11)*H329,1)</x:f>
        <x:v>56.3</x:v>
      </x:c>
      <x:c r="J329" s="18" t="n">
        <x:f>'Queries'!C329*'Queries'!E329</x:f>
        <x:v>1819.8</x:v>
      </x:c>
    </x:row>
    <x:row r="330" ht="32" customHeight="1">
      <x:c r="A330" s="6" t="str">
        <x:v>cadillac repair dubai</x:v>
      </x:c>
      <x:c r="B330" s="16" t="n">
        <x:v>1</x:v>
      </x:c>
      <x:c r="C330" s="16" t="n">
        <x:v>3</x:v>
      </x:c>
      <x:c r="D330" s="16" t="n">
        <x:f>IF('Queries'!E330&lt;='Rules'!$B$17,'Rules'!$B$21,IF('Queries'!E330&lt;='Rules'!$B$18,'Rules'!$B$22,IF('Queries'!E330&lt;='Rules'!$B$19,'Rules'!$B$23,IF('Queries'!E330&lt;='Rules'!$B$20,'Rules'!$B$24,'Rules'!$B$25))))</x:f>
        <x:v>0.15</x:v>
      </x:c>
      <x:c r="E330" s="16" t="n">
        <x:f>MIN(LOG10(1+'Queries'!C330)/'Rules'!$B$13,1)</x:f>
        <x:v>0.5542526105605233</x:v>
      </x:c>
      <x:c r="F330" s="16" t="n">
        <x:f>IF(AND('Queries'!E330&lt;='Rules'!$B$15,'Queries'!C330&gt;='Rules'!$B$14,'Queries'!D330&lt;'Rules'!$B$16),1,0)</x:f>
        <x:v>0</x:v>
      </x:c>
      <x:c r="G330" s="16" t="n">
        <x:v>1</x:v>
      </x:c>
      <x:c r="H330" s="16" t="n">
        <x:v>1</x:v>
      </x:c>
      <x:c r="I330" s="16" t="n">
        <x:f>ROUND((B330*'Rules'!$B$6+C330/'Rules'!$B$12*'Rules'!$B$7+D330*'Rules'!$B$8+E330*'Rules'!$B$9+F330*'Rules'!$B$10+G330*'Rules'!$B$11)*H330,1)</x:f>
        <x:v>56.3</x:v>
      </x:c>
      <x:c r="J330" s="18" t="n">
        <x:f>'Queries'!C330*'Queries'!E330</x:f>
        <x:v>1998.9</x:v>
      </x:c>
    </x:row>
    <x:row r="331" ht="42" customHeight="1">
      <x:c r="A331" s="6" t="str">
        <x:v>cadillac xts touch screen replacement in dubai</x:v>
      </x:c>
      <x:c r="B331" s="16" t="n">
        <x:v>1</x:v>
      </x:c>
      <x:c r="C331" s="16" t="n">
        <x:v>1</x:v>
      </x:c>
      <x:c r="D331" s="16" t="n">
        <x:f>IF('Queries'!E331&lt;='Rules'!$B$17,'Rules'!$B$21,IF('Queries'!E331&lt;='Rules'!$B$18,'Rules'!$B$22,IF('Queries'!E331&lt;='Rules'!$B$19,'Rules'!$B$23,IF('Queries'!E331&lt;='Rules'!$B$20,'Rules'!$B$24,'Rules'!$B$25))))</x:f>
        <x:v>0.15</x:v>
      </x:c>
      <x:c r="E331" s="16" t="n">
        <x:f>MIN(LOG10(1+'Queries'!C331)/'Rules'!$B$13,1)</x:f>
        <x:v>0.5542526105605233</x:v>
      </x:c>
      <x:c r="F331" s="16" t="n">
        <x:f>IF(AND('Queries'!E331&lt;='Rules'!$B$15,'Queries'!C331&gt;='Rules'!$B$14,'Queries'!D331&lt;'Rules'!$B$16),1,0)</x:f>
        <x:v>0</x:v>
      </x:c>
      <x:c r="G331" s="16" t="n">
        <x:v>0</x:v>
      </x:c>
      <x:c r="H331" s="16" t="n">
        <x:v>0.1</x:v>
      </x:c>
      <x:c r="I331" s="16" t="n">
        <x:f>ROUND((B331*'Rules'!$B$6+C331/'Rules'!$B$12*'Rules'!$B$7+D331*'Rules'!$B$8+E331*'Rules'!$B$9+F331*'Rules'!$B$10+G331*'Rules'!$B$11)*H331,1)</x:f>
        <x:v>3.8</x:v>
      </x:c>
      <x:c r="J331" s="18" t="n">
        <x:f>'Queries'!C331*'Queries'!E331</x:f>
        <x:v>2160</x:v>
      </x:c>
    </x:row>
    <x:row r="332" ht="32" customHeight="1">
      <x:c r="A332" s="6" t="str">
        <x:v>bentley service</x:v>
      </x:c>
      <x:c r="B332" s="16" t="n">
        <x:v>0.8</x:v>
      </x:c>
      <x:c r="C332" s="16" t="n">
        <x:v>5</x:v>
      </x:c>
      <x:c r="D332" s="16" t="n">
        <x:f>IF('Queries'!E332&lt;='Rules'!$B$17,'Rules'!$B$21,IF('Queries'!E332&lt;='Rules'!$B$18,'Rules'!$B$22,IF('Queries'!E332&lt;='Rules'!$B$19,'Rules'!$B$23,IF('Queries'!E332&lt;='Rules'!$B$20,'Rules'!$B$24,'Rules'!$B$25))))</x:f>
        <x:v>0.15</x:v>
      </x:c>
      <x:c r="E332" s="16" t="n">
        <x:f>MIN(LOG10(1+'Queries'!C332)/'Rules'!$B$13,1)</x:f>
        <x:v>0.5542526105605233</x:v>
      </x:c>
      <x:c r="F332" s="16" t="n">
        <x:f>IF(AND('Queries'!E332&lt;='Rules'!$B$15,'Queries'!C332&gt;='Rules'!$B$14,'Queries'!D332&lt;'Rules'!$B$16),1,0)</x:f>
        <x:v>0</x:v>
      </x:c>
      <x:c r="G332" s="16" t="n">
        <x:v>1</x:v>
      </x:c>
      <x:c r="H332" s="16" t="n">
        <x:v>1</x:v>
      </x:c>
      <x:c r="I332" s="16" t="n">
        <x:f>ROUND((B332*'Rules'!$B$6+C332/'Rules'!$B$12*'Rules'!$B$7+D332*'Rules'!$B$8+E332*'Rules'!$B$9+F332*'Rules'!$B$10+G332*'Rules'!$B$11)*H332,1)</x:f>
        <x:v>59.3</x:v>
      </x:c>
      <x:c r="J332" s="18" t="n">
        <x:f>'Queries'!C332*'Queries'!E332</x:f>
        <x:v>2320.2000000000003</x:v>
      </x:c>
    </x:row>
    <x:row r="333" ht="32" customHeight="1">
      <x:c r="A333" s="6" t="str">
        <x:v>car servicing dubai</x:v>
      </x:c>
      <x:c r="B333" s="16" t="n">
        <x:v>1</x:v>
      </x:c>
      <x:c r="C333" s="16" t="n">
        <x:v>3</x:v>
      </x:c>
      <x:c r="D333" s="16" t="n">
        <x:f>IF('Queries'!E333&lt;='Rules'!$B$17,'Rules'!$B$21,IF('Queries'!E333&lt;='Rules'!$B$18,'Rules'!$B$22,IF('Queries'!E333&lt;='Rules'!$B$19,'Rules'!$B$23,IF('Queries'!E333&lt;='Rules'!$B$20,'Rules'!$B$24,'Rules'!$B$25))))</x:f>
        <x:v>0.15</x:v>
      </x:c>
      <x:c r="E333" s="16" t="n">
        <x:f>MIN(LOG10(1+'Queries'!C333)/'Rules'!$B$13,1)</x:f>
        <x:v>0.5542526105605233</x:v>
      </x:c>
      <x:c r="F333" s="16" t="n">
        <x:f>IF(AND('Queries'!E333&lt;='Rules'!$B$15,'Queries'!C333&gt;='Rules'!$B$14,'Queries'!D333&lt;'Rules'!$B$16),1,0)</x:f>
        <x:v>0</x:v>
      </x:c>
      <x:c r="G333" s="16" t="n">
        <x:v>1</x:v>
      </x:c>
      <x:c r="H333" s="16" t="n">
        <x:v>1</x:v>
      </x:c>
      <x:c r="I333" s="16" t="n">
        <x:f>ROUND((B333*'Rules'!$B$6+C333/'Rules'!$B$12*'Rules'!$B$7+D333*'Rules'!$B$8+E333*'Rules'!$B$9+F333*'Rules'!$B$10+G333*'Rules'!$B$11)*H333,1)</x:f>
        <x:v>56.3</x:v>
      </x:c>
      <x:c r="J333" s="18" t="n">
        <x:f>'Queries'!C333*'Queries'!E333</x:f>
        <x:v>2608.2</x:v>
      </x:c>
    </x:row>
    <x:row r="334" ht="32" customHeight="1">
      <x:c r="A334" s="6" t="str">
        <x:v>gad motor</x:v>
      </x:c>
      <x:c r="B334" s="16" t="n">
        <x:v>0.8</x:v>
      </x:c>
      <x:c r="C334" s="16" t="n">
        <x:v>5</x:v>
      </x:c>
      <x:c r="D334" s="16" t="n">
        <x:f>IF('Queries'!E334&lt;='Rules'!$B$17,'Rules'!$B$21,IF('Queries'!E334&lt;='Rules'!$B$18,'Rules'!$B$22,IF('Queries'!E334&lt;='Rules'!$B$19,'Rules'!$B$23,IF('Queries'!E334&lt;='Rules'!$B$20,'Rules'!$B$24,'Rules'!$B$25))))</x:f>
        <x:v>1</x:v>
      </x:c>
      <x:c r="E334" s="16" t="n">
        <x:f>MIN(LOG10(1+'Queries'!C334)/'Rules'!$B$13,1)</x:f>
        <x:v>0.5510708379251134</x:v>
      </x:c>
      <x:c r="F334" s="16" t="n">
        <x:f>IF(AND('Queries'!E334&lt;='Rules'!$B$15,'Queries'!C334&gt;='Rules'!$B$14,'Queries'!D334&lt;'Rules'!$B$16),1,0)</x:f>
        <x:v>0</x:v>
      </x:c>
      <x:c r="G334" s="16" t="n">
        <x:v>1</x:v>
      </x:c>
      <x:c r="H334" s="16" t="n">
        <x:v>1</x:v>
      </x:c>
      <x:c r="I334" s="16" t="n">
        <x:f>ROUND((B334*'Rules'!$B$6+C334/'Rules'!$B$12*'Rules'!$B$7+D334*'Rules'!$B$8+E334*'Rules'!$B$9+F334*'Rules'!$B$10+G334*'Rules'!$B$11)*H334,1)</x:f>
        <x:v>80.5</x:v>
      </x:c>
      <x:c r="J334" s="18" t="n">
        <x:f>'Queries'!C334*'Queries'!E334</x:f>
        <x:v>495.88</x:v>
      </x:c>
    </x:row>
    <x:row r="335" ht="32" customHeight="1">
      <x:c r="A335" s="6" t="str">
        <x:v>mercedes benz workshop dubai</x:v>
      </x:c>
      <x:c r="B335" s="16" t="n">
        <x:v>1</x:v>
      </x:c>
      <x:c r="C335" s="16" t="n">
        <x:v>5</x:v>
      </x:c>
      <x:c r="D335" s="16" t="n">
        <x:f>IF('Queries'!E335&lt;='Rules'!$B$17,'Rules'!$B$21,IF('Queries'!E335&lt;='Rules'!$B$18,'Rules'!$B$22,IF('Queries'!E335&lt;='Rules'!$B$19,'Rules'!$B$23,IF('Queries'!E335&lt;='Rules'!$B$20,'Rules'!$B$24,'Rules'!$B$25))))</x:f>
        <x:v>0.7</x:v>
      </x:c>
      <x:c r="E335" s="16" t="n">
        <x:f>MIN(LOG10(1+'Queries'!C335)/'Rules'!$B$13,1)</x:f>
        <x:v>0.5510708379251134</x:v>
      </x:c>
      <x:c r="F335" s="16" t="n">
        <x:f>IF(AND('Queries'!E335&lt;='Rules'!$B$15,'Queries'!C335&gt;='Rules'!$B$14,'Queries'!D335&lt;'Rules'!$B$16),1,0)</x:f>
        <x:v>0</x:v>
      </x:c>
      <x:c r="G335" s="16" t="n">
        <x:v>1</x:v>
      </x:c>
      <x:c r="H335" s="16" t="n">
        <x:v>1</x:v>
      </x:c>
      <x:c r="I335" s="16" t="n">
        <x:f>ROUND((B335*'Rules'!$B$6+C335/'Rules'!$B$12*'Rules'!$B$7+D335*'Rules'!$B$8+E335*'Rules'!$B$9+F335*'Rules'!$B$10+G335*'Rules'!$B$11)*H335,1)</x:f>
        <x:v>78</x:v>
      </x:c>
      <x:c r="J335" s="18" t="n">
        <x:f>'Queries'!C335*'Queries'!E335</x:f>
        <x:v>820.1600000000001</x:v>
      </x:c>
    </x:row>
    <x:row r="336" ht="32" customHeight="1">
      <x:c r="A336" s="6" t="str">
        <x:v>car battery replacement near me</x:v>
      </x:c>
      <x:c r="B336" s="16" t="n">
        <x:v>1</x:v>
      </x:c>
      <x:c r="C336" s="16" t="n">
        <x:v>3</x:v>
      </x:c>
      <x:c r="D336" s="16" t="n">
        <x:f>IF('Queries'!E336&lt;='Rules'!$B$17,'Rules'!$B$21,IF('Queries'!E336&lt;='Rules'!$B$18,'Rules'!$B$22,IF('Queries'!E336&lt;='Rules'!$B$19,'Rules'!$B$23,IF('Queries'!E336&lt;='Rules'!$B$20,'Rules'!$B$24,'Rules'!$B$25))))</x:f>
        <x:v>0.7</x:v>
      </x:c>
      <x:c r="E336" s="16" t="n">
        <x:f>MIN(LOG10(1+'Queries'!C336)/'Rules'!$B$13,1)</x:f>
        <x:v>0.5510708379251134</x:v>
      </x:c>
      <x:c r="F336" s="16" t="n">
        <x:f>IF(AND('Queries'!E336&lt;='Rules'!$B$15,'Queries'!C336&gt;='Rules'!$B$14,'Queries'!D336&lt;'Rules'!$B$16),1,0)</x:f>
        <x:v>0</x:v>
      </x:c>
      <x:c r="G336" s="16" t="n">
        <x:v>1</x:v>
      </x:c>
      <x:c r="H336" s="16" t="n">
        <x:v>1</x:v>
      </x:c>
      <x:c r="I336" s="16" t="n">
        <x:f>ROUND((B336*'Rules'!$B$6+C336/'Rules'!$B$12*'Rules'!$B$7+D336*'Rules'!$B$8+E336*'Rules'!$B$9+F336*'Rules'!$B$10+G336*'Rules'!$B$11)*H336,1)</x:f>
        <x:v>70</x:v>
      </x:c>
      <x:c r="J336" s="18" t="n">
        <x:f>'Queries'!C336*'Queries'!E336</x:f>
        <x:v>937.2</x:v>
      </x:c>
    </x:row>
    <x:row r="337" ht="32" customHeight="1">
      <x:c r="A337" s="6" t="str">
        <x:v>صيانة اودي</x:v>
      </x:c>
      <x:c r="B337" s="16" t="n">
        <x:v>0.8</x:v>
      </x:c>
      <x:c r="C337" s="16" t="n">
        <x:v>5</x:v>
      </x:c>
      <x:c r="D337" s="16" t="n">
        <x:f>IF('Queries'!E337&lt;='Rules'!$B$17,'Rules'!$B$21,IF('Queries'!E337&lt;='Rules'!$B$18,'Rules'!$B$22,IF('Queries'!E337&lt;='Rules'!$B$19,'Rules'!$B$23,IF('Queries'!E337&lt;='Rules'!$B$20,'Rules'!$B$24,'Rules'!$B$25))))</x:f>
        <x:v>0.7</x:v>
      </x:c>
      <x:c r="E337" s="16" t="n">
        <x:f>MIN(LOG10(1+'Queries'!C337)/'Rules'!$B$13,1)</x:f>
        <x:v>0.5510708379251134</x:v>
      </x:c>
      <x:c r="F337" s="16" t="n">
        <x:f>IF(AND('Queries'!E337&lt;='Rules'!$B$15,'Queries'!C337&gt;='Rules'!$B$14,'Queries'!D337&lt;'Rules'!$B$16),1,0)</x:f>
        <x:v>0</x:v>
      </x:c>
      <x:c r="G337" s="16" t="n">
        <x:v>1</x:v>
      </x:c>
      <x:c r="H337" s="16" t="n">
        <x:v>1</x:v>
      </x:c>
      <x:c r="I337" s="16" t="n">
        <x:f>ROUND((B337*'Rules'!$B$6+C337/'Rules'!$B$12*'Rules'!$B$7+D337*'Rules'!$B$8+E337*'Rules'!$B$9+F337*'Rules'!$B$10+G337*'Rules'!$B$11)*H337,1)</x:f>
        <x:v>73</x:v>
      </x:c>
      <x:c r="J337" s="18" t="n">
        <x:f>'Queries'!C337*'Queries'!E337</x:f>
        <x:v>1059.96</x:v>
      </x:c>
    </x:row>
    <x:row r="338" ht="32" customHeight="1">
      <x:c r="A338" s="6" t="str">
        <x:v>mercedes benz repair</x:v>
      </x:c>
      <x:c r="B338" s="16" t="n">
        <x:v>0.8</x:v>
      </x:c>
      <x:c r="C338" s="16" t="n">
        <x:v>5</x:v>
      </x:c>
      <x:c r="D338" s="16" t="n">
        <x:f>IF('Queries'!E338&lt;='Rules'!$B$17,'Rules'!$B$21,IF('Queries'!E338&lt;='Rules'!$B$18,'Rules'!$B$22,IF('Queries'!E338&lt;='Rules'!$B$19,'Rules'!$B$23,IF('Queries'!E338&lt;='Rules'!$B$20,'Rules'!$B$24,'Rules'!$B$25))))</x:f>
        <x:v>0.7</x:v>
      </x:c>
      <x:c r="E338" s="16" t="n">
        <x:f>MIN(LOG10(1+'Queries'!C338)/'Rules'!$B$13,1)</x:f>
        <x:v>0.5510708379251134</x:v>
      </x:c>
      <x:c r="F338" s="16" t="n">
        <x:f>IF(AND('Queries'!E338&lt;='Rules'!$B$15,'Queries'!C338&gt;='Rules'!$B$14,'Queries'!D338&lt;'Rules'!$B$16),1,0)</x:f>
        <x:v>0</x:v>
      </x:c>
      <x:c r="G338" s="16" t="n">
        <x:v>1</x:v>
      </x:c>
      <x:c r="H338" s="16" t="n">
        <x:v>1</x:v>
      </x:c>
      <x:c r="I338" s="16" t="n">
        <x:f>ROUND((B338*'Rules'!$B$6+C338/'Rules'!$B$12*'Rules'!$B$7+D338*'Rules'!$B$8+E338*'Rules'!$B$9+F338*'Rules'!$B$10+G338*'Rules'!$B$11)*H338,1)</x:f>
        <x:v>73</x:v>
      </x:c>
      <x:c r="J338" s="18" t="n">
        <x:f>'Queries'!C338*'Queries'!E338</x:f>
        <x:v>1256.2</x:v>
      </x:c>
    </x:row>
    <x:row r="339" ht="32" customHeight="1">
      <x:c r="A339" s="6" t="str">
        <x:v>ditec dubai</x:v>
      </x:c>
      <x:c r="B339" s="16" t="n">
        <x:v>0</x:v>
      </x:c>
      <x:c r="C339" s="16" t="n">
        <x:v>0</x:v>
      </x:c>
      <x:c r="D339" s="16" t="n">
        <x:f>IF('Queries'!E339&lt;='Rules'!$B$17,'Rules'!$B$21,IF('Queries'!E339&lt;='Rules'!$B$18,'Rules'!$B$22,IF('Queries'!E339&lt;='Rules'!$B$19,'Rules'!$B$23,IF('Queries'!E339&lt;='Rules'!$B$20,'Rules'!$B$24,'Rules'!$B$25))))</x:f>
        <x:v>0.15</x:v>
      </x:c>
      <x:c r="E339" s="16" t="n">
        <x:f>MIN(LOG10(1+'Queries'!C339)/'Rules'!$B$13,1)</x:f>
        <x:v>0.5510708379251134</x:v>
      </x:c>
      <x:c r="F339" s="16" t="n">
        <x:f>IF(AND('Queries'!E339&lt;='Rules'!$B$15,'Queries'!C339&gt;='Rules'!$B$14,'Queries'!D339&lt;'Rules'!$B$16),1,0)</x:f>
        <x:v>0</x:v>
      </x:c>
      <x:c r="G339" s="16" t="n">
        <x:v>0</x:v>
      </x:c>
      <x:c r="H339" s="16" t="n">
        <x:v>0</x:v>
      </x:c>
      <x:c r="I339" s="16" t="n">
        <x:f>ROUND((B339*'Rules'!$B$6+C339/'Rules'!$B$12*'Rules'!$B$7+D339*'Rules'!$B$8+E339*'Rules'!$B$9+F339*'Rules'!$B$10+G339*'Rules'!$B$11)*H339,1)</x:f>
        <x:v>0</x:v>
      </x:c>
      <x:c r="J339" s="18" t="n">
        <x:f>'Queries'!C339*'Queries'!E339</x:f>
        <x:v>2434.08</x:v>
      </x:c>
    </x:row>
    <x:row r="340" ht="32" customHeight="1">
      <x:c r="A340" s="6" t="str">
        <x:v>rox01 soft close door</x:v>
      </x:c>
      <x:c r="B340" s="16" t="n">
        <x:v>0.8</x:v>
      </x:c>
      <x:c r="C340" s="16" t="n">
        <x:v>3</x:v>
      </x:c>
      <x:c r="D340" s="16" t="n">
        <x:f>IF('Queries'!E340&lt;='Rules'!$B$17,'Rules'!$B$21,IF('Queries'!E340&lt;='Rules'!$B$18,'Rules'!$B$22,IF('Queries'!E340&lt;='Rules'!$B$19,'Rules'!$B$23,IF('Queries'!E340&lt;='Rules'!$B$20,'Rules'!$B$24,'Rules'!$B$25))))</x:f>
        <x:v>1</x:v>
      </x:c>
      <x:c r="E340" s="16" t="n">
        <x:f>MIN(LOG10(1+'Queries'!C340)/'Rules'!$B$13,1)</x:f>
        <x:v>0.5478175588287301</x:v>
      </x:c>
      <x:c r="F340" s="16" t="n">
        <x:f>IF(AND('Queries'!E340&lt;='Rules'!$B$15,'Queries'!C340&gt;='Rules'!$B$14,'Queries'!D340&lt;'Rules'!$B$16),1,0)</x:f>
        <x:v>1</x:v>
      </x:c>
      <x:c r="G340" s="16" t="n">
        <x:v>0.25</x:v>
      </x:c>
      <x:c r="H340" s="16" t="n">
        <x:v>0.65</x:v>
      </x:c>
      <x:c r="I340" s="16" t="n">
        <x:f>ROUND((B340*'Rules'!$B$6+C340/'Rules'!$B$12*'Rules'!$B$7+D340*'Rules'!$B$8+E340*'Rules'!$B$9+F340*'Rules'!$B$10+G340*'Rules'!$B$11)*H340,1)</x:f>
        <x:v>48.7</x:v>
      </x:c>
      <x:c r="J340" s="18" t="n">
        <x:f>'Queries'!C340*'Queries'!E340</x:f>
        <x:v>325.94</x:v>
      </x:c>
    </x:row>
    <x:row r="341" ht="32" customHeight="1">
      <x:c r="A341" s="6" t="str">
        <x:v>car muffler repair</x:v>
      </x:c>
      <x:c r="B341" s="16" t="n">
        <x:v>0.8</x:v>
      </x:c>
      <x:c r="C341" s="16" t="n">
        <x:v>3</x:v>
      </x:c>
      <x:c r="D341" s="16" t="n">
        <x:f>IF('Queries'!E341&lt;='Rules'!$B$17,'Rules'!$B$21,IF('Queries'!E341&lt;='Rules'!$B$18,'Rules'!$B$22,IF('Queries'!E341&lt;='Rules'!$B$19,'Rules'!$B$23,IF('Queries'!E341&lt;='Rules'!$B$20,'Rules'!$B$24,'Rules'!$B$25))))</x:f>
        <x:v>1</x:v>
      </x:c>
      <x:c r="E341" s="16" t="n">
        <x:f>MIN(LOG10(1+'Queries'!C341)/'Rules'!$B$13,1)</x:f>
        <x:v>0.5478175588287301</x:v>
      </x:c>
      <x:c r="F341" s="16" t="n">
        <x:f>IF(AND('Queries'!E341&lt;='Rules'!$B$15,'Queries'!C341&gt;='Rules'!$B$14,'Queries'!D341&lt;'Rules'!$B$16),1,0)</x:f>
        <x:v>1</x:v>
      </x:c>
      <x:c r="G341" s="16" t="n">
        <x:v>1</x:v>
      </x:c>
      <x:c r="H341" s="16" t="n">
        <x:v>1</x:v>
      </x:c>
      <x:c r="I341" s="16" t="n">
        <x:f>ROUND((B341*'Rules'!$B$6+C341/'Rules'!$B$12*'Rules'!$B$7+D341*'Rules'!$B$8+E341*'Rules'!$B$9+F341*'Rules'!$B$10+G341*'Rules'!$B$11)*H341,1)</x:f>
        <x:v>82.5</x:v>
      </x:c>
      <x:c r="J341" s="18" t="n">
        <x:f>'Queries'!C341*'Queries'!E341</x:f>
        <x:v>401.19</x:v>
      </x:c>
    </x:row>
    <x:row r="342" ht="32" customHeight="1">
      <x:c r="A342" s="6" t="str">
        <x:v>porsche diagnostics dip2</x:v>
      </x:c>
      <x:c r="B342" s="16" t="n">
        <x:v>1</x:v>
      </x:c>
      <x:c r="C342" s="16" t="n">
        <x:v>5</x:v>
      </x:c>
      <x:c r="D342" s="16" t="n">
        <x:f>IF('Queries'!E342&lt;='Rules'!$B$17,'Rules'!$B$21,IF('Queries'!E342&lt;='Rules'!$B$18,'Rules'!$B$22,IF('Queries'!E342&lt;='Rules'!$B$19,'Rules'!$B$23,IF('Queries'!E342&lt;='Rules'!$B$20,'Rules'!$B$24,'Rules'!$B$25))))</x:f>
        <x:v>1</x:v>
      </x:c>
      <x:c r="E342" s="16" t="n">
        <x:f>MIN(LOG10(1+'Queries'!C342)/'Rules'!$B$13,1)</x:f>
        <x:v>0.5478175588287301</x:v>
      </x:c>
      <x:c r="F342" s="16" t="n">
        <x:f>IF(AND('Queries'!E342&lt;='Rules'!$B$15,'Queries'!C342&gt;='Rules'!$B$14,'Queries'!D342&lt;'Rules'!$B$16),1,0)</x:f>
        <x:v>1</x:v>
      </x:c>
      <x:c r="G342" s="16" t="n">
        <x:v>1</x:v>
      </x:c>
      <x:c r="H342" s="16" t="n">
        <x:v>1</x:v>
      </x:c>
      <x:c r="I342" s="16" t="n">
        <x:f>ROUND((B342*'Rules'!$B$6+C342/'Rules'!$B$12*'Rules'!$B$7+D342*'Rules'!$B$8+E342*'Rules'!$B$9+F342*'Rules'!$B$10+G342*'Rules'!$B$11)*H342,1)</x:f>
        <x:v>95.5</x:v>
      </x:c>
      <x:c r="J342" s="18" t="n">
        <x:f>'Queries'!C342*'Queries'!E342</x:f>
        <x:v>421.83000000000004</x:v>
      </x:c>
    </x:row>
    <x:row r="343" ht="32" customHeight="1">
      <x:c r="A343" s="6" t="str">
        <x:v>mercedes benz workshop</x:v>
      </x:c>
      <x:c r="B343" s="16" t="n">
        <x:v>0.8</x:v>
      </x:c>
      <x:c r="C343" s="16" t="n">
        <x:v>5</x:v>
      </x:c>
      <x:c r="D343" s="16" t="n">
        <x:f>IF('Queries'!E343&lt;='Rules'!$B$17,'Rules'!$B$21,IF('Queries'!E343&lt;='Rules'!$B$18,'Rules'!$B$22,IF('Queries'!E343&lt;='Rules'!$B$19,'Rules'!$B$23,IF('Queries'!E343&lt;='Rules'!$B$20,'Rules'!$B$24,'Rules'!$B$25))))</x:f>
        <x:v>0.7</x:v>
      </x:c>
      <x:c r="E343" s="16" t="n">
        <x:f>MIN(LOG10(1+'Queries'!C343)/'Rules'!$B$13,1)</x:f>
        <x:v>0.5478175588287301</x:v>
      </x:c>
      <x:c r="F343" s="16" t="n">
        <x:f>IF(AND('Queries'!E343&lt;='Rules'!$B$15,'Queries'!C343&gt;='Rules'!$B$14,'Queries'!D343&lt;'Rules'!$B$16),1,0)</x:f>
        <x:v>0</x:v>
      </x:c>
      <x:c r="G343" s="16" t="n">
        <x:v>1</x:v>
      </x:c>
      <x:c r="H343" s="16" t="n">
        <x:v>1</x:v>
      </x:c>
      <x:c r="I343" s="16" t="n">
        <x:f>ROUND((B343*'Rules'!$B$6+C343/'Rules'!$B$12*'Rules'!$B$7+D343*'Rules'!$B$8+E343*'Rules'!$B$9+F343*'Rules'!$B$10+G343*'Rules'!$B$11)*H343,1)</x:f>
        <x:v>73</x:v>
      </x:c>
      <x:c r="J343" s="18" t="n">
        <x:f>'Queries'!C343*'Queries'!E343</x:f>
        <x:v>727.13</x:v>
      </x:c>
    </x:row>
    <x:row r="344" ht="32" customHeight="1">
      <x:c r="A344" s="6" t="str">
        <x:v>audi oil change dubai</x:v>
      </x:c>
      <x:c r="B344" s="16" t="n">
        <x:v>1</x:v>
      </x:c>
      <x:c r="C344" s="16" t="n">
        <x:v>5</x:v>
      </x:c>
      <x:c r="D344" s="16" t="n">
        <x:f>IF('Queries'!E344&lt;='Rules'!$B$17,'Rules'!$B$21,IF('Queries'!E344&lt;='Rules'!$B$18,'Rules'!$B$22,IF('Queries'!E344&lt;='Rules'!$B$19,'Rules'!$B$23,IF('Queries'!E344&lt;='Rules'!$B$20,'Rules'!$B$24,'Rules'!$B$25))))</x:f>
        <x:v>0.7</x:v>
      </x:c>
      <x:c r="E344" s="16" t="n">
        <x:f>MIN(LOG10(1+'Queries'!C344)/'Rules'!$B$13,1)</x:f>
        <x:v>0.5478175588287301</x:v>
      </x:c>
      <x:c r="F344" s="16" t="n">
        <x:f>IF(AND('Queries'!E344&lt;='Rules'!$B$15,'Queries'!C344&gt;='Rules'!$B$14,'Queries'!D344&lt;'Rules'!$B$16),1,0)</x:f>
        <x:v>0</x:v>
      </x:c>
      <x:c r="G344" s="16" t="n">
        <x:v>1</x:v>
      </x:c>
      <x:c r="H344" s="16" t="n">
        <x:v>1</x:v>
      </x:c>
      <x:c r="I344" s="16" t="n">
        <x:f>ROUND((B344*'Rules'!$B$6+C344/'Rules'!$B$12*'Rules'!$B$7+D344*'Rules'!$B$8+E344*'Rules'!$B$9+F344*'Rules'!$B$10+G344*'Rules'!$B$11)*H344,1)</x:f>
        <x:v>78</x:v>
      </x:c>
      <x:c r="J344" s="18" t="n">
        <x:f>'Queries'!C344*'Queries'!E344</x:f>
        <x:v>762.8199999999999</x:v>
      </x:c>
    </x:row>
    <x:row r="345" ht="32" customHeight="1">
      <x:c r="A345" s="6" t="str">
        <x:v>battery replacement near me</x:v>
      </x:c>
      <x:c r="B345" s="16" t="n">
        <x:v>1</x:v>
      </x:c>
      <x:c r="C345" s="16" t="n">
        <x:v>3</x:v>
      </x:c>
      <x:c r="D345" s="16" t="n">
        <x:f>IF('Queries'!E345&lt;='Rules'!$B$17,'Rules'!$B$21,IF('Queries'!E345&lt;='Rules'!$B$18,'Rules'!$B$22,IF('Queries'!E345&lt;='Rules'!$B$19,'Rules'!$B$23,IF('Queries'!E345&lt;='Rules'!$B$20,'Rules'!$B$24,'Rules'!$B$25))))</x:f>
        <x:v>0.7</x:v>
      </x:c>
      <x:c r="E345" s="16" t="n">
        <x:f>MIN(LOG10(1+'Queries'!C345)/'Rules'!$B$13,1)</x:f>
        <x:v>0.5478175588287301</x:v>
      </x:c>
      <x:c r="F345" s="16" t="n">
        <x:f>IF(AND('Queries'!E345&lt;='Rules'!$B$15,'Queries'!C345&gt;='Rules'!$B$14,'Queries'!D345&lt;'Rules'!$B$16),1,0)</x:f>
        <x:v>0</x:v>
      </x:c>
      <x:c r="G345" s="16" t="n">
        <x:v>1</x:v>
      </x:c>
      <x:c r="H345" s="16" t="n">
        <x:v>1</x:v>
      </x:c>
      <x:c r="I345" s="16" t="n">
        <x:f>ROUND((B345*'Rules'!$B$6+C345/'Rules'!$B$12*'Rules'!$B$7+D345*'Rules'!$B$8+E345*'Rules'!$B$9+F345*'Rules'!$B$10+G345*'Rules'!$B$11)*H345,1)</x:f>
        <x:v>70</x:v>
      </x:c>
      <x:c r="J345" s="18" t="n">
        <x:f>'Queries'!C345*'Queries'!E345</x:f>
        <x:v>989</x:v>
      </x:c>
    </x:row>
    <x:row r="346" ht="32" customHeight="1">
      <x:c r="A346" s="6" t="str">
        <x:v>lamborghini engine repair dubai</x:v>
      </x:c>
      <x:c r="B346" s="16" t="n">
        <x:v>1</x:v>
      </x:c>
      <x:c r="C346" s="16" t="n">
        <x:v>5</x:v>
      </x:c>
      <x:c r="D346" s="16" t="n">
        <x:f>IF('Queries'!E346&lt;='Rules'!$B$17,'Rules'!$B$21,IF('Queries'!E346&lt;='Rules'!$B$18,'Rules'!$B$22,IF('Queries'!E346&lt;='Rules'!$B$19,'Rules'!$B$23,IF('Queries'!E346&lt;='Rules'!$B$20,'Rules'!$B$24,'Rules'!$B$25))))</x:f>
        <x:v>0.4</x:v>
      </x:c>
      <x:c r="E346" s="16" t="n">
        <x:f>MIN(LOG10(1+'Queries'!C346)/'Rules'!$B$13,1)</x:f>
        <x:v>0.5478175588287301</x:v>
      </x:c>
      <x:c r="F346" s="16" t="n">
        <x:f>IF(AND('Queries'!E346&lt;='Rules'!$B$15,'Queries'!C346&gt;='Rules'!$B$14,'Queries'!D346&lt;'Rules'!$B$16),1,0)</x:f>
        <x:v>0</x:v>
      </x:c>
      <x:c r="G346" s="16" t="n">
        <x:v>1</x:v>
      </x:c>
      <x:c r="H346" s="16" t="n">
        <x:v>1</x:v>
      </x:c>
      <x:c r="I346" s="16" t="n">
        <x:f>ROUND((B346*'Rules'!$B$6+C346/'Rules'!$B$12*'Rules'!$B$7+D346*'Rules'!$B$8+E346*'Rules'!$B$9+F346*'Rules'!$B$10+G346*'Rules'!$B$11)*H346,1)</x:f>
        <x:v>70.5</x:v>
      </x:c>
      <x:c r="J346" s="18" t="n">
        <x:f>'Queries'!C346*'Queries'!E346</x:f>
        <x:v>1357.9399999999998</x:v>
      </x:c>
    </x:row>
    <x:row r="347" ht="32" customHeight="1">
      <x:c r="A347" s="6" t="str">
        <x:v>porsche repair</x:v>
      </x:c>
      <x:c r="B347" s="16" t="n">
        <x:v>0.8</x:v>
      </x:c>
      <x:c r="C347" s="16" t="n">
        <x:v>5</x:v>
      </x:c>
      <x:c r="D347" s="16" t="n">
        <x:f>IF('Queries'!E347&lt;='Rules'!$B$17,'Rules'!$B$21,IF('Queries'!E347&lt;='Rules'!$B$18,'Rules'!$B$22,IF('Queries'!E347&lt;='Rules'!$B$19,'Rules'!$B$23,IF('Queries'!E347&lt;='Rules'!$B$20,'Rules'!$B$24,'Rules'!$B$25))))</x:f>
        <x:v>0.4</x:v>
      </x:c>
      <x:c r="E347" s="16" t="n">
        <x:f>MIN(LOG10(1+'Queries'!C347)/'Rules'!$B$13,1)</x:f>
        <x:v>0.5478175588287301</x:v>
      </x:c>
      <x:c r="F347" s="16" t="n">
        <x:f>IF(AND('Queries'!E347&lt;='Rules'!$B$15,'Queries'!C347&gt;='Rules'!$B$14,'Queries'!D347&lt;'Rules'!$B$16),1,0)</x:f>
        <x:v>0</x:v>
      </x:c>
      <x:c r="G347" s="16" t="n">
        <x:v>1</x:v>
      </x:c>
      <x:c r="H347" s="16" t="n">
        <x:v>1</x:v>
      </x:c>
      <x:c r="I347" s="16" t="n">
        <x:f>ROUND((B347*'Rules'!$B$6+C347/'Rules'!$B$12*'Rules'!$B$7+D347*'Rules'!$B$8+E347*'Rules'!$B$9+F347*'Rules'!$B$10+G347*'Rules'!$B$11)*H347,1)</x:f>
        <x:v>65.5</x:v>
      </x:c>
      <x:c r="J347" s="18" t="n">
        <x:f>'Queries'!C347*'Queries'!E347</x:f>
        <x:v>1624.1100000000001</x:v>
      </x:c>
    </x:row>
    <x:row r="348" ht="32" customHeight="1">
      <x:c r="A348" s="6" t="str">
        <x:v>mercedes repair near me</x:v>
      </x:c>
      <x:c r="B348" s="16" t="n">
        <x:v>1</x:v>
      </x:c>
      <x:c r="C348" s="16" t="n">
        <x:v>5</x:v>
      </x:c>
      <x:c r="D348" s="16" t="n">
        <x:f>IF('Queries'!E348&lt;='Rules'!$B$17,'Rules'!$B$21,IF('Queries'!E348&lt;='Rules'!$B$18,'Rules'!$B$22,IF('Queries'!E348&lt;='Rules'!$B$19,'Rules'!$B$23,IF('Queries'!E348&lt;='Rules'!$B$20,'Rules'!$B$24,'Rules'!$B$25))))</x:f>
        <x:v>0.7</x:v>
      </x:c>
      <x:c r="E348" s="16" t="n">
        <x:f>MIN(LOG10(1+'Queries'!C348)/'Rules'!$B$13,1)</x:f>
        <x:v>0.5444894851931966</x:v>
      </x:c>
      <x:c r="F348" s="16" t="n">
        <x:f>IF(AND('Queries'!E348&lt;='Rules'!$B$15,'Queries'!C348&gt;='Rules'!$B$14,'Queries'!D348&lt;'Rules'!$B$16),1,0)</x:f>
        <x:v>0</x:v>
      </x:c>
      <x:c r="G348" s="16" t="n">
        <x:v>1</x:v>
      </x:c>
      <x:c r="H348" s="16" t="n">
        <x:v>1</x:v>
      </x:c>
      <x:c r="I348" s="16" t="n">
        <x:f>ROUND((B348*'Rules'!$B$6+C348/'Rules'!$B$12*'Rules'!$B$7+D348*'Rules'!$B$8+E348*'Rules'!$B$9+F348*'Rules'!$B$10+G348*'Rules'!$B$11)*H348,1)</x:f>
        <x:v>77.9</x:v>
      </x:c>
      <x:c r="J348" s="18" t="n">
        <x:f>'Queries'!C348*'Queries'!E348</x:f>
        <x:v>784.98</x:v>
      </x:c>
    </x:row>
    <x:row r="349" ht="32" customHeight="1">
      <x:c r="A349" s="6" t="str">
        <x:v>engine diagnostics dubai</x:v>
      </x:c>
      <x:c r="B349" s="16" t="n">
        <x:v>1</x:v>
      </x:c>
      <x:c r="C349" s="16" t="n">
        <x:v>3</x:v>
      </x:c>
      <x:c r="D349" s="16" t="n">
        <x:f>IF('Queries'!E349&lt;='Rules'!$B$17,'Rules'!$B$21,IF('Queries'!E349&lt;='Rules'!$B$18,'Rules'!$B$22,IF('Queries'!E349&lt;='Rules'!$B$19,'Rules'!$B$23,IF('Queries'!E349&lt;='Rules'!$B$20,'Rules'!$B$24,'Rules'!$B$25))))</x:f>
        <x:v>0.7</x:v>
      </x:c>
      <x:c r="E349" s="16" t="n">
        <x:f>MIN(LOG10(1+'Queries'!C349)/'Rules'!$B$13,1)</x:f>
        <x:v>0.5444894851931966</x:v>
      </x:c>
      <x:c r="F349" s="16" t="n">
        <x:f>IF(AND('Queries'!E349&lt;='Rules'!$B$15,'Queries'!C349&gt;='Rules'!$B$14,'Queries'!D349&lt;'Rules'!$B$16),1,0)</x:f>
        <x:v>0</x:v>
      </x:c>
      <x:c r="G349" s="16" t="n">
        <x:v>1</x:v>
      </x:c>
      <x:c r="H349" s="16" t="n">
        <x:v>1</x:v>
      </x:c>
      <x:c r="I349" s="16" t="n">
        <x:f>ROUND((B349*'Rules'!$B$6+C349/'Rules'!$B$12*'Rules'!$B$7+D349*'Rules'!$B$8+E349*'Rules'!$B$9+F349*'Rules'!$B$10+G349*'Rules'!$B$11)*H349,1)</x:f>
        <x:v>69.9</x:v>
      </x:c>
      <x:c r="J349" s="18" t="n">
        <x:f>'Queries'!C349*'Queries'!E349</x:f>
        <x:v>1234.8</x:v>
      </x:c>
    </x:row>
    <x:row r="350" ht="32" customHeight="1">
      <x:c r="A350" s="6" t="str">
        <x:v>car oil change service in dubai</x:v>
      </x:c>
      <x:c r="B350" s="16" t="n">
        <x:v>1</x:v>
      </x:c>
      <x:c r="C350" s="16" t="n">
        <x:v>3</x:v>
      </x:c>
      <x:c r="D350" s="16" t="n">
        <x:f>IF('Queries'!E350&lt;='Rules'!$B$17,'Rules'!$B$21,IF('Queries'!E350&lt;='Rules'!$B$18,'Rules'!$B$22,IF('Queries'!E350&lt;='Rules'!$B$19,'Rules'!$B$23,IF('Queries'!E350&lt;='Rules'!$B$20,'Rules'!$B$24,'Rules'!$B$25))))</x:f>
        <x:v>0.4</x:v>
      </x:c>
      <x:c r="E350" s="16" t="n">
        <x:f>MIN(LOG10(1+'Queries'!C350)/'Rules'!$B$13,1)</x:f>
        <x:v>0.5444894851931966</x:v>
      </x:c>
      <x:c r="F350" s="16" t="n">
        <x:f>IF(AND('Queries'!E350&lt;='Rules'!$B$15,'Queries'!C350&gt;='Rules'!$B$14,'Queries'!D350&lt;'Rules'!$B$16),1,0)</x:f>
        <x:v>0</x:v>
      </x:c>
      <x:c r="G350" s="16" t="n">
        <x:v>1</x:v>
      </x:c>
      <x:c r="H350" s="16" t="n">
        <x:v>1</x:v>
      </x:c>
      <x:c r="I350" s="16" t="n">
        <x:f>ROUND((B350*'Rules'!$B$6+C350/'Rules'!$B$12*'Rules'!$B$7+D350*'Rules'!$B$8+E350*'Rules'!$B$9+F350*'Rules'!$B$10+G350*'Rules'!$B$11)*H350,1)</x:f>
        <x:v>62.4</x:v>
      </x:c>
      <x:c r="J350" s="18" t="n">
        <x:f>'Queries'!C350*'Queries'!E350</x:f>
        <x:v>1519.98</x:v>
      </x:c>
    </x:row>
    <x:row r="351" ht="32" customHeight="1">
      <x:c r="A351" s="6" t="str">
        <x:v>gearbox specialist</x:v>
      </x:c>
      <x:c r="B351" s="16" t="n">
        <x:v>0.8</x:v>
      </x:c>
      <x:c r="C351" s="16" t="n">
        <x:v>3</x:v>
      </x:c>
      <x:c r="D351" s="16" t="n">
        <x:f>IF('Queries'!E351&lt;='Rules'!$B$17,'Rules'!$B$21,IF('Queries'!E351&lt;='Rules'!$B$18,'Rules'!$B$22,IF('Queries'!E351&lt;='Rules'!$B$19,'Rules'!$B$23,IF('Queries'!E351&lt;='Rules'!$B$20,'Rules'!$B$24,'Rules'!$B$25))))</x:f>
        <x:v>0.15</x:v>
      </x:c>
      <x:c r="E351" s="16" t="n">
        <x:f>MIN(LOG10(1+'Queries'!C351)/'Rules'!$B$13,1)</x:f>
        <x:v>0.5444894851931966</x:v>
      </x:c>
      <x:c r="F351" s="16" t="n">
        <x:f>IF(AND('Queries'!E351&lt;='Rules'!$B$15,'Queries'!C351&gt;='Rules'!$B$14,'Queries'!D351&lt;'Rules'!$B$16),1,0)</x:f>
        <x:v>0</x:v>
      </x:c>
      <x:c r="G351" s="16" t="n">
        <x:v>1</x:v>
      </x:c>
      <x:c r="H351" s="16" t="n">
        <x:v>1</x:v>
      </x:c>
      <x:c r="I351" s="16" t="n">
        <x:f>ROUND((B351*'Rules'!$B$6+C351/'Rules'!$B$12*'Rules'!$B$7+D351*'Rules'!$B$8+E351*'Rules'!$B$9+F351*'Rules'!$B$10+G351*'Rules'!$B$11)*H351,1)</x:f>
        <x:v>51.2</x:v>
      </x:c>
      <x:c r="J351" s="18" t="n">
        <x:f>'Queries'!C351*'Queries'!E351</x:f>
        <x:v>1837.9199999999998</x:v>
      </x:c>
    </x:row>
    <x:row r="352" ht="32" customHeight="1">
      <x:c r="A352" s="6" t="str">
        <x:v>car silencer repair near me</x:v>
      </x:c>
      <x:c r="B352" s="16" t="n">
        <x:v>1</x:v>
      </x:c>
      <x:c r="C352" s="16" t="n">
        <x:v>3</x:v>
      </x:c>
      <x:c r="D352" s="16" t="n">
        <x:f>IF('Queries'!E352&lt;='Rules'!$B$17,'Rules'!$B$21,IF('Queries'!E352&lt;='Rules'!$B$18,'Rules'!$B$22,IF('Queries'!E352&lt;='Rules'!$B$19,'Rules'!$B$23,IF('Queries'!E352&lt;='Rules'!$B$20,'Rules'!$B$24,'Rules'!$B$25))))</x:f>
        <x:v>1</x:v>
      </x:c>
      <x:c r="E352" s="16" t="n">
        <x:f>MIN(LOG10(1+'Queries'!C352)/'Rules'!$B$13,1)</x:f>
        <x:v>0.5410830967993</x:v>
      </x:c>
      <x:c r="F352" s="16" t="n">
        <x:f>IF(AND('Queries'!E352&lt;='Rules'!$B$15,'Queries'!C352&gt;='Rules'!$B$14,'Queries'!D352&lt;'Rules'!$B$16),1,0)</x:f>
        <x:v>1</x:v>
      </x:c>
      <x:c r="G352" s="16" t="n">
        <x:v>1</x:v>
      </x:c>
      <x:c r="H352" s="16" t="n">
        <x:v>1</x:v>
      </x:c>
      <x:c r="I352" s="16" t="n">
        <x:f>ROUND((B352*'Rules'!$B$6+C352/'Rules'!$B$12*'Rules'!$B$7+D352*'Rules'!$B$8+E352*'Rules'!$B$9+F352*'Rules'!$B$10+G352*'Rules'!$B$11)*H352,1)</x:f>
        <x:v>87.4</x:v>
      </x:c>
      <x:c r="J352" s="18" t="n">
        <x:f>'Queries'!C352*'Queries'!E352</x:f>
        <x:v>302.99</x:v>
      </x:c>
    </x:row>
    <x:row r="353" ht="32" customHeight="1">
      <x:c r="A353" s="6" t="str">
        <x:v>steering repair near me</x:v>
      </x:c>
      <x:c r="B353" s="16" t="n">
        <x:v>1</x:v>
      </x:c>
      <x:c r="C353" s="16" t="n">
        <x:v>3</x:v>
      </x:c>
      <x:c r="D353" s="16" t="n">
        <x:f>IF('Queries'!E353&lt;='Rules'!$B$17,'Rules'!$B$21,IF('Queries'!E353&lt;='Rules'!$B$18,'Rules'!$B$22,IF('Queries'!E353&lt;='Rules'!$B$19,'Rules'!$B$23,IF('Queries'!E353&lt;='Rules'!$B$20,'Rules'!$B$24,'Rules'!$B$25))))</x:f>
        <x:v>1</x:v>
      </x:c>
      <x:c r="E353" s="16" t="n">
        <x:f>MIN(LOG10(1+'Queries'!C353)/'Rules'!$B$13,1)</x:f>
        <x:v>0.5410830967993</x:v>
      </x:c>
      <x:c r="F353" s="16" t="n">
        <x:f>IF(AND('Queries'!E353&lt;='Rules'!$B$15,'Queries'!C353&gt;='Rules'!$B$14,'Queries'!D353&lt;'Rules'!$B$16),1,0)</x:f>
        <x:v>0</x:v>
      </x:c>
      <x:c r="G353" s="16" t="n">
        <x:v>1</x:v>
      </x:c>
      <x:c r="H353" s="16" t="n">
        <x:v>1</x:v>
      </x:c>
      <x:c r="I353" s="16" t="n">
        <x:f>ROUND((B353*'Rules'!$B$6+C353/'Rules'!$B$12*'Rules'!$B$7+D353*'Rules'!$B$8+E353*'Rules'!$B$9+F353*'Rules'!$B$10+G353*'Rules'!$B$11)*H353,1)</x:f>
        <x:v>77.4</x:v>
      </x:c>
      <x:c r="J353" s="18" t="n">
        <x:f>'Queries'!C353*'Queries'!E353</x:f>
        <x:v>496.91999999999996</x:v>
      </x:c>
    </x:row>
    <x:row r="354" ht="32" customHeight="1">
      <x:c r="A354" s="6" t="str">
        <x:v>mercedes car repair</x:v>
      </x:c>
      <x:c r="B354" s="16" t="n">
        <x:v>0.8</x:v>
      </x:c>
      <x:c r="C354" s="16" t="n">
        <x:v>5</x:v>
      </x:c>
      <x:c r="D354" s="16" t="n">
        <x:f>IF('Queries'!E354&lt;='Rules'!$B$17,'Rules'!$B$21,IF('Queries'!E354&lt;='Rules'!$B$18,'Rules'!$B$22,IF('Queries'!E354&lt;='Rules'!$B$19,'Rules'!$B$23,IF('Queries'!E354&lt;='Rules'!$B$20,'Rules'!$B$24,'Rules'!$B$25))))</x:f>
        <x:v>0.7</x:v>
      </x:c>
      <x:c r="E354" s="16" t="n">
        <x:f>MIN(LOG10(1+'Queries'!C354)/'Rules'!$B$13,1)</x:f>
        <x:v>0.5410830967993</x:v>
      </x:c>
      <x:c r="F354" s="16" t="n">
        <x:f>IF(AND('Queries'!E354&lt;='Rules'!$B$15,'Queries'!C354&gt;='Rules'!$B$14,'Queries'!D354&lt;'Rules'!$B$16),1,0)</x:f>
        <x:v>0</x:v>
      </x:c>
      <x:c r="G354" s="16" t="n">
        <x:v>1</x:v>
      </x:c>
      <x:c r="H354" s="16" t="n">
        <x:v>1</x:v>
      </x:c>
      <x:c r="I354" s="16" t="n">
        <x:f>ROUND((B354*'Rules'!$B$6+C354/'Rules'!$B$12*'Rules'!$B$7+D354*'Rules'!$B$8+E354*'Rules'!$B$9+F354*'Rules'!$B$10+G354*'Rules'!$B$11)*H354,1)</x:f>
        <x:v>72.9</x:v>
      </x:c>
      <x:c r="J354" s="18" t="n">
        <x:f>'Queries'!C354*'Queries'!E354</x:f>
        <x:v>1111.1000000000001</x:v>
      </x:c>
    </x:row>
    <x:row r="355" ht="32" customHeight="1">
      <x:c r="A355" s="6" t="str">
        <x:v>jeep oil change service in dubai</x:v>
      </x:c>
      <x:c r="B355" s="16" t="n">
        <x:v>1</x:v>
      </x:c>
      <x:c r="C355" s="16" t="n">
        <x:v>3</x:v>
      </x:c>
      <x:c r="D355" s="16" t="n">
        <x:f>IF('Queries'!E355&lt;='Rules'!$B$17,'Rules'!$B$21,IF('Queries'!E355&lt;='Rules'!$B$18,'Rules'!$B$22,IF('Queries'!E355&lt;='Rules'!$B$19,'Rules'!$B$23,IF('Queries'!E355&lt;='Rules'!$B$20,'Rules'!$B$24,'Rules'!$B$25))))</x:f>
        <x:v>0.4</x:v>
      </x:c>
      <x:c r="E355" s="16" t="n">
        <x:f>MIN(LOG10(1+'Queries'!C355)/'Rules'!$B$13,1)</x:f>
        <x:v>0.5410830967993</x:v>
      </x:c>
      <x:c r="F355" s="16" t="n">
        <x:f>IF(AND('Queries'!E355&lt;='Rules'!$B$15,'Queries'!C355&gt;='Rules'!$B$14,'Queries'!D355&lt;'Rules'!$B$16),1,0)</x:f>
        <x:v>0</x:v>
      </x:c>
      <x:c r="G355" s="16" t="n">
        <x:v>1</x:v>
      </x:c>
      <x:c r="H355" s="16" t="n">
        <x:v>1</x:v>
      </x:c>
      <x:c r="I355" s="16" t="n">
        <x:f>ROUND((B355*'Rules'!$B$6+C355/'Rules'!$B$12*'Rules'!$B$7+D355*'Rules'!$B$8+E355*'Rules'!$B$9+F355*'Rules'!$B$10+G355*'Rules'!$B$11)*H355,1)</x:f>
        <x:v>62.4</x:v>
      </x:c>
      <x:c r="J355" s="18" t="n">
        <x:f>'Queries'!C355*'Queries'!E355</x:f>
        <x:v>1245.17</x:v>
      </x:c>
    </x:row>
    <x:row r="356" ht="32" customHeight="1">
      <x:c r="A356" s="6" t="str">
        <x:v>ppf protection dubai</x:v>
      </x:c>
      <x:c r="B356" s="16" t="n">
        <x:v>1</x:v>
      </x:c>
      <x:c r="C356" s="16" t="n">
        <x:v>5</x:v>
      </x:c>
      <x:c r="D356" s="16" t="n">
        <x:f>IF('Queries'!E356&lt;='Rules'!$B$17,'Rules'!$B$21,IF('Queries'!E356&lt;='Rules'!$B$18,'Rules'!$B$22,IF('Queries'!E356&lt;='Rules'!$B$19,'Rules'!$B$23,IF('Queries'!E356&lt;='Rules'!$B$20,'Rules'!$B$24,'Rules'!$B$25))))</x:f>
        <x:v>0.4</x:v>
      </x:c>
      <x:c r="E356" s="16" t="n">
        <x:f>MIN(LOG10(1+'Queries'!C356)/'Rules'!$B$13,1)</x:f>
        <x:v>0.5410830967993</x:v>
      </x:c>
      <x:c r="F356" s="16" t="n">
        <x:f>IF(AND('Queries'!E356&lt;='Rules'!$B$15,'Queries'!C356&gt;='Rules'!$B$14,'Queries'!D356&lt;'Rules'!$B$16),1,0)</x:f>
        <x:v>0</x:v>
      </x:c>
      <x:c r="G356" s="16" t="n">
        <x:v>1</x:v>
      </x:c>
      <x:c r="H356" s="16" t="n">
        <x:v>1</x:v>
      </x:c>
      <x:c r="I356" s="16" t="n">
        <x:f>ROUND((B356*'Rules'!$B$6+C356/'Rules'!$B$12*'Rules'!$B$7+D356*'Rules'!$B$8+E356*'Rules'!$B$9+F356*'Rules'!$B$10+G356*'Rules'!$B$11)*H356,1)</x:f>
        <x:v>70.4</x:v>
      </x:c>
      <x:c r="J356" s="18" t="n">
        <x:f>'Queries'!C356*'Queries'!E356</x:f>
        <x:v>1385.8</x:v>
      </x:c>
    </x:row>
    <x:row r="357" ht="32" customHeight="1">
      <x:c r="A357" s="6" t="str">
        <x:v>collision repair dubai</x:v>
      </x:c>
      <x:c r="B357" s="16" t="n">
        <x:v>1</x:v>
      </x:c>
      <x:c r="C357" s="16" t="n">
        <x:v>3</x:v>
      </x:c>
      <x:c r="D357" s="16" t="n">
        <x:f>IF('Queries'!E357&lt;='Rules'!$B$17,'Rules'!$B$21,IF('Queries'!E357&lt;='Rules'!$B$18,'Rules'!$B$22,IF('Queries'!E357&lt;='Rules'!$B$19,'Rules'!$B$23,IF('Queries'!E357&lt;='Rules'!$B$20,'Rules'!$B$24,'Rules'!$B$25))))</x:f>
        <x:v>0.15</x:v>
      </x:c>
      <x:c r="E357" s="16" t="n">
        <x:f>MIN(LOG10(1+'Queries'!C357)/'Rules'!$B$13,1)</x:f>
        <x:v>0.5410830967993</x:v>
      </x:c>
      <x:c r="F357" s="16" t="n">
        <x:f>IF(AND('Queries'!E357&lt;='Rules'!$B$15,'Queries'!C357&gt;='Rules'!$B$14,'Queries'!D357&lt;'Rules'!$B$16),1,0)</x:f>
        <x:v>0</x:v>
      </x:c>
      <x:c r="G357" s="16" t="n">
        <x:v>1</x:v>
      </x:c>
      <x:c r="H357" s="16" t="n">
        <x:v>1</x:v>
      </x:c>
      <x:c r="I357" s="16" t="n">
        <x:f>ROUND((B357*'Rules'!$B$6+C357/'Rules'!$B$12*'Rules'!$B$7+D357*'Rules'!$B$8+E357*'Rules'!$B$9+F357*'Rules'!$B$10+G357*'Rules'!$B$11)*H357,1)</x:f>
        <x:v>56.2</x:v>
      </x:c>
      <x:c r="J357" s="18" t="n">
        <x:f>'Queries'!C357*'Queries'!E357</x:f>
        <x:v>1779.81</x:v>
      </x:c>
    </x:row>
    <x:row r="358" ht="32" customHeight="1">
      <x:c r="A358" s="6" t="str">
        <x:v>ferrari garage in dubai</x:v>
      </x:c>
      <x:c r="B358" s="16" t="n">
        <x:v>1</x:v>
      </x:c>
      <x:c r="C358" s="16" t="n">
        <x:v>5</x:v>
      </x:c>
      <x:c r="D358" s="16" t="n">
        <x:f>IF('Queries'!E358&lt;='Rules'!$B$17,'Rules'!$B$21,IF('Queries'!E358&lt;='Rules'!$B$18,'Rules'!$B$22,IF('Queries'!E358&lt;='Rules'!$B$19,'Rules'!$B$23,IF('Queries'!E358&lt;='Rules'!$B$20,'Rules'!$B$24,'Rules'!$B$25))))</x:f>
        <x:v>0.15</x:v>
      </x:c>
      <x:c r="E358" s="16" t="n">
        <x:f>MIN(LOG10(1+'Queries'!C358)/'Rules'!$B$13,1)</x:f>
        <x:v>0.5410830967993</x:v>
      </x:c>
      <x:c r="F358" s="16" t="n">
        <x:f>IF(AND('Queries'!E358&lt;='Rules'!$B$15,'Queries'!C358&gt;='Rules'!$B$14,'Queries'!D358&lt;'Rules'!$B$16),1,0)</x:f>
        <x:v>0</x:v>
      </x:c>
      <x:c r="G358" s="16" t="n">
        <x:v>1</x:v>
      </x:c>
      <x:c r="H358" s="16" t="n">
        <x:v>1</x:v>
      </x:c>
      <x:c r="I358" s="16" t="n">
        <x:f>ROUND((B358*'Rules'!$B$6+C358/'Rules'!$B$12*'Rules'!$B$7+D358*'Rules'!$B$8+E358*'Rules'!$B$9+F358*'Rules'!$B$10+G358*'Rules'!$B$11)*H358,1)</x:f>
        <x:v>64.2</x:v>
      </x:c>
      <x:c r="J358" s="18" t="n">
        <x:f>'Queries'!C358*'Queries'!E358</x:f>
        <x:v>1787.19</x:v>
      </x:c>
    </x:row>
    <x:row r="359" ht="32" customHeight="1">
      <x:c r="A359" s="6" t="str">
        <x:v>ppf spectre</x:v>
      </x:c>
      <x:c r="B359" s="16" t="n">
        <x:v>0.8</x:v>
      </x:c>
      <x:c r="C359" s="16" t="n">
        <x:v>5</x:v>
      </x:c>
      <x:c r="D359" s="16" t="n">
        <x:f>IF('Queries'!E359&lt;='Rules'!$B$17,'Rules'!$B$21,IF('Queries'!E359&lt;='Rules'!$B$18,'Rules'!$B$22,IF('Queries'!E359&lt;='Rules'!$B$19,'Rules'!$B$23,IF('Queries'!E359&lt;='Rules'!$B$20,'Rules'!$B$24,'Rules'!$B$25))))</x:f>
        <x:v>0.15</x:v>
      </x:c>
      <x:c r="E359" s="16" t="n">
        <x:f>MIN(LOG10(1+'Queries'!C359)/'Rules'!$B$13,1)</x:f>
        <x:v>0.5410830967993</x:v>
      </x:c>
      <x:c r="F359" s="16" t="n">
        <x:f>IF(AND('Queries'!E359&lt;='Rules'!$B$15,'Queries'!C359&gt;='Rules'!$B$14,'Queries'!D359&lt;'Rules'!$B$16),1,0)</x:f>
        <x:v>0</x:v>
      </x:c>
      <x:c r="G359" s="16" t="n">
        <x:v>1</x:v>
      </x:c>
      <x:c r="H359" s="16" t="n">
        <x:v>1</x:v>
      </x:c>
      <x:c r="I359" s="16" t="n">
        <x:f>ROUND((B359*'Rules'!$B$6+C359/'Rules'!$B$12*'Rules'!$B$7+D359*'Rules'!$B$8+E359*'Rules'!$B$9+F359*'Rules'!$B$10+G359*'Rules'!$B$11)*H359,1)</x:f>
        <x:v>59.2</x:v>
      </x:c>
      <x:c r="J359" s="18" t="n">
        <x:f>'Queries'!C359*'Queries'!E359</x:f>
        <x:v>1904.8600000000001</x:v>
      </x:c>
    </x:row>
    <x:row r="360" ht="32" customHeight="1">
      <x:c r="A360" s="6" t="str">
        <x:v>bmw brake repair dubai</x:v>
      </x:c>
      <x:c r="B360" s="16" t="n">
        <x:v>1</x:v>
      </x:c>
      <x:c r="C360" s="16" t="n">
        <x:v>5</x:v>
      </x:c>
      <x:c r="D360" s="16" t="n">
        <x:f>IF('Queries'!E360&lt;='Rules'!$B$17,'Rules'!$B$21,IF('Queries'!E360&lt;='Rules'!$B$18,'Rules'!$B$22,IF('Queries'!E360&lt;='Rules'!$B$19,'Rules'!$B$23,IF('Queries'!E360&lt;='Rules'!$B$20,'Rules'!$B$24,'Rules'!$B$25))))</x:f>
        <x:v>1</x:v>
      </x:c>
      <x:c r="E360" s="16" t="n">
        <x:f>MIN(LOG10(1+'Queries'!C360)/'Rules'!$B$13,1)</x:f>
        <x:v>0.53759461890658</x:v>
      </x:c>
      <x:c r="F360" s="16" t="n">
        <x:f>IF(AND('Queries'!E360&lt;='Rules'!$B$15,'Queries'!C360&gt;='Rules'!$B$14,'Queries'!D360&lt;'Rules'!$B$16),1,0)</x:f>
        <x:v>0</x:v>
      </x:c>
      <x:c r="G360" s="16" t="n">
        <x:v>1</x:v>
      </x:c>
      <x:c r="H360" s="16" t="n">
        <x:v>1</x:v>
      </x:c>
      <x:c r="I360" s="16" t="n">
        <x:f>ROUND((B360*'Rules'!$B$6+C360/'Rules'!$B$12*'Rules'!$B$7+D360*'Rules'!$B$8+E360*'Rules'!$B$9+F360*'Rules'!$B$10+G360*'Rules'!$B$11)*H360,1)</x:f>
        <x:v>85.4</x:v>
      </x:c>
      <x:c r="J360" s="18" t="n">
        <x:f>'Queries'!C360*'Queries'!E360</x:f>
        <x:v>496</x:v>
      </x:c>
    </x:row>
    <x:row r="361" ht="32" customHeight="1">
      <x:c r="A361" s="6" t="str">
        <x:v>bmw maintenance dubai</x:v>
      </x:c>
      <x:c r="B361" s="16" t="n">
        <x:v>1</x:v>
      </x:c>
      <x:c r="C361" s="16" t="n">
        <x:v>5</x:v>
      </x:c>
      <x:c r="D361" s="16" t="n">
        <x:f>IF('Queries'!E361&lt;='Rules'!$B$17,'Rules'!$B$21,IF('Queries'!E361&lt;='Rules'!$B$18,'Rules'!$B$22,IF('Queries'!E361&lt;='Rules'!$B$19,'Rules'!$B$23,IF('Queries'!E361&lt;='Rules'!$B$20,'Rules'!$B$24,'Rules'!$B$25))))</x:f>
        <x:v>0.7</x:v>
      </x:c>
      <x:c r="E361" s="16" t="n">
        <x:f>MIN(LOG10(1+'Queries'!C361)/'Rules'!$B$13,1)</x:f>
        <x:v>0.53759461890658</x:v>
      </x:c>
      <x:c r="F361" s="16" t="n">
        <x:f>IF(AND('Queries'!E361&lt;='Rules'!$B$15,'Queries'!C361&gt;='Rules'!$B$14,'Queries'!D361&lt;'Rules'!$B$16),1,0)</x:f>
        <x:v>0</x:v>
      </x:c>
      <x:c r="G361" s="16" t="n">
        <x:v>1</x:v>
      </x:c>
      <x:c r="H361" s="16" t="n">
        <x:v>1</x:v>
      </x:c>
      <x:c r="I361" s="16" t="n">
        <x:f>ROUND((B361*'Rules'!$B$6+C361/'Rules'!$B$12*'Rules'!$B$7+D361*'Rules'!$B$8+E361*'Rules'!$B$9+F361*'Rules'!$B$10+G361*'Rules'!$B$11)*H361,1)</x:f>
        <x:v>77.9</x:v>
      </x:c>
      <x:c r="J361" s="18" t="n">
        <x:f>'Queries'!C361*'Queries'!E361</x:f>
        <x:v>652.8</x:v>
      </x:c>
    </x:row>
    <x:row r="362" ht="32" customHeight="1">
      <x:c r="A362" s="6" t="str">
        <x:v>mercedes workshop</x:v>
      </x:c>
      <x:c r="B362" s="16" t="n">
        <x:v>0.8</x:v>
      </x:c>
      <x:c r="C362" s="16" t="n">
        <x:v>5</x:v>
      </x:c>
      <x:c r="D362" s="16" t="n">
        <x:f>IF('Queries'!E362&lt;='Rules'!$B$17,'Rules'!$B$21,IF('Queries'!E362&lt;='Rules'!$B$18,'Rules'!$B$22,IF('Queries'!E362&lt;='Rules'!$B$19,'Rules'!$B$23,IF('Queries'!E362&lt;='Rules'!$B$20,'Rules'!$B$24,'Rules'!$B$25))))</x:f>
        <x:v>0.7</x:v>
      </x:c>
      <x:c r="E362" s="16" t="n">
        <x:f>MIN(LOG10(1+'Queries'!C362)/'Rules'!$B$13,1)</x:f>
        <x:v>0.53759461890658</x:v>
      </x:c>
      <x:c r="F362" s="16" t="n">
        <x:f>IF(AND('Queries'!E362&lt;='Rules'!$B$15,'Queries'!C362&gt;='Rules'!$B$14,'Queries'!D362&lt;'Rules'!$B$16),1,0)</x:f>
        <x:v>0</x:v>
      </x:c>
      <x:c r="G362" s="16" t="n">
        <x:v>1</x:v>
      </x:c>
      <x:c r="H362" s="16" t="n">
        <x:v>1</x:v>
      </x:c>
      <x:c r="I362" s="16" t="n">
        <x:f>ROUND((B362*'Rules'!$B$6+C362/'Rules'!$B$12*'Rules'!$B$7+D362*'Rules'!$B$8+E362*'Rules'!$B$9+F362*'Rules'!$B$10+G362*'Rules'!$B$11)*H362,1)</x:f>
        <x:v>72.9</x:v>
      </x:c>
      <x:c r="J362" s="18" t="n">
        <x:f>'Queries'!C362*'Queries'!E362</x:f>
        <x:v>802.8</x:v>
      </x:c>
    </x:row>
    <x:row r="363" ht="32" customHeight="1">
      <x:c r="A363" s="6" t="str">
        <x:v>nissan workshop dubai</x:v>
      </x:c>
      <x:c r="B363" s="16" t="n">
        <x:v>1</x:v>
      </x:c>
      <x:c r="C363" s="16" t="n">
        <x:v>3</x:v>
      </x:c>
      <x:c r="D363" s="16" t="n">
        <x:f>IF('Queries'!E363&lt;='Rules'!$B$17,'Rules'!$B$21,IF('Queries'!E363&lt;='Rules'!$B$18,'Rules'!$B$22,IF('Queries'!E363&lt;='Rules'!$B$19,'Rules'!$B$23,IF('Queries'!E363&lt;='Rules'!$B$20,'Rules'!$B$24,'Rules'!$B$25))))</x:f>
        <x:v>0.7</x:v>
      </x:c>
      <x:c r="E363" s="16" t="n">
        <x:f>MIN(LOG10(1+'Queries'!C363)/'Rules'!$B$13,1)</x:f>
        <x:v>0.53759461890658</x:v>
      </x:c>
      <x:c r="F363" s="16" t="n">
        <x:f>IF(AND('Queries'!E363&lt;='Rules'!$B$15,'Queries'!C363&gt;='Rules'!$B$14,'Queries'!D363&lt;'Rules'!$B$16),1,0)</x:f>
        <x:v>0</x:v>
      </x:c>
      <x:c r="G363" s="16" t="n">
        <x:v>1</x:v>
      </x:c>
      <x:c r="H363" s="16" t="n">
        <x:v>1</x:v>
      </x:c>
      <x:c r="I363" s="16" t="n">
        <x:f>ROUND((B363*'Rules'!$B$6+C363/'Rules'!$B$12*'Rules'!$B$7+D363*'Rules'!$B$8+E363*'Rules'!$B$9+F363*'Rules'!$B$10+G363*'Rules'!$B$11)*H363,1)</x:f>
        <x:v>69.9</x:v>
      </x:c>
      <x:c r="J363" s="18" t="n">
        <x:f>'Queries'!C363*'Queries'!E363</x:f>
        <x:v>1064.8</x:v>
      </x:c>
    </x:row>
    <x:row r="364" ht="32" customHeight="1">
      <x:c r="A364" s="6" t="str">
        <x:v>audi suspension repair dubai</x:v>
      </x:c>
      <x:c r="B364" s="16" t="n">
        <x:v>1</x:v>
      </x:c>
      <x:c r="C364" s="16" t="n">
        <x:v>5</x:v>
      </x:c>
      <x:c r="D364" s="16" t="n">
        <x:f>IF('Queries'!E364&lt;='Rules'!$B$17,'Rules'!$B$21,IF('Queries'!E364&lt;='Rules'!$B$18,'Rules'!$B$22,IF('Queries'!E364&lt;='Rules'!$B$19,'Rules'!$B$23,IF('Queries'!E364&lt;='Rules'!$B$20,'Rules'!$B$24,'Rules'!$B$25))))</x:f>
        <x:v>0.4</x:v>
      </x:c>
      <x:c r="E364" s="16" t="n">
        <x:f>MIN(LOG10(1+'Queries'!C364)/'Rules'!$B$13,1)</x:f>
        <x:v>0.53759461890658</x:v>
      </x:c>
      <x:c r="F364" s="16" t="n">
        <x:f>IF(AND('Queries'!E364&lt;='Rules'!$B$15,'Queries'!C364&gt;='Rules'!$B$14,'Queries'!D364&lt;'Rules'!$B$16),1,0)</x:f>
        <x:v>0</x:v>
      </x:c>
      <x:c r="G364" s="16" t="n">
        <x:v>1</x:v>
      </x:c>
      <x:c r="H364" s="16" t="n">
        <x:v>1</x:v>
      </x:c>
      <x:c r="I364" s="16" t="n">
        <x:f>ROUND((B364*'Rules'!$B$6+C364/'Rules'!$B$12*'Rules'!$B$7+D364*'Rules'!$B$8+E364*'Rules'!$B$9+F364*'Rules'!$B$10+G364*'Rules'!$B$11)*H364,1)</x:f>
        <x:v>70.4</x:v>
      </x:c>
      <x:c r="J364" s="18" t="n">
        <x:f>'Queries'!C364*'Queries'!E364</x:f>
        <x:v>1382</x:v>
      </x:c>
    </x:row>
    <x:row r="365" ht="32" customHeight="1">
      <x:c r="A365" s="6" t="str">
        <x:v>automotive paint protection</x:v>
      </x:c>
      <x:c r="B365" s="16" t="n">
        <x:v>0.8</x:v>
      </x:c>
      <x:c r="C365" s="16" t="n">
        <x:v>5</x:v>
      </x:c>
      <x:c r="D365" s="16" t="n">
        <x:f>IF('Queries'!E365&lt;='Rules'!$B$17,'Rules'!$B$21,IF('Queries'!E365&lt;='Rules'!$B$18,'Rules'!$B$22,IF('Queries'!E365&lt;='Rules'!$B$19,'Rules'!$B$23,IF('Queries'!E365&lt;='Rules'!$B$20,'Rules'!$B$24,'Rules'!$B$25))))</x:f>
        <x:v>0.4</x:v>
      </x:c>
      <x:c r="E365" s="16" t="n">
        <x:f>MIN(LOG10(1+'Queries'!C365)/'Rules'!$B$13,1)</x:f>
        <x:v>0.53759461890658</x:v>
      </x:c>
      <x:c r="F365" s="16" t="n">
        <x:f>IF(AND('Queries'!E365&lt;='Rules'!$B$15,'Queries'!C365&gt;='Rules'!$B$14,'Queries'!D365&lt;'Rules'!$B$16),1,0)</x:f>
        <x:v>0</x:v>
      </x:c>
      <x:c r="G365" s="16" t="n">
        <x:v>1</x:v>
      </x:c>
      <x:c r="H365" s="16" t="n">
        <x:v>1</x:v>
      </x:c>
      <x:c r="I365" s="16" t="n">
        <x:f>ROUND((B365*'Rules'!$B$6+C365/'Rules'!$B$12*'Rules'!$B$7+D365*'Rules'!$B$8+E365*'Rules'!$B$9+F365*'Rules'!$B$10+G365*'Rules'!$B$11)*H365,1)</x:f>
        <x:v>65.4</x:v>
      </x:c>
      <x:c r="J365" s="18" t="n">
        <x:f>'Queries'!C365*'Queries'!E365</x:f>
        <x:v>1394</x:v>
      </x:c>
    </x:row>
    <x:row r="366" ht="32" customHeight="1">
      <x:c r="A366" s="6" t="str">
        <x:v>تصليح تعليق السيارة في دبي</x:v>
      </x:c>
      <x:c r="B366" s="16" t="n">
        <x:v>1</x:v>
      </x:c>
      <x:c r="C366" s="16" t="n">
        <x:v>3</x:v>
      </x:c>
      <x:c r="D366" s="16" t="n">
        <x:f>IF('Queries'!E366&lt;='Rules'!$B$17,'Rules'!$B$21,IF('Queries'!E366&lt;='Rules'!$B$18,'Rules'!$B$22,IF('Queries'!E366&lt;='Rules'!$B$19,'Rules'!$B$23,IF('Queries'!E366&lt;='Rules'!$B$20,'Rules'!$B$24,'Rules'!$B$25))))</x:f>
        <x:v>0.15</x:v>
      </x:c>
      <x:c r="E366" s="16" t="n">
        <x:f>MIN(LOG10(1+'Queries'!C366)/'Rules'!$B$13,1)</x:f>
        <x:v>0.53759461890658</x:v>
      </x:c>
      <x:c r="F366" s="16" t="n">
        <x:f>IF(AND('Queries'!E366&lt;='Rules'!$B$15,'Queries'!C366&gt;='Rules'!$B$14,'Queries'!D366&lt;'Rules'!$B$16),1,0)</x:f>
        <x:v>0</x:v>
      </x:c>
      <x:c r="G366" s="16" t="n">
        <x:v>1</x:v>
      </x:c>
      <x:c r="H366" s="16" t="n">
        <x:v>1</x:v>
      </x:c>
      <x:c r="I366" s="16" t="n">
        <x:f>ROUND((B366*'Rules'!$B$6+C366/'Rules'!$B$12*'Rules'!$B$7+D366*'Rules'!$B$8+E366*'Rules'!$B$9+F366*'Rules'!$B$10+G366*'Rules'!$B$11)*H366,1)</x:f>
        <x:v>56.1</x:v>
      </x:c>
      <x:c r="J366" s="18" t="n">
        <x:f>'Queries'!C366*'Queries'!E366</x:f>
        <x:v>1643.1999999999998</x:v>
      </x:c>
    </x:row>
    <x:row r="367" ht="32" customHeight="1">
      <x:c r="A367" s="6" t="str">
        <x:v>digi</x:v>
      </x:c>
      <x:c r="B367" s="16" t="n">
        <x:v>0</x:v>
      </x:c>
      <x:c r="C367" s="16" t="n">
        <x:v>0</x:v>
      </x:c>
      <x:c r="D367" s="16" t="n">
        <x:f>IF('Queries'!E367&lt;='Rules'!$B$17,'Rules'!$B$21,IF('Queries'!E367&lt;='Rules'!$B$18,'Rules'!$B$22,IF('Queries'!E367&lt;='Rules'!$B$19,'Rules'!$B$23,IF('Queries'!E367&lt;='Rules'!$B$20,'Rules'!$B$24,'Rules'!$B$25))))</x:f>
        <x:v>1</x:v>
      </x:c>
      <x:c r="E367" s="16" t="n">
        <x:f>MIN(LOG10(1+'Queries'!C367)/'Rules'!$B$13,1)</x:f>
        <x:v>0.53401999710932</x:v>
      </x:c>
      <x:c r="F367" s="16" t="n">
        <x:f>IF(AND('Queries'!E367&lt;='Rules'!$B$15,'Queries'!C367&gt;='Rules'!$B$14,'Queries'!D367&lt;'Rules'!$B$16),1,0)</x:f>
        <x:v>1</x:v>
      </x:c>
      <x:c r="G367" s="16" t="n">
        <x:v>0</x:v>
      </x:c>
      <x:c r="H367" s="16" t="n">
        <x:v>0</x:v>
      </x:c>
      <x:c r="I367" s="16" t="n">
        <x:f>ROUND((B367*'Rules'!$B$6+C367/'Rules'!$B$12*'Rules'!$B$7+D367*'Rules'!$B$8+E367*'Rules'!$B$9+F367*'Rules'!$B$10+G367*'Rules'!$B$11)*H367,1)</x:f>
        <x:v>0</x:v>
      </x:c>
      <x:c r="J367" s="18" t="n">
        <x:f>'Queries'!C367*'Queries'!E367</x:f>
        <x:v>235.17000000000002</x:v>
      </x:c>
    </x:row>
    <x:row r="368" ht="32" customHeight="1">
      <x:c r="A368" s="6" t="str">
        <x:v>mercedes benz garage dubai</x:v>
      </x:c>
      <x:c r="B368" s="16" t="n">
        <x:v>1</x:v>
      </x:c>
      <x:c r="C368" s="16" t="n">
        <x:v>5</x:v>
      </x:c>
      <x:c r="D368" s="16" t="n">
        <x:f>IF('Queries'!E368&lt;='Rules'!$B$17,'Rules'!$B$21,IF('Queries'!E368&lt;='Rules'!$B$18,'Rules'!$B$22,IF('Queries'!E368&lt;='Rules'!$B$19,'Rules'!$B$23,IF('Queries'!E368&lt;='Rules'!$B$20,'Rules'!$B$24,'Rules'!$B$25))))</x:f>
        <x:v>1</x:v>
      </x:c>
      <x:c r="E368" s="16" t="n">
        <x:f>MIN(LOG10(1+'Queries'!C368)/'Rules'!$B$13,1)</x:f>
        <x:v>0.53401999710932</x:v>
      </x:c>
      <x:c r="F368" s="16" t="n">
        <x:f>IF(AND('Queries'!E368&lt;='Rules'!$B$15,'Queries'!C368&gt;='Rules'!$B$14,'Queries'!D368&lt;'Rules'!$B$16),1,0)</x:f>
        <x:v>1</x:v>
      </x:c>
      <x:c r="G368" s="16" t="n">
        <x:v>1</x:v>
      </x:c>
      <x:c r="H368" s="16" t="n">
        <x:v>1</x:v>
      </x:c>
      <x:c r="I368" s="16" t="n">
        <x:f>ROUND((B368*'Rules'!$B$6+C368/'Rules'!$B$12*'Rules'!$B$7+D368*'Rules'!$B$8+E368*'Rules'!$B$9+F368*'Rules'!$B$10+G368*'Rules'!$B$11)*H368,1)</x:f>
        <x:v>95.3</x:v>
      </x:c>
      <x:c r="J368" s="18" t="n">
        <x:f>'Queries'!C368*'Queries'!E368</x:f>
        <x:v>379.86</x:v>
      </x:c>
    </x:row>
    <x:row r="369" ht="32" customHeight="1">
      <x:c r="A369" s="6" t="str">
        <x:v>exhaust shop near me</x:v>
      </x:c>
      <x:c r="B369" s="16" t="n">
        <x:v>1</x:v>
      </x:c>
      <x:c r="C369" s="16" t="n">
        <x:v>3</x:v>
      </x:c>
      <x:c r="D369" s="16" t="n">
        <x:f>IF('Queries'!E369&lt;='Rules'!$B$17,'Rules'!$B$21,IF('Queries'!E369&lt;='Rules'!$B$18,'Rules'!$B$22,IF('Queries'!E369&lt;='Rules'!$B$19,'Rules'!$B$23,IF('Queries'!E369&lt;='Rules'!$B$20,'Rules'!$B$24,'Rules'!$B$25))))</x:f>
        <x:v>1</x:v>
      </x:c>
      <x:c r="E369" s="16" t="n">
        <x:f>MIN(LOG10(1+'Queries'!C369)/'Rules'!$B$13,1)</x:f>
        <x:v>0.53401999710932</x:v>
      </x:c>
      <x:c r="F369" s="16" t="n">
        <x:f>IF(AND('Queries'!E369&lt;='Rules'!$B$15,'Queries'!C369&gt;='Rules'!$B$14,'Queries'!D369&lt;'Rules'!$B$16),1,0)</x:f>
        <x:v>0</x:v>
      </x:c>
      <x:c r="G369" s="16" t="n">
        <x:v>1</x:v>
      </x:c>
      <x:c r="H369" s="16" t="n">
        <x:v>1</x:v>
      </x:c>
      <x:c r="I369" s="16" t="n">
        <x:f>ROUND((B369*'Rules'!$B$6+C369/'Rules'!$B$12*'Rules'!$B$7+D369*'Rules'!$B$8+E369*'Rules'!$B$9+F369*'Rules'!$B$10+G369*'Rules'!$B$11)*H369,1)</x:f>
        <x:v>77.3</x:v>
      </x:c>
      <x:c r="J369" s="18" t="n">
        <x:f>'Queries'!C369*'Queries'!E369</x:f>
        <x:v>409.89</x:v>
      </x:c>
    </x:row>
    <x:row r="370" ht="32" customHeight="1">
      <x:c r="A370" s="6" t="str">
        <x:v>porsche battery replacement dubai</x:v>
      </x:c>
      <x:c r="B370" s="16" t="n">
        <x:v>1</x:v>
      </x:c>
      <x:c r="C370" s="16" t="n">
        <x:v>5</x:v>
      </x:c>
      <x:c r="D370" s="16" t="n">
        <x:f>IF('Queries'!E370&lt;='Rules'!$B$17,'Rules'!$B$21,IF('Queries'!E370&lt;='Rules'!$B$18,'Rules'!$B$22,IF('Queries'!E370&lt;='Rules'!$B$19,'Rules'!$B$23,IF('Queries'!E370&lt;='Rules'!$B$20,'Rules'!$B$24,'Rules'!$B$25))))</x:f>
        <x:v>0.7</x:v>
      </x:c>
      <x:c r="E370" s="16" t="n">
        <x:f>MIN(LOG10(1+'Queries'!C370)/'Rules'!$B$13,1)</x:f>
        <x:v>0.53401999710932</x:v>
      </x:c>
      <x:c r="F370" s="16" t="n">
        <x:f>IF(AND('Queries'!E370&lt;='Rules'!$B$15,'Queries'!C370&gt;='Rules'!$B$14,'Queries'!D370&lt;'Rules'!$B$16),1,0)</x:f>
        <x:v>0</x:v>
      </x:c>
      <x:c r="G370" s="16" t="n">
        <x:v>1</x:v>
      </x:c>
      <x:c r="H370" s="16" t="n">
        <x:v>1</x:v>
      </x:c>
      <x:c r="I370" s="16" t="n">
        <x:f>ROUND((B370*'Rules'!$B$6+C370/'Rules'!$B$12*'Rules'!$B$7+D370*'Rules'!$B$8+E370*'Rules'!$B$9+F370*'Rules'!$B$10+G370*'Rules'!$B$11)*H370,1)</x:f>
        <x:v>77.8</x:v>
      </x:c>
      <x:c r="J370" s="18" t="n">
        <x:f>'Queries'!C370*'Queries'!E370</x:f>
        <x:v>817.8299999999999</x:v>
      </x:c>
    </x:row>
    <x:row r="371" ht="32" customHeight="1">
      <x:c r="A371" s="6" t="str">
        <x:v>bmw servicing</x:v>
      </x:c>
      <x:c r="B371" s="16" t="n">
        <x:v>0.8</x:v>
      </x:c>
      <x:c r="C371" s="16" t="n">
        <x:v>5</x:v>
      </x:c>
      <x:c r="D371" s="16" t="n">
        <x:f>IF('Queries'!E371&lt;='Rules'!$B$17,'Rules'!$B$21,IF('Queries'!E371&lt;='Rules'!$B$18,'Rules'!$B$22,IF('Queries'!E371&lt;='Rules'!$B$19,'Rules'!$B$23,IF('Queries'!E371&lt;='Rules'!$B$20,'Rules'!$B$24,'Rules'!$B$25))))</x:f>
        <x:v>0.7</x:v>
      </x:c>
      <x:c r="E371" s="16" t="n">
        <x:f>MIN(LOG10(1+'Queries'!C371)/'Rules'!$B$13,1)</x:f>
        <x:v>0.53401999710932</x:v>
      </x:c>
      <x:c r="F371" s="16" t="n">
        <x:f>IF(AND('Queries'!E371&lt;='Rules'!$B$15,'Queries'!C371&gt;='Rules'!$B$14,'Queries'!D371&lt;'Rules'!$B$16),1,0)</x:f>
        <x:v>0</x:v>
      </x:c>
      <x:c r="G371" s="16" t="n">
        <x:v>1</x:v>
      </x:c>
      <x:c r="H371" s="16" t="n">
        <x:v>1</x:v>
      </x:c>
      <x:c r="I371" s="16" t="n">
        <x:f>ROUND((B371*'Rules'!$B$6+C371/'Rules'!$B$12*'Rules'!$B$7+D371*'Rules'!$B$8+E371*'Rules'!$B$9+F371*'Rules'!$B$10+G371*'Rules'!$B$11)*H371,1)</x:f>
        <x:v>72.8</x:v>
      </x:c>
      <x:c r="J371" s="18" t="n">
        <x:f>'Queries'!C371*'Queries'!E371</x:f>
        <x:v>1086.15</x:v>
      </x:c>
    </x:row>
    <x:row r="372" ht="32" customHeight="1">
      <x:c r="A372" s="6" t="str">
        <x:v>hummer repair dubai</x:v>
      </x:c>
      <x:c r="B372" s="16" t="n">
        <x:v>1</x:v>
      </x:c>
      <x:c r="C372" s="16" t="n">
        <x:v>3</x:v>
      </x:c>
      <x:c r="D372" s="16" t="n">
        <x:f>IF('Queries'!E372&lt;='Rules'!$B$17,'Rules'!$B$21,IF('Queries'!E372&lt;='Rules'!$B$18,'Rules'!$B$22,IF('Queries'!E372&lt;='Rules'!$B$19,'Rules'!$B$23,IF('Queries'!E372&lt;='Rules'!$B$20,'Rules'!$B$24,'Rules'!$B$25))))</x:f>
        <x:v>0.7</x:v>
      </x:c>
      <x:c r="E372" s="16" t="n">
        <x:f>MIN(LOG10(1+'Queries'!C372)/'Rules'!$B$13,1)</x:f>
        <x:v>0.53401999710932</x:v>
      </x:c>
      <x:c r="F372" s="16" t="n">
        <x:f>IF(AND('Queries'!E372&lt;='Rules'!$B$15,'Queries'!C372&gt;='Rules'!$B$14,'Queries'!D372&lt;'Rules'!$B$16),1,0)</x:f>
        <x:v>0</x:v>
      </x:c>
      <x:c r="G372" s="16" t="n">
        <x:v>1</x:v>
      </x:c>
      <x:c r="H372" s="16" t="n">
        <x:v>1</x:v>
      </x:c>
      <x:c r="I372" s="16" t="n">
        <x:f>ROUND((B372*'Rules'!$B$6+C372/'Rules'!$B$12*'Rules'!$B$7+D372*'Rules'!$B$8+E372*'Rules'!$B$9+F372*'Rules'!$B$10+G372*'Rules'!$B$11)*H372,1)</x:f>
        <x:v>69.8</x:v>
      </x:c>
      <x:c r="J372" s="18" t="n">
        <x:f>'Queries'!C372*'Queries'!E372</x:f>
        <x:v>1150.11</x:v>
      </x:c>
    </x:row>
    <x:row r="373" ht="32" customHeight="1">
      <x:c r="A373" s="6" t="str">
        <x:v>gear box repair services in dubai</x:v>
      </x:c>
      <x:c r="B373" s="16" t="n">
        <x:v>1</x:v>
      </x:c>
      <x:c r="C373" s="16" t="n">
        <x:v>3</x:v>
      </x:c>
      <x:c r="D373" s="16" t="n">
        <x:f>IF('Queries'!E373&lt;='Rules'!$B$17,'Rules'!$B$21,IF('Queries'!E373&lt;='Rules'!$B$18,'Rules'!$B$22,IF('Queries'!E373&lt;='Rules'!$B$19,'Rules'!$B$23,IF('Queries'!E373&lt;='Rules'!$B$20,'Rules'!$B$24,'Rules'!$B$25))))</x:f>
        <x:v>0.4</x:v>
      </x:c>
      <x:c r="E373" s="16" t="n">
        <x:f>MIN(LOG10(1+'Queries'!C373)/'Rules'!$B$13,1)</x:f>
        <x:v>0.53401999710932</x:v>
      </x:c>
      <x:c r="F373" s="16" t="n">
        <x:f>IF(AND('Queries'!E373&lt;='Rules'!$B$15,'Queries'!C373&gt;='Rules'!$B$14,'Queries'!D373&lt;'Rules'!$B$16),1,0)</x:f>
        <x:v>0</x:v>
      </x:c>
      <x:c r="G373" s="16" t="n">
        <x:v>1</x:v>
      </x:c>
      <x:c r="H373" s="16" t="n">
        <x:v>1</x:v>
      </x:c>
      <x:c r="I373" s="16" t="n">
        <x:f>ROUND((B373*'Rules'!$B$6+C373/'Rules'!$B$12*'Rules'!$B$7+D373*'Rules'!$B$8+E373*'Rules'!$B$9+F373*'Rules'!$B$10+G373*'Rules'!$B$11)*H373,1)</x:f>
        <x:v>62.3</x:v>
      </x:c>
      <x:c r="J373" s="18" t="n">
        <x:f>'Queries'!C373*'Queries'!E373</x:f>
        <x:v>1283.88</x:v>
      </x:c>
    </x:row>
    <x:row r="374" ht="32" customHeight="1">
      <x:c r="A374" s="6" t="str">
        <x:v>car engine oil change dubai</x:v>
      </x:c>
      <x:c r="B374" s="16" t="n">
        <x:v>1</x:v>
      </x:c>
      <x:c r="C374" s="16" t="n">
        <x:v>3</x:v>
      </x:c>
      <x:c r="D374" s="16" t="n">
        <x:f>IF('Queries'!E374&lt;='Rules'!$B$17,'Rules'!$B$21,IF('Queries'!E374&lt;='Rules'!$B$18,'Rules'!$B$22,IF('Queries'!E374&lt;='Rules'!$B$19,'Rules'!$B$23,IF('Queries'!E374&lt;='Rules'!$B$20,'Rules'!$B$24,'Rules'!$B$25))))</x:f>
        <x:v>0.4</x:v>
      </x:c>
      <x:c r="E374" s="16" t="n">
        <x:f>MIN(LOG10(1+'Queries'!C374)/'Rules'!$B$13,1)</x:f>
        <x:v>0.53401999710932</x:v>
      </x:c>
      <x:c r="F374" s="16" t="n">
        <x:f>IF(AND('Queries'!E374&lt;='Rules'!$B$15,'Queries'!C374&gt;='Rules'!$B$14,'Queries'!D374&lt;'Rules'!$B$16),1,0)</x:f>
        <x:v>0</x:v>
      </x:c>
      <x:c r="G374" s="16" t="n">
        <x:v>1</x:v>
      </x:c>
      <x:c r="H374" s="16" t="n">
        <x:v>1</x:v>
      </x:c>
      <x:c r="I374" s="16" t="n">
        <x:f>ROUND((B374*'Rules'!$B$6+C374/'Rules'!$B$12*'Rules'!$B$7+D374*'Rules'!$B$8+E374*'Rules'!$B$9+F374*'Rules'!$B$10+G374*'Rules'!$B$11)*H374,1)</x:f>
        <x:v>62.3</x:v>
      </x:c>
      <x:c r="J374" s="18" t="n">
        <x:f>'Queries'!C374*'Queries'!E374</x:f>
        <x:v>1483.17</x:v>
      </x:c>
    </x:row>
    <x:row r="375" ht="32" customHeight="1">
      <x:c r="A375" s="6" t="str">
        <x:v>volkswagen brake repair</x:v>
      </x:c>
      <x:c r="B375" s="16" t="n">
        <x:v>0.8</x:v>
      </x:c>
      <x:c r="C375" s="16" t="n">
        <x:v>3</x:v>
      </x:c>
      <x:c r="D375" s="16" t="n">
        <x:f>IF('Queries'!E375&lt;='Rules'!$B$17,'Rules'!$B$21,IF('Queries'!E375&lt;='Rules'!$B$18,'Rules'!$B$22,IF('Queries'!E375&lt;='Rules'!$B$19,'Rules'!$B$23,IF('Queries'!E375&lt;='Rules'!$B$20,'Rules'!$B$24,'Rules'!$B$25))))</x:f>
        <x:v>0.15</x:v>
      </x:c>
      <x:c r="E375" s="16" t="n">
        <x:f>MIN(LOG10(1+'Queries'!C375)/'Rules'!$B$13,1)</x:f>
        <x:v>0.53401999710932</x:v>
      </x:c>
      <x:c r="F375" s="16" t="n">
        <x:f>IF(AND('Queries'!E375&lt;='Rules'!$B$15,'Queries'!C375&gt;='Rules'!$B$14,'Queries'!D375&lt;'Rules'!$B$16),1,0)</x:f>
        <x:v>0</x:v>
      </x:c>
      <x:c r="G375" s="16" t="n">
        <x:v>1</x:v>
      </x:c>
      <x:c r="H375" s="16" t="n">
        <x:v>1</x:v>
      </x:c>
      <x:c r="I375" s="16" t="n">
        <x:f>ROUND((B375*'Rules'!$B$6+C375/'Rules'!$B$12*'Rules'!$B$7+D375*'Rules'!$B$8+E375*'Rules'!$B$9+F375*'Rules'!$B$10+G375*'Rules'!$B$11)*H375,1)</x:f>
        <x:v>51.1</x:v>
      </x:c>
      <x:c r="J375" s="18" t="n">
        <x:f>'Queries'!C375*'Queries'!E375</x:f>
        <x:v>1659.06</x:v>
      </x:c>
    </x:row>
    <x:row r="376" ht="32" customHeight="1">
      <x:c r="A376" s="6" t="str">
        <x:v>car brake repair in dubai</x:v>
      </x:c>
      <x:c r="B376" s="16" t="n">
        <x:v>1</x:v>
      </x:c>
      <x:c r="C376" s="16" t="n">
        <x:v>3</x:v>
      </x:c>
      <x:c r="D376" s="16" t="n">
        <x:f>IF('Queries'!E376&lt;='Rules'!$B$17,'Rules'!$B$21,IF('Queries'!E376&lt;='Rules'!$B$18,'Rules'!$B$22,IF('Queries'!E376&lt;='Rules'!$B$19,'Rules'!$B$23,IF('Queries'!E376&lt;='Rules'!$B$20,'Rules'!$B$24,'Rules'!$B$25))))</x:f>
        <x:v>0.15</x:v>
      </x:c>
      <x:c r="E376" s="16" t="n">
        <x:f>MIN(LOG10(1+'Queries'!C376)/'Rules'!$B$13,1)</x:f>
        <x:v>0.53401999710932</x:v>
      </x:c>
      <x:c r="F376" s="16" t="n">
        <x:f>IF(AND('Queries'!E376&lt;='Rules'!$B$15,'Queries'!C376&gt;='Rules'!$B$14,'Queries'!D376&lt;'Rules'!$B$16),1,0)</x:f>
        <x:v>0</x:v>
      </x:c>
      <x:c r="G376" s="16" t="n">
        <x:v>1</x:v>
      </x:c>
      <x:c r="H376" s="16" t="n">
        <x:v>1</x:v>
      </x:c>
      <x:c r="I376" s="16" t="n">
        <x:f>ROUND((B376*'Rules'!$B$6+C376/'Rules'!$B$12*'Rules'!$B$7+D376*'Rules'!$B$8+E376*'Rules'!$B$9+F376*'Rules'!$B$10+G376*'Rules'!$B$11)*H376,1)</x:f>
        <x:v>56.1</x:v>
      </x:c>
      <x:c r="J376" s="18" t="n">
        <x:f>'Queries'!C376*'Queries'!E376</x:f>
        <x:v>1712.1</x:v>
      </x:c>
    </x:row>
    <x:row r="377" ht="32" customHeight="1">
      <x:c r="A377" s="6" t="str">
        <x:v>luxury car garage dubai</x:v>
      </x:c>
      <x:c r="B377" s="16" t="n">
        <x:v>1</x:v>
      </x:c>
      <x:c r="C377" s="16" t="n">
        <x:v>3</x:v>
      </x:c>
      <x:c r="D377" s="16" t="n">
        <x:f>IF('Queries'!E377&lt;='Rules'!$B$17,'Rules'!$B$21,IF('Queries'!E377&lt;='Rules'!$B$18,'Rules'!$B$22,IF('Queries'!E377&lt;='Rules'!$B$19,'Rules'!$B$23,IF('Queries'!E377&lt;='Rules'!$B$20,'Rules'!$B$24,'Rules'!$B$25))))</x:f>
        <x:v>0.15</x:v>
      </x:c>
      <x:c r="E377" s="16" t="n">
        <x:f>MIN(LOG10(1+'Queries'!C377)/'Rules'!$B$13,1)</x:f>
        <x:v>0.53401999710932</x:v>
      </x:c>
      <x:c r="F377" s="16" t="n">
        <x:f>IF(AND('Queries'!E377&lt;='Rules'!$B$15,'Queries'!C377&gt;='Rules'!$B$14,'Queries'!D377&lt;'Rules'!$B$16),1,0)</x:f>
        <x:v>0</x:v>
      </x:c>
      <x:c r="G377" s="16" t="n">
        <x:v>1</x:v>
      </x:c>
      <x:c r="H377" s="16" t="n">
        <x:v>1</x:v>
      </x:c>
      <x:c r="I377" s="16" t="n">
        <x:f>ROUND((B377*'Rules'!$B$6+C377/'Rules'!$B$12*'Rules'!$B$7+D377*'Rules'!$B$8+E377*'Rules'!$B$9+F377*'Rules'!$B$10+G377*'Rules'!$B$11)*H377,1)</x:f>
        <x:v>56.1</x:v>
      </x:c>
      <x:c r="J377" s="18" t="n">
        <x:f>'Queries'!C377*'Queries'!E377</x:f>
        <x:v>1792.83</x:v>
      </x:c>
    </x:row>
    <x:row r="378" ht="32" customHeight="1">
      <x:c r="A378" s="6" t="str">
        <x:v>digi tech</x:v>
      </x:c>
      <x:c r="B378" s="16" t="n">
        <x:v>0.6</x:v>
      </x:c>
      <x:c r="C378" s="16" t="n">
        <x:v>3</x:v>
      </x:c>
      <x:c r="D378" s="16" t="n">
        <x:f>IF('Queries'!E378&lt;='Rules'!$B$17,'Rules'!$B$21,IF('Queries'!E378&lt;='Rules'!$B$18,'Rules'!$B$22,IF('Queries'!E378&lt;='Rules'!$B$19,'Rules'!$B$23,IF('Queries'!E378&lt;='Rules'!$B$20,'Rules'!$B$24,'Rules'!$B$25))))</x:f>
        <x:v>1</x:v>
      </x:c>
      <x:c r="E378" s="16" t="n">
        <x:f>MIN(LOG10(1+'Queries'!C378)/'Rules'!$B$13,1)</x:f>
        <x:v>0.5303548690088333</x:v>
      </x:c>
      <x:c r="F378" s="16" t="n">
        <x:f>IF(AND('Queries'!E378&lt;='Rules'!$B$15,'Queries'!C378&gt;='Rules'!$B$14,'Queries'!D378&lt;'Rules'!$B$16),1,0)</x:f>
        <x:v>1</x:v>
      </x:c>
      <x:c r="G378" s="16" t="n">
        <x:v>1</x:v>
      </x:c>
      <x:c r="H378" s="16" t="n">
        <x:v>0.65</x:v>
      </x:c>
      <x:c r="I378" s="16" t="n">
        <x:f>ROUND((B378*'Rules'!$B$6+C378/'Rules'!$B$12*'Rules'!$B$7+D378*'Rules'!$B$8+E378*'Rules'!$B$9+F378*'Rules'!$B$10+G378*'Rules'!$B$11)*H378,1)</x:f>
        <x:v>50.2</x:v>
      </x:c>
      <x:c r="J378" s="18" t="n">
        <x:f>'Queries'!C378*'Queries'!E378</x:f>
        <x:v>193.04</x:v>
      </x:c>
    </x:row>
    <x:row r="379" ht="32" customHeight="1">
      <x:c r="A379" s="6" t="str">
        <x:v>car battery change near me</x:v>
      </x:c>
      <x:c r="B379" s="16" t="n">
        <x:v>1</x:v>
      </x:c>
      <x:c r="C379" s="16" t="n">
        <x:v>3</x:v>
      </x:c>
      <x:c r="D379" s="16" t="n">
        <x:f>IF('Queries'!E379&lt;='Rules'!$B$17,'Rules'!$B$21,IF('Queries'!E379&lt;='Rules'!$B$18,'Rules'!$B$22,IF('Queries'!E379&lt;='Rules'!$B$19,'Rules'!$B$23,IF('Queries'!E379&lt;='Rules'!$B$20,'Rules'!$B$24,'Rules'!$B$25))))</x:f>
        <x:v>1</x:v>
      </x:c>
      <x:c r="E379" s="16" t="n">
        <x:f>MIN(LOG10(1+'Queries'!C379)/'Rules'!$B$13,1)</x:f>
        <x:v>0.5303548690088333</x:v>
      </x:c>
      <x:c r="F379" s="16" t="n">
        <x:f>IF(AND('Queries'!E379&lt;='Rules'!$B$15,'Queries'!C379&gt;='Rules'!$B$14,'Queries'!D379&lt;'Rules'!$B$16),1,0)</x:f>
        <x:v>0</x:v>
      </x:c>
      <x:c r="G379" s="16" t="n">
        <x:v>1</x:v>
      </x:c>
      <x:c r="H379" s="16" t="n">
        <x:v>1</x:v>
      </x:c>
      <x:c r="I379" s="16" t="n">
        <x:f>ROUND((B379*'Rules'!$B$6+C379/'Rules'!$B$12*'Rules'!$B$7+D379*'Rules'!$B$8+E379*'Rules'!$B$9+F379*'Rules'!$B$10+G379*'Rules'!$B$11)*H379,1)</x:f>
        <x:v>77.3</x:v>
      </x:c>
      <x:c r="J379" s="18" t="n">
        <x:f>'Queries'!C379*'Queries'!E379</x:f>
        <x:v>495.14</x:v>
      </x:c>
    </x:row>
    <x:row r="380" ht="32" customHeight="1">
      <x:c r="A380" s="6" t="str">
        <x:v>porsche electrical repair dubai</x:v>
      </x:c>
      <x:c r="B380" s="16" t="n">
        <x:v>1</x:v>
      </x:c>
      <x:c r="C380" s="16" t="n">
        <x:v>5</x:v>
      </x:c>
      <x:c r="D380" s="16" t="n">
        <x:f>IF('Queries'!E380&lt;='Rules'!$B$17,'Rules'!$B$21,IF('Queries'!E380&lt;='Rules'!$B$18,'Rules'!$B$22,IF('Queries'!E380&lt;='Rules'!$B$19,'Rules'!$B$23,IF('Queries'!E380&lt;='Rules'!$B$20,'Rules'!$B$24,'Rules'!$B$25))))</x:f>
        <x:v>0.7</x:v>
      </x:c>
      <x:c r="E380" s="16" t="n">
        <x:f>MIN(LOG10(1+'Queries'!C380)/'Rules'!$B$13,1)</x:f>
        <x:v>0.5303548690088333</x:v>
      </x:c>
      <x:c r="F380" s="16" t="n">
        <x:f>IF(AND('Queries'!E380&lt;='Rules'!$B$15,'Queries'!C380&gt;='Rules'!$B$14,'Queries'!D380&lt;'Rules'!$B$16),1,0)</x:f>
        <x:v>0</x:v>
      </x:c>
      <x:c r="G380" s="16" t="n">
        <x:v>1</x:v>
      </x:c>
      <x:c r="H380" s="16" t="n">
        <x:v>1</x:v>
      </x:c>
      <x:c r="I380" s="16" t="n">
        <x:f>ROUND((B380*'Rules'!$B$6+C380/'Rules'!$B$12*'Rules'!$B$7+D380*'Rules'!$B$8+E380*'Rules'!$B$9+F380*'Rules'!$B$10+G380*'Rules'!$B$11)*H380,1)</x:f>
        <x:v>77.8</x:v>
      </x:c>
      <x:c r="J380" s="18" t="n">
        <x:f>'Queries'!C380*'Queries'!E380</x:f>
        <x:v>788.8800000000001</x:v>
      </x:c>
    </x:row>
    <x:row r="381" ht="32" customHeight="1">
      <x:c r="A381" s="6" t="str">
        <x:v>volkswagen repair dubai</x:v>
      </x:c>
      <x:c r="B381" s="16" t="n">
        <x:v>1</x:v>
      </x:c>
      <x:c r="C381" s="16" t="n">
        <x:v>3</x:v>
      </x:c>
      <x:c r="D381" s="16" t="n">
        <x:f>IF('Queries'!E381&lt;='Rules'!$B$17,'Rules'!$B$21,IF('Queries'!E381&lt;='Rules'!$B$18,'Rules'!$B$22,IF('Queries'!E381&lt;='Rules'!$B$19,'Rules'!$B$23,IF('Queries'!E381&lt;='Rules'!$B$20,'Rules'!$B$24,'Rules'!$B$25))))</x:f>
        <x:v>0.4</x:v>
      </x:c>
      <x:c r="E381" s="16" t="n">
        <x:f>MIN(LOG10(1+'Queries'!C381)/'Rules'!$B$13,1)</x:f>
        <x:v>0.5303548690088333</x:v>
      </x:c>
      <x:c r="F381" s="16" t="n">
        <x:f>IF(AND('Queries'!E381&lt;='Rules'!$B$15,'Queries'!C381&gt;='Rules'!$B$14,'Queries'!D381&lt;'Rules'!$B$16),1,0)</x:f>
        <x:v>0</x:v>
      </x:c>
      <x:c r="G381" s="16" t="n">
        <x:v>1</x:v>
      </x:c>
      <x:c r="H381" s="16" t="n">
        <x:v>1</x:v>
      </x:c>
      <x:c r="I381" s="16" t="n">
        <x:f>ROUND((B381*'Rules'!$B$6+C381/'Rules'!$B$12*'Rules'!$B$7+D381*'Rules'!$B$8+E381*'Rules'!$B$9+F381*'Rules'!$B$10+G381*'Rules'!$B$11)*H381,1)</x:f>
        <x:v>62.3</x:v>
      </x:c>
      <x:c r="J381" s="18" t="n">
        <x:f>'Queries'!C381*'Queries'!E381</x:f>
        <x:v>1361.16</x:v>
      </x:c>
    </x:row>
    <x:row r="382" ht="32" customHeight="1">
      <x:c r="A382" s="6" t="str">
        <x:v>change battery dubai</x:v>
      </x:c>
      <x:c r="B382" s="16" t="n">
        <x:v>1</x:v>
      </x:c>
      <x:c r="C382" s="16" t="n">
        <x:v>3</x:v>
      </x:c>
      <x:c r="D382" s="16" t="n">
        <x:f>IF('Queries'!E382&lt;='Rules'!$B$17,'Rules'!$B$21,IF('Queries'!E382&lt;='Rules'!$B$18,'Rules'!$B$22,IF('Queries'!E382&lt;='Rules'!$B$19,'Rules'!$B$23,IF('Queries'!E382&lt;='Rules'!$B$20,'Rules'!$B$24,'Rules'!$B$25))))</x:f>
        <x:v>0.4</x:v>
      </x:c>
      <x:c r="E382" s="16" t="n">
        <x:f>MIN(LOG10(1+'Queries'!C382)/'Rules'!$B$13,1)</x:f>
        <x:v>0.5303548690088333</x:v>
      </x:c>
      <x:c r="F382" s="16" t="n">
        <x:f>IF(AND('Queries'!E382&lt;='Rules'!$B$15,'Queries'!C382&gt;='Rules'!$B$14,'Queries'!D382&lt;'Rules'!$B$16),1,0)</x:f>
        <x:v>0</x:v>
      </x:c>
      <x:c r="G382" s="16" t="n">
        <x:v>1</x:v>
      </x:c>
      <x:c r="H382" s="16" t="n">
        <x:v>1</x:v>
      </x:c>
      <x:c r="I382" s="16" t="n">
        <x:f>ROUND((B382*'Rules'!$B$6+C382/'Rules'!$B$12*'Rules'!$B$7+D382*'Rules'!$B$8+E382*'Rules'!$B$9+F382*'Rules'!$B$10+G382*'Rules'!$B$11)*H382,1)</x:f>
        <x:v>62.3</x:v>
      </x:c>
      <x:c r="J382" s="18" t="n">
        <x:f>'Queries'!C382*'Queries'!E382</x:f>
        <x:v>1450.84</x:v>
      </x:c>
    </x:row>
    <x:row r="383" ht="32" customHeight="1">
      <x:c r="A383" s="6" t="str">
        <x:v>mercedes benz transmission repair</x:v>
      </x:c>
      <x:c r="B383" s="16" t="n">
        <x:v>0.8</x:v>
      </x:c>
      <x:c r="C383" s="16" t="n">
        <x:v>5</x:v>
      </x:c>
      <x:c r="D383" s="16" t="n">
        <x:f>IF('Queries'!E383&lt;='Rules'!$B$17,'Rules'!$B$21,IF('Queries'!E383&lt;='Rules'!$B$18,'Rules'!$B$22,IF('Queries'!E383&lt;='Rules'!$B$19,'Rules'!$B$23,IF('Queries'!E383&lt;='Rules'!$B$20,'Rules'!$B$24,'Rules'!$B$25))))</x:f>
        <x:v>0.4</x:v>
      </x:c>
      <x:c r="E383" s="16" t="n">
        <x:f>MIN(LOG10(1+'Queries'!C383)/'Rules'!$B$13,1)</x:f>
        <x:v>0.5303548690088333</x:v>
      </x:c>
      <x:c r="F383" s="16" t="n">
        <x:f>IF(AND('Queries'!E383&lt;='Rules'!$B$15,'Queries'!C383&gt;='Rules'!$B$14,'Queries'!D383&lt;'Rules'!$B$16),1,0)</x:f>
        <x:v>0</x:v>
      </x:c>
      <x:c r="G383" s="16" t="n">
        <x:v>1</x:v>
      </x:c>
      <x:c r="H383" s="16" t="n">
        <x:v>1</x:v>
      </x:c>
      <x:c r="I383" s="16" t="n">
        <x:f>ROUND((B383*'Rules'!$B$6+C383/'Rules'!$B$12*'Rules'!$B$7+D383*'Rules'!$B$8+E383*'Rules'!$B$9+F383*'Rules'!$B$10+G383*'Rules'!$B$11)*H383,1)</x:f>
        <x:v>65.3</x:v>
      </x:c>
      <x:c r="J383" s="18" t="n">
        <x:f>'Queries'!C383*'Queries'!E383</x:f>
        <x:v>1501</x:v>
      </x:c>
    </x:row>
    <x:row r="384" ht="32" customHeight="1">
      <x:c r="A384" s="6" t="str">
        <x:v>best bmw shop abu dhabi</x:v>
      </x:c>
      <x:c r="B384" s="16" t="n">
        <x:v>1</x:v>
      </x:c>
      <x:c r="C384" s="16" t="n">
        <x:v>1</x:v>
      </x:c>
      <x:c r="D384" s="16" t="n">
        <x:f>IF('Queries'!E384&lt;='Rules'!$B$17,'Rules'!$B$21,IF('Queries'!E384&lt;='Rules'!$B$18,'Rules'!$B$22,IF('Queries'!E384&lt;='Rules'!$B$19,'Rules'!$B$23,IF('Queries'!E384&lt;='Rules'!$B$20,'Rules'!$B$24,'Rules'!$B$25))))</x:f>
        <x:v>0.15</x:v>
      </x:c>
      <x:c r="E384" s="16" t="n">
        <x:f>MIN(LOG10(1+'Queries'!C384)/'Rules'!$B$13,1)</x:f>
        <x:v>0.5303548690088333</x:v>
      </x:c>
      <x:c r="F384" s="16" t="n">
        <x:f>IF(AND('Queries'!E384&lt;='Rules'!$B$15,'Queries'!C384&gt;='Rules'!$B$14,'Queries'!D384&lt;'Rules'!$B$16),1,0)</x:f>
        <x:v>0</x:v>
      </x:c>
      <x:c r="G384" s="16" t="n">
        <x:v>1</x:v>
      </x:c>
      <x:c r="H384" s="16" t="n">
        <x:v>0.2</x:v>
      </x:c>
      <x:c r="I384" s="16" t="n">
        <x:f>ROUND((B384*'Rules'!$B$6+C384/'Rules'!$B$12*'Rules'!$B$7+D384*'Rules'!$B$8+E384*'Rules'!$B$9+F384*'Rules'!$B$10+G384*'Rules'!$B$11)*H384,1)</x:f>
        <x:v>9.6</x:v>
      </x:c>
      <x:c r="J384" s="18" t="n">
        <x:f>'Queries'!C384*'Queries'!E384</x:f>
        <x:v>1686.06</x:v>
      </x:c>
    </x:row>
    <x:row r="385" ht="32" customHeight="1">
      <x:c r="A385" s="6" t="str">
        <x:v>range rover repair specialist in dubai</x:v>
      </x:c>
      <x:c r="B385" s="16" t="n">
        <x:v>1</x:v>
      </x:c>
      <x:c r="C385" s="16" t="n">
        <x:v>5</x:v>
      </x:c>
      <x:c r="D385" s="16" t="n">
        <x:f>IF('Queries'!E385&lt;='Rules'!$B$17,'Rules'!$B$21,IF('Queries'!E385&lt;='Rules'!$B$18,'Rules'!$B$22,IF('Queries'!E385&lt;='Rules'!$B$19,'Rules'!$B$23,IF('Queries'!E385&lt;='Rules'!$B$20,'Rules'!$B$24,'Rules'!$B$25))))</x:f>
        <x:v>0.15</x:v>
      </x:c>
      <x:c r="E385" s="16" t="n">
        <x:f>MIN(LOG10(1+'Queries'!C385)/'Rules'!$B$13,1)</x:f>
        <x:v>0.5303548690088333</x:v>
      </x:c>
      <x:c r="F385" s="16" t="n">
        <x:f>IF(AND('Queries'!E385&lt;='Rules'!$B$15,'Queries'!C385&gt;='Rules'!$B$14,'Queries'!D385&lt;'Rules'!$B$16),1,0)</x:f>
        <x:v>0</x:v>
      </x:c>
      <x:c r="G385" s="16" t="n">
        <x:v>1</x:v>
      </x:c>
      <x:c r="H385" s="16" t="n">
        <x:v>1</x:v>
      </x:c>
      <x:c r="I385" s="16" t="n">
        <x:f>ROUND((B385*'Rules'!$B$6+C385/'Rules'!$B$12*'Rules'!$B$7+D385*'Rules'!$B$8+E385*'Rules'!$B$9+F385*'Rules'!$B$10+G385*'Rules'!$B$11)*H385,1)</x:f>
        <x:v>64.1</x:v>
      </x:c>
      <x:c r="J385" s="18" t="n">
        <x:f>'Queries'!C385*'Queries'!E385</x:f>
        <x:v>1798.16</x:v>
      </x:c>
    </x:row>
    <x:row r="386" ht="32" customHeight="1">
      <x:c r="A386" s="6" t="str">
        <x:v>best porsche workshop abu dhabi</x:v>
      </x:c>
      <x:c r="B386" s="16" t="n">
        <x:v>1</x:v>
      </x:c>
      <x:c r="C386" s="16" t="n">
        <x:v>1</x:v>
      </x:c>
      <x:c r="D386" s="16" t="n">
        <x:f>IF('Queries'!E386&lt;='Rules'!$B$17,'Rules'!$B$21,IF('Queries'!E386&lt;='Rules'!$B$18,'Rules'!$B$22,IF('Queries'!E386&lt;='Rules'!$B$19,'Rules'!$B$23,IF('Queries'!E386&lt;='Rules'!$B$20,'Rules'!$B$24,'Rules'!$B$25))))</x:f>
        <x:v>0.15</x:v>
      </x:c>
      <x:c r="E386" s="16" t="n">
        <x:f>MIN(LOG10(1+'Queries'!C386)/'Rules'!$B$13,1)</x:f>
        <x:v>0.5303548690088333</x:v>
      </x:c>
      <x:c r="F386" s="16" t="n">
        <x:f>IF(AND('Queries'!E386&lt;='Rules'!$B$15,'Queries'!C386&gt;='Rules'!$B$14,'Queries'!D386&lt;'Rules'!$B$16),1,0)</x:f>
        <x:v>0</x:v>
      </x:c>
      <x:c r="G386" s="16" t="n">
        <x:v>1</x:v>
      </x:c>
      <x:c r="H386" s="16" t="n">
        <x:v>0.2</x:v>
      </x:c>
      <x:c r="I386" s="16" t="n">
        <x:f>ROUND((B386*'Rules'!$B$6+C386/'Rules'!$B$12*'Rules'!$B$7+D386*'Rules'!$B$8+E386*'Rules'!$B$9+F386*'Rules'!$B$10+G386*'Rules'!$B$11)*H386,1)</x:f>
        <x:v>9.6</x:v>
      </x:c>
      <x:c r="J386" s="18" t="n">
        <x:f>'Queries'!C386*'Queries'!E386</x:f>
        <x:v>1961.18</x:v>
      </x:c>
    </x:row>
    <x:row r="387" ht="32" customHeight="1">
      <x:c r="A387" s="6" t="str">
        <x:v>mechanical electrical repair dubai</x:v>
      </x:c>
      <x:c r="B387" s="16" t="n">
        <x:v>1</x:v>
      </x:c>
      <x:c r="C387" s="16" t="n">
        <x:v>3</x:v>
      </x:c>
      <x:c r="D387" s="16" t="n">
        <x:f>IF('Queries'!E387&lt;='Rules'!$B$17,'Rules'!$B$21,IF('Queries'!E387&lt;='Rules'!$B$18,'Rules'!$B$22,IF('Queries'!E387&lt;='Rules'!$B$19,'Rules'!$B$23,IF('Queries'!E387&lt;='Rules'!$B$20,'Rules'!$B$24,'Rules'!$B$25))))</x:f>
        <x:v>0.15</x:v>
      </x:c>
      <x:c r="E387" s="16" t="n">
        <x:f>MIN(LOG10(1+'Queries'!C387)/'Rules'!$B$13,1)</x:f>
        <x:v>0.5303548690088333</x:v>
      </x:c>
      <x:c r="F387" s="16" t="n">
        <x:f>IF(AND('Queries'!E387&lt;='Rules'!$B$15,'Queries'!C387&gt;='Rules'!$B$14,'Queries'!D387&lt;'Rules'!$B$16),1,0)</x:f>
        <x:v>0</x:v>
      </x:c>
      <x:c r="G387" s="16" t="n">
        <x:v>1</x:v>
      </x:c>
      <x:c r="H387" s="16" t="n">
        <x:v>1</x:v>
      </x:c>
      <x:c r="I387" s="16" t="n">
        <x:f>ROUND((B387*'Rules'!$B$6+C387/'Rules'!$B$12*'Rules'!$B$7+D387*'Rules'!$B$8+E387*'Rules'!$B$9+F387*'Rules'!$B$10+G387*'Rules'!$B$11)*H387,1)</x:f>
        <x:v>56.1</x:v>
      </x:c>
      <x:c r="J387" s="18" t="n">
        <x:f>'Queries'!C387*'Queries'!E387</x:f>
        <x:v>2691.16</x:v>
      </x:c>
    </x:row>
    <x:row r="388" ht="32" customHeight="1">
      <x:c r="A388" s="6" t="str">
        <x:v>bugatti service center dubai</x:v>
      </x:c>
      <x:c r="B388" s="16" t="n">
        <x:v>1</x:v>
      </x:c>
      <x:c r="C388" s="16" t="n">
        <x:v>5</x:v>
      </x:c>
      <x:c r="D388" s="16" t="n">
        <x:f>IF('Queries'!E388&lt;='Rules'!$B$17,'Rules'!$B$21,IF('Queries'!E388&lt;='Rules'!$B$18,'Rules'!$B$22,IF('Queries'!E388&lt;='Rules'!$B$19,'Rules'!$B$23,IF('Queries'!E388&lt;='Rules'!$B$20,'Rules'!$B$24,'Rules'!$B$25))))</x:f>
        <x:v>0.7</x:v>
      </x:c>
      <x:c r="E388" s="16" t="n">
        <x:f>MIN(LOG10(1+'Queries'!C388)/'Rules'!$B$13,1)</x:f>
        <x:v>0.5265945322056033</x:v>
      </x:c>
      <x:c r="F388" s="16" t="n">
        <x:f>IF(AND('Queries'!E388&lt;='Rules'!$B$15,'Queries'!C388&gt;='Rules'!$B$14,'Queries'!D388&lt;'Rules'!$B$16),1,0)</x:f>
        <x:v>0</x:v>
      </x:c>
      <x:c r="G388" s="16" t="n">
        <x:v>1</x:v>
      </x:c>
      <x:c r="H388" s="16" t="n">
        <x:v>1</x:v>
      </x:c>
      <x:c r="I388" s="16" t="n">
        <x:f>ROUND((B388*'Rules'!$B$6+C388/'Rules'!$B$12*'Rules'!$B$7+D388*'Rules'!$B$8+E388*'Rules'!$B$9+F388*'Rules'!$B$10+G388*'Rules'!$B$11)*H388,1)</x:f>
        <x:v>77.8</x:v>
      </x:c>
      <x:c r="J388" s="18" t="n">
        <x:f>'Queries'!C388*'Queries'!E388</x:f>
        <x:v>687.09</x:v>
      </x:c>
    </x:row>
    <x:row r="389" ht="32" customHeight="1">
      <x:c r="A389" s="6" t="str">
        <x:v>exhaust repair</x:v>
      </x:c>
      <x:c r="B389" s="16" t="n">
        <x:v>0.8</x:v>
      </x:c>
      <x:c r="C389" s="16" t="n">
        <x:v>3</x:v>
      </x:c>
      <x:c r="D389" s="16" t="n">
        <x:f>IF('Queries'!E389&lt;='Rules'!$B$17,'Rules'!$B$21,IF('Queries'!E389&lt;='Rules'!$B$18,'Rules'!$B$22,IF('Queries'!E389&lt;='Rules'!$B$19,'Rules'!$B$23,IF('Queries'!E389&lt;='Rules'!$B$20,'Rules'!$B$24,'Rules'!$B$25))))</x:f>
        <x:v>0.7</x:v>
      </x:c>
      <x:c r="E389" s="16" t="n">
        <x:f>MIN(LOG10(1+'Queries'!C389)/'Rules'!$B$13,1)</x:f>
        <x:v>0.5265945322056033</x:v>
      </x:c>
      <x:c r="F389" s="16" t="n">
        <x:f>IF(AND('Queries'!E389&lt;='Rules'!$B$15,'Queries'!C389&gt;='Rules'!$B$14,'Queries'!D389&lt;'Rules'!$B$16),1,0)</x:f>
        <x:v>0</x:v>
      </x:c>
      <x:c r="G389" s="16" t="n">
        <x:v>1</x:v>
      </x:c>
      <x:c r="H389" s="16" t="n">
        <x:v>1</x:v>
      </x:c>
      <x:c r="I389" s="16" t="n">
        <x:f>ROUND((B389*'Rules'!$B$6+C389/'Rules'!$B$12*'Rules'!$B$7+D389*'Rules'!$B$8+E389*'Rules'!$B$9+F389*'Rules'!$B$10+G389*'Rules'!$B$11)*H389,1)</x:f>
        <x:v>64.8</x:v>
      </x:c>
      <x:c r="J389" s="18" t="n">
        <x:f>'Queries'!C389*'Queries'!E389</x:f>
        <x:v>775.89</x:v>
      </x:c>
    </x:row>
    <x:row r="390" ht="32" customHeight="1">
      <x:c r="A390" s="6" t="str">
        <x:v>brake repair near me</x:v>
      </x:c>
      <x:c r="B390" s="16" t="n">
        <x:v>1</x:v>
      </x:c>
      <x:c r="C390" s="16" t="n">
        <x:v>3</x:v>
      </x:c>
      <x:c r="D390" s="16" t="n">
        <x:f>IF('Queries'!E390&lt;='Rules'!$B$17,'Rules'!$B$21,IF('Queries'!E390&lt;='Rules'!$B$18,'Rules'!$B$22,IF('Queries'!E390&lt;='Rules'!$B$19,'Rules'!$B$23,IF('Queries'!E390&lt;='Rules'!$B$20,'Rules'!$B$24,'Rules'!$B$25))))</x:f>
        <x:v>0.7</x:v>
      </x:c>
      <x:c r="E390" s="16" t="n">
        <x:f>MIN(LOG10(1+'Queries'!C390)/'Rules'!$B$13,1)</x:f>
        <x:v>0.5265945322056033</x:v>
      </x:c>
      <x:c r="F390" s="16" t="n">
        <x:f>IF(AND('Queries'!E390&lt;='Rules'!$B$15,'Queries'!C390&gt;='Rules'!$B$14,'Queries'!D390&lt;'Rules'!$B$16),1,0)</x:f>
        <x:v>0</x:v>
      </x:c>
      <x:c r="G390" s="16" t="n">
        <x:v>1</x:v>
      </x:c>
      <x:c r="H390" s="16" t="n">
        <x:v>1</x:v>
      </x:c>
      <x:c r="I390" s="16" t="n">
        <x:f>ROUND((B390*'Rules'!$B$6+C390/'Rules'!$B$12*'Rules'!$B$7+D390*'Rules'!$B$8+E390*'Rules'!$B$9+F390*'Rules'!$B$10+G390*'Rules'!$B$11)*H390,1)</x:f>
        <x:v>69.8</x:v>
      </x:c>
      <x:c r="J390" s="18" t="n">
        <x:f>'Queries'!C390*'Queries'!E390</x:f>
        <x:v>896.88</x:v>
      </x:c>
    </x:row>
    <x:row r="391" ht="32" customHeight="1">
      <x:c r="A391" s="6" t="str">
        <x:v>tire repair service dubai</x:v>
      </x:c>
      <x:c r="B391" s="16" t="n">
        <x:v>1</x:v>
      </x:c>
      <x:c r="C391" s="16" t="n">
        <x:v>2</x:v>
      </x:c>
      <x:c r="D391" s="16" t="n">
        <x:f>IF('Queries'!E391&lt;='Rules'!$B$17,'Rules'!$B$21,IF('Queries'!E391&lt;='Rules'!$B$18,'Rules'!$B$22,IF('Queries'!E391&lt;='Rules'!$B$19,'Rules'!$B$23,IF('Queries'!E391&lt;='Rules'!$B$20,'Rules'!$B$24,'Rules'!$B$25))))</x:f>
        <x:v>0.7</x:v>
      </x:c>
      <x:c r="E391" s="16" t="n">
        <x:f>MIN(LOG10(1+'Queries'!C391)/'Rules'!$B$13,1)</x:f>
        <x:v>0.5265945322056033</x:v>
      </x:c>
      <x:c r="F391" s="16" t="n">
        <x:f>IF(AND('Queries'!E391&lt;='Rules'!$B$15,'Queries'!C391&gt;='Rules'!$B$14,'Queries'!D391&lt;'Rules'!$B$16),1,0)</x:f>
        <x:v>0</x:v>
      </x:c>
      <x:c r="G391" s="16" t="n">
        <x:v>1</x:v>
      </x:c>
      <x:c r="H391" s="16" t="n">
        <x:v>1</x:v>
      </x:c>
      <x:c r="I391" s="16" t="n">
        <x:f>ROUND((B391*'Rules'!$B$6+C391/'Rules'!$B$12*'Rules'!$B$7+D391*'Rules'!$B$8+E391*'Rules'!$B$9+F391*'Rules'!$B$10+G391*'Rules'!$B$11)*H391,1)</x:f>
        <x:v>65.8</x:v>
      </x:c>
      <x:c r="J391" s="18" t="n">
        <x:f>'Queries'!C391*'Queries'!E391</x:f>
        <x:v>1037.1100000000001</x:v>
      </x:c>
    </x:row>
    <x:row r="392" ht="32" customHeight="1">
      <x:c r="A392" s="6" t="str">
        <x:v>mazda service centers in dubai</x:v>
      </x:c>
      <x:c r="B392" s="16" t="n">
        <x:v>1</x:v>
      </x:c>
      <x:c r="C392" s="16" t="n">
        <x:v>3</x:v>
      </x:c>
      <x:c r="D392" s="16" t="n">
        <x:f>IF('Queries'!E392&lt;='Rules'!$B$17,'Rules'!$B$21,IF('Queries'!E392&lt;='Rules'!$B$18,'Rules'!$B$22,IF('Queries'!E392&lt;='Rules'!$B$19,'Rules'!$B$23,IF('Queries'!E392&lt;='Rules'!$B$20,'Rules'!$B$24,'Rules'!$B$25))))</x:f>
        <x:v>0.4</x:v>
      </x:c>
      <x:c r="E392" s="16" t="n">
        <x:f>MIN(LOG10(1+'Queries'!C392)/'Rules'!$B$13,1)</x:f>
        <x:v>0.5265945322056033</x:v>
      </x:c>
      <x:c r="F392" s="16" t="n">
        <x:f>IF(AND('Queries'!E392&lt;='Rules'!$B$15,'Queries'!C392&gt;='Rules'!$B$14,'Queries'!D392&lt;'Rules'!$B$16),1,0)</x:f>
        <x:v>0</x:v>
      </x:c>
      <x:c r="G392" s="16" t="n">
        <x:v>1</x:v>
      </x:c>
      <x:c r="H392" s="16" t="n">
        <x:v>1</x:v>
      </x:c>
      <x:c r="I392" s="16" t="n">
        <x:f>ROUND((B392*'Rules'!$B$6+C392/'Rules'!$B$12*'Rules'!$B$7+D392*'Rules'!$B$8+E392*'Rules'!$B$9+F392*'Rules'!$B$10+G392*'Rules'!$B$11)*H392,1)</x:f>
        <x:v>62.3</x:v>
      </x:c>
      <x:c r="J392" s="18" t="n">
        <x:f>'Queries'!C392*'Queries'!E392</x:f>
        <x:v>1184</x:v>
      </x:c>
    </x:row>
    <x:row r="393" ht="32" customHeight="1">
      <x:c r="A393" s="6" t="str">
        <x:v>car paint protection film</x:v>
      </x:c>
      <x:c r="B393" s="16" t="n">
        <x:v>0.8</x:v>
      </x:c>
      <x:c r="C393" s="16" t="n">
        <x:v>5</x:v>
      </x:c>
      <x:c r="D393" s="16" t="n">
        <x:f>IF('Queries'!E393&lt;='Rules'!$B$17,'Rules'!$B$21,IF('Queries'!E393&lt;='Rules'!$B$18,'Rules'!$B$22,IF('Queries'!E393&lt;='Rules'!$B$19,'Rules'!$B$23,IF('Queries'!E393&lt;='Rules'!$B$20,'Rules'!$B$24,'Rules'!$B$25))))</x:f>
        <x:v>0.15</x:v>
      </x:c>
      <x:c r="E393" s="16" t="n">
        <x:f>MIN(LOG10(1+'Queries'!C393)/'Rules'!$B$13,1)</x:f>
        <x:v>0.5265945322056033</x:v>
      </x:c>
      <x:c r="F393" s="16" t="n">
        <x:f>IF(AND('Queries'!E393&lt;='Rules'!$B$15,'Queries'!C393&gt;='Rules'!$B$14,'Queries'!D393&lt;'Rules'!$B$16),1,0)</x:f>
        <x:v>0</x:v>
      </x:c>
      <x:c r="G393" s="16" t="n">
        <x:v>1</x:v>
      </x:c>
      <x:c r="H393" s="16" t="n">
        <x:v>1</x:v>
      </x:c>
      <x:c r="I393" s="16" t="n">
        <x:f>ROUND((B393*'Rules'!$B$6+C393/'Rules'!$B$12*'Rules'!$B$7+D393*'Rules'!$B$8+E393*'Rules'!$B$9+F393*'Rules'!$B$10+G393*'Rules'!$B$11)*H393,1)</x:f>
        <x:v>59</x:v>
      </x:c>
      <x:c r="J393" s="18" t="n">
        <x:f>'Queries'!C393*'Queries'!E393</x:f>
        <x:v>1481.85</x:v>
      </x:c>
    </x:row>
    <x:row r="394" ht="32" customHeight="1">
      <x:c r="A394" s="6" t="str">
        <x:v>auto garage in dubai</x:v>
      </x:c>
      <x:c r="B394" s="16" t="n">
        <x:v>1</x:v>
      </x:c>
      <x:c r="C394" s="16" t="n">
        <x:v>3</x:v>
      </x:c>
      <x:c r="D394" s="16" t="n">
        <x:f>IF('Queries'!E394&lt;='Rules'!$B$17,'Rules'!$B$21,IF('Queries'!E394&lt;='Rules'!$B$18,'Rules'!$B$22,IF('Queries'!E394&lt;='Rules'!$B$19,'Rules'!$B$23,IF('Queries'!E394&lt;='Rules'!$B$20,'Rules'!$B$24,'Rules'!$B$25))))</x:f>
        <x:v>0.15</x:v>
      </x:c>
      <x:c r="E394" s="16" t="n">
        <x:f>MIN(LOG10(1+'Queries'!C394)/'Rules'!$B$13,1)</x:f>
        <x:v>0.5265945322056033</x:v>
      </x:c>
      <x:c r="F394" s="16" t="n">
        <x:f>IF(AND('Queries'!E394&lt;='Rules'!$B$15,'Queries'!C394&gt;='Rules'!$B$14,'Queries'!D394&lt;'Rules'!$B$16),1,0)</x:f>
        <x:v>0</x:v>
      </x:c>
      <x:c r="G394" s="16" t="n">
        <x:v>1</x:v>
      </x:c>
      <x:c r="H394" s="16" t="n">
        <x:v>1</x:v>
      </x:c>
      <x:c r="I394" s="16" t="n">
        <x:f>ROUND((B394*'Rules'!$B$6+C394/'Rules'!$B$12*'Rules'!$B$7+D394*'Rules'!$B$8+E394*'Rules'!$B$9+F394*'Rules'!$B$10+G394*'Rules'!$B$11)*H394,1)</x:f>
        <x:v>56</x:v>
      </x:c>
      <x:c r="J394" s="18" t="n">
        <x:f>'Queries'!C394*'Queries'!E394</x:f>
        <x:v>3170.9</x:v>
      </x:c>
    </x:row>
    <x:row r="395" ht="32" customHeight="1">
      <x:c r="A395" s="6" t="str">
        <x:v>mercedes battery replacement near me</x:v>
      </x:c>
      <x:c r="B395" s="16" t="n">
        <x:v>1</x:v>
      </x:c>
      <x:c r="C395" s="16" t="n">
        <x:v>5</x:v>
      </x:c>
      <x:c r="D395" s="16" t="n">
        <x:f>IF('Queries'!E395&lt;='Rules'!$B$17,'Rules'!$B$21,IF('Queries'!E395&lt;='Rules'!$B$18,'Rules'!$B$22,IF('Queries'!E395&lt;='Rules'!$B$19,'Rules'!$B$23,IF('Queries'!E395&lt;='Rules'!$B$20,'Rules'!$B$24,'Rules'!$B$25))))</x:f>
        <x:v>1</x:v>
      </x:c>
      <x:c r="E395" s="16" t="n">
        <x:f>MIN(LOG10(1+'Queries'!C395)/'Rules'!$B$13,1)</x:f>
        <x:v>0.52273390802233</x:v>
      </x:c>
      <x:c r="F395" s="16" t="n">
        <x:f>IF(AND('Queries'!E395&lt;='Rules'!$B$15,'Queries'!C395&gt;='Rules'!$B$14,'Queries'!D395&lt;'Rules'!$B$16),1,0)</x:f>
        <x:v>1</x:v>
      </x:c>
      <x:c r="G395" s="16" t="n">
        <x:v>1</x:v>
      </x:c>
      <x:c r="H395" s="16" t="n">
        <x:v>1</x:v>
      </x:c>
      <x:c r="I395" s="16" t="n">
        <x:f>ROUND((B395*'Rules'!$B$6+C395/'Rules'!$B$12*'Rules'!$B$7+D395*'Rules'!$B$8+E395*'Rules'!$B$9+F395*'Rules'!$B$10+G395*'Rules'!$B$11)*H395,1)</x:f>
        <x:v>95.2</x:v>
      </x:c>
      <x:c r="J395" s="18" t="n">
        <x:f>'Queries'!C395*'Queries'!E395</x:f>
        <x:v>326.88</x:v>
      </x:c>
    </x:row>
    <x:row r="396" ht="32" customHeight="1">
      <x:c r="A396" s="6" t="str">
        <x:v>bmw workshop</x:v>
      </x:c>
      <x:c r="B396" s="16" t="n">
        <x:v>0.8</x:v>
      </x:c>
      <x:c r="C396" s="16" t="n">
        <x:v>5</x:v>
      </x:c>
      <x:c r="D396" s="16" t="n">
        <x:f>IF('Queries'!E396&lt;='Rules'!$B$17,'Rules'!$B$21,IF('Queries'!E396&lt;='Rules'!$B$18,'Rules'!$B$22,IF('Queries'!E396&lt;='Rules'!$B$19,'Rules'!$B$23,IF('Queries'!E396&lt;='Rules'!$B$20,'Rules'!$B$24,'Rules'!$B$25))))</x:f>
        <x:v>1</x:v>
      </x:c>
      <x:c r="E396" s="16" t="n">
        <x:f>MIN(LOG10(1+'Queries'!C396)/'Rules'!$B$13,1)</x:f>
        <x:v>0.52273390802233</x:v>
      </x:c>
      <x:c r="F396" s="16" t="n">
        <x:f>IF(AND('Queries'!E396&lt;='Rules'!$B$15,'Queries'!C396&gt;='Rules'!$B$14,'Queries'!D396&lt;'Rules'!$B$16),1,0)</x:f>
        <x:v>0</x:v>
      </x:c>
      <x:c r="G396" s="16" t="n">
        <x:v>1</x:v>
      </x:c>
      <x:c r="H396" s="16" t="n">
        <x:v>1</x:v>
      </x:c>
      <x:c r="I396" s="16" t="n">
        <x:f>ROUND((B396*'Rules'!$B$6+C396/'Rules'!$B$12*'Rules'!$B$7+D396*'Rules'!$B$8+E396*'Rules'!$B$9+F396*'Rules'!$B$10+G396*'Rules'!$B$11)*H396,1)</x:f>
        <x:v>80.2</x:v>
      </x:c>
      <x:c r="J396" s="18" t="n">
        <x:f>'Queries'!C396*'Queries'!E396</x:f>
        <x:v>361.08</x:v>
      </x:c>
    </x:row>
    <x:row r="397" ht="32" customHeight="1">
      <x:c r="A397" s="6" t="str">
        <x:v>porsche body repair</x:v>
      </x:c>
      <x:c r="B397" s="16" t="n">
        <x:v>0.8</x:v>
      </x:c>
      <x:c r="C397" s="16" t="n">
        <x:v>5</x:v>
      </x:c>
      <x:c r="D397" s="16" t="n">
        <x:f>IF('Queries'!E397&lt;='Rules'!$B$17,'Rules'!$B$21,IF('Queries'!E397&lt;='Rules'!$B$18,'Rules'!$B$22,IF('Queries'!E397&lt;='Rules'!$B$19,'Rules'!$B$23,IF('Queries'!E397&lt;='Rules'!$B$20,'Rules'!$B$24,'Rules'!$B$25))))</x:f>
        <x:v>1</x:v>
      </x:c>
      <x:c r="E397" s="16" t="n">
        <x:f>MIN(LOG10(1+'Queries'!C397)/'Rules'!$B$13,1)</x:f>
        <x:v>0.52273390802233</x:v>
      </x:c>
      <x:c r="F397" s="16" t="n">
        <x:f>IF(AND('Queries'!E397&lt;='Rules'!$B$15,'Queries'!C397&gt;='Rules'!$B$14,'Queries'!D397&lt;'Rules'!$B$16),1,0)</x:f>
        <x:v>0</x:v>
      </x:c>
      <x:c r="G397" s="16" t="n">
        <x:v>1</x:v>
      </x:c>
      <x:c r="H397" s="16" t="n">
        <x:v>1</x:v>
      </x:c>
      <x:c r="I397" s="16" t="n">
        <x:f>ROUND((B397*'Rules'!$B$6+C397/'Rules'!$B$12*'Rules'!$B$7+D397*'Rules'!$B$8+E397*'Rules'!$B$9+F397*'Rules'!$B$10+G397*'Rules'!$B$11)*H397,1)</x:f>
        <x:v>80.2</x:v>
      </x:c>
      <x:c r="J397" s="18" t="n">
        <x:f>'Queries'!C397*'Queries'!E397</x:f>
        <x:v>482.04</x:v>
      </x:c>
    </x:row>
    <x:row r="398" ht="32" customHeight="1">
      <x:c r="A398" s="6" t="str">
        <x:v>land rover transmission repair dubai</x:v>
      </x:c>
      <x:c r="B398" s="16" t="n">
        <x:v>1</x:v>
      </x:c>
      <x:c r="C398" s="16" t="n">
        <x:v>5</x:v>
      </x:c>
      <x:c r="D398" s="16" t="n">
        <x:f>IF('Queries'!E398&lt;='Rules'!$B$17,'Rules'!$B$21,IF('Queries'!E398&lt;='Rules'!$B$18,'Rules'!$B$22,IF('Queries'!E398&lt;='Rules'!$B$19,'Rules'!$B$23,IF('Queries'!E398&lt;='Rules'!$B$20,'Rules'!$B$24,'Rules'!$B$25))))</x:f>
        <x:v>0.7</x:v>
      </x:c>
      <x:c r="E398" s="16" t="n">
        <x:f>MIN(LOG10(1+'Queries'!C398)/'Rules'!$B$13,1)</x:f>
        <x:v>0.52273390802233</x:v>
      </x:c>
      <x:c r="F398" s="16" t="n">
        <x:f>IF(AND('Queries'!E398&lt;='Rules'!$B$15,'Queries'!C398&gt;='Rules'!$B$14,'Queries'!D398&lt;'Rules'!$B$16),1,0)</x:f>
        <x:v>0</x:v>
      </x:c>
      <x:c r="G398" s="16" t="n">
        <x:v>1</x:v>
      </x:c>
      <x:c r="H398" s="16" t="n">
        <x:v>1</x:v>
      </x:c>
      <x:c r="I398" s="16" t="n">
        <x:f>ROUND((B398*'Rules'!$B$6+C398/'Rules'!$B$12*'Rules'!$B$7+D398*'Rules'!$B$8+E398*'Rules'!$B$9+F398*'Rules'!$B$10+G398*'Rules'!$B$11)*H398,1)</x:f>
        <x:v>77.7</x:v>
      </x:c>
      <x:c r="J398" s="18" t="n">
        <x:f>'Queries'!C398*'Queries'!E398</x:f>
        <x:v>650.8799999999999</x:v>
      </x:c>
    </x:row>
    <x:row r="399" ht="32" customHeight="1">
      <x:c r="A399" s="6" t="str">
        <x:v>hummer service dubai</x:v>
      </x:c>
      <x:c r="B399" s="16" t="n">
        <x:v>1</x:v>
      </x:c>
      <x:c r="C399" s="16" t="n">
        <x:v>3</x:v>
      </x:c>
      <x:c r="D399" s="16" t="n">
        <x:f>IF('Queries'!E399&lt;='Rules'!$B$17,'Rules'!$B$21,IF('Queries'!E399&lt;='Rules'!$B$18,'Rules'!$B$22,IF('Queries'!E399&lt;='Rules'!$B$19,'Rules'!$B$23,IF('Queries'!E399&lt;='Rules'!$B$20,'Rules'!$B$24,'Rules'!$B$25))))</x:f>
        <x:v>0.7</x:v>
      </x:c>
      <x:c r="E399" s="16" t="n">
        <x:f>MIN(LOG10(1+'Queries'!C399)/'Rules'!$B$13,1)</x:f>
        <x:v>0.52273390802233</x:v>
      </x:c>
      <x:c r="F399" s="16" t="n">
        <x:f>IF(AND('Queries'!E399&lt;='Rules'!$B$15,'Queries'!C399&gt;='Rules'!$B$14,'Queries'!D399&lt;'Rules'!$B$16),1,0)</x:f>
        <x:v>0</x:v>
      </x:c>
      <x:c r="G399" s="16" t="n">
        <x:v>1</x:v>
      </x:c>
      <x:c r="H399" s="16" t="n">
        <x:v>1</x:v>
      </x:c>
      <x:c r="I399" s="16" t="n">
        <x:f>ROUND((B399*'Rules'!$B$6+C399/'Rules'!$B$12*'Rules'!$B$7+D399*'Rules'!$B$8+E399*'Rules'!$B$9+F399*'Rules'!$B$10+G399*'Rules'!$B$11)*H399,1)</x:f>
        <x:v>69.7</x:v>
      </x:c>
      <x:c r="J399" s="18" t="n">
        <x:f>'Queries'!C399*'Queries'!E399</x:f>
        <x:v>727.92</x:v>
      </x:c>
    </x:row>
    <x:row r="400" ht="32" customHeight="1">
      <x:c r="A400" s="6" t="str">
        <x:v>bmw specialist dubai</x:v>
      </x:c>
      <x:c r="B400" s="16" t="n">
        <x:v>1</x:v>
      </x:c>
      <x:c r="C400" s="16" t="n">
        <x:v>5</x:v>
      </x:c>
      <x:c r="D400" s="16" t="n">
        <x:f>IF('Queries'!E400&lt;='Rules'!$B$17,'Rules'!$B$21,IF('Queries'!E400&lt;='Rules'!$B$18,'Rules'!$B$22,IF('Queries'!E400&lt;='Rules'!$B$19,'Rules'!$B$23,IF('Queries'!E400&lt;='Rules'!$B$20,'Rules'!$B$24,'Rules'!$B$25))))</x:f>
        <x:v>0.7</x:v>
      </x:c>
      <x:c r="E400" s="16" t="n">
        <x:f>MIN(LOG10(1+'Queries'!C400)/'Rules'!$B$13,1)</x:f>
        <x:v>0.52273390802233</x:v>
      </x:c>
      <x:c r="F400" s="16" t="n">
        <x:f>IF(AND('Queries'!E400&lt;='Rules'!$B$15,'Queries'!C400&gt;='Rules'!$B$14,'Queries'!D400&lt;'Rules'!$B$16),1,0)</x:f>
        <x:v>0</x:v>
      </x:c>
      <x:c r="G400" s="16" t="n">
        <x:v>1</x:v>
      </x:c>
      <x:c r="H400" s="16" t="n">
        <x:v>1</x:v>
      </x:c>
      <x:c r="I400" s="16" t="n">
        <x:f>ROUND((B400*'Rules'!$B$6+C400/'Rules'!$B$12*'Rules'!$B$7+D400*'Rules'!$B$8+E400*'Rules'!$B$9+F400*'Rules'!$B$10+G400*'Rules'!$B$11)*H400,1)</x:f>
        <x:v>77.7</x:v>
      </x:c>
      <x:c r="J400" s="18" t="n">
        <x:f>'Queries'!C400*'Queries'!E400</x:f>
        <x:v>731.16</x:v>
      </x:c>
    </x:row>
    <x:row r="401" ht="32" customHeight="1">
      <x:c r="A401" s="6" t="str">
        <x:v>lamborghini service center</x:v>
      </x:c>
      <x:c r="B401" s="16" t="n">
        <x:v>0.8</x:v>
      </x:c>
      <x:c r="C401" s="16" t="n">
        <x:v>5</x:v>
      </x:c>
      <x:c r="D401" s="16" t="n">
        <x:f>IF('Queries'!E401&lt;='Rules'!$B$17,'Rules'!$B$21,IF('Queries'!E401&lt;='Rules'!$B$18,'Rules'!$B$22,IF('Queries'!E401&lt;='Rules'!$B$19,'Rules'!$B$23,IF('Queries'!E401&lt;='Rules'!$B$20,'Rules'!$B$24,'Rules'!$B$25))))</x:f>
        <x:v>0.7</x:v>
      </x:c>
      <x:c r="E401" s="16" t="n">
        <x:f>MIN(LOG10(1+'Queries'!C401)/'Rules'!$B$13,1)</x:f>
        <x:v>0.52273390802233</x:v>
      </x:c>
      <x:c r="F401" s="16" t="n">
        <x:f>IF(AND('Queries'!E401&lt;='Rules'!$B$15,'Queries'!C401&gt;='Rules'!$B$14,'Queries'!D401&lt;'Rules'!$B$16),1,0)</x:f>
        <x:v>0</x:v>
      </x:c>
      <x:c r="G401" s="16" t="n">
        <x:v>1</x:v>
      </x:c>
      <x:c r="H401" s="16" t="n">
        <x:v>1</x:v>
      </x:c>
      <x:c r="I401" s="16" t="n">
        <x:f>ROUND((B401*'Rules'!$B$6+C401/'Rules'!$B$12*'Rules'!$B$7+D401*'Rules'!$B$8+E401*'Rules'!$B$9+F401*'Rules'!$B$10+G401*'Rules'!$B$11)*H401,1)</x:f>
        <x:v>72.7</x:v>
      </x:c>
      <x:c r="J401" s="18" t="n">
        <x:f>'Queries'!C401*'Queries'!E401</x:f>
        <x:v>840.96</x:v>
      </x:c>
    </x:row>
    <x:row r="402" ht="32" customHeight="1">
      <x:c r="A402" s="6" t="str">
        <x:v>ورشة صيانة بنتلي</x:v>
      </x:c>
      <x:c r="B402" s="16" t="n">
        <x:v>0.8</x:v>
      </x:c>
      <x:c r="C402" s="16" t="n">
        <x:v>5</x:v>
      </x:c>
      <x:c r="D402" s="16" t="n">
        <x:f>IF('Queries'!E402&lt;='Rules'!$B$17,'Rules'!$B$21,IF('Queries'!E402&lt;='Rules'!$B$18,'Rules'!$B$22,IF('Queries'!E402&lt;='Rules'!$B$19,'Rules'!$B$23,IF('Queries'!E402&lt;='Rules'!$B$20,'Rules'!$B$24,'Rules'!$B$25))))</x:f>
        <x:v>0.15</x:v>
      </x:c>
      <x:c r="E402" s="16" t="n">
        <x:f>MIN(LOG10(1+'Queries'!C402)/'Rules'!$B$13,1)</x:f>
        <x:v>0.52273390802233</x:v>
      </x:c>
      <x:c r="F402" s="16" t="n">
        <x:f>IF(AND('Queries'!E402&lt;='Rules'!$B$15,'Queries'!C402&gt;='Rules'!$B$14,'Queries'!D402&lt;'Rules'!$B$16),1,0)</x:f>
        <x:v>0</x:v>
      </x:c>
      <x:c r="G402" s="16" t="n">
        <x:v>1</x:v>
      </x:c>
      <x:c r="H402" s="16" t="n">
        <x:v>1</x:v>
      </x:c>
      <x:c r="I402" s="16" t="n">
        <x:f>ROUND((B402*'Rules'!$B$6+C402/'Rules'!$B$12*'Rules'!$B$7+D402*'Rules'!$B$8+E402*'Rules'!$B$9+F402*'Rules'!$B$10+G402*'Rules'!$B$11)*H402,1)</x:f>
        <x:v>59</x:v>
      </x:c>
      <x:c r="J402" s="18" t="n">
        <x:f>'Queries'!C402*'Queries'!E402</x:f>
        <x:v>1497.96</x:v>
      </x:c>
    </x:row>
    <x:row r="403" ht="32" customHeight="1">
      <x:c r="A403" s="6" t="str">
        <x:v>bmw diagnostics dubai</x:v>
      </x:c>
      <x:c r="B403" s="16" t="n">
        <x:v>1</x:v>
      </x:c>
      <x:c r="C403" s="16" t="n">
        <x:v>5</x:v>
      </x:c>
      <x:c r="D403" s="16" t="n">
        <x:f>IF('Queries'!E403&lt;='Rules'!$B$17,'Rules'!$B$21,IF('Queries'!E403&lt;='Rules'!$B$18,'Rules'!$B$22,IF('Queries'!E403&lt;='Rules'!$B$19,'Rules'!$B$23,IF('Queries'!E403&lt;='Rules'!$B$20,'Rules'!$B$24,'Rules'!$B$25))))</x:f>
        <x:v>1</x:v>
      </x:c>
      <x:c r="E403" s="16" t="n">
        <x:f>MIN(LOG10(1+'Queries'!C403)/'Rules'!$B$13,1)</x:f>
        <x:v>0.5187675002557633</x:v>
      </x:c>
      <x:c r="F403" s="16" t="n">
        <x:f>IF(AND('Queries'!E403&lt;='Rules'!$B$15,'Queries'!C403&gt;='Rules'!$B$14,'Queries'!D403&lt;'Rules'!$B$16),1,0)</x:f>
        <x:v>0</x:v>
      </x:c>
      <x:c r="G403" s="16" t="n">
        <x:v>1</x:v>
      </x:c>
      <x:c r="H403" s="16" t="n">
        <x:v>1</x:v>
      </x:c>
      <x:c r="I403" s="16" t="n">
        <x:f>ROUND((B403*'Rules'!$B$6+C403/'Rules'!$B$12*'Rules'!$B$7+D403*'Rules'!$B$8+E403*'Rules'!$B$9+F403*'Rules'!$B$10+G403*'Rules'!$B$11)*H403,1)</x:f>
        <x:v>85.2</x:v>
      </x:c>
      <x:c r="J403" s="18" t="n">
        <x:f>'Queries'!C403*'Queries'!E403</x:f>
        <x:v>493.15</x:v>
      </x:c>
    </x:row>
    <x:row r="404" ht="32" customHeight="1">
      <x:c r="A404" s="6" t="str">
        <x:v>car exhaust repair</x:v>
      </x:c>
      <x:c r="B404" s="16" t="n">
        <x:v>0.8</x:v>
      </x:c>
      <x:c r="C404" s="16" t="n">
        <x:v>3</x:v>
      </x:c>
      <x:c r="D404" s="16" t="n">
        <x:f>IF('Queries'!E404&lt;='Rules'!$B$17,'Rules'!$B$21,IF('Queries'!E404&lt;='Rules'!$B$18,'Rules'!$B$22,IF('Queries'!E404&lt;='Rules'!$B$19,'Rules'!$B$23,IF('Queries'!E404&lt;='Rules'!$B$20,'Rules'!$B$24,'Rules'!$B$25))))</x:f>
        <x:v>0.7</x:v>
      </x:c>
      <x:c r="E404" s="16" t="n">
        <x:f>MIN(LOG10(1+'Queries'!C404)/'Rules'!$B$13,1)</x:f>
        <x:v>0.5187675002557633</x:v>
      </x:c>
      <x:c r="F404" s="16" t="n">
        <x:f>IF(AND('Queries'!E404&lt;='Rules'!$B$15,'Queries'!C404&gt;='Rules'!$B$14,'Queries'!D404&lt;'Rules'!$B$16),1,0)</x:f>
        <x:v>0</x:v>
      </x:c>
      <x:c r="G404" s="16" t="n">
        <x:v>1</x:v>
      </x:c>
      <x:c r="H404" s="16" t="n">
        <x:v>1</x:v>
      </x:c>
      <x:c r="I404" s="16" t="n">
        <x:f>ROUND((B404*'Rules'!$B$6+C404/'Rules'!$B$12*'Rules'!$B$7+D404*'Rules'!$B$8+E404*'Rules'!$B$9+F404*'Rules'!$B$10+G404*'Rules'!$B$11)*H404,1)</x:f>
        <x:v>64.7</x:v>
      </x:c>
      <x:c r="J404" s="18" t="n">
        <x:f>'Queries'!C404*'Queries'!E404</x:f>
        <x:v>584.85</x:v>
      </x:c>
    </x:row>
    <x:row r="405" ht="32" customHeight="1">
      <x:c r="A405" s="6" t="str">
        <x:v>ورشة صيانة اودي</x:v>
      </x:c>
      <x:c r="B405" s="16" t="n">
        <x:v>0.8</x:v>
      </x:c>
      <x:c r="C405" s="16" t="n">
        <x:v>5</x:v>
      </x:c>
      <x:c r="D405" s="16" t="n">
        <x:f>IF('Queries'!E405&lt;='Rules'!$B$17,'Rules'!$B$21,IF('Queries'!E405&lt;='Rules'!$B$18,'Rules'!$B$22,IF('Queries'!E405&lt;='Rules'!$B$19,'Rules'!$B$23,IF('Queries'!E405&lt;='Rules'!$B$20,'Rules'!$B$24,'Rules'!$B$25))))</x:f>
        <x:v>0.7</x:v>
      </x:c>
      <x:c r="E405" s="16" t="n">
        <x:f>MIN(LOG10(1+'Queries'!C405)/'Rules'!$B$13,1)</x:f>
        <x:v>0.5187675002557633</x:v>
      </x:c>
      <x:c r="F405" s="16" t="n">
        <x:f>IF(AND('Queries'!E405&lt;='Rules'!$B$15,'Queries'!C405&gt;='Rules'!$B$14,'Queries'!D405&lt;'Rules'!$B$16),1,0)</x:f>
        <x:v>0</x:v>
      </x:c>
      <x:c r="G405" s="16" t="n">
        <x:v>1</x:v>
      </x:c>
      <x:c r="H405" s="16" t="n">
        <x:v>1</x:v>
      </x:c>
      <x:c r="I405" s="16" t="n">
        <x:f>ROUND((B405*'Rules'!$B$6+C405/'Rules'!$B$12*'Rules'!$B$7+D405*'Rules'!$B$8+E405*'Rules'!$B$9+F405*'Rules'!$B$10+G405*'Rules'!$B$11)*H405,1)</x:f>
        <x:v>72.7</x:v>
      </x:c>
      <x:c r="J405" s="18" t="n">
        <x:f>'Queries'!C405*'Queries'!E405</x:f>
        <x:v>778.0500000000001</x:v>
      </x:c>
    </x:row>
    <x:row r="406" ht="32" customHeight="1">
      <x:c r="A406" s="6" t="str">
        <x:v>mercedes mechanic</x:v>
      </x:c>
      <x:c r="B406" s="16" t="n">
        <x:v>0.8</x:v>
      </x:c>
      <x:c r="C406" s="16" t="n">
        <x:v>5</x:v>
      </x:c>
      <x:c r="D406" s="16" t="n">
        <x:f>IF('Queries'!E406&lt;='Rules'!$B$17,'Rules'!$B$21,IF('Queries'!E406&lt;='Rules'!$B$18,'Rules'!$B$22,IF('Queries'!E406&lt;='Rules'!$B$19,'Rules'!$B$23,IF('Queries'!E406&lt;='Rules'!$B$20,'Rules'!$B$24,'Rules'!$B$25))))</x:f>
        <x:v>0.7</x:v>
      </x:c>
      <x:c r="E406" s="16" t="n">
        <x:f>MIN(LOG10(1+'Queries'!C406)/'Rules'!$B$13,1)</x:f>
        <x:v>0.5187675002557633</x:v>
      </x:c>
      <x:c r="F406" s="16" t="n">
        <x:f>IF(AND('Queries'!E406&lt;='Rules'!$B$15,'Queries'!C406&gt;='Rules'!$B$14,'Queries'!D406&lt;'Rules'!$B$16),1,0)</x:f>
        <x:v>0</x:v>
      </x:c>
      <x:c r="G406" s="16" t="n">
        <x:v>1</x:v>
      </x:c>
      <x:c r="H406" s="16" t="n">
        <x:v>1</x:v>
      </x:c>
      <x:c r="I406" s="16" t="n">
        <x:f>ROUND((B406*'Rules'!$B$6+C406/'Rules'!$B$12*'Rules'!$B$7+D406*'Rules'!$B$8+E406*'Rules'!$B$9+F406*'Rules'!$B$10+G406*'Rules'!$B$11)*H406,1)</x:f>
        <x:v>72.7</x:v>
      </x:c>
      <x:c r="J406" s="18" t="n">
        <x:f>'Queries'!C406*'Queries'!E406</x:f>
        <x:v>785.05</x:v>
      </x:c>
    </x:row>
    <x:row r="407" ht="32" customHeight="1">
      <x:c r="A407" s="6" t="str">
        <x:v>transmission repair</x:v>
      </x:c>
      <x:c r="B407" s="16" t="n">
        <x:v>0.8</x:v>
      </x:c>
      <x:c r="C407" s="16" t="n">
        <x:v>3</x:v>
      </x:c>
      <x:c r="D407" s="16" t="n">
        <x:f>IF('Queries'!E407&lt;='Rules'!$B$17,'Rules'!$B$21,IF('Queries'!E407&lt;='Rules'!$B$18,'Rules'!$B$22,IF('Queries'!E407&lt;='Rules'!$B$19,'Rules'!$B$23,IF('Queries'!E407&lt;='Rules'!$B$20,'Rules'!$B$24,'Rules'!$B$25))))</x:f>
        <x:v>0.7</x:v>
      </x:c>
      <x:c r="E407" s="16" t="n">
        <x:f>MIN(LOG10(1+'Queries'!C407)/'Rules'!$B$13,1)</x:f>
        <x:v>0.5187675002557633</x:v>
      </x:c>
      <x:c r="F407" s="16" t="n">
        <x:f>IF(AND('Queries'!E407&lt;='Rules'!$B$15,'Queries'!C407&gt;='Rules'!$B$14,'Queries'!D407&lt;'Rules'!$B$16),1,0)</x:f>
        <x:v>0</x:v>
      </x:c>
      <x:c r="G407" s="16" t="n">
        <x:v>1</x:v>
      </x:c>
      <x:c r="H407" s="16" t="n">
        <x:v>1</x:v>
      </x:c>
      <x:c r="I407" s="16" t="n">
        <x:f>ROUND((B407*'Rules'!$B$6+C407/'Rules'!$B$12*'Rules'!$B$7+D407*'Rules'!$B$8+E407*'Rules'!$B$9+F407*'Rules'!$B$10+G407*'Rules'!$B$11)*H407,1)</x:f>
        <x:v>64.7</x:v>
      </x:c>
      <x:c r="J407" s="18" t="n">
        <x:f>'Queries'!C407*'Queries'!E407</x:f>
        <x:v>788.9</x:v>
      </x:c>
    </x:row>
    <x:row r="408" ht="32" customHeight="1">
      <x:c r="A408" s="6" t="str">
        <x:v>jaguar repair specialist</x:v>
      </x:c>
      <x:c r="B408" s="16" t="n">
        <x:v>0.8</x:v>
      </x:c>
      <x:c r="C408" s="16" t="n">
        <x:v>3</x:v>
      </x:c>
      <x:c r="D408" s="16" t="n">
        <x:f>IF('Queries'!E408&lt;='Rules'!$B$17,'Rules'!$B$21,IF('Queries'!E408&lt;='Rules'!$B$18,'Rules'!$B$22,IF('Queries'!E408&lt;='Rules'!$B$19,'Rules'!$B$23,IF('Queries'!E408&lt;='Rules'!$B$20,'Rules'!$B$24,'Rules'!$B$25))))</x:f>
        <x:v>0.4</x:v>
      </x:c>
      <x:c r="E408" s="16" t="n">
        <x:f>MIN(LOG10(1+'Queries'!C408)/'Rules'!$B$13,1)</x:f>
        <x:v>0.5187675002557633</x:v>
      </x:c>
      <x:c r="F408" s="16" t="n">
        <x:f>IF(AND('Queries'!E408&lt;='Rules'!$B$15,'Queries'!C408&gt;='Rules'!$B$14,'Queries'!D408&lt;'Rules'!$B$16),1,0)</x:f>
        <x:v>0</x:v>
      </x:c>
      <x:c r="G408" s="16" t="n">
        <x:v>1</x:v>
      </x:c>
      <x:c r="H408" s="16" t="n">
        <x:v>1</x:v>
      </x:c>
      <x:c r="I408" s="16" t="n">
        <x:f>ROUND((B408*'Rules'!$B$6+C408/'Rules'!$B$12*'Rules'!$B$7+D408*'Rules'!$B$8+E408*'Rules'!$B$9+F408*'Rules'!$B$10+G408*'Rules'!$B$11)*H408,1)</x:f>
        <x:v>57.2</x:v>
      </x:c>
      <x:c r="J408" s="18" t="n">
        <x:f>'Queries'!C408*'Queries'!E408</x:f>
        <x:v>1307.9499999999998</x:v>
      </x:c>
    </x:row>
    <x:row r="409" ht="32" customHeight="1">
      <x:c r="A409" s="6" t="str">
        <x:v>vehicle paint protection</x:v>
      </x:c>
      <x:c r="B409" s="16" t="n">
        <x:v>0.8</x:v>
      </x:c>
      <x:c r="C409" s="16" t="n">
        <x:v>5</x:v>
      </x:c>
      <x:c r="D409" s="16" t="n">
        <x:f>IF('Queries'!E409&lt;='Rules'!$B$17,'Rules'!$B$21,IF('Queries'!E409&lt;='Rules'!$B$18,'Rules'!$B$22,IF('Queries'!E409&lt;='Rules'!$B$19,'Rules'!$B$23,IF('Queries'!E409&lt;='Rules'!$B$20,'Rules'!$B$24,'Rules'!$B$25))))</x:f>
        <x:v>0.4</x:v>
      </x:c>
      <x:c r="E409" s="16" t="n">
        <x:f>MIN(LOG10(1+'Queries'!C409)/'Rules'!$B$13,1)</x:f>
        <x:v>0.5187675002557633</x:v>
      </x:c>
      <x:c r="F409" s="16" t="n">
        <x:f>IF(AND('Queries'!E409&lt;='Rules'!$B$15,'Queries'!C409&gt;='Rules'!$B$14,'Queries'!D409&lt;'Rules'!$B$16),1,0)</x:f>
        <x:v>0</x:v>
      </x:c>
      <x:c r="G409" s="16" t="n">
        <x:v>1</x:v>
      </x:c>
      <x:c r="H409" s="16" t="n">
        <x:v>1</x:v>
      </x:c>
      <x:c r="I409" s="16" t="n">
        <x:f>ROUND((B409*'Rules'!$B$6+C409/'Rules'!$B$12*'Rules'!$B$7+D409*'Rules'!$B$8+E409*'Rules'!$B$9+F409*'Rules'!$B$10+G409*'Rules'!$B$11)*H409,1)</x:f>
        <x:v>65.2</x:v>
      </x:c>
      <x:c r="J409" s="18" t="n">
        <x:f>'Queries'!C409*'Queries'!E409</x:f>
        <x:v>1348.8999999999999</x:v>
      </x:c>
    </x:row>
    <x:row r="410" ht="32" customHeight="1">
      <x:c r="A410" s="6" t="str">
        <x:v>engine oil change</x:v>
      </x:c>
      <x:c r="B410" s="16" t="n">
        <x:v>0.8</x:v>
      </x:c>
      <x:c r="C410" s="16" t="n">
        <x:v>3</x:v>
      </x:c>
      <x:c r="D410" s="16" t="n">
        <x:f>IF('Queries'!E410&lt;='Rules'!$B$17,'Rules'!$B$21,IF('Queries'!E410&lt;='Rules'!$B$18,'Rules'!$B$22,IF('Queries'!E410&lt;='Rules'!$B$19,'Rules'!$B$23,IF('Queries'!E410&lt;='Rules'!$B$20,'Rules'!$B$24,'Rules'!$B$25))))</x:f>
        <x:v>0.15</x:v>
      </x:c>
      <x:c r="E410" s="16" t="n">
        <x:f>MIN(LOG10(1+'Queries'!C410)/'Rules'!$B$13,1)</x:f>
        <x:v>0.5187675002557633</x:v>
      </x:c>
      <x:c r="F410" s="16" t="n">
        <x:f>IF(AND('Queries'!E410&lt;='Rules'!$B$15,'Queries'!C410&gt;='Rules'!$B$14,'Queries'!D410&lt;'Rules'!$B$16),1,0)</x:f>
        <x:v>0</x:v>
      </x:c>
      <x:c r="G410" s="16" t="n">
        <x:v>1</x:v>
      </x:c>
      <x:c r="H410" s="16" t="n">
        <x:v>1</x:v>
      </x:c>
      <x:c r="I410" s="16" t="n">
        <x:f>ROUND((B410*'Rules'!$B$6+C410/'Rules'!$B$12*'Rules'!$B$7+D410*'Rules'!$B$8+E410*'Rules'!$B$9+F410*'Rules'!$B$10+G410*'Rules'!$B$11)*H410,1)</x:f>
        <x:v>50.9</x:v>
      </x:c>
      <x:c r="J410" s="18" t="n">
        <x:f>'Queries'!C410*'Queries'!E410</x:f>
        <x:v>1478.05</x:v>
      </x:c>
    </x:row>
    <x:row r="411" ht="32" customHeight="1">
      <x:c r="A411" s="6" t="str">
        <x:v>maybach service center dubai</x:v>
      </x:c>
      <x:c r="B411" s="16" t="n">
        <x:v>1</x:v>
      </x:c>
      <x:c r="C411" s="16" t="n">
        <x:v>5</x:v>
      </x:c>
      <x:c r="D411" s="16" t="n">
        <x:f>IF('Queries'!E411&lt;='Rules'!$B$17,'Rules'!$B$21,IF('Queries'!E411&lt;='Rules'!$B$18,'Rules'!$B$22,IF('Queries'!E411&lt;='Rules'!$B$19,'Rules'!$B$23,IF('Queries'!E411&lt;='Rules'!$B$20,'Rules'!$B$24,'Rules'!$B$25))))</x:f>
        <x:v>0.7</x:v>
      </x:c>
      <x:c r="E411" s="16" t="n">
        <x:f>MIN(LOG10(1+'Queries'!C411)/'Rules'!$B$13,1)</x:f>
        <x:v>0.5146893481167599</x:v>
      </x:c>
      <x:c r="F411" s="16" t="n">
        <x:f>IF(AND('Queries'!E411&lt;='Rules'!$B$15,'Queries'!C411&gt;='Rules'!$B$14,'Queries'!D411&lt;'Rules'!$B$16),1,0)</x:f>
        <x:v>0</x:v>
      </x:c>
      <x:c r="G411" s="16" t="n">
        <x:v>1</x:v>
      </x:c>
      <x:c r="H411" s="16" t="n">
        <x:v>1</x:v>
      </x:c>
      <x:c r="I411" s="16" t="n">
        <x:f>ROUND((B411*'Rules'!$B$6+C411/'Rules'!$B$12*'Rules'!$B$7+D411*'Rules'!$B$8+E411*'Rules'!$B$9+F411*'Rules'!$B$10+G411*'Rules'!$B$11)*H411,1)</x:f>
        <x:v>77.6</x:v>
      </x:c>
      <x:c r="J411" s="18" t="n">
        <x:f>'Queries'!C411*'Queries'!E411</x:f>
        <x:v>570.86</x:v>
      </x:c>
    </x:row>
    <x:row r="412" ht="32" customHeight="1">
      <x:c r="A412" s="6" t="str">
        <x:v>mclaren transmission repair dubai</x:v>
      </x:c>
      <x:c r="B412" s="16" t="n">
        <x:v>1</x:v>
      </x:c>
      <x:c r="C412" s="16" t="n">
        <x:v>5</x:v>
      </x:c>
      <x:c r="D412" s="16" t="n">
        <x:f>IF('Queries'!E412&lt;='Rules'!$B$17,'Rules'!$B$21,IF('Queries'!E412&lt;='Rules'!$B$18,'Rules'!$B$22,IF('Queries'!E412&lt;='Rules'!$B$19,'Rules'!$B$23,IF('Queries'!E412&lt;='Rules'!$B$20,'Rules'!$B$24,'Rules'!$B$25))))</x:f>
        <x:v>0.7</x:v>
      </x:c>
      <x:c r="E412" s="16" t="n">
        <x:f>MIN(LOG10(1+'Queries'!C412)/'Rules'!$B$13,1)</x:f>
        <x:v>0.5146893481167599</x:v>
      </x:c>
      <x:c r="F412" s="16" t="n">
        <x:f>IF(AND('Queries'!E412&lt;='Rules'!$B$15,'Queries'!C412&gt;='Rules'!$B$14,'Queries'!D412&lt;'Rules'!$B$16),1,0)</x:f>
        <x:v>0</x:v>
      </x:c>
      <x:c r="G412" s="16" t="n">
        <x:v>1</x:v>
      </x:c>
      <x:c r="H412" s="16" t="n">
        <x:v>1</x:v>
      </x:c>
      <x:c r="I412" s="16" t="n">
        <x:f>ROUND((B412*'Rules'!$B$6+C412/'Rules'!$B$12*'Rules'!$B$7+D412*'Rules'!$B$8+E412*'Rules'!$B$9+F412*'Rules'!$B$10+G412*'Rules'!$B$11)*H412,1)</x:f>
        <x:v>77.6</x:v>
      </x:c>
      <x:c r="J412" s="18" t="n">
        <x:f>'Queries'!C412*'Queries'!E412</x:f>
        <x:v>721.14</x:v>
      </x:c>
    </x:row>
    <x:row r="413" ht="32" customHeight="1">
      <x:c r="A413" s="6" t="str">
        <x:v>chrysler repair dubai</x:v>
      </x:c>
      <x:c r="B413" s="16" t="n">
        <x:v>1</x:v>
      </x:c>
      <x:c r="C413" s="16" t="n">
        <x:v>3</x:v>
      </x:c>
      <x:c r="D413" s="16" t="n">
        <x:f>IF('Queries'!E413&lt;='Rules'!$B$17,'Rules'!$B$21,IF('Queries'!E413&lt;='Rules'!$B$18,'Rules'!$B$22,IF('Queries'!E413&lt;='Rules'!$B$19,'Rules'!$B$23,IF('Queries'!E413&lt;='Rules'!$B$20,'Rules'!$B$24,'Rules'!$B$25))))</x:f>
        <x:v>0.7</x:v>
      </x:c>
      <x:c r="E413" s="16" t="n">
        <x:f>MIN(LOG10(1+'Queries'!C413)/'Rules'!$B$13,1)</x:f>
        <x:v>0.5146893481167599</x:v>
      </x:c>
      <x:c r="F413" s="16" t="n">
        <x:f>IF(AND('Queries'!E413&lt;='Rules'!$B$15,'Queries'!C413&gt;='Rules'!$B$14,'Queries'!D413&lt;'Rules'!$B$16),1,0)</x:f>
        <x:v>0</x:v>
      </x:c>
      <x:c r="G413" s="16" t="n">
        <x:v>1</x:v>
      </x:c>
      <x:c r="H413" s="16" t="n">
        <x:v>1</x:v>
      </x:c>
      <x:c r="I413" s="16" t="n">
        <x:f>ROUND((B413*'Rules'!$B$6+C413/'Rules'!$B$12*'Rules'!$B$7+D413*'Rules'!$B$8+E413*'Rules'!$B$9+F413*'Rules'!$B$10+G413*'Rules'!$B$11)*H413,1)</x:f>
        <x:v>69.6</x:v>
      </x:c>
      <x:c r="J413" s="18" t="n">
        <x:f>'Queries'!C413*'Queries'!E413</x:f>
        <x:v>802.06</x:v>
      </x:c>
    </x:row>
    <x:row r="414" ht="32" customHeight="1">
      <x:c r="A414" s="6" t="str">
        <x:v>porsche suspension service dubai</x:v>
      </x:c>
      <x:c r="B414" s="16" t="n">
        <x:v>1</x:v>
      </x:c>
      <x:c r="C414" s="16" t="n">
        <x:v>5</x:v>
      </x:c>
      <x:c r="D414" s="16" t="n">
        <x:f>IF('Queries'!E414&lt;='Rules'!$B$17,'Rules'!$B$21,IF('Queries'!E414&lt;='Rules'!$B$18,'Rules'!$B$22,IF('Queries'!E414&lt;='Rules'!$B$19,'Rules'!$B$23,IF('Queries'!E414&lt;='Rules'!$B$20,'Rules'!$B$24,'Rules'!$B$25))))</x:f>
        <x:v>0.4</x:v>
      </x:c>
      <x:c r="E414" s="16" t="n">
        <x:f>MIN(LOG10(1+'Queries'!C414)/'Rules'!$B$13,1)</x:f>
        <x:v>0.5146893481167599</x:v>
      </x:c>
      <x:c r="F414" s="16" t="n">
        <x:f>IF(AND('Queries'!E414&lt;='Rules'!$B$15,'Queries'!C414&gt;='Rules'!$B$14,'Queries'!D414&lt;'Rules'!$B$16),1,0)</x:f>
        <x:v>0</x:v>
      </x:c>
      <x:c r="G414" s="16" t="n">
        <x:v>1</x:v>
      </x:c>
      <x:c r="H414" s="16" t="n">
        <x:v>1</x:v>
      </x:c>
      <x:c r="I414" s="16" t="n">
        <x:f>ROUND((B414*'Rules'!$B$6+C414/'Rules'!$B$12*'Rules'!$B$7+D414*'Rules'!$B$8+E414*'Rules'!$B$9+F414*'Rules'!$B$10+G414*'Rules'!$B$11)*H414,1)</x:f>
        <x:v>70.1</x:v>
      </x:c>
      <x:c r="J414" s="18" t="n">
        <x:f>'Queries'!C414*'Queries'!E414</x:f>
        <x:v>1280.1</x:v>
      </x:c>
    </x:row>
    <x:row r="415" ht="32" customHeight="1">
      <x:c r="A415" s="6" t="str">
        <x:v>steering wheel restoration dubai</x:v>
      </x:c>
      <x:c r="B415" s="16" t="n">
        <x:v>1</x:v>
      </x:c>
      <x:c r="C415" s="16" t="n">
        <x:v>1</x:v>
      </x:c>
      <x:c r="D415" s="16" t="n">
        <x:f>IF('Queries'!E415&lt;='Rules'!$B$17,'Rules'!$B$21,IF('Queries'!E415&lt;='Rules'!$B$18,'Rules'!$B$22,IF('Queries'!E415&lt;='Rules'!$B$19,'Rules'!$B$23,IF('Queries'!E415&lt;='Rules'!$B$20,'Rules'!$B$24,'Rules'!$B$25))))</x:f>
        <x:v>0.4</x:v>
      </x:c>
      <x:c r="E415" s="16" t="n">
        <x:f>MIN(LOG10(1+'Queries'!C415)/'Rules'!$B$13,1)</x:f>
        <x:v>0.5146893481167599</x:v>
      </x:c>
      <x:c r="F415" s="16" t="n">
        <x:f>IF(AND('Queries'!E415&lt;='Rules'!$B$15,'Queries'!C415&gt;='Rules'!$B$14,'Queries'!D415&lt;'Rules'!$B$16),1,0)</x:f>
        <x:v>0</x:v>
      </x:c>
      <x:c r="G415" s="16" t="n">
        <x:v>0</x:v>
      </x:c>
      <x:c r="H415" s="16" t="n">
        <x:v>0.1</x:v>
      </x:c>
      <x:c r="I415" s="16" t="n">
        <x:f>ROUND((B415*'Rules'!$B$6+C415/'Rules'!$B$12*'Rules'!$B$7+D415*'Rules'!$B$8+E415*'Rules'!$B$9+F415*'Rules'!$B$10+G415*'Rules'!$B$11)*H415,1)</x:f>
        <x:v>4.4</x:v>
      </x:c>
      <x:c r="J415" s="18" t="n">
        <x:f>'Queries'!C415*'Queries'!E415</x:f>
        <x:v>1311.04</x:v>
      </x:c>
    </x:row>
    <x:row r="416" ht="32" customHeight="1">
      <x:c r="A416" s="6" t="str">
        <x:v>lamborghini car service in dubai</x:v>
      </x:c>
      <x:c r="B416" s="16" t="n">
        <x:v>1</x:v>
      </x:c>
      <x:c r="C416" s="16" t="n">
        <x:v>5</x:v>
      </x:c>
      <x:c r="D416" s="16" t="n">
        <x:f>IF('Queries'!E416&lt;='Rules'!$B$17,'Rules'!$B$21,IF('Queries'!E416&lt;='Rules'!$B$18,'Rules'!$B$22,IF('Queries'!E416&lt;='Rules'!$B$19,'Rules'!$B$23,IF('Queries'!E416&lt;='Rules'!$B$20,'Rules'!$B$24,'Rules'!$B$25))))</x:f>
        <x:v>0.4</x:v>
      </x:c>
      <x:c r="E416" s="16" t="n">
        <x:f>MIN(LOG10(1+'Queries'!C416)/'Rules'!$B$13,1)</x:f>
        <x:v>0.5146893481167599</x:v>
      </x:c>
      <x:c r="F416" s="16" t="n">
        <x:f>IF(AND('Queries'!E416&lt;='Rules'!$B$15,'Queries'!C416&gt;='Rules'!$B$14,'Queries'!D416&lt;'Rules'!$B$16),1,0)</x:f>
        <x:v>0</x:v>
      </x:c>
      <x:c r="G416" s="16" t="n">
        <x:v>1</x:v>
      </x:c>
      <x:c r="H416" s="16" t="n">
        <x:v>1</x:v>
      </x:c>
      <x:c r="I416" s="16" t="n">
        <x:f>ROUND((B416*'Rules'!$B$6+C416/'Rules'!$B$12*'Rules'!$B$7+D416*'Rules'!$B$8+E416*'Rules'!$B$9+F416*'Rules'!$B$10+G416*'Rules'!$B$11)*H416,1)</x:f>
        <x:v>70.1</x:v>
      </x:c>
      <x:c r="J416" s="18" t="n">
        <x:f>'Queries'!C416*'Queries'!E416</x:f>
        <x:v>1326</x:v>
      </x:c>
    </x:row>
    <x:row r="417" ht="32" customHeight="1">
      <x:c r="A417" s="6" t="str">
        <x:v>تغيير زيت السيارة في دبي</x:v>
      </x:c>
      <x:c r="B417" s="16" t="n">
        <x:v>1</x:v>
      </x:c>
      <x:c r="C417" s="16" t="n">
        <x:v>3</x:v>
      </x:c>
      <x:c r="D417" s="16" t="n">
        <x:f>IF('Queries'!E417&lt;='Rules'!$B$17,'Rules'!$B$21,IF('Queries'!E417&lt;='Rules'!$B$18,'Rules'!$B$22,IF('Queries'!E417&lt;='Rules'!$B$19,'Rules'!$B$23,IF('Queries'!E417&lt;='Rules'!$B$20,'Rules'!$B$24,'Rules'!$B$25))))</x:f>
        <x:v>0.15</x:v>
      </x:c>
      <x:c r="E417" s="16" t="n">
        <x:f>MIN(LOG10(1+'Queries'!C417)/'Rules'!$B$13,1)</x:f>
        <x:v>0.5146893481167599</x:v>
      </x:c>
      <x:c r="F417" s="16" t="n">
        <x:f>IF(AND('Queries'!E417&lt;='Rules'!$B$15,'Queries'!C417&gt;='Rules'!$B$14,'Queries'!D417&lt;'Rules'!$B$16),1,0)</x:f>
        <x:v>0</x:v>
      </x:c>
      <x:c r="G417" s="16" t="n">
        <x:v>1</x:v>
      </x:c>
      <x:c r="H417" s="16" t="n">
        <x:v>1</x:v>
      </x:c>
      <x:c r="I417" s="16" t="n">
        <x:f>ROUND((B417*'Rules'!$B$6+C417/'Rules'!$B$12*'Rules'!$B$7+D417*'Rules'!$B$8+E417*'Rules'!$B$9+F417*'Rules'!$B$10+G417*'Rules'!$B$11)*H417,1)</x:f>
        <x:v>55.9</x:v>
      </x:c>
      <x:c r="J417" s="18" t="n">
        <x:f>'Queries'!C417*'Queries'!E417</x:f>
        <x:v>1370.88</x:v>
      </x:c>
    </x:row>
    <x:row r="418" ht="32" customHeight="1">
      <x:c r="A418" s="6" t="str">
        <x:v>cadillac repair</x:v>
      </x:c>
      <x:c r="B418" s="16" t="n">
        <x:v>0.8</x:v>
      </x:c>
      <x:c r="C418" s="16" t="n">
        <x:v>3</x:v>
      </x:c>
      <x:c r="D418" s="16" t="n">
        <x:f>IF('Queries'!E418&lt;='Rules'!$B$17,'Rules'!$B$21,IF('Queries'!E418&lt;='Rules'!$B$18,'Rules'!$B$22,IF('Queries'!E418&lt;='Rules'!$B$19,'Rules'!$B$23,IF('Queries'!E418&lt;='Rules'!$B$20,'Rules'!$B$24,'Rules'!$B$25))))</x:f>
        <x:v>0.15</x:v>
      </x:c>
      <x:c r="E418" s="16" t="n">
        <x:f>MIN(LOG10(1+'Queries'!C418)/'Rules'!$B$13,1)</x:f>
        <x:v>0.5146893481167599</x:v>
      </x:c>
      <x:c r="F418" s="16" t="n">
        <x:f>IF(AND('Queries'!E418&lt;='Rules'!$B$15,'Queries'!C418&gt;='Rules'!$B$14,'Queries'!D418&lt;'Rules'!$B$16),1,0)</x:f>
        <x:v>0</x:v>
      </x:c>
      <x:c r="G418" s="16" t="n">
        <x:v>1</x:v>
      </x:c>
      <x:c r="H418" s="16" t="n">
        <x:v>1</x:v>
      </x:c>
      <x:c r="I418" s="16" t="n">
        <x:f>ROUND((B418*'Rules'!$B$6+C418/'Rules'!$B$12*'Rules'!$B$7+D418*'Rules'!$B$8+E418*'Rules'!$B$9+F418*'Rules'!$B$10+G418*'Rules'!$B$11)*H418,1)</x:f>
        <x:v>50.9</x:v>
      </x:c>
      <x:c r="J418" s="18" t="n">
        <x:f>'Queries'!C418*'Queries'!E418</x:f>
        <x:v>1515.04</x:v>
      </x:c>
    </x:row>
    <x:row r="419" ht="32" customHeight="1">
      <x:c r="A419" s="6" t="str">
        <x:v>تصليح بنتلى ابوظبي</x:v>
      </x:c>
      <x:c r="B419" s="16" t="n">
        <x:v>1</x:v>
      </x:c>
      <x:c r="C419" s="16" t="n">
        <x:v>1</x:v>
      </x:c>
      <x:c r="D419" s="16" t="n">
        <x:f>IF('Queries'!E419&lt;='Rules'!$B$17,'Rules'!$B$21,IF('Queries'!E419&lt;='Rules'!$B$18,'Rules'!$B$22,IF('Queries'!E419&lt;='Rules'!$B$19,'Rules'!$B$23,IF('Queries'!E419&lt;='Rules'!$B$20,'Rules'!$B$24,'Rules'!$B$25))))</x:f>
        <x:v>0.15</x:v>
      </x:c>
      <x:c r="E419" s="16" t="n">
        <x:f>MIN(LOG10(1+'Queries'!C419)/'Rules'!$B$13,1)</x:f>
        <x:v>0.5146893481167599</x:v>
      </x:c>
      <x:c r="F419" s="16" t="n">
        <x:f>IF(AND('Queries'!E419&lt;='Rules'!$B$15,'Queries'!C419&gt;='Rules'!$B$14,'Queries'!D419&lt;'Rules'!$B$16),1,0)</x:f>
        <x:v>0</x:v>
      </x:c>
      <x:c r="G419" s="16" t="n">
        <x:v>1</x:v>
      </x:c>
      <x:c r="H419" s="16" t="n">
        <x:v>0.2</x:v>
      </x:c>
      <x:c r="I419" s="16" t="n">
        <x:f>ROUND((B419*'Rules'!$B$6+C419/'Rules'!$B$12*'Rules'!$B$7+D419*'Rules'!$B$8+E419*'Rules'!$B$9+F419*'Rules'!$B$10+G419*'Rules'!$B$11)*H419,1)</x:f>
        <x:v>9.6</x:v>
      </x:c>
      <x:c r="J419" s="18" t="n">
        <x:f>'Queries'!C419*'Queries'!E419</x:f>
        <x:v>1952.96</x:v>
      </x:c>
    </x:row>
    <x:row r="420" ht="32" customHeight="1">
      <x:c r="A420" s="6" t="str">
        <x:v>mercedes brake repair</x:v>
      </x:c>
      <x:c r="B420" s="16" t="n">
        <x:v>0.8</x:v>
      </x:c>
      <x:c r="C420" s="16" t="n">
        <x:v>5</x:v>
      </x:c>
      <x:c r="D420" s="16" t="n">
        <x:f>IF('Queries'!E420&lt;='Rules'!$B$17,'Rules'!$B$21,IF('Queries'!E420&lt;='Rules'!$B$18,'Rules'!$B$22,IF('Queries'!E420&lt;='Rules'!$B$19,'Rules'!$B$23,IF('Queries'!E420&lt;='Rules'!$B$20,'Rules'!$B$24,'Rules'!$B$25))))</x:f>
        <x:v>0.15</x:v>
      </x:c>
      <x:c r="E420" s="16" t="n">
        <x:f>MIN(LOG10(1+'Queries'!C420)/'Rules'!$B$13,1)</x:f>
        <x:v>0.5146893481167599</x:v>
      </x:c>
      <x:c r="F420" s="16" t="n">
        <x:f>IF(AND('Queries'!E420&lt;='Rules'!$B$15,'Queries'!C420&gt;='Rules'!$B$14,'Queries'!D420&lt;'Rules'!$B$16),1,0)</x:f>
        <x:v>0</x:v>
      </x:c>
      <x:c r="G420" s="16" t="n">
        <x:v>1</x:v>
      </x:c>
      <x:c r="H420" s="16" t="n">
        <x:v>1</x:v>
      </x:c>
      <x:c r="I420" s="16" t="n">
        <x:f>ROUND((B420*'Rules'!$B$6+C420/'Rules'!$B$12*'Rules'!$B$7+D420*'Rules'!$B$8+E420*'Rules'!$B$9+F420*'Rules'!$B$10+G420*'Rules'!$B$11)*H420,1)</x:f>
        <x:v>58.9</x:v>
      </x:c>
      <x:c r="J420" s="18" t="n">
        <x:f>'Queries'!C420*'Queries'!E420</x:f>
        <x:v>1964.86</x:v>
      </x:c>
    </x:row>
    <x:row r="421" ht="32" customHeight="1">
      <x:c r="A421" s="6" t="str">
        <x:v>best tyre change dubai</x:v>
      </x:c>
      <x:c r="B421" s="16" t="n">
        <x:v>1</x:v>
      </x:c>
      <x:c r="C421" s="16" t="n">
        <x:v>2</x:v>
      </x:c>
      <x:c r="D421" s="16" t="n">
        <x:f>IF('Queries'!E421&lt;='Rules'!$B$17,'Rules'!$B$21,IF('Queries'!E421&lt;='Rules'!$B$18,'Rules'!$B$22,IF('Queries'!E421&lt;='Rules'!$B$19,'Rules'!$B$23,IF('Queries'!E421&lt;='Rules'!$B$20,'Rules'!$B$24,'Rules'!$B$25))))</x:f>
        <x:v>0.15</x:v>
      </x:c>
      <x:c r="E421" s="16" t="n">
        <x:f>MIN(LOG10(1+'Queries'!C421)/'Rules'!$B$13,1)</x:f>
        <x:v>0.5146893481167599</x:v>
      </x:c>
      <x:c r="F421" s="16" t="n">
        <x:f>IF(AND('Queries'!E421&lt;='Rules'!$B$15,'Queries'!C421&gt;='Rules'!$B$14,'Queries'!D421&lt;'Rules'!$B$16),1,0)</x:f>
        <x:v>0</x:v>
      </x:c>
      <x:c r="G421" s="16" t="n">
        <x:v>1</x:v>
      </x:c>
      <x:c r="H421" s="16" t="n">
        <x:v>1</x:v>
      </x:c>
      <x:c r="I421" s="16" t="n">
        <x:f>ROUND((B421*'Rules'!$B$6+C421/'Rules'!$B$12*'Rules'!$B$7+D421*'Rules'!$B$8+E421*'Rules'!$B$9+F421*'Rules'!$B$10+G421*'Rules'!$B$11)*H421,1)</x:f>
        <x:v>51.9</x:v>
      </x:c>
      <x:c r="J421" s="18" t="n">
        <x:f>'Queries'!C421*'Queries'!E421</x:f>
        <x:v>2827.1000000000004</x:v>
      </x:c>
    </x:row>
    <x:row r="422" ht="32" customHeight="1">
      <x:c r="A422" s="6" t="str">
        <x:v>porsche workshop</x:v>
      </x:c>
      <x:c r="B422" s="16" t="n">
        <x:v>0.8</x:v>
      </x:c>
      <x:c r="C422" s="16" t="n">
        <x:v>5</x:v>
      </x:c>
      <x:c r="D422" s="16" t="n">
        <x:f>IF('Queries'!E422&lt;='Rules'!$B$17,'Rules'!$B$21,IF('Queries'!E422&lt;='Rules'!$B$18,'Rules'!$B$22,IF('Queries'!E422&lt;='Rules'!$B$19,'Rules'!$B$23,IF('Queries'!E422&lt;='Rules'!$B$20,'Rules'!$B$24,'Rules'!$B$25))))</x:f>
        <x:v>1</x:v>
      </x:c>
      <x:c r="E422" s="16" t="n">
        <x:f>MIN(LOG10(1+'Queries'!C422)/'Rules'!$B$13,1)</x:f>
        <x:v>0.51049297234742</x:v>
      </x:c>
      <x:c r="F422" s="16" t="n">
        <x:f>IF(AND('Queries'!E422&lt;='Rules'!$B$15,'Queries'!C422&gt;='Rules'!$B$14,'Queries'!D422&lt;'Rules'!$B$16),1,0)</x:f>
        <x:v>0</x:v>
      </x:c>
      <x:c r="G422" s="16" t="n">
        <x:v>1</x:v>
      </x:c>
      <x:c r="H422" s="16" t="n">
        <x:v>1</x:v>
      </x:c>
      <x:c r="I422" s="16" t="n">
        <x:f>ROUND((B422*'Rules'!$B$6+C422/'Rules'!$B$12*'Rules'!$B$7+D422*'Rules'!$B$8+E422*'Rules'!$B$9+F422*'Rules'!$B$10+G422*'Rules'!$B$11)*H422,1)</x:f>
        <x:v>80.1</x:v>
      </x:c>
      <x:c r="J422" s="18" t="n">
        <x:f>'Queries'!C422*'Queries'!E422</x:f>
        <x:v>396</x:v>
      </x:c>
    </x:row>
    <x:row r="423" ht="32" customHeight="1">
      <x:c r="A423" s="6" t="str">
        <x:v>volkswagen workshop dubai</x:v>
      </x:c>
      <x:c r="B423" s="16" t="n">
        <x:v>1</x:v>
      </x:c>
      <x:c r="C423" s="16" t="n">
        <x:v>3</x:v>
      </x:c>
      <x:c r="D423" s="16" t="n">
        <x:f>IF('Queries'!E423&lt;='Rules'!$B$17,'Rules'!$B$21,IF('Queries'!E423&lt;='Rules'!$B$18,'Rules'!$B$22,IF('Queries'!E423&lt;='Rules'!$B$19,'Rules'!$B$23,IF('Queries'!E423&lt;='Rules'!$B$20,'Rules'!$B$24,'Rules'!$B$25))))</x:f>
        <x:v>0.7</x:v>
      </x:c>
      <x:c r="E423" s="16" t="n">
        <x:f>MIN(LOG10(1+'Queries'!C423)/'Rules'!$B$13,1)</x:f>
        <x:v>0.51049297234742</x:v>
      </x:c>
      <x:c r="F423" s="16" t="n">
        <x:f>IF(AND('Queries'!E423&lt;='Rules'!$B$15,'Queries'!C423&gt;='Rules'!$B$14,'Queries'!D423&lt;'Rules'!$B$16),1,0)</x:f>
        <x:v>0</x:v>
      </x:c>
      <x:c r="G423" s="16" t="n">
        <x:v>1</x:v>
      </x:c>
      <x:c r="H423" s="16" t="n">
        <x:v>1</x:v>
      </x:c>
      <x:c r="I423" s="16" t="n">
        <x:f>ROUND((B423*'Rules'!$B$6+C423/'Rules'!$B$12*'Rules'!$B$7+D423*'Rules'!$B$8+E423*'Rules'!$B$9+F423*'Rules'!$B$10+G423*'Rules'!$B$11)*H423,1)</x:f>
        <x:v>69.6</x:v>
      </x:c>
      <x:c r="J423" s="18" t="n">
        <x:f>'Queries'!C423*'Queries'!E423</x:f>
        <x:v>779.13</x:v>
      </x:c>
    </x:row>
    <x:row r="424" ht="32" customHeight="1">
      <x:c r="A424" s="6" t="str">
        <x:v>porsche tuning dubai</x:v>
      </x:c>
      <x:c r="B424" s="16" t="n">
        <x:v>1</x:v>
      </x:c>
      <x:c r="C424" s="16" t="n">
        <x:v>5</x:v>
      </x:c>
      <x:c r="D424" s="16" t="n">
        <x:f>IF('Queries'!E424&lt;='Rules'!$B$17,'Rules'!$B$21,IF('Queries'!E424&lt;='Rules'!$B$18,'Rules'!$B$22,IF('Queries'!E424&lt;='Rules'!$B$19,'Rules'!$B$23,IF('Queries'!E424&lt;='Rules'!$B$20,'Rules'!$B$24,'Rules'!$B$25))))</x:f>
        <x:v>0.4</x:v>
      </x:c>
      <x:c r="E424" s="16" t="n">
        <x:f>MIN(LOG10(1+'Queries'!C424)/'Rules'!$B$13,1)</x:f>
        <x:v>0.51049297234742</x:v>
      </x:c>
      <x:c r="F424" s="16" t="n">
        <x:f>IF(AND('Queries'!E424&lt;='Rules'!$B$15,'Queries'!C424&gt;='Rules'!$B$14,'Queries'!D424&lt;'Rules'!$B$16),1,0)</x:f>
        <x:v>0</x:v>
      </x:c>
      <x:c r="G424" s="16" t="n">
        <x:v>1</x:v>
      </x:c>
      <x:c r="H424" s="16" t="n">
        <x:v>1</x:v>
      </x:c>
      <x:c r="I424" s="16" t="n">
        <x:f>ROUND((B424*'Rules'!$B$6+C424/'Rules'!$B$12*'Rules'!$B$7+D424*'Rules'!$B$8+E424*'Rules'!$B$9+F424*'Rules'!$B$10+G424*'Rules'!$B$11)*H424,1)</x:f>
        <x:v>70.1</x:v>
      </x:c>
      <x:c r="J424" s="18" t="n">
        <x:f>'Queries'!C424*'Queries'!E424</x:f>
        <x:v>1010.13</x:v>
      </x:c>
    </x:row>
    <x:row r="425" ht="32" customHeight="1">
      <x:c r="A425" s="6" t="str">
        <x:v>car accident repair dubai</x:v>
      </x:c>
      <x:c r="B425" s="16" t="n">
        <x:v>1</x:v>
      </x:c>
      <x:c r="C425" s="16" t="n">
        <x:v>3</x:v>
      </x:c>
      <x:c r="D425" s="16" t="n">
        <x:f>IF('Queries'!E425&lt;='Rules'!$B$17,'Rules'!$B$21,IF('Queries'!E425&lt;='Rules'!$B$18,'Rules'!$B$22,IF('Queries'!E425&lt;='Rules'!$B$19,'Rules'!$B$23,IF('Queries'!E425&lt;='Rules'!$B$20,'Rules'!$B$24,'Rules'!$B$25))))</x:f>
        <x:v>0.15</x:v>
      </x:c>
      <x:c r="E425" s="16" t="n">
        <x:f>MIN(LOG10(1+'Queries'!C425)/'Rules'!$B$13,1)</x:f>
        <x:v>0.51049297234742</x:v>
      </x:c>
      <x:c r="F425" s="16" t="n">
        <x:f>IF(AND('Queries'!E425&lt;='Rules'!$B$15,'Queries'!C425&gt;='Rules'!$B$14,'Queries'!D425&lt;'Rules'!$B$16),1,0)</x:f>
        <x:v>0</x:v>
      </x:c>
      <x:c r="G425" s="16" t="n">
        <x:v>1</x:v>
      </x:c>
      <x:c r="H425" s="16" t="n">
        <x:v>1</x:v>
      </x:c>
      <x:c r="I425" s="16" t="n">
        <x:f>ROUND((B425*'Rules'!$B$6+C425/'Rules'!$B$12*'Rules'!$B$7+D425*'Rules'!$B$8+E425*'Rules'!$B$9+F425*'Rules'!$B$10+G425*'Rules'!$B$11)*H425,1)</x:f>
        <x:v>55.9</x:v>
      </x:c>
      <x:c r="J425" s="18" t="n">
        <x:f>'Queries'!C425*'Queries'!E425</x:f>
        <x:v>1363.8899999999999</x:v>
      </x:c>
    </x:row>
    <x:row r="426" ht="32" customHeight="1">
      <x:c r="A426" s="6" t="str">
        <x:v>bentley servicing</x:v>
      </x:c>
      <x:c r="B426" s="16" t="n">
        <x:v>0.8</x:v>
      </x:c>
      <x:c r="C426" s="16" t="n">
        <x:v>5</x:v>
      </x:c>
      <x:c r="D426" s="16" t="n">
        <x:f>IF('Queries'!E426&lt;='Rules'!$B$17,'Rules'!$B$21,IF('Queries'!E426&lt;='Rules'!$B$18,'Rules'!$B$22,IF('Queries'!E426&lt;='Rules'!$B$19,'Rules'!$B$23,IF('Queries'!E426&lt;='Rules'!$B$20,'Rules'!$B$24,'Rules'!$B$25))))</x:f>
        <x:v>0.15</x:v>
      </x:c>
      <x:c r="E426" s="16" t="n">
        <x:f>MIN(LOG10(1+'Queries'!C426)/'Rules'!$B$13,1)</x:f>
        <x:v>0.51049297234742</x:v>
      </x:c>
      <x:c r="F426" s="16" t="n">
        <x:f>IF(AND('Queries'!E426&lt;='Rules'!$B$15,'Queries'!C426&gt;='Rules'!$B$14,'Queries'!D426&lt;'Rules'!$B$16),1,0)</x:f>
        <x:v>0</x:v>
      </x:c>
      <x:c r="G426" s="16" t="n">
        <x:v>1</x:v>
      </x:c>
      <x:c r="H426" s="16" t="n">
        <x:v>1</x:v>
      </x:c>
      <x:c r="I426" s="16" t="n">
        <x:f>ROUND((B426*'Rules'!$B$6+C426/'Rules'!$B$12*'Rules'!$B$7+D426*'Rules'!$B$8+E426*'Rules'!$B$9+F426*'Rules'!$B$10+G426*'Rules'!$B$11)*H426,1)</x:f>
        <x:v>58.9</x:v>
      </x:c>
      <x:c r="J426" s="18" t="n">
        <x:f>'Queries'!C426*'Queries'!E426</x:f>
        <x:v>1526.91</x:v>
      </x:c>
    </x:row>
    <x:row r="427" ht="32" customHeight="1">
      <x:c r="A427" s="6" t="str">
        <x:v>chevrolet car service in dubai</x:v>
      </x:c>
      <x:c r="B427" s="16" t="n">
        <x:v>1</x:v>
      </x:c>
      <x:c r="C427" s="16" t="n">
        <x:v>3</x:v>
      </x:c>
      <x:c r="D427" s="16" t="n">
        <x:f>IF('Queries'!E427&lt;='Rules'!$B$17,'Rules'!$B$21,IF('Queries'!E427&lt;='Rules'!$B$18,'Rules'!$B$22,IF('Queries'!E427&lt;='Rules'!$B$19,'Rules'!$B$23,IF('Queries'!E427&lt;='Rules'!$B$20,'Rules'!$B$24,'Rules'!$B$25))))</x:f>
        <x:v>0.15</x:v>
      </x:c>
      <x:c r="E427" s="16" t="n">
        <x:f>MIN(LOG10(1+'Queries'!C427)/'Rules'!$B$13,1)</x:f>
        <x:v>0.51049297234742</x:v>
      </x:c>
      <x:c r="F427" s="16" t="n">
        <x:f>IF(AND('Queries'!E427&lt;='Rules'!$B$15,'Queries'!C427&gt;='Rules'!$B$14,'Queries'!D427&lt;'Rules'!$B$16),1,0)</x:f>
        <x:v>0</x:v>
      </x:c>
      <x:c r="G427" s="16" t="n">
        <x:v>1</x:v>
      </x:c>
      <x:c r="H427" s="16" t="n">
        <x:v>1</x:v>
      </x:c>
      <x:c r="I427" s="16" t="n">
        <x:f>ROUND((B427*'Rules'!$B$6+C427/'Rules'!$B$12*'Rules'!$B$7+D427*'Rules'!$B$8+E427*'Rules'!$B$9+F427*'Rules'!$B$10+G427*'Rules'!$B$11)*H427,1)</x:f>
        <x:v>55.9</x:v>
      </x:c>
      <x:c r="J427" s="18" t="n">
        <x:f>'Queries'!C427*'Queries'!E427</x:f>
        <x:v>1528.8899999999999</x:v>
      </x:c>
    </x:row>
    <x:row r="428" ht="32" customHeight="1">
      <x:c r="A428" s="6" t="str">
        <x:v>car maintenance dubai</x:v>
      </x:c>
      <x:c r="B428" s="16" t="n">
        <x:v>1</x:v>
      </x:c>
      <x:c r="C428" s="16" t="n">
        <x:v>3</x:v>
      </x:c>
      <x:c r="D428" s="16" t="n">
        <x:f>IF('Queries'!E428&lt;='Rules'!$B$17,'Rules'!$B$21,IF('Queries'!E428&lt;='Rules'!$B$18,'Rules'!$B$22,IF('Queries'!E428&lt;='Rules'!$B$19,'Rules'!$B$23,IF('Queries'!E428&lt;='Rules'!$B$20,'Rules'!$B$24,'Rules'!$B$25))))</x:f>
        <x:v>0.15</x:v>
      </x:c>
      <x:c r="E428" s="16" t="n">
        <x:f>MIN(LOG10(1+'Queries'!C428)/'Rules'!$B$13,1)</x:f>
        <x:v>0.51049297234742</x:v>
      </x:c>
      <x:c r="F428" s="16" t="n">
        <x:f>IF(AND('Queries'!E428&lt;='Rules'!$B$15,'Queries'!C428&gt;='Rules'!$B$14,'Queries'!D428&lt;'Rules'!$B$16),1,0)</x:f>
        <x:v>0</x:v>
      </x:c>
      <x:c r="G428" s="16" t="n">
        <x:v>1</x:v>
      </x:c>
      <x:c r="H428" s="16" t="n">
        <x:v>1</x:v>
      </x:c>
      <x:c r="I428" s="16" t="n">
        <x:f>ROUND((B428*'Rules'!$B$6+C428/'Rules'!$B$12*'Rules'!$B$7+D428*'Rules'!$B$8+E428*'Rules'!$B$9+F428*'Rules'!$B$10+G428*'Rules'!$B$11)*H428,1)</x:f>
        <x:v>55.9</x:v>
      </x:c>
      <x:c r="J428" s="18" t="n">
        <x:f>'Queries'!C428*'Queries'!E428</x:f>
        <x:v>1758.8999999999999</x:v>
      </x:c>
    </x:row>
    <x:row r="429" ht="32" customHeight="1">
      <x:c r="A429" s="6" t="str">
        <x:v>car garage dubai</x:v>
      </x:c>
      <x:c r="B429" s="16" t="n">
        <x:v>1</x:v>
      </x:c>
      <x:c r="C429" s="16" t="n">
        <x:v>3</x:v>
      </x:c>
      <x:c r="D429" s="16" t="n">
        <x:f>IF('Queries'!E429&lt;='Rules'!$B$17,'Rules'!$B$21,IF('Queries'!E429&lt;='Rules'!$B$18,'Rules'!$B$22,IF('Queries'!E429&lt;='Rules'!$B$19,'Rules'!$B$23,IF('Queries'!E429&lt;='Rules'!$B$20,'Rules'!$B$24,'Rules'!$B$25))))</x:f>
        <x:v>0.15</x:v>
      </x:c>
      <x:c r="E429" s="16" t="n">
        <x:f>MIN(LOG10(1+'Queries'!C429)/'Rules'!$B$13,1)</x:f>
        <x:v>0.51049297234742</x:v>
      </x:c>
      <x:c r="F429" s="16" t="n">
        <x:f>IF(AND('Queries'!E429&lt;='Rules'!$B$15,'Queries'!C429&gt;='Rules'!$B$14,'Queries'!D429&lt;'Rules'!$B$16),1,0)</x:f>
        <x:v>0</x:v>
      </x:c>
      <x:c r="G429" s="16" t="n">
        <x:v>1</x:v>
      </x:c>
      <x:c r="H429" s="16" t="n">
        <x:v>1</x:v>
      </x:c>
      <x:c r="I429" s="16" t="n">
        <x:f>ROUND((B429*'Rules'!$B$6+C429/'Rules'!$B$12*'Rules'!$B$7+D429*'Rules'!$B$8+E429*'Rules'!$B$9+F429*'Rules'!$B$10+G429*'Rules'!$B$11)*H429,1)</x:f>
        <x:v>55.9</x:v>
      </x:c>
      <x:c r="J429" s="18" t="n">
        <x:f>'Queries'!C429*'Queries'!E429</x:f>
        <x:v>2145.9900000000002</x:v>
      </x:c>
    </x:row>
    <x:row r="430" ht="32" customHeight="1">
      <x:c r="A430" s="6" t="str">
        <x:v>steering column repair shops</x:v>
      </x:c>
      <x:c r="B430" s="16" t="n">
        <x:v>0.8</x:v>
      </x:c>
      <x:c r="C430" s="16" t="n">
        <x:v>3</x:v>
      </x:c>
      <x:c r="D430" s="16" t="n">
        <x:f>IF('Queries'!E430&lt;='Rules'!$B$17,'Rules'!$B$21,IF('Queries'!E430&lt;='Rules'!$B$18,'Rules'!$B$22,IF('Queries'!E430&lt;='Rules'!$B$19,'Rules'!$B$23,IF('Queries'!E430&lt;='Rules'!$B$20,'Rules'!$B$24,'Rules'!$B$25))))</x:f>
        <x:v>0.7</x:v>
      </x:c>
      <x:c r="E430" s="16" t="n">
        <x:f>MIN(LOG10(1+'Queries'!C430)/'Rules'!$B$13,1)</x:f>
        <x:v>0.50617131329263</x:v>
      </x:c>
      <x:c r="F430" s="16" t="n">
        <x:f>IF(AND('Queries'!E430&lt;='Rules'!$B$15,'Queries'!C430&gt;='Rules'!$B$14,'Queries'!D430&lt;'Rules'!$B$16),1,0)</x:f>
        <x:v>0</x:v>
      </x:c>
      <x:c r="G430" s="16" t="n">
        <x:v>1</x:v>
      </x:c>
      <x:c r="H430" s="16" t="n">
        <x:v>1</x:v>
      </x:c>
      <x:c r="I430" s="16" t="n">
        <x:f>ROUND((B430*'Rules'!$B$6+C430/'Rules'!$B$12*'Rules'!$B$7+D430*'Rules'!$B$8+E430*'Rules'!$B$9+F430*'Rules'!$B$10+G430*'Rules'!$B$11)*H430,1)</x:f>
        <x:v>64.6</x:v>
      </x:c>
      <x:c r="J430" s="18" t="n">
        <x:f>'Queries'!C430*'Queries'!E430</x:f>
        <x:v>487.04</x:v>
      </x:c>
    </x:row>
    <x:row r="431" ht="32" customHeight="1">
      <x:c r="A431" s="6" t="str">
        <x:v>porsche targa service dubai</x:v>
      </x:c>
      <x:c r="B431" s="16" t="n">
        <x:v>1</x:v>
      </x:c>
      <x:c r="C431" s="16" t="n">
        <x:v>5</x:v>
      </x:c>
      <x:c r="D431" s="16" t="n">
        <x:f>IF('Queries'!E431&lt;='Rules'!$B$17,'Rules'!$B$21,IF('Queries'!E431&lt;='Rules'!$B$18,'Rules'!$B$22,IF('Queries'!E431&lt;='Rules'!$B$19,'Rules'!$B$23,IF('Queries'!E431&lt;='Rules'!$B$20,'Rules'!$B$24,'Rules'!$B$25))))</x:f>
        <x:v>0.7</x:v>
      </x:c>
      <x:c r="E431" s="16" t="n">
        <x:f>MIN(LOG10(1+'Queries'!C431)/'Rules'!$B$13,1)</x:f>
        <x:v>0.50617131329263</x:v>
      </x:c>
      <x:c r="F431" s="16" t="n">
        <x:f>IF(AND('Queries'!E431&lt;='Rules'!$B$15,'Queries'!C431&gt;='Rules'!$B$14,'Queries'!D431&lt;'Rules'!$B$16),1,0)</x:f>
        <x:v>0</x:v>
      </x:c>
      <x:c r="G431" s="16" t="n">
        <x:v>1</x:v>
      </x:c>
      <x:c r="H431" s="16" t="n">
        <x:v>1</x:v>
      </x:c>
      <x:c r="I431" s="16" t="n">
        <x:f>ROUND((B431*'Rules'!$B$6+C431/'Rules'!$B$12*'Rules'!$B$7+D431*'Rules'!$B$8+E431*'Rules'!$B$9+F431*'Rules'!$B$10+G431*'Rules'!$B$11)*H431,1)</x:f>
        <x:v>77.6</x:v>
      </x:c>
      <x:c r="J431" s="18" t="n">
        <x:f>'Queries'!C431*'Queries'!E431</x:f>
        <x:v>901.12</x:v>
      </x:c>
    </x:row>
    <x:row r="432" ht="32" customHeight="1">
      <x:c r="A432" s="6" t="str">
        <x:v>audi service dubai</x:v>
      </x:c>
      <x:c r="B432" s="16" t="n">
        <x:v>1</x:v>
      </x:c>
      <x:c r="C432" s="16" t="n">
        <x:v>5</x:v>
      </x:c>
      <x:c r="D432" s="16" t="n">
        <x:f>IF('Queries'!E432&lt;='Rules'!$B$17,'Rules'!$B$21,IF('Queries'!E432&lt;='Rules'!$B$18,'Rules'!$B$22,IF('Queries'!E432&lt;='Rules'!$B$19,'Rules'!$B$23,IF('Queries'!E432&lt;='Rules'!$B$20,'Rules'!$B$24,'Rules'!$B$25))))</x:f>
        <x:v>0.7</x:v>
      </x:c>
      <x:c r="E432" s="16" t="n">
        <x:f>MIN(LOG10(1+'Queries'!C432)/'Rules'!$B$13,1)</x:f>
        <x:v>0.50617131329263</x:v>
      </x:c>
      <x:c r="F432" s="16" t="n">
        <x:f>IF(AND('Queries'!E432&lt;='Rules'!$B$15,'Queries'!C432&gt;='Rules'!$B$14,'Queries'!D432&lt;'Rules'!$B$16),1,0)</x:f>
        <x:v>0</x:v>
      </x:c>
      <x:c r="G432" s="16" t="n">
        <x:v>1</x:v>
      </x:c>
      <x:c r="H432" s="16" t="n">
        <x:v>1</x:v>
      </x:c>
      <x:c r="I432" s="16" t="n">
        <x:f>ROUND((B432*'Rules'!$B$6+C432/'Rules'!$B$12*'Rules'!$B$7+D432*'Rules'!$B$8+E432*'Rules'!$B$9+F432*'Rules'!$B$10+G432*'Rules'!$B$11)*H432,1)</x:f>
        <x:v>77.6</x:v>
      </x:c>
      <x:c r="J432" s="18" t="n">
        <x:f>'Queries'!C432*'Queries'!E432</x:f>
        <x:v>912.96</x:v>
      </x:c>
    </x:row>
    <x:row r="433" ht="32" customHeight="1">
      <x:c r="A433" s="6" t="str">
        <x:v>ferrari service centre</x:v>
      </x:c>
      <x:c r="B433" s="16" t="n">
        <x:v>0.8</x:v>
      </x:c>
      <x:c r="C433" s="16" t="n">
        <x:v>5</x:v>
      </x:c>
      <x:c r="D433" s="16" t="n">
        <x:f>IF('Queries'!E433&lt;='Rules'!$B$17,'Rules'!$B$21,IF('Queries'!E433&lt;='Rules'!$B$18,'Rules'!$B$22,IF('Queries'!E433&lt;='Rules'!$B$19,'Rules'!$B$23,IF('Queries'!E433&lt;='Rules'!$B$20,'Rules'!$B$24,'Rules'!$B$25))))</x:f>
        <x:v>0.4</x:v>
      </x:c>
      <x:c r="E433" s="16" t="n">
        <x:f>MIN(LOG10(1+'Queries'!C433)/'Rules'!$B$13,1)</x:f>
        <x:v>0.50617131329263</x:v>
      </x:c>
      <x:c r="F433" s="16" t="n">
        <x:f>IF(AND('Queries'!E433&lt;='Rules'!$B$15,'Queries'!C433&gt;='Rules'!$B$14,'Queries'!D433&lt;'Rules'!$B$16),1,0)</x:f>
        <x:v>0</x:v>
      </x:c>
      <x:c r="G433" s="16" t="n">
        <x:v>1</x:v>
      </x:c>
      <x:c r="H433" s="16" t="n">
        <x:v>1</x:v>
      </x:c>
      <x:c r="I433" s="16" t="n">
        <x:f>ROUND((B433*'Rules'!$B$6+C433/'Rules'!$B$12*'Rules'!$B$7+D433*'Rules'!$B$8+E433*'Rules'!$B$9+F433*'Rules'!$B$10+G433*'Rules'!$B$11)*H433,1)</x:f>
        <x:v>65.1</x:v>
      </x:c>
      <x:c r="J433" s="18" t="n">
        <x:f>'Queries'!C433*'Queries'!E433</x:f>
        <x:v>977.92</x:v>
      </x:c>
    </x:row>
    <x:row r="434" ht="32" customHeight="1">
      <x:c r="A434" s="6" t="str">
        <x:v>service for bmw</x:v>
      </x:c>
      <x:c r="B434" s="16" t="n">
        <x:v>0.8</x:v>
      </x:c>
      <x:c r="C434" s="16" t="n">
        <x:v>5</x:v>
      </x:c>
      <x:c r="D434" s="16" t="n">
        <x:f>IF('Queries'!E434&lt;='Rules'!$B$17,'Rules'!$B$21,IF('Queries'!E434&lt;='Rules'!$B$18,'Rules'!$B$22,IF('Queries'!E434&lt;='Rules'!$B$19,'Rules'!$B$23,IF('Queries'!E434&lt;='Rules'!$B$20,'Rules'!$B$24,'Rules'!$B$25))))</x:f>
        <x:v>0.4</x:v>
      </x:c>
      <x:c r="E434" s="16" t="n">
        <x:f>MIN(LOG10(1+'Queries'!C434)/'Rules'!$B$13,1)</x:f>
        <x:v>0.50617131329263</x:v>
      </x:c>
      <x:c r="F434" s="16" t="n">
        <x:f>IF(AND('Queries'!E434&lt;='Rules'!$B$15,'Queries'!C434&gt;='Rules'!$B$14,'Queries'!D434&lt;'Rules'!$B$16),1,0)</x:f>
        <x:v>0</x:v>
      </x:c>
      <x:c r="G434" s="16" t="n">
        <x:v>1</x:v>
      </x:c>
      <x:c r="H434" s="16" t="n">
        <x:v>1</x:v>
      </x:c>
      <x:c r="I434" s="16" t="n">
        <x:f>ROUND((B434*'Rules'!$B$6+C434/'Rules'!$B$12*'Rules'!$B$7+D434*'Rules'!$B$8+E434*'Rules'!$B$9+F434*'Rules'!$B$10+G434*'Rules'!$B$11)*H434,1)</x:f>
        <x:v>65.1</x:v>
      </x:c>
      <x:c r="J434" s="18" t="n">
        <x:f>'Queries'!C434*'Queries'!E434</x:f>
        <x:v>991.04</x:v>
      </x:c>
    </x:row>
    <x:row r="435" ht="32" customHeight="1">
      <x:c r="A435" s="6" t="str">
        <x:v>porsche engine repair dubai</x:v>
      </x:c>
      <x:c r="B435" s="16" t="n">
        <x:v>1</x:v>
      </x:c>
      <x:c r="C435" s="16" t="n">
        <x:v>5</x:v>
      </x:c>
      <x:c r="D435" s="16" t="n">
        <x:f>IF('Queries'!E435&lt;='Rules'!$B$17,'Rules'!$B$21,IF('Queries'!E435&lt;='Rules'!$B$18,'Rules'!$B$22,IF('Queries'!E435&lt;='Rules'!$B$19,'Rules'!$B$23,IF('Queries'!E435&lt;='Rules'!$B$20,'Rules'!$B$24,'Rules'!$B$25))))</x:f>
        <x:v>0.4</x:v>
      </x:c>
      <x:c r="E435" s="16" t="n">
        <x:f>MIN(LOG10(1+'Queries'!C435)/'Rules'!$B$13,1)</x:f>
        <x:v>0.50617131329263</x:v>
      </x:c>
      <x:c r="F435" s="16" t="n">
        <x:f>IF(AND('Queries'!E435&lt;='Rules'!$B$15,'Queries'!C435&gt;='Rules'!$B$14,'Queries'!D435&lt;'Rules'!$B$16),1,0)</x:f>
        <x:v>0</x:v>
      </x:c>
      <x:c r="G435" s="16" t="n">
        <x:v>1</x:v>
      </x:c>
      <x:c r="H435" s="16" t="n">
        <x:v>1</x:v>
      </x:c>
      <x:c r="I435" s="16" t="n">
        <x:f>ROUND((B435*'Rules'!$B$6+C435/'Rules'!$B$12*'Rules'!$B$7+D435*'Rules'!$B$8+E435*'Rules'!$B$9+F435*'Rules'!$B$10+G435*'Rules'!$B$11)*H435,1)</x:f>
        <x:v>70.1</x:v>
      </x:c>
      <x:c r="J435" s="18" t="n">
        <x:f>'Queries'!C435*'Queries'!E435</x:f>
        <x:v>1159.04</x:v>
      </x:c>
    </x:row>
    <x:row r="436" ht="32" customHeight="1">
      <x:c r="A436" s="6" t="str">
        <x:v>car diagnostic near me</x:v>
      </x:c>
      <x:c r="B436" s="16" t="n">
        <x:v>1</x:v>
      </x:c>
      <x:c r="C436" s="16" t="n">
        <x:v>3</x:v>
      </x:c>
      <x:c r="D436" s="16" t="n">
        <x:f>IF('Queries'!E436&lt;='Rules'!$B$17,'Rules'!$B$21,IF('Queries'!E436&lt;='Rules'!$B$18,'Rules'!$B$22,IF('Queries'!E436&lt;='Rules'!$B$19,'Rules'!$B$23,IF('Queries'!E436&lt;='Rules'!$B$20,'Rules'!$B$24,'Rules'!$B$25))))</x:f>
        <x:v>0.15</x:v>
      </x:c>
      <x:c r="E436" s="16" t="n">
        <x:f>MIN(LOG10(1+'Queries'!C436)/'Rules'!$B$13,1)</x:f>
        <x:v>0.50617131329263</x:v>
      </x:c>
      <x:c r="F436" s="16" t="n">
        <x:f>IF(AND('Queries'!E436&lt;='Rules'!$B$15,'Queries'!C436&gt;='Rules'!$B$14,'Queries'!D436&lt;'Rules'!$B$16),1,0)</x:f>
        <x:v>0</x:v>
      </x:c>
      <x:c r="G436" s="16" t="n">
        <x:v>1</x:v>
      </x:c>
      <x:c r="H436" s="16" t="n">
        <x:v>1</x:v>
      </x:c>
      <x:c r="I436" s="16" t="n">
        <x:f>ROUND((B436*'Rules'!$B$6+C436/'Rules'!$B$12*'Rules'!$B$7+D436*'Rules'!$B$8+E436*'Rules'!$B$9+F436*'Rules'!$B$10+G436*'Rules'!$B$11)*H436,1)</x:f>
        <x:v>55.8</x:v>
      </x:c>
      <x:c r="J436" s="18" t="n">
        <x:f>'Queries'!C436*'Queries'!E436</x:f>
        <x:v>1356.16</x:v>
      </x:c>
    </x:row>
    <x:row r="437" ht="32" customHeight="1">
      <x:c r="A437" s="6" t="str">
        <x:v>muffler repair dubai</x:v>
      </x:c>
      <x:c r="B437" s="16" t="n">
        <x:v>1</x:v>
      </x:c>
      <x:c r="C437" s="16" t="n">
        <x:v>3</x:v>
      </x:c>
      <x:c r="D437" s="16" t="n">
        <x:f>IF('Queries'!E437&lt;='Rules'!$B$17,'Rules'!$B$21,IF('Queries'!E437&lt;='Rules'!$B$18,'Rules'!$B$22,IF('Queries'!E437&lt;='Rules'!$B$19,'Rules'!$B$23,IF('Queries'!E437&lt;='Rules'!$B$20,'Rules'!$B$24,'Rules'!$B$25))))</x:f>
        <x:v>1</x:v>
      </x:c>
      <x:c r="E437" s="16" t="n">
        <x:f>MIN(LOG10(1+'Queries'!C437)/'Rules'!$B$13,1)</x:f>
        <x:v>0.50171665943997</x:v>
      </x:c>
      <x:c r="F437" s="16" t="n">
        <x:f>IF(AND('Queries'!E437&lt;='Rules'!$B$15,'Queries'!C437&gt;='Rules'!$B$14,'Queries'!D437&lt;'Rules'!$B$16),1,0)</x:f>
        <x:v>1</x:v>
      </x:c>
      <x:c r="G437" s="16" t="n">
        <x:v>1</x:v>
      </x:c>
      <x:c r="H437" s="16" t="n">
        <x:v>1</x:v>
      </x:c>
      <x:c r="I437" s="16" t="n">
        <x:f>ROUND((B437*'Rules'!$B$6+C437/'Rules'!$B$12*'Rules'!$B$7+D437*'Rules'!$B$8+E437*'Rules'!$B$9+F437*'Rules'!$B$10+G437*'Rules'!$B$11)*H437,1)</x:f>
        <x:v>87</x:v>
      </x:c>
      <x:c r="J437" s="18" t="n">
        <x:f>'Queries'!C437*'Queries'!E437</x:f>
        <x:v>234.04999999999998</x:v>
      </x:c>
    </x:row>
    <x:row r="438" ht="32" customHeight="1">
      <x:c r="A438" s="6" t="str">
        <x:v>bmw transmission repair in dubai</x:v>
      </x:c>
      <x:c r="B438" s="16" t="n">
        <x:v>1</x:v>
      </x:c>
      <x:c r="C438" s="16" t="n">
        <x:v>5</x:v>
      </x:c>
      <x:c r="D438" s="16" t="n">
        <x:f>IF('Queries'!E438&lt;='Rules'!$B$17,'Rules'!$B$21,IF('Queries'!E438&lt;='Rules'!$B$18,'Rules'!$B$22,IF('Queries'!E438&lt;='Rules'!$B$19,'Rules'!$B$23,IF('Queries'!E438&lt;='Rules'!$B$20,'Rules'!$B$24,'Rules'!$B$25))))</x:f>
        <x:v>1</x:v>
      </x:c>
      <x:c r="E438" s="16" t="n">
        <x:f>MIN(LOG10(1+'Queries'!C438)/'Rules'!$B$13,1)</x:f>
        <x:v>0.50171665943997</x:v>
      </x:c>
      <x:c r="F438" s="16" t="n">
        <x:f>IF(AND('Queries'!E438&lt;='Rules'!$B$15,'Queries'!C438&gt;='Rules'!$B$14,'Queries'!D438&lt;'Rules'!$B$16),1,0)</x:f>
        <x:v>1</x:v>
      </x:c>
      <x:c r="G438" s="16" t="n">
        <x:v>1</x:v>
      </x:c>
      <x:c r="H438" s="16" t="n">
        <x:v>1</x:v>
      </x:c>
      <x:c r="I438" s="16" t="n">
        <x:f>ROUND((B438*'Rules'!$B$6+C438/'Rules'!$B$12*'Rules'!$B$7+D438*'Rules'!$B$8+E438*'Rules'!$B$9+F438*'Rules'!$B$10+G438*'Rules'!$B$11)*H438,1)</x:f>
        <x:v>95</x:v>
      </x:c>
      <x:c r="J438" s="18" t="n">
        <x:f>'Queries'!C438*'Queries'!E438</x:f>
        <x:v>261.02</x:v>
      </x:c>
    </x:row>
    <x:row r="439" ht="32" customHeight="1">
      <x:c r="A439" s="6" t="str">
        <x:v>audi body shop dubai</x:v>
      </x:c>
      <x:c r="B439" s="16" t="n">
        <x:v>1</x:v>
      </x:c>
      <x:c r="C439" s="16" t="n">
        <x:v>5</x:v>
      </x:c>
      <x:c r="D439" s="16" t="n">
        <x:f>IF('Queries'!E439&lt;='Rules'!$B$17,'Rules'!$B$21,IF('Queries'!E439&lt;='Rules'!$B$18,'Rules'!$B$22,IF('Queries'!E439&lt;='Rules'!$B$19,'Rules'!$B$23,IF('Queries'!E439&lt;='Rules'!$B$20,'Rules'!$B$24,'Rules'!$B$25))))</x:f>
        <x:v>1</x:v>
      </x:c>
      <x:c r="E439" s="16" t="n">
        <x:f>MIN(LOG10(1+'Queries'!C439)/'Rules'!$B$13,1)</x:f>
        <x:v>0.50171665943997</x:v>
      </x:c>
      <x:c r="F439" s="16" t="n">
        <x:f>IF(AND('Queries'!E439&lt;='Rules'!$B$15,'Queries'!C439&gt;='Rules'!$B$14,'Queries'!D439&lt;'Rules'!$B$16),1,0)</x:f>
        <x:v>1</x:v>
      </x:c>
      <x:c r="G439" s="16" t="n">
        <x:v>1</x:v>
      </x:c>
      <x:c r="H439" s="16" t="n">
        <x:v>1</x:v>
      </x:c>
      <x:c r="I439" s="16" t="n">
        <x:f>ROUND((B439*'Rules'!$B$6+C439/'Rules'!$B$12*'Rules'!$B$7+D439*'Rules'!$B$8+E439*'Rules'!$B$9+F439*'Rules'!$B$10+G439*'Rules'!$B$11)*H439,1)</x:f>
        <x:v>95</x:v>
      </x:c>
      <x:c r="J439" s="18" t="n">
        <x:f>'Queries'!C439*'Queries'!E439</x:f>
        <x:v>310</x:v>
      </x:c>
    </x:row>
    <x:row r="440" ht="32" customHeight="1">
      <x:c r="A440" s="6" t="str">
        <x:v>mercedes dubai service</x:v>
      </x:c>
      <x:c r="B440" s="16" t="n">
        <x:v>1</x:v>
      </x:c>
      <x:c r="C440" s="16" t="n">
        <x:v>5</x:v>
      </x:c>
      <x:c r="D440" s="16" t="n">
        <x:f>IF('Queries'!E440&lt;='Rules'!$B$17,'Rules'!$B$21,IF('Queries'!E440&lt;='Rules'!$B$18,'Rules'!$B$22,IF('Queries'!E440&lt;='Rules'!$B$19,'Rules'!$B$23,IF('Queries'!E440&lt;='Rules'!$B$20,'Rules'!$B$24,'Rules'!$B$25))))</x:f>
        <x:v>1</x:v>
      </x:c>
      <x:c r="E440" s="16" t="n">
        <x:f>MIN(LOG10(1+'Queries'!C440)/'Rules'!$B$13,1)</x:f>
        <x:v>0.50171665943997</x:v>
      </x:c>
      <x:c r="F440" s="16" t="n">
        <x:f>IF(AND('Queries'!E440&lt;='Rules'!$B$15,'Queries'!C440&gt;='Rules'!$B$14,'Queries'!D440&lt;'Rules'!$B$16),1,0)</x:f>
        <x:v>0</x:v>
      </x:c>
      <x:c r="G440" s="16" t="n">
        <x:v>1</x:v>
      </x:c>
      <x:c r="H440" s="16" t="n">
        <x:v>1</x:v>
      </x:c>
      <x:c r="I440" s="16" t="n">
        <x:f>ROUND((B440*'Rules'!$B$6+C440/'Rules'!$B$12*'Rules'!$B$7+D440*'Rules'!$B$8+E440*'Rules'!$B$9+F440*'Rules'!$B$10+G440*'Rules'!$B$11)*H440,1)</x:f>
        <x:v>85</x:v>
      </x:c>
      <x:c r="J440" s="18" t="n">
        <x:f>'Queries'!C440*'Queries'!E440</x:f>
        <x:v>403.93</x:v>
      </x:c>
    </x:row>
    <x:row r="441" ht="32" customHeight="1">
      <x:c r="A441" s="6" t="str">
        <x:v>mclaren service center</x:v>
      </x:c>
      <x:c r="B441" s="16" t="n">
        <x:v>0.8</x:v>
      </x:c>
      <x:c r="C441" s="16" t="n">
        <x:v>5</x:v>
      </x:c>
      <x:c r="D441" s="16" t="n">
        <x:f>IF('Queries'!E441&lt;='Rules'!$B$17,'Rules'!$B$21,IF('Queries'!E441&lt;='Rules'!$B$18,'Rules'!$B$22,IF('Queries'!E441&lt;='Rules'!$B$19,'Rules'!$B$23,IF('Queries'!E441&lt;='Rules'!$B$20,'Rules'!$B$24,'Rules'!$B$25))))</x:f>
        <x:v>1</x:v>
      </x:c>
      <x:c r="E441" s="16" t="n">
        <x:f>MIN(LOG10(1+'Queries'!C441)/'Rules'!$B$13,1)</x:f>
        <x:v>0.50171665943997</x:v>
      </x:c>
      <x:c r="F441" s="16" t="n">
        <x:f>IF(AND('Queries'!E441&lt;='Rules'!$B$15,'Queries'!C441&gt;='Rules'!$B$14,'Queries'!D441&lt;'Rules'!$B$16),1,0)</x:f>
        <x:v>0</x:v>
      </x:c>
      <x:c r="G441" s="16" t="n">
        <x:v>1</x:v>
      </x:c>
      <x:c r="H441" s="16" t="n">
        <x:v>1</x:v>
      </x:c>
      <x:c r="I441" s="16" t="n">
        <x:f>ROUND((B441*'Rules'!$B$6+C441/'Rules'!$B$12*'Rules'!$B$7+D441*'Rules'!$B$8+E441*'Rules'!$B$9+F441*'Rules'!$B$10+G441*'Rules'!$B$11)*H441,1)</x:f>
        <x:v>80</x:v>
      </x:c>
      <x:c r="J441" s="18" t="n">
        <x:f>'Queries'!C441*'Queries'!E441</x:f>
        <x:v>448.88</x:v>
      </x:c>
    </x:row>
    <x:row r="442" ht="32" customHeight="1">
      <x:c r="A442" s="6" t="str">
        <x:v>خدمة maserati</x:v>
      </x:c>
      <x:c r="B442" s="16" t="n">
        <x:v>0.8</x:v>
      </x:c>
      <x:c r="C442" s="16" t="n">
        <x:v>5</x:v>
      </x:c>
      <x:c r="D442" s="16" t="n">
        <x:f>IF('Queries'!E442&lt;='Rules'!$B$17,'Rules'!$B$21,IF('Queries'!E442&lt;='Rules'!$B$18,'Rules'!$B$22,IF('Queries'!E442&lt;='Rules'!$B$19,'Rules'!$B$23,IF('Queries'!E442&lt;='Rules'!$B$20,'Rules'!$B$24,'Rules'!$B$25))))</x:f>
        <x:v>1</x:v>
      </x:c>
      <x:c r="E442" s="16" t="n">
        <x:f>MIN(LOG10(1+'Queries'!C442)/'Rules'!$B$13,1)</x:f>
        <x:v>0.50171665943997</x:v>
      </x:c>
      <x:c r="F442" s="16" t="n">
        <x:f>IF(AND('Queries'!E442&lt;='Rules'!$B$15,'Queries'!C442&gt;='Rules'!$B$14,'Queries'!D442&lt;'Rules'!$B$16),1,0)</x:f>
        <x:v>0</x:v>
      </x:c>
      <x:c r="G442" s="16" t="n">
        <x:v>1</x:v>
      </x:c>
      <x:c r="H442" s="16" t="n">
        <x:v>1</x:v>
      </x:c>
      <x:c r="I442" s="16" t="n">
        <x:f>ROUND((B442*'Rules'!$B$6+C442/'Rules'!$B$12*'Rules'!$B$7+D442*'Rules'!$B$8+E442*'Rules'!$B$9+F442*'Rules'!$B$10+G442*'Rules'!$B$11)*H442,1)</x:f>
        <x:v>80</x:v>
      </x:c>
      <x:c r="J442" s="18" t="n">
        <x:f>'Queries'!C442*'Queries'!E442</x:f>
        <x:v>465</x:v>
      </x:c>
    </x:row>
    <x:row r="443" ht="32" customHeight="1">
      <x:c r="A443" s="6" t="str">
        <x:v>volkswagen ac repair</x:v>
      </x:c>
      <x:c r="B443" s="16" t="n">
        <x:v>0.8</x:v>
      </x:c>
      <x:c r="C443" s="16" t="n">
        <x:v>3</x:v>
      </x:c>
      <x:c r="D443" s="16" t="n">
        <x:f>IF('Queries'!E443&lt;='Rules'!$B$17,'Rules'!$B$21,IF('Queries'!E443&lt;='Rules'!$B$18,'Rules'!$B$22,IF('Queries'!E443&lt;='Rules'!$B$19,'Rules'!$B$23,IF('Queries'!E443&lt;='Rules'!$B$20,'Rules'!$B$24,'Rules'!$B$25))))</x:f>
        <x:v>0.7</x:v>
      </x:c>
      <x:c r="E443" s="16" t="n">
        <x:f>MIN(LOG10(1+'Queries'!C443)/'Rules'!$B$13,1)</x:f>
        <x:v>0.50171665943997</x:v>
      </x:c>
      <x:c r="F443" s="16" t="n">
        <x:f>IF(AND('Queries'!E443&lt;='Rules'!$B$15,'Queries'!C443&gt;='Rules'!$B$14,'Queries'!D443&lt;'Rules'!$B$16),1,0)</x:f>
        <x:v>0</x:v>
      </x:c>
      <x:c r="G443" s="16" t="n">
        <x:v>1</x:v>
      </x:c>
      <x:c r="H443" s="16" t="n">
        <x:v>1</x:v>
      </x:c>
      <x:c r="I443" s="16" t="n">
        <x:f>ROUND((B443*'Rules'!$B$6+C443/'Rules'!$B$12*'Rules'!$B$7+D443*'Rules'!$B$8+E443*'Rules'!$B$9+F443*'Rules'!$B$10+G443*'Rules'!$B$11)*H443,1)</x:f>
        <x:v>64.5</x:v>
      </x:c>
      <x:c r="J443" s="18" t="n">
        <x:f>'Queries'!C443*'Queries'!E443</x:f>
        <x:v>499.1</x:v>
      </x:c>
    </x:row>
    <x:row r="444" ht="32" customHeight="1">
      <x:c r="A444" s="6" t="str">
        <x:v>nissan repair dubai</x:v>
      </x:c>
      <x:c r="B444" s="16" t="n">
        <x:v>1</x:v>
      </x:c>
      <x:c r="C444" s="16" t="n">
        <x:v>3</x:v>
      </x:c>
      <x:c r="D444" s="16" t="n">
        <x:f>IF('Queries'!E444&lt;='Rules'!$B$17,'Rules'!$B$21,IF('Queries'!E444&lt;='Rules'!$B$18,'Rules'!$B$22,IF('Queries'!E444&lt;='Rules'!$B$19,'Rules'!$B$23,IF('Queries'!E444&lt;='Rules'!$B$20,'Rules'!$B$24,'Rules'!$B$25))))</x:f>
        <x:v>0.7</x:v>
      </x:c>
      <x:c r="E444" s="16" t="n">
        <x:f>MIN(LOG10(1+'Queries'!C444)/'Rules'!$B$13,1)</x:f>
        <x:v>0.50171665943997</x:v>
      </x:c>
      <x:c r="F444" s="16" t="n">
        <x:f>IF(AND('Queries'!E444&lt;='Rules'!$B$15,'Queries'!C444&gt;='Rules'!$B$14,'Queries'!D444&lt;'Rules'!$B$16),1,0)</x:f>
        <x:v>0</x:v>
      </x:c>
      <x:c r="G444" s="16" t="n">
        <x:v>1</x:v>
      </x:c>
      <x:c r="H444" s="16" t="n">
        <x:v>1</x:v>
      </x:c>
      <x:c r="I444" s="16" t="n">
        <x:f>ROUND((B444*'Rules'!$B$6+C444/'Rules'!$B$12*'Rules'!$B$7+D444*'Rules'!$B$8+E444*'Rules'!$B$9+F444*'Rules'!$B$10+G444*'Rules'!$B$11)*H444,1)</x:f>
        <x:v>69.5</x:v>
      </x:c>
      <x:c r="J444" s="18" t="n">
        <x:f>'Queries'!C444*'Queries'!E444</x:f>
        <x:v>513.9799999999999</x:v>
      </x:c>
    </x:row>
    <x:row r="445" ht="32" customHeight="1">
      <x:c r="A445" s="6" t="str">
        <x:v>porsche engine diagnostics</x:v>
      </x:c>
      <x:c r="B445" s="16" t="n">
        <x:v>0.8</x:v>
      </x:c>
      <x:c r="C445" s="16" t="n">
        <x:v>5</x:v>
      </x:c>
      <x:c r="D445" s="16" t="n">
        <x:f>IF('Queries'!E445&lt;='Rules'!$B$17,'Rules'!$B$21,IF('Queries'!E445&lt;='Rules'!$B$18,'Rules'!$B$22,IF('Queries'!E445&lt;='Rules'!$B$19,'Rules'!$B$23,IF('Queries'!E445&lt;='Rules'!$B$20,'Rules'!$B$24,'Rules'!$B$25))))</x:f>
        <x:v>0.7</x:v>
      </x:c>
      <x:c r="E445" s="16" t="n">
        <x:f>MIN(LOG10(1+'Queries'!C445)/'Rules'!$B$13,1)</x:f>
        <x:v>0.50171665943997</x:v>
      </x:c>
      <x:c r="F445" s="16" t="n">
        <x:f>IF(AND('Queries'!E445&lt;='Rules'!$B$15,'Queries'!C445&gt;='Rules'!$B$14,'Queries'!D445&lt;'Rules'!$B$16),1,0)</x:f>
        <x:v>0</x:v>
      </x:c>
      <x:c r="G445" s="16" t="n">
        <x:v>1</x:v>
      </x:c>
      <x:c r="H445" s="16" t="n">
        <x:v>1</x:v>
      </x:c>
      <x:c r="I445" s="16" t="n">
        <x:f>ROUND((B445*'Rules'!$B$6+C445/'Rules'!$B$12*'Rules'!$B$7+D445*'Rules'!$B$8+E445*'Rules'!$B$9+F445*'Rules'!$B$10+G445*'Rules'!$B$11)*H445,1)</x:f>
        <x:v>72.5</x:v>
      </x:c>
      <x:c r="J445" s="18" t="n">
        <x:f>'Queries'!C445*'Queries'!E445</x:f>
        <x:v>668.9799999999999</x:v>
      </x:c>
    </x:row>
    <x:row r="446" ht="32" customHeight="1">
      <x:c r="A446" s="6" t="str">
        <x:v>nissan authorised service centre</x:v>
      </x:c>
      <x:c r="B446" s="16" t="n">
        <x:v>0</x:v>
      </x:c>
      <x:c r="C446" s="16" t="n">
        <x:v>0</x:v>
      </x:c>
      <x:c r="D446" s="16" t="n">
        <x:f>IF('Queries'!E446&lt;='Rules'!$B$17,'Rules'!$B$21,IF('Queries'!E446&lt;='Rules'!$B$18,'Rules'!$B$22,IF('Queries'!E446&lt;='Rules'!$B$19,'Rules'!$B$23,IF('Queries'!E446&lt;='Rules'!$B$20,'Rules'!$B$24,'Rules'!$B$25))))</x:f>
        <x:v>0.7</x:v>
      </x:c>
      <x:c r="E446" s="16" t="n">
        <x:f>MIN(LOG10(1+'Queries'!C446)/'Rules'!$B$13,1)</x:f>
        <x:v>0.50171665943997</x:v>
      </x:c>
      <x:c r="F446" s="16" t="n">
        <x:f>IF(AND('Queries'!E446&lt;='Rules'!$B$15,'Queries'!C446&gt;='Rules'!$B$14,'Queries'!D446&lt;'Rules'!$B$16),1,0)</x:f>
        <x:v>0</x:v>
      </x:c>
      <x:c r="G446" s="16" t="n">
        <x:v>0</x:v>
      </x:c>
      <x:c r="H446" s="16" t="n">
        <x:v>0</x:v>
      </x:c>
      <x:c r="I446" s="16" t="n">
        <x:f>ROUND((B446*'Rules'!$B$6+C446/'Rules'!$B$12*'Rules'!$B$7+D446*'Rules'!$B$8+E446*'Rules'!$B$9+F446*'Rules'!$B$10+G446*'Rules'!$B$11)*H446,1)</x:f>
        <x:v>0</x:v>
      </x:c>
      <x:c r="J446" s="18" t="n">
        <x:f>'Queries'!C446*'Queries'!E446</x:f>
        <x:v>739.04</x:v>
      </x:c>
    </x:row>
    <x:row r="447" ht="32" customHeight="1">
      <x:c r="A447" s="6" t="str">
        <x:v>best car service center in dubai</x:v>
      </x:c>
      <x:c r="B447" s="16" t="n">
        <x:v>1</x:v>
      </x:c>
      <x:c r="C447" s="16" t="n">
        <x:v>3</x:v>
      </x:c>
      <x:c r="D447" s="16" t="n">
        <x:f>IF('Queries'!E447&lt;='Rules'!$B$17,'Rules'!$B$21,IF('Queries'!E447&lt;='Rules'!$B$18,'Rules'!$B$22,IF('Queries'!E447&lt;='Rules'!$B$19,'Rules'!$B$23,IF('Queries'!E447&lt;='Rules'!$B$20,'Rules'!$B$24,'Rules'!$B$25))))</x:f>
        <x:v>0.7</x:v>
      </x:c>
      <x:c r="E447" s="16" t="n">
        <x:f>MIN(LOG10(1+'Queries'!C447)/'Rules'!$B$13,1)</x:f>
        <x:v>0.50171665943997</x:v>
      </x:c>
      <x:c r="F447" s="16" t="n">
        <x:f>IF(AND('Queries'!E447&lt;='Rules'!$B$15,'Queries'!C447&gt;='Rules'!$B$14,'Queries'!D447&lt;'Rules'!$B$16),1,0)</x:f>
        <x:v>0</x:v>
      </x:c>
      <x:c r="G447" s="16" t="n">
        <x:v>1</x:v>
      </x:c>
      <x:c r="H447" s="16" t="n">
        <x:v>1</x:v>
      </x:c>
      <x:c r="I447" s="16" t="n">
        <x:f>ROUND((B447*'Rules'!$B$6+C447/'Rules'!$B$12*'Rules'!$B$7+D447*'Rules'!$B$8+E447*'Rules'!$B$9+F447*'Rules'!$B$10+G447*'Rules'!$B$11)*H447,1)</x:f>
        <x:v>69.5</x:v>
      </x:c>
      <x:c r="J447" s="18" t="n">
        <x:f>'Queries'!C447*'Queries'!E447</x:f>
        <x:v>739.97</x:v>
      </x:c>
    </x:row>
    <x:row r="448" ht="32" customHeight="1">
      <x:c r="A448" s="6" t="str">
        <x:v>cadillac service dubai</x:v>
      </x:c>
      <x:c r="B448" s="16" t="n">
        <x:v>1</x:v>
      </x:c>
      <x:c r="C448" s="16" t="n">
        <x:v>3</x:v>
      </x:c>
      <x:c r="D448" s="16" t="n">
        <x:f>IF('Queries'!E448&lt;='Rules'!$B$17,'Rules'!$B$21,IF('Queries'!E448&lt;='Rules'!$B$18,'Rules'!$B$22,IF('Queries'!E448&lt;='Rules'!$B$19,'Rules'!$B$23,IF('Queries'!E448&lt;='Rules'!$B$20,'Rules'!$B$24,'Rules'!$B$25))))</x:f>
        <x:v>0.7</x:v>
      </x:c>
      <x:c r="E448" s="16" t="n">
        <x:f>MIN(LOG10(1+'Queries'!C448)/'Rules'!$B$13,1)</x:f>
        <x:v>0.50171665943997</x:v>
      </x:c>
      <x:c r="F448" s="16" t="n">
        <x:f>IF(AND('Queries'!E448&lt;='Rules'!$B$15,'Queries'!C448&gt;='Rules'!$B$14,'Queries'!D448&lt;'Rules'!$B$16),1,0)</x:f>
        <x:v>0</x:v>
      </x:c>
      <x:c r="G448" s="16" t="n">
        <x:v>1</x:v>
      </x:c>
      <x:c r="H448" s="16" t="n">
        <x:v>1</x:v>
      </x:c>
      <x:c r="I448" s="16" t="n">
        <x:f>ROUND((B448*'Rules'!$B$6+C448/'Rules'!$B$12*'Rules'!$B$7+D448*'Rules'!$B$8+E448*'Rules'!$B$9+F448*'Rules'!$B$10+G448*'Rules'!$B$11)*H448,1)</x:f>
        <x:v>69.5</x:v>
      </x:c>
      <x:c r="J448" s="18" t="n">
        <x:f>'Queries'!C448*'Queries'!E448</x:f>
        <x:v>832.97</x:v>
      </x:c>
    </x:row>
    <x:row r="449" ht="32" customHeight="1">
      <x:c r="A449" s="6" t="str">
        <x:v>cadillac repair specialist</x:v>
      </x:c>
      <x:c r="B449" s="16" t="n">
        <x:v>0.8</x:v>
      </x:c>
      <x:c r="C449" s="16" t="n">
        <x:v>3</x:v>
      </x:c>
      <x:c r="D449" s="16" t="n">
        <x:f>IF('Queries'!E449&lt;='Rules'!$B$17,'Rules'!$B$21,IF('Queries'!E449&lt;='Rules'!$B$18,'Rules'!$B$22,IF('Queries'!E449&lt;='Rules'!$B$19,'Rules'!$B$23,IF('Queries'!E449&lt;='Rules'!$B$20,'Rules'!$B$24,'Rules'!$B$25))))</x:f>
        <x:v>0.4</x:v>
      </x:c>
      <x:c r="E449" s="16" t="n">
        <x:f>MIN(LOG10(1+'Queries'!C449)/'Rules'!$B$13,1)</x:f>
        <x:v>0.50171665943997</x:v>
      </x:c>
      <x:c r="F449" s="16" t="n">
        <x:f>IF(AND('Queries'!E449&lt;='Rules'!$B$15,'Queries'!C449&gt;='Rules'!$B$14,'Queries'!D449&lt;'Rules'!$B$16),1,0)</x:f>
        <x:v>0</x:v>
      </x:c>
      <x:c r="G449" s="16" t="n">
        <x:v>1</x:v>
      </x:c>
      <x:c r="H449" s="16" t="n">
        <x:v>1</x:v>
      </x:c>
      <x:c r="I449" s="16" t="n">
        <x:f>ROUND((B449*'Rules'!$B$6+C449/'Rules'!$B$12*'Rules'!$B$7+D449*'Rules'!$B$8+E449*'Rules'!$B$9+F449*'Rules'!$B$10+G449*'Rules'!$B$11)*H449,1)</x:f>
        <x:v>57</x:v>
      </x:c>
      <x:c r="J449" s="18" t="n">
        <x:f>'Queries'!C449*'Queries'!E449</x:f>
        <x:v>1226.05</x:v>
      </x:c>
    </x:row>
    <x:row r="450" ht="32" customHeight="1">
      <x:c r="A450" s="6" t="str">
        <x:v>car engine service dubai</x:v>
      </x:c>
      <x:c r="B450" s="16" t="n">
        <x:v>1</x:v>
      </x:c>
      <x:c r="C450" s="16" t="n">
        <x:v>3</x:v>
      </x:c>
      <x:c r="D450" s="16" t="n">
        <x:f>IF('Queries'!E450&lt;='Rules'!$B$17,'Rules'!$B$21,IF('Queries'!E450&lt;='Rules'!$B$18,'Rules'!$B$22,IF('Queries'!E450&lt;='Rules'!$B$19,'Rules'!$B$23,IF('Queries'!E450&lt;='Rules'!$B$20,'Rules'!$B$24,'Rules'!$B$25))))</x:f>
        <x:v>0.15</x:v>
      </x:c>
      <x:c r="E450" s="16" t="n">
        <x:f>MIN(LOG10(1+'Queries'!C450)/'Rules'!$B$13,1)</x:f>
        <x:v>0.50171665943997</x:v>
      </x:c>
      <x:c r="F450" s="16" t="n">
        <x:f>IF(AND('Queries'!E450&lt;='Rules'!$B$15,'Queries'!C450&gt;='Rules'!$B$14,'Queries'!D450&lt;'Rules'!$B$16),1,0)</x:f>
        <x:v>0</x:v>
      </x:c>
      <x:c r="G450" s="16" t="n">
        <x:v>1</x:v>
      </x:c>
      <x:c r="H450" s="16" t="n">
        <x:v>1</x:v>
      </x:c>
      <x:c r="I450" s="16" t="n">
        <x:f>ROUND((B450*'Rules'!$B$6+C450/'Rules'!$B$12*'Rules'!$B$7+D450*'Rules'!$B$8+E450*'Rules'!$B$9+F450*'Rules'!$B$10+G450*'Rules'!$B$11)*H450,1)</x:f>
        <x:v>55.8</x:v>
      </x:c>
      <x:c r="J450" s="18" t="n">
        <x:f>'Queries'!C450*'Queries'!E450</x:f>
        <x:v>1546.8999999999999</x:v>
      </x:c>
    </x:row>
    <x:row r="451" ht="32" customHeight="1">
      <x:c r="A451" s="6" t="str">
        <x:v>تصليح اودى ابو ظبي</x:v>
      </x:c>
      <x:c r="B451" s="16" t="n">
        <x:v>1</x:v>
      </x:c>
      <x:c r="C451" s="16" t="n">
        <x:v>1</x:v>
      </x:c>
      <x:c r="D451" s="16" t="n">
        <x:f>IF('Queries'!E451&lt;='Rules'!$B$17,'Rules'!$B$21,IF('Queries'!E451&lt;='Rules'!$B$18,'Rules'!$B$22,IF('Queries'!E451&lt;='Rules'!$B$19,'Rules'!$B$23,IF('Queries'!E451&lt;='Rules'!$B$20,'Rules'!$B$24,'Rules'!$B$25))))</x:f>
        <x:v>0.15</x:v>
      </x:c>
      <x:c r="E451" s="16" t="n">
        <x:f>MIN(LOG10(1+'Queries'!C451)/'Rules'!$B$13,1)</x:f>
        <x:v>0.50171665943997</x:v>
      </x:c>
      <x:c r="F451" s="16" t="n">
        <x:f>IF(AND('Queries'!E451&lt;='Rules'!$B$15,'Queries'!C451&gt;='Rules'!$B$14,'Queries'!D451&lt;'Rules'!$B$16),1,0)</x:f>
        <x:v>0</x:v>
      </x:c>
      <x:c r="G451" s="16" t="n">
        <x:v>1</x:v>
      </x:c>
      <x:c r="H451" s="16" t="n">
        <x:v>0.2</x:v>
      </x:c>
      <x:c r="I451" s="16" t="n">
        <x:f>ROUND((B451*'Rules'!$B$6+C451/'Rules'!$B$12*'Rules'!$B$7+D451*'Rules'!$B$8+E451*'Rules'!$B$9+F451*'Rules'!$B$10+G451*'Rules'!$B$11)*H451,1)</x:f>
        <x:v>9.6</x:v>
      </x:c>
      <x:c r="J451" s="18" t="n">
        <x:f>'Queries'!C451*'Queries'!E451</x:f>
        <x:v>1585.03</x:v>
      </x:c>
    </x:row>
    <x:row r="452" ht="32" customHeight="1">
      <x:c r="A452" s="6" t="str">
        <x:v>mercedes-benz repair dubai</x:v>
      </x:c>
      <x:c r="B452" s="16" t="n">
        <x:v>1</x:v>
      </x:c>
      <x:c r="C452" s="16" t="n">
        <x:v>5</x:v>
      </x:c>
      <x:c r="D452" s="16" t="n">
        <x:f>IF('Queries'!E452&lt;='Rules'!$B$17,'Rules'!$B$21,IF('Queries'!E452&lt;='Rules'!$B$18,'Rules'!$B$22,IF('Queries'!E452&lt;='Rules'!$B$19,'Rules'!$B$23,IF('Queries'!E452&lt;='Rules'!$B$20,'Rules'!$B$24,'Rules'!$B$25))))</x:f>
        <x:v>1</x:v>
      </x:c>
      <x:c r="E452" s="16" t="n">
        <x:f>MIN(LOG10(1+'Queries'!C452)/'Rules'!$B$13,1)</x:f>
        <x:v>0.49712056461142334</x:v>
      </x:c>
      <x:c r="F452" s="16" t="n">
        <x:f>IF(AND('Queries'!E452&lt;='Rules'!$B$15,'Queries'!C452&gt;='Rules'!$B$14,'Queries'!D452&lt;'Rules'!$B$16),1,0)</x:f>
        <x:v>1</x:v>
      </x:c>
      <x:c r="G452" s="16" t="n">
        <x:v>1</x:v>
      </x:c>
      <x:c r="H452" s="16" t="n">
        <x:v>1</x:v>
      </x:c>
      <x:c r="I452" s="16" t="n">
        <x:f>ROUND((B452*'Rules'!$B$6+C452/'Rules'!$B$12*'Rules'!$B$7+D452*'Rules'!$B$8+E452*'Rules'!$B$9+F452*'Rules'!$B$10+G452*'Rules'!$B$11)*H452,1)</x:f>
        <x:v>95</x:v>
      </x:c>
      <x:c r="J452" s="18" t="n">
        <x:f>'Queries'!C452*'Queries'!E452</x:f>
        <x:v>129.9</x:v>
      </x:c>
    </x:row>
    <x:row r="453" ht="32" customHeight="1">
      <x:c r="A453" s="6" t="str">
        <x:v>car exhaust repair near me</x:v>
      </x:c>
      <x:c r="B453" s="16" t="n">
        <x:v>1</x:v>
      </x:c>
      <x:c r="C453" s="16" t="n">
        <x:v>3</x:v>
      </x:c>
      <x:c r="D453" s="16" t="n">
        <x:f>IF('Queries'!E453&lt;='Rules'!$B$17,'Rules'!$B$21,IF('Queries'!E453&lt;='Rules'!$B$18,'Rules'!$B$22,IF('Queries'!E453&lt;='Rules'!$B$19,'Rules'!$B$23,IF('Queries'!E453&lt;='Rules'!$B$20,'Rules'!$B$24,'Rules'!$B$25))))</x:f>
        <x:v>1</x:v>
      </x:c>
      <x:c r="E453" s="16" t="n">
        <x:f>MIN(LOG10(1+'Queries'!C453)/'Rules'!$B$13,1)</x:f>
        <x:v>0.49712056461142334</x:v>
      </x:c>
      <x:c r="F453" s="16" t="n">
        <x:f>IF(AND('Queries'!E453&lt;='Rules'!$B$15,'Queries'!C453&gt;='Rules'!$B$14,'Queries'!D453&lt;'Rules'!$B$16),1,0)</x:f>
        <x:v>1</x:v>
      </x:c>
      <x:c r="G453" s="16" t="n">
        <x:v>1</x:v>
      </x:c>
      <x:c r="H453" s="16" t="n">
        <x:v>1</x:v>
      </x:c>
      <x:c r="I453" s="16" t="n">
        <x:f>ROUND((B453*'Rules'!$B$6+C453/'Rules'!$B$12*'Rules'!$B$7+D453*'Rules'!$B$8+E453*'Rules'!$B$9+F453*'Rules'!$B$10+G453*'Rules'!$B$11)*H453,1)</x:f>
        <x:v>87</x:v>
      </x:c>
      <x:c r="J453" s="18" t="n">
        <x:f>'Queries'!C453*'Queries'!E453</x:f>
        <x:v>245.99999999999997</x:v>
      </x:c>
    </x:row>
    <x:row r="454" ht="32" customHeight="1">
      <x:c r="A454" s="6" t="str">
        <x:v>mclaren service center near me</x:v>
      </x:c>
      <x:c r="B454" s="16" t="n">
        <x:v>1</x:v>
      </x:c>
      <x:c r="C454" s="16" t="n">
        <x:v>5</x:v>
      </x:c>
      <x:c r="D454" s="16" t="n">
        <x:f>IF('Queries'!E454&lt;='Rules'!$B$17,'Rules'!$B$21,IF('Queries'!E454&lt;='Rules'!$B$18,'Rules'!$B$22,IF('Queries'!E454&lt;='Rules'!$B$19,'Rules'!$B$23,IF('Queries'!E454&lt;='Rules'!$B$20,'Rules'!$B$24,'Rules'!$B$25))))</x:f>
        <x:v>1</x:v>
      </x:c>
      <x:c r="E454" s="16" t="n">
        <x:f>MIN(LOG10(1+'Queries'!C454)/'Rules'!$B$13,1)</x:f>
        <x:v>0.49712056461142334</x:v>
      </x:c>
      <x:c r="F454" s="16" t="n">
        <x:f>IF(AND('Queries'!E454&lt;='Rules'!$B$15,'Queries'!C454&gt;='Rules'!$B$14,'Queries'!D454&lt;'Rules'!$B$16),1,0)</x:f>
        <x:v>0</x:v>
      </x:c>
      <x:c r="G454" s="16" t="n">
        <x:v>1</x:v>
      </x:c>
      <x:c r="H454" s="16" t="n">
        <x:v>1</x:v>
      </x:c>
      <x:c r="I454" s="16" t="n">
        <x:f>ROUND((B454*'Rules'!$B$6+C454/'Rules'!$B$12*'Rules'!$B$7+D454*'Rules'!$B$8+E454*'Rules'!$B$9+F454*'Rules'!$B$10+G454*'Rules'!$B$11)*H454,1)</x:f>
        <x:v>85</x:v>
      </x:c>
      <x:c r="J454" s="18" t="n">
        <x:f>'Queries'!C454*'Queries'!E454</x:f>
        <x:v>393.90000000000003</x:v>
      </x:c>
    </x:row>
    <x:row r="455" ht="32" customHeight="1">
      <x:c r="A455" s="6" t="str">
        <x:v>maybach service center</x:v>
      </x:c>
      <x:c r="B455" s="16" t="n">
        <x:v>0.8</x:v>
      </x:c>
      <x:c r="C455" s="16" t="n">
        <x:v>5</x:v>
      </x:c>
      <x:c r="D455" s="16" t="n">
        <x:f>IF('Queries'!E455&lt;='Rules'!$B$17,'Rules'!$B$21,IF('Queries'!E455&lt;='Rules'!$B$18,'Rules'!$B$22,IF('Queries'!E455&lt;='Rules'!$B$19,'Rules'!$B$23,IF('Queries'!E455&lt;='Rules'!$B$20,'Rules'!$B$24,'Rules'!$B$25))))</x:f>
        <x:v>0.7</x:v>
      </x:c>
      <x:c r="E455" s="16" t="n">
        <x:f>MIN(LOG10(1+'Queries'!C455)/'Rules'!$B$13,1)</x:f>
        <x:v>0.49712056461142334</x:v>
      </x:c>
      <x:c r="F455" s="16" t="n">
        <x:f>IF(AND('Queries'!E455&lt;='Rules'!$B$15,'Queries'!C455&gt;='Rules'!$B$14,'Queries'!D455&lt;'Rules'!$B$16),1,0)</x:f>
        <x:v>0</x:v>
      </x:c>
      <x:c r="G455" s="16" t="n">
        <x:v>1</x:v>
      </x:c>
      <x:c r="H455" s="16" t="n">
        <x:v>1</x:v>
      </x:c>
      <x:c r="I455" s="16" t="n">
        <x:f>ROUND((B455*'Rules'!$B$6+C455/'Rules'!$B$12*'Rules'!$B$7+D455*'Rules'!$B$8+E455*'Rules'!$B$9+F455*'Rules'!$B$10+G455*'Rules'!$B$11)*H455,1)</x:f>
        <x:v>72.5</x:v>
      </x:c>
      <x:c r="J455" s="18" t="n">
        <x:f>'Queries'!C455*'Queries'!E455</x:f>
        <x:v>476.09999999999997</x:v>
      </x:c>
    </x:row>
    <x:row r="456" ht="32" customHeight="1">
      <x:c r="A456" s="6" t="str">
        <x:v>steering system repair</x:v>
      </x:c>
      <x:c r="B456" s="16" t="n">
        <x:v>0.8</x:v>
      </x:c>
      <x:c r="C456" s="16" t="n">
        <x:v>3</x:v>
      </x:c>
      <x:c r="D456" s="16" t="n">
        <x:f>IF('Queries'!E456&lt;='Rules'!$B$17,'Rules'!$B$21,IF('Queries'!E456&lt;='Rules'!$B$18,'Rules'!$B$22,IF('Queries'!E456&lt;='Rules'!$B$19,'Rules'!$B$23,IF('Queries'!E456&lt;='Rules'!$B$20,'Rules'!$B$24,'Rules'!$B$25))))</x:f>
        <x:v>0.7</x:v>
      </x:c>
      <x:c r="E456" s="16" t="n">
        <x:f>MIN(LOG10(1+'Queries'!C456)/'Rules'!$B$13,1)</x:f>
        <x:v>0.49712056461142334</x:v>
      </x:c>
      <x:c r="F456" s="16" t="n">
        <x:f>IF(AND('Queries'!E456&lt;='Rules'!$B$15,'Queries'!C456&gt;='Rules'!$B$14,'Queries'!D456&lt;'Rules'!$B$16),1,0)</x:f>
        <x:v>0</x:v>
      </x:c>
      <x:c r="G456" s="16" t="n">
        <x:v>1</x:v>
      </x:c>
      <x:c r="H456" s="16" t="n">
        <x:v>1</x:v>
      </x:c>
      <x:c r="I456" s="16" t="n">
        <x:f>ROUND((B456*'Rules'!$B$6+C456/'Rules'!$B$12*'Rules'!$B$7+D456*'Rules'!$B$8+E456*'Rules'!$B$9+F456*'Rules'!$B$10+G456*'Rules'!$B$11)*H456,1)</x:f>
        <x:v>64.5</x:v>
      </x:c>
      <x:c r="J456" s="18" t="n">
        <x:f>'Queries'!C456*'Queries'!E456</x:f>
        <x:v>615.9000000000001</x:v>
      </x:c>
    </x:row>
    <x:row r="457" ht="32" customHeight="1">
      <x:c r="A457" s="6" t="str">
        <x:v>brake repair</x:v>
      </x:c>
      <x:c r="B457" s="16" t="n">
        <x:v>0.8</x:v>
      </x:c>
      <x:c r="C457" s="16" t="n">
        <x:v>3</x:v>
      </x:c>
      <x:c r="D457" s="16" t="n">
        <x:f>IF('Queries'!E457&lt;='Rules'!$B$17,'Rules'!$B$21,IF('Queries'!E457&lt;='Rules'!$B$18,'Rules'!$B$22,IF('Queries'!E457&lt;='Rules'!$B$19,'Rules'!$B$23,IF('Queries'!E457&lt;='Rules'!$B$20,'Rules'!$B$24,'Rules'!$B$25))))</x:f>
        <x:v>0.7</x:v>
      </x:c>
      <x:c r="E457" s="16" t="n">
        <x:f>MIN(LOG10(1+'Queries'!C457)/'Rules'!$B$13,1)</x:f>
        <x:v>0.49712056461142334</x:v>
      </x:c>
      <x:c r="F457" s="16" t="n">
        <x:f>IF(AND('Queries'!E457&lt;='Rules'!$B$15,'Queries'!C457&gt;='Rules'!$B$14,'Queries'!D457&lt;'Rules'!$B$16),1,0)</x:f>
        <x:v>0</x:v>
      </x:c>
      <x:c r="G457" s="16" t="n">
        <x:v>1</x:v>
      </x:c>
      <x:c r="H457" s="16" t="n">
        <x:v>1</x:v>
      </x:c>
      <x:c r="I457" s="16" t="n">
        <x:f>ROUND((B457*'Rules'!$B$6+C457/'Rules'!$B$12*'Rules'!$B$7+D457*'Rules'!$B$8+E457*'Rules'!$B$9+F457*'Rules'!$B$10+G457*'Rules'!$B$11)*H457,1)</x:f>
        <x:v>64.5</x:v>
      </x:c>
      <x:c r="J457" s="18" t="n">
        <x:f>'Queries'!C457*'Queries'!E457</x:f>
        <x:v>627</x:v>
      </x:c>
    </x:row>
    <x:row r="458" ht="32" customHeight="1">
      <x:c r="A458" s="6" t="str">
        <x:v>lotus repair dubai</x:v>
      </x:c>
      <x:c r="B458" s="16" t="n">
        <x:v>1</x:v>
      </x:c>
      <x:c r="C458" s="16" t="n">
        <x:v>5</x:v>
      </x:c>
      <x:c r="D458" s="16" t="n">
        <x:f>IF('Queries'!E458&lt;='Rules'!$B$17,'Rules'!$B$21,IF('Queries'!E458&lt;='Rules'!$B$18,'Rules'!$B$22,IF('Queries'!E458&lt;='Rules'!$B$19,'Rules'!$B$23,IF('Queries'!E458&lt;='Rules'!$B$20,'Rules'!$B$24,'Rules'!$B$25))))</x:f>
        <x:v>0.7</x:v>
      </x:c>
      <x:c r="E458" s="16" t="n">
        <x:f>MIN(LOG10(1+'Queries'!C458)/'Rules'!$B$13,1)</x:f>
        <x:v>0.49712056461142334</x:v>
      </x:c>
      <x:c r="F458" s="16" t="n">
        <x:f>IF(AND('Queries'!E458&lt;='Rules'!$B$15,'Queries'!C458&gt;='Rules'!$B$14,'Queries'!D458&lt;'Rules'!$B$16),1,0)</x:f>
        <x:v>0</x:v>
      </x:c>
      <x:c r="G458" s="16" t="n">
        <x:v>1</x:v>
      </x:c>
      <x:c r="H458" s="16" t="n">
        <x:v>1</x:v>
      </x:c>
      <x:c r="I458" s="16" t="n">
        <x:f>ROUND((B458*'Rules'!$B$6+C458/'Rules'!$B$12*'Rules'!$B$7+D458*'Rules'!$B$8+E458*'Rules'!$B$9+F458*'Rules'!$B$10+G458*'Rules'!$B$11)*H458,1)</x:f>
        <x:v>77.5</x:v>
      </x:c>
      <x:c r="J458" s="18" t="n">
        <x:f>'Queries'!C458*'Queries'!E458</x:f>
        <x:v>659.0999999999999</x:v>
      </x:c>
    </x:row>
    <x:row r="459" ht="32" customHeight="1">
      <x:c r="A459" s="6" t="str">
        <x:v>lotus transmission repair dubai</x:v>
      </x:c>
      <x:c r="B459" s="16" t="n">
        <x:v>1</x:v>
      </x:c>
      <x:c r="C459" s="16" t="n">
        <x:v>5</x:v>
      </x:c>
      <x:c r="D459" s="16" t="n">
        <x:f>IF('Queries'!E459&lt;='Rules'!$B$17,'Rules'!$B$21,IF('Queries'!E459&lt;='Rules'!$B$18,'Rules'!$B$22,IF('Queries'!E459&lt;='Rules'!$B$19,'Rules'!$B$23,IF('Queries'!E459&lt;='Rules'!$B$20,'Rules'!$B$24,'Rules'!$B$25))))</x:f>
        <x:v>0.7</x:v>
      </x:c>
      <x:c r="E459" s="16" t="n">
        <x:f>MIN(LOG10(1+'Queries'!C459)/'Rules'!$B$13,1)</x:f>
        <x:v>0.49712056461142334</x:v>
      </x:c>
      <x:c r="F459" s="16" t="n">
        <x:f>IF(AND('Queries'!E459&lt;='Rules'!$B$15,'Queries'!C459&gt;='Rules'!$B$14,'Queries'!D459&lt;'Rules'!$B$16),1,0)</x:f>
        <x:v>0</x:v>
      </x:c>
      <x:c r="G459" s="16" t="n">
        <x:v>0.25</x:v>
      </x:c>
      <x:c r="H459" s="16" t="n">
        <x:v>0.65</x:v>
      </x:c>
      <x:c r="I459" s="16" t="n">
        <x:f>ROUND((B459*'Rules'!$B$6+C459/'Rules'!$B$12*'Rules'!$B$7+D459*'Rules'!$B$8+E459*'Rules'!$B$9+F459*'Rules'!$B$10+G459*'Rules'!$B$11)*H459,1)</x:f>
        <x:v>45.5</x:v>
      </x:c>
      <x:c r="J459" s="18" t="n">
        <x:f>'Queries'!C459*'Queries'!E459</x:f>
        <x:v>827.1</x:v>
      </x:c>
    </x:row>
    <x:row r="460" ht="32" customHeight="1">
      <x:c r="A460" s="6" t="str">
        <x:v>افضل ورشة صيانة اودي</x:v>
      </x:c>
      <x:c r="B460" s="16" t="n">
        <x:v>0.8</x:v>
      </x:c>
      <x:c r="C460" s="16" t="n">
        <x:v>5</x:v>
      </x:c>
      <x:c r="D460" s="16" t="n">
        <x:f>IF('Queries'!E460&lt;='Rules'!$B$17,'Rules'!$B$21,IF('Queries'!E460&lt;='Rules'!$B$18,'Rules'!$B$22,IF('Queries'!E460&lt;='Rules'!$B$19,'Rules'!$B$23,IF('Queries'!E460&lt;='Rules'!$B$20,'Rules'!$B$24,'Rules'!$B$25))))</x:f>
        <x:v>0.7</x:v>
      </x:c>
      <x:c r="E460" s="16" t="n">
        <x:f>MIN(LOG10(1+'Queries'!C460)/'Rules'!$B$13,1)</x:f>
        <x:v>0.49712056461142334</x:v>
      </x:c>
      <x:c r="F460" s="16" t="n">
        <x:f>IF(AND('Queries'!E460&lt;='Rules'!$B$15,'Queries'!C460&gt;='Rules'!$B$14,'Queries'!D460&lt;'Rules'!$B$16),1,0)</x:f>
        <x:v>0</x:v>
      </x:c>
      <x:c r="G460" s="16" t="n">
        <x:v>1</x:v>
      </x:c>
      <x:c r="H460" s="16" t="n">
        <x:v>1</x:v>
      </x:c>
      <x:c r="I460" s="16" t="n">
        <x:f>ROUND((B460*'Rules'!$B$6+C460/'Rules'!$B$12*'Rules'!$B$7+D460*'Rules'!$B$8+E460*'Rules'!$B$9+F460*'Rules'!$B$10+G460*'Rules'!$B$11)*H460,1)</x:f>
        <x:v>72.5</x:v>
      </x:c>
      <x:c r="J460" s="18" t="n">
        <x:f>'Queries'!C460*'Queries'!E460</x:f>
        <x:v>849</x:v>
      </x:c>
    </x:row>
    <x:row r="461" ht="32" customHeight="1">
      <x:c r="A461" s="6" t="str">
        <x:v>porsche transmission service dubai</x:v>
      </x:c>
      <x:c r="B461" s="16" t="n">
        <x:v>1</x:v>
      </x:c>
      <x:c r="C461" s="16" t="n">
        <x:v>5</x:v>
      </x:c>
      <x:c r="D461" s="16" t="n">
        <x:f>IF('Queries'!E461&lt;='Rules'!$B$17,'Rules'!$B$21,IF('Queries'!E461&lt;='Rules'!$B$18,'Rules'!$B$22,IF('Queries'!E461&lt;='Rules'!$B$19,'Rules'!$B$23,IF('Queries'!E461&lt;='Rules'!$B$20,'Rules'!$B$24,'Rules'!$B$25))))</x:f>
        <x:v>0.7</x:v>
      </x:c>
      <x:c r="E461" s="16" t="n">
        <x:f>MIN(LOG10(1+'Queries'!C461)/'Rules'!$B$13,1)</x:f>
        <x:v>0.49712056461142334</x:v>
      </x:c>
      <x:c r="F461" s="16" t="n">
        <x:f>IF(AND('Queries'!E461&lt;='Rules'!$B$15,'Queries'!C461&gt;='Rules'!$B$14,'Queries'!D461&lt;'Rules'!$B$16),1,0)</x:f>
        <x:v>0</x:v>
      </x:c>
      <x:c r="G461" s="16" t="n">
        <x:v>1</x:v>
      </x:c>
      <x:c r="H461" s="16" t="n">
        <x:v>1</x:v>
      </x:c>
      <x:c r="I461" s="16" t="n">
        <x:f>ROUND((B461*'Rules'!$B$6+C461/'Rules'!$B$12*'Rules'!$B$7+D461*'Rules'!$B$8+E461*'Rules'!$B$9+F461*'Rules'!$B$10+G461*'Rules'!$B$11)*H461,1)</x:f>
        <x:v>77.5</x:v>
      </x:c>
      <x:c r="J461" s="18" t="n">
        <x:f>'Queries'!C461*'Queries'!E461</x:f>
        <x:v>849.9</x:v>
      </x:c>
    </x:row>
    <x:row r="462" ht="32" customHeight="1">
      <x:c r="A462" s="6" t="str">
        <x:v>mercedes body repair</x:v>
      </x:c>
      <x:c r="B462" s="16" t="n">
        <x:v>0.8</x:v>
      </x:c>
      <x:c r="C462" s="16" t="n">
        <x:v>5</x:v>
      </x:c>
      <x:c r="D462" s="16" t="n">
        <x:f>IF('Queries'!E462&lt;='Rules'!$B$17,'Rules'!$B$21,IF('Queries'!E462&lt;='Rules'!$B$18,'Rules'!$B$22,IF('Queries'!E462&lt;='Rules'!$B$19,'Rules'!$B$23,IF('Queries'!E462&lt;='Rules'!$B$20,'Rules'!$B$24,'Rules'!$B$25))))</x:f>
        <x:v>0.4</x:v>
      </x:c>
      <x:c r="E462" s="16" t="n">
        <x:f>MIN(LOG10(1+'Queries'!C462)/'Rules'!$B$13,1)</x:f>
        <x:v>0.49712056461142334</x:v>
      </x:c>
      <x:c r="F462" s="16" t="n">
        <x:f>IF(AND('Queries'!E462&lt;='Rules'!$B$15,'Queries'!C462&gt;='Rules'!$B$14,'Queries'!D462&lt;'Rules'!$B$16),1,0)</x:f>
        <x:v>0</x:v>
      </x:c>
      <x:c r="G462" s="16" t="n">
        <x:v>1</x:v>
      </x:c>
      <x:c r="H462" s="16" t="n">
        <x:v>1</x:v>
      </x:c>
      <x:c r="I462" s="16" t="n">
        <x:f>ROUND((B462*'Rules'!$B$6+C462/'Rules'!$B$12*'Rules'!$B$7+D462*'Rules'!$B$8+E462*'Rules'!$B$9+F462*'Rules'!$B$10+G462*'Rules'!$B$11)*H462,1)</x:f>
        <x:v>65</x:v>
      </x:c>
      <x:c r="J462" s="18" t="n">
        <x:f>'Queries'!C462*'Queries'!E462</x:f>
        <x:v>947.1</x:v>
      </x:c>
    </x:row>
    <x:row r="463" ht="32" customHeight="1">
      <x:c r="A463" s="6" t="str">
        <x:v>porsche performance service dubai</x:v>
      </x:c>
      <x:c r="B463" s="16" t="n">
        <x:v>1</x:v>
      </x:c>
      <x:c r="C463" s="16" t="n">
        <x:v>5</x:v>
      </x:c>
      <x:c r="D463" s="16" t="n">
        <x:f>IF('Queries'!E463&lt;='Rules'!$B$17,'Rules'!$B$21,IF('Queries'!E463&lt;='Rules'!$B$18,'Rules'!$B$22,IF('Queries'!E463&lt;='Rules'!$B$19,'Rules'!$B$23,IF('Queries'!E463&lt;='Rules'!$B$20,'Rules'!$B$24,'Rules'!$B$25))))</x:f>
        <x:v>0.4</x:v>
      </x:c>
      <x:c r="E463" s="16" t="n">
        <x:f>MIN(LOG10(1+'Queries'!C463)/'Rules'!$B$13,1)</x:f>
        <x:v>0.49712056461142334</x:v>
      </x:c>
      <x:c r="F463" s="16" t="n">
        <x:f>IF(AND('Queries'!E463&lt;='Rules'!$B$15,'Queries'!C463&gt;='Rules'!$B$14,'Queries'!D463&lt;'Rules'!$B$16),1,0)</x:f>
        <x:v>0</x:v>
      </x:c>
      <x:c r="G463" s="16" t="n">
        <x:v>1</x:v>
      </x:c>
      <x:c r="H463" s="16" t="n">
        <x:v>1</x:v>
      </x:c>
      <x:c r="I463" s="16" t="n">
        <x:f>ROUND((B463*'Rules'!$B$6+C463/'Rules'!$B$12*'Rules'!$B$7+D463*'Rules'!$B$8+E463*'Rules'!$B$9+F463*'Rules'!$B$10+G463*'Rules'!$B$11)*H463,1)</x:f>
        <x:v>70</x:v>
      </x:c>
      <x:c r="J463" s="18" t="n">
        <x:f>'Queries'!C463*'Queries'!E463</x:f>
        <x:v>1152</x:v>
      </x:c>
    </x:row>
    <x:row r="464" ht="32" customHeight="1">
      <x:c r="A464" s="6" t="str">
        <x:v>jeep repair specialist</x:v>
      </x:c>
      <x:c r="B464" s="16" t="n">
        <x:v>0.8</x:v>
      </x:c>
      <x:c r="C464" s="16" t="n">
        <x:v>3</x:v>
      </x:c>
      <x:c r="D464" s="16" t="n">
        <x:f>IF('Queries'!E464&lt;='Rules'!$B$17,'Rules'!$B$21,IF('Queries'!E464&lt;='Rules'!$B$18,'Rules'!$B$22,IF('Queries'!E464&lt;='Rules'!$B$19,'Rules'!$B$23,IF('Queries'!E464&lt;='Rules'!$B$20,'Rules'!$B$24,'Rules'!$B$25))))</x:f>
        <x:v>0.15</x:v>
      </x:c>
      <x:c r="E464" s="16" t="n">
        <x:f>MIN(LOG10(1+'Queries'!C464)/'Rules'!$B$13,1)</x:f>
        <x:v>0.49712056461142334</x:v>
      </x:c>
      <x:c r="F464" s="16" t="n">
        <x:f>IF(AND('Queries'!E464&lt;='Rules'!$B$15,'Queries'!C464&gt;='Rules'!$B$14,'Queries'!D464&lt;'Rules'!$B$16),1,0)</x:f>
        <x:v>0</x:v>
      </x:c>
      <x:c r="G464" s="16" t="n">
        <x:v>1</x:v>
      </x:c>
      <x:c r="H464" s="16" t="n">
        <x:v>1</x:v>
      </x:c>
      <x:c r="I464" s="16" t="n">
        <x:f>ROUND((B464*'Rules'!$B$6+C464/'Rules'!$B$12*'Rules'!$B$7+D464*'Rules'!$B$8+E464*'Rules'!$B$9+F464*'Rules'!$B$10+G464*'Rules'!$B$11)*H464,1)</x:f>
        <x:v>50.7</x:v>
      </x:c>
      <x:c r="J464" s="18" t="n">
        <x:f>'Queries'!C464*'Queries'!E464</x:f>
        <x:v>1410.9</x:v>
      </x:c>
    </x:row>
    <x:row r="465" ht="32" customHeight="1">
      <x:c r="A465" s="6" t="str">
        <x:v>vw repair specialist</x:v>
      </x:c>
      <x:c r="B465" s="16" t="n">
        <x:v>0.8</x:v>
      </x:c>
      <x:c r="C465" s="16" t="n">
        <x:v>3</x:v>
      </x:c>
      <x:c r="D465" s="16" t="n">
        <x:f>IF('Queries'!E465&lt;='Rules'!$B$17,'Rules'!$B$21,IF('Queries'!E465&lt;='Rules'!$B$18,'Rules'!$B$22,IF('Queries'!E465&lt;='Rules'!$B$19,'Rules'!$B$23,IF('Queries'!E465&lt;='Rules'!$B$20,'Rules'!$B$24,'Rules'!$B$25))))</x:f>
        <x:v>0.15</x:v>
      </x:c>
      <x:c r="E465" s="16" t="n">
        <x:f>MIN(LOG10(1+'Queries'!C465)/'Rules'!$B$13,1)</x:f>
        <x:v>0.49712056461142334</x:v>
      </x:c>
      <x:c r="F465" s="16" t="n">
        <x:f>IF(AND('Queries'!E465&lt;='Rules'!$B$15,'Queries'!C465&gt;='Rules'!$B$14,'Queries'!D465&lt;'Rules'!$B$16),1,0)</x:f>
        <x:v>0</x:v>
      </x:c>
      <x:c r="G465" s="16" t="n">
        <x:v>1</x:v>
      </x:c>
      <x:c r="H465" s="16" t="n">
        <x:v>1</x:v>
      </x:c>
      <x:c r="I465" s="16" t="n">
        <x:f>ROUND((B465*'Rules'!$B$6+C465/'Rules'!$B$12*'Rules'!$B$7+D465*'Rules'!$B$8+E465*'Rules'!$B$9+F465*'Rules'!$B$10+G465*'Rules'!$B$11)*H465,1)</x:f>
        <x:v>50.7</x:v>
      </x:c>
      <x:c r="J465" s="18" t="n">
        <x:f>'Queries'!C465*'Queries'!E465</x:f>
        <x:v>1482.9</x:v>
      </x:c>
    </x:row>
    <x:row r="466" ht="32" customHeight="1">
      <x:c r="A466" s="6" t="str">
        <x:v>vw repair</x:v>
      </x:c>
      <x:c r="B466" s="16" t="n">
        <x:v>0.8</x:v>
      </x:c>
      <x:c r="C466" s="16" t="n">
        <x:v>3</x:v>
      </x:c>
      <x:c r="D466" s="16" t="n">
        <x:f>IF('Queries'!E466&lt;='Rules'!$B$17,'Rules'!$B$21,IF('Queries'!E466&lt;='Rules'!$B$18,'Rules'!$B$22,IF('Queries'!E466&lt;='Rules'!$B$19,'Rules'!$B$23,IF('Queries'!E466&lt;='Rules'!$B$20,'Rules'!$B$24,'Rules'!$B$25))))</x:f>
        <x:v>0.15</x:v>
      </x:c>
      <x:c r="E466" s="16" t="n">
        <x:f>MIN(LOG10(1+'Queries'!C466)/'Rules'!$B$13,1)</x:f>
        <x:v>0.49712056461142334</x:v>
      </x:c>
      <x:c r="F466" s="16" t="n">
        <x:f>IF(AND('Queries'!E466&lt;='Rules'!$B$15,'Queries'!C466&gt;='Rules'!$B$14,'Queries'!D466&lt;'Rules'!$B$16),1,0)</x:f>
        <x:v>0</x:v>
      </x:c>
      <x:c r="G466" s="16" t="n">
        <x:v>1</x:v>
      </x:c>
      <x:c r="H466" s="16" t="n">
        <x:v>1</x:v>
      </x:c>
      <x:c r="I466" s="16" t="n">
        <x:f>ROUND((B466*'Rules'!$B$6+C466/'Rules'!$B$12*'Rules'!$B$7+D466*'Rules'!$B$8+E466*'Rules'!$B$9+F466*'Rules'!$B$10+G466*'Rules'!$B$11)*H466,1)</x:f>
        <x:v>50.7</x:v>
      </x:c>
      <x:c r="J466" s="18" t="n">
        <x:f>'Queries'!C466*'Queries'!E466</x:f>
        <x:v>1592.1</x:v>
      </x:c>
    </x:row>
    <x:row r="467" ht="32" customHeight="1">
      <x:c r="A467" s="6" t="str">
        <x:v>best porsche garage abu dhabi</x:v>
      </x:c>
      <x:c r="B467" s="16" t="n">
        <x:v>1</x:v>
      </x:c>
      <x:c r="C467" s="16" t="n">
        <x:v>1</x:v>
      </x:c>
      <x:c r="D467" s="16" t="n">
        <x:f>IF('Queries'!E467&lt;='Rules'!$B$17,'Rules'!$B$21,IF('Queries'!E467&lt;='Rules'!$B$18,'Rules'!$B$22,IF('Queries'!E467&lt;='Rules'!$B$19,'Rules'!$B$23,IF('Queries'!E467&lt;='Rules'!$B$20,'Rules'!$B$24,'Rules'!$B$25))))</x:f>
        <x:v>0.15</x:v>
      </x:c>
      <x:c r="E467" s="16" t="n">
        <x:f>MIN(LOG10(1+'Queries'!C467)/'Rules'!$B$13,1)</x:f>
        <x:v>0.49712056461142334</x:v>
      </x:c>
      <x:c r="F467" s="16" t="n">
        <x:f>IF(AND('Queries'!E467&lt;='Rules'!$B$15,'Queries'!C467&gt;='Rules'!$B$14,'Queries'!D467&lt;'Rules'!$B$16),1,0)</x:f>
        <x:v>0</x:v>
      </x:c>
      <x:c r="G467" s="16" t="n">
        <x:v>1</x:v>
      </x:c>
      <x:c r="H467" s="16" t="n">
        <x:v>0.2</x:v>
      </x:c>
      <x:c r="I467" s="16" t="n">
        <x:f>ROUND((B467*'Rules'!$B$6+C467/'Rules'!$B$12*'Rules'!$B$7+D467*'Rules'!$B$8+E467*'Rules'!$B$9+F467*'Rules'!$B$10+G467*'Rules'!$B$11)*H467,1)</x:f>
        <x:v>9.5</x:v>
      </x:c>
      <x:c r="J467" s="18" t="n">
        <x:f>'Queries'!C467*'Queries'!E467</x:f>
        <x:v>1665.9</x:v>
      </x:c>
    </x:row>
    <x:row r="468" ht="32" customHeight="1">
      <x:c r="A468" s="6" t="str">
        <x:v>صيانة مرسيدس</x:v>
      </x:c>
      <x:c r="B468" s="16" t="n">
        <x:v>0.8</x:v>
      </x:c>
      <x:c r="C468" s="16" t="n">
        <x:v>5</x:v>
      </x:c>
      <x:c r="D468" s="16" t="n">
        <x:f>IF('Queries'!E468&lt;='Rules'!$B$17,'Rules'!$B$21,IF('Queries'!E468&lt;='Rules'!$B$18,'Rules'!$B$22,IF('Queries'!E468&lt;='Rules'!$B$19,'Rules'!$B$23,IF('Queries'!E468&lt;='Rules'!$B$20,'Rules'!$B$24,'Rules'!$B$25))))</x:f>
        <x:v>0.15</x:v>
      </x:c>
      <x:c r="E468" s="16" t="n">
        <x:f>MIN(LOG10(1+'Queries'!C468)/'Rules'!$B$13,1)</x:f>
        <x:v>0.49712056461142334</x:v>
      </x:c>
      <x:c r="F468" s="16" t="n">
        <x:f>IF(AND('Queries'!E468&lt;='Rules'!$B$15,'Queries'!C468&gt;='Rules'!$B$14,'Queries'!D468&lt;'Rules'!$B$16),1,0)</x:f>
        <x:v>0</x:v>
      </x:c>
      <x:c r="G468" s="16" t="n">
        <x:v>1</x:v>
      </x:c>
      <x:c r="H468" s="16" t="n">
        <x:v>1</x:v>
      </x:c>
      <x:c r="I468" s="16" t="n">
        <x:f>ROUND((B468*'Rules'!$B$6+C468/'Rules'!$B$12*'Rules'!$B$7+D468*'Rules'!$B$8+E468*'Rules'!$B$9+F468*'Rules'!$B$10+G468*'Rules'!$B$11)*H468,1)</x:f>
        <x:v>58.7</x:v>
      </x:c>
      <x:c r="J468" s="18" t="n">
        <x:f>'Queries'!C468*'Queries'!E468</x:f>
        <x:v>1797</x:v>
      </x:c>
    </x:row>
    <x:row r="469" ht="32" customHeight="1">
      <x:c r="A469" s="6" t="str">
        <x:v>best porsche mechanic abu dhabi</x:v>
      </x:c>
      <x:c r="B469" s="16" t="n">
        <x:v>1</x:v>
      </x:c>
      <x:c r="C469" s="16" t="n">
        <x:v>1</x:v>
      </x:c>
      <x:c r="D469" s="16" t="n">
        <x:f>IF('Queries'!E469&lt;='Rules'!$B$17,'Rules'!$B$21,IF('Queries'!E469&lt;='Rules'!$B$18,'Rules'!$B$22,IF('Queries'!E469&lt;='Rules'!$B$19,'Rules'!$B$23,IF('Queries'!E469&lt;='Rules'!$B$20,'Rules'!$B$24,'Rules'!$B$25))))</x:f>
        <x:v>0.15</x:v>
      </x:c>
      <x:c r="E469" s="16" t="n">
        <x:f>MIN(LOG10(1+'Queries'!C469)/'Rules'!$B$13,1)</x:f>
        <x:v>0.49712056461142334</x:v>
      </x:c>
      <x:c r="F469" s="16" t="n">
        <x:f>IF(AND('Queries'!E469&lt;='Rules'!$B$15,'Queries'!C469&gt;='Rules'!$B$14,'Queries'!D469&lt;'Rules'!$B$16),1,0)</x:f>
        <x:v>0</x:v>
      </x:c>
      <x:c r="G469" s="16" t="n">
        <x:v>1</x:v>
      </x:c>
      <x:c r="H469" s="16" t="n">
        <x:v>0.2</x:v>
      </x:c>
      <x:c r="I469" s="16" t="n">
        <x:f>ROUND((B469*'Rules'!$B$6+C469/'Rules'!$B$12*'Rules'!$B$7+D469*'Rules'!$B$8+E469*'Rules'!$B$9+F469*'Rules'!$B$10+G469*'Rules'!$B$11)*H469,1)</x:f>
        <x:v>9.5</x:v>
      </x:c>
      <x:c r="J469" s="18" t="n">
        <x:f>'Queries'!C469*'Queries'!E469</x:f>
        <x:v>1868.1000000000001</x:v>
      </x:c>
    </x:row>
    <x:row r="470" ht="32" customHeight="1">
      <x:c r="A470" s="6" t="str">
        <x:v>porsche repair specialist</x:v>
      </x:c>
      <x:c r="B470" s="16" t="n">
        <x:v>0.8</x:v>
      </x:c>
      <x:c r="C470" s="16" t="n">
        <x:v>5</x:v>
      </x:c>
      <x:c r="D470" s="16" t="n">
        <x:f>IF('Queries'!E470&lt;='Rules'!$B$17,'Rules'!$B$21,IF('Queries'!E470&lt;='Rules'!$B$18,'Rules'!$B$22,IF('Queries'!E470&lt;='Rules'!$B$19,'Rules'!$B$23,IF('Queries'!E470&lt;='Rules'!$B$20,'Rules'!$B$24,'Rules'!$B$25))))</x:f>
        <x:v>0.15</x:v>
      </x:c>
      <x:c r="E470" s="16" t="n">
        <x:f>MIN(LOG10(1+'Queries'!C470)/'Rules'!$B$13,1)</x:f>
        <x:v>0.49712056461142334</x:v>
      </x:c>
      <x:c r="F470" s="16" t="n">
        <x:f>IF(AND('Queries'!E470&lt;='Rules'!$B$15,'Queries'!C470&gt;='Rules'!$B$14,'Queries'!D470&lt;'Rules'!$B$16),1,0)</x:f>
        <x:v>0</x:v>
      </x:c>
      <x:c r="G470" s="16" t="n">
        <x:v>1</x:v>
      </x:c>
      <x:c r="H470" s="16" t="n">
        <x:v>1</x:v>
      </x:c>
      <x:c r="I470" s="16" t="n">
        <x:f>ROUND((B470*'Rules'!$B$6+C470/'Rules'!$B$12*'Rules'!$B$7+D470*'Rules'!$B$8+E470*'Rules'!$B$9+F470*'Rules'!$B$10+G470*'Rules'!$B$11)*H470,1)</x:f>
        <x:v>58.7</x:v>
      </x:c>
      <x:c r="J470" s="18" t="n">
        <x:f>'Queries'!C470*'Queries'!E470</x:f>
        <x:v>1991.1000000000001</x:v>
      </x:c>
    </x:row>
    <x:row r="471" ht="32" customHeight="1">
      <x:c r="A471" s="6" t="str">
        <x:v>car brake service</x:v>
      </x:c>
      <x:c r="B471" s="16" t="n">
        <x:v>0.8</x:v>
      </x:c>
      <x:c r="C471" s="16" t="n">
        <x:v>3</x:v>
      </x:c>
      <x:c r="D471" s="16" t="n">
        <x:f>IF('Queries'!E471&lt;='Rules'!$B$17,'Rules'!$B$21,IF('Queries'!E471&lt;='Rules'!$B$18,'Rules'!$B$22,IF('Queries'!E471&lt;='Rules'!$B$19,'Rules'!$B$23,IF('Queries'!E471&lt;='Rules'!$B$20,'Rules'!$B$24,'Rules'!$B$25))))</x:f>
        <x:v>0.15</x:v>
      </x:c>
      <x:c r="E471" s="16" t="n">
        <x:f>MIN(LOG10(1+'Queries'!C471)/'Rules'!$B$13,1)</x:f>
        <x:v>0.49712056461142334</x:v>
      </x:c>
      <x:c r="F471" s="16" t="n">
        <x:f>IF(AND('Queries'!E471&lt;='Rules'!$B$15,'Queries'!C471&gt;='Rules'!$B$14,'Queries'!D471&lt;'Rules'!$B$16),1,0)</x:f>
        <x:v>0</x:v>
      </x:c>
      <x:c r="G471" s="16" t="n">
        <x:v>1</x:v>
      </x:c>
      <x:c r="H471" s="16" t="n">
        <x:v>1</x:v>
      </x:c>
      <x:c r="I471" s="16" t="n">
        <x:f>ROUND((B471*'Rules'!$B$6+C471/'Rules'!$B$12*'Rules'!$B$7+D471*'Rules'!$B$8+E471*'Rules'!$B$9+F471*'Rules'!$B$10+G471*'Rules'!$B$11)*H471,1)</x:f>
        <x:v>50.7</x:v>
      </x:c>
      <x:c r="J471" s="18" t="n">
        <x:f>'Queries'!C471*'Queries'!E471</x:f>
        <x:v>2153.1</x:v>
      </x:c>
    </x:row>
    <x:row r="472" ht="32" customHeight="1">
      <x:c r="A472" s="6" t="str">
        <x:v>best lamborghini service center dubai</x:v>
      </x:c>
      <x:c r="B472" s="16" t="n">
        <x:v>1</x:v>
      </x:c>
      <x:c r="C472" s="16" t="n">
        <x:v>5</x:v>
      </x:c>
      <x:c r="D472" s="16" t="n">
        <x:f>IF('Queries'!E472&lt;='Rules'!$B$17,'Rules'!$B$21,IF('Queries'!E472&lt;='Rules'!$B$18,'Rules'!$B$22,IF('Queries'!E472&lt;='Rules'!$B$19,'Rules'!$B$23,IF('Queries'!E472&lt;='Rules'!$B$20,'Rules'!$B$24,'Rules'!$B$25))))</x:f>
        <x:v>1</x:v>
      </x:c>
      <x:c r="E472" s="16" t="n">
        <x:f>MIN(LOG10(1+'Queries'!C472)/'Rules'!$B$13,1)</x:f>
        <x:v>0.49237375157322</x:v>
      </x:c>
      <x:c r="F472" s="16" t="n">
        <x:f>IF(AND('Queries'!E472&lt;='Rules'!$B$15,'Queries'!C472&gt;='Rules'!$B$14,'Queries'!D472&lt;'Rules'!$B$16),1,0)</x:f>
        <x:v>0</x:v>
      </x:c>
      <x:c r="G472" s="16" t="n">
        <x:v>1</x:v>
      </x:c>
      <x:c r="H472" s="16" t="n">
        <x:v>1</x:v>
      </x:c>
      <x:c r="I472" s="16" t="n">
        <x:f>ROUND((B472*'Rules'!$B$6+C472/'Rules'!$B$12*'Rules'!$B$7+D472*'Rules'!$B$8+E472*'Rules'!$B$9+F472*'Rules'!$B$10+G472*'Rules'!$B$11)*H472,1)</x:f>
        <x:v>84.9</x:v>
      </x:c>
      <x:c r="J472" s="18" t="n">
        <x:f>'Queries'!C472*'Queries'!E472</x:f>
        <x:v>334.08</x:v>
      </x:c>
    </x:row>
    <x:row r="473" ht="32" customHeight="1">
      <x:c r="A473" s="6" t="str">
        <x:v>mclaren service</x:v>
      </x:c>
      <x:c r="B473" s="16" t="n">
        <x:v>0.8</x:v>
      </x:c>
      <x:c r="C473" s="16" t="n">
        <x:v>5</x:v>
      </x:c>
      <x:c r="D473" s="16" t="n">
        <x:f>IF('Queries'!E473&lt;='Rules'!$B$17,'Rules'!$B$21,IF('Queries'!E473&lt;='Rules'!$B$18,'Rules'!$B$22,IF('Queries'!E473&lt;='Rules'!$B$19,'Rules'!$B$23,IF('Queries'!E473&lt;='Rules'!$B$20,'Rules'!$B$24,'Rules'!$B$25))))</x:f>
        <x:v>1</x:v>
      </x:c>
      <x:c r="E473" s="16" t="n">
        <x:f>MIN(LOG10(1+'Queries'!C473)/'Rules'!$B$13,1)</x:f>
        <x:v>0.49237375157322</x:v>
      </x:c>
      <x:c r="F473" s="16" t="n">
        <x:f>IF(AND('Queries'!E473&lt;='Rules'!$B$15,'Queries'!C473&gt;='Rules'!$B$14,'Queries'!D473&lt;'Rules'!$B$16),1,0)</x:f>
        <x:v>0</x:v>
      </x:c>
      <x:c r="G473" s="16" t="n">
        <x:v>1</x:v>
      </x:c>
      <x:c r="H473" s="16" t="n">
        <x:v>1</x:v>
      </x:c>
      <x:c r="I473" s="16" t="n">
        <x:f>ROUND((B473*'Rules'!$B$6+C473/'Rules'!$B$12*'Rules'!$B$7+D473*'Rules'!$B$8+E473*'Rules'!$B$9+F473*'Rules'!$B$10+G473*'Rules'!$B$11)*H473,1)</x:f>
        <x:v>79.9</x:v>
      </x:c>
      <x:c r="J473" s="18" t="n">
        <x:f>'Queries'!C473*'Queries'!E473</x:f>
        <x:v>396.14</x:v>
      </x:c>
    </x:row>
    <x:row r="474" ht="32" customHeight="1">
      <x:c r="A474" s="6" t="str">
        <x:v>porsche oil change</x:v>
      </x:c>
      <x:c r="B474" s="16" t="n">
        <x:v>0.8</x:v>
      </x:c>
      <x:c r="C474" s="16" t="n">
        <x:v>5</x:v>
      </x:c>
      <x:c r="D474" s="16" t="n">
        <x:f>IF('Queries'!E474&lt;='Rules'!$B$17,'Rules'!$B$21,IF('Queries'!E474&lt;='Rules'!$B$18,'Rules'!$B$22,IF('Queries'!E474&lt;='Rules'!$B$19,'Rules'!$B$23,IF('Queries'!E474&lt;='Rules'!$B$20,'Rules'!$B$24,'Rules'!$B$25))))</x:f>
        <x:v>0.7</x:v>
      </x:c>
      <x:c r="E474" s="16" t="n">
        <x:f>MIN(LOG10(1+'Queries'!C474)/'Rules'!$B$13,1)</x:f>
        <x:v>0.49237375157322</x:v>
      </x:c>
      <x:c r="F474" s="16" t="n">
        <x:f>IF(AND('Queries'!E474&lt;='Rules'!$B$15,'Queries'!C474&gt;='Rules'!$B$14,'Queries'!D474&lt;'Rules'!$B$16),1,0)</x:f>
        <x:v>0</x:v>
      </x:c>
      <x:c r="G474" s="16" t="n">
        <x:v>1</x:v>
      </x:c>
      <x:c r="H474" s="16" t="n">
        <x:v>1</x:v>
      </x:c>
      <x:c r="I474" s="16" t="n">
        <x:f>ROUND((B474*'Rules'!$B$6+C474/'Rules'!$B$12*'Rules'!$B$7+D474*'Rules'!$B$8+E474*'Rules'!$B$9+F474*'Rules'!$B$10+G474*'Rules'!$B$11)*H474,1)</x:f>
        <x:v>72.4</x:v>
      </x:c>
      <x:c r="J474" s="18" t="n">
        <x:f>'Queries'!C474*'Queries'!E474</x:f>
        <x:v>501.12</x:v>
      </x:c>
    </x:row>
    <x:row r="475" ht="32" customHeight="1">
      <x:c r="A475" s="6" t="str">
        <x:v>lamborghini repair</x:v>
      </x:c>
      <x:c r="B475" s="16" t="n">
        <x:v>0.8</x:v>
      </x:c>
      <x:c r="C475" s="16" t="n">
        <x:v>5</x:v>
      </x:c>
      <x:c r="D475" s="16" t="n">
        <x:f>IF('Queries'!E475&lt;='Rules'!$B$17,'Rules'!$B$21,IF('Queries'!E475&lt;='Rules'!$B$18,'Rules'!$B$22,IF('Queries'!E475&lt;='Rules'!$B$19,'Rules'!$B$23,IF('Queries'!E475&lt;='Rules'!$B$20,'Rules'!$B$24,'Rules'!$B$25))))</x:f>
        <x:v>0.7</x:v>
      </x:c>
      <x:c r="E475" s="16" t="n">
        <x:f>MIN(LOG10(1+'Queries'!C475)/'Rules'!$B$13,1)</x:f>
        <x:v>0.49237375157322</x:v>
      </x:c>
      <x:c r="F475" s="16" t="n">
        <x:f>IF(AND('Queries'!E475&lt;='Rules'!$B$15,'Queries'!C475&gt;='Rules'!$B$14,'Queries'!D475&lt;'Rules'!$B$16),1,0)</x:f>
        <x:v>0</x:v>
      </x:c>
      <x:c r="G475" s="16" t="n">
        <x:v>1</x:v>
      </x:c>
      <x:c r="H475" s="16" t="n">
        <x:v>1</x:v>
      </x:c>
      <x:c r="I475" s="16" t="n">
        <x:f>ROUND((B475*'Rules'!$B$6+C475/'Rules'!$B$12*'Rules'!$B$7+D475*'Rules'!$B$8+E475*'Rules'!$B$9+F475*'Rules'!$B$10+G475*'Rules'!$B$11)*H475,1)</x:f>
        <x:v>72.4</x:v>
      </x:c>
      <x:c r="J475" s="18" t="n">
        <x:f>'Queries'!C475*'Queries'!E475</x:f>
        <x:v>537.95</x:v>
      </x:c>
    </x:row>
    <x:row r="476" ht="32" customHeight="1">
      <x:c r="A476" s="6" t="str">
        <x:v>bmw transmission repair</x:v>
      </x:c>
      <x:c r="B476" s="16" t="n">
        <x:v>0.8</x:v>
      </x:c>
      <x:c r="C476" s="16" t="n">
        <x:v>5</x:v>
      </x:c>
      <x:c r="D476" s="16" t="n">
        <x:f>IF('Queries'!E476&lt;='Rules'!$B$17,'Rules'!$B$21,IF('Queries'!E476&lt;='Rules'!$B$18,'Rules'!$B$22,IF('Queries'!E476&lt;='Rules'!$B$19,'Rules'!$B$23,IF('Queries'!E476&lt;='Rules'!$B$20,'Rules'!$B$24,'Rules'!$B$25))))</x:f>
        <x:v>0.7</x:v>
      </x:c>
      <x:c r="E476" s="16" t="n">
        <x:f>MIN(LOG10(1+'Queries'!C476)/'Rules'!$B$13,1)</x:f>
        <x:v>0.49237375157322</x:v>
      </x:c>
      <x:c r="F476" s="16" t="n">
        <x:f>IF(AND('Queries'!E476&lt;='Rules'!$B$15,'Queries'!C476&gt;='Rules'!$B$14,'Queries'!D476&lt;'Rules'!$B$16),1,0)</x:f>
        <x:v>0</x:v>
      </x:c>
      <x:c r="G476" s="16" t="n">
        <x:v>1</x:v>
      </x:c>
      <x:c r="H476" s="16" t="n">
        <x:v>1</x:v>
      </x:c>
      <x:c r="I476" s="16" t="n">
        <x:f>ROUND((B476*'Rules'!$B$6+C476/'Rules'!$B$12*'Rules'!$B$7+D476*'Rules'!$B$8+E476*'Rules'!$B$9+F476*'Rules'!$B$10+G476*'Rules'!$B$11)*H476,1)</x:f>
        <x:v>72.4</x:v>
      </x:c>
      <x:c r="J476" s="18" t="n">
        <x:f>'Queries'!C476*'Queries'!E476</x:f>
        <x:v>638.87</x:v>
      </x:c>
    </x:row>
    <x:row r="477" ht="32" customHeight="1">
      <x:c r="A477" s="6" t="str">
        <x:v>lamborghini specialist dubai</x:v>
      </x:c>
      <x:c r="B477" s="16" t="n">
        <x:v>1</x:v>
      </x:c>
      <x:c r="C477" s="16" t="n">
        <x:v>5</x:v>
      </x:c>
      <x:c r="D477" s="16" t="n">
        <x:f>IF('Queries'!E477&lt;='Rules'!$B$17,'Rules'!$B$21,IF('Queries'!E477&lt;='Rules'!$B$18,'Rules'!$B$22,IF('Queries'!E477&lt;='Rules'!$B$19,'Rules'!$B$23,IF('Queries'!E477&lt;='Rules'!$B$20,'Rules'!$B$24,'Rules'!$B$25))))</x:f>
        <x:v>0.7</x:v>
      </x:c>
      <x:c r="E477" s="16" t="n">
        <x:f>MIN(LOG10(1+'Queries'!C477)/'Rules'!$B$13,1)</x:f>
        <x:v>0.49237375157322</x:v>
      </x:c>
      <x:c r="F477" s="16" t="n">
        <x:f>IF(AND('Queries'!E477&lt;='Rules'!$B$15,'Queries'!C477&gt;='Rules'!$B$14,'Queries'!D477&lt;'Rules'!$B$16),1,0)</x:f>
        <x:v>0</x:v>
      </x:c>
      <x:c r="G477" s="16" t="n">
        <x:v>1</x:v>
      </x:c>
      <x:c r="H477" s="16" t="n">
        <x:v>1</x:v>
      </x:c>
      <x:c r="I477" s="16" t="n">
        <x:f>ROUND((B477*'Rules'!$B$6+C477/'Rules'!$B$12*'Rules'!$B$7+D477*'Rules'!$B$8+E477*'Rules'!$B$9+F477*'Rules'!$B$10+G477*'Rules'!$B$11)*H477,1)</x:f>
        <x:v>77.4</x:v>
      </x:c>
      <x:c r="J477" s="18" t="n">
        <x:f>'Queries'!C477*'Queries'!E477</x:f>
        <x:v>731.9599999999999</x:v>
      </x:c>
    </x:row>
    <x:row r="478" ht="32" customHeight="1">
      <x:c r="A478" s="6" t="str">
        <x:v>nissan authorised service centre near me</x:v>
      </x:c>
      <x:c r="B478" s="16" t="n">
        <x:v>0</x:v>
      </x:c>
      <x:c r="C478" s="16" t="n">
        <x:v>0</x:v>
      </x:c>
      <x:c r="D478" s="16" t="n">
        <x:f>IF('Queries'!E478&lt;='Rules'!$B$17,'Rules'!$B$21,IF('Queries'!E478&lt;='Rules'!$B$18,'Rules'!$B$22,IF('Queries'!E478&lt;='Rules'!$B$19,'Rules'!$B$23,IF('Queries'!E478&lt;='Rules'!$B$20,'Rules'!$B$24,'Rules'!$B$25))))</x:f>
        <x:v>0.7</x:v>
      </x:c>
      <x:c r="E478" s="16" t="n">
        <x:f>MIN(LOG10(1+'Queries'!C478)/'Rules'!$B$13,1)</x:f>
        <x:v>0.49237375157322</x:v>
      </x:c>
      <x:c r="F478" s="16" t="n">
        <x:f>IF(AND('Queries'!E478&lt;='Rules'!$B$15,'Queries'!C478&gt;='Rules'!$B$14,'Queries'!D478&lt;'Rules'!$B$16),1,0)</x:f>
        <x:v>0</x:v>
      </x:c>
      <x:c r="G478" s="16" t="n">
        <x:v>0</x:v>
      </x:c>
      <x:c r="H478" s="16" t="n">
        <x:v>0</x:v>
      </x:c>
      <x:c r="I478" s="16" t="n">
        <x:f>ROUND((B478*'Rules'!$B$6+C478/'Rules'!$B$12*'Rules'!$B$7+D478*'Rules'!$B$8+E478*'Rules'!$B$9+F478*'Rules'!$B$10+G478*'Rules'!$B$11)*H478,1)</x:f>
        <x:v>0</x:v>
      </x:c>
      <x:c r="J478" s="18" t="n">
        <x:f>'Queries'!C478*'Queries'!E478</x:f>
        <x:v>745.88</x:v>
      </x:c>
    </x:row>
    <x:row r="479" ht="32" customHeight="1">
      <x:c r="A479" s="6" t="str">
        <x:v>chrysler repair shop near me</x:v>
      </x:c>
      <x:c r="B479" s="16" t="n">
        <x:v>1</x:v>
      </x:c>
      <x:c r="C479" s="16" t="n">
        <x:v>3</x:v>
      </x:c>
      <x:c r="D479" s="16" t="n">
        <x:f>IF('Queries'!E479&lt;='Rules'!$B$17,'Rules'!$B$21,IF('Queries'!E479&lt;='Rules'!$B$18,'Rules'!$B$22,IF('Queries'!E479&lt;='Rules'!$B$19,'Rules'!$B$23,IF('Queries'!E479&lt;='Rules'!$B$20,'Rules'!$B$24,'Rules'!$B$25))))</x:f>
        <x:v>0.7</x:v>
      </x:c>
      <x:c r="E479" s="16" t="n">
        <x:f>MIN(LOG10(1+'Queries'!C479)/'Rules'!$B$13,1)</x:f>
        <x:v>0.49237375157322</x:v>
      </x:c>
      <x:c r="F479" s="16" t="n">
        <x:f>IF(AND('Queries'!E479&lt;='Rules'!$B$15,'Queries'!C479&gt;='Rules'!$B$14,'Queries'!D479&lt;'Rules'!$B$16),1,0)</x:f>
        <x:v>0</x:v>
      </x:c>
      <x:c r="G479" s="16" t="n">
        <x:v>1</x:v>
      </x:c>
      <x:c r="H479" s="16" t="n">
        <x:v>1</x:v>
      </x:c>
      <x:c r="I479" s="16" t="n">
        <x:f>ROUND((B479*'Rules'!$B$6+C479/'Rules'!$B$12*'Rules'!$B$7+D479*'Rules'!$B$8+E479*'Rules'!$B$9+F479*'Rules'!$B$10+G479*'Rules'!$B$11)*H479,1)</x:f>
        <x:v>69.4</x:v>
      </x:c>
      <x:c r="J479" s="18" t="n">
        <x:f>'Queries'!C479*'Queries'!E479</x:f>
        <x:v>858.98</x:v>
      </x:c>
    </x:row>
    <x:row r="480" ht="32" customHeight="1">
      <x:c r="A480" s="6" t="str">
        <x:v>bmw battery replacement</x:v>
      </x:c>
      <x:c r="B480" s="16" t="n">
        <x:v>0.8</x:v>
      </x:c>
      <x:c r="C480" s="16" t="n">
        <x:v>5</x:v>
      </x:c>
      <x:c r="D480" s="16" t="n">
        <x:f>IF('Queries'!E480&lt;='Rules'!$B$17,'Rules'!$B$21,IF('Queries'!E480&lt;='Rules'!$B$18,'Rules'!$B$22,IF('Queries'!E480&lt;='Rules'!$B$19,'Rules'!$B$23,IF('Queries'!E480&lt;='Rules'!$B$20,'Rules'!$B$24,'Rules'!$B$25))))</x:f>
        <x:v>0.4</x:v>
      </x:c>
      <x:c r="E480" s="16" t="n">
        <x:f>MIN(LOG10(1+'Queries'!C480)/'Rules'!$B$13,1)</x:f>
        <x:v>0.49237375157322</x:v>
      </x:c>
      <x:c r="F480" s="16" t="n">
        <x:f>IF(AND('Queries'!E480&lt;='Rules'!$B$15,'Queries'!C480&gt;='Rules'!$B$14,'Queries'!D480&lt;'Rules'!$B$16),1,0)</x:f>
        <x:v>0</x:v>
      </x:c>
      <x:c r="G480" s="16" t="n">
        <x:v>1</x:v>
      </x:c>
      <x:c r="H480" s="16" t="n">
        <x:v>1</x:v>
      </x:c>
      <x:c r="I480" s="16" t="n">
        <x:f>ROUND((B480*'Rules'!$B$6+C480/'Rules'!$B$12*'Rules'!$B$7+D480*'Rules'!$B$8+E480*'Rules'!$B$9+F480*'Rules'!$B$10+G480*'Rules'!$B$11)*H480,1)</x:f>
        <x:v>64.9</x:v>
      </x:c>
      <x:c r="J480" s="18" t="n">
        <x:f>'Queries'!C480*'Queries'!E480</x:f>
        <x:v>870.87</x:v>
      </x:c>
    </x:row>
    <x:row r="481" ht="32" customHeight="1">
      <x:c r="A481" s="6" t="str">
        <x:v>car paint protection in dubai</x:v>
      </x:c>
      <x:c r="B481" s="16" t="n">
        <x:v>1</x:v>
      </x:c>
      <x:c r="C481" s="16" t="n">
        <x:v>5</x:v>
      </x:c>
      <x:c r="D481" s="16" t="n">
        <x:f>IF('Queries'!E481&lt;='Rules'!$B$17,'Rules'!$B$21,IF('Queries'!E481&lt;='Rules'!$B$18,'Rules'!$B$22,IF('Queries'!E481&lt;='Rules'!$B$19,'Rules'!$B$23,IF('Queries'!E481&lt;='Rules'!$B$20,'Rules'!$B$24,'Rules'!$B$25))))</x:f>
        <x:v>0.4</x:v>
      </x:c>
      <x:c r="E481" s="16" t="n">
        <x:f>MIN(LOG10(1+'Queries'!C481)/'Rules'!$B$13,1)</x:f>
        <x:v>0.49237375157322</x:v>
      </x:c>
      <x:c r="F481" s="16" t="n">
        <x:f>IF(AND('Queries'!E481&lt;='Rules'!$B$15,'Queries'!C481&gt;='Rules'!$B$14,'Queries'!D481&lt;'Rules'!$B$16),1,0)</x:f>
        <x:v>0</x:v>
      </x:c>
      <x:c r="G481" s="16" t="n">
        <x:v>1</x:v>
      </x:c>
      <x:c r="H481" s="16" t="n">
        <x:v>1</x:v>
      </x:c>
      <x:c r="I481" s="16" t="n">
        <x:f>ROUND((B481*'Rules'!$B$6+C481/'Rules'!$B$12*'Rules'!$B$7+D481*'Rules'!$B$8+E481*'Rules'!$B$9+F481*'Rules'!$B$10+G481*'Rules'!$B$11)*H481,1)</x:f>
        <x:v>69.9</x:v>
      </x:c>
      <x:c r="J481" s="18" t="n">
        <x:f>'Queries'!C481*'Queries'!E481</x:f>
        <x:v>914.08</x:v>
      </x:c>
    </x:row>
    <x:row r="482" ht="32" customHeight="1">
      <x:c r="A482" s="6" t="str">
        <x:v>best cadillac repair garage dubai</x:v>
      </x:c>
      <x:c r="B482" s="16" t="n">
        <x:v>1</x:v>
      </x:c>
      <x:c r="C482" s="16" t="n">
        <x:v>3</x:v>
      </x:c>
      <x:c r="D482" s="16" t="n">
        <x:f>IF('Queries'!E482&lt;='Rules'!$B$17,'Rules'!$B$21,IF('Queries'!E482&lt;='Rules'!$B$18,'Rules'!$B$22,IF('Queries'!E482&lt;='Rules'!$B$19,'Rules'!$B$23,IF('Queries'!E482&lt;='Rules'!$B$20,'Rules'!$B$24,'Rules'!$B$25))))</x:f>
        <x:v>0.15</x:v>
      </x:c>
      <x:c r="E482" s="16" t="n">
        <x:f>MIN(LOG10(1+'Queries'!C482)/'Rules'!$B$13,1)</x:f>
        <x:v>0.49237375157322</x:v>
      </x:c>
      <x:c r="F482" s="16" t="n">
        <x:f>IF(AND('Queries'!E482&lt;='Rules'!$B$15,'Queries'!C482&gt;='Rules'!$B$14,'Queries'!D482&lt;'Rules'!$B$16),1,0)</x:f>
        <x:v>0</x:v>
      </x:c>
      <x:c r="G482" s="16" t="n">
        <x:v>1</x:v>
      </x:c>
      <x:c r="H482" s="16" t="n">
        <x:v>1</x:v>
      </x:c>
      <x:c r="I482" s="16" t="n">
        <x:f>ROUND((B482*'Rules'!$B$6+C482/'Rules'!$B$12*'Rules'!$B$7+D482*'Rules'!$B$8+E482*'Rules'!$B$9+F482*'Rules'!$B$10+G482*'Rules'!$B$11)*H482,1)</x:f>
        <x:v>55.7</x:v>
      </x:c>
      <x:c r="J482" s="18" t="n">
        <x:f>'Queries'!C482*'Queries'!E482</x:f>
        <x:v>1559.04</x:v>
      </x:c>
    </x:row>
    <x:row r="483" ht="32" customHeight="1">
      <x:c r="A483" s="6" t="str">
        <x:v>mercedes brake repair dubai</x:v>
      </x:c>
      <x:c r="B483" s="16" t="n">
        <x:v>1</x:v>
      </x:c>
      <x:c r="C483" s="16" t="n">
        <x:v>5</x:v>
      </x:c>
      <x:c r="D483" s="16" t="n">
        <x:f>IF('Queries'!E483&lt;='Rules'!$B$17,'Rules'!$B$21,IF('Queries'!E483&lt;='Rules'!$B$18,'Rules'!$B$22,IF('Queries'!E483&lt;='Rules'!$B$19,'Rules'!$B$23,IF('Queries'!E483&lt;='Rules'!$B$20,'Rules'!$B$24,'Rules'!$B$25))))</x:f>
        <x:v>1</x:v>
      </x:c>
      <x:c r="E483" s="16" t="n">
        <x:f>MIN(LOG10(1+'Queries'!C483)/'Rules'!$B$13,1)</x:f>
        <x:v>0.48746599929965334</x:v>
      </x:c>
      <x:c r="F483" s="16" t="n">
        <x:f>IF(AND('Queries'!E483&lt;='Rules'!$B$15,'Queries'!C483&gt;='Rules'!$B$14,'Queries'!D483&lt;'Rules'!$B$16),1,0)</x:f>
        <x:v>1</x:v>
      </x:c>
      <x:c r="G483" s="16" t="n">
        <x:v>1</x:v>
      </x:c>
      <x:c r="H483" s="16" t="n">
        <x:v>1</x:v>
      </x:c>
      <x:c r="I483" s="16" t="n">
        <x:f>ROUND((B483*'Rules'!$B$6+C483/'Rules'!$B$12*'Rules'!$B$7+D483*'Rules'!$B$8+E483*'Rules'!$B$9+F483*'Rules'!$B$10+G483*'Rules'!$B$11)*H483,1)</x:f>
        <x:v>94.9</x:v>
      </x:c>
      <x:c r="J483" s="18" t="n">
        <x:f>'Queries'!C483*'Queries'!E483</x:f>
        <x:v>269.92</x:v>
      </x:c>
    </x:row>
    <x:row r="484" ht="32" customHeight="1">
      <x:c r="A484" s="6" t="str">
        <x:v>mclaren service abu dhabi</x:v>
      </x:c>
      <x:c r="B484" s="16" t="n">
        <x:v>1</x:v>
      </x:c>
      <x:c r="C484" s="16" t="n">
        <x:v>1</x:v>
      </x:c>
      <x:c r="D484" s="16" t="n">
        <x:f>IF('Queries'!E484&lt;='Rules'!$B$17,'Rules'!$B$21,IF('Queries'!E484&lt;='Rules'!$B$18,'Rules'!$B$22,IF('Queries'!E484&lt;='Rules'!$B$19,'Rules'!$B$23,IF('Queries'!E484&lt;='Rules'!$B$20,'Rules'!$B$24,'Rules'!$B$25))))</x:f>
        <x:v>0.7</x:v>
      </x:c>
      <x:c r="E484" s="16" t="n">
        <x:f>MIN(LOG10(1+'Queries'!C484)/'Rules'!$B$13,1)</x:f>
        <x:v>0.48746599929965334</x:v>
      </x:c>
      <x:c r="F484" s="16" t="n">
        <x:f>IF(AND('Queries'!E484&lt;='Rules'!$B$15,'Queries'!C484&gt;='Rules'!$B$14,'Queries'!D484&lt;'Rules'!$B$16),1,0)</x:f>
        <x:v>0</x:v>
      </x:c>
      <x:c r="G484" s="16" t="n">
        <x:v>1</x:v>
      </x:c>
      <x:c r="H484" s="16" t="n">
        <x:v>0.2</x:v>
      </x:c>
      <x:c r="I484" s="16" t="n">
        <x:f>ROUND((B484*'Rules'!$B$6+C484/'Rules'!$B$12*'Rules'!$B$7+D484*'Rules'!$B$8+E484*'Rules'!$B$9+F484*'Rules'!$B$10+G484*'Rules'!$B$11)*H484,1)</x:f>
        <x:v>12.3</x:v>
      </x:c>
      <x:c r="J484" s="18" t="n">
        <x:f>'Queries'!C484*'Queries'!E484</x:f>
        <x:v>458.92</x:v>
      </x:c>
    </x:row>
    <x:row r="485" ht="32" customHeight="1">
      <x:c r="A485" s="6" t="str">
        <x:v>infiniti car oil change in dubai</x:v>
      </x:c>
      <x:c r="B485" s="16" t="n">
        <x:v>1</x:v>
      </x:c>
      <x:c r="C485" s="16" t="n">
        <x:v>3</x:v>
      </x:c>
      <x:c r="D485" s="16" t="n">
        <x:f>IF('Queries'!E485&lt;='Rules'!$B$17,'Rules'!$B$21,IF('Queries'!E485&lt;='Rules'!$B$18,'Rules'!$B$22,IF('Queries'!E485&lt;='Rules'!$B$19,'Rules'!$B$23,IF('Queries'!E485&lt;='Rules'!$B$20,'Rules'!$B$24,'Rules'!$B$25))))</x:f>
        <x:v>0.7</x:v>
      </x:c>
      <x:c r="E485" s="16" t="n">
        <x:f>MIN(LOG10(1+'Queries'!C485)/'Rules'!$B$13,1)</x:f>
        <x:v>0.48746599929965334</x:v>
      </x:c>
      <x:c r="F485" s="16" t="n">
        <x:f>IF(AND('Queries'!E485&lt;='Rules'!$B$15,'Queries'!C485&gt;='Rules'!$B$14,'Queries'!D485&lt;'Rules'!$B$16),1,0)</x:f>
        <x:v>0</x:v>
      </x:c>
      <x:c r="G485" s="16" t="n">
        <x:v>1</x:v>
      </x:c>
      <x:c r="H485" s="16" t="n">
        <x:v>1</x:v>
      </x:c>
      <x:c r="I485" s="16" t="n">
        <x:f>ROUND((B485*'Rules'!$B$6+C485/'Rules'!$B$12*'Rules'!$B$7+D485*'Rules'!$B$8+E485*'Rules'!$B$9+F485*'Rules'!$B$10+G485*'Rules'!$B$11)*H485,1)</x:f>
        <x:v>69.4</x:v>
      </x:c>
      <x:c r="J485" s="18" t="n">
        <x:f>'Queries'!C485*'Queries'!E485</x:f>
        <x:v>586.88</x:v>
      </x:c>
    </x:row>
    <x:row r="486" ht="32" customHeight="1">
      <x:c r="A486" s="6" t="str">
        <x:v>aston martin repair abu dhabi</x:v>
      </x:c>
      <x:c r="B486" s="16" t="n">
        <x:v>1</x:v>
      </x:c>
      <x:c r="C486" s="16" t="n">
        <x:v>1</x:v>
      </x:c>
      <x:c r="D486" s="16" t="n">
        <x:f>IF('Queries'!E486&lt;='Rules'!$B$17,'Rules'!$B$21,IF('Queries'!E486&lt;='Rules'!$B$18,'Rules'!$B$22,IF('Queries'!E486&lt;='Rules'!$B$19,'Rules'!$B$23,IF('Queries'!E486&lt;='Rules'!$B$20,'Rules'!$B$24,'Rules'!$B$25))))</x:f>
        <x:v>0.7</x:v>
      </x:c>
      <x:c r="E486" s="16" t="n">
        <x:f>MIN(LOG10(1+'Queries'!C486)/'Rules'!$B$13,1)</x:f>
        <x:v>0.48746599929965334</x:v>
      </x:c>
      <x:c r="F486" s="16" t="n">
        <x:f>IF(AND('Queries'!E486&lt;='Rules'!$B$15,'Queries'!C486&gt;='Rules'!$B$14,'Queries'!D486&lt;'Rules'!$B$16),1,0)</x:f>
        <x:v>0</x:v>
      </x:c>
      <x:c r="G486" s="16" t="n">
        <x:v>1</x:v>
      </x:c>
      <x:c r="H486" s="16" t="n">
        <x:v>0.2</x:v>
      </x:c>
      <x:c r="I486" s="16" t="n">
        <x:f>ROUND((B486*'Rules'!$B$6+C486/'Rules'!$B$12*'Rules'!$B$7+D486*'Rules'!$B$8+E486*'Rules'!$B$9+F486*'Rules'!$B$10+G486*'Rules'!$B$11)*H486,1)</x:f>
        <x:v>12.3</x:v>
      </x:c>
      <x:c r="J486" s="18" t="n">
        <x:f>'Queries'!C486*'Queries'!E486</x:f>
        <x:v>595</x:v>
      </x:c>
    </x:row>
    <x:row r="487" ht="32" customHeight="1">
      <x:c r="A487" s="6" t="str">
        <x:v>porsche brake service dubai</x:v>
      </x:c>
      <x:c r="B487" s="16" t="n">
        <x:v>1</x:v>
      </x:c>
      <x:c r="C487" s="16" t="n">
        <x:v>5</x:v>
      </x:c>
      <x:c r="D487" s="16" t="n">
        <x:f>IF('Queries'!E487&lt;='Rules'!$B$17,'Rules'!$B$21,IF('Queries'!E487&lt;='Rules'!$B$18,'Rules'!$B$22,IF('Queries'!E487&lt;='Rules'!$B$19,'Rules'!$B$23,IF('Queries'!E487&lt;='Rules'!$B$20,'Rules'!$B$24,'Rules'!$B$25))))</x:f>
        <x:v>0.7</x:v>
      </x:c>
      <x:c r="E487" s="16" t="n">
        <x:f>MIN(LOG10(1+'Queries'!C487)/'Rules'!$B$13,1)</x:f>
        <x:v>0.48746599929965334</x:v>
      </x:c>
      <x:c r="F487" s="16" t="n">
        <x:f>IF(AND('Queries'!E487&lt;='Rules'!$B$15,'Queries'!C487&gt;='Rules'!$B$14,'Queries'!D487&lt;'Rules'!$B$16),1,0)</x:f>
        <x:v>0</x:v>
      </x:c>
      <x:c r="G487" s="16" t="n">
        <x:v>1</x:v>
      </x:c>
      <x:c r="H487" s="16" t="n">
        <x:v>1</x:v>
      </x:c>
      <x:c r="I487" s="16" t="n">
        <x:f>ROUND((B487*'Rules'!$B$6+C487/'Rules'!$B$12*'Rules'!$B$7+D487*'Rules'!$B$8+E487*'Rules'!$B$9+F487*'Rules'!$B$10+G487*'Rules'!$B$11)*H487,1)</x:f>
        <x:v>77.4</x:v>
      </x:c>
      <x:c r="J487" s="18" t="n">
        <x:f>'Queries'!C487*'Queries'!E487</x:f>
        <x:v>684.88</x:v>
      </x:c>
    </x:row>
    <x:row r="488" ht="32" customHeight="1">
      <x:c r="A488" s="6" t="str">
        <x:v>porsche car battery uae</x:v>
      </x:c>
      <x:c r="B488" s="16" t="n">
        <x:v>0.8</x:v>
      </x:c>
      <x:c r="C488" s="16" t="n">
        <x:v>5</x:v>
      </x:c>
      <x:c r="D488" s="16" t="n">
        <x:f>IF('Queries'!E488&lt;='Rules'!$B$17,'Rules'!$B$21,IF('Queries'!E488&lt;='Rules'!$B$18,'Rules'!$B$22,IF('Queries'!E488&lt;='Rules'!$B$19,'Rules'!$B$23,IF('Queries'!E488&lt;='Rules'!$B$20,'Rules'!$B$24,'Rules'!$B$25))))</x:f>
        <x:v>0.7</x:v>
      </x:c>
      <x:c r="E488" s="16" t="n">
        <x:f>MIN(LOG10(1+'Queries'!C488)/'Rules'!$B$13,1)</x:f>
        <x:v>0.48746599929965334</x:v>
      </x:c>
      <x:c r="F488" s="16" t="n">
        <x:f>IF(AND('Queries'!E488&lt;='Rules'!$B$15,'Queries'!C488&gt;='Rules'!$B$14,'Queries'!D488&lt;'Rules'!$B$16),1,0)</x:f>
        <x:v>0</x:v>
      </x:c>
      <x:c r="G488" s="16" t="n">
        <x:v>1</x:v>
      </x:c>
      <x:c r="H488" s="16" t="n">
        <x:v>1</x:v>
      </x:c>
      <x:c r="I488" s="16" t="n">
        <x:f>ROUND((B488*'Rules'!$B$6+C488/'Rules'!$B$12*'Rules'!$B$7+D488*'Rules'!$B$8+E488*'Rules'!$B$9+F488*'Rules'!$B$10+G488*'Rules'!$B$11)*H488,1)</x:f>
        <x:v>72.4</x:v>
      </x:c>
      <x:c r="J488" s="18" t="n">
        <x:f>'Queries'!C488*'Queries'!E488</x:f>
        <x:v>782.04</x:v>
      </x:c>
    </x:row>
    <x:row r="489" ht="32" customHeight="1">
      <x:c r="A489" s="6" t="str">
        <x:v>roadside assistance dubai</x:v>
      </x:c>
      <x:c r="B489" s="16" t="n">
        <x:v>1</x:v>
      </x:c>
      <x:c r="C489" s="16" t="n">
        <x:v>1</x:v>
      </x:c>
      <x:c r="D489" s="16" t="n">
        <x:f>IF('Queries'!E489&lt;='Rules'!$B$17,'Rules'!$B$21,IF('Queries'!E489&lt;='Rules'!$B$18,'Rules'!$B$22,IF('Queries'!E489&lt;='Rules'!$B$19,'Rules'!$B$23,IF('Queries'!E489&lt;='Rules'!$B$20,'Rules'!$B$24,'Rules'!$B$25))))</x:f>
        <x:v>0.7</x:v>
      </x:c>
      <x:c r="E489" s="16" t="n">
        <x:f>MIN(LOG10(1+'Queries'!C489)/'Rules'!$B$13,1)</x:f>
        <x:v>0.48746599929965334</x:v>
      </x:c>
      <x:c r="F489" s="16" t="n">
        <x:f>IF(AND('Queries'!E489&lt;='Rules'!$B$15,'Queries'!C489&gt;='Rules'!$B$14,'Queries'!D489&lt;'Rules'!$B$16),1,0)</x:f>
        <x:v>0</x:v>
      </x:c>
      <x:c r="G489" s="16" t="n">
        <x:v>1</x:v>
      </x:c>
      <x:c r="H489" s="16" t="n">
        <x:v>0.1</x:v>
      </x:c>
      <x:c r="I489" s="16" t="n">
        <x:f>ROUND((B489*'Rules'!$B$6+C489/'Rules'!$B$12*'Rules'!$B$7+D489*'Rules'!$B$8+E489*'Rules'!$B$9+F489*'Rules'!$B$10+G489*'Rules'!$B$11)*H489,1)</x:f>
        <x:v>6.1</x:v>
      </x:c>
      <x:c r="J489" s="18" t="n">
        <x:f>'Queries'!C489*'Queries'!E489</x:f>
        <x:v>813.96</x:v>
      </x:c>
    </x:row>
    <x:row r="490" ht="32" customHeight="1">
      <x:c r="A490" s="6" t="str">
        <x:v>rack and pinion gear dubai</x:v>
      </x:c>
      <x:c r="B490" s="16" t="n">
        <x:v>1</x:v>
      </x:c>
      <x:c r="C490" s="16" t="n">
        <x:v>2</x:v>
      </x:c>
      <x:c r="D490" s="16" t="n">
        <x:f>IF('Queries'!E490&lt;='Rules'!$B$17,'Rules'!$B$21,IF('Queries'!E490&lt;='Rules'!$B$18,'Rules'!$B$22,IF('Queries'!E490&lt;='Rules'!$B$19,'Rules'!$B$23,IF('Queries'!E490&lt;='Rules'!$B$20,'Rules'!$B$24,'Rules'!$B$25))))</x:f>
        <x:v>0.7</x:v>
      </x:c>
      <x:c r="E490" s="16" t="n">
        <x:f>MIN(LOG10(1+'Queries'!C490)/'Rules'!$B$13,1)</x:f>
        <x:v>0.48746599929965334</x:v>
      </x:c>
      <x:c r="F490" s="16" t="n">
        <x:f>IF(AND('Queries'!E490&lt;='Rules'!$B$15,'Queries'!C490&gt;='Rules'!$B$14,'Queries'!D490&lt;'Rules'!$B$16),1,0)</x:f>
        <x:v>0</x:v>
      </x:c>
      <x:c r="G490" s="16" t="n">
        <x:v>1</x:v>
      </x:c>
      <x:c r="H490" s="16" t="n">
        <x:v>0.65</x:v>
      </x:c>
      <x:c r="I490" s="16" t="n">
        <x:f>ROUND((B490*'Rules'!$B$6+C490/'Rules'!$B$12*'Rules'!$B$7+D490*'Rules'!$B$8+E490*'Rules'!$B$9+F490*'Rules'!$B$10+G490*'Rules'!$B$11)*H490,1)</x:f>
        <x:v>42.5</x:v>
      </x:c>
      <x:c r="J490" s="18" t="n">
        <x:f>'Queries'!C490*'Queries'!E490</x:f>
        <x:v>827.96</x:v>
      </x:c>
    </x:row>
    <x:row r="491" ht="32" customHeight="1">
      <x:c r="A491" s="6" t="str">
        <x:v>car gearbox repair dubai</x:v>
      </x:c>
      <x:c r="B491" s="16" t="n">
        <x:v>1</x:v>
      </x:c>
      <x:c r="C491" s="16" t="n">
        <x:v>3</x:v>
      </x:c>
      <x:c r="D491" s="16" t="n">
        <x:f>IF('Queries'!E491&lt;='Rules'!$B$17,'Rules'!$B$21,IF('Queries'!E491&lt;='Rules'!$B$18,'Rules'!$B$22,IF('Queries'!E491&lt;='Rules'!$B$19,'Rules'!$B$23,IF('Queries'!E491&lt;='Rules'!$B$20,'Rules'!$B$24,'Rules'!$B$25))))</x:f>
        <x:v>0.4</x:v>
      </x:c>
      <x:c r="E491" s="16" t="n">
        <x:f>MIN(LOG10(1+'Queries'!C491)/'Rules'!$B$13,1)</x:f>
        <x:v>0.48746599929965334</x:v>
      </x:c>
      <x:c r="F491" s="16" t="n">
        <x:f>IF(AND('Queries'!E491&lt;='Rules'!$B$15,'Queries'!C491&gt;='Rules'!$B$14,'Queries'!D491&lt;'Rules'!$B$16),1,0)</x:f>
        <x:v>0</x:v>
      </x:c>
      <x:c r="G491" s="16" t="n">
        <x:v>1</x:v>
      </x:c>
      <x:c r="H491" s="16" t="n">
        <x:v>1</x:v>
      </x:c>
      <x:c r="I491" s="16" t="n">
        <x:f>ROUND((B491*'Rules'!$B$6+C491/'Rules'!$B$12*'Rules'!$B$7+D491*'Rules'!$B$8+E491*'Rules'!$B$9+F491*'Rules'!$B$10+G491*'Rules'!$B$11)*H491,1)</x:f>
        <x:v>61.9</x:v>
      </x:c>
      <x:c r="J491" s="18" t="n">
        <x:f>'Queries'!C491*'Queries'!E491</x:f>
        <x:v>995.96</x:v>
      </x:c>
    </x:row>
    <x:row r="492" ht="32" customHeight="1">
      <x:c r="A492" s="6" t="str">
        <x:v>gmc repair dubai</x:v>
      </x:c>
      <x:c r="B492" s="16" t="n">
        <x:v>1</x:v>
      </x:c>
      <x:c r="C492" s="16" t="n">
        <x:v>3</x:v>
      </x:c>
      <x:c r="D492" s="16" t="n">
        <x:f>IF('Queries'!E492&lt;='Rules'!$B$17,'Rules'!$B$21,IF('Queries'!E492&lt;='Rules'!$B$18,'Rules'!$B$22,IF('Queries'!E492&lt;='Rules'!$B$19,'Rules'!$B$23,IF('Queries'!E492&lt;='Rules'!$B$20,'Rules'!$B$24,'Rules'!$B$25))))</x:f>
        <x:v>0.4</x:v>
      </x:c>
      <x:c r="E492" s="16" t="n">
        <x:f>MIN(LOG10(1+'Queries'!C492)/'Rules'!$B$13,1)</x:f>
        <x:v>0.48746599929965334</x:v>
      </x:c>
      <x:c r="F492" s="16" t="n">
        <x:f>IF(AND('Queries'!E492&lt;='Rules'!$B$15,'Queries'!C492&gt;='Rules'!$B$14,'Queries'!D492&lt;'Rules'!$B$16),1,0)</x:f>
        <x:v>0</x:v>
      </x:c>
      <x:c r="G492" s="16" t="n">
        <x:v>1</x:v>
      </x:c>
      <x:c r="H492" s="16" t="n">
        <x:v>1</x:v>
      </x:c>
      <x:c r="I492" s="16" t="n">
        <x:f>ROUND((B492*'Rules'!$B$6+C492/'Rules'!$B$12*'Rules'!$B$7+D492*'Rules'!$B$8+E492*'Rules'!$B$9+F492*'Rules'!$B$10+G492*'Rules'!$B$11)*H492,1)</x:f>
        <x:v>61.9</x:v>
      </x:c>
      <x:c r="J492" s="18" t="n">
        <x:f>'Queries'!C492*'Queries'!E492</x:f>
        <x:v>999.04</x:v>
      </x:c>
    </x:row>
    <x:row r="493" ht="32" customHeight="1">
      <x:c r="A493" s="6" t="str">
        <x:v>ورشة تصليح مينى</x:v>
      </x:c>
      <x:c r="B493" s="16" t="n">
        <x:v>0.8</x:v>
      </x:c>
      <x:c r="C493" s="16" t="n">
        <x:v>3</x:v>
      </x:c>
      <x:c r="D493" s="16" t="n">
        <x:f>IF('Queries'!E493&lt;='Rules'!$B$17,'Rules'!$B$21,IF('Queries'!E493&lt;='Rules'!$B$18,'Rules'!$B$22,IF('Queries'!E493&lt;='Rules'!$B$19,'Rules'!$B$23,IF('Queries'!E493&lt;='Rules'!$B$20,'Rules'!$B$24,'Rules'!$B$25))))</x:f>
        <x:v>0.4</x:v>
      </x:c>
      <x:c r="E493" s="16" t="n">
        <x:f>MIN(LOG10(1+'Queries'!C493)/'Rules'!$B$13,1)</x:f>
        <x:v>0.48746599929965334</x:v>
      </x:c>
      <x:c r="F493" s="16" t="n">
        <x:f>IF(AND('Queries'!E493&lt;='Rules'!$B$15,'Queries'!C493&gt;='Rules'!$B$14,'Queries'!D493&lt;'Rules'!$B$16),1,0)</x:f>
        <x:v>0</x:v>
      </x:c>
      <x:c r="G493" s="16" t="n">
        <x:v>1</x:v>
      </x:c>
      <x:c r="H493" s="16" t="n">
        <x:v>1</x:v>
      </x:c>
      <x:c r="I493" s="16" t="n">
        <x:f>ROUND((B493*'Rules'!$B$6+C493/'Rules'!$B$12*'Rules'!$B$7+D493*'Rules'!$B$8+E493*'Rules'!$B$9+F493*'Rules'!$B$10+G493*'Rules'!$B$11)*H493,1)</x:f>
        <x:v>56.9</x:v>
      </x:c>
      <x:c r="J493" s="18" t="n">
        <x:f>'Queries'!C493*'Queries'!E493</x:f>
        <x:v>1030.12</x:v>
      </x:c>
    </x:row>
    <x:row r="494" ht="32" customHeight="1">
      <x:c r="A494" s="6" t="str">
        <x:v>jeep service center</x:v>
      </x:c>
      <x:c r="B494" s="16" t="n">
        <x:v>0.8</x:v>
      </x:c>
      <x:c r="C494" s="16" t="n">
        <x:v>3</x:v>
      </x:c>
      <x:c r="D494" s="16" t="n">
        <x:f>IF('Queries'!E494&lt;='Rules'!$B$17,'Rules'!$B$21,IF('Queries'!E494&lt;='Rules'!$B$18,'Rules'!$B$22,IF('Queries'!E494&lt;='Rules'!$B$19,'Rules'!$B$23,IF('Queries'!E494&lt;='Rules'!$B$20,'Rules'!$B$24,'Rules'!$B$25))))</x:f>
        <x:v>0.15</x:v>
      </x:c>
      <x:c r="E494" s="16" t="n">
        <x:f>MIN(LOG10(1+'Queries'!C494)/'Rules'!$B$13,1)</x:f>
        <x:v>0.48746599929965334</x:v>
      </x:c>
      <x:c r="F494" s="16" t="n">
        <x:f>IF(AND('Queries'!E494&lt;='Rules'!$B$15,'Queries'!C494&gt;='Rules'!$B$14,'Queries'!D494&lt;'Rules'!$B$16),1,0)</x:f>
        <x:v>0</x:v>
      </x:c>
      <x:c r="G494" s="16" t="n">
        <x:v>1</x:v>
      </x:c>
      <x:c r="H494" s="16" t="n">
        <x:v>1</x:v>
      </x:c>
      <x:c r="I494" s="16" t="n">
        <x:f>ROUND((B494*'Rules'!$B$6+C494/'Rules'!$B$12*'Rules'!$B$7+D494*'Rules'!$B$8+E494*'Rules'!$B$9+F494*'Rules'!$B$10+G494*'Rules'!$B$11)*H494,1)</x:f>
        <x:v>50.6</x:v>
      </x:c>
      <x:c r="J494" s="18" t="n">
        <x:f>'Queries'!C494*'Queries'!E494</x:f>
        <x:v>1478.96</x:v>
      </x:c>
    </x:row>
    <x:row r="495" ht="32" customHeight="1">
      <x:c r="A495" s="6" t="str">
        <x:v>cadillac specialist garage</x:v>
      </x:c>
      <x:c r="B495" s="16" t="n">
        <x:v>0.8</x:v>
      </x:c>
      <x:c r="C495" s="16" t="n">
        <x:v>3</x:v>
      </x:c>
      <x:c r="D495" s="16" t="n">
        <x:f>IF('Queries'!E495&lt;='Rules'!$B$17,'Rules'!$B$21,IF('Queries'!E495&lt;='Rules'!$B$18,'Rules'!$B$22,IF('Queries'!E495&lt;='Rules'!$B$19,'Rules'!$B$23,IF('Queries'!E495&lt;='Rules'!$B$20,'Rules'!$B$24,'Rules'!$B$25))))</x:f>
        <x:v>0.15</x:v>
      </x:c>
      <x:c r="E495" s="16" t="n">
        <x:f>MIN(LOG10(1+'Queries'!C495)/'Rules'!$B$13,1)</x:f>
        <x:v>0.48746599929965334</x:v>
      </x:c>
      <x:c r="F495" s="16" t="n">
        <x:f>IF(AND('Queries'!E495&lt;='Rules'!$B$15,'Queries'!C495&gt;='Rules'!$B$14,'Queries'!D495&lt;'Rules'!$B$16),1,0)</x:f>
        <x:v>0</x:v>
      </x:c>
      <x:c r="G495" s="16" t="n">
        <x:v>1</x:v>
      </x:c>
      <x:c r="H495" s="16" t="n">
        <x:v>1</x:v>
      </x:c>
      <x:c r="I495" s="16" t="n">
        <x:f>ROUND((B495*'Rules'!$B$6+C495/'Rules'!$B$12*'Rules'!$B$7+D495*'Rules'!$B$8+E495*'Rules'!$B$9+F495*'Rules'!$B$10+G495*'Rules'!$B$11)*H495,1)</x:f>
        <x:v>50.6</x:v>
      </x:c>
      <x:c r="J495" s="18" t="n">
        <x:f>'Queries'!C495*'Queries'!E495</x:f>
        <x:v>1573.04</x:v>
      </x:c>
    </x:row>
    <x:row r="496" ht="32" customHeight="1">
      <x:c r="A496" s="6" t="str">
        <x:v>bentley service center dubai</x:v>
      </x:c>
      <x:c r="B496" s="16" t="n">
        <x:v>1</x:v>
      </x:c>
      <x:c r="C496" s="16" t="n">
        <x:v>5</x:v>
      </x:c>
      <x:c r="D496" s="16" t="n">
        <x:f>IF('Queries'!E496&lt;='Rules'!$B$17,'Rules'!$B$21,IF('Queries'!E496&lt;='Rules'!$B$18,'Rules'!$B$22,IF('Queries'!E496&lt;='Rules'!$B$19,'Rules'!$B$23,IF('Queries'!E496&lt;='Rules'!$B$20,'Rules'!$B$24,'Rules'!$B$25))))</x:f>
        <x:v>0.15</x:v>
      </x:c>
      <x:c r="E496" s="16" t="n">
        <x:f>MIN(LOG10(1+'Queries'!C496)/'Rules'!$B$13,1)</x:f>
        <x:v>0.48746599929965334</x:v>
      </x:c>
      <x:c r="F496" s="16" t="n">
        <x:f>IF(AND('Queries'!E496&lt;='Rules'!$B$15,'Queries'!C496&gt;='Rules'!$B$14,'Queries'!D496&lt;'Rules'!$B$16),1,0)</x:f>
        <x:v>0</x:v>
      </x:c>
      <x:c r="G496" s="16" t="n">
        <x:v>1</x:v>
      </x:c>
      <x:c r="H496" s="16" t="n">
        <x:v>1</x:v>
      </x:c>
      <x:c r="I496" s="16" t="n">
        <x:f>ROUND((B496*'Rules'!$B$6+C496/'Rules'!$B$12*'Rules'!$B$7+D496*'Rules'!$B$8+E496*'Rules'!$B$9+F496*'Rules'!$B$10+G496*'Rules'!$B$11)*H496,1)</x:f>
        <x:v>63.6</x:v>
      </x:c>
      <x:c r="J496" s="18" t="n">
        <x:f>'Queries'!C496*'Queries'!E496</x:f>
        <x:v>1741.88</x:v>
      </x:c>
    </x:row>
    <x:row r="497" ht="32" customHeight="1">
      <x:c r="A497" s="6" t="str">
        <x:v>audi transmission repair abu dhabi</x:v>
      </x:c>
      <x:c r="B497" s="16" t="n">
        <x:v>1</x:v>
      </x:c>
      <x:c r="C497" s="16" t="n">
        <x:v>1</x:v>
      </x:c>
      <x:c r="D497" s="16" t="n">
        <x:f>IF('Queries'!E497&lt;='Rules'!$B$17,'Rules'!$B$21,IF('Queries'!E497&lt;='Rules'!$B$18,'Rules'!$B$22,IF('Queries'!E497&lt;='Rules'!$B$19,'Rules'!$B$23,IF('Queries'!E497&lt;='Rules'!$B$20,'Rules'!$B$24,'Rules'!$B$25))))</x:f>
        <x:v>0.15</x:v>
      </x:c>
      <x:c r="E497" s="16" t="n">
        <x:f>MIN(LOG10(1+'Queries'!C497)/'Rules'!$B$13,1)</x:f>
        <x:v>0.48746599929965334</x:v>
      </x:c>
      <x:c r="F497" s="16" t="n">
        <x:f>IF(AND('Queries'!E497&lt;='Rules'!$B$15,'Queries'!C497&gt;='Rules'!$B$14,'Queries'!D497&lt;'Rules'!$B$16),1,0)</x:f>
        <x:v>0</x:v>
      </x:c>
      <x:c r="G497" s="16" t="n">
        <x:v>1</x:v>
      </x:c>
      <x:c r="H497" s="16" t="n">
        <x:v>0.2</x:v>
      </x:c>
      <x:c r="I497" s="16" t="n">
        <x:f>ROUND((B497*'Rules'!$B$6+C497/'Rules'!$B$12*'Rules'!$B$7+D497*'Rules'!$B$8+E497*'Rules'!$B$9+F497*'Rules'!$B$10+G497*'Rules'!$B$11)*H497,1)</x:f>
        <x:v>9.5</x:v>
      </x:c>
      <x:c r="J497" s="18" t="n">
        <x:f>'Queries'!C497*'Queries'!E497</x:f>
        <x:v>1774.92</x:v>
      </x:c>
    </x:row>
    <x:row r="498" ht="32" customHeight="1">
      <x:c r="A498" s="6" t="str">
        <x:v>car service center in dubai</x:v>
      </x:c>
      <x:c r="B498" s="16" t="n">
        <x:v>1</x:v>
      </x:c>
      <x:c r="C498" s="16" t="n">
        <x:v>3</x:v>
      </x:c>
      <x:c r="D498" s="16" t="n">
        <x:f>IF('Queries'!E498&lt;='Rules'!$B$17,'Rules'!$B$21,IF('Queries'!E498&lt;='Rules'!$B$18,'Rules'!$B$22,IF('Queries'!E498&lt;='Rules'!$B$19,'Rules'!$B$23,IF('Queries'!E498&lt;='Rules'!$B$20,'Rules'!$B$24,'Rules'!$B$25))))</x:f>
        <x:v>0.15</x:v>
      </x:c>
      <x:c r="E498" s="16" t="n">
        <x:f>MIN(LOG10(1+'Queries'!C498)/'Rules'!$B$13,1)</x:f>
        <x:v>0.48746599929965334</x:v>
      </x:c>
      <x:c r="F498" s="16" t="n">
        <x:f>IF(AND('Queries'!E498&lt;='Rules'!$B$15,'Queries'!C498&gt;='Rules'!$B$14,'Queries'!D498&lt;'Rules'!$B$16),1,0)</x:f>
        <x:v>0</x:v>
      </x:c>
      <x:c r="G498" s="16" t="n">
        <x:v>1</x:v>
      </x:c>
      <x:c r="H498" s="16" t="n">
        <x:v>1</x:v>
      </x:c>
      <x:c r="I498" s="16" t="n">
        <x:f>ROUND((B498*'Rules'!$B$6+C498/'Rules'!$B$12*'Rules'!$B$7+D498*'Rules'!$B$8+E498*'Rules'!$B$9+F498*'Rules'!$B$10+G498*'Rules'!$B$11)*H498,1)</x:f>
        <x:v>55.6</x:v>
      </x:c>
      <x:c r="J498" s="18" t="n">
        <x:f>'Queries'!C498*'Queries'!E498</x:f>
        <x:v>1844.92</x:v>
      </x:c>
    </x:row>
    <x:row r="499" ht="32" customHeight="1">
      <x:c r="A499" s="6" t="str">
        <x:v>gad motors mercedes</x:v>
      </x:c>
      <x:c r="B499" s="16" t="n">
        <x:v>0.8</x:v>
      </x:c>
      <x:c r="C499" s="16" t="n">
        <x:v>5</x:v>
      </x:c>
      <x:c r="D499" s="16" t="n">
        <x:f>IF('Queries'!E499&lt;='Rules'!$B$17,'Rules'!$B$21,IF('Queries'!E499&lt;='Rules'!$B$18,'Rules'!$B$22,IF('Queries'!E499&lt;='Rules'!$B$19,'Rules'!$B$23,IF('Queries'!E499&lt;='Rules'!$B$20,'Rules'!$B$24,'Rules'!$B$25))))</x:f>
        <x:v>1</x:v>
      </x:c>
      <x:c r="E499" s="16" t="n">
        <x:f>MIN(LOG10(1+'Queries'!C499)/'Rules'!$B$13,1)</x:f>
        <x:v>0.4823860104474067</x:v>
      </x:c>
      <x:c r="F499" s="16" t="n">
        <x:f>IF(AND('Queries'!E499&lt;='Rules'!$B$15,'Queries'!C499&gt;='Rules'!$B$14,'Queries'!D499&lt;'Rules'!$B$16),1,0)</x:f>
        <x:v>1</x:v>
      </x:c>
      <x:c r="G499" s="16" t="n">
        <x:v>1</x:v>
      </x:c>
      <x:c r="H499" s="16" t="n">
        <x:v>1</x:v>
      </x:c>
      <x:c r="I499" s="16" t="n">
        <x:f>ROUND((B499*'Rules'!$B$6+C499/'Rules'!$B$12*'Rules'!$B$7+D499*'Rules'!$B$8+E499*'Rules'!$B$9+F499*'Rules'!$B$10+G499*'Rules'!$B$11)*H499,1)</x:f>
        <x:v>89.8</x:v>
      </x:c>
      <x:c r="J499" s="18" t="n">
        <x:f>'Queries'!C499*'Queries'!E499</x:f>
        <x:v>218.96999999999997</x:v>
      </x:c>
    </x:row>
    <x:row r="500" ht="32" customHeight="1">
      <x:c r="A500" s="6" t="str">
        <x:v>aston martin workshop dubai</x:v>
      </x:c>
      <x:c r="B500" s="16" t="n">
        <x:v>1</x:v>
      </x:c>
      <x:c r="C500" s="16" t="n">
        <x:v>5</x:v>
      </x:c>
      <x:c r="D500" s="16" t="n">
        <x:f>IF('Queries'!E500&lt;='Rules'!$B$17,'Rules'!$B$21,IF('Queries'!E500&lt;='Rules'!$B$18,'Rules'!$B$22,IF('Queries'!E500&lt;='Rules'!$B$19,'Rules'!$B$23,IF('Queries'!E500&lt;='Rules'!$B$20,'Rules'!$B$24,'Rules'!$B$25))))</x:f>
        <x:v>1</x:v>
      </x:c>
      <x:c r="E500" s="16" t="n">
        <x:f>MIN(LOG10(1+'Queries'!C500)/'Rules'!$B$13,1)</x:f>
        <x:v>0.4823860104474067</x:v>
      </x:c>
      <x:c r="F500" s="16" t="n">
        <x:f>IF(AND('Queries'!E500&lt;='Rules'!$B$15,'Queries'!C500&gt;='Rules'!$B$14,'Queries'!D500&lt;'Rules'!$B$16),1,0)</x:f>
        <x:v>1</x:v>
      </x:c>
      <x:c r="G500" s="16" t="n">
        <x:v>1</x:v>
      </x:c>
      <x:c r="H500" s="16" t="n">
        <x:v>1</x:v>
      </x:c>
      <x:c r="I500" s="16" t="n">
        <x:f>ROUND((B500*'Rules'!$B$6+C500/'Rules'!$B$12*'Rules'!$B$7+D500*'Rules'!$B$8+E500*'Rules'!$B$9+F500*'Rules'!$B$10+G500*'Rules'!$B$11)*H500,1)</x:f>
        <x:v>94.8</x:v>
      </x:c>
      <x:c r="J500" s="18" t="n">
        <x:f>'Queries'!C500*'Queries'!E500</x:f>
        <x:v>237.87</x:v>
      </x:c>
    </x:row>
    <x:row r="501" ht="32" customHeight="1">
      <x:c r="A501" s="6" t="str">
        <x:v>porsche service</x:v>
      </x:c>
      <x:c r="B501" s="16" t="n">
        <x:v>0.8</x:v>
      </x:c>
      <x:c r="C501" s="16" t="n">
        <x:v>5</x:v>
      </x:c>
      <x:c r="D501" s="16" t="n">
        <x:f>IF('Queries'!E501&lt;='Rules'!$B$17,'Rules'!$B$21,IF('Queries'!E501&lt;='Rules'!$B$18,'Rules'!$B$22,IF('Queries'!E501&lt;='Rules'!$B$19,'Rules'!$B$23,IF('Queries'!E501&lt;='Rules'!$B$20,'Rules'!$B$24,'Rules'!$B$25))))</x:f>
        <x:v>1</x:v>
      </x:c>
      <x:c r="E501" s="16" t="n">
        <x:f>MIN(LOG10(1+'Queries'!C501)/'Rules'!$B$13,1)</x:f>
        <x:v>0.4823860104474067</x:v>
      </x:c>
      <x:c r="F501" s="16" t="n">
        <x:f>IF(AND('Queries'!E501&lt;='Rules'!$B$15,'Queries'!C501&gt;='Rules'!$B$14,'Queries'!D501&lt;'Rules'!$B$16),1,0)</x:f>
        <x:v>1</x:v>
      </x:c>
      <x:c r="G501" s="16" t="n">
        <x:v>1</x:v>
      </x:c>
      <x:c r="H501" s="16" t="n">
        <x:v>1</x:v>
      </x:c>
      <x:c r="I501" s="16" t="n">
        <x:f>ROUND((B501*'Rules'!$B$6+C501/'Rules'!$B$12*'Rules'!$B$7+D501*'Rules'!$B$8+E501*'Rules'!$B$9+F501*'Rules'!$B$10+G501*'Rules'!$B$11)*H501,1)</x:f>
        <x:v>89.8</x:v>
      </x:c>
      <x:c r="J501" s="18" t="n">
        <x:f>'Queries'!C501*'Queries'!E501</x:f>
        <x:v>262.98</x:v>
      </x:c>
    </x:row>
    <x:row r="502" ht="32" customHeight="1">
      <x:c r="A502" s="6" t="str">
        <x:v>nissan repair</x:v>
      </x:c>
      <x:c r="B502" s="16" t="n">
        <x:v>0.8</x:v>
      </x:c>
      <x:c r="C502" s="16" t="n">
        <x:v>3</x:v>
      </x:c>
      <x:c r="D502" s="16" t="n">
        <x:f>IF('Queries'!E502&lt;='Rules'!$B$17,'Rules'!$B$21,IF('Queries'!E502&lt;='Rules'!$B$18,'Rules'!$B$22,IF('Queries'!E502&lt;='Rules'!$B$19,'Rules'!$B$23,IF('Queries'!E502&lt;='Rules'!$B$20,'Rules'!$B$24,'Rules'!$B$25))))</x:f>
        <x:v>0.7</x:v>
      </x:c>
      <x:c r="E502" s="16" t="n">
        <x:f>MIN(LOG10(1+'Queries'!C502)/'Rules'!$B$13,1)</x:f>
        <x:v>0.4823860104474067</x:v>
      </x:c>
      <x:c r="F502" s="16" t="n">
        <x:f>IF(AND('Queries'!E502&lt;='Rules'!$B$15,'Queries'!C502&gt;='Rules'!$B$14,'Queries'!D502&lt;'Rules'!$B$16),1,0)</x:f>
        <x:v>0</x:v>
      </x:c>
      <x:c r="G502" s="16" t="n">
        <x:v>1</x:v>
      </x:c>
      <x:c r="H502" s="16" t="n">
        <x:v>1</x:v>
      </x:c>
      <x:c r="I502" s="16" t="n">
        <x:f>ROUND((B502*'Rules'!$B$6+C502/'Rules'!$B$12*'Rules'!$B$7+D502*'Rules'!$B$8+E502*'Rules'!$B$9+F502*'Rules'!$B$10+G502*'Rules'!$B$11)*H502,1)</x:f>
        <x:v>64.3</x:v>
      </x:c>
      <x:c r="J502" s="18" t="n">
        <x:f>'Queries'!C502*'Queries'!E502</x:f>
        <x:v>524.07</x:v>
      </x:c>
    </x:row>
    <x:row r="503" ht="32" customHeight="1">
      <x:c r="A503" s="6" t="str">
        <x:v>porsche car battery dubai</x:v>
      </x:c>
      <x:c r="B503" s="16" t="n">
        <x:v>1</x:v>
      </x:c>
      <x:c r="C503" s="16" t="n">
        <x:v>5</x:v>
      </x:c>
      <x:c r="D503" s="16" t="n">
        <x:f>IF('Queries'!E503&lt;='Rules'!$B$17,'Rules'!$B$21,IF('Queries'!E503&lt;='Rules'!$B$18,'Rules'!$B$22,IF('Queries'!E503&lt;='Rules'!$B$19,'Rules'!$B$23,IF('Queries'!E503&lt;='Rules'!$B$20,'Rules'!$B$24,'Rules'!$B$25))))</x:f>
        <x:v>0.7</x:v>
      </x:c>
      <x:c r="E503" s="16" t="n">
        <x:f>MIN(LOG10(1+'Queries'!C503)/'Rules'!$B$13,1)</x:f>
        <x:v>0.4823860104474067</x:v>
      </x:c>
      <x:c r="F503" s="16" t="n">
        <x:f>IF(AND('Queries'!E503&lt;='Rules'!$B$15,'Queries'!C503&gt;='Rules'!$B$14,'Queries'!D503&lt;'Rules'!$B$16),1,0)</x:f>
        <x:v>0</x:v>
      </x:c>
      <x:c r="G503" s="16" t="n">
        <x:v>1</x:v>
      </x:c>
      <x:c r="H503" s="16" t="n">
        <x:v>1</x:v>
      </x:c>
      <x:c r="I503" s="16" t="n">
        <x:f>ROUND((B503*'Rules'!$B$6+C503/'Rules'!$B$12*'Rules'!$B$7+D503*'Rules'!$B$8+E503*'Rules'!$B$9+F503*'Rules'!$B$10+G503*'Rules'!$B$11)*H503,1)</x:f>
        <x:v>77.3</x:v>
      </x:c>
      <x:c r="J503" s="18" t="n">
        <x:f>'Queries'!C503*'Queries'!E503</x:f>
        <x:v>565.9200000000001</x:v>
      </x:c>
    </x:row>
    <x:row r="504" ht="32" customHeight="1">
      <x:c r="A504" s="6" t="str">
        <x:v>mercedes service near me</x:v>
      </x:c>
      <x:c r="B504" s="16" t="n">
        <x:v>1</x:v>
      </x:c>
      <x:c r="C504" s="16" t="n">
        <x:v>5</x:v>
      </x:c>
      <x:c r="D504" s="16" t="n">
        <x:f>IF('Queries'!E504&lt;='Rules'!$B$17,'Rules'!$B$21,IF('Queries'!E504&lt;='Rules'!$B$18,'Rules'!$B$22,IF('Queries'!E504&lt;='Rules'!$B$19,'Rules'!$B$23,IF('Queries'!E504&lt;='Rules'!$B$20,'Rules'!$B$24,'Rules'!$B$25))))</x:f>
        <x:v>0.7</x:v>
      </x:c>
      <x:c r="E504" s="16" t="n">
        <x:f>MIN(LOG10(1+'Queries'!C504)/'Rules'!$B$13,1)</x:f>
        <x:v>0.4823860104474067</x:v>
      </x:c>
      <x:c r="F504" s="16" t="n">
        <x:f>IF(AND('Queries'!E504&lt;='Rules'!$B$15,'Queries'!C504&gt;='Rules'!$B$14,'Queries'!D504&lt;'Rules'!$B$16),1,0)</x:f>
        <x:v>0</x:v>
      </x:c>
      <x:c r="G504" s="16" t="n">
        <x:v>1</x:v>
      </x:c>
      <x:c r="H504" s="16" t="n">
        <x:v>1</x:v>
      </x:c>
      <x:c r="I504" s="16" t="n">
        <x:f>ROUND((B504*'Rules'!$B$6+C504/'Rules'!$B$12*'Rules'!$B$7+D504*'Rules'!$B$8+E504*'Rules'!$B$9+F504*'Rules'!$B$10+G504*'Rules'!$B$11)*H504,1)</x:f>
        <x:v>77.3</x:v>
      </x:c>
      <x:c r="J504" s="18" t="n">
        <x:f>'Queries'!C504*'Queries'!E504</x:f>
        <x:v>568.0799999999999</x:v>
      </x:c>
    </x:row>
    <x:row r="505" ht="32" customHeight="1">
      <x:c r="A505" s="6" t="str">
        <x:v>performance dubai</x:v>
      </x:c>
      <x:c r="B505" s="16" t="n">
        <x:v>1</x:v>
      </x:c>
      <x:c r="C505" s="16" t="n">
        <x:v>5</x:v>
      </x:c>
      <x:c r="D505" s="16" t="n">
        <x:f>IF('Queries'!E505&lt;='Rules'!$B$17,'Rules'!$B$21,IF('Queries'!E505&lt;='Rules'!$B$18,'Rules'!$B$22,IF('Queries'!E505&lt;='Rules'!$B$19,'Rules'!$B$23,IF('Queries'!E505&lt;='Rules'!$B$20,'Rules'!$B$24,'Rules'!$B$25))))</x:f>
        <x:v>0.7</x:v>
      </x:c>
      <x:c r="E505" s="16" t="n">
        <x:f>MIN(LOG10(1+'Queries'!C505)/'Rules'!$B$13,1)</x:f>
        <x:v>0.4823860104474067</x:v>
      </x:c>
      <x:c r="F505" s="16" t="n">
        <x:f>IF(AND('Queries'!E505&lt;='Rules'!$B$15,'Queries'!C505&gt;='Rules'!$B$14,'Queries'!D505&lt;'Rules'!$B$16),1,0)</x:f>
        <x:v>0</x:v>
      </x:c>
      <x:c r="G505" s="16" t="n">
        <x:v>1</x:v>
      </x:c>
      <x:c r="H505" s="16" t="n">
        <x:v>1</x:v>
      </x:c>
      <x:c r="I505" s="16" t="n">
        <x:f>ROUND((B505*'Rules'!$B$6+C505/'Rules'!$B$12*'Rules'!$B$7+D505*'Rules'!$B$8+E505*'Rules'!$B$9+F505*'Rules'!$B$10+G505*'Rules'!$B$11)*H505,1)</x:f>
        <x:v>77.3</x:v>
      </x:c>
      <x:c r="J505" s="18" t="n">
        <x:f>'Queries'!C505*'Queries'!E505</x:f>
        <x:v>588.87</x:v>
      </x:c>
    </x:row>
    <x:row r="506" ht="32" customHeight="1">
      <x:c r="A506" s="6" t="str">
        <x:v>lamborghini service center near me</x:v>
      </x:c>
      <x:c r="B506" s="16" t="n">
        <x:v>1</x:v>
      </x:c>
      <x:c r="C506" s="16" t="n">
        <x:v>5</x:v>
      </x:c>
      <x:c r="D506" s="16" t="n">
        <x:f>IF('Queries'!E506&lt;='Rules'!$B$17,'Rules'!$B$21,IF('Queries'!E506&lt;='Rules'!$B$18,'Rules'!$B$22,IF('Queries'!E506&lt;='Rules'!$B$19,'Rules'!$B$23,IF('Queries'!E506&lt;='Rules'!$B$20,'Rules'!$B$24,'Rules'!$B$25))))</x:f>
        <x:v>0.7</x:v>
      </x:c>
      <x:c r="E506" s="16" t="n">
        <x:f>MIN(LOG10(1+'Queries'!C506)/'Rules'!$B$13,1)</x:f>
        <x:v>0.4823860104474067</x:v>
      </x:c>
      <x:c r="F506" s="16" t="n">
        <x:f>IF(AND('Queries'!E506&lt;='Rules'!$B$15,'Queries'!C506&gt;='Rules'!$B$14,'Queries'!D506&lt;'Rules'!$B$16),1,0)</x:f>
        <x:v>0</x:v>
      </x:c>
      <x:c r="G506" s="16" t="n">
        <x:v>1</x:v>
      </x:c>
      <x:c r="H506" s="16" t="n">
        <x:v>1</x:v>
      </x:c>
      <x:c r="I506" s="16" t="n">
        <x:f>ROUND((B506*'Rules'!$B$6+C506/'Rules'!$B$12*'Rules'!$B$7+D506*'Rules'!$B$8+E506*'Rules'!$B$9+F506*'Rules'!$B$10+G506*'Rules'!$B$11)*H506,1)</x:f>
        <x:v>77.3</x:v>
      </x:c>
      <x:c r="J506" s="18" t="n">
        <x:f>'Queries'!C506*'Queries'!E506</x:f>
        <x:v>618.03</x:v>
      </x:c>
    </x:row>
    <x:row r="507" ht="32" customHeight="1">
      <x:c r="A507" s="6" t="str">
        <x:v>volvo battery</x:v>
      </x:c>
      <x:c r="B507" s="16" t="n">
        <x:v>0.8</x:v>
      </x:c>
      <x:c r="C507" s="16" t="n">
        <x:v>3</x:v>
      </x:c>
      <x:c r="D507" s="16" t="n">
        <x:f>IF('Queries'!E507&lt;='Rules'!$B$17,'Rules'!$B$21,IF('Queries'!E507&lt;='Rules'!$B$18,'Rules'!$B$22,IF('Queries'!E507&lt;='Rules'!$B$19,'Rules'!$B$23,IF('Queries'!E507&lt;='Rules'!$B$20,'Rules'!$B$24,'Rules'!$B$25))))</x:f>
        <x:v>0.7</x:v>
      </x:c>
      <x:c r="E507" s="16" t="n">
        <x:f>MIN(LOG10(1+'Queries'!C507)/'Rules'!$B$13,1)</x:f>
        <x:v>0.4823860104474067</x:v>
      </x:c>
      <x:c r="F507" s="16" t="n">
        <x:f>IF(AND('Queries'!E507&lt;='Rules'!$B$15,'Queries'!C507&gt;='Rules'!$B$14,'Queries'!D507&lt;'Rules'!$B$16),1,0)</x:f>
        <x:v>0</x:v>
      </x:c>
      <x:c r="G507" s="16" t="n">
        <x:v>0.25</x:v>
      </x:c>
      <x:c r="H507" s="16" t="n">
        <x:v>0.65</x:v>
      </x:c>
      <x:c r="I507" s="16" t="n">
        <x:f>ROUND((B507*'Rules'!$B$6+C507/'Rules'!$B$12*'Rules'!$B$7+D507*'Rules'!$B$8+E507*'Rules'!$B$9+F507*'Rules'!$B$10+G507*'Rules'!$B$11)*H507,1)</x:f>
        <x:v>36.9</x:v>
      </x:c>
      <x:c r="J507" s="18" t="n">
        <x:f>'Queries'!C507*'Queries'!E507</x:f>
        <x:v>680.13</x:v>
      </x:c>
    </x:row>
    <x:row r="508" ht="32" customHeight="1">
      <x:c r="A508" s="6" t="str">
        <x:v>gmc service dubai</x:v>
      </x:c>
      <x:c r="B508" s="16" t="n">
        <x:v>1</x:v>
      </x:c>
      <x:c r="C508" s="16" t="n">
        <x:v>3</x:v>
      </x:c>
      <x:c r="D508" s="16" t="n">
        <x:f>IF('Queries'!E508&lt;='Rules'!$B$17,'Rules'!$B$21,IF('Queries'!E508&lt;='Rules'!$B$18,'Rules'!$B$22,IF('Queries'!E508&lt;='Rules'!$B$19,'Rules'!$B$23,IF('Queries'!E508&lt;='Rules'!$B$20,'Rules'!$B$24,'Rules'!$B$25))))</x:f>
        <x:v>0.4</x:v>
      </x:c>
      <x:c r="E508" s="16" t="n">
        <x:f>MIN(LOG10(1+'Queries'!C508)/'Rules'!$B$13,1)</x:f>
        <x:v>0.4823860104474067</x:v>
      </x:c>
      <x:c r="F508" s="16" t="n">
        <x:f>IF(AND('Queries'!E508&lt;='Rules'!$B$15,'Queries'!C508&gt;='Rules'!$B$14,'Queries'!D508&lt;'Rules'!$B$16),1,0)</x:f>
        <x:v>0</x:v>
      </x:c>
      <x:c r="G508" s="16" t="n">
        <x:v>1</x:v>
      </x:c>
      <x:c r="H508" s="16" t="n">
        <x:v>1</x:v>
      </x:c>
      <x:c r="I508" s="16" t="n">
        <x:f>ROUND((B508*'Rules'!$B$6+C508/'Rules'!$B$12*'Rules'!$B$7+D508*'Rules'!$B$8+E508*'Rules'!$B$9+F508*'Rules'!$B$10+G508*'Rules'!$B$11)*H508,1)</x:f>
        <x:v>61.8</x:v>
      </x:c>
      <x:c r="J508" s="18" t="n">
        <x:f>'Queries'!C508*'Queries'!E508</x:f>
        <x:v>825.93</x:v>
      </x:c>
    </x:row>
    <x:row r="509" ht="32" customHeight="1">
      <x:c r="A509" s="6" t="str">
        <x:v>car battery replacement service</x:v>
      </x:c>
      <x:c r="B509" s="16" t="n">
        <x:v>0.8</x:v>
      </x:c>
      <x:c r="C509" s="16" t="n">
        <x:v>3</x:v>
      </x:c>
      <x:c r="D509" s="16" t="n">
        <x:f>IF('Queries'!E509&lt;='Rules'!$B$17,'Rules'!$B$21,IF('Queries'!E509&lt;='Rules'!$B$18,'Rules'!$B$22,IF('Queries'!E509&lt;='Rules'!$B$19,'Rules'!$B$23,IF('Queries'!E509&lt;='Rules'!$B$20,'Rules'!$B$24,'Rules'!$B$25))))</x:f>
        <x:v>0.4</x:v>
      </x:c>
      <x:c r="E509" s="16" t="n">
        <x:f>MIN(LOG10(1+'Queries'!C509)/'Rules'!$B$13,1)</x:f>
        <x:v>0.4823860104474067</x:v>
      </x:c>
      <x:c r="F509" s="16" t="n">
        <x:f>IF(AND('Queries'!E509&lt;='Rules'!$B$15,'Queries'!C509&gt;='Rules'!$B$14,'Queries'!D509&lt;'Rules'!$B$16),1,0)</x:f>
        <x:v>0</x:v>
      </x:c>
      <x:c r="G509" s="16" t="n">
        <x:v>1</x:v>
      </x:c>
      <x:c r="H509" s="16" t="n">
        <x:v>1</x:v>
      </x:c>
      <x:c r="I509" s="16" t="n">
        <x:f>ROUND((B509*'Rules'!$B$6+C509/'Rules'!$B$12*'Rules'!$B$7+D509*'Rules'!$B$8+E509*'Rules'!$B$9+F509*'Rules'!$B$10+G509*'Rules'!$B$11)*H509,1)</x:f>
        <x:v>56.8</x:v>
      </x:c>
      <x:c r="J509" s="18" t="n">
        <x:f>'Queries'!C509*'Queries'!E509</x:f>
        <x:v>932.0400000000001</x:v>
      </x:c>
    </x:row>
    <x:row r="510" ht="32" customHeight="1">
      <x:c r="A510" s="6" t="str">
        <x:v>تصليح مكيف بورش</x:v>
      </x:c>
      <x:c r="B510" s="16" t="n">
        <x:v>0.8</x:v>
      </x:c>
      <x:c r="C510" s="16" t="n">
        <x:v>5</x:v>
      </x:c>
      <x:c r="D510" s="16" t="n">
        <x:f>IF('Queries'!E510&lt;='Rules'!$B$17,'Rules'!$B$21,IF('Queries'!E510&lt;='Rules'!$B$18,'Rules'!$B$22,IF('Queries'!E510&lt;='Rules'!$B$19,'Rules'!$B$23,IF('Queries'!E510&lt;='Rules'!$B$20,'Rules'!$B$24,'Rules'!$B$25))))</x:f>
        <x:v>0.4</x:v>
      </x:c>
      <x:c r="E510" s="16" t="n">
        <x:f>MIN(LOG10(1+'Queries'!C510)/'Rules'!$B$13,1)</x:f>
        <x:v>0.4823860104474067</x:v>
      </x:c>
      <x:c r="F510" s="16" t="n">
        <x:f>IF(AND('Queries'!E510&lt;='Rules'!$B$15,'Queries'!C510&gt;='Rules'!$B$14,'Queries'!D510&lt;'Rules'!$B$16),1,0)</x:f>
        <x:v>0</x:v>
      </x:c>
      <x:c r="G510" s="16" t="n">
        <x:v>1</x:v>
      </x:c>
      <x:c r="H510" s="16" t="n">
        <x:v>1</x:v>
      </x:c>
      <x:c r="I510" s="16" t="n">
        <x:f>ROUND((B510*'Rules'!$B$6+C510/'Rules'!$B$12*'Rules'!$B$7+D510*'Rules'!$B$8+E510*'Rules'!$B$9+F510*'Rules'!$B$10+G510*'Rules'!$B$11)*H510,1)</x:f>
        <x:v>64.8</x:v>
      </x:c>
      <x:c r="J510" s="18" t="n">
        <x:f>'Queries'!C510*'Queries'!E510</x:f>
        <x:v>957.9599999999999</x:v>
      </x:c>
    </x:row>
    <x:row r="511" ht="32" customHeight="1">
      <x:c r="A511" s="6" t="str">
        <x:v>volvo service dubai</x:v>
      </x:c>
      <x:c r="B511" s="16" t="n">
        <x:v>1</x:v>
      </x:c>
      <x:c r="C511" s="16" t="n">
        <x:v>3</x:v>
      </x:c>
      <x:c r="D511" s="16" t="n">
        <x:f>IF('Queries'!E511&lt;='Rules'!$B$17,'Rules'!$B$21,IF('Queries'!E511&lt;='Rules'!$B$18,'Rules'!$B$22,IF('Queries'!E511&lt;='Rules'!$B$19,'Rules'!$B$23,IF('Queries'!E511&lt;='Rules'!$B$20,'Rules'!$B$24,'Rules'!$B$25))))</x:f>
        <x:v>0.4</x:v>
      </x:c>
      <x:c r="E511" s="16" t="n">
        <x:f>MIN(LOG10(1+'Queries'!C511)/'Rules'!$B$13,1)</x:f>
        <x:v>0.4823860104474067</x:v>
      </x:c>
      <x:c r="F511" s="16" t="n">
        <x:f>IF(AND('Queries'!E511&lt;='Rules'!$B$15,'Queries'!C511&gt;='Rules'!$B$14,'Queries'!D511&lt;'Rules'!$B$16),1,0)</x:f>
        <x:v>0</x:v>
      </x:c>
      <x:c r="G511" s="16" t="n">
        <x:v>1</x:v>
      </x:c>
      <x:c r="H511" s="16" t="n">
        <x:v>1</x:v>
      </x:c>
      <x:c r="I511" s="16" t="n">
        <x:f>ROUND((B511*'Rules'!$B$6+C511/'Rules'!$B$12*'Rules'!$B$7+D511*'Rules'!$B$8+E511*'Rules'!$B$9+F511*'Rules'!$B$10+G511*'Rules'!$B$11)*H511,1)</x:f>
        <x:v>61.8</x:v>
      </x:c>
      <x:c r="J511" s="18" t="n">
        <x:f>'Queries'!C511*'Queries'!E511</x:f>
        <x:v>976.05</x:v>
      </x:c>
    </x:row>
    <x:row r="512" ht="32" customHeight="1">
      <x:c r="A512" s="6" t="str">
        <x:v>ford service dubai</x:v>
      </x:c>
      <x:c r="B512" s="16" t="n">
        <x:v>1</x:v>
      </x:c>
      <x:c r="C512" s="16" t="n">
        <x:v>3</x:v>
      </x:c>
      <x:c r="D512" s="16" t="n">
        <x:f>IF('Queries'!E512&lt;='Rules'!$B$17,'Rules'!$B$21,IF('Queries'!E512&lt;='Rules'!$B$18,'Rules'!$B$22,IF('Queries'!E512&lt;='Rules'!$B$19,'Rules'!$B$23,IF('Queries'!E512&lt;='Rules'!$B$20,'Rules'!$B$24,'Rules'!$B$25))))</x:f>
        <x:v>0.15</x:v>
      </x:c>
      <x:c r="E512" s="16" t="n">
        <x:f>MIN(LOG10(1+'Queries'!C512)/'Rules'!$B$13,1)</x:f>
        <x:v>0.4823860104474067</x:v>
      </x:c>
      <x:c r="F512" s="16" t="n">
        <x:f>IF(AND('Queries'!E512&lt;='Rules'!$B$15,'Queries'!C512&gt;='Rules'!$B$14,'Queries'!D512&lt;'Rules'!$B$16),1,0)</x:f>
        <x:v>0</x:v>
      </x:c>
      <x:c r="G512" s="16" t="n">
        <x:v>1</x:v>
      </x:c>
      <x:c r="H512" s="16" t="n">
        <x:v>1</x:v>
      </x:c>
      <x:c r="I512" s="16" t="n">
        <x:f>ROUND((B512*'Rules'!$B$6+C512/'Rules'!$B$12*'Rules'!$B$7+D512*'Rules'!$B$8+E512*'Rules'!$B$9+F512*'Rules'!$B$10+G512*'Rules'!$B$11)*H512,1)</x:f>
        <x:v>55.6</x:v>
      </x:c>
      <x:c r="J512" s="18" t="n">
        <x:f>'Queries'!C512*'Queries'!E512</x:f>
        <x:v>1095.1200000000001</x:v>
      </x:c>
    </x:row>
    <x:row r="513" ht="32" customHeight="1">
      <x:c r="A513" s="6" t="str">
        <x:v>nissan workshop near me</x:v>
      </x:c>
      <x:c r="B513" s="16" t="n">
        <x:v>1</x:v>
      </x:c>
      <x:c r="C513" s="16" t="n">
        <x:v>3</x:v>
      </x:c>
      <x:c r="D513" s="16" t="n">
        <x:f>IF('Queries'!E513&lt;='Rules'!$B$17,'Rules'!$B$21,IF('Queries'!E513&lt;='Rules'!$B$18,'Rules'!$B$22,IF('Queries'!E513&lt;='Rules'!$B$19,'Rules'!$B$23,IF('Queries'!E513&lt;='Rules'!$B$20,'Rules'!$B$24,'Rules'!$B$25))))</x:f>
        <x:v>0.15</x:v>
      </x:c>
      <x:c r="E513" s="16" t="n">
        <x:f>MIN(LOG10(1+'Queries'!C513)/'Rules'!$B$13,1)</x:f>
        <x:v>0.4823860104474067</x:v>
      </x:c>
      <x:c r="F513" s="16" t="n">
        <x:f>IF(AND('Queries'!E513&lt;='Rules'!$B$15,'Queries'!C513&gt;='Rules'!$B$14,'Queries'!D513&lt;'Rules'!$B$16),1,0)</x:f>
        <x:v>0</x:v>
      </x:c>
      <x:c r="G513" s="16" t="n">
        <x:v>1</x:v>
      </x:c>
      <x:c r="H513" s="16" t="n">
        <x:v>1</x:v>
      </x:c>
      <x:c r="I513" s="16" t="n">
        <x:f>ROUND((B513*'Rules'!$B$6+C513/'Rules'!$B$12*'Rules'!$B$7+D513*'Rules'!$B$8+E513*'Rules'!$B$9+F513*'Rules'!$B$10+G513*'Rules'!$B$11)*H513,1)</x:f>
        <x:v>55.6</x:v>
      </x:c>
      <x:c r="J513" s="18" t="n">
        <x:f>'Queries'!C513*'Queries'!E513</x:f>
        <x:v>1136.97</x:v>
      </x:c>
    </x:row>
    <x:row r="514" ht="32" customHeight="1">
      <x:c r="A514" s="6" t="str">
        <x:v>auto tuning dubai</x:v>
      </x:c>
      <x:c r="B514" s="16" t="n">
        <x:v>1</x:v>
      </x:c>
      <x:c r="C514" s="16" t="n">
        <x:v>5</x:v>
      </x:c>
      <x:c r="D514" s="16" t="n">
        <x:f>IF('Queries'!E514&lt;='Rules'!$B$17,'Rules'!$B$21,IF('Queries'!E514&lt;='Rules'!$B$18,'Rules'!$B$22,IF('Queries'!E514&lt;='Rules'!$B$19,'Rules'!$B$23,IF('Queries'!E514&lt;='Rules'!$B$20,'Rules'!$B$24,'Rules'!$B$25))))</x:f>
        <x:v>0.15</x:v>
      </x:c>
      <x:c r="E514" s="16" t="n">
        <x:f>MIN(LOG10(1+'Queries'!C514)/'Rules'!$B$13,1)</x:f>
        <x:v>0.4823860104474067</x:v>
      </x:c>
      <x:c r="F514" s="16" t="n">
        <x:f>IF(AND('Queries'!E514&lt;='Rules'!$B$15,'Queries'!C514&gt;='Rules'!$B$14,'Queries'!D514&lt;'Rules'!$B$16),1,0)</x:f>
        <x:v>0</x:v>
      </x:c>
      <x:c r="G514" s="16" t="n">
        <x:v>1</x:v>
      </x:c>
      <x:c r="H514" s="16" t="n">
        <x:v>1</x:v>
      </x:c>
      <x:c r="I514" s="16" t="n">
        <x:f>ROUND((B514*'Rules'!$B$6+C514/'Rules'!$B$12*'Rules'!$B$7+D514*'Rules'!$B$8+E514*'Rules'!$B$9+F514*'Rules'!$B$10+G514*'Rules'!$B$11)*H514,1)</x:f>
        <x:v>63.6</x:v>
      </x:c>
      <x:c r="J514" s="18" t="n">
        <x:f>'Queries'!C514*'Queries'!E514</x:f>
        <x:v>1155.06</x:v>
      </x:c>
    </x:row>
    <x:row r="515" ht="32" customHeight="1">
      <x:c r="A515" s="6" t="str">
        <x:v>bmw body shop dubai</x:v>
      </x:c>
      <x:c r="B515" s="16" t="n">
        <x:v>1</x:v>
      </x:c>
      <x:c r="C515" s="16" t="n">
        <x:v>5</x:v>
      </x:c>
      <x:c r="D515" s="16" t="n">
        <x:f>IF('Queries'!E515&lt;='Rules'!$B$17,'Rules'!$B$21,IF('Queries'!E515&lt;='Rules'!$B$18,'Rules'!$B$22,IF('Queries'!E515&lt;='Rules'!$B$19,'Rules'!$B$23,IF('Queries'!E515&lt;='Rules'!$B$20,'Rules'!$B$24,'Rules'!$B$25))))</x:f>
        <x:v>0.15</x:v>
      </x:c>
      <x:c r="E515" s="16" t="n">
        <x:f>MIN(LOG10(1+'Queries'!C515)/'Rules'!$B$13,1)</x:f>
        <x:v>0.4823860104474067</x:v>
      </x:c>
      <x:c r="F515" s="16" t="n">
        <x:f>IF(AND('Queries'!E515&lt;='Rules'!$B$15,'Queries'!C515&gt;='Rules'!$B$14,'Queries'!D515&lt;'Rules'!$B$16),1,0)</x:f>
        <x:v>0</x:v>
      </x:c>
      <x:c r="G515" s="16" t="n">
        <x:v>1</x:v>
      </x:c>
      <x:c r="H515" s="16" t="n">
        <x:v>1</x:v>
      </x:c>
      <x:c r="I515" s="16" t="n">
        <x:f>ROUND((B515*'Rules'!$B$6+C515/'Rules'!$B$12*'Rules'!$B$7+D515*'Rules'!$B$8+E515*'Rules'!$B$9+F515*'Rules'!$B$10+G515*'Rules'!$B$11)*H515,1)</x:f>
        <x:v>63.6</x:v>
      </x:c>
      <x:c r="J515" s="18" t="n">
        <x:f>'Queries'!C515*'Queries'!E515</x:f>
        <x:v>1296</x:v>
      </x:c>
    </x:row>
    <x:row r="516" ht="32" customHeight="1">
      <x:c r="A516" s="6" t="str">
        <x:v>porsche car battery</x:v>
      </x:c>
      <x:c r="B516" s="16" t="n">
        <x:v>0.8</x:v>
      </x:c>
      <x:c r="C516" s="16" t="n">
        <x:v>5</x:v>
      </x:c>
      <x:c r="D516" s="16" t="n">
        <x:f>IF('Queries'!E516&lt;='Rules'!$B$17,'Rules'!$B$21,IF('Queries'!E516&lt;='Rules'!$B$18,'Rules'!$B$22,IF('Queries'!E516&lt;='Rules'!$B$19,'Rules'!$B$23,IF('Queries'!E516&lt;='Rules'!$B$20,'Rules'!$B$24,'Rules'!$B$25))))</x:f>
        <x:v>0.15</x:v>
      </x:c>
      <x:c r="E516" s="16" t="n">
        <x:f>MIN(LOG10(1+'Queries'!C516)/'Rules'!$B$13,1)</x:f>
        <x:v>0.4823860104474067</x:v>
      </x:c>
      <x:c r="F516" s="16" t="n">
        <x:f>IF(AND('Queries'!E516&lt;='Rules'!$B$15,'Queries'!C516&gt;='Rules'!$B$14,'Queries'!D516&lt;'Rules'!$B$16),1,0)</x:f>
        <x:v>0</x:v>
      </x:c>
      <x:c r="G516" s="16" t="n">
        <x:v>1</x:v>
      </x:c>
      <x:c r="H516" s="16" t="n">
        <x:v>1</x:v>
      </x:c>
      <x:c r="I516" s="16" t="n">
        <x:f>ROUND((B516*'Rules'!$B$6+C516/'Rules'!$B$12*'Rules'!$B$7+D516*'Rules'!$B$8+E516*'Rules'!$B$9+F516*'Rules'!$B$10+G516*'Rules'!$B$11)*H516,1)</x:f>
        <x:v>58.6</x:v>
      </x:c>
      <x:c r="J516" s="18" t="n">
        <x:f>'Queries'!C516*'Queries'!E516</x:f>
        <x:v>1321.11</x:v>
      </x:c>
    </x:row>
    <x:row r="517" ht="32" customHeight="1">
      <x:c r="A517" s="6" t="str">
        <x:v>bentley repair</x:v>
      </x:c>
      <x:c r="B517" s="16" t="n">
        <x:v>0.8</x:v>
      </x:c>
      <x:c r="C517" s="16" t="n">
        <x:v>5</x:v>
      </x:c>
      <x:c r="D517" s="16" t="n">
        <x:f>IF('Queries'!E517&lt;='Rules'!$B$17,'Rules'!$B$21,IF('Queries'!E517&lt;='Rules'!$B$18,'Rules'!$B$22,IF('Queries'!E517&lt;='Rules'!$B$19,'Rules'!$B$23,IF('Queries'!E517&lt;='Rules'!$B$20,'Rules'!$B$24,'Rules'!$B$25))))</x:f>
        <x:v>0.15</x:v>
      </x:c>
      <x:c r="E517" s="16" t="n">
        <x:f>MIN(LOG10(1+'Queries'!C517)/'Rules'!$B$13,1)</x:f>
        <x:v>0.4823860104474067</x:v>
      </x:c>
      <x:c r="F517" s="16" t="n">
        <x:f>IF(AND('Queries'!E517&lt;='Rules'!$B$15,'Queries'!C517&gt;='Rules'!$B$14,'Queries'!D517&lt;'Rules'!$B$16),1,0)</x:f>
        <x:v>0</x:v>
      </x:c>
      <x:c r="G517" s="16" t="n">
        <x:v>1</x:v>
      </x:c>
      <x:c r="H517" s="16" t="n">
        <x:v>1</x:v>
      </x:c>
      <x:c r="I517" s="16" t="n">
        <x:f>ROUND((B517*'Rules'!$B$6+C517/'Rules'!$B$12*'Rules'!$B$7+D517*'Rules'!$B$8+E517*'Rules'!$B$9+F517*'Rules'!$B$10+G517*'Rules'!$B$11)*H517,1)</x:f>
        <x:v>58.6</x:v>
      </x:c>
      <x:c r="J517" s="18" t="n">
        <x:f>'Queries'!C517*'Queries'!E517</x:f>
        <x:v>1571.1299999999999</x:v>
      </x:c>
    </x:row>
    <x:row r="518" ht="32" customHeight="1">
      <x:c r="A518" s="6" t="str">
        <x:v>mini engine repair</x:v>
      </x:c>
      <x:c r="B518" s="16" t="n">
        <x:v>0.8</x:v>
      </x:c>
      <x:c r="C518" s="16" t="n">
        <x:v>3</x:v>
      </x:c>
      <x:c r="D518" s="16" t="n">
        <x:f>IF('Queries'!E518&lt;='Rules'!$B$17,'Rules'!$B$21,IF('Queries'!E518&lt;='Rules'!$B$18,'Rules'!$B$22,IF('Queries'!E518&lt;='Rules'!$B$19,'Rules'!$B$23,IF('Queries'!E518&lt;='Rules'!$B$20,'Rules'!$B$24,'Rules'!$B$25))))</x:f>
        <x:v>0.15</x:v>
      </x:c>
      <x:c r="E518" s="16" t="n">
        <x:f>MIN(LOG10(1+'Queries'!C518)/'Rules'!$B$13,1)</x:f>
        <x:v>0.4823860104474067</x:v>
      </x:c>
      <x:c r="F518" s="16" t="n">
        <x:f>IF(AND('Queries'!E518&lt;='Rules'!$B$15,'Queries'!C518&gt;='Rules'!$B$14,'Queries'!D518&lt;'Rules'!$B$16),1,0)</x:f>
        <x:v>0</x:v>
      </x:c>
      <x:c r="G518" s="16" t="n">
        <x:v>1</x:v>
      </x:c>
      <x:c r="H518" s="16" t="n">
        <x:v>1</x:v>
      </x:c>
      <x:c r="I518" s="16" t="n">
        <x:f>ROUND((B518*'Rules'!$B$6+C518/'Rules'!$B$12*'Rules'!$B$7+D518*'Rules'!$B$8+E518*'Rules'!$B$9+F518*'Rules'!$B$10+G518*'Rules'!$B$11)*H518,1)</x:f>
        <x:v>50.6</x:v>
      </x:c>
      <x:c r="J518" s="18" t="n">
        <x:f>'Queries'!C518*'Queries'!E518</x:f>
        <x:v>1672.92</x:v>
      </x:c>
    </x:row>
    <x:row r="519" ht="32" customHeight="1">
      <x:c r="A519" s="6" t="str">
        <x:v>mercedes diagnostic dubai</x:v>
      </x:c>
      <x:c r="B519" s="16" t="n">
        <x:v>1</x:v>
      </x:c>
      <x:c r="C519" s="16" t="n">
        <x:v>5</x:v>
      </x:c>
      <x:c r="D519" s="16" t="n">
        <x:f>IF('Queries'!E519&lt;='Rules'!$B$17,'Rules'!$B$21,IF('Queries'!E519&lt;='Rules'!$B$18,'Rules'!$B$22,IF('Queries'!E519&lt;='Rules'!$B$19,'Rules'!$B$23,IF('Queries'!E519&lt;='Rules'!$B$20,'Rules'!$B$24,'Rules'!$B$25))))</x:f>
        <x:v>1</x:v>
      </x:c>
      <x:c r="E519" s="16" t="n">
        <x:f>MIN(LOG10(1+'Queries'!C519)/'Rules'!$B$13,1)</x:f>
        <x:v>0.4771212547196633</x:v>
      </x:c>
      <x:c r="F519" s="16" t="n">
        <x:f>IF(AND('Queries'!E519&lt;='Rules'!$B$15,'Queries'!C519&gt;='Rules'!$B$14,'Queries'!D519&lt;'Rules'!$B$16),1,0)</x:f>
        <x:v>1</x:v>
      </x:c>
      <x:c r="G519" s="16" t="n">
        <x:v>1</x:v>
      </x:c>
      <x:c r="H519" s="16" t="n">
        <x:v>1</x:v>
      </x:c>
      <x:c r="I519" s="16" t="n">
        <x:f>ROUND((B519*'Rules'!$B$6+C519/'Rules'!$B$12*'Rules'!$B$7+D519*'Rules'!$B$8+E519*'Rules'!$B$9+F519*'Rules'!$B$10+G519*'Rules'!$B$11)*H519,1)</x:f>
        <x:v>94.8</x:v>
      </x:c>
      <x:c r="J519" s="18" t="n">
        <x:f>'Queries'!C519*'Queries'!E519</x:f>
        <x:v>122.98000000000002</x:v>
      </x:c>
    </x:row>
    <x:row r="520" ht="32" customHeight="1">
      <x:c r="A520" s="6" t="str">
        <x:v>aston martin service center dubai</x:v>
      </x:c>
      <x:c r="B520" s="16" t="n">
        <x:v>1</x:v>
      </x:c>
      <x:c r="C520" s="16" t="n">
        <x:v>5</x:v>
      </x:c>
      <x:c r="D520" s="16" t="n">
        <x:f>IF('Queries'!E520&lt;='Rules'!$B$17,'Rules'!$B$21,IF('Queries'!E520&lt;='Rules'!$B$18,'Rules'!$B$22,IF('Queries'!E520&lt;='Rules'!$B$19,'Rules'!$B$23,IF('Queries'!E520&lt;='Rules'!$B$20,'Rules'!$B$24,'Rules'!$B$25))))</x:f>
        <x:v>1</x:v>
      </x:c>
      <x:c r="E520" s="16" t="n">
        <x:f>MIN(LOG10(1+'Queries'!C520)/'Rules'!$B$13,1)</x:f>
        <x:v>0.4771212547196633</x:v>
      </x:c>
      <x:c r="F520" s="16" t="n">
        <x:f>IF(AND('Queries'!E520&lt;='Rules'!$B$15,'Queries'!C520&gt;='Rules'!$B$14,'Queries'!D520&lt;'Rules'!$B$16),1,0)</x:f>
        <x:v>0</x:v>
      </x:c>
      <x:c r="G520" s="16" t="n">
        <x:v>1</x:v>
      </x:c>
      <x:c r="H520" s="16" t="n">
        <x:v>1</x:v>
      </x:c>
      <x:c r="I520" s="16" t="n">
        <x:f>ROUND((B520*'Rules'!$B$6+C520/'Rules'!$B$12*'Rules'!$B$7+D520*'Rules'!$B$8+E520*'Rules'!$B$9+F520*'Rules'!$B$10+G520*'Rules'!$B$11)*H520,1)</x:f>
        <x:v>84.8</x:v>
      </x:c>
      <x:c r="J520" s="18" t="n">
        <x:f>'Queries'!C520*'Queries'!E520</x:f>
        <x:v>334.09999999999997</x:v>
      </x:c>
    </x:row>
    <x:row r="521" ht="32" customHeight="1">
      <x:c r="A521" s="6" t="str">
        <x:v>aston martin service center</x:v>
      </x:c>
      <x:c r="B521" s="16" t="n">
        <x:v>0.8</x:v>
      </x:c>
      <x:c r="C521" s="16" t="n">
        <x:v>5</x:v>
      </x:c>
      <x:c r="D521" s="16" t="n">
        <x:f>IF('Queries'!E521&lt;='Rules'!$B$17,'Rules'!$B$21,IF('Queries'!E521&lt;='Rules'!$B$18,'Rules'!$B$22,IF('Queries'!E521&lt;='Rules'!$B$19,'Rules'!$B$23,IF('Queries'!E521&lt;='Rules'!$B$20,'Rules'!$B$24,'Rules'!$B$25))))</x:f>
        <x:v>1</x:v>
      </x:c>
      <x:c r="E521" s="16" t="n">
        <x:f>MIN(LOG10(1+'Queries'!C521)/'Rules'!$B$13,1)</x:f>
        <x:v>0.4771212547196633</x:v>
      </x:c>
      <x:c r="F521" s="16" t="n">
        <x:f>IF(AND('Queries'!E521&lt;='Rules'!$B$15,'Queries'!C521&gt;='Rules'!$B$14,'Queries'!D521&lt;'Rules'!$B$16),1,0)</x:f>
        <x:v>0</x:v>
      </x:c>
      <x:c r="G521" s="16" t="n">
        <x:v>1</x:v>
      </x:c>
      <x:c r="H521" s="16" t="n">
        <x:v>1</x:v>
      </x:c>
      <x:c r="I521" s="16" t="n">
        <x:f>ROUND((B521*'Rules'!$B$6+C521/'Rules'!$B$12*'Rules'!$B$7+D521*'Rules'!$B$8+E521*'Rules'!$B$9+F521*'Rules'!$B$10+G521*'Rules'!$B$11)*H521,1)</x:f>
        <x:v>79.8</x:v>
      </x:c>
      <x:c r="J521" s="18" t="n">
        <x:f>'Queries'!C521*'Queries'!E521</x:f>
        <x:v>359.06</x:v>
      </x:c>
    </x:row>
    <x:row r="522" ht="32" customHeight="1">
      <x:c r="A522" s="6" t="str">
        <x:v>mercedes dubai service center</x:v>
      </x:c>
      <x:c r="B522" s="16" t="n">
        <x:v>1</x:v>
      </x:c>
      <x:c r="C522" s="16" t="n">
        <x:v>5</x:v>
      </x:c>
      <x:c r="D522" s="16" t="n">
        <x:f>IF('Queries'!E522&lt;='Rules'!$B$17,'Rules'!$B$21,IF('Queries'!E522&lt;='Rules'!$B$18,'Rules'!$B$22,IF('Queries'!E522&lt;='Rules'!$B$19,'Rules'!$B$23,IF('Queries'!E522&lt;='Rules'!$B$20,'Rules'!$B$24,'Rules'!$B$25))))</x:f>
        <x:v>1</x:v>
      </x:c>
      <x:c r="E522" s="16" t="n">
        <x:f>MIN(LOG10(1+'Queries'!C522)/'Rules'!$B$13,1)</x:f>
        <x:v>0.4771212547196633</x:v>
      </x:c>
      <x:c r="F522" s="16" t="n">
        <x:f>IF(AND('Queries'!E522&lt;='Rules'!$B$15,'Queries'!C522&gt;='Rules'!$B$14,'Queries'!D522&lt;'Rules'!$B$16),1,0)</x:f>
        <x:v>0</x:v>
      </x:c>
      <x:c r="G522" s="16" t="n">
        <x:v>1</x:v>
      </x:c>
      <x:c r="H522" s="16" t="n">
        <x:v>1</x:v>
      </x:c>
      <x:c r="I522" s="16" t="n">
        <x:f>ROUND((B522*'Rules'!$B$6+C522/'Rules'!$B$12*'Rules'!$B$7+D522*'Rules'!$B$8+E522*'Rules'!$B$9+F522*'Rules'!$B$10+G522*'Rules'!$B$11)*H522,1)</x:f>
        <x:v>84.8</x:v>
      </x:c>
      <x:c r="J522" s="18" t="n">
        <x:f>'Queries'!C522*'Queries'!E522</x:f>
        <x:v>367.12</x:v>
      </x:c>
    </x:row>
    <x:row r="523" ht="32" customHeight="1">
      <x:c r="A523" s="6" t="str">
        <x:v>bmw repair in dubai</x:v>
      </x:c>
      <x:c r="B523" s="16" t="n">
        <x:v>1</x:v>
      </x:c>
      <x:c r="C523" s="16" t="n">
        <x:v>5</x:v>
      </x:c>
      <x:c r="D523" s="16" t="n">
        <x:f>IF('Queries'!E523&lt;='Rules'!$B$17,'Rules'!$B$21,IF('Queries'!E523&lt;='Rules'!$B$18,'Rules'!$B$22,IF('Queries'!E523&lt;='Rules'!$B$19,'Rules'!$B$23,IF('Queries'!E523&lt;='Rules'!$B$20,'Rules'!$B$24,'Rules'!$B$25))))</x:f>
        <x:v>0.7</x:v>
      </x:c>
      <x:c r="E523" s="16" t="n">
        <x:f>MIN(LOG10(1+'Queries'!C523)/'Rules'!$B$13,1)</x:f>
        <x:v>0.4771212547196633</x:v>
      </x:c>
      <x:c r="F523" s="16" t="n">
        <x:f>IF(AND('Queries'!E523&lt;='Rules'!$B$15,'Queries'!C523&gt;='Rules'!$B$14,'Queries'!D523&lt;'Rules'!$B$16),1,0)</x:f>
        <x:v>0</x:v>
      </x:c>
      <x:c r="G523" s="16" t="n">
        <x:v>1</x:v>
      </x:c>
      <x:c r="H523" s="16" t="n">
        <x:v>1</x:v>
      </x:c>
      <x:c r="I523" s="16" t="n">
        <x:f>ROUND((B523*'Rules'!$B$6+C523/'Rules'!$B$12*'Rules'!$B$7+D523*'Rules'!$B$8+E523*'Rules'!$B$9+F523*'Rules'!$B$10+G523*'Rules'!$B$11)*H523,1)</x:f>
        <x:v>77.3</x:v>
      </x:c>
      <x:c r="J523" s="18" t="n">
        <x:f>'Queries'!C523*'Queries'!E523</x:f>
        <x:v>449.02</x:v>
      </x:c>
    </x:row>
    <x:row r="524" ht="32" customHeight="1">
      <x:c r="A524" s="6" t="str">
        <x:v>land rover service center dubai</x:v>
      </x:c>
      <x:c r="B524" s="16" t="n">
        <x:v>1</x:v>
      </x:c>
      <x:c r="C524" s="16" t="n">
        <x:v>5</x:v>
      </x:c>
      <x:c r="D524" s="16" t="n">
        <x:f>IF('Queries'!E524&lt;='Rules'!$B$17,'Rules'!$B$21,IF('Queries'!E524&lt;='Rules'!$B$18,'Rules'!$B$22,IF('Queries'!E524&lt;='Rules'!$B$19,'Rules'!$B$23,IF('Queries'!E524&lt;='Rules'!$B$20,'Rules'!$B$24,'Rules'!$B$25))))</x:f>
        <x:v>0.7</x:v>
      </x:c>
      <x:c r="E524" s="16" t="n">
        <x:f>MIN(LOG10(1+'Queries'!C524)/'Rules'!$B$13,1)</x:f>
        <x:v>0.4771212547196633</x:v>
      </x:c>
      <x:c r="F524" s="16" t="n">
        <x:f>IF(AND('Queries'!E524&lt;='Rules'!$B$15,'Queries'!C524&gt;='Rules'!$B$14,'Queries'!D524&lt;'Rules'!$B$16),1,0)</x:f>
        <x:v>0</x:v>
      </x:c>
      <x:c r="G524" s="16" t="n">
        <x:v>1</x:v>
      </x:c>
      <x:c r="H524" s="16" t="n">
        <x:v>1</x:v>
      </x:c>
      <x:c r="I524" s="16" t="n">
        <x:f>ROUND((B524*'Rules'!$B$6+C524/'Rules'!$B$12*'Rules'!$B$7+D524*'Rules'!$B$8+E524*'Rules'!$B$9+F524*'Rules'!$B$10+G524*'Rules'!$B$11)*H524,1)</x:f>
        <x:v>77.3</x:v>
      </x:c>
      <x:c r="J524" s="18" t="n">
        <x:f>'Queries'!C524*'Queries'!E524</x:f>
        <x:v>492.96000000000004</x:v>
      </x:c>
    </x:row>
    <x:row r="525" ht="32" customHeight="1">
      <x:c r="A525" s="6" t="str">
        <x:v>jeep service dubai al quoz</x:v>
      </x:c>
      <x:c r="B525" s="16" t="n">
        <x:v>1</x:v>
      </x:c>
      <x:c r="C525" s="16" t="n">
        <x:v>3</x:v>
      </x:c>
      <x:c r="D525" s="16" t="n">
        <x:f>IF('Queries'!E525&lt;='Rules'!$B$17,'Rules'!$B$21,IF('Queries'!E525&lt;='Rules'!$B$18,'Rules'!$B$22,IF('Queries'!E525&lt;='Rules'!$B$19,'Rules'!$B$23,IF('Queries'!E525&lt;='Rules'!$B$20,'Rules'!$B$24,'Rules'!$B$25))))</x:f>
        <x:v>0.7</x:v>
      </x:c>
      <x:c r="E525" s="16" t="n">
        <x:f>MIN(LOG10(1+'Queries'!C525)/'Rules'!$B$13,1)</x:f>
        <x:v>0.4771212547196633</x:v>
      </x:c>
      <x:c r="F525" s="16" t="n">
        <x:f>IF(AND('Queries'!E525&lt;='Rules'!$B$15,'Queries'!C525&gt;='Rules'!$B$14,'Queries'!D525&lt;'Rules'!$B$16),1,0)</x:f>
        <x:v>0</x:v>
      </x:c>
      <x:c r="G525" s="16" t="n">
        <x:v>1</x:v>
      </x:c>
      <x:c r="H525" s="16" t="n">
        <x:v>1</x:v>
      </x:c>
      <x:c r="I525" s="16" t="n">
        <x:f>ROUND((B525*'Rules'!$B$6+C525/'Rules'!$B$12*'Rules'!$B$7+D525*'Rules'!$B$8+E525*'Rules'!$B$9+F525*'Rules'!$B$10+G525*'Rules'!$B$11)*H525,1)</x:f>
        <x:v>69.3</x:v>
      </x:c>
      <x:c r="J525" s="18" t="n">
        <x:f>'Queries'!C525*'Queries'!E525</x:f>
        <x:v>616.98</x:v>
      </x:c>
    </x:row>
    <x:row r="526" ht="32" customHeight="1">
      <x:c r="A526" s="6" t="str">
        <x:v>افضل ورشة بورش</x:v>
      </x:c>
      <x:c r="B526" s="16" t="n">
        <x:v>0.8</x:v>
      </x:c>
      <x:c r="C526" s="16" t="n">
        <x:v>5</x:v>
      </x:c>
      <x:c r="D526" s="16" t="n">
        <x:f>IF('Queries'!E526&lt;='Rules'!$B$17,'Rules'!$B$21,IF('Queries'!E526&lt;='Rules'!$B$18,'Rules'!$B$22,IF('Queries'!E526&lt;='Rules'!$B$19,'Rules'!$B$23,IF('Queries'!E526&lt;='Rules'!$B$20,'Rules'!$B$24,'Rules'!$B$25))))</x:f>
        <x:v>0.7</x:v>
      </x:c>
      <x:c r="E526" s="16" t="n">
        <x:f>MIN(LOG10(1+'Queries'!C526)/'Rules'!$B$13,1)</x:f>
        <x:v>0.4771212547196633</x:v>
      </x:c>
      <x:c r="F526" s="16" t="n">
        <x:f>IF(AND('Queries'!E526&lt;='Rules'!$B$15,'Queries'!C526&gt;='Rules'!$B$14,'Queries'!D526&lt;'Rules'!$B$16),1,0)</x:f>
        <x:v>0</x:v>
      </x:c>
      <x:c r="G526" s="16" t="n">
        <x:v>1</x:v>
      </x:c>
      <x:c r="H526" s="16" t="n">
        <x:v>1</x:v>
      </x:c>
      <x:c r="I526" s="16" t="n">
        <x:f>ROUND((B526*'Rules'!$B$6+C526/'Rules'!$B$12*'Rules'!$B$7+D526*'Rules'!$B$8+E526*'Rules'!$B$9+F526*'Rules'!$B$10+G526*'Rules'!$B$11)*H526,1)</x:f>
        <x:v>72.3</x:v>
      </x:c>
      <x:c r="J526" s="18" t="n">
        <x:f>'Queries'!C526*'Queries'!E526</x:f>
        <x:v>697.06</x:v>
      </x:c>
    </x:row>
    <x:row r="527" ht="32" customHeight="1">
      <x:c r="A527" s="6" t="str">
        <x:v>cadillac transmission repair dubai</x:v>
      </x:c>
      <x:c r="B527" s="16" t="n">
        <x:v>1</x:v>
      </x:c>
      <x:c r="C527" s="16" t="n">
        <x:v>3</x:v>
      </x:c>
      <x:c r="D527" s="16" t="n">
        <x:f>IF('Queries'!E527&lt;='Rules'!$B$17,'Rules'!$B$21,IF('Queries'!E527&lt;='Rules'!$B$18,'Rules'!$B$22,IF('Queries'!E527&lt;='Rules'!$B$19,'Rules'!$B$23,IF('Queries'!E527&lt;='Rules'!$B$20,'Rules'!$B$24,'Rules'!$B$25))))</x:f>
        <x:v>0.7</x:v>
      </x:c>
      <x:c r="E527" s="16" t="n">
        <x:f>MIN(LOG10(1+'Queries'!C527)/'Rules'!$B$13,1)</x:f>
        <x:v>0.4771212547196633</x:v>
      </x:c>
      <x:c r="F527" s="16" t="n">
        <x:f>IF(AND('Queries'!E527&lt;='Rules'!$B$15,'Queries'!C527&gt;='Rules'!$B$14,'Queries'!D527&lt;'Rules'!$B$16),1,0)</x:f>
        <x:v>0</x:v>
      </x:c>
      <x:c r="G527" s="16" t="n">
        <x:v>0.25</x:v>
      </x:c>
      <x:c r="H527" s="16" t="n">
        <x:v>0.65</x:v>
      </x:c>
      <x:c r="I527" s="16" t="n">
        <x:f>ROUND((B527*'Rules'!$B$6+C527/'Rules'!$B$12*'Rules'!$B$7+D527*'Rules'!$B$8+E527*'Rules'!$B$9+F527*'Rules'!$B$10+G527*'Rules'!$B$11)*H527,1)</x:f>
        <x:v>40.2</x:v>
      </x:c>
      <x:c r="J527" s="18" t="n">
        <x:f>'Queries'!C527*'Queries'!E527</x:f>
        <x:v>774.02</x:v>
      </x:c>
    </x:row>
    <x:row r="528" ht="32" customHeight="1">
      <x:c r="A528" s="6" t="str">
        <x:v>ford repair specialist</x:v>
      </x:c>
      <x:c r="B528" s="16" t="n">
        <x:v>0.8</x:v>
      </x:c>
      <x:c r="C528" s="16" t="n">
        <x:v>3</x:v>
      </x:c>
      <x:c r="D528" s="16" t="n">
        <x:f>IF('Queries'!E528&lt;='Rules'!$B$17,'Rules'!$B$21,IF('Queries'!E528&lt;='Rules'!$B$18,'Rules'!$B$22,IF('Queries'!E528&lt;='Rules'!$B$19,'Rules'!$B$23,IF('Queries'!E528&lt;='Rules'!$B$20,'Rules'!$B$24,'Rules'!$B$25))))</x:f>
        <x:v>0.4</x:v>
      </x:c>
      <x:c r="E528" s="16" t="n">
        <x:f>MIN(LOG10(1+'Queries'!C528)/'Rules'!$B$13,1)</x:f>
        <x:v>0.4771212547196633</x:v>
      </x:c>
      <x:c r="F528" s="16" t="n">
        <x:f>IF(AND('Queries'!E528&lt;='Rules'!$B$15,'Queries'!C528&gt;='Rules'!$B$14,'Queries'!D528&lt;'Rules'!$B$16),1,0)</x:f>
        <x:v>0</x:v>
      </x:c>
      <x:c r="G528" s="16" t="n">
        <x:v>1</x:v>
      </x:c>
      <x:c r="H528" s="16" t="n">
        <x:v>1</x:v>
      </x:c>
      <x:c r="I528" s="16" t="n">
        <x:f>ROUND((B528*'Rules'!$B$6+C528/'Rules'!$B$12*'Rules'!$B$7+D528*'Rules'!$B$8+E528*'Rules'!$B$9+F528*'Rules'!$B$10+G528*'Rules'!$B$11)*H528,1)</x:f>
        <x:v>56.8</x:v>
      </x:c>
      <x:c r="J528" s="18" t="n">
        <x:f>'Queries'!C528*'Queries'!E528</x:f>
        <x:v>953.9399999999999</x:v>
      </x:c>
    </x:row>
    <x:row r="529" ht="32" customHeight="1">
      <x:c r="A529" s="6" t="str">
        <x:v>volvo service center</x:v>
      </x:c>
      <x:c r="B529" s="16" t="n">
        <x:v>0.8</x:v>
      </x:c>
      <x:c r="C529" s="16" t="n">
        <x:v>3</x:v>
      </x:c>
      <x:c r="D529" s="16" t="n">
        <x:f>IF('Queries'!E529&lt;='Rules'!$B$17,'Rules'!$B$21,IF('Queries'!E529&lt;='Rules'!$B$18,'Rules'!$B$22,IF('Queries'!E529&lt;='Rules'!$B$19,'Rules'!$B$23,IF('Queries'!E529&lt;='Rules'!$B$20,'Rules'!$B$24,'Rules'!$B$25))))</x:f>
        <x:v>0.15</x:v>
      </x:c>
      <x:c r="E529" s="16" t="n">
        <x:f>MIN(LOG10(1+'Queries'!C529)/'Rules'!$B$13,1)</x:f>
        <x:v>0.4771212547196633</x:v>
      </x:c>
      <x:c r="F529" s="16" t="n">
        <x:f>IF(AND('Queries'!E529&lt;='Rules'!$B$15,'Queries'!C529&gt;='Rules'!$B$14,'Queries'!D529&lt;'Rules'!$B$16),1,0)</x:f>
        <x:v>0</x:v>
      </x:c>
      <x:c r="G529" s="16" t="n">
        <x:v>1</x:v>
      </x:c>
      <x:c r="H529" s="16" t="n">
        <x:v>1</x:v>
      </x:c>
      <x:c r="I529" s="16" t="n">
        <x:f>ROUND((B529*'Rules'!$B$6+C529/'Rules'!$B$12*'Rules'!$B$7+D529*'Rules'!$B$8+E529*'Rules'!$B$9+F529*'Rules'!$B$10+G529*'Rules'!$B$11)*H529,1)</x:f>
        <x:v>50.5</x:v>
      </x:c>
      <x:c r="J529" s="18" t="n">
        <x:f>'Queries'!C529*'Queries'!E529</x:f>
        <x:v>1084.98</x:v>
      </x:c>
    </x:row>
    <x:row r="530" ht="32" customHeight="1">
      <x:c r="A530" s="6" t="str">
        <x:v>car battery dubai</x:v>
      </x:c>
      <x:c r="B530" s="16" t="n">
        <x:v>1</x:v>
      </x:c>
      <x:c r="C530" s="16" t="n">
        <x:v>3</x:v>
      </x:c>
      <x:c r="D530" s="16" t="n">
        <x:f>IF('Queries'!E530&lt;='Rules'!$B$17,'Rules'!$B$21,IF('Queries'!E530&lt;='Rules'!$B$18,'Rules'!$B$22,IF('Queries'!E530&lt;='Rules'!$B$19,'Rules'!$B$23,IF('Queries'!E530&lt;='Rules'!$B$20,'Rules'!$B$24,'Rules'!$B$25))))</x:f>
        <x:v>0.15</x:v>
      </x:c>
      <x:c r="E530" s="16" t="n">
        <x:f>MIN(LOG10(1+'Queries'!C530)/'Rules'!$B$13,1)</x:f>
        <x:v>0.4771212547196633</x:v>
      </x:c>
      <x:c r="F530" s="16" t="n">
        <x:f>IF(AND('Queries'!E530&lt;='Rules'!$B$15,'Queries'!C530&gt;='Rules'!$B$14,'Queries'!D530&lt;'Rules'!$B$16),1,0)</x:f>
        <x:v>0</x:v>
      </x:c>
      <x:c r="G530" s="16" t="n">
        <x:v>1</x:v>
      </x:c>
      <x:c r="H530" s="16" t="n">
        <x:v>1</x:v>
      </x:c>
      <x:c r="I530" s="16" t="n">
        <x:f>ROUND((B530*'Rules'!$B$6+C530/'Rules'!$B$12*'Rules'!$B$7+D530*'Rules'!$B$8+E530*'Rules'!$B$9+F530*'Rules'!$B$10+G530*'Rules'!$B$11)*H530,1)</x:f>
        <x:v>55.5</x:v>
      </x:c>
      <x:c r="J530" s="18" t="n">
        <x:f>'Queries'!C530*'Queries'!E530</x:f>
        <x:v>1187.94</x:v>
      </x:c>
    </x:row>
    <x:row r="531" ht="32" customHeight="1">
      <x:c r="A531" s="6" t="str">
        <x:v>jeep service</x:v>
      </x:c>
      <x:c r="B531" s="16" t="n">
        <x:v>0.8</x:v>
      </x:c>
      <x:c r="C531" s="16" t="n">
        <x:v>3</x:v>
      </x:c>
      <x:c r="D531" s="16" t="n">
        <x:f>IF('Queries'!E531&lt;='Rules'!$B$17,'Rules'!$B$21,IF('Queries'!E531&lt;='Rules'!$B$18,'Rules'!$B$22,IF('Queries'!E531&lt;='Rules'!$B$19,'Rules'!$B$23,IF('Queries'!E531&lt;='Rules'!$B$20,'Rules'!$B$24,'Rules'!$B$25))))</x:f>
        <x:v>0.15</x:v>
      </x:c>
      <x:c r="E531" s="16" t="n">
        <x:f>MIN(LOG10(1+'Queries'!C531)/'Rules'!$B$13,1)</x:f>
        <x:v>0.4771212547196633</x:v>
      </x:c>
      <x:c r="F531" s="16" t="n">
        <x:f>IF(AND('Queries'!E531&lt;='Rules'!$B$15,'Queries'!C531&gt;='Rules'!$B$14,'Queries'!D531&lt;'Rules'!$B$16),1,0)</x:f>
        <x:v>0</x:v>
      </x:c>
      <x:c r="G531" s="16" t="n">
        <x:v>1</x:v>
      </x:c>
      <x:c r="H531" s="16" t="n">
        <x:v>1</x:v>
      </x:c>
      <x:c r="I531" s="16" t="n">
        <x:f>ROUND((B531*'Rules'!$B$6+C531/'Rules'!$B$12*'Rules'!$B$7+D531*'Rules'!$B$8+E531*'Rules'!$B$9+F531*'Rules'!$B$10+G531*'Rules'!$B$11)*H531,1)</x:f>
        <x:v>50.5</x:v>
      </x:c>
      <x:c r="J531" s="18" t="n">
        <x:f>'Queries'!C531*'Queries'!E531</x:f>
        <x:v>1277.8999999999999</x:v>
      </x:c>
    </x:row>
    <x:row r="532" ht="42" customHeight="1">
      <x:c r="A532" s="6" t="str">
        <x:v>stek dynoprism paint protection film dubai uae</x:v>
      </x:c>
      <x:c r="B532" s="16" t="n">
        <x:v>1</x:v>
      </x:c>
      <x:c r="C532" s="16" t="n">
        <x:v>1</x:v>
      </x:c>
      <x:c r="D532" s="16" t="n">
        <x:f>IF('Queries'!E532&lt;='Rules'!$B$17,'Rules'!$B$21,IF('Queries'!E532&lt;='Rules'!$B$18,'Rules'!$B$22,IF('Queries'!E532&lt;='Rules'!$B$19,'Rules'!$B$23,IF('Queries'!E532&lt;='Rules'!$B$20,'Rules'!$B$24,'Rules'!$B$25))))</x:f>
        <x:v>0.15</x:v>
      </x:c>
      <x:c r="E532" s="16" t="n">
        <x:f>MIN(LOG10(1+'Queries'!C532)/'Rules'!$B$13,1)</x:f>
        <x:v>0.4771212547196633</x:v>
      </x:c>
      <x:c r="F532" s="16" t="n">
        <x:f>IF(AND('Queries'!E532&lt;='Rules'!$B$15,'Queries'!C532&gt;='Rules'!$B$14,'Queries'!D532&lt;'Rules'!$B$16),1,0)</x:f>
        <x:v>0</x:v>
      </x:c>
      <x:c r="G532" s="16" t="n">
        <x:v>1</x:v>
      </x:c>
      <x:c r="H532" s="16" t="n">
        <x:v>0.1</x:v>
      </x:c>
      <x:c r="I532" s="16" t="n">
        <x:f>ROUND((B532*'Rules'!$B$6+C532/'Rules'!$B$12*'Rules'!$B$7+D532*'Rules'!$B$8+E532*'Rules'!$B$9+F532*'Rules'!$B$10+G532*'Rules'!$B$11)*H532,1)</x:f>
        <x:v>4.8</x:v>
      </x:c>
      <x:c r="J532" s="18" t="n">
        <x:f>'Queries'!C532*'Queries'!E532</x:f>
        <x:v>1560</x:v>
      </x:c>
    </x:row>
    <x:row r="533" ht="32" customHeight="1">
      <x:c r="A533" s="6" t="str">
        <x:v>bmw body repair garage</x:v>
      </x:c>
      <x:c r="B533" s="16" t="n">
        <x:v>0.8</x:v>
      </x:c>
      <x:c r="C533" s="16" t="n">
        <x:v>5</x:v>
      </x:c>
      <x:c r="D533" s="16" t="n">
        <x:f>IF('Queries'!E533&lt;='Rules'!$B$17,'Rules'!$B$21,IF('Queries'!E533&lt;='Rules'!$B$18,'Rules'!$B$22,IF('Queries'!E533&lt;='Rules'!$B$19,'Rules'!$B$23,IF('Queries'!E533&lt;='Rules'!$B$20,'Rules'!$B$24,'Rules'!$B$25))))</x:f>
        <x:v>0.15</x:v>
      </x:c>
      <x:c r="E533" s="16" t="n">
        <x:f>MIN(LOG10(1+'Queries'!C533)/'Rules'!$B$13,1)</x:f>
        <x:v>0.4771212547196633</x:v>
      </x:c>
      <x:c r="F533" s="16" t="n">
        <x:f>IF(AND('Queries'!E533&lt;='Rules'!$B$15,'Queries'!C533&gt;='Rules'!$B$14,'Queries'!D533&lt;'Rules'!$B$16),1,0)</x:f>
        <x:v>0</x:v>
      </x:c>
      <x:c r="G533" s="16" t="n">
        <x:v>1</x:v>
      </x:c>
      <x:c r="H533" s="16" t="n">
        <x:v>1</x:v>
      </x:c>
      <x:c r="I533" s="16" t="n">
        <x:f>ROUND((B533*'Rules'!$B$6+C533/'Rules'!$B$12*'Rules'!$B$7+D533*'Rules'!$B$8+E533*'Rules'!$B$9+F533*'Rules'!$B$10+G533*'Rules'!$B$11)*H533,1)</x:f>
        <x:v>58.5</x:v>
      </x:c>
      <x:c r="J533" s="18" t="n">
        <x:f>'Queries'!C533*'Queries'!E533</x:f>
        <x:v>1601.08</x:v>
      </x:c>
    </x:row>
    <x:row r="534" ht="32" customHeight="1">
      <x:c r="A534" s="6" t="str">
        <x:v>audi gear repair abu dhabi</x:v>
      </x:c>
      <x:c r="B534" s="16" t="n">
        <x:v>1</x:v>
      </x:c>
      <x:c r="C534" s="16" t="n">
        <x:v>1</x:v>
      </x:c>
      <x:c r="D534" s="16" t="n">
        <x:f>IF('Queries'!E534&lt;='Rules'!$B$17,'Rules'!$B$21,IF('Queries'!E534&lt;='Rules'!$B$18,'Rules'!$B$22,IF('Queries'!E534&lt;='Rules'!$B$19,'Rules'!$B$23,IF('Queries'!E534&lt;='Rules'!$B$20,'Rules'!$B$24,'Rules'!$B$25))))</x:f>
        <x:v>0.15</x:v>
      </x:c>
      <x:c r="E534" s="16" t="n">
        <x:f>MIN(LOG10(1+'Queries'!C534)/'Rules'!$B$13,1)</x:f>
        <x:v>0.4771212547196633</x:v>
      </x:c>
      <x:c r="F534" s="16" t="n">
        <x:f>IF(AND('Queries'!E534&lt;='Rules'!$B$15,'Queries'!C534&gt;='Rules'!$B$14,'Queries'!D534&lt;'Rules'!$B$16),1,0)</x:f>
        <x:v>0</x:v>
      </x:c>
      <x:c r="G534" s="16" t="n">
        <x:v>1</x:v>
      </x:c>
      <x:c r="H534" s="16" t="n">
        <x:v>0.2</x:v>
      </x:c>
      <x:c r="I534" s="16" t="n">
        <x:f>ROUND((B534*'Rules'!$B$6+C534/'Rules'!$B$12*'Rules'!$B$7+D534*'Rules'!$B$8+E534*'Rules'!$B$9+F534*'Rules'!$B$10+G534*'Rules'!$B$11)*H534,1)</x:f>
        <x:v>9.5</x:v>
      </x:c>
      <x:c r="J534" s="18" t="n">
        <x:f>'Queries'!C534*'Queries'!E534</x:f>
        <x:v>1799.98</x:v>
      </x:c>
    </x:row>
    <x:row r="535" ht="32" customHeight="1">
      <x:c r="A535" s="6" t="str">
        <x:v>tyre change service dubai</x:v>
      </x:c>
      <x:c r="B535" s="16" t="n">
        <x:v>1</x:v>
      </x:c>
      <x:c r="C535" s="16" t="n">
        <x:v>2</x:v>
      </x:c>
      <x:c r="D535" s="16" t="n">
        <x:f>IF('Queries'!E535&lt;='Rules'!$B$17,'Rules'!$B$21,IF('Queries'!E535&lt;='Rules'!$B$18,'Rules'!$B$22,IF('Queries'!E535&lt;='Rules'!$B$19,'Rules'!$B$23,IF('Queries'!E535&lt;='Rules'!$B$20,'Rules'!$B$24,'Rules'!$B$25))))</x:f>
        <x:v>0.15</x:v>
      </x:c>
      <x:c r="E535" s="16" t="n">
        <x:f>MIN(LOG10(1+'Queries'!C535)/'Rules'!$B$13,1)</x:f>
        <x:v>0.4771212547196633</x:v>
      </x:c>
      <x:c r="F535" s="16" t="n">
        <x:f>IF(AND('Queries'!E535&lt;='Rules'!$B$15,'Queries'!C535&gt;='Rules'!$B$14,'Queries'!D535&lt;'Rules'!$B$16),1,0)</x:f>
        <x:v>0</x:v>
      </x:c>
      <x:c r="G535" s="16" t="n">
        <x:v>1</x:v>
      </x:c>
      <x:c r="H535" s="16" t="n">
        <x:v>1</x:v>
      </x:c>
      <x:c r="I535" s="16" t="n">
        <x:f>ROUND((B535*'Rules'!$B$6+C535/'Rules'!$B$12*'Rules'!$B$7+D535*'Rules'!$B$8+E535*'Rules'!$B$9+F535*'Rules'!$B$10+G535*'Rules'!$B$11)*H535,1)</x:f>
        <x:v>51.5</x:v>
      </x:c>
      <x:c r="J535" s="18" t="n">
        <x:f>'Queries'!C535*'Queries'!E535</x:f>
        <x:v>1901.9</x:v>
      </x:c>
    </x:row>
    <x:row r="536" ht="32" customHeight="1">
      <x:c r="A536" s="6" t="str">
        <x:v>صيانة بنتلي</x:v>
      </x:c>
      <x:c r="B536" s="16" t="n">
        <x:v>0.8</x:v>
      </x:c>
      <x:c r="C536" s="16" t="n">
        <x:v>5</x:v>
      </x:c>
      <x:c r="D536" s="16" t="n">
        <x:f>IF('Queries'!E536&lt;='Rules'!$B$17,'Rules'!$B$21,IF('Queries'!E536&lt;='Rules'!$B$18,'Rules'!$B$22,IF('Queries'!E536&lt;='Rules'!$B$19,'Rules'!$B$23,IF('Queries'!E536&lt;='Rules'!$B$20,'Rules'!$B$24,'Rules'!$B$25))))</x:f>
        <x:v>0.15</x:v>
      </x:c>
      <x:c r="E536" s="16" t="n">
        <x:f>MIN(LOG10(1+'Queries'!C536)/'Rules'!$B$13,1)</x:f>
        <x:v>0.4771212547196633</x:v>
      </x:c>
      <x:c r="F536" s="16" t="n">
        <x:f>IF(AND('Queries'!E536&lt;='Rules'!$B$15,'Queries'!C536&gt;='Rules'!$B$14,'Queries'!D536&lt;'Rules'!$B$16),1,0)</x:f>
        <x:v>0</x:v>
      </x:c>
      <x:c r="G536" s="16" t="n">
        <x:v>1</x:v>
      </x:c>
      <x:c r="H536" s="16" t="n">
        <x:v>1</x:v>
      </x:c>
      <x:c r="I536" s="16" t="n">
        <x:f>ROUND((B536*'Rules'!$B$6+C536/'Rules'!$B$12*'Rules'!$B$7+D536*'Rules'!$B$8+E536*'Rules'!$B$9+F536*'Rules'!$B$10+G536*'Rules'!$B$11)*H536,1)</x:f>
        <x:v>58.5</x:v>
      </x:c>
      <x:c r="J536" s="18" t="n">
        <x:f>'Queries'!C536*'Queries'!E536</x:f>
        <x:v>1991.08</x:v>
      </x:c>
    </x:row>
    <x:row r="537" ht="32" customHeight="1">
      <x:c r="A537" s="6" t="str">
        <x:v>auto garage dubai</x:v>
      </x:c>
      <x:c r="B537" s="16" t="n">
        <x:v>1</x:v>
      </x:c>
      <x:c r="C537" s="16" t="n">
        <x:v>3</x:v>
      </x:c>
      <x:c r="D537" s="16" t="n">
        <x:f>IF('Queries'!E537&lt;='Rules'!$B$17,'Rules'!$B$21,IF('Queries'!E537&lt;='Rules'!$B$18,'Rules'!$B$22,IF('Queries'!E537&lt;='Rules'!$B$19,'Rules'!$B$23,IF('Queries'!E537&lt;='Rules'!$B$20,'Rules'!$B$24,'Rules'!$B$25))))</x:f>
        <x:v>0.15</x:v>
      </x:c>
      <x:c r="E537" s="16" t="n">
        <x:f>MIN(LOG10(1+'Queries'!C537)/'Rules'!$B$13,1)</x:f>
        <x:v>0.4771212547196633</x:v>
      </x:c>
      <x:c r="F537" s="16" t="n">
        <x:f>IF(AND('Queries'!E537&lt;='Rules'!$B$15,'Queries'!C537&gt;='Rules'!$B$14,'Queries'!D537&lt;'Rules'!$B$16),1,0)</x:f>
        <x:v>0</x:v>
      </x:c>
      <x:c r="G537" s="16" t="n">
        <x:v>1</x:v>
      </x:c>
      <x:c r="H537" s="16" t="n">
        <x:v>1</x:v>
      </x:c>
      <x:c r="I537" s="16" t="n">
        <x:f>ROUND((B537*'Rules'!$B$6+C537/'Rules'!$B$12*'Rules'!$B$7+D537*'Rules'!$B$8+E537*'Rules'!$B$9+F537*'Rules'!$B$10+G537*'Rules'!$B$11)*H537,1)</x:f>
        <x:v>55.5</x:v>
      </x:c>
      <x:c r="J537" s="18" t="n">
        <x:f>'Queries'!C537*'Queries'!E537</x:f>
        <x:v>2149.94</x:v>
      </x:c>
    </x:row>
    <x:row r="538" ht="32" customHeight="1">
      <x:c r="A538" s="6" t="str">
        <x:v>tec</x:v>
      </x:c>
      <x:c r="B538" s="16" t="n">
        <x:v>0</x:v>
      </x:c>
      <x:c r="C538" s="16" t="n">
        <x:v>0</x:v>
      </x:c>
      <x:c r="D538" s="16" t="n">
        <x:f>IF('Queries'!E538&lt;='Rules'!$B$17,'Rules'!$B$21,IF('Queries'!E538&lt;='Rules'!$B$18,'Rules'!$B$22,IF('Queries'!E538&lt;='Rules'!$B$19,'Rules'!$B$23,IF('Queries'!E538&lt;='Rules'!$B$20,'Rules'!$B$24,'Rules'!$B$25))))</x:f>
        <x:v>1</x:v>
      </x:c>
      <x:c r="E538" s="16" t="n">
        <x:f>MIN(LOG10(1+'Queries'!C538)/'Rules'!$B$13,1)</x:f>
        <x:v>0.47165778265694</x:v>
      </x:c>
      <x:c r="F538" s="16" t="n">
        <x:f>IF(AND('Queries'!E538&lt;='Rules'!$B$15,'Queries'!C538&gt;='Rules'!$B$14,'Queries'!D538&lt;'Rules'!$B$16),1,0)</x:f>
        <x:v>1</x:v>
      </x:c>
      <x:c r="G538" s="16" t="n">
        <x:v>0</x:v>
      </x:c>
      <x:c r="H538" s="16" t="n">
        <x:v>0</x:v>
      </x:c>
      <x:c r="I538" s="16" t="n">
        <x:f>ROUND((B538*'Rules'!$B$6+C538/'Rules'!$B$12*'Rules'!$B$7+D538*'Rules'!$B$8+E538*'Rules'!$B$9+F538*'Rules'!$B$10+G538*'Rules'!$B$11)*H538,1)</x:f>
        <x:v>0</x:v>
      </x:c>
      <x:c r="J538" s="18" t="n">
        <x:f>'Queries'!C538*'Queries'!E538</x:f>
        <x:v>81</x:v>
      </x:c>
    </x:row>
    <x:row r="539" ht="32" customHeight="1">
      <x:c r="A539" s="6" t="str">
        <x:v>porche suspension repair dubai</x:v>
      </x:c>
      <x:c r="B539" s="16" t="n">
        <x:v>1</x:v>
      </x:c>
      <x:c r="C539" s="16" t="n">
        <x:v>5</x:v>
      </x:c>
      <x:c r="D539" s="16" t="n">
        <x:f>IF('Queries'!E539&lt;='Rules'!$B$17,'Rules'!$B$21,IF('Queries'!E539&lt;='Rules'!$B$18,'Rules'!$B$22,IF('Queries'!E539&lt;='Rules'!$B$19,'Rules'!$B$23,IF('Queries'!E539&lt;='Rules'!$B$20,'Rules'!$B$24,'Rules'!$B$25))))</x:f>
        <x:v>1</x:v>
      </x:c>
      <x:c r="E539" s="16" t="n">
        <x:f>MIN(LOG10(1+'Queries'!C539)/'Rules'!$B$13,1)</x:f>
        <x:v>0.47165778265694</x:v>
      </x:c>
      <x:c r="F539" s="16" t="n">
        <x:f>IF(AND('Queries'!E539&lt;='Rules'!$B$15,'Queries'!C539&gt;='Rules'!$B$14,'Queries'!D539&lt;'Rules'!$B$16),1,0)</x:f>
        <x:v>1</x:v>
      </x:c>
      <x:c r="G539" s="16" t="n">
        <x:v>1</x:v>
      </x:c>
      <x:c r="H539" s="16" t="n">
        <x:v>1</x:v>
      </x:c>
      <x:c r="I539" s="16" t="n">
        <x:f>ROUND((B539*'Rules'!$B$6+C539/'Rules'!$B$12*'Rules'!$B$7+D539*'Rules'!$B$8+E539*'Rules'!$B$9+F539*'Rules'!$B$10+G539*'Rules'!$B$11)*H539,1)</x:f>
        <x:v>94.7</x:v>
      </x:c>
      <x:c r="J539" s="18" t="n">
        <x:f>'Queries'!C539*'Queries'!E539</x:f>
        <x:v>202</x:v>
      </x:c>
    </x:row>
    <x:row r="540" ht="32" customHeight="1">
      <x:c r="A540" s="6" t="str">
        <x:v>mercedes car service dubai</x:v>
      </x:c>
      <x:c r="B540" s="16" t="n">
        <x:v>1</x:v>
      </x:c>
      <x:c r="C540" s="16" t="n">
        <x:v>5</x:v>
      </x:c>
      <x:c r="D540" s="16" t="n">
        <x:f>IF('Queries'!E540&lt;='Rules'!$B$17,'Rules'!$B$21,IF('Queries'!E540&lt;='Rules'!$B$18,'Rules'!$B$22,IF('Queries'!E540&lt;='Rules'!$B$19,'Rules'!$B$23,IF('Queries'!E540&lt;='Rules'!$B$20,'Rules'!$B$24,'Rules'!$B$25))))</x:f>
        <x:v>1</x:v>
      </x:c>
      <x:c r="E540" s="16" t="n">
        <x:f>MIN(LOG10(1+'Queries'!C540)/'Rules'!$B$13,1)</x:f>
        <x:v>0.47165778265694</x:v>
      </x:c>
      <x:c r="F540" s="16" t="n">
        <x:f>IF(AND('Queries'!E540&lt;='Rules'!$B$15,'Queries'!C540&gt;='Rules'!$B$14,'Queries'!D540&lt;'Rules'!$B$16),1,0)</x:f>
        <x:v>0</x:v>
      </x:c>
      <x:c r="G540" s="16" t="n">
        <x:v>1</x:v>
      </x:c>
      <x:c r="H540" s="16" t="n">
        <x:v>1</x:v>
      </x:c>
      <x:c r="I540" s="16" t="n">
        <x:f>ROUND((B540*'Rules'!$B$6+C540/'Rules'!$B$12*'Rules'!$B$7+D540*'Rules'!$B$8+E540*'Rules'!$B$9+F540*'Rules'!$B$10+G540*'Rules'!$B$11)*H540,1)</x:f>
        <x:v>84.7</x:v>
      </x:c>
      <x:c r="J540" s="18" t="n">
        <x:f>'Queries'!C540*'Queries'!E540</x:f>
        <x:v>259</x:v>
      </x:c>
    </x:row>
    <x:row r="541" ht="32" customHeight="1">
      <x:c r="A541" s="6" t="str">
        <x:v>gmc oil change dubai</x:v>
      </x:c>
      <x:c r="B541" s="16" t="n">
        <x:v>1</x:v>
      </x:c>
      <x:c r="C541" s="16" t="n">
        <x:v>3</x:v>
      </x:c>
      <x:c r="D541" s="16" t="n">
        <x:f>IF('Queries'!E541&lt;='Rules'!$B$17,'Rules'!$B$21,IF('Queries'!E541&lt;='Rules'!$B$18,'Rules'!$B$22,IF('Queries'!E541&lt;='Rules'!$B$19,'Rules'!$B$23,IF('Queries'!E541&lt;='Rules'!$B$20,'Rules'!$B$24,'Rules'!$B$25))))</x:f>
        <x:v>1</x:v>
      </x:c>
      <x:c r="E541" s="16" t="n">
        <x:f>MIN(LOG10(1+'Queries'!C541)/'Rules'!$B$13,1)</x:f>
        <x:v>0.47165778265694</x:v>
      </x:c>
      <x:c r="F541" s="16" t="n">
        <x:f>IF(AND('Queries'!E541&lt;='Rules'!$B$15,'Queries'!C541&gt;='Rules'!$B$14,'Queries'!D541&lt;'Rules'!$B$16),1,0)</x:f>
        <x:v>0</x:v>
      </x:c>
      <x:c r="G541" s="16" t="n">
        <x:v>1</x:v>
      </x:c>
      <x:c r="H541" s="16" t="n">
        <x:v>1</x:v>
      </x:c>
      <x:c r="I541" s="16" t="n">
        <x:f>ROUND((B541*'Rules'!$B$6+C541/'Rules'!$B$12*'Rules'!$B$7+D541*'Rules'!$B$8+E541*'Rules'!$B$9+F541*'Rules'!$B$10+G541*'Rules'!$B$11)*H541,1)</x:f>
        <x:v>76.7</x:v>
      </x:c>
      <x:c r="J541" s="18" t="n">
        <x:f>'Queries'!C541*'Queries'!E541</x:f>
        <x:v>300</x:v>
      </x:c>
    </x:row>
    <x:row r="542" ht="32" customHeight="1">
      <x:c r="A542" s="6" t="str">
        <x:v>brake service</x:v>
      </x:c>
      <x:c r="B542" s="16" t="n">
        <x:v>0.8</x:v>
      </x:c>
      <x:c r="C542" s="16" t="n">
        <x:v>3</x:v>
      </x:c>
      <x:c r="D542" s="16" t="n">
        <x:f>IF('Queries'!E542&lt;='Rules'!$B$17,'Rules'!$B$21,IF('Queries'!E542&lt;='Rules'!$B$18,'Rules'!$B$22,IF('Queries'!E542&lt;='Rules'!$B$19,'Rules'!$B$23,IF('Queries'!E542&lt;='Rules'!$B$20,'Rules'!$B$24,'Rules'!$B$25))))</x:f>
        <x:v>1</x:v>
      </x:c>
      <x:c r="E542" s="16" t="n">
        <x:f>MIN(LOG10(1+'Queries'!C542)/'Rules'!$B$13,1)</x:f>
        <x:v>0.47165778265694</x:v>
      </x:c>
      <x:c r="F542" s="16" t="n">
        <x:f>IF(AND('Queries'!E542&lt;='Rules'!$B$15,'Queries'!C542&gt;='Rules'!$B$14,'Queries'!D542&lt;'Rules'!$B$16),1,0)</x:f>
        <x:v>0</x:v>
      </x:c>
      <x:c r="G542" s="16" t="n">
        <x:v>1</x:v>
      </x:c>
      <x:c r="H542" s="16" t="n">
        <x:v>1</x:v>
      </x:c>
      <x:c r="I542" s="16" t="n">
        <x:f>ROUND((B542*'Rules'!$B$6+C542/'Rules'!$B$12*'Rules'!$B$7+D542*'Rules'!$B$8+E542*'Rules'!$B$9+F542*'Rules'!$B$10+G542*'Rules'!$B$11)*H542,1)</x:f>
        <x:v>71.7</x:v>
      </x:c>
      <x:c r="J542" s="18" t="n">
        <x:f>'Queries'!C542*'Queries'!E542</x:f>
        <x:v>370</x:v>
      </x:c>
    </x:row>
    <x:row r="543" ht="32" customHeight="1">
      <x:c r="A543" s="6" t="str">
        <x:v>porsche maintenance dubai</x:v>
      </x:c>
      <x:c r="B543" s="16" t="n">
        <x:v>1</x:v>
      </x:c>
      <x:c r="C543" s="16" t="n">
        <x:v>5</x:v>
      </x:c>
      <x:c r="D543" s="16" t="n">
        <x:f>IF('Queries'!E543&lt;='Rules'!$B$17,'Rules'!$B$21,IF('Queries'!E543&lt;='Rules'!$B$18,'Rules'!$B$22,IF('Queries'!E543&lt;='Rules'!$B$19,'Rules'!$B$23,IF('Queries'!E543&lt;='Rules'!$B$20,'Rules'!$B$24,'Rules'!$B$25))))</x:f>
        <x:v>0.7</x:v>
      </x:c>
      <x:c r="E543" s="16" t="n">
        <x:f>MIN(LOG10(1+'Queries'!C543)/'Rules'!$B$13,1)</x:f>
        <x:v>0.47165778265694</x:v>
      </x:c>
      <x:c r="F543" s="16" t="n">
        <x:f>IF(AND('Queries'!E543&lt;='Rules'!$B$15,'Queries'!C543&gt;='Rules'!$B$14,'Queries'!D543&lt;'Rules'!$B$16),1,0)</x:f>
        <x:v>0</x:v>
      </x:c>
      <x:c r="G543" s="16" t="n">
        <x:v>1</x:v>
      </x:c>
      <x:c r="H543" s="16" t="n">
        <x:v>1</x:v>
      </x:c>
      <x:c r="I543" s="16" t="n">
        <x:f>ROUND((B543*'Rules'!$B$6+C543/'Rules'!$B$12*'Rules'!$B$7+D543*'Rules'!$B$8+E543*'Rules'!$B$9+F543*'Rules'!$B$10+G543*'Rules'!$B$11)*H543,1)</x:f>
        <x:v>77.2</x:v>
      </x:c>
      <x:c r="J543" s="18" t="n">
        <x:f>'Queries'!C543*'Queries'!E543</x:f>
        <x:v>486.00000000000006</x:v>
      </x:c>
    </x:row>
    <x:row r="544" ht="32" customHeight="1">
      <x:c r="A544" s="6" t="str">
        <x:v>lamborghini specialist</x:v>
      </x:c>
      <x:c r="B544" s="16" t="n">
        <x:v>0.8</x:v>
      </x:c>
      <x:c r="C544" s="16" t="n">
        <x:v>5</x:v>
      </x:c>
      <x:c r="D544" s="16" t="n">
        <x:f>IF('Queries'!E544&lt;='Rules'!$B$17,'Rules'!$B$21,IF('Queries'!E544&lt;='Rules'!$B$18,'Rules'!$B$22,IF('Queries'!E544&lt;='Rules'!$B$19,'Rules'!$B$23,IF('Queries'!E544&lt;='Rules'!$B$20,'Rules'!$B$24,'Rules'!$B$25))))</x:f>
        <x:v>0.7</x:v>
      </x:c>
      <x:c r="E544" s="16" t="n">
        <x:f>MIN(LOG10(1+'Queries'!C544)/'Rules'!$B$13,1)</x:f>
        <x:v>0.47165778265694</x:v>
      </x:c>
      <x:c r="F544" s="16" t="n">
        <x:f>IF(AND('Queries'!E544&lt;='Rules'!$B$15,'Queries'!C544&gt;='Rules'!$B$14,'Queries'!D544&lt;'Rules'!$B$16),1,0)</x:f>
        <x:v>0</x:v>
      </x:c>
      <x:c r="G544" s="16" t="n">
        <x:v>1</x:v>
      </x:c>
      <x:c r="H544" s="16" t="n">
        <x:v>1</x:v>
      </x:c>
      <x:c r="I544" s="16" t="n">
        <x:f>ROUND((B544*'Rules'!$B$6+C544/'Rules'!$B$12*'Rules'!$B$7+D544*'Rules'!$B$8+E544*'Rules'!$B$9+F544*'Rules'!$B$10+G544*'Rules'!$B$11)*H544,1)</x:f>
        <x:v>72.2</x:v>
      </x:c>
      <x:c r="J544" s="18" t="n">
        <x:f>'Queries'!C544*'Queries'!E544</x:f>
        <x:v>590</x:v>
      </x:c>
    </x:row>
    <x:row r="545" ht="32" customHeight="1">
      <x:c r="A545" s="6" t="str">
        <x:v>cadillac service in dubai</x:v>
      </x:c>
      <x:c r="B545" s="16" t="n">
        <x:v>1</x:v>
      </x:c>
      <x:c r="C545" s="16" t="n">
        <x:v>3</x:v>
      </x:c>
      <x:c r="D545" s="16" t="n">
        <x:f>IF('Queries'!E545&lt;='Rules'!$B$17,'Rules'!$B$21,IF('Queries'!E545&lt;='Rules'!$B$18,'Rules'!$B$22,IF('Queries'!E545&lt;='Rules'!$B$19,'Rules'!$B$23,IF('Queries'!E545&lt;='Rules'!$B$20,'Rules'!$B$24,'Rules'!$B$25))))</x:f>
        <x:v>0.7</x:v>
      </x:c>
      <x:c r="E545" s="16" t="n">
        <x:f>MIN(LOG10(1+'Queries'!C545)/'Rules'!$B$13,1)</x:f>
        <x:v>0.47165778265694</x:v>
      </x:c>
      <x:c r="F545" s="16" t="n">
        <x:f>IF(AND('Queries'!E545&lt;='Rules'!$B$15,'Queries'!C545&gt;='Rules'!$B$14,'Queries'!D545&lt;'Rules'!$B$16),1,0)</x:f>
        <x:v>0</x:v>
      </x:c>
      <x:c r="G545" s="16" t="n">
        <x:v>1</x:v>
      </x:c>
      <x:c r="H545" s="16" t="n">
        <x:v>1</x:v>
      </x:c>
      <x:c r="I545" s="16" t="n">
        <x:f>ROUND((B545*'Rules'!$B$6+C545/'Rules'!$B$12*'Rules'!$B$7+D545*'Rules'!$B$8+E545*'Rules'!$B$9+F545*'Rules'!$B$10+G545*'Rules'!$B$11)*H545,1)</x:f>
        <x:v>69.2</x:v>
      </x:c>
      <x:c r="J545" s="18" t="n">
        <x:f>'Queries'!C545*'Queries'!E545</x:f>
        <x:v>623</x:v>
      </x:c>
    </x:row>
    <x:row r="546" ht="32" customHeight="1">
      <x:c r="A546" s="6" t="str">
        <x:v>ferrari service center near me</x:v>
      </x:c>
      <x:c r="B546" s="16" t="n">
        <x:v>1</x:v>
      </x:c>
      <x:c r="C546" s="16" t="n">
        <x:v>5</x:v>
      </x:c>
      <x:c r="D546" s="16" t="n">
        <x:f>IF('Queries'!E546&lt;='Rules'!$B$17,'Rules'!$B$21,IF('Queries'!E546&lt;='Rules'!$B$18,'Rules'!$B$22,IF('Queries'!E546&lt;='Rules'!$B$19,'Rules'!$B$23,IF('Queries'!E546&lt;='Rules'!$B$20,'Rules'!$B$24,'Rules'!$B$25))))</x:f>
        <x:v>0.4</x:v>
      </x:c>
      <x:c r="E546" s="16" t="n">
        <x:f>MIN(LOG10(1+'Queries'!C546)/'Rules'!$B$13,1)</x:f>
        <x:v>0.47165778265694</x:v>
      </x:c>
      <x:c r="F546" s="16" t="n">
        <x:f>IF(AND('Queries'!E546&lt;='Rules'!$B$15,'Queries'!C546&gt;='Rules'!$B$14,'Queries'!D546&lt;'Rules'!$B$16),1,0)</x:f>
        <x:v>0</x:v>
      </x:c>
      <x:c r="G546" s="16" t="n">
        <x:v>1</x:v>
      </x:c>
      <x:c r="H546" s="16" t="n">
        <x:v>1</x:v>
      </x:c>
      <x:c r="I546" s="16" t="n">
        <x:f>ROUND((B546*'Rules'!$B$6+C546/'Rules'!$B$12*'Rules'!$B$7+D546*'Rules'!$B$8+E546*'Rules'!$B$9+F546*'Rules'!$B$10+G546*'Rules'!$B$11)*H546,1)</x:f>
        <x:v>69.7</x:v>
      </x:c>
      <x:c r="J546" s="18" t="n">
        <x:f>'Queries'!C546*'Queries'!E546</x:f>
        <x:v>838.0000000000001</x:v>
      </x:c>
    </x:row>
    <x:row r="547" ht="32" customHeight="1">
      <x:c r="A547" s="6" t="str">
        <x:v>bmw suspension repair dubai</x:v>
      </x:c>
      <x:c r="B547" s="16" t="n">
        <x:v>1</x:v>
      </x:c>
      <x:c r="C547" s="16" t="n">
        <x:v>5</x:v>
      </x:c>
      <x:c r="D547" s="16" t="n">
        <x:f>IF('Queries'!E547&lt;='Rules'!$B$17,'Rules'!$B$21,IF('Queries'!E547&lt;='Rules'!$B$18,'Rules'!$B$22,IF('Queries'!E547&lt;='Rules'!$B$19,'Rules'!$B$23,IF('Queries'!E547&lt;='Rules'!$B$20,'Rules'!$B$24,'Rules'!$B$25))))</x:f>
        <x:v>0.15</x:v>
      </x:c>
      <x:c r="E547" s="16" t="n">
        <x:f>MIN(LOG10(1+'Queries'!C547)/'Rules'!$B$13,1)</x:f>
        <x:v>0.47165778265694</x:v>
      </x:c>
      <x:c r="F547" s="16" t="n">
        <x:f>IF(AND('Queries'!E547&lt;='Rules'!$B$15,'Queries'!C547&gt;='Rules'!$B$14,'Queries'!D547&lt;'Rules'!$B$16),1,0)</x:f>
        <x:v>0</x:v>
      </x:c>
      <x:c r="G547" s="16" t="n">
        <x:v>1</x:v>
      </x:c>
      <x:c r="H547" s="16" t="n">
        <x:v>1</x:v>
      </x:c>
      <x:c r="I547" s="16" t="n">
        <x:f>ROUND((B547*'Rules'!$B$6+C547/'Rules'!$B$12*'Rules'!$B$7+D547*'Rules'!$B$8+E547*'Rules'!$B$9+F547*'Rules'!$B$10+G547*'Rules'!$B$11)*H547,1)</x:f>
        <x:v>63.5</x:v>
      </x:c>
      <x:c r="J547" s="18" t="n">
        <x:f>'Queries'!C547*'Queries'!E547</x:f>
        <x:v>1025</x:v>
      </x:c>
    </x:row>
    <x:row r="548" ht="32" customHeight="1">
      <x:c r="A548" s="6" t="str">
        <x:v>lexus service dubai</x:v>
      </x:c>
      <x:c r="B548" s="16" t="n">
        <x:v>1</x:v>
      </x:c>
      <x:c r="C548" s="16" t="n">
        <x:v>3</x:v>
      </x:c>
      <x:c r="D548" s="16" t="n">
        <x:f>IF('Queries'!E548&lt;='Rules'!$B$17,'Rules'!$B$21,IF('Queries'!E548&lt;='Rules'!$B$18,'Rules'!$B$22,IF('Queries'!E548&lt;='Rules'!$B$19,'Rules'!$B$23,IF('Queries'!E548&lt;='Rules'!$B$20,'Rules'!$B$24,'Rules'!$B$25))))</x:f>
        <x:v>0.15</x:v>
      </x:c>
      <x:c r="E548" s="16" t="n">
        <x:f>MIN(LOG10(1+'Queries'!C548)/'Rules'!$B$13,1)</x:f>
        <x:v>0.47165778265694</x:v>
      </x:c>
      <x:c r="F548" s="16" t="n">
        <x:f>IF(AND('Queries'!E548&lt;='Rules'!$B$15,'Queries'!C548&gt;='Rules'!$B$14,'Queries'!D548&lt;'Rules'!$B$16),1,0)</x:f>
        <x:v>0</x:v>
      </x:c>
      <x:c r="G548" s="16" t="n">
        <x:v>1</x:v>
      </x:c>
      <x:c r="H548" s="16" t="n">
        <x:v>1</x:v>
      </x:c>
      <x:c r="I548" s="16" t="n">
        <x:f>ROUND((B548*'Rules'!$B$6+C548/'Rules'!$B$12*'Rules'!$B$7+D548*'Rules'!$B$8+E548*'Rules'!$B$9+F548*'Rules'!$B$10+G548*'Rules'!$B$11)*H548,1)</x:f>
        <x:v>55.5</x:v>
      </x:c>
      <x:c r="J548" s="18" t="n">
        <x:f>'Queries'!C548*'Queries'!E548</x:f>
        <x:v>1092</x:v>
      </x:c>
    </x:row>
    <x:row r="549" ht="32" customHeight="1">
      <x:c r="A549" s="6" t="str">
        <x:v>maserati repair dubai</x:v>
      </x:c>
      <x:c r="B549" s="16" t="n">
        <x:v>1</x:v>
      </x:c>
      <x:c r="C549" s="16" t="n">
        <x:v>5</x:v>
      </x:c>
      <x:c r="D549" s="16" t="n">
        <x:f>IF('Queries'!E549&lt;='Rules'!$B$17,'Rules'!$B$21,IF('Queries'!E549&lt;='Rules'!$B$18,'Rules'!$B$22,IF('Queries'!E549&lt;='Rules'!$B$19,'Rules'!$B$23,IF('Queries'!E549&lt;='Rules'!$B$20,'Rules'!$B$24,'Rules'!$B$25))))</x:f>
        <x:v>0.15</x:v>
      </x:c>
      <x:c r="E549" s="16" t="n">
        <x:f>MIN(LOG10(1+'Queries'!C549)/'Rules'!$B$13,1)</x:f>
        <x:v>0.47165778265694</x:v>
      </x:c>
      <x:c r="F549" s="16" t="n">
        <x:f>IF(AND('Queries'!E549&lt;='Rules'!$B$15,'Queries'!C549&gt;='Rules'!$B$14,'Queries'!D549&lt;'Rules'!$B$16),1,0)</x:f>
        <x:v>0</x:v>
      </x:c>
      <x:c r="G549" s="16" t="n">
        <x:v>1</x:v>
      </x:c>
      <x:c r="H549" s="16" t="n">
        <x:v>1</x:v>
      </x:c>
      <x:c r="I549" s="16" t="n">
        <x:f>ROUND((B549*'Rules'!$B$6+C549/'Rules'!$B$12*'Rules'!$B$7+D549*'Rules'!$B$8+E549*'Rules'!$B$9+F549*'Rules'!$B$10+G549*'Rules'!$B$11)*H549,1)</x:f>
        <x:v>63.5</x:v>
      </x:c>
      <x:c r="J549" s="18" t="n">
        <x:f>'Queries'!C549*'Queries'!E549</x:f>
        <x:v>1172</x:v>
      </x:c>
    </x:row>
    <x:row r="550" ht="32" customHeight="1">
      <x:c r="A550" s="6" t="str">
        <x:v>car garage in dubai</x:v>
      </x:c>
      <x:c r="B550" s="16" t="n">
        <x:v>1</x:v>
      </x:c>
      <x:c r="C550" s="16" t="n">
        <x:v>3</x:v>
      </x:c>
      <x:c r="D550" s="16" t="n">
        <x:f>IF('Queries'!E550&lt;='Rules'!$B$17,'Rules'!$B$21,IF('Queries'!E550&lt;='Rules'!$B$18,'Rules'!$B$22,IF('Queries'!E550&lt;='Rules'!$B$19,'Rules'!$B$23,IF('Queries'!E550&lt;='Rules'!$B$20,'Rules'!$B$24,'Rules'!$B$25))))</x:f>
        <x:v>0.15</x:v>
      </x:c>
      <x:c r="E550" s="16" t="n">
        <x:f>MIN(LOG10(1+'Queries'!C550)/'Rules'!$B$13,1)</x:f>
        <x:v>0.47165778265694</x:v>
      </x:c>
      <x:c r="F550" s="16" t="n">
        <x:f>IF(AND('Queries'!E550&lt;='Rules'!$B$15,'Queries'!C550&gt;='Rules'!$B$14,'Queries'!D550&lt;'Rules'!$B$16),1,0)</x:f>
        <x:v>0</x:v>
      </x:c>
      <x:c r="G550" s="16" t="n">
        <x:v>1</x:v>
      </x:c>
      <x:c r="H550" s="16" t="n">
        <x:v>1</x:v>
      </x:c>
      <x:c r="I550" s="16" t="n">
        <x:f>ROUND((B550*'Rules'!$B$6+C550/'Rules'!$B$12*'Rules'!$B$7+D550*'Rules'!$B$8+E550*'Rules'!$B$9+F550*'Rules'!$B$10+G550*'Rules'!$B$11)*H550,1)</x:f>
        <x:v>55.5</x:v>
      </x:c>
      <x:c r="J550" s="18" t="n">
        <x:f>'Queries'!C550*'Queries'!E550</x:f>
        <x:v>1727</x:v>
      </x:c>
    </x:row>
    <x:row r="551" ht="32" customHeight="1">
      <x:c r="A551" s="6" t="str">
        <x:v>ferrari repair near me</x:v>
      </x:c>
      <x:c r="B551" s="16" t="n">
        <x:v>1</x:v>
      </x:c>
      <x:c r="C551" s="16" t="n">
        <x:v>5</x:v>
      </x:c>
      <x:c r="D551" s="16" t="n">
        <x:f>IF('Queries'!E551&lt;='Rules'!$B$17,'Rules'!$B$21,IF('Queries'!E551&lt;='Rules'!$B$18,'Rules'!$B$22,IF('Queries'!E551&lt;='Rules'!$B$19,'Rules'!$B$23,IF('Queries'!E551&lt;='Rules'!$B$20,'Rules'!$B$24,'Rules'!$B$25))))</x:f>
        <x:v>0.15</x:v>
      </x:c>
      <x:c r="E551" s="16" t="n">
        <x:f>MIN(LOG10(1+'Queries'!C551)/'Rules'!$B$13,1)</x:f>
        <x:v>0.47165778265694</x:v>
      </x:c>
      <x:c r="F551" s="16" t="n">
        <x:f>IF(AND('Queries'!E551&lt;='Rules'!$B$15,'Queries'!C551&gt;='Rules'!$B$14,'Queries'!D551&lt;'Rules'!$B$16),1,0)</x:f>
        <x:v>0</x:v>
      </x:c>
      <x:c r="G551" s="16" t="n">
        <x:v>1</x:v>
      </x:c>
      <x:c r="H551" s="16" t="n">
        <x:v>1</x:v>
      </x:c>
      <x:c r="I551" s="16" t="n">
        <x:f>ROUND((B551*'Rules'!$B$6+C551/'Rules'!$B$12*'Rules'!$B$7+D551*'Rules'!$B$8+E551*'Rules'!$B$9+F551*'Rules'!$B$10+G551*'Rules'!$B$11)*H551,1)</x:f>
        <x:v>63.5</x:v>
      </x:c>
      <x:c r="J551" s="18" t="n">
        <x:f>'Queries'!C551*'Queries'!E551</x:f>
        <x:v>1870</x:v>
      </x:c>
    </x:row>
    <x:row r="552" ht="32" customHeight="1">
      <x:c r="A552" s="6" t="str">
        <x:v>mercedes auto repair​ in dubai</x:v>
      </x:c>
      <x:c r="B552" s="16" t="n">
        <x:v>1</x:v>
      </x:c>
      <x:c r="C552" s="16" t="n">
        <x:v>5</x:v>
      </x:c>
      <x:c r="D552" s="16" t="n">
        <x:f>IF('Queries'!E552&lt;='Rules'!$B$17,'Rules'!$B$21,IF('Queries'!E552&lt;='Rules'!$B$18,'Rules'!$B$22,IF('Queries'!E552&lt;='Rules'!$B$19,'Rules'!$B$23,IF('Queries'!E552&lt;='Rules'!$B$20,'Rules'!$B$24,'Rules'!$B$25))))</x:f>
        <x:v>1</x:v>
      </x:c>
      <x:c r="E552" s="16" t="n">
        <x:f>MIN(LOG10(1+'Queries'!C552)/'Rules'!$B$13,1)</x:f>
        <x:v>0.46598000289068</x:v>
      </x:c>
      <x:c r="F552" s="16" t="n">
        <x:f>IF(AND('Queries'!E552&lt;='Rules'!$B$15,'Queries'!C552&gt;='Rules'!$B$14,'Queries'!D552&lt;'Rules'!$B$16),1,0)</x:f>
        <x:v>1</x:v>
      </x:c>
      <x:c r="G552" s="16" t="n">
        <x:v>1</x:v>
      </x:c>
      <x:c r="H552" s="16" t="n">
        <x:v>1</x:v>
      </x:c>
      <x:c r="I552" s="16" t="n">
        <x:f>ROUND((B552*'Rules'!$B$6+C552/'Rules'!$B$12*'Rules'!$B$7+D552*'Rules'!$B$8+E552*'Rules'!$B$9+F552*'Rules'!$B$10+G552*'Rules'!$B$11)*H552,1)</x:f>
        <x:v>94.7</x:v>
      </x:c>
      <x:c r="J552" s="18" t="n">
        <x:f>'Queries'!C552*'Queries'!E552</x:f>
        <x:v>113.03999999999999</x:v>
      </x:c>
    </x:row>
    <x:row r="553" ht="32" customHeight="1">
      <x:c r="A553" s="6" t="str">
        <x:v>car exhaust repair cost</x:v>
      </x:c>
      <x:c r="B553" s="16" t="n">
        <x:v>0.8</x:v>
      </x:c>
      <x:c r="C553" s="16" t="n">
        <x:v>3</x:v>
      </x:c>
      <x:c r="D553" s="16" t="n">
        <x:f>IF('Queries'!E553&lt;='Rules'!$B$17,'Rules'!$B$21,IF('Queries'!E553&lt;='Rules'!$B$18,'Rules'!$B$22,IF('Queries'!E553&lt;='Rules'!$B$19,'Rules'!$B$23,IF('Queries'!E553&lt;='Rules'!$B$20,'Rules'!$B$24,'Rules'!$B$25))))</x:f>
        <x:v>1</x:v>
      </x:c>
      <x:c r="E553" s="16" t="n">
        <x:f>MIN(LOG10(1+'Queries'!C553)/'Rules'!$B$13,1)</x:f>
        <x:v>0.46598000289068</x:v>
      </x:c>
      <x:c r="F553" s="16" t="n">
        <x:f>IF(AND('Queries'!E553&lt;='Rules'!$B$15,'Queries'!C553&gt;='Rules'!$B$14,'Queries'!D553&lt;'Rules'!$B$16),1,0)</x:f>
        <x:v>0</x:v>
      </x:c>
      <x:c r="G553" s="16" t="n">
        <x:v>1</x:v>
      </x:c>
      <x:c r="H553" s="16" t="n">
        <x:v>1</x:v>
      </x:c>
      <x:c r="I553" s="16" t="n">
        <x:f>ROUND((B553*'Rules'!$B$6+C553/'Rules'!$B$12*'Rules'!$B$7+D553*'Rules'!$B$8+E553*'Rules'!$B$9+F553*'Rules'!$B$10+G553*'Rules'!$B$11)*H553,1)</x:f>
        <x:v>71.7</x:v>
      </x:c>
      <x:c r="J553" s="18" t="n">
        <x:f>'Queries'!C553*'Queries'!E553</x:f>
        <x:v>354.96</x:v>
      </x:c>
    </x:row>
    <x:row r="554" ht="32" customHeight="1">
      <x:c r="A554" s="6" t="str">
        <x:v>volvo oil change in dubai</x:v>
      </x:c>
      <x:c r="B554" s="16" t="n">
        <x:v>1</x:v>
      </x:c>
      <x:c r="C554" s="16" t="n">
        <x:v>3</x:v>
      </x:c>
      <x:c r="D554" s="16" t="n">
        <x:f>IF('Queries'!E554&lt;='Rules'!$B$17,'Rules'!$B$21,IF('Queries'!E554&lt;='Rules'!$B$18,'Rules'!$B$22,IF('Queries'!E554&lt;='Rules'!$B$19,'Rules'!$B$23,IF('Queries'!E554&lt;='Rules'!$B$20,'Rules'!$B$24,'Rules'!$B$25))))</x:f>
        <x:v>0.7</x:v>
      </x:c>
      <x:c r="E554" s="16" t="n">
        <x:f>MIN(LOG10(1+'Queries'!C554)/'Rules'!$B$13,1)</x:f>
        <x:v>0.46598000289068</x:v>
      </x:c>
      <x:c r="F554" s="16" t="n">
        <x:f>IF(AND('Queries'!E554&lt;='Rules'!$B$15,'Queries'!C554&gt;='Rules'!$B$14,'Queries'!D554&lt;'Rules'!$B$16),1,0)</x:f>
        <x:v>0</x:v>
      </x:c>
      <x:c r="G554" s="16" t="n">
        <x:v>1</x:v>
      </x:c>
      <x:c r="H554" s="16" t="n">
        <x:v>1</x:v>
      </x:c>
      <x:c r="I554" s="16" t="n">
        <x:f>ROUND((B554*'Rules'!$B$6+C554/'Rules'!$B$12*'Rules'!$B$7+D554*'Rules'!$B$8+E554*'Rules'!$B$9+F554*'Rules'!$B$10+G554*'Rules'!$B$11)*H554,1)</x:f>
        <x:v>69.2</x:v>
      </x:c>
      <x:c r="J554" s="18" t="n">
        <x:f>'Queries'!C554*'Queries'!E554</x:f>
        <x:v>405.12</x:v>
      </x:c>
    </x:row>
    <x:row r="555" ht="32" customHeight="1">
      <x:c r="A555" s="6" t="str">
        <x:v>change oil dubai</x:v>
      </x:c>
      <x:c r="B555" s="16" t="n">
        <x:v>1</x:v>
      </x:c>
      <x:c r="C555" s="16" t="n">
        <x:v>3</x:v>
      </x:c>
      <x:c r="D555" s="16" t="n">
        <x:f>IF('Queries'!E555&lt;='Rules'!$B$17,'Rules'!$B$21,IF('Queries'!E555&lt;='Rules'!$B$18,'Rules'!$B$22,IF('Queries'!E555&lt;='Rules'!$B$19,'Rules'!$B$23,IF('Queries'!E555&lt;='Rules'!$B$20,'Rules'!$B$24,'Rules'!$B$25))))</x:f>
        <x:v>0.7</x:v>
      </x:c>
      <x:c r="E555" s="16" t="n">
        <x:f>MIN(LOG10(1+'Queries'!C555)/'Rules'!$B$13,1)</x:f>
        <x:v>0.46598000289068</x:v>
      </x:c>
      <x:c r="F555" s="16" t="n">
        <x:f>IF(AND('Queries'!E555&lt;='Rules'!$B$15,'Queries'!C555&gt;='Rules'!$B$14,'Queries'!D555&lt;'Rules'!$B$16),1,0)</x:f>
        <x:v>0</x:v>
      </x:c>
      <x:c r="G555" s="16" t="n">
        <x:v>1</x:v>
      </x:c>
      <x:c r="H555" s="16" t="n">
        <x:v>1</x:v>
      </x:c>
      <x:c r="I555" s="16" t="n">
        <x:f>ROUND((B555*'Rules'!$B$6+C555/'Rules'!$B$12*'Rules'!$B$7+D555*'Rules'!$B$8+E555*'Rules'!$B$9+F555*'Rules'!$B$10+G555*'Rules'!$B$11)*H555,1)</x:f>
        <x:v>69.2</x:v>
      </x:c>
      <x:c r="J555" s="18" t="n">
        <x:f>'Queries'!C555*'Queries'!E555</x:f>
        <x:v>493.91999999999996</x:v>
      </x:c>
    </x:row>
    <x:row r="556" ht="32" customHeight="1">
      <x:c r="A556" s="6" t="str">
        <x:v>bmw service centre dubai</x:v>
      </x:c>
      <x:c r="B556" s="16" t="n">
        <x:v>1</x:v>
      </x:c>
      <x:c r="C556" s="16" t="n">
        <x:v>5</x:v>
      </x:c>
      <x:c r="D556" s="16" t="n">
        <x:f>IF('Queries'!E556&lt;='Rules'!$B$17,'Rules'!$B$21,IF('Queries'!E556&lt;='Rules'!$B$18,'Rules'!$B$22,IF('Queries'!E556&lt;='Rules'!$B$19,'Rules'!$B$23,IF('Queries'!E556&lt;='Rules'!$B$20,'Rules'!$B$24,'Rules'!$B$25))))</x:f>
        <x:v>0.7</x:v>
      </x:c>
      <x:c r="E556" s="16" t="n">
        <x:f>MIN(LOG10(1+'Queries'!C556)/'Rules'!$B$13,1)</x:f>
        <x:v>0.46598000289068</x:v>
      </x:c>
      <x:c r="F556" s="16" t="n">
        <x:f>IF(AND('Queries'!E556&lt;='Rules'!$B$15,'Queries'!C556&gt;='Rules'!$B$14,'Queries'!D556&lt;'Rules'!$B$16),1,0)</x:f>
        <x:v>0</x:v>
      </x:c>
      <x:c r="G556" s="16" t="n">
        <x:v>1</x:v>
      </x:c>
      <x:c r="H556" s="16" t="n">
        <x:v>1</x:v>
      </x:c>
      <x:c r="I556" s="16" t="n">
        <x:f>ROUND((B556*'Rules'!$B$6+C556/'Rules'!$B$12*'Rules'!$B$7+D556*'Rules'!$B$8+E556*'Rules'!$B$9+F556*'Rules'!$B$10+G556*'Rules'!$B$11)*H556,1)</x:f>
        <x:v>77.2</x:v>
      </x:c>
      <x:c r="J556" s="18" t="n">
        <x:f>'Queries'!C556*'Queries'!E556</x:f>
        <x:v>592.08</x:v>
      </x:c>
    </x:row>
    <x:row r="557" ht="32" customHeight="1">
      <x:c r="A557" s="6" t="str">
        <x:v>mclaren suspension specialist</x:v>
      </x:c>
      <x:c r="B557" s="16" t="n">
        <x:v>0.8</x:v>
      </x:c>
      <x:c r="C557" s="16" t="n">
        <x:v>5</x:v>
      </x:c>
      <x:c r="D557" s="16" t="n">
        <x:f>IF('Queries'!E557&lt;='Rules'!$B$17,'Rules'!$B$21,IF('Queries'!E557&lt;='Rules'!$B$18,'Rules'!$B$22,IF('Queries'!E557&lt;='Rules'!$B$19,'Rules'!$B$23,IF('Queries'!E557&lt;='Rules'!$B$20,'Rules'!$B$24,'Rules'!$B$25))))</x:f>
        <x:v>0.7</x:v>
      </x:c>
      <x:c r="E557" s="16" t="n">
        <x:f>MIN(LOG10(1+'Queries'!C557)/'Rules'!$B$13,1)</x:f>
        <x:v>0.46598000289068</x:v>
      </x:c>
      <x:c r="F557" s="16" t="n">
        <x:f>IF(AND('Queries'!E557&lt;='Rules'!$B$15,'Queries'!C557&gt;='Rules'!$B$14,'Queries'!D557&lt;'Rules'!$B$16),1,0)</x:f>
        <x:v>0</x:v>
      </x:c>
      <x:c r="G557" s="16" t="n">
        <x:v>1</x:v>
      </x:c>
      <x:c r="H557" s="16" t="n">
        <x:v>1</x:v>
      </x:c>
      <x:c r="I557" s="16" t="n">
        <x:f>ROUND((B557*'Rules'!$B$6+C557/'Rules'!$B$12*'Rules'!$B$7+D557*'Rules'!$B$8+E557*'Rules'!$B$9+F557*'Rules'!$B$10+G557*'Rules'!$B$11)*H557,1)</x:f>
        <x:v>72.2</x:v>
      </x:c>
      <x:c r="J557" s="18" t="n">
        <x:f>'Queries'!C557*'Queries'!E557</x:f>
        <x:v>600</x:v>
      </x:c>
    </x:row>
    <x:row r="558" ht="32" customHeight="1">
      <x:c r="A558" s="6" t="str">
        <x:v>range rover transmission repair dubai</x:v>
      </x:c>
      <x:c r="B558" s="16" t="n">
        <x:v>1</x:v>
      </x:c>
      <x:c r="C558" s="16" t="n">
        <x:v>5</x:v>
      </x:c>
      <x:c r="D558" s="16" t="n">
        <x:f>IF('Queries'!E558&lt;='Rules'!$B$17,'Rules'!$B$21,IF('Queries'!E558&lt;='Rules'!$B$18,'Rules'!$B$22,IF('Queries'!E558&lt;='Rules'!$B$19,'Rules'!$B$23,IF('Queries'!E558&lt;='Rules'!$B$20,'Rules'!$B$24,'Rules'!$B$25))))</x:f>
        <x:v>0.7</x:v>
      </x:c>
      <x:c r="E558" s="16" t="n">
        <x:f>MIN(LOG10(1+'Queries'!C558)/'Rules'!$B$13,1)</x:f>
        <x:v>0.46598000289068</x:v>
      </x:c>
      <x:c r="F558" s="16" t="n">
        <x:f>IF(AND('Queries'!E558&lt;='Rules'!$B$15,'Queries'!C558&gt;='Rules'!$B$14,'Queries'!D558&lt;'Rules'!$B$16),1,0)</x:f>
        <x:v>0</x:v>
      </x:c>
      <x:c r="G558" s="16" t="n">
        <x:v>1</x:v>
      </x:c>
      <x:c r="H558" s="16" t="n">
        <x:v>1</x:v>
      </x:c>
      <x:c r="I558" s="16" t="n">
        <x:f>ROUND((B558*'Rules'!$B$6+C558/'Rules'!$B$12*'Rules'!$B$7+D558*'Rules'!$B$8+E558*'Rules'!$B$9+F558*'Rules'!$B$10+G558*'Rules'!$B$11)*H558,1)</x:f>
        <x:v>77.2</x:v>
      </x:c>
      <x:c r="J558" s="18" t="n">
        <x:f>'Queries'!C558*'Queries'!E558</x:f>
        <x:v>657.12</x:v>
      </x:c>
    </x:row>
    <x:row r="559" ht="32" customHeight="1">
      <x:c r="A559" s="6" t="str">
        <x:v>self healing paint protection film</x:v>
      </x:c>
      <x:c r="B559" s="16" t="n">
        <x:v>0.8</x:v>
      </x:c>
      <x:c r="C559" s="16" t="n">
        <x:v>5</x:v>
      </x:c>
      <x:c r="D559" s="16" t="n">
        <x:f>IF('Queries'!E559&lt;='Rules'!$B$17,'Rules'!$B$21,IF('Queries'!E559&lt;='Rules'!$B$18,'Rules'!$B$22,IF('Queries'!E559&lt;='Rules'!$B$19,'Rules'!$B$23,IF('Queries'!E559&lt;='Rules'!$B$20,'Rules'!$B$24,'Rules'!$B$25))))</x:f>
        <x:v>0.4</x:v>
      </x:c>
      <x:c r="E559" s="16" t="n">
        <x:f>MIN(LOG10(1+'Queries'!C559)/'Rules'!$B$13,1)</x:f>
        <x:v>0.46598000289068</x:v>
      </x:c>
      <x:c r="F559" s="16" t="n">
        <x:f>IF(AND('Queries'!E559&lt;='Rules'!$B$15,'Queries'!C559&gt;='Rules'!$B$14,'Queries'!D559&lt;'Rules'!$B$16),1,0)</x:f>
        <x:v>0</x:v>
      </x:c>
      <x:c r="G559" s="16" t="n">
        <x:v>1</x:v>
      </x:c>
      <x:c r="H559" s="16" t="n">
        <x:v>1</x:v>
      </x:c>
      <x:c r="I559" s="16" t="n">
        <x:f>ROUND((B559*'Rules'!$B$6+C559/'Rules'!$B$12*'Rules'!$B$7+D559*'Rules'!$B$8+E559*'Rules'!$B$9+F559*'Rules'!$B$10+G559*'Rules'!$B$11)*H559,1)</x:f>
        <x:v>64.7</x:v>
      </x:c>
      <x:c r="J559" s="18" t="n">
        <x:f>'Queries'!C559*'Queries'!E559</x:f>
        <x:v>798.96</x:v>
      </x:c>
    </x:row>
    <x:row r="560" ht="32" customHeight="1">
      <x:c r="A560" s="6" t="str">
        <x:v>jaguar repair dubai</x:v>
      </x:c>
      <x:c r="B560" s="16" t="n">
        <x:v>1</x:v>
      </x:c>
      <x:c r="C560" s="16" t="n">
        <x:v>3</x:v>
      </x:c>
      <x:c r="D560" s="16" t="n">
        <x:f>IF('Queries'!E560&lt;='Rules'!$B$17,'Rules'!$B$21,IF('Queries'!E560&lt;='Rules'!$B$18,'Rules'!$B$22,IF('Queries'!E560&lt;='Rules'!$B$19,'Rules'!$B$23,IF('Queries'!E560&lt;='Rules'!$B$20,'Rules'!$B$24,'Rules'!$B$25))))</x:f>
        <x:v>0.4</x:v>
      </x:c>
      <x:c r="E560" s="16" t="n">
        <x:f>MIN(LOG10(1+'Queries'!C560)/'Rules'!$B$13,1)</x:f>
        <x:v>0.46598000289068</x:v>
      </x:c>
      <x:c r="F560" s="16" t="n">
        <x:f>IF(AND('Queries'!E560&lt;='Rules'!$B$15,'Queries'!C560&gt;='Rules'!$B$14,'Queries'!D560&lt;'Rules'!$B$16),1,0)</x:f>
        <x:v>0</x:v>
      </x:c>
      <x:c r="G560" s="16" t="n">
        <x:v>1</x:v>
      </x:c>
      <x:c r="H560" s="16" t="n">
        <x:v>1</x:v>
      </x:c>
      <x:c r="I560" s="16" t="n">
        <x:f>ROUND((B560*'Rules'!$B$6+C560/'Rules'!$B$12*'Rules'!$B$7+D560*'Rules'!$B$8+E560*'Rules'!$B$9+F560*'Rules'!$B$10+G560*'Rules'!$B$11)*H560,1)</x:f>
        <x:v>61.7</x:v>
      </x:c>
      <x:c r="J560" s="18" t="n">
        <x:f>'Queries'!C560*'Queries'!E560</x:f>
        <x:v>846</x:v>
      </x:c>
    </x:row>
    <x:row r="561" ht="32" customHeight="1">
      <x:c r="A561" s="6" t="str">
        <x:v>porsche service dip2 dubai</x:v>
      </x:c>
      <x:c r="B561" s="16" t="n">
        <x:v>1</x:v>
      </x:c>
      <x:c r="C561" s="16" t="n">
        <x:v>5</x:v>
      </x:c>
      <x:c r="D561" s="16" t="n">
        <x:f>IF('Queries'!E561&lt;='Rules'!$B$17,'Rules'!$B$21,IF('Queries'!E561&lt;='Rules'!$B$18,'Rules'!$B$22,IF('Queries'!E561&lt;='Rules'!$B$19,'Rules'!$B$23,IF('Queries'!E561&lt;='Rules'!$B$20,'Rules'!$B$24,'Rules'!$B$25))))</x:f>
        <x:v>0.4</x:v>
      </x:c>
      <x:c r="E561" s="16" t="n">
        <x:f>MIN(LOG10(1+'Queries'!C561)/'Rules'!$B$13,1)</x:f>
        <x:v>0.46598000289068</x:v>
      </x:c>
      <x:c r="F561" s="16" t="n">
        <x:f>IF(AND('Queries'!E561&lt;='Rules'!$B$15,'Queries'!C561&gt;='Rules'!$B$14,'Queries'!D561&lt;'Rules'!$B$16),1,0)</x:f>
        <x:v>0</x:v>
      </x:c>
      <x:c r="G561" s="16" t="n">
        <x:v>1</x:v>
      </x:c>
      <x:c r="H561" s="16" t="n">
        <x:v>1</x:v>
      </x:c>
      <x:c r="I561" s="16" t="n">
        <x:f>ROUND((B561*'Rules'!$B$6+C561/'Rules'!$B$12*'Rules'!$B$7+D561*'Rules'!$B$8+E561*'Rules'!$B$9+F561*'Rules'!$B$10+G561*'Rules'!$B$11)*H561,1)</x:f>
        <x:v>69.7</x:v>
      </x:c>
      <x:c r="J561" s="18" t="n">
        <x:f>'Queries'!C561*'Queries'!E561</x:f>
        <x:v>906</x:v>
      </x:c>
    </x:row>
    <x:row r="562" ht="32" customHeight="1">
      <x:c r="A562" s="6" t="str">
        <x:v>chevrolet repair specialist</x:v>
      </x:c>
      <x:c r="B562" s="16" t="n">
        <x:v>0.8</x:v>
      </x:c>
      <x:c r="C562" s="16" t="n">
        <x:v>3</x:v>
      </x:c>
      <x:c r="D562" s="16" t="n">
        <x:f>IF('Queries'!E562&lt;='Rules'!$B$17,'Rules'!$B$21,IF('Queries'!E562&lt;='Rules'!$B$18,'Rules'!$B$22,IF('Queries'!E562&lt;='Rules'!$B$19,'Rules'!$B$23,IF('Queries'!E562&lt;='Rules'!$B$20,'Rules'!$B$24,'Rules'!$B$25))))</x:f>
        <x:v>0.4</x:v>
      </x:c>
      <x:c r="E562" s="16" t="n">
        <x:f>MIN(LOG10(1+'Queries'!C562)/'Rules'!$B$13,1)</x:f>
        <x:v>0.46598000289068</x:v>
      </x:c>
      <x:c r="F562" s="16" t="n">
        <x:f>IF(AND('Queries'!E562&lt;='Rules'!$B$15,'Queries'!C562&gt;='Rules'!$B$14,'Queries'!D562&lt;'Rules'!$B$16),1,0)</x:f>
        <x:v>0</x:v>
      </x:c>
      <x:c r="G562" s="16" t="n">
        <x:v>1</x:v>
      </x:c>
      <x:c r="H562" s="16" t="n">
        <x:v>1</x:v>
      </x:c>
      <x:c r="I562" s="16" t="n">
        <x:f>ROUND((B562*'Rules'!$B$6+C562/'Rules'!$B$12*'Rules'!$B$7+D562*'Rules'!$B$8+E562*'Rules'!$B$9+F562*'Rules'!$B$10+G562*'Rules'!$B$11)*H562,1)</x:f>
        <x:v>56.7</x:v>
      </x:c>
      <x:c r="J562" s="18" t="n">
        <x:f>'Queries'!C562*'Queries'!E562</x:f>
        <x:v>924.96</x:v>
      </x:c>
    </x:row>
    <x:row r="563" ht="32" customHeight="1">
      <x:c r="A563" s="6" t="str">
        <x:v>european car specialist dubai</x:v>
      </x:c>
      <x:c r="B563" s="16" t="n">
        <x:v>1</x:v>
      </x:c>
      <x:c r="C563" s="16" t="n">
        <x:v>3</x:v>
      </x:c>
      <x:c r="D563" s="16" t="n">
        <x:f>IF('Queries'!E563&lt;='Rules'!$B$17,'Rules'!$B$21,IF('Queries'!E563&lt;='Rules'!$B$18,'Rules'!$B$22,IF('Queries'!E563&lt;='Rules'!$B$19,'Rules'!$B$23,IF('Queries'!E563&lt;='Rules'!$B$20,'Rules'!$B$24,'Rules'!$B$25))))</x:f>
        <x:v>0.15</x:v>
      </x:c>
      <x:c r="E563" s="16" t="n">
        <x:f>MIN(LOG10(1+'Queries'!C563)/'Rules'!$B$13,1)</x:f>
        <x:v>0.46598000289068</x:v>
      </x:c>
      <x:c r="F563" s="16" t="n">
        <x:f>IF(AND('Queries'!E563&lt;='Rules'!$B$15,'Queries'!C563&gt;='Rules'!$B$14,'Queries'!D563&lt;'Rules'!$B$16),1,0)</x:f>
        <x:v>0</x:v>
      </x:c>
      <x:c r="G563" s="16" t="n">
        <x:v>1</x:v>
      </x:c>
      <x:c r="H563" s="16" t="n">
        <x:v>1</x:v>
      </x:c>
      <x:c r="I563" s="16" t="n">
        <x:f>ROUND((B563*'Rules'!$B$6+C563/'Rules'!$B$12*'Rules'!$B$7+D563*'Rules'!$B$8+E563*'Rules'!$B$9+F563*'Rules'!$B$10+G563*'Rules'!$B$11)*H563,1)</x:f>
        <x:v>55.4</x:v>
      </x:c>
      <x:c r="J563" s="18" t="n">
        <x:f>'Queries'!C563*'Queries'!E563</x:f>
        <x:v>1190.8799999999999</x:v>
      </x:c>
    </x:row>
    <x:row r="564" ht="32" customHeight="1">
      <x:c r="A564" s="6" t="str">
        <x:v>bentley service centre</x:v>
      </x:c>
      <x:c r="B564" s="16" t="n">
        <x:v>0.8</x:v>
      </x:c>
      <x:c r="C564" s="16" t="n">
        <x:v>5</x:v>
      </x:c>
      <x:c r="D564" s="16" t="n">
        <x:f>IF('Queries'!E564&lt;='Rules'!$B$17,'Rules'!$B$21,IF('Queries'!E564&lt;='Rules'!$B$18,'Rules'!$B$22,IF('Queries'!E564&lt;='Rules'!$B$19,'Rules'!$B$23,IF('Queries'!E564&lt;='Rules'!$B$20,'Rules'!$B$24,'Rules'!$B$25))))</x:f>
        <x:v>0.15</x:v>
      </x:c>
      <x:c r="E564" s="16" t="n">
        <x:f>MIN(LOG10(1+'Queries'!C564)/'Rules'!$B$13,1)</x:f>
        <x:v>0.46598000289068</x:v>
      </x:c>
      <x:c r="F564" s="16" t="n">
        <x:f>IF(AND('Queries'!E564&lt;='Rules'!$B$15,'Queries'!C564&gt;='Rules'!$B$14,'Queries'!D564&lt;'Rules'!$B$16),1,0)</x:f>
        <x:v>0</x:v>
      </x:c>
      <x:c r="G564" s="16" t="n">
        <x:v>1</x:v>
      </x:c>
      <x:c r="H564" s="16" t="n">
        <x:v>1</x:v>
      </x:c>
      <x:c r="I564" s="16" t="n">
        <x:f>ROUND((B564*'Rules'!$B$6+C564/'Rules'!$B$12*'Rules'!$B$7+D564*'Rules'!$B$8+E564*'Rules'!$B$9+F564*'Rules'!$B$10+G564*'Rules'!$B$11)*H564,1)</x:f>
        <x:v>58.4</x:v>
      </x:c>
      <x:c r="J564" s="18" t="n">
        <x:f>'Queries'!C564*'Queries'!E564</x:f>
        <x:v>1274.8799999999999</x:v>
      </x:c>
    </x:row>
    <x:row r="565" ht="32" customHeight="1">
      <x:c r="A565" s="6" t="str">
        <x:v>tyre repair dubai</x:v>
      </x:c>
      <x:c r="B565" s="16" t="n">
        <x:v>1</x:v>
      </x:c>
      <x:c r="C565" s="16" t="n">
        <x:v>2</x:v>
      </x:c>
      <x:c r="D565" s="16" t="n">
        <x:f>IF('Queries'!E565&lt;='Rules'!$B$17,'Rules'!$B$21,IF('Queries'!E565&lt;='Rules'!$B$18,'Rules'!$B$22,IF('Queries'!E565&lt;='Rules'!$B$19,'Rules'!$B$23,IF('Queries'!E565&lt;='Rules'!$B$20,'Rules'!$B$24,'Rules'!$B$25))))</x:f>
        <x:v>0.15</x:v>
      </x:c>
      <x:c r="E565" s="16" t="n">
        <x:f>MIN(LOG10(1+'Queries'!C565)/'Rules'!$B$13,1)</x:f>
        <x:v>0.46598000289068</x:v>
      </x:c>
      <x:c r="F565" s="16" t="n">
        <x:f>IF(AND('Queries'!E565&lt;='Rules'!$B$15,'Queries'!C565&gt;='Rules'!$B$14,'Queries'!D565&lt;'Rules'!$B$16),1,0)</x:f>
        <x:v>0</x:v>
      </x:c>
      <x:c r="G565" s="16" t="n">
        <x:v>1</x:v>
      </x:c>
      <x:c r="H565" s="16" t="n">
        <x:v>1</x:v>
      </x:c>
      <x:c r="I565" s="16" t="n">
        <x:f>ROUND((B565*'Rules'!$B$6+C565/'Rules'!$B$12*'Rules'!$B$7+D565*'Rules'!$B$8+E565*'Rules'!$B$9+F565*'Rules'!$B$10+G565*'Rules'!$B$11)*H565,1)</x:f>
        <x:v>51.4</x:v>
      </x:c>
      <x:c r="J565" s="18" t="n">
        <x:f>'Queries'!C565*'Queries'!E565</x:f>
        <x:v>1339.92</x:v>
      </x:c>
    </x:row>
    <x:row r="566" ht="32" customHeight="1">
      <x:c r="A566" s="6" t="str">
        <x:v>car service center dubai</x:v>
      </x:c>
      <x:c r="B566" s="16" t="n">
        <x:v>1</x:v>
      </x:c>
      <x:c r="C566" s="16" t="n">
        <x:v>3</x:v>
      </x:c>
      <x:c r="D566" s="16" t="n">
        <x:f>IF('Queries'!E566&lt;='Rules'!$B$17,'Rules'!$B$21,IF('Queries'!E566&lt;='Rules'!$B$18,'Rules'!$B$22,IF('Queries'!E566&lt;='Rules'!$B$19,'Rules'!$B$23,IF('Queries'!E566&lt;='Rules'!$B$20,'Rules'!$B$24,'Rules'!$B$25))))</x:f>
        <x:v>0.15</x:v>
      </x:c>
      <x:c r="E566" s="16" t="n">
        <x:f>MIN(LOG10(1+'Queries'!C566)/'Rules'!$B$13,1)</x:f>
        <x:v>0.46598000289068</x:v>
      </x:c>
      <x:c r="F566" s="16" t="n">
        <x:f>IF(AND('Queries'!E566&lt;='Rules'!$B$15,'Queries'!C566&gt;='Rules'!$B$14,'Queries'!D566&lt;'Rules'!$B$16),1,0)</x:f>
        <x:v>0</x:v>
      </x:c>
      <x:c r="G566" s="16" t="n">
        <x:v>1</x:v>
      </x:c>
      <x:c r="H566" s="16" t="n">
        <x:v>1</x:v>
      </x:c>
      <x:c r="I566" s="16" t="n">
        <x:f>ROUND((B566*'Rules'!$B$6+C566/'Rules'!$B$12*'Rules'!$B$7+D566*'Rules'!$B$8+E566*'Rules'!$B$9+F566*'Rules'!$B$10+G566*'Rules'!$B$11)*H566,1)</x:f>
        <x:v>55.4</x:v>
      </x:c>
      <x:c r="J566" s="18" t="n">
        <x:f>'Queries'!C566*'Queries'!E566</x:f>
        <x:v>1408.08</x:v>
      </x:c>
    </x:row>
    <x:row r="567" ht="32" customHeight="1">
      <x:c r="A567" s="6" t="str">
        <x:v>porsche service center al quoz</x:v>
      </x:c>
      <x:c r="B567" s="16" t="n">
        <x:v>1</x:v>
      </x:c>
      <x:c r="C567" s="16" t="n">
        <x:v>5</x:v>
      </x:c>
      <x:c r="D567" s="16" t="n">
        <x:f>IF('Queries'!E567&lt;='Rules'!$B$17,'Rules'!$B$21,IF('Queries'!E567&lt;='Rules'!$B$18,'Rules'!$B$22,IF('Queries'!E567&lt;='Rules'!$B$19,'Rules'!$B$23,IF('Queries'!E567&lt;='Rules'!$B$20,'Rules'!$B$24,'Rules'!$B$25))))</x:f>
        <x:v>0.15</x:v>
      </x:c>
      <x:c r="E567" s="16" t="n">
        <x:f>MIN(LOG10(1+'Queries'!C567)/'Rules'!$B$13,1)</x:f>
        <x:v>0.46598000289068</x:v>
      </x:c>
      <x:c r="F567" s="16" t="n">
        <x:f>IF(AND('Queries'!E567&lt;='Rules'!$B$15,'Queries'!C567&gt;='Rules'!$B$14,'Queries'!D567&lt;'Rules'!$B$16),1,0)</x:f>
        <x:v>0</x:v>
      </x:c>
      <x:c r="G567" s="16" t="n">
        <x:v>1</x:v>
      </x:c>
      <x:c r="H567" s="16" t="n">
        <x:v>1</x:v>
      </x:c>
      <x:c r="I567" s="16" t="n">
        <x:f>ROUND((B567*'Rules'!$B$6+C567/'Rules'!$B$12*'Rules'!$B$7+D567*'Rules'!$B$8+E567*'Rules'!$B$9+F567*'Rules'!$B$10+G567*'Rules'!$B$11)*H567,1)</x:f>
        <x:v>63.4</x:v>
      </x:c>
      <x:c r="J567" s="18" t="n">
        <x:f>'Queries'!C567*'Queries'!E567</x:f>
        <x:v>1691.04</x:v>
      </x:c>
    </x:row>
    <x:row r="568" ht="32" customHeight="1">
      <x:c r="A568" s="6" t="str">
        <x:v>lotus service dubai</x:v>
      </x:c>
      <x:c r="B568" s="16" t="n">
        <x:v>1</x:v>
      </x:c>
      <x:c r="C568" s="16" t="n">
        <x:v>5</x:v>
      </x:c>
      <x:c r="D568" s="16" t="n">
        <x:f>IF('Queries'!E568&lt;='Rules'!$B$17,'Rules'!$B$21,IF('Queries'!E568&lt;='Rules'!$B$18,'Rules'!$B$22,IF('Queries'!E568&lt;='Rules'!$B$19,'Rules'!$B$23,IF('Queries'!E568&lt;='Rules'!$B$20,'Rules'!$B$24,'Rules'!$B$25))))</x:f>
        <x:v>1</x:v>
      </x:c>
      <x:c r="E568" s="16" t="n">
        <x:f>MIN(LOG10(1+'Queries'!C568)/'Rules'!$B$13,1)</x:f>
        <x:v>0.46007041390387</x:v>
      </x:c>
      <x:c r="F568" s="16" t="n">
        <x:f>IF(AND('Queries'!E568&lt;='Rules'!$B$15,'Queries'!C568&gt;='Rules'!$B$14,'Queries'!D568&lt;'Rules'!$B$16),1,0)</x:f>
        <x:v>0</x:v>
      </x:c>
      <x:c r="G568" s="16" t="n">
        <x:v>1</x:v>
      </x:c>
      <x:c r="H568" s="16" t="n">
        <x:v>1</x:v>
      </x:c>
      <x:c r="I568" s="16" t="n">
        <x:f>ROUND((B568*'Rules'!$B$6+C568/'Rules'!$B$12*'Rules'!$B$7+D568*'Rules'!$B$8+E568*'Rules'!$B$9+F568*'Rules'!$B$10+G568*'Rules'!$B$11)*H568,1)</x:f>
        <x:v>84.6</x:v>
      </x:c>
      <x:c r="J568" s="18" t="n">
        <x:f>'Queries'!C568*'Queries'!E568</x:f>
        <x:v>235.98</x:v>
      </x:c>
    </x:row>
    <x:row r="569" ht="32" customHeight="1">
      <x:c r="A569" s="6" t="str">
        <x:v>bmw workshop al quoz</x:v>
      </x:c>
      <x:c r="B569" s="16" t="n">
        <x:v>1</x:v>
      </x:c>
      <x:c r="C569" s="16" t="n">
        <x:v>5</x:v>
      </x:c>
      <x:c r="D569" s="16" t="n">
        <x:f>IF('Queries'!E569&lt;='Rules'!$B$17,'Rules'!$B$21,IF('Queries'!E569&lt;='Rules'!$B$18,'Rules'!$B$22,IF('Queries'!E569&lt;='Rules'!$B$19,'Rules'!$B$23,IF('Queries'!E569&lt;='Rules'!$B$20,'Rules'!$B$24,'Rules'!$B$25))))</x:f>
        <x:v>1</x:v>
      </x:c>
      <x:c r="E569" s="16" t="n">
        <x:f>MIN(LOG10(1+'Queries'!C569)/'Rules'!$B$13,1)</x:f>
        <x:v>0.46007041390387</x:v>
      </x:c>
      <x:c r="F569" s="16" t="n">
        <x:f>IF(AND('Queries'!E569&lt;='Rules'!$B$15,'Queries'!C569&gt;='Rules'!$B$14,'Queries'!D569&lt;'Rules'!$B$16),1,0)</x:f>
        <x:v>0</x:v>
      </x:c>
      <x:c r="G569" s="16" t="n">
        <x:v>1</x:v>
      </x:c>
      <x:c r="H569" s="16" t="n">
        <x:v>1</x:v>
      </x:c>
      <x:c r="I569" s="16" t="n">
        <x:f>ROUND((B569*'Rules'!$B$6+C569/'Rules'!$B$12*'Rules'!$B$7+D569*'Rules'!$B$8+E569*'Rules'!$B$9+F569*'Rules'!$B$10+G569*'Rules'!$B$11)*H569,1)</x:f>
        <x:v>84.6</x:v>
      </x:c>
      <x:c r="J569" s="18" t="n">
        <x:f>'Queries'!C569*'Queries'!E569</x:f>
        <x:v>281.06</x:v>
      </x:c>
    </x:row>
    <x:row r="570" ht="32" customHeight="1">
      <x:c r="A570" s="6" t="str">
        <x:v>car tuning near me</x:v>
      </x:c>
      <x:c r="B570" s="16" t="n">
        <x:v>1</x:v>
      </x:c>
      <x:c r="C570" s="16" t="n">
        <x:v>5</x:v>
      </x:c>
      <x:c r="D570" s="16" t="n">
        <x:f>IF('Queries'!E570&lt;='Rules'!$B$17,'Rules'!$B$21,IF('Queries'!E570&lt;='Rules'!$B$18,'Rules'!$B$22,IF('Queries'!E570&lt;='Rules'!$B$19,'Rules'!$B$23,IF('Queries'!E570&lt;='Rules'!$B$20,'Rules'!$B$24,'Rules'!$B$25))))</x:f>
        <x:v>0.7</x:v>
      </x:c>
      <x:c r="E570" s="16" t="n">
        <x:f>MIN(LOG10(1+'Queries'!C570)/'Rules'!$B$13,1)</x:f>
        <x:v>0.46007041390387</x:v>
      </x:c>
      <x:c r="F570" s="16" t="n">
        <x:f>IF(AND('Queries'!E570&lt;='Rules'!$B$15,'Queries'!C570&gt;='Rules'!$B$14,'Queries'!D570&lt;'Rules'!$B$16),1,0)</x:f>
        <x:v>0</x:v>
      </x:c>
      <x:c r="G570" s="16" t="n">
        <x:v>1</x:v>
      </x:c>
      <x:c r="H570" s="16" t="n">
        <x:v>1</x:v>
      </x:c>
      <x:c r="I570" s="16" t="n">
        <x:f>ROUND((B570*'Rules'!$B$6+C570/'Rules'!$B$12*'Rules'!$B$7+D570*'Rules'!$B$8+E570*'Rules'!$B$9+F570*'Rules'!$B$10+G570*'Rules'!$B$11)*H570,1)</x:f>
        <x:v>77.1</x:v>
      </x:c>
      <x:c r="J570" s="18" t="n">
        <x:f>'Queries'!C570*'Queries'!E570</x:f>
        <x:v>399.05</x:v>
      </x:c>
    </x:row>
    <x:row r="571" ht="32" customHeight="1">
      <x:c r="A571" s="6" t="str">
        <x:v>porsche diagnostic dubai</x:v>
      </x:c>
      <x:c r="B571" s="16" t="n">
        <x:v>1</x:v>
      </x:c>
      <x:c r="C571" s="16" t="n">
        <x:v>5</x:v>
      </x:c>
      <x:c r="D571" s="16" t="n">
        <x:f>IF('Queries'!E571&lt;='Rules'!$B$17,'Rules'!$B$21,IF('Queries'!E571&lt;='Rules'!$B$18,'Rules'!$B$22,IF('Queries'!E571&lt;='Rules'!$B$19,'Rules'!$B$23,IF('Queries'!E571&lt;='Rules'!$B$20,'Rules'!$B$24,'Rules'!$B$25))))</x:f>
        <x:v>0.7</x:v>
      </x:c>
      <x:c r="E571" s="16" t="n">
        <x:f>MIN(LOG10(1+'Queries'!C571)/'Rules'!$B$13,1)</x:f>
        <x:v>0.46007041390387</x:v>
      </x:c>
      <x:c r="F571" s="16" t="n">
        <x:f>IF(AND('Queries'!E571&lt;='Rules'!$B$15,'Queries'!C571&gt;='Rules'!$B$14,'Queries'!D571&lt;'Rules'!$B$16),1,0)</x:f>
        <x:v>0</x:v>
      </x:c>
      <x:c r="G571" s="16" t="n">
        <x:v>1</x:v>
      </x:c>
      <x:c r="H571" s="16" t="n">
        <x:v>1</x:v>
      </x:c>
      <x:c r="I571" s="16" t="n">
        <x:f>ROUND((B571*'Rules'!$B$6+C571/'Rules'!$B$12*'Rules'!$B$7+D571*'Rules'!$B$8+E571*'Rules'!$B$9+F571*'Rules'!$B$10+G571*'Rules'!$B$11)*H571,1)</x:f>
        <x:v>77.1</x:v>
      </x:c>
      <x:c r="J571" s="18" t="n">
        <x:f>'Queries'!C571*'Queries'!E571</x:f>
        <x:v>419.98</x:v>
      </x:c>
    </x:row>
    <x:row r="572" ht="32" customHeight="1">
      <x:c r="A572" s="6" t="str">
        <x:v>volkswagen oil change dubai</x:v>
      </x:c>
      <x:c r="B572" s="16" t="n">
        <x:v>1</x:v>
      </x:c>
      <x:c r="C572" s="16" t="n">
        <x:v>3</x:v>
      </x:c>
      <x:c r="D572" s="16" t="n">
        <x:f>IF('Queries'!E572&lt;='Rules'!$B$17,'Rules'!$B$21,IF('Queries'!E572&lt;='Rules'!$B$18,'Rules'!$B$22,IF('Queries'!E572&lt;='Rules'!$B$19,'Rules'!$B$23,IF('Queries'!E572&lt;='Rules'!$B$20,'Rules'!$B$24,'Rules'!$B$25))))</x:f>
        <x:v>0.7</x:v>
      </x:c>
      <x:c r="E572" s="16" t="n">
        <x:f>MIN(LOG10(1+'Queries'!C572)/'Rules'!$B$13,1)</x:f>
        <x:v>0.46007041390387</x:v>
      </x:c>
      <x:c r="F572" s="16" t="n">
        <x:f>IF(AND('Queries'!E572&lt;='Rules'!$B$15,'Queries'!C572&gt;='Rules'!$B$14,'Queries'!D572&lt;'Rules'!$B$16),1,0)</x:f>
        <x:v>0</x:v>
      </x:c>
      <x:c r="G572" s="16" t="n">
        <x:v>1</x:v>
      </x:c>
      <x:c r="H572" s="16" t="n">
        <x:v>1</x:v>
      </x:c>
      <x:c r="I572" s="16" t="n">
        <x:f>ROUND((B572*'Rules'!$B$6+C572/'Rules'!$B$12*'Rules'!$B$7+D572*'Rules'!$B$8+E572*'Rules'!$B$9+F572*'Rules'!$B$10+G572*'Rules'!$B$11)*H572,1)</x:f>
        <x:v>69.1</x:v>
      </x:c>
      <x:c r="J572" s="18" t="n">
        <x:f>'Queries'!C572*'Queries'!E572</x:f>
        <x:v>439.07</x:v>
      </x:c>
    </x:row>
    <x:row r="573" ht="32" customHeight="1">
      <x:c r="A573" s="6" t="str">
        <x:v>ferrari brake repair</x:v>
      </x:c>
      <x:c r="B573" s="16" t="n">
        <x:v>0.8</x:v>
      </x:c>
      <x:c r="C573" s="16" t="n">
        <x:v>5</x:v>
      </x:c>
      <x:c r="D573" s="16" t="n">
        <x:f>IF('Queries'!E573&lt;='Rules'!$B$17,'Rules'!$B$21,IF('Queries'!E573&lt;='Rules'!$B$18,'Rules'!$B$22,IF('Queries'!E573&lt;='Rules'!$B$19,'Rules'!$B$23,IF('Queries'!E573&lt;='Rules'!$B$20,'Rules'!$B$24,'Rules'!$B$25))))</x:f>
        <x:v>0.7</x:v>
      </x:c>
      <x:c r="E573" s="16" t="n">
        <x:f>MIN(LOG10(1+'Queries'!C573)/'Rules'!$B$13,1)</x:f>
        <x:v>0.46007041390387</x:v>
      </x:c>
      <x:c r="F573" s="16" t="n">
        <x:f>IF(AND('Queries'!E573&lt;='Rules'!$B$15,'Queries'!C573&gt;='Rules'!$B$14,'Queries'!D573&lt;'Rules'!$B$16),1,0)</x:f>
        <x:v>0</x:v>
      </x:c>
      <x:c r="G573" s="16" t="n">
        <x:v>1</x:v>
      </x:c>
      <x:c r="H573" s="16" t="n">
        <x:v>1</x:v>
      </x:c>
      <x:c r="I573" s="16" t="n">
        <x:f>ROUND((B573*'Rules'!$B$6+C573/'Rules'!$B$12*'Rules'!$B$7+D573*'Rules'!$B$8+E573*'Rules'!$B$9+F573*'Rules'!$B$10+G573*'Rules'!$B$11)*H573,1)</x:f>
        <x:v>72.1</x:v>
      </x:c>
      <x:c r="J573" s="18" t="n">
        <x:f>'Queries'!C573*'Queries'!E573</x:f>
        <x:v>523.94</x:v>
      </x:c>
    </x:row>
    <x:row r="574" ht="32" customHeight="1">
      <x:c r="A574" s="6" t="str">
        <x:v>bentley transmission repair dubai</x:v>
      </x:c>
      <x:c r="B574" s="16" t="n">
        <x:v>1</x:v>
      </x:c>
      <x:c r="C574" s="16" t="n">
        <x:v>5</x:v>
      </x:c>
      <x:c r="D574" s="16" t="n">
        <x:f>IF('Queries'!E574&lt;='Rules'!$B$17,'Rules'!$B$21,IF('Queries'!E574&lt;='Rules'!$B$18,'Rules'!$B$22,IF('Queries'!E574&lt;='Rules'!$B$19,'Rules'!$B$23,IF('Queries'!E574&lt;='Rules'!$B$20,'Rules'!$B$24,'Rules'!$B$25))))</x:f>
        <x:v>0.7</x:v>
      </x:c>
      <x:c r="E574" s="16" t="n">
        <x:f>MIN(LOG10(1+'Queries'!C574)/'Rules'!$B$13,1)</x:f>
        <x:v>0.46007041390387</x:v>
      </x:c>
      <x:c r="F574" s="16" t="n">
        <x:f>IF(AND('Queries'!E574&lt;='Rules'!$B$15,'Queries'!C574&gt;='Rules'!$B$14,'Queries'!D574&lt;'Rules'!$B$16),1,0)</x:f>
        <x:v>0</x:v>
      </x:c>
      <x:c r="G574" s="16" t="n">
        <x:v>1</x:v>
      </x:c>
      <x:c r="H574" s="16" t="n">
        <x:v>1</x:v>
      </x:c>
      <x:c r="I574" s="16" t="n">
        <x:f>ROUND((B574*'Rules'!$B$6+C574/'Rules'!$B$12*'Rules'!$B$7+D574*'Rules'!$B$8+E574*'Rules'!$B$9+F574*'Rules'!$B$10+G574*'Rules'!$B$11)*H574,1)</x:f>
        <x:v>77.1</x:v>
      </x:c>
      <x:c r="J574" s="18" t="n">
        <x:f>'Queries'!C574*'Queries'!E574</x:f>
        <x:v>557.06</x:v>
      </x:c>
    </x:row>
    <x:row r="575" ht="32" customHeight="1">
      <x:c r="A575" s="6" t="str">
        <x:v>pagani repair dubai</x:v>
      </x:c>
      <x:c r="B575" s="16" t="n">
        <x:v>1</x:v>
      </x:c>
      <x:c r="C575" s="16" t="n">
        <x:v>5</x:v>
      </x:c>
      <x:c r="D575" s="16" t="n">
        <x:f>IF('Queries'!E575&lt;='Rules'!$B$17,'Rules'!$B$21,IF('Queries'!E575&lt;='Rules'!$B$18,'Rules'!$B$22,IF('Queries'!E575&lt;='Rules'!$B$19,'Rules'!$B$23,IF('Queries'!E575&lt;='Rules'!$B$20,'Rules'!$B$24,'Rules'!$B$25))))</x:f>
        <x:v>0.7</x:v>
      </x:c>
      <x:c r="E575" s="16" t="n">
        <x:f>MIN(LOG10(1+'Queries'!C575)/'Rules'!$B$13,1)</x:f>
        <x:v>0.46007041390387</x:v>
      </x:c>
      <x:c r="F575" s="16" t="n">
        <x:f>IF(AND('Queries'!E575&lt;='Rules'!$B$15,'Queries'!C575&gt;='Rules'!$B$14,'Queries'!D575&lt;'Rules'!$B$16),1,0)</x:f>
        <x:v>0</x:v>
      </x:c>
      <x:c r="G575" s="16" t="n">
        <x:v>1</x:v>
      </x:c>
      <x:c r="H575" s="16" t="n">
        <x:v>1</x:v>
      </x:c>
      <x:c r="I575" s="16" t="n">
        <x:f>ROUND((B575*'Rules'!$B$6+C575/'Rules'!$B$12*'Rules'!$B$7+D575*'Rules'!$B$8+E575*'Rules'!$B$9+F575*'Rules'!$B$10+G575*'Rules'!$B$11)*H575,1)</x:f>
        <x:v>77.1</x:v>
      </x:c>
      <x:c r="J575" s="18" t="n">
        <x:f>'Queries'!C575*'Queries'!E575</x:f>
        <x:v>635.03</x:v>
      </x:c>
    </x:row>
    <x:row r="576" ht="32" customHeight="1">
      <x:c r="A576" s="6" t="str">
        <x:v>automotive solutions</x:v>
      </x:c>
      <x:c r="B576" s="16" t="n">
        <x:v>0.8</x:v>
      </x:c>
      <x:c r="C576" s="16" t="n">
        <x:v>3</x:v>
      </x:c>
      <x:c r="D576" s="16" t="n">
        <x:f>IF('Queries'!E576&lt;='Rules'!$B$17,'Rules'!$B$21,IF('Queries'!E576&lt;='Rules'!$B$18,'Rules'!$B$22,IF('Queries'!E576&lt;='Rules'!$B$19,'Rules'!$B$23,IF('Queries'!E576&lt;='Rules'!$B$20,'Rules'!$B$24,'Rules'!$B$25))))</x:f>
        <x:v>0.7</x:v>
      </x:c>
      <x:c r="E576" s="16" t="n">
        <x:f>MIN(LOG10(1+'Queries'!C576)/'Rules'!$B$13,1)</x:f>
        <x:v>0.46007041390387</x:v>
      </x:c>
      <x:c r="F576" s="16" t="n">
        <x:f>IF(AND('Queries'!E576&lt;='Rules'!$B$15,'Queries'!C576&gt;='Rules'!$B$14,'Queries'!D576&lt;'Rules'!$B$16),1,0)</x:f>
        <x:v>0</x:v>
      </x:c>
      <x:c r="G576" s="16" t="n">
        <x:v>1</x:v>
      </x:c>
      <x:c r="H576" s="16" t="n">
        <x:v>1</x:v>
      </x:c>
      <x:c r="I576" s="16" t="n">
        <x:f>ROUND((B576*'Rules'!$B$6+C576/'Rules'!$B$12*'Rules'!$B$7+D576*'Rules'!$B$8+E576*'Rules'!$B$9+F576*'Rules'!$B$10+G576*'Rules'!$B$11)*H576,1)</x:f>
        <x:v>64.1</x:v>
      </x:c>
      <x:c r="J576" s="18" t="n">
        <x:f>'Queries'!C576*'Queries'!E576</x:f>
        <x:v>646.07</x:v>
      </x:c>
    </x:row>
    <x:row r="577" ht="32" customHeight="1">
      <x:c r="A577" s="6" t="str">
        <x:v>car diagnostics dubai</x:v>
      </x:c>
      <x:c r="B577" s="16" t="n">
        <x:v>1</x:v>
      </x:c>
      <x:c r="C577" s="16" t="n">
        <x:v>3</x:v>
      </x:c>
      <x:c r="D577" s="16" t="n">
        <x:f>IF('Queries'!E577&lt;='Rules'!$B$17,'Rules'!$B$21,IF('Queries'!E577&lt;='Rules'!$B$18,'Rules'!$B$22,IF('Queries'!E577&lt;='Rules'!$B$19,'Rules'!$B$23,IF('Queries'!E577&lt;='Rules'!$B$20,'Rules'!$B$24,'Rules'!$B$25))))</x:f>
        <x:v>0.4</x:v>
      </x:c>
      <x:c r="E577" s="16" t="n">
        <x:f>MIN(LOG10(1+'Queries'!C577)/'Rules'!$B$13,1)</x:f>
        <x:v>0.46007041390387</x:v>
      </x:c>
      <x:c r="F577" s="16" t="n">
        <x:f>IF(AND('Queries'!E577&lt;='Rules'!$B$15,'Queries'!C577&gt;='Rules'!$B$14,'Queries'!D577&lt;'Rules'!$B$16),1,0)</x:f>
        <x:v>0</x:v>
      </x:c>
      <x:c r="G577" s="16" t="n">
        <x:v>1</x:v>
      </x:c>
      <x:c r="H577" s="16" t="n">
        <x:v>1</x:v>
      </x:c>
      <x:c r="I577" s="16" t="n">
        <x:f>ROUND((B577*'Rules'!$B$6+C577/'Rules'!$B$12*'Rules'!$B$7+D577*'Rules'!$B$8+E577*'Rules'!$B$9+F577*'Rules'!$B$10+G577*'Rules'!$B$11)*H577,1)</x:f>
        <x:v>61.6</x:v>
      </x:c>
      <x:c r="J577" s="18" t="n">
        <x:f>'Queries'!C577*'Queries'!E577</x:f>
        <x:v>776.94</x:v>
      </x:c>
    </x:row>
    <x:row r="578" ht="32" customHeight="1">
      <x:c r="A578" s="6" t="str">
        <x:v>volvo repair dubai</x:v>
      </x:c>
      <x:c r="B578" s="16" t="n">
        <x:v>1</x:v>
      </x:c>
      <x:c r="C578" s="16" t="n">
        <x:v>3</x:v>
      </x:c>
      <x:c r="D578" s="16" t="n">
        <x:f>IF('Queries'!E578&lt;='Rules'!$B$17,'Rules'!$B$21,IF('Queries'!E578&lt;='Rules'!$B$18,'Rules'!$B$22,IF('Queries'!E578&lt;='Rules'!$B$19,'Rules'!$B$23,IF('Queries'!E578&lt;='Rules'!$B$20,'Rules'!$B$24,'Rules'!$B$25))))</x:f>
        <x:v>0.4</x:v>
      </x:c>
      <x:c r="E578" s="16" t="n">
        <x:f>MIN(LOG10(1+'Queries'!C578)/'Rules'!$B$13,1)</x:f>
        <x:v>0.46007041390387</x:v>
      </x:c>
      <x:c r="F578" s="16" t="n">
        <x:f>IF(AND('Queries'!E578&lt;='Rules'!$B$15,'Queries'!C578&gt;='Rules'!$B$14,'Queries'!D578&lt;'Rules'!$B$16),1,0)</x:f>
        <x:v>0</x:v>
      </x:c>
      <x:c r="G578" s="16" t="n">
        <x:v>1</x:v>
      </x:c>
      <x:c r="H578" s="16" t="n">
        <x:v>1</x:v>
      </x:c>
      <x:c r="I578" s="16" t="n">
        <x:f>ROUND((B578*'Rules'!$B$6+C578/'Rules'!$B$12*'Rules'!$B$7+D578*'Rules'!$B$8+E578*'Rules'!$B$9+F578*'Rules'!$B$10+G578*'Rules'!$B$11)*H578,1)</x:f>
        <x:v>61.6</x:v>
      </x:c>
      <x:c r="J578" s="18" t="n">
        <x:f>'Queries'!C578*'Queries'!E578</x:f>
        <x:v>807.99</x:v>
      </x:c>
    </x:row>
    <x:row r="579" ht="32" customHeight="1">
      <x:c r="A579" s="6" t="str">
        <x:v>tire service dubai</x:v>
      </x:c>
      <x:c r="B579" s="16" t="n">
        <x:v>1</x:v>
      </x:c>
      <x:c r="C579" s="16" t="n">
        <x:v>2</x:v>
      </x:c>
      <x:c r="D579" s="16" t="n">
        <x:f>IF('Queries'!E579&lt;='Rules'!$B$17,'Rules'!$B$21,IF('Queries'!E579&lt;='Rules'!$B$18,'Rules'!$B$22,IF('Queries'!E579&lt;='Rules'!$B$19,'Rules'!$B$23,IF('Queries'!E579&lt;='Rules'!$B$20,'Rules'!$B$24,'Rules'!$B$25))))</x:f>
        <x:v>0.4</x:v>
      </x:c>
      <x:c r="E579" s="16" t="n">
        <x:f>MIN(LOG10(1+'Queries'!C579)/'Rules'!$B$13,1)</x:f>
        <x:v>0.46007041390387</x:v>
      </x:c>
      <x:c r="F579" s="16" t="n">
        <x:f>IF(AND('Queries'!E579&lt;='Rules'!$B$15,'Queries'!C579&gt;='Rules'!$B$14,'Queries'!D579&lt;'Rules'!$B$16),1,0)</x:f>
        <x:v>0</x:v>
      </x:c>
      <x:c r="G579" s="16" t="n">
        <x:v>1</x:v>
      </x:c>
      <x:c r="H579" s="16" t="n">
        <x:v>1</x:v>
      </x:c>
      <x:c r="I579" s="16" t="n">
        <x:f>ROUND((B579*'Rules'!$B$6+C579/'Rules'!$B$12*'Rules'!$B$7+D579*'Rules'!$B$8+E579*'Rules'!$B$9+F579*'Rules'!$B$10+G579*'Rules'!$B$11)*H579,1)</x:f>
        <x:v>57.6</x:v>
      </x:c>
      <x:c r="J579" s="18" t="n">
        <x:f>'Queries'!C579*'Queries'!E579</x:f>
        <x:v>822.0200000000001</x:v>
      </x:c>
    </x:row>
    <x:row r="580" ht="32" customHeight="1">
      <x:c r="A580" s="6" t="str">
        <x:v>volkswagen repair in dubai</x:v>
      </x:c>
      <x:c r="B580" s="16" t="n">
        <x:v>1</x:v>
      </x:c>
      <x:c r="C580" s="16" t="n">
        <x:v>3</x:v>
      </x:c>
      <x:c r="D580" s="16" t="n">
        <x:f>IF('Queries'!E580&lt;='Rules'!$B$17,'Rules'!$B$21,IF('Queries'!E580&lt;='Rules'!$B$18,'Rules'!$B$22,IF('Queries'!E580&lt;='Rules'!$B$19,'Rules'!$B$23,IF('Queries'!E580&lt;='Rules'!$B$20,'Rules'!$B$24,'Rules'!$B$25))))</x:f>
        <x:v>0.4</x:v>
      </x:c>
      <x:c r="E580" s="16" t="n">
        <x:f>MIN(LOG10(1+'Queries'!C580)/'Rules'!$B$13,1)</x:f>
        <x:v>0.46007041390387</x:v>
      </x:c>
      <x:c r="F580" s="16" t="n">
        <x:f>IF(AND('Queries'!E580&lt;='Rules'!$B$15,'Queries'!C580&gt;='Rules'!$B$14,'Queries'!D580&lt;'Rules'!$B$16),1,0)</x:f>
        <x:v>0</x:v>
      </x:c>
      <x:c r="G580" s="16" t="n">
        <x:v>1</x:v>
      </x:c>
      <x:c r="H580" s="16" t="n">
        <x:v>1</x:v>
      </x:c>
      <x:c r="I580" s="16" t="n">
        <x:f>ROUND((B580*'Rules'!$B$6+C580/'Rules'!$B$12*'Rules'!$B$7+D580*'Rules'!$B$8+E580*'Rules'!$B$9+F580*'Rules'!$B$10+G580*'Rules'!$B$11)*H580,1)</x:f>
        <x:v>61.6</x:v>
      </x:c>
      <x:c r="J580" s="18" t="n">
        <x:f>'Queries'!C580*'Queries'!E580</x:f>
        <x:v>836.0500000000001</x:v>
      </x:c>
    </x:row>
    <x:row r="581" ht="32" customHeight="1">
      <x:c r="A581" s="6" t="str">
        <x:v>ford repair dubai</x:v>
      </x:c>
      <x:c r="B581" s="16" t="n">
        <x:v>1</x:v>
      </x:c>
      <x:c r="C581" s="16" t="n">
        <x:v>3</x:v>
      </x:c>
      <x:c r="D581" s="16" t="n">
        <x:f>IF('Queries'!E581&lt;='Rules'!$B$17,'Rules'!$B$21,IF('Queries'!E581&lt;='Rules'!$B$18,'Rules'!$B$22,IF('Queries'!E581&lt;='Rules'!$B$19,'Rules'!$B$23,IF('Queries'!E581&lt;='Rules'!$B$20,'Rules'!$B$24,'Rules'!$B$25))))</x:f>
        <x:v>0.4</x:v>
      </x:c>
      <x:c r="E581" s="16" t="n">
        <x:f>MIN(LOG10(1+'Queries'!C581)/'Rules'!$B$13,1)</x:f>
        <x:v>0.46007041390387</x:v>
      </x:c>
      <x:c r="F581" s="16" t="n">
        <x:f>IF(AND('Queries'!E581&lt;='Rules'!$B$15,'Queries'!C581&gt;='Rules'!$B$14,'Queries'!D581&lt;'Rules'!$B$16),1,0)</x:f>
        <x:v>0</x:v>
      </x:c>
      <x:c r="G581" s="16" t="n">
        <x:v>1</x:v>
      </x:c>
      <x:c r="H581" s="16" t="n">
        <x:v>1</x:v>
      </x:c>
      <x:c r="I581" s="16" t="n">
        <x:f>ROUND((B581*'Rules'!$B$6+C581/'Rules'!$B$12*'Rules'!$B$7+D581*'Rules'!$B$8+E581*'Rules'!$B$9+F581*'Rules'!$B$10+G581*'Rules'!$B$11)*H581,1)</x:f>
        <x:v>61.6</x:v>
      </x:c>
      <x:c r="J581" s="18" t="n">
        <x:f>'Queries'!C581*'Queries'!E581</x:f>
        <x:v>868.94</x:v>
      </x:c>
    </x:row>
    <x:row r="582" ht="32" customHeight="1">
      <x:c r="A582" s="6" t="str">
        <x:v>volkswagen service center dubai</x:v>
      </x:c>
      <x:c r="B582" s="16" t="n">
        <x:v>1</x:v>
      </x:c>
      <x:c r="C582" s="16" t="n">
        <x:v>3</x:v>
      </x:c>
      <x:c r="D582" s="16" t="n">
        <x:f>IF('Queries'!E582&lt;='Rules'!$B$17,'Rules'!$B$21,IF('Queries'!E582&lt;='Rules'!$B$18,'Rules'!$B$22,IF('Queries'!E582&lt;='Rules'!$B$19,'Rules'!$B$23,IF('Queries'!E582&lt;='Rules'!$B$20,'Rules'!$B$24,'Rules'!$B$25))))</x:f>
        <x:v>0.15</x:v>
      </x:c>
      <x:c r="E582" s="16" t="n">
        <x:f>MIN(LOG10(1+'Queries'!C582)/'Rules'!$B$13,1)</x:f>
        <x:v>0.46007041390387</x:v>
      </x:c>
      <x:c r="F582" s="16" t="n">
        <x:f>IF(AND('Queries'!E582&lt;='Rules'!$B$15,'Queries'!C582&gt;='Rules'!$B$14,'Queries'!D582&lt;'Rules'!$B$16),1,0)</x:f>
        <x:v>0</x:v>
      </x:c>
      <x:c r="G582" s="16" t="n">
        <x:v>1</x:v>
      </x:c>
      <x:c r="H582" s="16" t="n">
        <x:v>1</x:v>
      </x:c>
      <x:c r="I582" s="16" t="n">
        <x:f>ROUND((B582*'Rules'!$B$6+C582/'Rules'!$B$12*'Rules'!$B$7+D582*'Rules'!$B$8+E582*'Rules'!$B$9+F582*'Rules'!$B$10+G582*'Rules'!$B$11)*H582,1)</x:f>
        <x:v>55.4</x:v>
      </x:c>
      <x:c r="J582" s="18" t="n">
        <x:f>'Queries'!C582*'Queries'!E582</x:f>
        <x:v>951.0500000000001</x:v>
      </x:c>
    </x:row>
    <x:row r="583" ht="32" customHeight="1">
      <x:c r="A583" s="6" t="str">
        <x:v>chrysler satin al dubai</x:v>
      </x:c>
      <x:c r="B583" s="16" t="n">
        <x:v>0</x:v>
      </x:c>
      <x:c r="C583" s="16" t="n">
        <x:v>0</x:v>
      </x:c>
      <x:c r="D583" s="16" t="n">
        <x:f>IF('Queries'!E583&lt;='Rules'!$B$17,'Rules'!$B$21,IF('Queries'!E583&lt;='Rules'!$B$18,'Rules'!$B$22,IF('Queries'!E583&lt;='Rules'!$B$19,'Rules'!$B$23,IF('Queries'!E583&lt;='Rules'!$B$20,'Rules'!$B$24,'Rules'!$B$25))))</x:f>
        <x:v>0.15</x:v>
      </x:c>
      <x:c r="E583" s="16" t="n">
        <x:f>MIN(LOG10(1+'Queries'!C583)/'Rules'!$B$13,1)</x:f>
        <x:v>0.46007041390387</x:v>
      </x:c>
      <x:c r="F583" s="16" t="n">
        <x:f>IF(AND('Queries'!E583&lt;='Rules'!$B$15,'Queries'!C583&gt;='Rules'!$B$14,'Queries'!D583&lt;'Rules'!$B$16),1,0)</x:f>
        <x:v>0</x:v>
      </x:c>
      <x:c r="G583" s="16" t="n">
        <x:v>0</x:v>
      </x:c>
      <x:c r="H583" s="16" t="n">
        <x:v>0</x:v>
      </x:c>
      <x:c r="I583" s="16" t="n">
        <x:f>ROUND((B583*'Rules'!$B$6+C583/'Rules'!$B$12*'Rules'!$B$7+D583*'Rules'!$B$8+E583*'Rules'!$B$9+F583*'Rules'!$B$10+G583*'Rules'!$B$11)*H583,1)</x:f>
        <x:v>0</x:v>
      </x:c>
      <x:c r="J583" s="18" t="n">
        <x:f>'Queries'!C583*'Queries'!E583</x:f>
        <x:v>951.97</x:v>
      </x:c>
    </x:row>
    <x:row r="584" ht="32" customHeight="1">
      <x:c r="A584" s="6" t="str">
        <x:v>porsche carrera service dubai</x:v>
      </x:c>
      <x:c r="B584" s="16" t="n">
        <x:v>1</x:v>
      </x:c>
      <x:c r="C584" s="16" t="n">
        <x:v>5</x:v>
      </x:c>
      <x:c r="D584" s="16" t="n">
        <x:f>IF('Queries'!E584&lt;='Rules'!$B$17,'Rules'!$B$21,IF('Queries'!E584&lt;='Rules'!$B$18,'Rules'!$B$22,IF('Queries'!E584&lt;='Rules'!$B$19,'Rules'!$B$23,IF('Queries'!E584&lt;='Rules'!$B$20,'Rules'!$B$24,'Rules'!$B$25))))</x:f>
        <x:v>0.15</x:v>
      </x:c>
      <x:c r="E584" s="16" t="n">
        <x:f>MIN(LOG10(1+'Queries'!C584)/'Rules'!$B$13,1)</x:f>
        <x:v>0.46007041390387</x:v>
      </x:c>
      <x:c r="F584" s="16" t="n">
        <x:f>IF(AND('Queries'!E584&lt;='Rules'!$B$15,'Queries'!C584&gt;='Rules'!$B$14,'Queries'!D584&lt;'Rules'!$B$16),1,0)</x:f>
        <x:v>0</x:v>
      </x:c>
      <x:c r="G584" s="16" t="n">
        <x:v>1</x:v>
      </x:c>
      <x:c r="H584" s="16" t="n">
        <x:v>1</x:v>
      </x:c>
      <x:c r="I584" s="16" t="n">
        <x:f>ROUND((B584*'Rules'!$B$6+C584/'Rules'!$B$12*'Rules'!$B$7+D584*'Rules'!$B$8+E584*'Rules'!$B$9+F584*'Rules'!$B$10+G584*'Rules'!$B$11)*H584,1)</x:f>
        <x:v>63.4</x:v>
      </x:c>
      <x:c r="J584" s="18" t="n">
        <x:f>'Queries'!C584*'Queries'!E584</x:f>
        <x:v>994.9799999999999</x:v>
      </x:c>
    </x:row>
    <x:row r="585" ht="32" customHeight="1">
      <x:c r="A585" s="6" t="str">
        <x:v>nissan service centers near me</x:v>
      </x:c>
      <x:c r="B585" s="16" t="n">
        <x:v>1</x:v>
      </x:c>
      <x:c r="C585" s="16" t="n">
        <x:v>3</x:v>
      </x:c>
      <x:c r="D585" s="16" t="n">
        <x:f>IF('Queries'!E585&lt;='Rules'!$B$17,'Rules'!$B$21,IF('Queries'!E585&lt;='Rules'!$B$18,'Rules'!$B$22,IF('Queries'!E585&lt;='Rules'!$B$19,'Rules'!$B$23,IF('Queries'!E585&lt;='Rules'!$B$20,'Rules'!$B$24,'Rules'!$B$25))))</x:f>
        <x:v>0.15</x:v>
      </x:c>
      <x:c r="E585" s="16" t="n">
        <x:f>MIN(LOG10(1+'Queries'!C585)/'Rules'!$B$13,1)</x:f>
        <x:v>0.46007041390387</x:v>
      </x:c>
      <x:c r="F585" s="16" t="n">
        <x:f>IF(AND('Queries'!E585&lt;='Rules'!$B$15,'Queries'!C585&gt;='Rules'!$B$14,'Queries'!D585&lt;'Rules'!$B$16),1,0)</x:f>
        <x:v>0</x:v>
      </x:c>
      <x:c r="G585" s="16" t="n">
        <x:v>1</x:v>
      </x:c>
      <x:c r="H585" s="16" t="n">
        <x:v>1</x:v>
      </x:c>
      <x:c r="I585" s="16" t="n">
        <x:f>ROUND((B585*'Rules'!$B$6+C585/'Rules'!$B$12*'Rules'!$B$7+D585*'Rules'!$B$8+E585*'Rules'!$B$9+F585*'Rules'!$B$10+G585*'Rules'!$B$11)*H585,1)</x:f>
        <x:v>55.4</x:v>
      </x:c>
      <x:c r="J585" s="18" t="n">
        <x:f>'Queries'!C585*'Queries'!E585</x:f>
        <x:v>1008.0899999999999</x:v>
      </x:c>
    </x:row>
    <x:row r="586" ht="32" customHeight="1">
      <x:c r="A586" s="6" t="str">
        <x:v>gear box dubai</x:v>
      </x:c>
      <x:c r="B586" s="16" t="n">
        <x:v>1</x:v>
      </x:c>
      <x:c r="C586" s="16" t="n">
        <x:v>2</x:v>
      </x:c>
      <x:c r="D586" s="16" t="n">
        <x:f>IF('Queries'!E586&lt;='Rules'!$B$17,'Rules'!$B$21,IF('Queries'!E586&lt;='Rules'!$B$18,'Rules'!$B$22,IF('Queries'!E586&lt;='Rules'!$B$19,'Rules'!$B$23,IF('Queries'!E586&lt;='Rules'!$B$20,'Rules'!$B$24,'Rules'!$B$25))))</x:f>
        <x:v>0.15</x:v>
      </x:c>
      <x:c r="E586" s="16" t="n">
        <x:f>MIN(LOG10(1+'Queries'!C586)/'Rules'!$B$13,1)</x:f>
        <x:v>0.46007041390387</x:v>
      </x:c>
      <x:c r="F586" s="16" t="n">
        <x:f>IF(AND('Queries'!E586&lt;='Rules'!$B$15,'Queries'!C586&gt;='Rules'!$B$14,'Queries'!D586&lt;'Rules'!$B$16),1,0)</x:f>
        <x:v>0</x:v>
      </x:c>
      <x:c r="G586" s="16" t="n">
        <x:v>1</x:v>
      </x:c>
      <x:c r="H586" s="16" t="n">
        <x:v>0.65</x:v>
      </x:c>
      <x:c r="I586" s="16" t="n">
        <x:f>ROUND((B586*'Rules'!$B$6+C586/'Rules'!$B$12*'Rules'!$B$7+D586*'Rules'!$B$8+E586*'Rules'!$B$9+F586*'Rules'!$B$10+G586*'Rules'!$B$11)*H586,1)</x:f>
        <x:v>33.4</x:v>
      </x:c>
      <x:c r="J586" s="18" t="n">
        <x:f>'Queries'!C586*'Queries'!E586</x:f>
        <x:v>1075.02</x:v>
      </x:c>
    </x:row>
    <x:row r="587" ht="32" customHeight="1">
      <x:c r="A587" s="6" t="str">
        <x:v>ecu repair dubai</x:v>
      </x:c>
      <x:c r="B587" s="16" t="n">
        <x:v>1</x:v>
      </x:c>
      <x:c r="C587" s="16" t="n">
        <x:v>3</x:v>
      </x:c>
      <x:c r="D587" s="16" t="n">
        <x:f>IF('Queries'!E587&lt;='Rules'!$B$17,'Rules'!$B$21,IF('Queries'!E587&lt;='Rules'!$B$18,'Rules'!$B$22,IF('Queries'!E587&lt;='Rules'!$B$19,'Rules'!$B$23,IF('Queries'!E587&lt;='Rules'!$B$20,'Rules'!$B$24,'Rules'!$B$25))))</x:f>
        <x:v>0.15</x:v>
      </x:c>
      <x:c r="E587" s="16" t="n">
        <x:f>MIN(LOG10(1+'Queries'!C587)/'Rules'!$B$13,1)</x:f>
        <x:v>0.46007041390387</x:v>
      </x:c>
      <x:c r="F587" s="16" t="n">
        <x:f>IF(AND('Queries'!E587&lt;='Rules'!$B$15,'Queries'!C587&gt;='Rules'!$B$14,'Queries'!D587&lt;'Rules'!$B$16),1,0)</x:f>
        <x:v>0</x:v>
      </x:c>
      <x:c r="G587" s="16" t="n">
        <x:v>1</x:v>
      </x:c>
      <x:c r="H587" s="16" t="n">
        <x:v>1</x:v>
      </x:c>
      <x:c r="I587" s="16" t="n">
        <x:f>ROUND((B587*'Rules'!$B$6+C587/'Rules'!$B$12*'Rules'!$B$7+D587*'Rules'!$B$8+E587*'Rules'!$B$9+F587*'Rules'!$B$10+G587*'Rules'!$B$11)*H587,1)</x:f>
        <x:v>55.4</x:v>
      </x:c>
      <x:c r="J587" s="18" t="n">
        <x:f>'Queries'!C587*'Queries'!E587</x:f>
        <x:v>1086.98</x:v>
      </x:c>
    </x:row>
    <x:row r="588" ht="32" customHeight="1">
      <x:c r="A588" s="6" t="str">
        <x:v>brake motors dubai</x:v>
      </x:c>
      <x:c r="B588" s="16" t="n">
        <x:v>0</x:v>
      </x:c>
      <x:c r="C588" s="16" t="n">
        <x:v>0</x:v>
      </x:c>
      <x:c r="D588" s="16" t="n">
        <x:f>IF('Queries'!E588&lt;='Rules'!$B$17,'Rules'!$B$21,IF('Queries'!E588&lt;='Rules'!$B$18,'Rules'!$B$22,IF('Queries'!E588&lt;='Rules'!$B$19,'Rules'!$B$23,IF('Queries'!E588&lt;='Rules'!$B$20,'Rules'!$B$24,'Rules'!$B$25))))</x:f>
        <x:v>0.15</x:v>
      </x:c>
      <x:c r="E588" s="16" t="n">
        <x:f>MIN(LOG10(1+'Queries'!C588)/'Rules'!$B$13,1)</x:f>
        <x:v>0.46007041390387</x:v>
      </x:c>
      <x:c r="F588" s="16" t="n">
        <x:f>IF(AND('Queries'!E588&lt;='Rules'!$B$15,'Queries'!C588&gt;='Rules'!$B$14,'Queries'!D588&lt;'Rules'!$B$16),1,0)</x:f>
        <x:v>0</x:v>
      </x:c>
      <x:c r="G588" s="16" t="n">
        <x:v>0</x:v>
      </x:c>
      <x:c r="H588" s="16" t="n">
        <x:v>0</x:v>
      </x:c>
      <x:c r="I588" s="16" t="n">
        <x:f>ROUND((B588*'Rules'!$B$6+C588/'Rules'!$B$12*'Rules'!$B$7+D588*'Rules'!$B$8+E588*'Rules'!$B$9+F588*'Rules'!$B$10+G588*'Rules'!$B$11)*H588,1)</x:f>
        <x:v>0</x:v>
      </x:c>
      <x:c r="J588" s="18" t="n">
        <x:f>'Queries'!C588*'Queries'!E588</x:f>
        <x:v>1113.89</x:v>
      </x:c>
    </x:row>
    <x:row r="589" ht="32" customHeight="1">
      <x:c r="A589" s="6" t="str">
        <x:v>lamborghini suspension repair</x:v>
      </x:c>
      <x:c r="B589" s="16" t="n">
        <x:v>0.8</x:v>
      </x:c>
      <x:c r="C589" s="16" t="n">
        <x:v>5</x:v>
      </x:c>
      <x:c r="D589" s="16" t="n">
        <x:f>IF('Queries'!E589&lt;='Rules'!$B$17,'Rules'!$B$21,IF('Queries'!E589&lt;='Rules'!$B$18,'Rules'!$B$22,IF('Queries'!E589&lt;='Rules'!$B$19,'Rules'!$B$23,IF('Queries'!E589&lt;='Rules'!$B$20,'Rules'!$B$24,'Rules'!$B$25))))</x:f>
        <x:v>0.15</x:v>
      </x:c>
      <x:c r="E589" s="16" t="n">
        <x:f>MIN(LOG10(1+'Queries'!C589)/'Rules'!$B$13,1)</x:f>
        <x:v>0.46007041390387</x:v>
      </x:c>
      <x:c r="F589" s="16" t="n">
        <x:f>IF(AND('Queries'!E589&lt;='Rules'!$B$15,'Queries'!C589&gt;='Rules'!$B$14,'Queries'!D589&lt;'Rules'!$B$16),1,0)</x:f>
        <x:v>0</x:v>
      </x:c>
      <x:c r="G589" s="16" t="n">
        <x:v>1</x:v>
      </x:c>
      <x:c r="H589" s="16" t="n">
        <x:v>1</x:v>
      </x:c>
      <x:c r="I589" s="16" t="n">
        <x:f>ROUND((B589*'Rules'!$B$6+C589/'Rules'!$B$12*'Rules'!$B$7+D589*'Rules'!$B$8+E589*'Rules'!$B$9+F589*'Rules'!$B$10+G589*'Rules'!$B$11)*H589,1)</x:f>
        <x:v>58.4</x:v>
      </x:c>
      <x:c r="J589" s="18" t="n">
        <x:f>'Queries'!C589*'Queries'!E589</x:f>
        <x:v>1175.0700000000002</x:v>
      </x:c>
    </x:row>
    <x:row r="590" ht="32" customHeight="1">
      <x:c r="A590" s="6" t="str">
        <x:v>replace car battery dubai</x:v>
      </x:c>
      <x:c r="B590" s="16" t="n">
        <x:v>1</x:v>
      </x:c>
      <x:c r="C590" s="16" t="n">
        <x:v>3</x:v>
      </x:c>
      <x:c r="D590" s="16" t="n">
        <x:f>IF('Queries'!E590&lt;='Rules'!$B$17,'Rules'!$B$21,IF('Queries'!E590&lt;='Rules'!$B$18,'Rules'!$B$22,IF('Queries'!E590&lt;='Rules'!$B$19,'Rules'!$B$23,IF('Queries'!E590&lt;='Rules'!$B$20,'Rules'!$B$24,'Rules'!$B$25))))</x:f>
        <x:v>0.15</x:v>
      </x:c>
      <x:c r="E590" s="16" t="n">
        <x:f>MIN(LOG10(1+'Queries'!C590)/'Rules'!$B$13,1)</x:f>
        <x:v>0.46007041390387</x:v>
      </x:c>
      <x:c r="F590" s="16" t="n">
        <x:f>IF(AND('Queries'!E590&lt;='Rules'!$B$15,'Queries'!C590&gt;='Rules'!$B$14,'Queries'!D590&lt;'Rules'!$B$16),1,0)</x:f>
        <x:v>0</x:v>
      </x:c>
      <x:c r="G590" s="16" t="n">
        <x:v>1</x:v>
      </x:c>
      <x:c r="H590" s="16" t="n">
        <x:v>1</x:v>
      </x:c>
      <x:c r="I590" s="16" t="n">
        <x:f>ROUND((B590*'Rules'!$B$6+C590/'Rules'!$B$12*'Rules'!$B$7+D590*'Rules'!$B$8+E590*'Rules'!$B$9+F590*'Rules'!$B$10+G590*'Rules'!$B$11)*H590,1)</x:f>
        <x:v>55.4</x:v>
      </x:c>
      <x:c r="J590" s="18" t="n">
        <x:f>'Queries'!C590*'Queries'!E590</x:f>
        <x:v>1233.95</x:v>
      </x:c>
    </x:row>
    <x:row r="591" ht="32" customHeight="1">
      <x:c r="A591" s="6" t="str">
        <x:v>car film protection</x:v>
      </x:c>
      <x:c r="B591" s="16" t="n">
        <x:v>0.8</x:v>
      </x:c>
      <x:c r="C591" s="16" t="n">
        <x:v>5</x:v>
      </x:c>
      <x:c r="D591" s="16" t="n">
        <x:f>IF('Queries'!E591&lt;='Rules'!$B$17,'Rules'!$B$21,IF('Queries'!E591&lt;='Rules'!$B$18,'Rules'!$B$22,IF('Queries'!E591&lt;='Rules'!$B$19,'Rules'!$B$23,IF('Queries'!E591&lt;='Rules'!$B$20,'Rules'!$B$24,'Rules'!$B$25))))</x:f>
        <x:v>0.15</x:v>
      </x:c>
      <x:c r="E591" s="16" t="n">
        <x:f>MIN(LOG10(1+'Queries'!C591)/'Rules'!$B$13,1)</x:f>
        <x:v>0.46007041390387</x:v>
      </x:c>
      <x:c r="F591" s="16" t="n">
        <x:f>IF(AND('Queries'!E591&lt;='Rules'!$B$15,'Queries'!C591&gt;='Rules'!$B$14,'Queries'!D591&lt;'Rules'!$B$16),1,0)</x:f>
        <x:v>0</x:v>
      </x:c>
      <x:c r="G591" s="16" t="n">
        <x:v>1</x:v>
      </x:c>
      <x:c r="H591" s="16" t="n">
        <x:v>1</x:v>
      </x:c>
      <x:c r="I591" s="16" t="n">
        <x:f>ROUND((B591*'Rules'!$B$6+C591/'Rules'!$B$12*'Rules'!$B$7+D591*'Rules'!$B$8+E591*'Rules'!$B$9+F591*'Rules'!$B$10+G591*'Rules'!$B$11)*H591,1)</x:f>
        <x:v>58.4</x:v>
      </x:c>
      <x:c r="J591" s="18" t="n">
        <x:f>'Queries'!C591*'Queries'!E591</x:f>
        <x:v>1273.97</x:v>
      </x:c>
    </x:row>
    <x:row r="592" ht="32" customHeight="1">
      <x:c r="A592" s="6" t="str">
        <x:v>car programming</x:v>
      </x:c>
      <x:c r="B592" s="16" t="n">
        <x:v>0.8</x:v>
      </x:c>
      <x:c r="C592" s="16" t="n">
        <x:v>3</x:v>
      </x:c>
      <x:c r="D592" s="16" t="n">
        <x:f>IF('Queries'!E592&lt;='Rules'!$B$17,'Rules'!$B$21,IF('Queries'!E592&lt;='Rules'!$B$18,'Rules'!$B$22,IF('Queries'!E592&lt;='Rules'!$B$19,'Rules'!$B$23,IF('Queries'!E592&lt;='Rules'!$B$20,'Rules'!$B$24,'Rules'!$B$25))))</x:f>
        <x:v>0.15</x:v>
      </x:c>
      <x:c r="E592" s="16" t="n">
        <x:f>MIN(LOG10(1+'Queries'!C592)/'Rules'!$B$13,1)</x:f>
        <x:v>0.46007041390387</x:v>
      </x:c>
      <x:c r="F592" s="16" t="n">
        <x:f>IF(AND('Queries'!E592&lt;='Rules'!$B$15,'Queries'!C592&gt;='Rules'!$B$14,'Queries'!D592&lt;'Rules'!$B$16),1,0)</x:f>
        <x:v>0</x:v>
      </x:c>
      <x:c r="G592" s="16" t="n">
        <x:v>1</x:v>
      </x:c>
      <x:c r="H592" s="16" t="n">
        <x:v>1</x:v>
      </x:c>
      <x:c r="I592" s="16" t="n">
        <x:f>ROUND((B592*'Rules'!$B$6+C592/'Rules'!$B$12*'Rules'!$B$7+D592*'Rules'!$B$8+E592*'Rules'!$B$9+F592*'Rules'!$B$10+G592*'Rules'!$B$11)*H592,1)</x:f>
        <x:v>50.4</x:v>
      </x:c>
      <x:c r="J592" s="18" t="n">
        <x:f>'Queries'!C592*'Queries'!E592</x:f>
        <x:v>1285.01</x:v>
      </x:c>
    </x:row>
    <x:row r="593" ht="32" customHeight="1">
      <x:c r="A593" s="6" t="str">
        <x:v>tyre service dubai</x:v>
      </x:c>
      <x:c r="B593" s="16" t="n">
        <x:v>1</x:v>
      </x:c>
      <x:c r="C593" s="16" t="n">
        <x:v>2</x:v>
      </x:c>
      <x:c r="D593" s="16" t="n">
        <x:f>IF('Queries'!E593&lt;='Rules'!$B$17,'Rules'!$B$21,IF('Queries'!E593&lt;='Rules'!$B$18,'Rules'!$B$22,IF('Queries'!E593&lt;='Rules'!$B$19,'Rules'!$B$23,IF('Queries'!E593&lt;='Rules'!$B$20,'Rules'!$B$24,'Rules'!$B$25))))</x:f>
        <x:v>0.15</x:v>
      </x:c>
      <x:c r="E593" s="16" t="n">
        <x:f>MIN(LOG10(1+'Queries'!C593)/'Rules'!$B$13,1)</x:f>
        <x:v>0.46007041390387</x:v>
      </x:c>
      <x:c r="F593" s="16" t="n">
        <x:f>IF(AND('Queries'!E593&lt;='Rules'!$B$15,'Queries'!C593&gt;='Rules'!$B$14,'Queries'!D593&lt;'Rules'!$B$16),1,0)</x:f>
        <x:v>0</x:v>
      </x:c>
      <x:c r="G593" s="16" t="n">
        <x:v>1</x:v>
      </x:c>
      <x:c r="H593" s="16" t="n">
        <x:v>1</x:v>
      </x:c>
      <x:c r="I593" s="16" t="n">
        <x:f>ROUND((B593*'Rules'!$B$6+C593/'Rules'!$B$12*'Rules'!$B$7+D593*'Rules'!$B$8+E593*'Rules'!$B$9+F593*'Rules'!$B$10+G593*'Rules'!$B$11)*H593,1)</x:f>
        <x:v>51.4</x:v>
      </x:c>
      <x:c r="J593" s="18" t="n">
        <x:f>'Queries'!C593*'Queries'!E593</x:f>
        <x:v>1572.05</x:v>
      </x:c>
    </x:row>
    <x:row r="594" ht="32" customHeight="1">
      <x:c r="A594" s="6" t="str">
        <x:v>car battery life in uae</x:v>
      </x:c>
      <x:c r="B594" s="16" t="n">
        <x:v>0.5</x:v>
      </x:c>
      <x:c r="C594" s="16" t="n">
        <x:v>2</x:v>
      </x:c>
      <x:c r="D594" s="16" t="n">
        <x:f>IF('Queries'!E594&lt;='Rules'!$B$17,'Rules'!$B$21,IF('Queries'!E594&lt;='Rules'!$B$18,'Rules'!$B$22,IF('Queries'!E594&lt;='Rules'!$B$19,'Rules'!$B$23,IF('Queries'!E594&lt;='Rules'!$B$20,'Rules'!$B$24,'Rules'!$B$25))))</x:f>
        <x:v>1</x:v>
      </x:c>
      <x:c r="E594" s="16" t="n">
        <x:f>MIN(LOG10(1+'Queries'!C594)/'Rules'!$B$13,1)</x:f>
        <x:v>0.45390927867253</x:v>
      </x:c>
      <x:c r="F594" s="16" t="n">
        <x:f>IF(AND('Queries'!E594&lt;='Rules'!$B$15,'Queries'!C594&gt;='Rules'!$B$14,'Queries'!D594&lt;'Rules'!$B$16),1,0)</x:f>
        <x:v>1</x:v>
      </x:c>
      <x:c r="G594" s="16" t="n">
        <x:v>1</x:v>
      </x:c>
      <x:c r="H594" s="16" t="n">
        <x:v>0.65</x:v>
      </x:c>
      <x:c r="I594" s="16" t="n">
        <x:f>ROUND((B594*'Rules'!$B$6+C594/'Rules'!$B$12*'Rules'!$B$7+D594*'Rules'!$B$8+E594*'Rules'!$B$9+F594*'Rules'!$B$10+G594*'Rules'!$B$11)*H594,1)</x:f>
        <x:v>45.5</x:v>
      </x:c>
      <x:c r="J594" s="18" t="n">
        <x:f>'Queries'!C594*'Queries'!E594</x:f>
        <x:v>181.06</x:v>
      </x:c>
    </x:row>
    <x:row r="595" ht="32" customHeight="1">
      <x:c r="A595" s="6" t="str">
        <x:v>mercedes tuning</x:v>
      </x:c>
      <x:c r="B595" s="16" t="n">
        <x:v>0.8</x:v>
      </x:c>
      <x:c r="C595" s="16" t="n">
        <x:v>5</x:v>
      </x:c>
      <x:c r="D595" s="16" t="n">
        <x:f>IF('Queries'!E595&lt;='Rules'!$B$17,'Rules'!$B$21,IF('Queries'!E595&lt;='Rules'!$B$18,'Rules'!$B$22,IF('Queries'!E595&lt;='Rules'!$B$19,'Rules'!$B$23,IF('Queries'!E595&lt;='Rules'!$B$20,'Rules'!$B$24,'Rules'!$B$25))))</x:f>
        <x:v>1</x:v>
      </x:c>
      <x:c r="E595" s="16" t="n">
        <x:f>MIN(LOG10(1+'Queries'!C595)/'Rules'!$B$13,1)</x:f>
        <x:v>0.45390927867253</x:v>
      </x:c>
      <x:c r="F595" s="16" t="n">
        <x:f>IF(AND('Queries'!E595&lt;='Rules'!$B$15,'Queries'!C595&gt;='Rules'!$B$14,'Queries'!D595&lt;'Rules'!$B$16),1,0)</x:f>
        <x:v>0</x:v>
      </x:c>
      <x:c r="G595" s="16" t="n">
        <x:v>1</x:v>
      </x:c>
      <x:c r="H595" s="16" t="n">
        <x:v>1</x:v>
      </x:c>
      <x:c r="I595" s="16" t="n">
        <x:f>ROUND((B595*'Rules'!$B$6+C595/'Rules'!$B$12*'Rules'!$B$7+D595*'Rules'!$B$8+E595*'Rules'!$B$9+F595*'Rules'!$B$10+G595*'Rules'!$B$11)*H595,1)</x:f>
        <x:v>79.5</x:v>
      </x:c>
      <x:c r="J595" s="18" t="n">
        <x:f>'Queries'!C595*'Queries'!E595</x:f>
        <x:v>275</x:v>
      </x:c>
    </x:row>
    <x:row r="596" ht="32" customHeight="1">
      <x:c r="A596" s="6" t="str">
        <x:v>mclaren service center dubai</x:v>
      </x:c>
      <x:c r="B596" s="16" t="n">
        <x:v>1</x:v>
      </x:c>
      <x:c r="C596" s="16" t="n">
        <x:v>5</x:v>
      </x:c>
      <x:c r="D596" s="16" t="n">
        <x:f>IF('Queries'!E596&lt;='Rules'!$B$17,'Rules'!$B$21,IF('Queries'!E596&lt;='Rules'!$B$18,'Rules'!$B$22,IF('Queries'!E596&lt;='Rules'!$B$19,'Rules'!$B$23,IF('Queries'!E596&lt;='Rules'!$B$20,'Rules'!$B$24,'Rules'!$B$25))))</x:f>
        <x:v>1</x:v>
      </x:c>
      <x:c r="E596" s="16" t="n">
        <x:f>MIN(LOG10(1+'Queries'!C596)/'Rules'!$B$13,1)</x:f>
        <x:v>0.45390927867253</x:v>
      </x:c>
      <x:c r="F596" s="16" t="n">
        <x:f>IF(AND('Queries'!E596&lt;='Rules'!$B$15,'Queries'!C596&gt;='Rules'!$B$14,'Queries'!D596&lt;'Rules'!$B$16),1,0)</x:f>
        <x:v>0</x:v>
      </x:c>
      <x:c r="G596" s="16" t="n">
        <x:v>1</x:v>
      </x:c>
      <x:c r="H596" s="16" t="n">
        <x:v>1</x:v>
      </x:c>
      <x:c r="I596" s="16" t="n">
        <x:f>ROUND((B596*'Rules'!$B$6+C596/'Rules'!$B$12*'Rules'!$B$7+D596*'Rules'!$B$8+E596*'Rules'!$B$9+F596*'Rules'!$B$10+G596*'Rules'!$B$11)*H596,1)</x:f>
        <x:v>84.5</x:v>
      </x:c>
      <x:c r="J596" s="18" t="n">
        <x:f>'Queries'!C596*'Queries'!E596</x:f>
        <x:v>315.04</x:v>
      </x:c>
    </x:row>
    <x:row r="597" ht="32" customHeight="1">
      <x:c r="A597" s="6" t="str">
        <x:v>fuel pump servicing</x:v>
      </x:c>
      <x:c r="B597" s="16" t="n">
        <x:v>0.8</x:v>
      </x:c>
      <x:c r="C597" s="16" t="n">
        <x:v>3</x:v>
      </x:c>
      <x:c r="D597" s="16" t="n">
        <x:f>IF('Queries'!E597&lt;='Rules'!$B$17,'Rules'!$B$21,IF('Queries'!E597&lt;='Rules'!$B$18,'Rules'!$B$22,IF('Queries'!E597&lt;='Rules'!$B$19,'Rules'!$B$23,IF('Queries'!E597&lt;='Rules'!$B$20,'Rules'!$B$24,'Rules'!$B$25))))</x:f>
        <x:v>0.7</x:v>
      </x:c>
      <x:c r="E597" s="16" t="n">
        <x:f>MIN(LOG10(1+'Queries'!C597)/'Rules'!$B$13,1)</x:f>
        <x:v>0.45390927867253</x:v>
      </x:c>
      <x:c r="F597" s="16" t="n">
        <x:f>IF(AND('Queries'!E597&lt;='Rules'!$B$15,'Queries'!C597&gt;='Rules'!$B$14,'Queries'!D597&lt;'Rules'!$B$16),1,0)</x:f>
        <x:v>0</x:v>
      </x:c>
      <x:c r="G597" s="16" t="n">
        <x:v>1</x:v>
      </x:c>
      <x:c r="H597" s="16" t="n">
        <x:v>1</x:v>
      </x:c>
      <x:c r="I597" s="16" t="n">
        <x:f>ROUND((B597*'Rules'!$B$6+C597/'Rules'!$B$12*'Rules'!$B$7+D597*'Rules'!$B$8+E597*'Rules'!$B$9+F597*'Rules'!$B$10+G597*'Rules'!$B$11)*H597,1)</x:f>
        <x:v>64</x:v>
      </x:c>
      <x:c r="J597" s="18" t="n">
        <x:f>'Queries'!C597*'Queries'!E597</x:f>
        <x:v>331.98</x:v>
      </x:c>
    </x:row>
    <x:row r="598" ht="32" customHeight="1">
      <x:c r="A598" s="6" t="str">
        <x:v>nissan service dubai</x:v>
      </x:c>
      <x:c r="B598" s="16" t="n">
        <x:v>1</x:v>
      </x:c>
      <x:c r="C598" s="16" t="n">
        <x:v>3</x:v>
      </x:c>
      <x:c r="D598" s="16" t="n">
        <x:f>IF('Queries'!E598&lt;='Rules'!$B$17,'Rules'!$B$21,IF('Queries'!E598&lt;='Rules'!$B$18,'Rules'!$B$22,IF('Queries'!E598&lt;='Rules'!$B$19,'Rules'!$B$23,IF('Queries'!E598&lt;='Rules'!$B$20,'Rules'!$B$24,'Rules'!$B$25))))</x:f>
        <x:v>0.7</x:v>
      </x:c>
      <x:c r="E598" s="16" t="n">
        <x:f>MIN(LOG10(1+'Queries'!C598)/'Rules'!$B$13,1)</x:f>
        <x:v>0.45390927867253</x:v>
      </x:c>
      <x:c r="F598" s="16" t="n">
        <x:f>IF(AND('Queries'!E598&lt;='Rules'!$B$15,'Queries'!C598&gt;='Rules'!$B$14,'Queries'!D598&lt;'Rules'!$B$16),1,0)</x:f>
        <x:v>0</x:v>
      </x:c>
      <x:c r="G598" s="16" t="n">
        <x:v>1</x:v>
      </x:c>
      <x:c r="H598" s="16" t="n">
        <x:v>1</x:v>
      </x:c>
      <x:c r="I598" s="16" t="n">
        <x:f>ROUND((B598*'Rules'!$B$6+C598/'Rules'!$B$12*'Rules'!$B$7+D598*'Rules'!$B$8+E598*'Rules'!$B$9+F598*'Rules'!$B$10+G598*'Rules'!$B$11)*H598,1)</x:f>
        <x:v>69</x:v>
      </x:c>
      <x:c r="J598" s="18" t="n">
        <x:f>'Queries'!C598*'Queries'!E598</x:f>
        <x:v>331.98</x:v>
      </x:c>
    </x:row>
    <x:row r="599" ht="32" customHeight="1">
      <x:c r="A599" s="6" t="str">
        <x:v>aston martin transmission repair</x:v>
      </x:c>
      <x:c r="B599" s="16" t="n">
        <x:v>0.8</x:v>
      </x:c>
      <x:c r="C599" s="16" t="n">
        <x:v>5</x:v>
      </x:c>
      <x:c r="D599" s="16" t="n">
        <x:f>IF('Queries'!E599&lt;='Rules'!$B$17,'Rules'!$B$21,IF('Queries'!E599&lt;='Rules'!$B$18,'Rules'!$B$22,IF('Queries'!E599&lt;='Rules'!$B$19,'Rules'!$B$23,IF('Queries'!E599&lt;='Rules'!$B$20,'Rules'!$B$24,'Rules'!$B$25))))</x:f>
        <x:v>0.7</x:v>
      </x:c>
      <x:c r="E599" s="16" t="n">
        <x:f>MIN(LOG10(1+'Queries'!C599)/'Rules'!$B$13,1)</x:f>
        <x:v>0.45390927867253</x:v>
      </x:c>
      <x:c r="F599" s="16" t="n">
        <x:f>IF(AND('Queries'!E599&lt;='Rules'!$B$15,'Queries'!C599&gt;='Rules'!$B$14,'Queries'!D599&lt;'Rules'!$B$16),1,0)</x:f>
        <x:v>0</x:v>
      </x:c>
      <x:c r="G599" s="16" t="n">
        <x:v>1</x:v>
      </x:c>
      <x:c r="H599" s="16" t="n">
        <x:v>1</x:v>
      </x:c>
      <x:c r="I599" s="16" t="n">
        <x:f>ROUND((B599*'Rules'!$B$6+C599/'Rules'!$B$12*'Rules'!$B$7+D599*'Rules'!$B$8+E599*'Rules'!$B$9+F599*'Rules'!$B$10+G599*'Rules'!$B$11)*H599,1)</x:f>
        <x:v>72</x:v>
      </x:c>
      <x:c r="J599" s="18" t="n">
        <x:f>'Queries'!C599*'Queries'!E599</x:f>
        <x:v>372.9</x:v>
      </x:c>
    </x:row>
    <x:row r="600" ht="32" customHeight="1">
      <x:c r="A600" s="6" t="str">
        <x:v>porsche turbo repair dubai</x:v>
      </x:c>
      <x:c r="B600" s="16" t="n">
        <x:v>1</x:v>
      </x:c>
      <x:c r="C600" s="16" t="n">
        <x:v>5</x:v>
      </x:c>
      <x:c r="D600" s="16" t="n">
        <x:f>IF('Queries'!E600&lt;='Rules'!$B$17,'Rules'!$B$21,IF('Queries'!E600&lt;='Rules'!$B$18,'Rules'!$B$22,IF('Queries'!E600&lt;='Rules'!$B$19,'Rules'!$B$23,IF('Queries'!E600&lt;='Rules'!$B$20,'Rules'!$B$24,'Rules'!$B$25))))</x:f>
        <x:v>0.7</x:v>
      </x:c>
      <x:c r="E600" s="16" t="n">
        <x:f>MIN(LOG10(1+'Queries'!C600)/'Rules'!$B$13,1)</x:f>
        <x:v>0.45390927867253</x:v>
      </x:c>
      <x:c r="F600" s="16" t="n">
        <x:f>IF(AND('Queries'!E600&lt;='Rules'!$B$15,'Queries'!C600&gt;='Rules'!$B$14,'Queries'!D600&lt;'Rules'!$B$16),1,0)</x:f>
        <x:v>0</x:v>
      </x:c>
      <x:c r="G600" s="16" t="n">
        <x:v>1</x:v>
      </x:c>
      <x:c r="H600" s="16" t="n">
        <x:v>1</x:v>
      </x:c>
      <x:c r="I600" s="16" t="n">
        <x:f>ROUND((B600*'Rules'!$B$6+C600/'Rules'!$B$12*'Rules'!$B$7+D600*'Rules'!$B$8+E600*'Rules'!$B$9+F600*'Rules'!$B$10+G600*'Rules'!$B$11)*H600,1)</x:f>
        <x:v>77</x:v>
      </x:c>
      <x:c r="J600" s="18" t="n">
        <x:f>'Queries'!C600*'Queries'!E600</x:f>
        <x:v>412.06</x:v>
      </x:c>
    </x:row>
    <x:row r="601" ht="32" customHeight="1">
      <x:c r="A601" s="6" t="str">
        <x:v>porsche diagnostics dubai</x:v>
      </x:c>
      <x:c r="B601" s="16" t="n">
        <x:v>1</x:v>
      </x:c>
      <x:c r="C601" s="16" t="n">
        <x:v>5</x:v>
      </x:c>
      <x:c r="D601" s="16" t="n">
        <x:f>IF('Queries'!E601&lt;='Rules'!$B$17,'Rules'!$B$21,IF('Queries'!E601&lt;='Rules'!$B$18,'Rules'!$B$22,IF('Queries'!E601&lt;='Rules'!$B$19,'Rules'!$B$23,IF('Queries'!E601&lt;='Rules'!$B$20,'Rules'!$B$24,'Rules'!$B$25))))</x:f>
        <x:v>0.7</x:v>
      </x:c>
      <x:c r="E601" s="16" t="n">
        <x:f>MIN(LOG10(1+'Queries'!C601)/'Rules'!$B$13,1)</x:f>
        <x:v>0.45390927867253</x:v>
      </x:c>
      <x:c r="F601" s="16" t="n">
        <x:f>IF(AND('Queries'!E601&lt;='Rules'!$B$15,'Queries'!C601&gt;='Rules'!$B$14,'Queries'!D601&lt;'Rules'!$B$16),1,0)</x:f>
        <x:v>0</x:v>
      </x:c>
      <x:c r="G601" s="16" t="n">
        <x:v>1</x:v>
      </x:c>
      <x:c r="H601" s="16" t="n">
        <x:v>1</x:v>
      </x:c>
      <x:c r="I601" s="16" t="n">
        <x:f>ROUND((B601*'Rules'!$B$6+C601/'Rules'!$B$12*'Rules'!$B$7+D601*'Rules'!$B$8+E601*'Rules'!$B$9+F601*'Rules'!$B$10+G601*'Rules'!$B$11)*H601,1)</x:f>
        <x:v>77</x:v>
      </x:c>
      <x:c r="J601" s="18" t="n">
        <x:f>'Queries'!C601*'Queries'!E601</x:f>
        <x:v>443.08000000000004</x:v>
      </x:c>
    </x:row>
    <x:row r="602" ht="32" customHeight="1">
      <x:c r="A602" s="6" t="str">
        <x:v>range rover ac repair</x:v>
      </x:c>
      <x:c r="B602" s="16" t="n">
        <x:v>0.8</x:v>
      </x:c>
      <x:c r="C602" s="16" t="n">
        <x:v>5</x:v>
      </x:c>
      <x:c r="D602" s="16" t="n">
        <x:f>IF('Queries'!E602&lt;='Rules'!$B$17,'Rules'!$B$21,IF('Queries'!E602&lt;='Rules'!$B$18,'Rules'!$B$22,IF('Queries'!E602&lt;='Rules'!$B$19,'Rules'!$B$23,IF('Queries'!E602&lt;='Rules'!$B$20,'Rules'!$B$24,'Rules'!$B$25))))</x:f>
        <x:v>0.7</x:v>
      </x:c>
      <x:c r="E602" s="16" t="n">
        <x:f>MIN(LOG10(1+'Queries'!C602)/'Rules'!$B$13,1)</x:f>
        <x:v>0.45390927867253</x:v>
      </x:c>
      <x:c r="F602" s="16" t="n">
        <x:f>IF(AND('Queries'!E602&lt;='Rules'!$B$15,'Queries'!C602&gt;='Rules'!$B$14,'Queries'!D602&lt;'Rules'!$B$16),1,0)</x:f>
        <x:v>0</x:v>
      </x:c>
      <x:c r="G602" s="16" t="n">
        <x:v>1</x:v>
      </x:c>
      <x:c r="H602" s="16" t="n">
        <x:v>1</x:v>
      </x:c>
      <x:c r="I602" s="16" t="n">
        <x:f>ROUND((B602*'Rules'!$B$6+C602/'Rules'!$B$12*'Rules'!$B$7+D602*'Rules'!$B$8+E602*'Rules'!$B$9+F602*'Rules'!$B$10+G602*'Rules'!$B$11)*H602,1)</x:f>
        <x:v>72</x:v>
      </x:c>
      <x:c r="J602" s="18" t="n">
        <x:f>'Queries'!C602*'Queries'!E602</x:f>
        <x:v>513.92</x:v>
      </x:c>
    </x:row>
    <x:row r="603" ht="32" customHeight="1">
      <x:c r="A603" s="6" t="str">
        <x:v>steering service</x:v>
      </x:c>
      <x:c r="B603" s="16" t="n">
        <x:v>0.8</x:v>
      </x:c>
      <x:c r="C603" s="16" t="n">
        <x:v>3</x:v>
      </x:c>
      <x:c r="D603" s="16" t="n">
        <x:f>IF('Queries'!E603&lt;='Rules'!$B$17,'Rules'!$B$21,IF('Queries'!E603&lt;='Rules'!$B$18,'Rules'!$B$22,IF('Queries'!E603&lt;='Rules'!$B$19,'Rules'!$B$23,IF('Queries'!E603&lt;='Rules'!$B$20,'Rules'!$B$24,'Rules'!$B$25))))</x:f>
        <x:v>0.7</x:v>
      </x:c>
      <x:c r="E603" s="16" t="n">
        <x:f>MIN(LOG10(1+'Queries'!C603)/'Rules'!$B$13,1)</x:f>
        <x:v>0.45390927867253</x:v>
      </x:c>
      <x:c r="F603" s="16" t="n">
        <x:f>IF(AND('Queries'!E603&lt;='Rules'!$B$15,'Queries'!C603&gt;='Rules'!$B$14,'Queries'!D603&lt;'Rules'!$B$16),1,0)</x:f>
        <x:v>0</x:v>
      </x:c>
      <x:c r="G603" s="16" t="n">
        <x:v>1</x:v>
      </x:c>
      <x:c r="H603" s="16" t="n">
        <x:v>1</x:v>
      </x:c>
      <x:c r="I603" s="16" t="n">
        <x:f>ROUND((B603*'Rules'!$B$6+C603/'Rules'!$B$12*'Rules'!$B$7+D603*'Rules'!$B$8+E603*'Rules'!$B$9+F603*'Rules'!$B$10+G603*'Rules'!$B$11)*H603,1)</x:f>
        <x:v>64</x:v>
      </x:c>
      <x:c r="J603" s="18" t="n">
        <x:f>'Queries'!C603*'Queries'!E603</x:f>
        <x:v>562.98</x:v>
      </x:c>
    </x:row>
    <x:row r="604" ht="32" customHeight="1">
      <x:c r="A604" s="6" t="str">
        <x:v>bmw suspension repair</x:v>
      </x:c>
      <x:c r="B604" s="16" t="n">
        <x:v>0.8</x:v>
      </x:c>
      <x:c r="C604" s="16" t="n">
        <x:v>5</x:v>
      </x:c>
      <x:c r="D604" s="16" t="n">
        <x:f>IF('Queries'!E604&lt;='Rules'!$B$17,'Rules'!$B$21,IF('Queries'!E604&lt;='Rules'!$B$18,'Rules'!$B$22,IF('Queries'!E604&lt;='Rules'!$B$19,'Rules'!$B$23,IF('Queries'!E604&lt;='Rules'!$B$20,'Rules'!$B$24,'Rules'!$B$25))))</x:f>
        <x:v>0.7</x:v>
      </x:c>
      <x:c r="E604" s="16" t="n">
        <x:f>MIN(LOG10(1+'Queries'!C604)/'Rules'!$B$13,1)</x:f>
        <x:v>0.45390927867253</x:v>
      </x:c>
      <x:c r="F604" s="16" t="n">
        <x:f>IF(AND('Queries'!E604&lt;='Rules'!$B$15,'Queries'!C604&gt;='Rules'!$B$14,'Queries'!D604&lt;'Rules'!$B$16),1,0)</x:f>
        <x:v>0</x:v>
      </x:c>
      <x:c r="G604" s="16" t="n">
        <x:v>1</x:v>
      </x:c>
      <x:c r="H604" s="16" t="n">
        <x:v>1</x:v>
      </x:c>
      <x:c r="I604" s="16" t="n">
        <x:f>ROUND((B604*'Rules'!$B$6+C604/'Rules'!$B$12*'Rules'!$B$7+D604*'Rules'!$B$8+E604*'Rules'!$B$9+F604*'Rules'!$B$10+G604*'Rules'!$B$11)*H604,1)</x:f>
        <x:v>72</x:v>
      </x:c>
      <x:c r="J604" s="18" t="n">
        <x:f>'Queries'!C604*'Queries'!E604</x:f>
        <x:v>595.1</x:v>
      </x:c>
    </x:row>
    <x:row r="605" ht="32" customHeight="1">
      <x:c r="A605" s="6" t="str">
        <x:v>افضل مركز بي ام دبليو</x:v>
      </x:c>
      <x:c r="B605" s="16" t="n">
        <x:v>0.8</x:v>
      </x:c>
      <x:c r="C605" s="16" t="n">
        <x:v>5</x:v>
      </x:c>
      <x:c r="D605" s="16" t="n">
        <x:f>IF('Queries'!E605&lt;='Rules'!$B$17,'Rules'!$B$21,IF('Queries'!E605&lt;='Rules'!$B$18,'Rules'!$B$22,IF('Queries'!E605&lt;='Rules'!$B$19,'Rules'!$B$23,IF('Queries'!E605&lt;='Rules'!$B$20,'Rules'!$B$24,'Rules'!$B$25))))</x:f>
        <x:v>0.7</x:v>
      </x:c>
      <x:c r="E605" s="16" t="n">
        <x:f>MIN(LOG10(1+'Queries'!C605)/'Rules'!$B$13,1)</x:f>
        <x:v>0.45390927867253</x:v>
      </x:c>
      <x:c r="F605" s="16" t="n">
        <x:f>IF(AND('Queries'!E605&lt;='Rules'!$B$15,'Queries'!C605&gt;='Rules'!$B$14,'Queries'!D605&lt;'Rules'!$B$16),1,0)</x:f>
        <x:v>0</x:v>
      </x:c>
      <x:c r="G605" s="16" t="n">
        <x:v>1</x:v>
      </x:c>
      <x:c r="H605" s="16" t="n">
        <x:v>1</x:v>
      </x:c>
      <x:c r="I605" s="16" t="n">
        <x:f>ROUND((B605*'Rules'!$B$6+C605/'Rules'!$B$12*'Rules'!$B$7+D605*'Rules'!$B$8+E605*'Rules'!$B$9+F605*'Rules'!$B$10+G605*'Rules'!$B$11)*H605,1)</x:f>
        <x:v>72</x:v>
      </x:c>
      <x:c r="J605" s="18" t="n">
        <x:f>'Queries'!C605*'Queries'!E605</x:f>
        <x:v>643.0600000000001</x:v>
      </x:c>
    </x:row>
    <x:row r="606" ht="32" customHeight="1">
      <x:c r="A606" s="6" t="str">
        <x:v>oil service</x:v>
      </x:c>
      <x:c r="B606" s="16" t="n">
        <x:v>0.8</x:v>
      </x:c>
      <x:c r="C606" s="16" t="n">
        <x:v>3</x:v>
      </x:c>
      <x:c r="D606" s="16" t="n">
        <x:f>IF('Queries'!E606&lt;='Rules'!$B$17,'Rules'!$B$21,IF('Queries'!E606&lt;='Rules'!$B$18,'Rules'!$B$22,IF('Queries'!E606&lt;='Rules'!$B$19,'Rules'!$B$23,IF('Queries'!E606&lt;='Rules'!$B$20,'Rules'!$B$24,'Rules'!$B$25))))</x:f>
        <x:v>0.4</x:v>
      </x:c>
      <x:c r="E606" s="16" t="n">
        <x:f>MIN(LOG10(1+'Queries'!C606)/'Rules'!$B$13,1)</x:f>
        <x:v>0.45390927867253</x:v>
      </x:c>
      <x:c r="F606" s="16" t="n">
        <x:f>IF(AND('Queries'!E606&lt;='Rules'!$B$15,'Queries'!C606&gt;='Rules'!$B$14,'Queries'!D606&lt;'Rules'!$B$16),1,0)</x:f>
        <x:v>0</x:v>
      </x:c>
      <x:c r="G606" s="16" t="n">
        <x:v>1</x:v>
      </x:c>
      <x:c r="H606" s="16" t="n">
        <x:v>1</x:v>
      </x:c>
      <x:c r="I606" s="16" t="n">
        <x:f>ROUND((B606*'Rules'!$B$6+C606/'Rules'!$B$12*'Rules'!$B$7+D606*'Rules'!$B$8+E606*'Rules'!$B$9+F606*'Rules'!$B$10+G606*'Rules'!$B$11)*H606,1)</x:f>
        <x:v>56.5</x:v>
      </x:c>
      <x:c r="J606" s="18" t="n">
        <x:f>'Queries'!C606*'Queries'!E606</x:f>
        <x:v>740.96</x:v>
      </x:c>
    </x:row>
    <x:row r="607" ht="32" customHeight="1">
      <x:c r="A607" s="6" t="str">
        <x:v>automatic gear box repair uae</x:v>
      </x:c>
      <x:c r="B607" s="16" t="n">
        <x:v>0.8</x:v>
      </x:c>
      <x:c r="C607" s="16" t="n">
        <x:v>3</x:v>
      </x:c>
      <x:c r="D607" s="16" t="n">
        <x:f>IF('Queries'!E607&lt;='Rules'!$B$17,'Rules'!$B$21,IF('Queries'!E607&lt;='Rules'!$B$18,'Rules'!$B$22,IF('Queries'!E607&lt;='Rules'!$B$19,'Rules'!$B$23,IF('Queries'!E607&lt;='Rules'!$B$20,'Rules'!$B$24,'Rules'!$B$25))))</x:f>
        <x:v>0.4</x:v>
      </x:c>
      <x:c r="E607" s="16" t="n">
        <x:f>MIN(LOG10(1+'Queries'!C607)/'Rules'!$B$13,1)</x:f>
        <x:v>0.45390927867253</x:v>
      </x:c>
      <x:c r="F607" s="16" t="n">
        <x:f>IF(AND('Queries'!E607&lt;='Rules'!$B$15,'Queries'!C607&gt;='Rules'!$B$14,'Queries'!D607&lt;'Rules'!$B$16),1,0)</x:f>
        <x:v>0</x:v>
      </x:c>
      <x:c r="G607" s="16" t="n">
        <x:v>1</x:v>
      </x:c>
      <x:c r="H607" s="16" t="n">
        <x:v>1</x:v>
      </x:c>
      <x:c r="I607" s="16" t="n">
        <x:f>ROUND((B607*'Rules'!$B$6+C607/'Rules'!$B$12*'Rules'!$B$7+D607*'Rules'!$B$8+E607*'Rules'!$B$9+F607*'Rules'!$B$10+G607*'Rules'!$B$11)*H607,1)</x:f>
        <x:v>56.5</x:v>
      </x:c>
      <x:c r="J607" s="18" t="n">
        <x:f>'Queries'!C607*'Queries'!E607</x:f>
        <x:v>804.0999999999999</x:v>
      </x:c>
    </x:row>
    <x:row r="608" ht="32" customHeight="1">
      <x:c r="A608" s="6" t="str">
        <x:v>mercedes auto repair</x:v>
      </x:c>
      <x:c r="B608" s="16" t="n">
        <x:v>0.8</x:v>
      </x:c>
      <x:c r="C608" s="16" t="n">
        <x:v>5</x:v>
      </x:c>
      <x:c r="D608" s="16" t="n">
        <x:f>IF('Queries'!E608&lt;='Rules'!$B$17,'Rules'!$B$21,IF('Queries'!E608&lt;='Rules'!$B$18,'Rules'!$B$22,IF('Queries'!E608&lt;='Rules'!$B$19,'Rules'!$B$23,IF('Queries'!E608&lt;='Rules'!$B$20,'Rules'!$B$24,'Rules'!$B$25))))</x:f>
        <x:v>0.15</x:v>
      </x:c>
      <x:c r="E608" s="16" t="n">
        <x:f>MIN(LOG10(1+'Queries'!C608)/'Rules'!$B$13,1)</x:f>
        <x:v>0.45390927867253</x:v>
      </x:c>
      <x:c r="F608" s="16" t="n">
        <x:f>IF(AND('Queries'!E608&lt;='Rules'!$B$15,'Queries'!C608&gt;='Rules'!$B$14,'Queries'!D608&lt;'Rules'!$B$16),1,0)</x:f>
        <x:v>0</x:v>
      </x:c>
      <x:c r="G608" s="16" t="n">
        <x:v>1</x:v>
      </x:c>
      <x:c r="H608" s="16" t="n">
        <x:v>1</x:v>
      </x:c>
      <x:c r="I608" s="16" t="n">
        <x:f>ROUND((B608*'Rules'!$B$6+C608/'Rules'!$B$12*'Rules'!$B$7+D608*'Rules'!$B$8+E608*'Rules'!$B$9+F608*'Rules'!$B$10+G608*'Rules'!$B$11)*H608,1)</x:f>
        <x:v>58.3</x:v>
      </x:c>
      <x:c r="J608" s="18" t="n">
        <x:f>'Queries'!C608*'Queries'!E608</x:f>
        <x:v>940.06</x:v>
      </x:c>
    </x:row>
    <x:row r="609" ht="32" customHeight="1">
      <x:c r="A609" s="6" t="str">
        <x:v>land rover specialist dubai</x:v>
      </x:c>
      <x:c r="B609" s="16" t="n">
        <x:v>1</x:v>
      </x:c>
      <x:c r="C609" s="16" t="n">
        <x:v>5</x:v>
      </x:c>
      <x:c r="D609" s="16" t="n">
        <x:f>IF('Queries'!E609&lt;='Rules'!$B$17,'Rules'!$B$21,IF('Queries'!E609&lt;='Rules'!$B$18,'Rules'!$B$22,IF('Queries'!E609&lt;='Rules'!$B$19,'Rules'!$B$23,IF('Queries'!E609&lt;='Rules'!$B$20,'Rules'!$B$24,'Rules'!$B$25))))</x:f>
        <x:v>0.15</x:v>
      </x:c>
      <x:c r="E609" s="16" t="n">
        <x:f>MIN(LOG10(1+'Queries'!C609)/'Rules'!$B$13,1)</x:f>
        <x:v>0.45390927867253</x:v>
      </x:c>
      <x:c r="F609" s="16" t="n">
        <x:f>IF(AND('Queries'!E609&lt;='Rules'!$B$15,'Queries'!C609&gt;='Rules'!$B$14,'Queries'!D609&lt;'Rules'!$B$16),1,0)</x:f>
        <x:v>0</x:v>
      </x:c>
      <x:c r="G609" s="16" t="n">
        <x:v>1</x:v>
      </x:c>
      <x:c r="H609" s="16" t="n">
        <x:v>1</x:v>
      </x:c>
      <x:c r="I609" s="16" t="n">
        <x:f>ROUND((B609*'Rules'!$B$6+C609/'Rules'!$B$12*'Rules'!$B$7+D609*'Rules'!$B$8+E609*'Rules'!$B$9+F609*'Rules'!$B$10+G609*'Rules'!$B$11)*H609,1)</x:f>
        <x:v>63.3</x:v>
      </x:c>
      <x:c r="J609" s="18" t="n">
        <x:f>'Queries'!C609*'Queries'!E609</x:f>
        <x:v>999.02</x:v>
      </x:c>
    </x:row>
    <x:row r="610" ht="32" customHeight="1">
      <x:c r="A610" s="6" t="str">
        <x:v>vw service center dubai</x:v>
      </x:c>
      <x:c r="B610" s="16" t="n">
        <x:v>1</x:v>
      </x:c>
      <x:c r="C610" s="16" t="n">
        <x:v>3</x:v>
      </x:c>
      <x:c r="D610" s="16" t="n">
        <x:f>IF('Queries'!E610&lt;='Rules'!$B$17,'Rules'!$B$21,IF('Queries'!E610&lt;='Rules'!$B$18,'Rules'!$B$22,IF('Queries'!E610&lt;='Rules'!$B$19,'Rules'!$B$23,IF('Queries'!E610&lt;='Rules'!$B$20,'Rules'!$B$24,'Rules'!$B$25))))</x:f>
        <x:v>0.15</x:v>
      </x:c>
      <x:c r="E610" s="16" t="n">
        <x:f>MIN(LOG10(1+'Queries'!C610)/'Rules'!$B$13,1)</x:f>
        <x:v>0.45390927867253</x:v>
      </x:c>
      <x:c r="F610" s="16" t="n">
        <x:f>IF(AND('Queries'!E610&lt;='Rules'!$B$15,'Queries'!C610&gt;='Rules'!$B$14,'Queries'!D610&lt;'Rules'!$B$16),1,0)</x:f>
        <x:v>0</x:v>
      </x:c>
      <x:c r="G610" s="16" t="n">
        <x:v>1</x:v>
      </x:c>
      <x:c r="H610" s="16" t="n">
        <x:v>1</x:v>
      </x:c>
      <x:c r="I610" s="16" t="n">
        <x:f>ROUND((B610*'Rules'!$B$6+C610/'Rules'!$B$12*'Rules'!$B$7+D610*'Rules'!$B$8+E610*'Rules'!$B$9+F610*'Rules'!$B$10+G610*'Rules'!$B$11)*H610,1)</x:f>
        <x:v>55.3</x:v>
      </x:c>
      <x:c r="J610" s="18" t="n">
        <x:f>'Queries'!C610*'Queries'!E610</x:f>
        <x:v>1048.96</x:v>
      </x:c>
    </x:row>
    <x:row r="611" ht="32" customHeight="1">
      <x:c r="A611" s="6" t="str">
        <x:v>porsche service near motor city</x:v>
      </x:c>
      <x:c r="B611" s="16" t="n">
        <x:v>1</x:v>
      </x:c>
      <x:c r="C611" s="16" t="n">
        <x:v>5</x:v>
      </x:c>
      <x:c r="D611" s="16" t="n">
        <x:f>IF('Queries'!E611&lt;='Rules'!$B$17,'Rules'!$B$21,IF('Queries'!E611&lt;='Rules'!$B$18,'Rules'!$B$22,IF('Queries'!E611&lt;='Rules'!$B$19,'Rules'!$B$23,IF('Queries'!E611&lt;='Rules'!$B$20,'Rules'!$B$24,'Rules'!$B$25))))</x:f>
        <x:v>0.15</x:v>
      </x:c>
      <x:c r="E611" s="16" t="n">
        <x:f>MIN(LOG10(1+'Queries'!C611)/'Rules'!$B$13,1)</x:f>
        <x:v>0.45390927867253</x:v>
      </x:c>
      <x:c r="F611" s="16" t="n">
        <x:f>IF(AND('Queries'!E611&lt;='Rules'!$B$15,'Queries'!C611&gt;='Rules'!$B$14,'Queries'!D611&lt;'Rules'!$B$16),1,0)</x:f>
        <x:v>0</x:v>
      </x:c>
      <x:c r="G611" s="16" t="n">
        <x:v>1</x:v>
      </x:c>
      <x:c r="H611" s="16" t="n">
        <x:v>1</x:v>
      </x:c>
      <x:c r="I611" s="16" t="n">
        <x:f>ROUND((B611*'Rules'!$B$6+C611/'Rules'!$B$12*'Rules'!$B$7+D611*'Rules'!$B$8+E611*'Rules'!$B$9+F611*'Rules'!$B$10+G611*'Rules'!$B$11)*H611,1)</x:f>
        <x:v>63.3</x:v>
      </x:c>
      <x:c r="J611" s="18" t="n">
        <x:f>'Queries'!C611*'Queries'!E611</x:f>
        <x:v>1246.96</x:v>
      </x:c>
    </x:row>
    <x:row r="612" ht="32" customHeight="1">
      <x:c r="A612" s="6" t="str">
        <x:v>صيانة مرسيدس بنز</x:v>
      </x:c>
      <x:c r="B612" s="16" t="n">
        <x:v>0.8</x:v>
      </x:c>
      <x:c r="C612" s="16" t="n">
        <x:v>5</x:v>
      </x:c>
      <x:c r="D612" s="16" t="n">
        <x:f>IF('Queries'!E612&lt;='Rules'!$B$17,'Rules'!$B$21,IF('Queries'!E612&lt;='Rules'!$B$18,'Rules'!$B$22,IF('Queries'!E612&lt;='Rules'!$B$19,'Rules'!$B$23,IF('Queries'!E612&lt;='Rules'!$B$20,'Rules'!$B$24,'Rules'!$B$25))))</x:f>
        <x:v>0.15</x:v>
      </x:c>
      <x:c r="E612" s="16" t="n">
        <x:f>MIN(LOG10(1+'Queries'!C612)/'Rules'!$B$13,1)</x:f>
        <x:v>0.45390927867253</x:v>
      </x:c>
      <x:c r="F612" s="16" t="n">
        <x:f>IF(AND('Queries'!E612&lt;='Rules'!$B$15,'Queries'!C612&gt;='Rules'!$B$14,'Queries'!D612&lt;'Rules'!$B$16),1,0)</x:f>
        <x:v>0</x:v>
      </x:c>
      <x:c r="G612" s="16" t="n">
        <x:v>1</x:v>
      </x:c>
      <x:c r="H612" s="16" t="n">
        <x:v>1</x:v>
      </x:c>
      <x:c r="I612" s="16" t="n">
        <x:f>ROUND((B612*'Rules'!$B$6+C612/'Rules'!$B$12*'Rules'!$B$7+D612*'Rules'!$B$8+E612*'Rules'!$B$9+F612*'Rules'!$B$10+G612*'Rules'!$B$11)*H612,1)</x:f>
        <x:v>58.3</x:v>
      </x:c>
      <x:c r="J612" s="18" t="n">
        <x:f>'Queries'!C612*'Queries'!E612</x:f>
        <x:v>1329.02</x:v>
      </x:c>
    </x:row>
    <x:row r="613" ht="32" customHeight="1">
      <x:c r="A613" s="6" t="str">
        <x:v>range rover engine repair</x:v>
      </x:c>
      <x:c r="B613" s="16" t="n">
        <x:v>0.8</x:v>
      </x:c>
      <x:c r="C613" s="16" t="n">
        <x:v>5</x:v>
      </x:c>
      <x:c r="D613" s="16" t="n">
        <x:f>IF('Queries'!E613&lt;='Rules'!$B$17,'Rules'!$B$21,IF('Queries'!E613&lt;='Rules'!$B$18,'Rules'!$B$22,IF('Queries'!E613&lt;='Rules'!$B$19,'Rules'!$B$23,IF('Queries'!E613&lt;='Rules'!$B$20,'Rules'!$B$24,'Rules'!$B$25))))</x:f>
        <x:v>0.15</x:v>
      </x:c>
      <x:c r="E613" s="16" t="n">
        <x:f>MIN(LOG10(1+'Queries'!C613)/'Rules'!$B$13,1)</x:f>
        <x:v>0.45390927867253</x:v>
      </x:c>
      <x:c r="F613" s="16" t="n">
        <x:f>IF(AND('Queries'!E613&lt;='Rules'!$B$15,'Queries'!C613&gt;='Rules'!$B$14,'Queries'!D613&lt;'Rules'!$B$16),1,0)</x:f>
        <x:v>0</x:v>
      </x:c>
      <x:c r="G613" s="16" t="n">
        <x:v>1</x:v>
      </x:c>
      <x:c r="H613" s="16" t="n">
        <x:v>1</x:v>
      </x:c>
      <x:c r="I613" s="16" t="n">
        <x:f>ROUND((B613*'Rules'!$B$6+C613/'Rules'!$B$12*'Rules'!$B$7+D613*'Rules'!$B$8+E613*'Rules'!$B$9+F613*'Rules'!$B$10+G613*'Rules'!$B$11)*H613,1)</x:f>
        <x:v>58.3</x:v>
      </x:c>
      <x:c r="J613" s="18" t="n">
        <x:f>'Queries'!C613*'Queries'!E613</x:f>
        <x:v>1527.9</x:v>
      </x:c>
    </x:row>
    <x:row r="614" ht="32" customHeight="1">
      <x:c r="A614" s="6" t="str">
        <x:v>best jeep repair dubai</x:v>
      </x:c>
      <x:c r="B614" s="16" t="n">
        <x:v>1</x:v>
      </x:c>
      <x:c r="C614" s="16" t="n">
        <x:v>3</x:v>
      </x:c>
      <x:c r="D614" s="16" t="n">
        <x:f>IF('Queries'!E614&lt;='Rules'!$B$17,'Rules'!$B$21,IF('Queries'!E614&lt;='Rules'!$B$18,'Rules'!$B$22,IF('Queries'!E614&lt;='Rules'!$B$19,'Rules'!$B$23,IF('Queries'!E614&lt;='Rules'!$B$20,'Rules'!$B$24,'Rules'!$B$25))))</x:f>
        <x:v>0.15</x:v>
      </x:c>
      <x:c r="E614" s="16" t="n">
        <x:f>MIN(LOG10(1+'Queries'!C614)/'Rules'!$B$13,1)</x:f>
        <x:v>0.45390927867253</x:v>
      </x:c>
      <x:c r="F614" s="16" t="n">
        <x:f>IF(AND('Queries'!E614&lt;='Rules'!$B$15,'Queries'!C614&gt;='Rules'!$B$14,'Queries'!D614&lt;'Rules'!$B$16),1,0)</x:f>
        <x:v>0</x:v>
      </x:c>
      <x:c r="G614" s="16" t="n">
        <x:v>1</x:v>
      </x:c>
      <x:c r="H614" s="16" t="n">
        <x:v>1</x:v>
      </x:c>
      <x:c r="I614" s="16" t="n">
        <x:f>ROUND((B614*'Rules'!$B$6+C614/'Rules'!$B$12*'Rules'!$B$7+D614*'Rules'!$B$8+E614*'Rules'!$B$9+F614*'Rules'!$B$10+G614*'Rules'!$B$11)*H614,1)</x:f>
        <x:v>55.3</x:v>
      </x:c>
      <x:c r="J614" s="18" t="n">
        <x:f>'Queries'!C614*'Queries'!E614</x:f>
        <x:v>1543.08</x:v>
      </x:c>
    </x:row>
    <x:row r="615" ht="32" customHeight="1">
      <x:c r="A615" s="6" t="str">
        <x:v>steering rack repair</x:v>
      </x:c>
      <x:c r="B615" s="16" t="n">
        <x:v>0.8</x:v>
      </x:c>
      <x:c r="C615" s="16" t="n">
        <x:v>3</x:v>
      </x:c>
      <x:c r="D615" s="16" t="n">
        <x:f>IF('Queries'!E615&lt;='Rules'!$B$17,'Rules'!$B$21,IF('Queries'!E615&lt;='Rules'!$B$18,'Rules'!$B$22,IF('Queries'!E615&lt;='Rules'!$B$19,'Rules'!$B$23,IF('Queries'!E615&lt;='Rules'!$B$20,'Rules'!$B$24,'Rules'!$B$25))))</x:f>
        <x:v>1</x:v>
      </x:c>
      <x:c r="E615" s="16" t="n">
        <x:f>MIN(LOG10(1+'Queries'!C615)/'Rules'!$B$13,1)</x:f>
        <x:v>0.44747422694073663</x:v>
      </x:c>
      <x:c r="F615" s="16" t="n">
        <x:f>IF(AND('Queries'!E615&lt;='Rules'!$B$15,'Queries'!C615&gt;='Rules'!$B$14,'Queries'!D615&lt;'Rules'!$B$16),1,0)</x:f>
        <x:v>1</x:v>
      </x:c>
      <x:c r="G615" s="16" t="n">
        <x:v>1</x:v>
      </x:c>
      <x:c r="H615" s="16" t="n">
        <x:v>1</x:v>
      </x:c>
      <x:c r="I615" s="16" t="n">
        <x:f>ROUND((B615*'Rules'!$B$6+C615/'Rules'!$B$12*'Rules'!$B$7+D615*'Rules'!$B$8+E615*'Rules'!$B$9+F615*'Rules'!$B$10+G615*'Rules'!$B$11)*H615,1)</x:f>
        <x:v>81.5</x:v>
      </x:c>
      <x:c r="J615" s="18" t="n">
        <x:f>'Queries'!C615*'Queries'!E615</x:f>
        <x:v>177.03</x:v>
      </x:c>
    </x:row>
    <x:row r="616" ht="32" customHeight="1">
      <x:c r="A616" s="6" t="str">
        <x:v>mercedes benz auto repair​ in dubai</x:v>
      </x:c>
      <x:c r="B616" s="16" t="n">
        <x:v>1</x:v>
      </x:c>
      <x:c r="C616" s="16" t="n">
        <x:v>5</x:v>
      </x:c>
      <x:c r="D616" s="16" t="n">
        <x:f>IF('Queries'!E616&lt;='Rules'!$B$17,'Rules'!$B$21,IF('Queries'!E616&lt;='Rules'!$B$18,'Rules'!$B$22,IF('Queries'!E616&lt;='Rules'!$B$19,'Rules'!$B$23,IF('Queries'!E616&lt;='Rules'!$B$20,'Rules'!$B$24,'Rules'!$B$25))))</x:f>
        <x:v>1</x:v>
      </x:c>
      <x:c r="E616" s="16" t="n">
        <x:f>MIN(LOG10(1+'Queries'!C616)/'Rules'!$B$13,1)</x:f>
        <x:v>0.44747422694073663</x:v>
      </x:c>
      <x:c r="F616" s="16" t="n">
        <x:f>IF(AND('Queries'!E616&lt;='Rules'!$B$15,'Queries'!C616&gt;='Rules'!$B$14,'Queries'!D616&lt;'Rules'!$B$16),1,0)</x:f>
        <x:v>1</x:v>
      </x:c>
      <x:c r="G616" s="16" t="n">
        <x:v>1</x:v>
      </x:c>
      <x:c r="H616" s="16" t="n">
        <x:v>1</x:v>
      </x:c>
      <x:c r="I616" s="16" t="n">
        <x:f>ROUND((B616*'Rules'!$B$6+C616/'Rules'!$B$12*'Rules'!$B$7+D616*'Rules'!$B$8+E616*'Rules'!$B$9+F616*'Rules'!$B$10+G616*'Rules'!$B$11)*H616,1)</x:f>
        <x:v>94.5</x:v>
      </x:c>
      <x:c r="J616" s="18" t="n">
        <x:f>'Queries'!C616*'Queries'!E616</x:f>
        <x:v>200.97</x:v>
      </x:c>
    </x:row>
    <x:row r="617" ht="32" customHeight="1">
      <x:c r="A617" s="6" t="str">
        <x:v>bentley transmission repair</x:v>
      </x:c>
      <x:c r="B617" s="16" t="n">
        <x:v>0.8</x:v>
      </x:c>
      <x:c r="C617" s="16" t="n">
        <x:v>5</x:v>
      </x:c>
      <x:c r="D617" s="16" t="n">
        <x:f>IF('Queries'!E617&lt;='Rules'!$B$17,'Rules'!$B$21,IF('Queries'!E617&lt;='Rules'!$B$18,'Rules'!$B$22,IF('Queries'!E617&lt;='Rules'!$B$19,'Rules'!$B$23,IF('Queries'!E617&lt;='Rules'!$B$20,'Rules'!$B$24,'Rules'!$B$25))))</x:f>
        <x:v>1</x:v>
      </x:c>
      <x:c r="E617" s="16" t="n">
        <x:f>MIN(LOG10(1+'Queries'!C617)/'Rules'!$B$13,1)</x:f>
        <x:v>0.44747422694073663</x:v>
      </x:c>
      <x:c r="F617" s="16" t="n">
        <x:f>IF(AND('Queries'!E617&lt;='Rules'!$B$15,'Queries'!C617&gt;='Rules'!$B$14,'Queries'!D617&lt;'Rules'!$B$16),1,0)</x:f>
        <x:v>1</x:v>
      </x:c>
      <x:c r="G617" s="16" t="n">
        <x:v>1</x:v>
      </x:c>
      <x:c r="H617" s="16" t="n">
        <x:v>1</x:v>
      </x:c>
      <x:c r="I617" s="16" t="n">
        <x:f>ROUND((B617*'Rules'!$B$6+C617/'Rules'!$B$12*'Rules'!$B$7+D617*'Rules'!$B$8+E617*'Rules'!$B$9+F617*'Rules'!$B$10+G617*'Rules'!$B$11)*H617,1)</x:f>
        <x:v>89.5</x:v>
      </x:c>
      <x:c r="J617" s="18" t="n">
        <x:f>'Queries'!C617*'Queries'!E617</x:f>
        <x:v>207.9</x:v>
      </x:c>
    </x:row>
    <x:row r="618" ht="32" customHeight="1">
      <x:c r="A618" s="6" t="str">
        <x:v>audi workshop dubai</x:v>
      </x:c>
      <x:c r="B618" s="16" t="n">
        <x:v>1</x:v>
      </x:c>
      <x:c r="C618" s="16" t="n">
        <x:v>5</x:v>
      </x:c>
      <x:c r="D618" s="16" t="n">
        <x:f>IF('Queries'!E618&lt;='Rules'!$B$17,'Rules'!$B$21,IF('Queries'!E618&lt;='Rules'!$B$18,'Rules'!$B$22,IF('Queries'!E618&lt;='Rules'!$B$19,'Rules'!$B$23,IF('Queries'!E618&lt;='Rules'!$B$20,'Rules'!$B$24,'Rules'!$B$25))))</x:f>
        <x:v>1</x:v>
      </x:c>
      <x:c r="E618" s="16" t="n">
        <x:f>MIN(LOG10(1+'Queries'!C618)/'Rules'!$B$13,1)</x:f>
        <x:v>0.44747422694073663</x:v>
      </x:c>
      <x:c r="F618" s="16" t="n">
        <x:f>IF(AND('Queries'!E618&lt;='Rules'!$B$15,'Queries'!C618&gt;='Rules'!$B$14,'Queries'!D618&lt;'Rules'!$B$16),1,0)</x:f>
        <x:v>0</x:v>
      </x:c>
      <x:c r="G618" s="16" t="n">
        <x:v>1</x:v>
      </x:c>
      <x:c r="H618" s="16" t="n">
        <x:v>1</x:v>
      </x:c>
      <x:c r="I618" s="16" t="n">
        <x:f>ROUND((B618*'Rules'!$B$6+C618/'Rules'!$B$12*'Rules'!$B$7+D618*'Rules'!$B$8+E618*'Rules'!$B$9+F618*'Rules'!$B$10+G618*'Rules'!$B$11)*H618,1)</x:f>
        <x:v>84.5</x:v>
      </x:c>
      <x:c r="J618" s="18" t="n">
        <x:f>'Queries'!C618*'Queries'!E618</x:f>
        <x:v>258.09</x:v>
      </x:c>
    </x:row>
    <x:row r="619" ht="32" customHeight="1">
      <x:c r="A619" s="6" t="str">
        <x:v>rolls royce transmission repair dubai</x:v>
      </x:c>
      <x:c r="B619" s="16" t="n">
        <x:v>1</x:v>
      </x:c>
      <x:c r="C619" s="16" t="n">
        <x:v>5</x:v>
      </x:c>
      <x:c r="D619" s="16" t="n">
        <x:f>IF('Queries'!E619&lt;='Rules'!$B$17,'Rules'!$B$21,IF('Queries'!E619&lt;='Rules'!$B$18,'Rules'!$B$22,IF('Queries'!E619&lt;='Rules'!$B$19,'Rules'!$B$23,IF('Queries'!E619&lt;='Rules'!$B$20,'Rules'!$B$24,'Rules'!$B$25))))</x:f>
        <x:v>1</x:v>
      </x:c>
      <x:c r="E619" s="16" t="n">
        <x:f>MIN(LOG10(1+'Queries'!C619)/'Rules'!$B$13,1)</x:f>
        <x:v>0.44747422694073663</x:v>
      </x:c>
      <x:c r="F619" s="16" t="n">
        <x:f>IF(AND('Queries'!E619&lt;='Rules'!$B$15,'Queries'!C619&gt;='Rules'!$B$14,'Queries'!D619&lt;'Rules'!$B$16),1,0)</x:f>
        <x:v>0</x:v>
      </x:c>
      <x:c r="G619" s="16" t="n">
        <x:v>1</x:v>
      </x:c>
      <x:c r="H619" s="16" t="n">
        <x:v>1</x:v>
      </x:c>
      <x:c r="I619" s="16" t="n">
        <x:f>ROUND((B619*'Rules'!$B$6+C619/'Rules'!$B$12*'Rules'!$B$7+D619*'Rules'!$B$8+E619*'Rules'!$B$9+F619*'Rules'!$B$10+G619*'Rules'!$B$11)*H619,1)</x:f>
        <x:v>84.5</x:v>
      </x:c>
      <x:c r="J619" s="18" t="n">
        <x:f>'Queries'!C619*'Queries'!E619</x:f>
        <x:v>266.07</x:v>
      </x:c>
    </x:row>
    <x:row r="620" ht="32" customHeight="1">
      <x:c r="A620" s="6" t="str">
        <x:v>volkswagen oil change</x:v>
      </x:c>
      <x:c r="B620" s="16" t="n">
        <x:v>0.8</x:v>
      </x:c>
      <x:c r="C620" s="16" t="n">
        <x:v>3</x:v>
      </x:c>
      <x:c r="D620" s="16" t="n">
        <x:f>IF('Queries'!E620&lt;='Rules'!$B$17,'Rules'!$B$21,IF('Queries'!E620&lt;='Rules'!$B$18,'Rules'!$B$22,IF('Queries'!E620&lt;='Rules'!$B$19,'Rules'!$B$23,IF('Queries'!E620&lt;='Rules'!$B$20,'Rules'!$B$24,'Rules'!$B$25))))</x:f>
        <x:v>1</x:v>
      </x:c>
      <x:c r="E620" s="16" t="n">
        <x:f>MIN(LOG10(1+'Queries'!C620)/'Rules'!$B$13,1)</x:f>
        <x:v>0.44747422694073663</x:v>
      </x:c>
      <x:c r="F620" s="16" t="n">
        <x:f>IF(AND('Queries'!E620&lt;='Rules'!$B$15,'Queries'!C620&gt;='Rules'!$B$14,'Queries'!D620&lt;'Rules'!$B$16),1,0)</x:f>
        <x:v>0</x:v>
      </x:c>
      <x:c r="G620" s="16" t="n">
        <x:v>1</x:v>
      </x:c>
      <x:c r="H620" s="16" t="n">
        <x:v>1</x:v>
      </x:c>
      <x:c r="I620" s="16" t="n">
        <x:f>ROUND((B620*'Rules'!$B$6+C620/'Rules'!$B$12*'Rules'!$B$7+D620*'Rules'!$B$8+E620*'Rules'!$B$9+F620*'Rules'!$B$10+G620*'Rules'!$B$11)*H620,1)</x:f>
        <x:v>71.5</x:v>
      </x:c>
      <x:c r="J620" s="18" t="n">
        <x:f>'Queries'!C620*'Queries'!E620</x:f>
        <x:v>312.90000000000003</x:v>
      </x:c>
    </x:row>
    <x:row r="621" ht="32" customHeight="1">
      <x:c r="A621" s="6" t="str">
        <x:v>lamborghini transmission repair dubai</x:v>
      </x:c>
      <x:c r="B621" s="16" t="n">
        <x:v>1</x:v>
      </x:c>
      <x:c r="C621" s="16" t="n">
        <x:v>5</x:v>
      </x:c>
      <x:c r="D621" s="16" t="n">
        <x:f>IF('Queries'!E621&lt;='Rules'!$B$17,'Rules'!$B$21,IF('Queries'!E621&lt;='Rules'!$B$18,'Rules'!$B$22,IF('Queries'!E621&lt;='Rules'!$B$19,'Rules'!$B$23,IF('Queries'!E621&lt;='Rules'!$B$20,'Rules'!$B$24,'Rules'!$B$25))))</x:f>
        <x:v>0.7</x:v>
      </x:c>
      <x:c r="E621" s="16" t="n">
        <x:f>MIN(LOG10(1+'Queries'!C621)/'Rules'!$B$13,1)</x:f>
        <x:v>0.44747422694073663</x:v>
      </x:c>
      <x:c r="F621" s="16" t="n">
        <x:f>IF(AND('Queries'!E621&lt;='Rules'!$B$15,'Queries'!C621&gt;='Rules'!$B$14,'Queries'!D621&lt;'Rules'!$B$16),1,0)</x:f>
        <x:v>0</x:v>
      </x:c>
      <x:c r="G621" s="16" t="n">
        <x:v>1</x:v>
      </x:c>
      <x:c r="H621" s="16" t="n">
        <x:v>1</x:v>
      </x:c>
      <x:c r="I621" s="16" t="n">
        <x:f>ROUND((B621*'Rules'!$B$6+C621/'Rules'!$B$12*'Rules'!$B$7+D621*'Rules'!$B$8+E621*'Rules'!$B$9+F621*'Rules'!$B$10+G621*'Rules'!$B$11)*H621,1)</x:f>
        <x:v>77</x:v>
      </x:c>
      <x:c r="J621" s="18" t="n">
        <x:f>'Queries'!C621*'Queries'!E621</x:f>
        <x:v>500.01</x:v>
      </x:c>
    </x:row>
    <x:row r="622" ht="32" customHeight="1">
      <x:c r="A622" s="6" t="str">
        <x:v>oil change service center dubai</x:v>
      </x:c>
      <x:c r="B622" s="16" t="n">
        <x:v>1</x:v>
      </x:c>
      <x:c r="C622" s="16" t="n">
        <x:v>3</x:v>
      </x:c>
      <x:c r="D622" s="16" t="n">
        <x:f>IF('Queries'!E622&lt;='Rules'!$B$17,'Rules'!$B$21,IF('Queries'!E622&lt;='Rules'!$B$18,'Rules'!$B$22,IF('Queries'!E622&lt;='Rules'!$B$19,'Rules'!$B$23,IF('Queries'!E622&lt;='Rules'!$B$20,'Rules'!$B$24,'Rules'!$B$25))))</x:f>
        <x:v>0.7</x:v>
      </x:c>
      <x:c r="E622" s="16" t="n">
        <x:f>MIN(LOG10(1+'Queries'!C622)/'Rules'!$B$13,1)</x:f>
        <x:v>0.44747422694073663</x:v>
      </x:c>
      <x:c r="F622" s="16" t="n">
        <x:f>IF(AND('Queries'!E622&lt;='Rules'!$B$15,'Queries'!C622&gt;='Rules'!$B$14,'Queries'!D622&lt;'Rules'!$B$16),1,0)</x:f>
        <x:v>0</x:v>
      </x:c>
      <x:c r="G622" s="16" t="n">
        <x:v>1</x:v>
      </x:c>
      <x:c r="H622" s="16" t="n">
        <x:v>1</x:v>
      </x:c>
      <x:c r="I622" s="16" t="n">
        <x:f>ROUND((B622*'Rules'!$B$6+C622/'Rules'!$B$12*'Rules'!$B$7+D622*'Rules'!$B$8+E622*'Rules'!$B$9+F622*'Rules'!$B$10+G622*'Rules'!$B$11)*H622,1)</x:f>
        <x:v>69</x:v>
      </x:c>
      <x:c r="J622" s="18" t="n">
        <x:f>'Queries'!C622*'Queries'!E622</x:f>
        <x:v>535.08</x:v>
      </x:c>
    </x:row>
    <x:row r="623" ht="32" customHeight="1">
      <x:c r="A623" s="6" t="str">
        <x:v>luxury car workshop dubai</x:v>
      </x:c>
      <x:c r="B623" s="16" t="n">
        <x:v>1</x:v>
      </x:c>
      <x:c r="C623" s="16" t="n">
        <x:v>3</x:v>
      </x:c>
      <x:c r="D623" s="16" t="n">
        <x:f>IF('Queries'!E623&lt;='Rules'!$B$17,'Rules'!$B$21,IF('Queries'!E623&lt;='Rules'!$B$18,'Rules'!$B$22,IF('Queries'!E623&lt;='Rules'!$B$19,'Rules'!$B$23,IF('Queries'!E623&lt;='Rules'!$B$20,'Rules'!$B$24,'Rules'!$B$25))))</x:f>
        <x:v>0.7</x:v>
      </x:c>
      <x:c r="E623" s="16" t="n">
        <x:f>MIN(LOG10(1+'Queries'!C623)/'Rules'!$B$13,1)</x:f>
        <x:v>0.44747422694073663</x:v>
      </x:c>
      <x:c r="F623" s="16" t="n">
        <x:f>IF(AND('Queries'!E623&lt;='Rules'!$B$15,'Queries'!C623&gt;='Rules'!$B$14,'Queries'!D623&lt;'Rules'!$B$16),1,0)</x:f>
        <x:v>0</x:v>
      </x:c>
      <x:c r="G623" s="16" t="n">
        <x:v>1</x:v>
      </x:c>
      <x:c r="H623" s="16" t="n">
        <x:v>1</x:v>
      </x:c>
      <x:c r="I623" s="16" t="n">
        <x:f>ROUND((B623*'Rules'!$B$6+C623/'Rules'!$B$12*'Rules'!$B$7+D623*'Rules'!$B$8+E623*'Rules'!$B$9+F623*'Rules'!$B$10+G623*'Rules'!$B$11)*H623,1)</x:f>
        <x:v>69</x:v>
      </x:c>
      <x:c r="J623" s="18" t="n">
        <x:f>'Queries'!C623*'Queries'!E623</x:f>
        <x:v>620.97</x:v>
      </x:c>
    </x:row>
    <x:row r="624" ht="32" customHeight="1">
      <x:c r="A624" s="6" t="str">
        <x:v>aston martin garage dubai</x:v>
      </x:c>
      <x:c r="B624" s="16" t="n">
        <x:v>1</x:v>
      </x:c>
      <x:c r="C624" s="16" t="n">
        <x:v>5</x:v>
      </x:c>
      <x:c r="D624" s="16" t="n">
        <x:f>IF('Queries'!E624&lt;='Rules'!$B$17,'Rules'!$B$21,IF('Queries'!E624&lt;='Rules'!$B$18,'Rules'!$B$22,IF('Queries'!E624&lt;='Rules'!$B$19,'Rules'!$B$23,IF('Queries'!E624&lt;='Rules'!$B$20,'Rules'!$B$24,'Rules'!$B$25))))</x:f>
        <x:v>0.4</x:v>
      </x:c>
      <x:c r="E624" s="16" t="n">
        <x:f>MIN(LOG10(1+'Queries'!C624)/'Rules'!$B$13,1)</x:f>
        <x:v>0.44747422694073663</x:v>
      </x:c>
      <x:c r="F624" s="16" t="n">
        <x:f>IF(AND('Queries'!E624&lt;='Rules'!$B$15,'Queries'!C624&gt;='Rules'!$B$14,'Queries'!D624&lt;'Rules'!$B$16),1,0)</x:f>
        <x:v>0</x:v>
      </x:c>
      <x:c r="G624" s="16" t="n">
        <x:v>1</x:v>
      </x:c>
      <x:c r="H624" s="16" t="n">
        <x:v>1</x:v>
      </x:c>
      <x:c r="I624" s="16" t="n">
        <x:f>ROUND((B624*'Rules'!$B$6+C624/'Rules'!$B$12*'Rules'!$B$7+D624*'Rules'!$B$8+E624*'Rules'!$B$9+F624*'Rules'!$B$10+G624*'Rules'!$B$11)*H624,1)</x:f>
        <x:v>69.5</x:v>
      </x:c>
      <x:c r="J624" s="18" t="n">
        <x:f>'Queries'!C624*'Queries'!E624</x:f>
        <x:v>658.98</x:v>
      </x:c>
    </x:row>
    <x:row r="625" ht="32" customHeight="1">
      <x:c r="A625" s="6" t="str">
        <x:v>infiniti service dubai</x:v>
      </x:c>
      <x:c r="B625" s="16" t="n">
        <x:v>1</x:v>
      </x:c>
      <x:c r="C625" s="16" t="n">
        <x:v>3</x:v>
      </x:c>
      <x:c r="D625" s="16" t="n">
        <x:f>IF('Queries'!E625&lt;='Rules'!$B$17,'Rules'!$B$21,IF('Queries'!E625&lt;='Rules'!$B$18,'Rules'!$B$22,IF('Queries'!E625&lt;='Rules'!$B$19,'Rules'!$B$23,IF('Queries'!E625&lt;='Rules'!$B$20,'Rules'!$B$24,'Rules'!$B$25))))</x:f>
        <x:v>0.4</x:v>
      </x:c>
      <x:c r="E625" s="16" t="n">
        <x:f>MIN(LOG10(1+'Queries'!C625)/'Rules'!$B$13,1)</x:f>
        <x:v>0.44747422694073663</x:v>
      </x:c>
      <x:c r="F625" s="16" t="n">
        <x:f>IF(AND('Queries'!E625&lt;='Rules'!$B$15,'Queries'!C625&gt;='Rules'!$B$14,'Queries'!D625&lt;'Rules'!$B$16),1,0)</x:f>
        <x:v>0</x:v>
      </x:c>
      <x:c r="G625" s="16" t="n">
        <x:v>1</x:v>
      </x:c>
      <x:c r="H625" s="16" t="n">
        <x:v>1</x:v>
      </x:c>
      <x:c r="I625" s="16" t="n">
        <x:f>ROUND((B625*'Rules'!$B$6+C625/'Rules'!$B$12*'Rules'!$B$7+D625*'Rules'!$B$8+E625*'Rules'!$B$9+F625*'Rules'!$B$10+G625*'Rules'!$B$11)*H625,1)</x:f>
        <x:v>61.5</x:v>
      </x:c>
      <x:c r="J625" s="18" t="n">
        <x:f>'Queries'!C625*'Queries'!E625</x:f>
        <x:v>662.97</x:v>
      </x:c>
    </x:row>
    <x:row r="626" ht="32" customHeight="1">
      <x:c r="A626" s="6" t="str">
        <x:v>hummer garage dubai</x:v>
      </x:c>
      <x:c r="B626" s="16" t="n">
        <x:v>1</x:v>
      </x:c>
      <x:c r="C626" s="16" t="n">
        <x:v>3</x:v>
      </x:c>
      <x:c r="D626" s="16" t="n">
        <x:f>IF('Queries'!E626&lt;='Rules'!$B$17,'Rules'!$B$21,IF('Queries'!E626&lt;='Rules'!$B$18,'Rules'!$B$22,IF('Queries'!E626&lt;='Rules'!$B$19,'Rules'!$B$23,IF('Queries'!E626&lt;='Rules'!$B$20,'Rules'!$B$24,'Rules'!$B$25))))</x:f>
        <x:v>0.4</x:v>
      </x:c>
      <x:c r="E626" s="16" t="n">
        <x:f>MIN(LOG10(1+'Queries'!C626)/'Rules'!$B$13,1)</x:f>
        <x:v>0.44747422694073663</x:v>
      </x:c>
      <x:c r="F626" s="16" t="n">
        <x:f>IF(AND('Queries'!E626&lt;='Rules'!$B$15,'Queries'!C626&gt;='Rules'!$B$14,'Queries'!D626&lt;'Rules'!$B$16),1,0)</x:f>
        <x:v>0</x:v>
      </x:c>
      <x:c r="G626" s="16" t="n">
        <x:v>1</x:v>
      </x:c>
      <x:c r="H626" s="16" t="n">
        <x:v>1</x:v>
      </x:c>
      <x:c r="I626" s="16" t="n">
        <x:f>ROUND((B626*'Rules'!$B$6+C626/'Rules'!$B$12*'Rules'!$B$7+D626*'Rules'!$B$8+E626*'Rules'!$B$9+F626*'Rules'!$B$10+G626*'Rules'!$B$11)*H626,1)</x:f>
        <x:v>61.5</x:v>
      </x:c>
      <x:c r="J626" s="18" t="n">
        <x:f>'Queries'!C626*'Queries'!E626</x:f>
        <x:v>728.07</x:v>
      </x:c>
    </x:row>
    <x:row r="627" ht="32" customHeight="1">
      <x:c r="A627" s="6" t="str">
        <x:v>infiniti repair dubai</x:v>
      </x:c>
      <x:c r="B627" s="16" t="n">
        <x:v>1</x:v>
      </x:c>
      <x:c r="C627" s="16" t="n">
        <x:v>3</x:v>
      </x:c>
      <x:c r="D627" s="16" t="n">
        <x:f>IF('Queries'!E627&lt;='Rules'!$B$17,'Rules'!$B$21,IF('Queries'!E627&lt;='Rules'!$B$18,'Rules'!$B$22,IF('Queries'!E627&lt;='Rules'!$B$19,'Rules'!$B$23,IF('Queries'!E627&lt;='Rules'!$B$20,'Rules'!$B$24,'Rules'!$B$25))))</x:f>
        <x:v>0.4</x:v>
      </x:c>
      <x:c r="E627" s="16" t="n">
        <x:f>MIN(LOG10(1+'Queries'!C627)/'Rules'!$B$13,1)</x:f>
        <x:v>0.44747422694073663</x:v>
      </x:c>
      <x:c r="F627" s="16" t="n">
        <x:f>IF(AND('Queries'!E627&lt;='Rules'!$B$15,'Queries'!C627&gt;='Rules'!$B$14,'Queries'!D627&lt;'Rules'!$B$16),1,0)</x:f>
        <x:v>0</x:v>
      </x:c>
      <x:c r="G627" s="16" t="n">
        <x:v>1</x:v>
      </x:c>
      <x:c r="H627" s="16" t="n">
        <x:v>1</x:v>
      </x:c>
      <x:c r="I627" s="16" t="n">
        <x:f>ROUND((B627*'Rules'!$B$6+C627/'Rules'!$B$12*'Rules'!$B$7+D627*'Rules'!$B$8+E627*'Rules'!$B$9+F627*'Rules'!$B$10+G627*'Rules'!$B$11)*H627,1)</x:f>
        <x:v>61.5</x:v>
      </x:c>
      <x:c r="J627" s="18" t="n">
        <x:f>'Queries'!C627*'Queries'!E627</x:f>
        <x:v>729.9599999999999</x:v>
      </x:c>
    </x:row>
    <x:row r="628" ht="32" customHeight="1">
      <x:c r="A628" s="6" t="str">
        <x:v>maserati service dubai</x:v>
      </x:c>
      <x:c r="B628" s="16" t="n">
        <x:v>1</x:v>
      </x:c>
      <x:c r="C628" s="16" t="n">
        <x:v>5</x:v>
      </x:c>
      <x:c r="D628" s="16" t="n">
        <x:f>IF('Queries'!E628&lt;='Rules'!$B$17,'Rules'!$B$21,IF('Queries'!E628&lt;='Rules'!$B$18,'Rules'!$B$22,IF('Queries'!E628&lt;='Rules'!$B$19,'Rules'!$B$23,IF('Queries'!E628&lt;='Rules'!$B$20,'Rules'!$B$24,'Rules'!$B$25))))</x:f>
        <x:v>0.4</x:v>
      </x:c>
      <x:c r="E628" s="16" t="n">
        <x:f>MIN(LOG10(1+'Queries'!C628)/'Rules'!$B$13,1)</x:f>
        <x:v>0.44747422694073663</x:v>
      </x:c>
      <x:c r="F628" s="16" t="n">
        <x:f>IF(AND('Queries'!E628&lt;='Rules'!$B$15,'Queries'!C628&gt;='Rules'!$B$14,'Queries'!D628&lt;'Rules'!$B$16),1,0)</x:f>
        <x:v>0</x:v>
      </x:c>
      <x:c r="G628" s="16" t="n">
        <x:v>1</x:v>
      </x:c>
      <x:c r="H628" s="16" t="n">
        <x:v>1</x:v>
      </x:c>
      <x:c r="I628" s="16" t="n">
        <x:f>ROUND((B628*'Rules'!$B$6+C628/'Rules'!$B$12*'Rules'!$B$7+D628*'Rules'!$B$8+E628*'Rules'!$B$9+F628*'Rules'!$B$10+G628*'Rules'!$B$11)*H628,1)</x:f>
        <x:v>69.5</x:v>
      </x:c>
      <x:c r="J628" s="18" t="n">
        <x:f>'Queries'!C628*'Queries'!E628</x:f>
        <x:v>731.01</x:v>
      </x:c>
    </x:row>
    <x:row r="629" ht="32" customHeight="1">
      <x:c r="A629" s="6" t="str">
        <x:v>car electrical fault repair in dubai</x:v>
      </x:c>
      <x:c r="B629" s="16" t="n">
        <x:v>1</x:v>
      </x:c>
      <x:c r="C629" s="16" t="n">
        <x:v>3</x:v>
      </x:c>
      <x:c r="D629" s="16" t="n">
        <x:f>IF('Queries'!E629&lt;='Rules'!$B$17,'Rules'!$B$21,IF('Queries'!E629&lt;='Rules'!$B$18,'Rules'!$B$22,IF('Queries'!E629&lt;='Rules'!$B$19,'Rules'!$B$23,IF('Queries'!E629&lt;='Rules'!$B$20,'Rules'!$B$24,'Rules'!$B$25))))</x:f>
        <x:v>0.15</x:v>
      </x:c>
      <x:c r="E629" s="16" t="n">
        <x:f>MIN(LOG10(1+'Queries'!C629)/'Rules'!$B$13,1)</x:f>
        <x:v>0.44747422694073663</x:v>
      </x:c>
      <x:c r="F629" s="16" t="n">
        <x:f>IF(AND('Queries'!E629&lt;='Rules'!$B$15,'Queries'!C629&gt;='Rules'!$B$14,'Queries'!D629&lt;'Rules'!$B$16),1,0)</x:f>
        <x:v>0</x:v>
      </x:c>
      <x:c r="G629" s="16" t="n">
        <x:v>1</x:v>
      </x:c>
      <x:c r="H629" s="16" t="n">
        <x:v>1</x:v>
      </x:c>
      <x:c r="I629" s="16" t="n">
        <x:f>ROUND((B629*'Rules'!$B$6+C629/'Rules'!$B$12*'Rules'!$B$7+D629*'Rules'!$B$8+E629*'Rules'!$B$9+F629*'Rules'!$B$10+G629*'Rules'!$B$11)*H629,1)</x:f>
        <x:v>55.2</x:v>
      </x:c>
      <x:c r="J629" s="18" t="n">
        <x:f>'Queries'!C629*'Queries'!E629</x:f>
        <x:v>1015.98</x:v>
      </x:c>
    </x:row>
    <x:row r="630" ht="32" customHeight="1">
      <x:c r="A630" s="6" t="str">
        <x:v>cars garage dubai</x:v>
      </x:c>
      <x:c r="B630" s="16" t="n">
        <x:v>1</x:v>
      </x:c>
      <x:c r="C630" s="16" t="n">
        <x:v>3</x:v>
      </x:c>
      <x:c r="D630" s="16" t="n">
        <x:f>IF('Queries'!E630&lt;='Rules'!$B$17,'Rules'!$B$21,IF('Queries'!E630&lt;='Rules'!$B$18,'Rules'!$B$22,IF('Queries'!E630&lt;='Rules'!$B$19,'Rules'!$B$23,IF('Queries'!E630&lt;='Rules'!$B$20,'Rules'!$B$24,'Rules'!$B$25))))</x:f>
        <x:v>0.15</x:v>
      </x:c>
      <x:c r="E630" s="16" t="n">
        <x:f>MIN(LOG10(1+'Queries'!C630)/'Rules'!$B$13,1)</x:f>
        <x:v>0.44747422694073663</x:v>
      </x:c>
      <x:c r="F630" s="16" t="n">
        <x:f>IF(AND('Queries'!E630&lt;='Rules'!$B$15,'Queries'!C630&gt;='Rules'!$B$14,'Queries'!D630&lt;'Rules'!$B$16),1,0)</x:f>
        <x:v>0</x:v>
      </x:c>
      <x:c r="G630" s="16" t="n">
        <x:v>1</x:v>
      </x:c>
      <x:c r="H630" s="16" t="n">
        <x:v>1</x:v>
      </x:c>
      <x:c r="I630" s="16" t="n">
        <x:f>ROUND((B630*'Rules'!$B$6+C630/'Rules'!$B$12*'Rules'!$B$7+D630*'Rules'!$B$8+E630*'Rules'!$B$9+F630*'Rules'!$B$10+G630*'Rules'!$B$11)*H630,1)</x:f>
        <x:v>55.2</x:v>
      </x:c>
      <x:c r="J630" s="18" t="n">
        <x:f>'Queries'!C630*'Queries'!E630</x:f>
        <x:v>1323</x:v>
      </x:c>
    </x:row>
    <x:row r="631" ht="32" customHeight="1">
      <x:c r="A631" s="6" t="str">
        <x:v>mercedes benz air conditioning repair</x:v>
      </x:c>
      <x:c r="B631" s="16" t="n">
        <x:v>0.8</x:v>
      </x:c>
      <x:c r="C631" s="16" t="n">
        <x:v>5</x:v>
      </x:c>
      <x:c r="D631" s="16" t="n">
        <x:f>IF('Queries'!E631&lt;='Rules'!$B$17,'Rules'!$B$21,IF('Queries'!E631&lt;='Rules'!$B$18,'Rules'!$B$22,IF('Queries'!E631&lt;='Rules'!$B$19,'Rules'!$B$23,IF('Queries'!E631&lt;='Rules'!$B$20,'Rules'!$B$24,'Rules'!$B$25))))</x:f>
        <x:v>1</x:v>
      </x:c>
      <x:c r="E631" s="16" t="n">
        <x:f>MIN(LOG10(1+'Queries'!C631)/'Rules'!$B$13,1)</x:f>
        <x:v>0.4407397649113067</x:v>
      </x:c>
      <x:c r="F631" s="16" t="n">
        <x:f>IF(AND('Queries'!E631&lt;='Rules'!$B$15,'Queries'!C631&gt;='Rules'!$B$14,'Queries'!D631&lt;'Rules'!$B$16),1,0)</x:f>
        <x:v>1</x:v>
      </x:c>
      <x:c r="G631" s="16" t="n">
        <x:v>1</x:v>
      </x:c>
      <x:c r="H631" s="16" t="n">
        <x:v>1</x:v>
      </x:c>
      <x:c r="I631" s="16" t="n">
        <x:f>ROUND((B631*'Rules'!$B$6+C631/'Rules'!$B$12*'Rules'!$B$7+D631*'Rules'!$B$8+E631*'Rules'!$B$9+F631*'Rules'!$B$10+G631*'Rules'!$B$11)*H631,1)</x:f>
        <x:v>89.4</x:v>
      </x:c>
      <x:c r="J631" s="18" t="n">
        <x:f>'Queries'!C631*'Queries'!E631</x:f>
        <x:v>196</x:v>
      </x:c>
    </x:row>
    <x:row r="632" ht="32" customHeight="1">
      <x:c r="A632" s="6" t="str">
        <x:v>chrysler oil change service</x:v>
      </x:c>
      <x:c r="B632" s="16" t="n">
        <x:v>0.8</x:v>
      </x:c>
      <x:c r="C632" s="16" t="n">
        <x:v>3</x:v>
      </x:c>
      <x:c r="D632" s="16" t="n">
        <x:f>IF('Queries'!E632&lt;='Rules'!$B$17,'Rules'!$B$21,IF('Queries'!E632&lt;='Rules'!$B$18,'Rules'!$B$22,IF('Queries'!E632&lt;='Rules'!$B$19,'Rules'!$B$23,IF('Queries'!E632&lt;='Rules'!$B$20,'Rules'!$B$24,'Rules'!$B$25))))</x:f>
        <x:v>0.7</x:v>
      </x:c>
      <x:c r="E632" s="16" t="n">
        <x:f>MIN(LOG10(1+'Queries'!C632)/'Rules'!$B$13,1)</x:f>
        <x:v>0.4407397649113067</x:v>
      </x:c>
      <x:c r="F632" s="16" t="n">
        <x:f>IF(AND('Queries'!E632&lt;='Rules'!$B$15,'Queries'!C632&gt;='Rules'!$B$14,'Queries'!D632&lt;'Rules'!$B$16),1,0)</x:f>
        <x:v>0</x:v>
      </x:c>
      <x:c r="G632" s="16" t="n">
        <x:v>1</x:v>
      </x:c>
      <x:c r="H632" s="16" t="n">
        <x:v>1</x:v>
      </x:c>
      <x:c r="I632" s="16" t="n">
        <x:f>ROUND((B632*'Rules'!$B$6+C632/'Rules'!$B$12*'Rules'!$B$7+D632*'Rules'!$B$8+E632*'Rules'!$B$9+F632*'Rules'!$B$10+G632*'Rules'!$B$11)*H632,1)</x:f>
        <x:v>63.9</x:v>
      </x:c>
      <x:c r="J632" s="18" t="n">
        <x:f>'Queries'!C632*'Queries'!E632</x:f>
        <x:v>301</x:v>
      </x:c>
    </x:row>
    <x:row r="633" ht="32" customHeight="1">
      <x:c r="A633" s="6" t="str">
        <x:v>car steering box repair</x:v>
      </x:c>
      <x:c r="B633" s="16" t="n">
        <x:v>0.8</x:v>
      </x:c>
      <x:c r="C633" s="16" t="n">
        <x:v>3</x:v>
      </x:c>
      <x:c r="D633" s="16" t="n">
        <x:f>IF('Queries'!E633&lt;='Rules'!$B$17,'Rules'!$B$21,IF('Queries'!E633&lt;='Rules'!$B$18,'Rules'!$B$22,IF('Queries'!E633&lt;='Rules'!$B$19,'Rules'!$B$23,IF('Queries'!E633&lt;='Rules'!$B$20,'Rules'!$B$24,'Rules'!$B$25))))</x:f>
        <x:v>0.7</x:v>
      </x:c>
      <x:c r="E633" s="16" t="n">
        <x:f>MIN(LOG10(1+'Queries'!C633)/'Rules'!$B$13,1)</x:f>
        <x:v>0.4407397649113067</x:v>
      </x:c>
      <x:c r="F633" s="16" t="n">
        <x:f>IF(AND('Queries'!E633&lt;='Rules'!$B$15,'Queries'!C633&gt;='Rules'!$B$14,'Queries'!D633&lt;'Rules'!$B$16),1,0)</x:f>
        <x:v>0</x:v>
      </x:c>
      <x:c r="G633" s="16" t="n">
        <x:v>1</x:v>
      </x:c>
      <x:c r="H633" s="16" t="n">
        <x:v>1</x:v>
      </x:c>
      <x:c r="I633" s="16" t="n">
        <x:f>ROUND((B633*'Rules'!$B$6+C633/'Rules'!$B$12*'Rules'!$B$7+D633*'Rules'!$B$8+E633*'Rules'!$B$9+F633*'Rules'!$B$10+G633*'Rules'!$B$11)*H633,1)</x:f>
        <x:v>63.9</x:v>
      </x:c>
      <x:c r="J633" s="18" t="n">
        <x:f>'Queries'!C633*'Queries'!E633</x:f>
        <x:v>327</x:v>
      </x:c>
    </x:row>
    <x:row r="634" ht="32" customHeight="1">
      <x:c r="A634" s="6" t="str">
        <x:v>land rover transmission repair</x:v>
      </x:c>
      <x:c r="B634" s="16" t="n">
        <x:v>0.8</x:v>
      </x:c>
      <x:c r="C634" s="16" t="n">
        <x:v>5</x:v>
      </x:c>
      <x:c r="D634" s="16" t="n">
        <x:f>IF('Queries'!E634&lt;='Rules'!$B$17,'Rules'!$B$21,IF('Queries'!E634&lt;='Rules'!$B$18,'Rules'!$B$22,IF('Queries'!E634&lt;='Rules'!$B$19,'Rules'!$B$23,IF('Queries'!E634&lt;='Rules'!$B$20,'Rules'!$B$24,'Rules'!$B$25))))</x:f>
        <x:v>0.7</x:v>
      </x:c>
      <x:c r="E634" s="16" t="n">
        <x:f>MIN(LOG10(1+'Queries'!C634)/'Rules'!$B$13,1)</x:f>
        <x:v>0.4407397649113067</x:v>
      </x:c>
      <x:c r="F634" s="16" t="n">
        <x:f>IF(AND('Queries'!E634&lt;='Rules'!$B$15,'Queries'!C634&gt;='Rules'!$B$14,'Queries'!D634&lt;'Rules'!$B$16),1,0)</x:f>
        <x:v>0</x:v>
      </x:c>
      <x:c r="G634" s="16" t="n">
        <x:v>1</x:v>
      </x:c>
      <x:c r="H634" s="16" t="n">
        <x:v>1</x:v>
      </x:c>
      <x:c r="I634" s="16" t="n">
        <x:f>ROUND((B634*'Rules'!$B$6+C634/'Rules'!$B$12*'Rules'!$B$7+D634*'Rules'!$B$8+E634*'Rules'!$B$9+F634*'Rules'!$B$10+G634*'Rules'!$B$11)*H634,1)</x:f>
        <x:v>71.9</x:v>
      </x:c>
      <x:c r="J634" s="18" t="n">
        <x:f>'Queries'!C634*'Queries'!E634</x:f>
        <x:v>369</x:v>
      </x:c>
    </x:row>
    <x:row r="635" ht="32" customHeight="1">
      <x:c r="A635" s="6" t="str">
        <x:v>mercedes repair shop near me</x:v>
      </x:c>
      <x:c r="B635" s="16" t="n">
        <x:v>1</x:v>
      </x:c>
      <x:c r="C635" s="16" t="n">
        <x:v>5</x:v>
      </x:c>
      <x:c r="D635" s="16" t="n">
        <x:f>IF('Queries'!E635&lt;='Rules'!$B$17,'Rules'!$B$21,IF('Queries'!E635&lt;='Rules'!$B$18,'Rules'!$B$22,IF('Queries'!E635&lt;='Rules'!$B$19,'Rules'!$B$23,IF('Queries'!E635&lt;='Rules'!$B$20,'Rules'!$B$24,'Rules'!$B$25))))</x:f>
        <x:v>0.7</x:v>
      </x:c>
      <x:c r="E635" s="16" t="n">
        <x:f>MIN(LOG10(1+'Queries'!C635)/'Rules'!$B$13,1)</x:f>
        <x:v>0.4407397649113067</x:v>
      </x:c>
      <x:c r="F635" s="16" t="n">
        <x:f>IF(AND('Queries'!E635&lt;='Rules'!$B$15,'Queries'!C635&gt;='Rules'!$B$14,'Queries'!D635&lt;'Rules'!$B$16),1,0)</x:f>
        <x:v>0</x:v>
      </x:c>
      <x:c r="G635" s="16" t="n">
        <x:v>1</x:v>
      </x:c>
      <x:c r="H635" s="16" t="n">
        <x:v>1</x:v>
      </x:c>
      <x:c r="I635" s="16" t="n">
        <x:f>ROUND((B635*'Rules'!$B$6+C635/'Rules'!$B$12*'Rules'!$B$7+D635*'Rules'!$B$8+E635*'Rules'!$B$9+F635*'Rules'!$B$10+G635*'Rules'!$B$11)*H635,1)</x:f>
        <x:v>76.9</x:v>
      </x:c>
      <x:c r="J635" s="18" t="n">
        <x:f>'Queries'!C635*'Queries'!E635</x:f>
        <x:v>432</x:v>
      </x:c>
    </x:row>
    <x:row r="636" ht="32" customHeight="1">
      <x:c r="A636" s="6" t="str">
        <x:v>mercedes electrical repair</x:v>
      </x:c>
      <x:c r="B636" s="16" t="n">
        <x:v>0.8</x:v>
      </x:c>
      <x:c r="C636" s="16" t="n">
        <x:v>5</x:v>
      </x:c>
      <x:c r="D636" s="16" t="n">
        <x:f>IF('Queries'!E636&lt;='Rules'!$B$17,'Rules'!$B$21,IF('Queries'!E636&lt;='Rules'!$B$18,'Rules'!$B$22,IF('Queries'!E636&lt;='Rules'!$B$19,'Rules'!$B$23,IF('Queries'!E636&lt;='Rules'!$B$20,'Rules'!$B$24,'Rules'!$B$25))))</x:f>
        <x:v>0.7</x:v>
      </x:c>
      <x:c r="E636" s="16" t="n">
        <x:f>MIN(LOG10(1+'Queries'!C636)/'Rules'!$B$13,1)</x:f>
        <x:v>0.4407397649113067</x:v>
      </x:c>
      <x:c r="F636" s="16" t="n">
        <x:f>IF(AND('Queries'!E636&lt;='Rules'!$B$15,'Queries'!C636&gt;='Rules'!$B$14,'Queries'!D636&lt;'Rules'!$B$16),1,0)</x:f>
        <x:v>0</x:v>
      </x:c>
      <x:c r="G636" s="16" t="n">
        <x:v>1</x:v>
      </x:c>
      <x:c r="H636" s="16" t="n">
        <x:v>1</x:v>
      </x:c>
      <x:c r="I636" s="16" t="n">
        <x:f>ROUND((B636*'Rules'!$B$6+C636/'Rules'!$B$12*'Rules'!$B$7+D636*'Rules'!$B$8+E636*'Rules'!$B$9+F636*'Rules'!$B$10+G636*'Rules'!$B$11)*H636,1)</x:f>
        <x:v>71.9</x:v>
      </x:c>
      <x:c r="J636" s="18" t="n">
        <x:f>'Queries'!C636*'Queries'!E636</x:f>
        <x:v>484</x:v>
      </x:c>
    </x:row>
    <x:row r="637" ht="32" customHeight="1">
      <x:c r="A637" s="6" t="str">
        <x:v>porsche 911 repair dubai</x:v>
      </x:c>
      <x:c r="B637" s="16" t="n">
        <x:v>1</x:v>
      </x:c>
      <x:c r="C637" s="16" t="n">
        <x:v>5</x:v>
      </x:c>
      <x:c r="D637" s="16" t="n">
        <x:f>IF('Queries'!E637&lt;='Rules'!$B$17,'Rules'!$B$21,IF('Queries'!E637&lt;='Rules'!$B$18,'Rules'!$B$22,IF('Queries'!E637&lt;='Rules'!$B$19,'Rules'!$B$23,IF('Queries'!E637&lt;='Rules'!$B$20,'Rules'!$B$24,'Rules'!$B$25))))</x:f>
        <x:v>0.7</x:v>
      </x:c>
      <x:c r="E637" s="16" t="n">
        <x:f>MIN(LOG10(1+'Queries'!C637)/'Rules'!$B$13,1)</x:f>
        <x:v>0.4407397649113067</x:v>
      </x:c>
      <x:c r="F637" s="16" t="n">
        <x:f>IF(AND('Queries'!E637&lt;='Rules'!$B$15,'Queries'!C637&gt;='Rules'!$B$14,'Queries'!D637&lt;'Rules'!$B$16),1,0)</x:f>
        <x:v>0</x:v>
      </x:c>
      <x:c r="G637" s="16" t="n">
        <x:v>1</x:v>
      </x:c>
      <x:c r="H637" s="16" t="n">
        <x:v>1</x:v>
      </x:c>
      <x:c r="I637" s="16" t="n">
        <x:f>ROUND((B637*'Rules'!$B$6+C637/'Rules'!$B$12*'Rules'!$B$7+D637*'Rules'!$B$8+E637*'Rules'!$B$9+F637*'Rules'!$B$10+G637*'Rules'!$B$11)*H637,1)</x:f>
        <x:v>76.9</x:v>
      </x:c>
      <x:c r="J637" s="18" t="n">
        <x:f>'Queries'!C637*'Queries'!E637</x:f>
        <x:v>510</x:v>
      </x:c>
    </x:row>
    <x:row r="638" ht="32" customHeight="1">
      <x:c r="A638" s="6" t="str">
        <x:v>lotus engine repair dubai</x:v>
      </x:c>
      <x:c r="B638" s="16" t="n">
        <x:v>1</x:v>
      </x:c>
      <x:c r="C638" s="16" t="n">
        <x:v>5</x:v>
      </x:c>
      <x:c r="D638" s="16" t="n">
        <x:f>IF('Queries'!E638&lt;='Rules'!$B$17,'Rules'!$B$21,IF('Queries'!E638&lt;='Rules'!$B$18,'Rules'!$B$22,IF('Queries'!E638&lt;='Rules'!$B$19,'Rules'!$B$23,IF('Queries'!E638&lt;='Rules'!$B$20,'Rules'!$B$24,'Rules'!$B$25))))</x:f>
        <x:v>0.7</x:v>
      </x:c>
      <x:c r="E638" s="16" t="n">
        <x:f>MIN(LOG10(1+'Queries'!C638)/'Rules'!$B$13,1)</x:f>
        <x:v>0.4407397649113067</x:v>
      </x:c>
      <x:c r="F638" s="16" t="n">
        <x:f>IF(AND('Queries'!E638&lt;='Rules'!$B$15,'Queries'!C638&gt;='Rules'!$B$14,'Queries'!D638&lt;'Rules'!$B$16),1,0)</x:f>
        <x:v>0</x:v>
      </x:c>
      <x:c r="G638" s="16" t="n">
        <x:v>1</x:v>
      </x:c>
      <x:c r="H638" s="16" t="n">
        <x:v>1</x:v>
      </x:c>
      <x:c r="I638" s="16" t="n">
        <x:f>ROUND((B638*'Rules'!$B$6+C638/'Rules'!$B$12*'Rules'!$B$7+D638*'Rules'!$B$8+E638*'Rules'!$B$9+F638*'Rules'!$B$10+G638*'Rules'!$B$11)*H638,1)</x:f>
        <x:v>76.9</x:v>
      </x:c>
      <x:c r="J638" s="18" t="n">
        <x:f>'Queries'!C638*'Queries'!E638</x:f>
        <x:v>526</x:v>
      </x:c>
    </x:row>
    <x:row r="639" ht="32" customHeight="1">
      <x:c r="A639" s="6" t="str">
        <x:v>porsche clutch repair dubai</x:v>
      </x:c>
      <x:c r="B639" s="16" t="n">
        <x:v>1</x:v>
      </x:c>
      <x:c r="C639" s="16" t="n">
        <x:v>5</x:v>
      </x:c>
      <x:c r="D639" s="16" t="n">
        <x:f>IF('Queries'!E639&lt;='Rules'!$B$17,'Rules'!$B$21,IF('Queries'!E639&lt;='Rules'!$B$18,'Rules'!$B$22,IF('Queries'!E639&lt;='Rules'!$B$19,'Rules'!$B$23,IF('Queries'!E639&lt;='Rules'!$B$20,'Rules'!$B$24,'Rules'!$B$25))))</x:f>
        <x:v>0.7</x:v>
      </x:c>
      <x:c r="E639" s="16" t="n">
        <x:f>MIN(LOG10(1+'Queries'!C639)/'Rules'!$B$13,1)</x:f>
        <x:v>0.4407397649113067</x:v>
      </x:c>
      <x:c r="F639" s="16" t="n">
        <x:f>IF(AND('Queries'!E639&lt;='Rules'!$B$15,'Queries'!C639&gt;='Rules'!$B$14,'Queries'!D639&lt;'Rules'!$B$16),1,0)</x:f>
        <x:v>0</x:v>
      </x:c>
      <x:c r="G639" s="16" t="n">
        <x:v>1</x:v>
      </x:c>
      <x:c r="H639" s="16" t="n">
        <x:v>1</x:v>
      </x:c>
      <x:c r="I639" s="16" t="n">
        <x:f>ROUND((B639*'Rules'!$B$6+C639/'Rules'!$B$12*'Rules'!$B$7+D639*'Rules'!$B$8+E639*'Rules'!$B$9+F639*'Rules'!$B$10+G639*'Rules'!$B$11)*H639,1)</x:f>
        <x:v>76.9</x:v>
      </x:c>
      <x:c r="J639" s="18" t="n">
        <x:f>'Queries'!C639*'Queries'!E639</x:f>
        <x:v>572</x:v>
      </x:c>
    </x:row>
    <x:row r="640" ht="32" customHeight="1">
      <x:c r="A640" s="6" t="str">
        <x:v>hummer transmission repair dubai</x:v>
      </x:c>
      <x:c r="B640" s="16" t="n">
        <x:v>1</x:v>
      </x:c>
      <x:c r="C640" s="16" t="n">
        <x:v>3</x:v>
      </x:c>
      <x:c r="D640" s="16" t="n">
        <x:f>IF('Queries'!E640&lt;='Rules'!$B$17,'Rules'!$B$21,IF('Queries'!E640&lt;='Rules'!$B$18,'Rules'!$B$22,IF('Queries'!E640&lt;='Rules'!$B$19,'Rules'!$B$23,IF('Queries'!E640&lt;='Rules'!$B$20,'Rules'!$B$24,'Rules'!$B$25))))</x:f>
        <x:v>0.7</x:v>
      </x:c>
      <x:c r="E640" s="16" t="n">
        <x:f>MIN(LOG10(1+'Queries'!C640)/'Rules'!$B$13,1)</x:f>
        <x:v>0.4407397649113067</x:v>
      </x:c>
      <x:c r="F640" s="16" t="n">
        <x:f>IF(AND('Queries'!E640&lt;='Rules'!$B$15,'Queries'!C640&gt;='Rules'!$B$14,'Queries'!D640&lt;'Rules'!$B$16),1,0)</x:f>
        <x:v>0</x:v>
      </x:c>
      <x:c r="G640" s="16" t="n">
        <x:v>0.25</x:v>
      </x:c>
      <x:c r="H640" s="16" t="n">
        <x:v>0.65</x:v>
      </x:c>
      <x:c r="I640" s="16" t="n">
        <x:f>ROUND((B640*'Rules'!$B$6+C640/'Rules'!$B$12*'Rules'!$B$7+D640*'Rules'!$B$8+E640*'Rules'!$B$9+F640*'Rules'!$B$10+G640*'Rules'!$B$11)*H640,1)</x:f>
        <x:v>39.9</x:v>
      </x:c>
      <x:c r="J640" s="18" t="n">
        <x:f>'Queries'!C640*'Queries'!E640</x:f>
        <x:v>584</x:v>
      </x:c>
    </x:row>
    <x:row r="641" ht="32" customHeight="1">
      <x:c r="A641" s="6" t="str">
        <x:v>volkswagen dsg oil change</x:v>
      </x:c>
      <x:c r="B641" s="16" t="n">
        <x:v>0.8</x:v>
      </x:c>
      <x:c r="C641" s="16" t="n">
        <x:v>3</x:v>
      </x:c>
      <x:c r="D641" s="16" t="n">
        <x:f>IF('Queries'!E641&lt;='Rules'!$B$17,'Rules'!$B$21,IF('Queries'!E641&lt;='Rules'!$B$18,'Rules'!$B$22,IF('Queries'!E641&lt;='Rules'!$B$19,'Rules'!$B$23,IF('Queries'!E641&lt;='Rules'!$B$20,'Rules'!$B$24,'Rules'!$B$25))))</x:f>
        <x:v>0.4</x:v>
      </x:c>
      <x:c r="E641" s="16" t="n">
        <x:f>MIN(LOG10(1+'Queries'!C641)/'Rules'!$B$13,1)</x:f>
        <x:v>0.4407397649113067</x:v>
      </x:c>
      <x:c r="F641" s="16" t="n">
        <x:f>IF(AND('Queries'!E641&lt;='Rules'!$B$15,'Queries'!C641&gt;='Rules'!$B$14,'Queries'!D641&lt;'Rules'!$B$16),1,0)</x:f>
        <x:v>0</x:v>
      </x:c>
      <x:c r="G641" s="16" t="n">
        <x:v>0.25</x:v>
      </x:c>
      <x:c r="H641" s="16" t="n">
        <x:v>0.65</x:v>
      </x:c>
      <x:c r="I641" s="16" t="n">
        <x:f>ROUND((B641*'Rules'!$B$6+C641/'Rules'!$B$12*'Rules'!$B$7+D641*'Rules'!$B$8+E641*'Rules'!$B$9+F641*'Rules'!$B$10+G641*'Rules'!$B$11)*H641,1)</x:f>
        <x:v>31.8</x:v>
      </x:c>
      <x:c r="J641" s="18" t="n">
        <x:f>'Queries'!C641*'Queries'!E641</x:f>
        <x:v>602</x:v>
      </x:c>
    </x:row>
    <x:row r="642" ht="32" customHeight="1">
      <x:c r="A642" s="6" t="str">
        <x:v>lincoln service dubai</x:v>
      </x:c>
      <x:c r="B642" s="16" t="n">
        <x:v>1</x:v>
      </x:c>
      <x:c r="C642" s="16" t="n">
        <x:v>3</x:v>
      </x:c>
      <x:c r="D642" s="16" t="n">
        <x:f>IF('Queries'!E642&lt;='Rules'!$B$17,'Rules'!$B$21,IF('Queries'!E642&lt;='Rules'!$B$18,'Rules'!$B$22,IF('Queries'!E642&lt;='Rules'!$B$19,'Rules'!$B$23,IF('Queries'!E642&lt;='Rules'!$B$20,'Rules'!$B$24,'Rules'!$B$25))))</x:f>
        <x:v>0.4</x:v>
      </x:c>
      <x:c r="E642" s="16" t="n">
        <x:f>MIN(LOG10(1+'Queries'!C642)/'Rules'!$B$13,1)</x:f>
        <x:v>0.4407397649113067</x:v>
      </x:c>
      <x:c r="F642" s="16" t="n">
        <x:f>IF(AND('Queries'!E642&lt;='Rules'!$B$15,'Queries'!C642&gt;='Rules'!$B$14,'Queries'!D642&lt;'Rules'!$B$16),1,0)</x:f>
        <x:v>0</x:v>
      </x:c>
      <x:c r="G642" s="16" t="n">
        <x:v>1</x:v>
      </x:c>
      <x:c r="H642" s="16" t="n">
        <x:v>1</x:v>
      </x:c>
      <x:c r="I642" s="16" t="n">
        <x:f>ROUND((B642*'Rules'!$B$6+C642/'Rules'!$B$12*'Rules'!$B$7+D642*'Rules'!$B$8+E642*'Rules'!$B$9+F642*'Rules'!$B$10+G642*'Rules'!$B$11)*H642,1)</x:f>
        <x:v>61.4</x:v>
      </x:c>
      <x:c r="J642" s="18" t="n">
        <x:f>'Queries'!C642*'Queries'!E642</x:f>
        <x:v>610</x:v>
      </x:c>
    </x:row>
    <x:row r="643" ht="32" customHeight="1">
      <x:c r="A643" s="6" t="str">
        <x:v>porsche suspension repair</x:v>
      </x:c>
      <x:c r="B643" s="16" t="n">
        <x:v>0.8</x:v>
      </x:c>
      <x:c r="C643" s="16" t="n">
        <x:v>5</x:v>
      </x:c>
      <x:c r="D643" s="16" t="n">
        <x:f>IF('Queries'!E643&lt;='Rules'!$B$17,'Rules'!$B$21,IF('Queries'!E643&lt;='Rules'!$B$18,'Rules'!$B$22,IF('Queries'!E643&lt;='Rules'!$B$19,'Rules'!$B$23,IF('Queries'!E643&lt;='Rules'!$B$20,'Rules'!$B$24,'Rules'!$B$25))))</x:f>
        <x:v>0.4</x:v>
      </x:c>
      <x:c r="E643" s="16" t="n">
        <x:f>MIN(LOG10(1+'Queries'!C643)/'Rules'!$B$13,1)</x:f>
        <x:v>0.4407397649113067</x:v>
      </x:c>
      <x:c r="F643" s="16" t="n">
        <x:f>IF(AND('Queries'!E643&lt;='Rules'!$B$15,'Queries'!C643&gt;='Rules'!$B$14,'Queries'!D643&lt;'Rules'!$B$16),1,0)</x:f>
        <x:v>0</x:v>
      </x:c>
      <x:c r="G643" s="16" t="n">
        <x:v>1</x:v>
      </x:c>
      <x:c r="H643" s="16" t="n">
        <x:v>1</x:v>
      </x:c>
      <x:c r="I643" s="16" t="n">
        <x:f>ROUND((B643*'Rules'!$B$6+C643/'Rules'!$B$12*'Rules'!$B$7+D643*'Rules'!$B$8+E643*'Rules'!$B$9+F643*'Rules'!$B$10+G643*'Rules'!$B$11)*H643,1)</x:f>
        <x:v>64.4</x:v>
      </x:c>
      <x:c r="J643" s="18" t="n">
        <x:f>'Queries'!C643*'Queries'!E643</x:f>
        <x:v>644</x:v>
      </x:c>
    </x:row>
    <x:row r="644" ht="32" customHeight="1">
      <x:c r="A644" s="6" t="str">
        <x:v>mercedes car service</x:v>
      </x:c>
      <x:c r="B644" s="16" t="n">
        <x:v>0.8</x:v>
      </x:c>
      <x:c r="C644" s="16" t="n">
        <x:v>5</x:v>
      </x:c>
      <x:c r="D644" s="16" t="n">
        <x:f>IF('Queries'!E644&lt;='Rules'!$B$17,'Rules'!$B$21,IF('Queries'!E644&lt;='Rules'!$B$18,'Rules'!$B$22,IF('Queries'!E644&lt;='Rules'!$B$19,'Rules'!$B$23,IF('Queries'!E644&lt;='Rules'!$B$20,'Rules'!$B$24,'Rules'!$B$25))))</x:f>
        <x:v>0.4</x:v>
      </x:c>
      <x:c r="E644" s="16" t="n">
        <x:f>MIN(LOG10(1+'Queries'!C644)/'Rules'!$B$13,1)</x:f>
        <x:v>0.4407397649113067</x:v>
      </x:c>
      <x:c r="F644" s="16" t="n">
        <x:f>IF(AND('Queries'!E644&lt;='Rules'!$B$15,'Queries'!C644&gt;='Rules'!$B$14,'Queries'!D644&lt;'Rules'!$B$16),1,0)</x:f>
        <x:v>0</x:v>
      </x:c>
      <x:c r="G644" s="16" t="n">
        <x:v>1</x:v>
      </x:c>
      <x:c r="H644" s="16" t="n">
        <x:v>1</x:v>
      </x:c>
      <x:c r="I644" s="16" t="n">
        <x:f>ROUND((B644*'Rules'!$B$6+C644/'Rules'!$B$12*'Rules'!$B$7+D644*'Rules'!$B$8+E644*'Rules'!$B$9+F644*'Rules'!$B$10+G644*'Rules'!$B$11)*H644,1)</x:f>
        <x:v>64.4</x:v>
      </x:c>
      <x:c r="J644" s="18" t="n">
        <x:f>'Queries'!C644*'Queries'!E644</x:f>
        <x:v>653</x:v>
      </x:c>
    </x:row>
    <x:row r="645" ht="32" customHeight="1">
      <x:c r="A645" s="6" t="str">
        <x:v>nissan near me service</x:v>
      </x:c>
      <x:c r="B645" s="16" t="n">
        <x:v>1</x:v>
      </x:c>
      <x:c r="C645" s="16" t="n">
        <x:v>3</x:v>
      </x:c>
      <x:c r="D645" s="16" t="n">
        <x:f>IF('Queries'!E645&lt;='Rules'!$B$17,'Rules'!$B$21,IF('Queries'!E645&lt;='Rules'!$B$18,'Rules'!$B$22,IF('Queries'!E645&lt;='Rules'!$B$19,'Rules'!$B$23,IF('Queries'!E645&lt;='Rules'!$B$20,'Rules'!$B$24,'Rules'!$B$25))))</x:f>
        <x:v>0.4</x:v>
      </x:c>
      <x:c r="E645" s="16" t="n">
        <x:f>MIN(LOG10(1+'Queries'!C645)/'Rules'!$B$13,1)</x:f>
        <x:v>0.4407397649113067</x:v>
      </x:c>
      <x:c r="F645" s="16" t="n">
        <x:f>IF(AND('Queries'!E645&lt;='Rules'!$B$15,'Queries'!C645&gt;='Rules'!$B$14,'Queries'!D645&lt;'Rules'!$B$16),1,0)</x:f>
        <x:v>0</x:v>
      </x:c>
      <x:c r="G645" s="16" t="n">
        <x:v>1</x:v>
      </x:c>
      <x:c r="H645" s="16" t="n">
        <x:v>1</x:v>
      </x:c>
      <x:c r="I645" s="16" t="n">
        <x:f>ROUND((B645*'Rules'!$B$6+C645/'Rules'!$B$12*'Rules'!$B$7+D645*'Rules'!$B$8+E645*'Rules'!$B$9+F645*'Rules'!$B$10+G645*'Rules'!$B$11)*H645,1)</x:f>
        <x:v>61.4</x:v>
      </x:c>
      <x:c r="J645" s="18" t="n">
        <x:f>'Queries'!C645*'Queries'!E645</x:f>
        <x:v>694</x:v>
      </x:c>
    </x:row>
    <x:row r="646" ht="32" customHeight="1">
      <x:c r="A646" s="6" t="str">
        <x:v>cadillac maintenance dubai</x:v>
      </x:c>
      <x:c r="B646" s="16" t="n">
        <x:v>1</x:v>
      </x:c>
      <x:c r="C646" s="16" t="n">
        <x:v>3</x:v>
      </x:c>
      <x:c r="D646" s="16" t="n">
        <x:f>IF('Queries'!E646&lt;='Rules'!$B$17,'Rules'!$B$21,IF('Queries'!E646&lt;='Rules'!$B$18,'Rules'!$B$22,IF('Queries'!E646&lt;='Rules'!$B$19,'Rules'!$B$23,IF('Queries'!E646&lt;='Rules'!$B$20,'Rules'!$B$24,'Rules'!$B$25))))</x:f>
        <x:v>0.4</x:v>
      </x:c>
      <x:c r="E646" s="16" t="n">
        <x:f>MIN(LOG10(1+'Queries'!C646)/'Rules'!$B$13,1)</x:f>
        <x:v>0.4407397649113067</x:v>
      </x:c>
      <x:c r="F646" s="16" t="n">
        <x:f>IF(AND('Queries'!E646&lt;='Rules'!$B$15,'Queries'!C646&gt;='Rules'!$B$14,'Queries'!D646&lt;'Rules'!$B$16),1,0)</x:f>
        <x:v>0</x:v>
      </x:c>
      <x:c r="G646" s="16" t="n">
        <x:v>1</x:v>
      </x:c>
      <x:c r="H646" s="16" t="n">
        <x:v>1</x:v>
      </x:c>
      <x:c r="I646" s="16" t="n">
        <x:f>ROUND((B646*'Rules'!$B$6+C646/'Rules'!$B$12*'Rules'!$B$7+D646*'Rules'!$B$8+E646*'Rules'!$B$9+F646*'Rules'!$B$10+G646*'Rules'!$B$11)*H646,1)</x:f>
        <x:v>61.4</x:v>
      </x:c>
      <x:c r="J646" s="18" t="n">
        <x:f>'Queries'!C646*'Queries'!E646</x:f>
        <x:v>747</x:v>
      </x:c>
    </x:row>
    <x:row r="647" ht="32" customHeight="1">
      <x:c r="A647" s="6" t="str">
        <x:v>volvo service in dubai</x:v>
      </x:c>
      <x:c r="B647" s="16" t="n">
        <x:v>1</x:v>
      </x:c>
      <x:c r="C647" s="16" t="n">
        <x:v>3</x:v>
      </x:c>
      <x:c r="D647" s="16" t="n">
        <x:f>IF('Queries'!E647&lt;='Rules'!$B$17,'Rules'!$B$21,IF('Queries'!E647&lt;='Rules'!$B$18,'Rules'!$B$22,IF('Queries'!E647&lt;='Rules'!$B$19,'Rules'!$B$23,IF('Queries'!E647&lt;='Rules'!$B$20,'Rules'!$B$24,'Rules'!$B$25))))</x:f>
        <x:v>0.4</x:v>
      </x:c>
      <x:c r="E647" s="16" t="n">
        <x:f>MIN(LOG10(1+'Queries'!C647)/'Rules'!$B$13,1)</x:f>
        <x:v>0.4407397649113067</x:v>
      </x:c>
      <x:c r="F647" s="16" t="n">
        <x:f>IF(AND('Queries'!E647&lt;='Rules'!$B$15,'Queries'!C647&gt;='Rules'!$B$14,'Queries'!D647&lt;'Rules'!$B$16),1,0)</x:f>
        <x:v>0</x:v>
      </x:c>
      <x:c r="G647" s="16" t="n">
        <x:v>1</x:v>
      </x:c>
      <x:c r="H647" s="16" t="n">
        <x:v>1</x:v>
      </x:c>
      <x:c r="I647" s="16" t="n">
        <x:f>ROUND((B647*'Rules'!$B$6+C647/'Rules'!$B$12*'Rules'!$B$7+D647*'Rules'!$B$8+E647*'Rules'!$B$9+F647*'Rules'!$B$10+G647*'Rules'!$B$11)*H647,1)</x:f>
        <x:v>61.4</x:v>
      </x:c>
      <x:c r="J647" s="18" t="n">
        <x:f>'Queries'!C647*'Queries'!E647</x:f>
        <x:v>774</x:v>
      </x:c>
    </x:row>
    <x:row r="648" ht="32" customHeight="1">
      <x:c r="A648" s="6" t="str">
        <x:v>best bmw mechanic abu dhabi</x:v>
      </x:c>
      <x:c r="B648" s="16" t="n">
        <x:v>1</x:v>
      </x:c>
      <x:c r="C648" s="16" t="n">
        <x:v>1</x:v>
      </x:c>
      <x:c r="D648" s="16" t="n">
        <x:f>IF('Queries'!E648&lt;='Rules'!$B$17,'Rules'!$B$21,IF('Queries'!E648&lt;='Rules'!$B$18,'Rules'!$B$22,IF('Queries'!E648&lt;='Rules'!$B$19,'Rules'!$B$23,IF('Queries'!E648&lt;='Rules'!$B$20,'Rules'!$B$24,'Rules'!$B$25))))</x:f>
        <x:v>0.15</x:v>
      </x:c>
      <x:c r="E648" s="16" t="n">
        <x:f>MIN(LOG10(1+'Queries'!C648)/'Rules'!$B$13,1)</x:f>
        <x:v>0.4407397649113067</x:v>
      </x:c>
      <x:c r="F648" s="16" t="n">
        <x:f>IF(AND('Queries'!E648&lt;='Rules'!$B$15,'Queries'!C648&gt;='Rules'!$B$14,'Queries'!D648&lt;'Rules'!$B$16),1,0)</x:f>
        <x:v>0</x:v>
      </x:c>
      <x:c r="G648" s="16" t="n">
        <x:v>1</x:v>
      </x:c>
      <x:c r="H648" s="16" t="n">
        <x:v>0.2</x:v>
      </x:c>
      <x:c r="I648" s="16" t="n">
        <x:f>ROUND((B648*'Rules'!$B$6+C648/'Rules'!$B$12*'Rules'!$B$7+D648*'Rules'!$B$8+E648*'Rules'!$B$9+F648*'Rules'!$B$10+G648*'Rules'!$B$11)*H648,1)</x:f>
        <x:v>9.4</x:v>
      </x:c>
      <x:c r="J648" s="18" t="n">
        <x:f>'Queries'!C648*'Queries'!E648</x:f>
        <x:v>816</x:v>
      </x:c>
    </x:row>
    <x:row r="649" ht="32" customHeight="1">
      <x:c r="A649" s="6" t="str">
        <x:v>cadillac repair garage dubai</x:v>
      </x:c>
      <x:c r="B649" s="16" t="n">
        <x:v>1</x:v>
      </x:c>
      <x:c r="C649" s="16" t="n">
        <x:v>3</x:v>
      </x:c>
      <x:c r="D649" s="16" t="n">
        <x:f>IF('Queries'!E649&lt;='Rules'!$B$17,'Rules'!$B$21,IF('Queries'!E649&lt;='Rules'!$B$18,'Rules'!$B$22,IF('Queries'!E649&lt;='Rules'!$B$19,'Rules'!$B$23,IF('Queries'!E649&lt;='Rules'!$B$20,'Rules'!$B$24,'Rules'!$B$25))))</x:f>
        <x:v>0.15</x:v>
      </x:c>
      <x:c r="E649" s="16" t="n">
        <x:f>MIN(LOG10(1+'Queries'!C649)/'Rules'!$B$13,1)</x:f>
        <x:v>0.4407397649113067</x:v>
      </x:c>
      <x:c r="F649" s="16" t="n">
        <x:f>IF(AND('Queries'!E649&lt;='Rules'!$B$15,'Queries'!C649&gt;='Rules'!$B$14,'Queries'!D649&lt;'Rules'!$B$16),1,0)</x:f>
        <x:v>0</x:v>
      </x:c>
      <x:c r="G649" s="16" t="n">
        <x:v>1</x:v>
      </x:c>
      <x:c r="H649" s="16" t="n">
        <x:v>1</x:v>
      </x:c>
      <x:c r="I649" s="16" t="n">
        <x:f>ROUND((B649*'Rules'!$B$6+C649/'Rules'!$B$12*'Rules'!$B$7+D649*'Rules'!$B$8+E649*'Rules'!$B$9+F649*'Rules'!$B$10+G649*'Rules'!$B$11)*H649,1)</x:f>
        <x:v>55.2</x:v>
      </x:c>
      <x:c r="J649" s="18" t="n">
        <x:f>'Queries'!C649*'Queries'!E649</x:f>
        <x:v>826</x:v>
      </x:c>
    </x:row>
    <x:row r="650" ht="32" customHeight="1">
      <x:c r="A650" s="6" t="str">
        <x:v>paint protection solutions</x:v>
      </x:c>
      <x:c r="B650" s="16" t="n">
        <x:v>0.8</x:v>
      </x:c>
      <x:c r="C650" s="16" t="n">
        <x:v>5</x:v>
      </x:c>
      <x:c r="D650" s="16" t="n">
        <x:f>IF('Queries'!E650&lt;='Rules'!$B$17,'Rules'!$B$21,IF('Queries'!E650&lt;='Rules'!$B$18,'Rules'!$B$22,IF('Queries'!E650&lt;='Rules'!$B$19,'Rules'!$B$23,IF('Queries'!E650&lt;='Rules'!$B$20,'Rules'!$B$24,'Rules'!$B$25))))</x:f>
        <x:v>0.15</x:v>
      </x:c>
      <x:c r="E650" s="16" t="n">
        <x:f>MIN(LOG10(1+'Queries'!C650)/'Rules'!$B$13,1)</x:f>
        <x:v>0.4407397649113067</x:v>
      </x:c>
      <x:c r="F650" s="16" t="n">
        <x:f>IF(AND('Queries'!E650&lt;='Rules'!$B$15,'Queries'!C650&gt;='Rules'!$B$14,'Queries'!D650&lt;'Rules'!$B$16),1,0)</x:f>
        <x:v>0</x:v>
      </x:c>
      <x:c r="G650" s="16" t="n">
        <x:v>1</x:v>
      </x:c>
      <x:c r="H650" s="16" t="n">
        <x:v>1</x:v>
      </x:c>
      <x:c r="I650" s="16" t="n">
        <x:f>ROUND((B650*'Rules'!$B$6+C650/'Rules'!$B$12*'Rules'!$B$7+D650*'Rules'!$B$8+E650*'Rules'!$B$9+F650*'Rules'!$B$10+G650*'Rules'!$B$11)*H650,1)</x:f>
        <x:v>58.2</x:v>
      </x:c>
      <x:c r="J650" s="18" t="n">
        <x:f>'Queries'!C650*'Queries'!E650</x:f>
        <x:v>840</x:v>
      </x:c>
    </x:row>
    <x:row r="651" ht="32" customHeight="1">
      <x:c r="A651" s="6" t="str">
        <x:v>jeep repair in dubai</x:v>
      </x:c>
      <x:c r="B651" s="16" t="n">
        <x:v>1</x:v>
      </x:c>
      <x:c r="C651" s="16" t="n">
        <x:v>3</x:v>
      </x:c>
      <x:c r="D651" s="16" t="n">
        <x:f>IF('Queries'!E651&lt;='Rules'!$B$17,'Rules'!$B$21,IF('Queries'!E651&lt;='Rules'!$B$18,'Rules'!$B$22,IF('Queries'!E651&lt;='Rules'!$B$19,'Rules'!$B$23,IF('Queries'!E651&lt;='Rules'!$B$20,'Rules'!$B$24,'Rules'!$B$25))))</x:f>
        <x:v>0.15</x:v>
      </x:c>
      <x:c r="E651" s="16" t="n">
        <x:f>MIN(LOG10(1+'Queries'!C651)/'Rules'!$B$13,1)</x:f>
        <x:v>0.4407397649113067</x:v>
      </x:c>
      <x:c r="F651" s="16" t="n">
        <x:f>IF(AND('Queries'!E651&lt;='Rules'!$B$15,'Queries'!C651&gt;='Rules'!$B$14,'Queries'!D651&lt;'Rules'!$B$16),1,0)</x:f>
        <x:v>0</x:v>
      </x:c>
      <x:c r="G651" s="16" t="n">
        <x:v>1</x:v>
      </x:c>
      <x:c r="H651" s="16" t="n">
        <x:v>1</x:v>
      </x:c>
      <x:c r="I651" s="16" t="n">
        <x:f>ROUND((B651*'Rules'!$B$6+C651/'Rules'!$B$12*'Rules'!$B$7+D651*'Rules'!$B$8+E651*'Rules'!$B$9+F651*'Rules'!$B$10+G651*'Rules'!$B$11)*H651,1)</x:f>
        <x:v>55.2</x:v>
      </x:c>
      <x:c r="J651" s="18" t="n">
        <x:f>'Queries'!C651*'Queries'!E651</x:f>
        <x:v>857</x:v>
      </x:c>
    </x:row>
    <x:row r="652" ht="32" customHeight="1">
      <x:c r="A652" s="6" t="str">
        <x:v>porsche specialist near me dubai</x:v>
      </x:c>
      <x:c r="B652" s="16" t="n">
        <x:v>1</x:v>
      </x:c>
      <x:c r="C652" s="16" t="n">
        <x:v>5</x:v>
      </x:c>
      <x:c r="D652" s="16" t="n">
        <x:f>IF('Queries'!E652&lt;='Rules'!$B$17,'Rules'!$B$21,IF('Queries'!E652&lt;='Rules'!$B$18,'Rules'!$B$22,IF('Queries'!E652&lt;='Rules'!$B$19,'Rules'!$B$23,IF('Queries'!E652&lt;='Rules'!$B$20,'Rules'!$B$24,'Rules'!$B$25))))</x:f>
        <x:v>0.15</x:v>
      </x:c>
      <x:c r="E652" s="16" t="n">
        <x:f>MIN(LOG10(1+'Queries'!C652)/'Rules'!$B$13,1)</x:f>
        <x:v>0.4407397649113067</x:v>
      </x:c>
      <x:c r="F652" s="16" t="n">
        <x:f>IF(AND('Queries'!E652&lt;='Rules'!$B$15,'Queries'!C652&gt;='Rules'!$B$14,'Queries'!D652&lt;'Rules'!$B$16),1,0)</x:f>
        <x:v>0</x:v>
      </x:c>
      <x:c r="G652" s="16" t="n">
        <x:v>1</x:v>
      </x:c>
      <x:c r="H652" s="16" t="n">
        <x:v>1</x:v>
      </x:c>
      <x:c r="I652" s="16" t="n">
        <x:f>ROUND((B652*'Rules'!$B$6+C652/'Rules'!$B$12*'Rules'!$B$7+D652*'Rules'!$B$8+E652*'Rules'!$B$9+F652*'Rules'!$B$10+G652*'Rules'!$B$11)*H652,1)</x:f>
        <x:v>63.2</x:v>
      </x:c>
      <x:c r="J652" s="18" t="n">
        <x:f>'Queries'!C652*'Queries'!E652</x:f>
        <x:v>859</x:v>
      </x:c>
    </x:row>
    <x:row r="653" ht="32" customHeight="1">
      <x:c r="A653" s="6" t="str">
        <x:v>car repair workshop dubai</x:v>
      </x:c>
      <x:c r="B653" s="16" t="n">
        <x:v>1</x:v>
      </x:c>
      <x:c r="C653" s="16" t="n">
        <x:v>3</x:v>
      </x:c>
      <x:c r="D653" s="16" t="n">
        <x:f>IF('Queries'!E653&lt;='Rules'!$B$17,'Rules'!$B$21,IF('Queries'!E653&lt;='Rules'!$B$18,'Rules'!$B$22,IF('Queries'!E653&lt;='Rules'!$B$19,'Rules'!$B$23,IF('Queries'!E653&lt;='Rules'!$B$20,'Rules'!$B$24,'Rules'!$B$25))))</x:f>
        <x:v>0.15</x:v>
      </x:c>
      <x:c r="E653" s="16" t="n">
        <x:f>MIN(LOG10(1+'Queries'!C653)/'Rules'!$B$13,1)</x:f>
        <x:v>0.4407397649113067</x:v>
      </x:c>
      <x:c r="F653" s="16" t="n">
        <x:f>IF(AND('Queries'!E653&lt;='Rules'!$B$15,'Queries'!C653&gt;='Rules'!$B$14,'Queries'!D653&lt;'Rules'!$B$16),1,0)</x:f>
        <x:v>0</x:v>
      </x:c>
      <x:c r="G653" s="16" t="n">
        <x:v>1</x:v>
      </x:c>
      <x:c r="H653" s="16" t="n">
        <x:v>1</x:v>
      </x:c>
      <x:c r="I653" s="16" t="n">
        <x:f>ROUND((B653*'Rules'!$B$6+C653/'Rules'!$B$12*'Rules'!$B$7+D653*'Rules'!$B$8+E653*'Rules'!$B$9+F653*'Rules'!$B$10+G653*'Rules'!$B$11)*H653,1)</x:f>
        <x:v>55.2</x:v>
      </x:c>
      <x:c r="J653" s="18" t="n">
        <x:f>'Queries'!C653*'Queries'!E653</x:f>
        <x:v>901</x:v>
      </x:c>
    </x:row>
    <x:row r="654" ht="32" customHeight="1">
      <x:c r="A654" s="6" t="str">
        <x:v>mercedes benz oil change</x:v>
      </x:c>
      <x:c r="B654" s="16" t="n">
        <x:v>0.8</x:v>
      </x:c>
      <x:c r="C654" s="16" t="n">
        <x:v>5</x:v>
      </x:c>
      <x:c r="D654" s="16" t="n">
        <x:f>IF('Queries'!E654&lt;='Rules'!$B$17,'Rules'!$B$21,IF('Queries'!E654&lt;='Rules'!$B$18,'Rules'!$B$22,IF('Queries'!E654&lt;='Rules'!$B$19,'Rules'!$B$23,IF('Queries'!E654&lt;='Rules'!$B$20,'Rules'!$B$24,'Rules'!$B$25))))</x:f>
        <x:v>0.15</x:v>
      </x:c>
      <x:c r="E654" s="16" t="n">
        <x:f>MIN(LOG10(1+'Queries'!C654)/'Rules'!$B$13,1)</x:f>
        <x:v>0.4407397649113067</x:v>
      </x:c>
      <x:c r="F654" s="16" t="n">
        <x:f>IF(AND('Queries'!E654&lt;='Rules'!$B$15,'Queries'!C654&gt;='Rules'!$B$14,'Queries'!D654&lt;'Rules'!$B$16),1,0)</x:f>
        <x:v>0</x:v>
      </x:c>
      <x:c r="G654" s="16" t="n">
        <x:v>1</x:v>
      </x:c>
      <x:c r="H654" s="16" t="n">
        <x:v>1</x:v>
      </x:c>
      <x:c r="I654" s="16" t="n">
        <x:f>ROUND((B654*'Rules'!$B$6+C654/'Rules'!$B$12*'Rules'!$B$7+D654*'Rules'!$B$8+E654*'Rules'!$B$9+F654*'Rules'!$B$10+G654*'Rules'!$B$11)*H654,1)</x:f>
        <x:v>58.2</x:v>
      </x:c>
      <x:c r="J654" s="18" t="n">
        <x:f>'Queries'!C654*'Queries'!E654</x:f>
        <x:v>904</x:v>
      </x:c>
    </x:row>
    <x:row r="655" ht="32" customHeight="1">
      <x:c r="A655" s="6" t="str">
        <x:v>audi suspension repair</x:v>
      </x:c>
      <x:c r="B655" s="16" t="n">
        <x:v>0.8</x:v>
      </x:c>
      <x:c r="C655" s="16" t="n">
        <x:v>5</x:v>
      </x:c>
      <x:c r="D655" s="16" t="n">
        <x:f>IF('Queries'!E655&lt;='Rules'!$B$17,'Rules'!$B$21,IF('Queries'!E655&lt;='Rules'!$B$18,'Rules'!$B$22,IF('Queries'!E655&lt;='Rules'!$B$19,'Rules'!$B$23,IF('Queries'!E655&lt;='Rules'!$B$20,'Rules'!$B$24,'Rules'!$B$25))))</x:f>
        <x:v>0.15</x:v>
      </x:c>
      <x:c r="E655" s="16" t="n">
        <x:f>MIN(LOG10(1+'Queries'!C655)/'Rules'!$B$13,1)</x:f>
        <x:v>0.4407397649113067</x:v>
      </x:c>
      <x:c r="F655" s="16" t="n">
        <x:f>IF(AND('Queries'!E655&lt;='Rules'!$B$15,'Queries'!C655&gt;='Rules'!$B$14,'Queries'!D655&lt;'Rules'!$B$16),1,0)</x:f>
        <x:v>0</x:v>
      </x:c>
      <x:c r="G655" s="16" t="n">
        <x:v>1</x:v>
      </x:c>
      <x:c r="H655" s="16" t="n">
        <x:v>1</x:v>
      </x:c>
      <x:c r="I655" s="16" t="n">
        <x:f>ROUND((B655*'Rules'!$B$6+C655/'Rules'!$B$12*'Rules'!$B$7+D655*'Rules'!$B$8+E655*'Rules'!$B$9+F655*'Rules'!$B$10+G655*'Rules'!$B$11)*H655,1)</x:f>
        <x:v>58.2</x:v>
      </x:c>
      <x:c r="J655" s="18" t="n">
        <x:f>'Queries'!C655*'Queries'!E655</x:f>
        <x:v>1006</x:v>
      </x:c>
    </x:row>
    <x:row r="656" ht="32" customHeight="1">
      <x:c r="A656" s="6" t="str">
        <x:v>افضل كراج بورش</x:v>
      </x:c>
      <x:c r="B656" s="16" t="n">
        <x:v>0.8</x:v>
      </x:c>
      <x:c r="C656" s="16" t="n">
        <x:v>5</x:v>
      </x:c>
      <x:c r="D656" s="16" t="n">
        <x:f>IF('Queries'!E656&lt;='Rules'!$B$17,'Rules'!$B$21,IF('Queries'!E656&lt;='Rules'!$B$18,'Rules'!$B$22,IF('Queries'!E656&lt;='Rules'!$B$19,'Rules'!$B$23,IF('Queries'!E656&lt;='Rules'!$B$20,'Rules'!$B$24,'Rules'!$B$25))))</x:f>
        <x:v>0.15</x:v>
      </x:c>
      <x:c r="E656" s="16" t="n">
        <x:f>MIN(LOG10(1+'Queries'!C656)/'Rules'!$B$13,1)</x:f>
        <x:v>0.4407397649113067</x:v>
      </x:c>
      <x:c r="F656" s="16" t="n">
        <x:f>IF(AND('Queries'!E656&lt;='Rules'!$B$15,'Queries'!C656&gt;='Rules'!$B$14,'Queries'!D656&lt;'Rules'!$B$16),1,0)</x:f>
        <x:v>0</x:v>
      </x:c>
      <x:c r="G656" s="16" t="n">
        <x:v>1</x:v>
      </x:c>
      <x:c r="H656" s="16" t="n">
        <x:v>1</x:v>
      </x:c>
      <x:c r="I656" s="16" t="n">
        <x:f>ROUND((B656*'Rules'!$B$6+C656/'Rules'!$B$12*'Rules'!$B$7+D656*'Rules'!$B$8+E656*'Rules'!$B$9+F656*'Rules'!$B$10+G656*'Rules'!$B$11)*H656,1)</x:f>
        <x:v>58.2</x:v>
      </x:c>
      <x:c r="J656" s="18" t="n">
        <x:f>'Queries'!C656*'Queries'!E656</x:f>
        <x:v>1174</x:v>
      </x:c>
    </x:row>
    <x:row r="657" ht="32" customHeight="1">
      <x:c r="A657" s="6" t="str">
        <x:v>paint protection films</x:v>
      </x:c>
      <x:c r="B657" s="16" t="n">
        <x:v>0.8</x:v>
      </x:c>
      <x:c r="C657" s="16" t="n">
        <x:v>5</x:v>
      </x:c>
      <x:c r="D657" s="16" t="n">
        <x:f>IF('Queries'!E657&lt;='Rules'!$B$17,'Rules'!$B$21,IF('Queries'!E657&lt;='Rules'!$B$18,'Rules'!$B$22,IF('Queries'!E657&lt;='Rules'!$B$19,'Rules'!$B$23,IF('Queries'!E657&lt;='Rules'!$B$20,'Rules'!$B$24,'Rules'!$B$25))))</x:f>
        <x:v>0.15</x:v>
      </x:c>
      <x:c r="E657" s="16" t="n">
        <x:f>MIN(LOG10(1+'Queries'!C657)/'Rules'!$B$13,1)</x:f>
        <x:v>0.4407397649113067</x:v>
      </x:c>
      <x:c r="F657" s="16" t="n">
        <x:f>IF(AND('Queries'!E657&lt;='Rules'!$B$15,'Queries'!C657&gt;='Rules'!$B$14,'Queries'!D657&lt;'Rules'!$B$16),1,0)</x:f>
        <x:v>0</x:v>
      </x:c>
      <x:c r="G657" s="16" t="n">
        <x:v>1</x:v>
      </x:c>
      <x:c r="H657" s="16" t="n">
        <x:v>1</x:v>
      </x:c>
      <x:c r="I657" s="16" t="n">
        <x:f>ROUND((B657*'Rules'!$B$6+C657/'Rules'!$B$12*'Rules'!$B$7+D657*'Rules'!$B$8+E657*'Rules'!$B$9+F657*'Rules'!$B$10+G657*'Rules'!$B$11)*H657,1)</x:f>
        <x:v>58.2</x:v>
      </x:c>
      <x:c r="J657" s="18" t="n">
        <x:f>'Queries'!C657*'Queries'!E657</x:f>
        <x:v>1359</x:v>
      </x:c>
    </x:row>
    <x:row r="658" ht="32" customHeight="1">
      <x:c r="A658" s="6" t="str">
        <x:v>audi body shop</x:v>
      </x:c>
      <x:c r="B658" s="16" t="n">
        <x:v>0.8</x:v>
      </x:c>
      <x:c r="C658" s="16" t="n">
        <x:v>5</x:v>
      </x:c>
      <x:c r="D658" s="16" t="n">
        <x:f>IF('Queries'!E658&lt;='Rules'!$B$17,'Rules'!$B$21,IF('Queries'!E658&lt;='Rules'!$B$18,'Rules'!$B$22,IF('Queries'!E658&lt;='Rules'!$B$19,'Rules'!$B$23,IF('Queries'!E658&lt;='Rules'!$B$20,'Rules'!$B$24,'Rules'!$B$25))))</x:f>
        <x:v>1</x:v>
      </x:c>
      <x:c r="E658" s="16" t="n">
        <x:f>MIN(LOG10(1+'Queries'!C658)/'Rules'!$B$13,1)</x:f>
        <x:v>0.43367666522132664</x:v>
      </x:c>
      <x:c r="F658" s="16" t="n">
        <x:f>IF(AND('Queries'!E658&lt;='Rules'!$B$15,'Queries'!C658&gt;='Rules'!$B$14,'Queries'!D658&lt;'Rules'!$B$16),1,0)</x:f>
        <x:v>0</x:v>
      </x:c>
      <x:c r="G658" s="16" t="n">
        <x:v>1</x:v>
      </x:c>
      <x:c r="H658" s="16" t="n">
        <x:v>1</x:v>
      </x:c>
      <x:c r="I658" s="16" t="n">
        <x:f>ROUND((B658*'Rules'!$B$6+C658/'Rules'!$B$12*'Rules'!$B$7+D658*'Rules'!$B$8+E658*'Rules'!$B$9+F658*'Rules'!$B$10+G658*'Rules'!$B$11)*H658,1)</x:f>
        <x:v>79.3</x:v>
      </x:c>
      <x:c r="J658" s="18" t="n">
        <x:f>'Queries'!C658*'Queries'!E658</x:f>
        <x:v>204.06</x:v>
      </x:c>
    </x:row>
    <x:row r="659" ht="32" customHeight="1">
      <x:c r="A659" s="6" t="str">
        <x:v>audi repair dubai</x:v>
      </x:c>
      <x:c r="B659" s="16" t="n">
        <x:v>1</x:v>
      </x:c>
      <x:c r="C659" s="16" t="n">
        <x:v>5</x:v>
      </x:c>
      <x:c r="D659" s="16" t="n">
        <x:f>IF('Queries'!E659&lt;='Rules'!$B$17,'Rules'!$B$21,IF('Queries'!E659&lt;='Rules'!$B$18,'Rules'!$B$22,IF('Queries'!E659&lt;='Rules'!$B$19,'Rules'!$B$23,IF('Queries'!E659&lt;='Rules'!$B$20,'Rules'!$B$24,'Rules'!$B$25))))</x:f>
        <x:v>1</x:v>
      </x:c>
      <x:c r="E659" s="16" t="n">
        <x:f>MIN(LOG10(1+'Queries'!C659)/'Rules'!$B$13,1)</x:f>
        <x:v>0.43367666522132664</x:v>
      </x:c>
      <x:c r="F659" s="16" t="n">
        <x:f>IF(AND('Queries'!E659&lt;='Rules'!$B$15,'Queries'!C659&gt;='Rules'!$B$14,'Queries'!D659&lt;'Rules'!$B$16),1,0)</x:f>
        <x:v>0</x:v>
      </x:c>
      <x:c r="G659" s="16" t="n">
        <x:v>1</x:v>
      </x:c>
      <x:c r="H659" s="16" t="n">
        <x:v>1</x:v>
      </x:c>
      <x:c r="I659" s="16" t="n">
        <x:f>ROUND((B659*'Rules'!$B$6+C659/'Rules'!$B$12*'Rules'!$B$7+D659*'Rules'!$B$8+E659*'Rules'!$B$9+F659*'Rules'!$B$10+G659*'Rules'!$B$11)*H659,1)</x:f>
        <x:v>84.3</x:v>
      </x:c>
      <x:c r="J659" s="18" t="n">
        <x:f>'Queries'!C659*'Queries'!E659</x:f>
        <x:v>228</x:v>
      </x:c>
    </x:row>
    <x:row r="660" ht="32" customHeight="1">
      <x:c r="A660" s="6" t="str">
        <x:v>aston martin oil change dubai</x:v>
      </x:c>
      <x:c r="B660" s="16" t="n">
        <x:v>1</x:v>
      </x:c>
      <x:c r="C660" s="16" t="n">
        <x:v>5</x:v>
      </x:c>
      <x:c r="D660" s="16" t="n">
        <x:f>IF('Queries'!E660&lt;='Rules'!$B$17,'Rules'!$B$21,IF('Queries'!E660&lt;='Rules'!$B$18,'Rules'!$B$22,IF('Queries'!E660&lt;='Rules'!$B$19,'Rules'!$B$23,IF('Queries'!E660&lt;='Rules'!$B$20,'Rules'!$B$24,'Rules'!$B$25))))</x:f>
        <x:v>1</x:v>
      </x:c>
      <x:c r="E660" s="16" t="n">
        <x:f>MIN(LOG10(1+'Queries'!C660)/'Rules'!$B$13,1)</x:f>
        <x:v>0.43367666522132664</x:v>
      </x:c>
      <x:c r="F660" s="16" t="n">
        <x:f>IF(AND('Queries'!E660&lt;='Rules'!$B$15,'Queries'!C660&gt;='Rules'!$B$14,'Queries'!D660&lt;'Rules'!$B$16),1,0)</x:f>
        <x:v>0</x:v>
      </x:c>
      <x:c r="G660" s="16" t="n">
        <x:v>1</x:v>
      </x:c>
      <x:c r="H660" s="16" t="n">
        <x:v>1</x:v>
      </x:c>
      <x:c r="I660" s="16" t="n">
        <x:f>ROUND((B660*'Rules'!$B$6+C660/'Rules'!$B$12*'Rules'!$B$7+D660*'Rules'!$B$8+E660*'Rules'!$B$9+F660*'Rules'!$B$10+G660*'Rules'!$B$11)*H660,1)</x:f>
        <x:v>84.3</x:v>
      </x:c>
      <x:c r="J660" s="18" t="n">
        <x:f>'Queries'!C660*'Queries'!E660</x:f>
        <x:v>249.08999999999997</x:v>
      </x:c>
    </x:row>
    <x:row r="661" ht="32" customHeight="1">
      <x:c r="A661" s="6" t="str">
        <x:v>lotus service center dubai</x:v>
      </x:c>
      <x:c r="B661" s="16" t="n">
        <x:v>1</x:v>
      </x:c>
      <x:c r="C661" s="16" t="n">
        <x:v>5</x:v>
      </x:c>
      <x:c r="D661" s="16" t="n">
        <x:f>IF('Queries'!E661&lt;='Rules'!$B$17,'Rules'!$B$21,IF('Queries'!E661&lt;='Rules'!$B$18,'Rules'!$B$22,IF('Queries'!E661&lt;='Rules'!$B$19,'Rules'!$B$23,IF('Queries'!E661&lt;='Rules'!$B$20,'Rules'!$B$24,'Rules'!$B$25))))</x:f>
        <x:v>1</x:v>
      </x:c>
      <x:c r="E661" s="16" t="n">
        <x:f>MIN(LOG10(1+'Queries'!C661)/'Rules'!$B$13,1)</x:f>
        <x:v>0.43367666522132664</x:v>
      </x:c>
      <x:c r="F661" s="16" t="n">
        <x:f>IF(AND('Queries'!E661&lt;='Rules'!$B$15,'Queries'!C661&gt;='Rules'!$B$14,'Queries'!D661&lt;'Rules'!$B$16),1,0)</x:f>
        <x:v>0</x:v>
      </x:c>
      <x:c r="G661" s="16" t="n">
        <x:v>1</x:v>
      </x:c>
      <x:c r="H661" s="16" t="n">
        <x:v>1</x:v>
      </x:c>
      <x:c r="I661" s="16" t="n">
        <x:f>ROUND((B661*'Rules'!$B$6+C661/'Rules'!$B$12*'Rules'!$B$7+D661*'Rules'!$B$8+E661*'Rules'!$B$9+F661*'Rules'!$B$10+G661*'Rules'!$B$11)*H661,1)</x:f>
        <x:v>84.3</x:v>
      </x:c>
      <x:c r="J661" s="18" t="n">
        <x:f>'Queries'!C661*'Queries'!E661</x:f>
        <x:v>259.92</x:v>
      </x:c>
    </x:row>
    <x:row r="662" ht="32" customHeight="1">
      <x:c r="A662" s="6" t="str">
        <x:v>mercedes engine tuning</x:v>
      </x:c>
      <x:c r="B662" s="16" t="n">
        <x:v>0.8</x:v>
      </x:c>
      <x:c r="C662" s="16" t="n">
        <x:v>5</x:v>
      </x:c>
      <x:c r="D662" s="16" t="n">
        <x:f>IF('Queries'!E662&lt;='Rules'!$B$17,'Rules'!$B$21,IF('Queries'!E662&lt;='Rules'!$B$18,'Rules'!$B$22,IF('Queries'!E662&lt;='Rules'!$B$19,'Rules'!$B$23,IF('Queries'!E662&lt;='Rules'!$B$20,'Rules'!$B$24,'Rules'!$B$25))))</x:f>
        <x:v>1</x:v>
      </x:c>
      <x:c r="E662" s="16" t="n">
        <x:f>MIN(LOG10(1+'Queries'!C662)/'Rules'!$B$13,1)</x:f>
        <x:v>0.43367666522132664</x:v>
      </x:c>
      <x:c r="F662" s="16" t="n">
        <x:f>IF(AND('Queries'!E662&lt;='Rules'!$B$15,'Queries'!C662&gt;='Rules'!$B$14,'Queries'!D662&lt;'Rules'!$B$16),1,0)</x:f>
        <x:v>0</x:v>
      </x:c>
      <x:c r="G662" s="16" t="n">
        <x:v>1</x:v>
      </x:c>
      <x:c r="H662" s="16" t="n">
        <x:v>1</x:v>
      </x:c>
      <x:c r="I662" s="16" t="n">
        <x:f>ROUND((B662*'Rules'!$B$6+C662/'Rules'!$B$12*'Rules'!$B$7+D662*'Rules'!$B$8+E662*'Rules'!$B$9+F662*'Rules'!$B$10+G662*'Rules'!$B$11)*H662,1)</x:f>
        <x:v>79.3</x:v>
      </x:c>
      <x:c r="J662" s="18" t="n">
        <x:f>'Queries'!C662*'Queries'!E662</x:f>
        <x:v>262.96</x:v>
      </x:c>
    </x:row>
    <x:row r="663" ht="32" customHeight="1">
      <x:c r="A663" s="6" t="str">
        <x:v>land rover brake repair</x:v>
      </x:c>
      <x:c r="B663" s="16" t="n">
        <x:v>0.8</x:v>
      </x:c>
      <x:c r="C663" s="16" t="n">
        <x:v>5</x:v>
      </x:c>
      <x:c r="D663" s="16" t="n">
        <x:f>IF('Queries'!E663&lt;='Rules'!$B$17,'Rules'!$B$21,IF('Queries'!E663&lt;='Rules'!$B$18,'Rules'!$B$22,IF('Queries'!E663&lt;='Rules'!$B$19,'Rules'!$B$23,IF('Queries'!E663&lt;='Rules'!$B$20,'Rules'!$B$24,'Rules'!$B$25))))</x:f>
        <x:v>0.7</x:v>
      </x:c>
      <x:c r="E663" s="16" t="n">
        <x:f>MIN(LOG10(1+'Queries'!C663)/'Rules'!$B$13,1)</x:f>
        <x:v>0.43367666522132664</x:v>
      </x:c>
      <x:c r="F663" s="16" t="n">
        <x:f>IF(AND('Queries'!E663&lt;='Rules'!$B$15,'Queries'!C663&gt;='Rules'!$B$14,'Queries'!D663&lt;'Rules'!$B$16),1,0)</x:f>
        <x:v>0</x:v>
      </x:c>
      <x:c r="G663" s="16" t="n">
        <x:v>1</x:v>
      </x:c>
      <x:c r="H663" s="16" t="n">
        <x:v>1</x:v>
      </x:c>
      <x:c r="I663" s="16" t="n">
        <x:f>ROUND((B663*'Rules'!$B$6+C663/'Rules'!$B$12*'Rules'!$B$7+D663*'Rules'!$B$8+E663*'Rules'!$B$9+F663*'Rules'!$B$10+G663*'Rules'!$B$11)*H663,1)</x:f>
        <x:v>71.8</x:v>
      </x:c>
      <x:c r="J663" s="18" t="n">
        <x:f>'Queries'!C663*'Queries'!E663</x:f>
        <x:v>338.01</x:v>
      </x:c>
    </x:row>
    <x:row r="664" ht="32" customHeight="1">
      <x:c r="A664" s="6" t="str">
        <x:v>maybach repair</x:v>
      </x:c>
      <x:c r="B664" s="16" t="n">
        <x:v>0.8</x:v>
      </x:c>
      <x:c r="C664" s="16" t="n">
        <x:v>5</x:v>
      </x:c>
      <x:c r="D664" s="16" t="n">
        <x:f>IF('Queries'!E664&lt;='Rules'!$B$17,'Rules'!$B$21,IF('Queries'!E664&lt;='Rules'!$B$18,'Rules'!$B$22,IF('Queries'!E664&lt;='Rules'!$B$19,'Rules'!$B$23,IF('Queries'!E664&lt;='Rules'!$B$20,'Rules'!$B$24,'Rules'!$B$25))))</x:f>
        <x:v>0.7</x:v>
      </x:c>
      <x:c r="E664" s="16" t="n">
        <x:f>MIN(LOG10(1+'Queries'!C664)/'Rules'!$B$13,1)</x:f>
        <x:v>0.43367666522132664</x:v>
      </x:c>
      <x:c r="F664" s="16" t="n">
        <x:f>IF(AND('Queries'!E664&lt;='Rules'!$B$15,'Queries'!C664&gt;='Rules'!$B$14,'Queries'!D664&lt;'Rules'!$B$16),1,0)</x:f>
        <x:v>0</x:v>
      </x:c>
      <x:c r="G664" s="16" t="n">
        <x:v>1</x:v>
      </x:c>
      <x:c r="H664" s="16" t="n">
        <x:v>1</x:v>
      </x:c>
      <x:c r="I664" s="16" t="n">
        <x:f>ROUND((B664*'Rules'!$B$6+C664/'Rules'!$B$12*'Rules'!$B$7+D664*'Rules'!$B$8+E664*'Rules'!$B$9+F664*'Rules'!$B$10+G664*'Rules'!$B$11)*H664,1)</x:f>
        <x:v>71.8</x:v>
      </x:c>
      <x:c r="J664" s="18" t="n">
        <x:f>'Queries'!C664*'Queries'!E664</x:f>
        <x:v>349.98</x:v>
      </x:c>
    </x:row>
    <x:row r="665" ht="32" customHeight="1">
      <x:c r="A665" s="6" t="str">
        <x:v>car workshop</x:v>
      </x:c>
      <x:c r="B665" s="16" t="n">
        <x:v>0.8</x:v>
      </x:c>
      <x:c r="C665" s="16" t="n">
        <x:v>3</x:v>
      </x:c>
      <x:c r="D665" s="16" t="n">
        <x:f>IF('Queries'!E665&lt;='Rules'!$B$17,'Rules'!$B$21,IF('Queries'!E665&lt;='Rules'!$B$18,'Rules'!$B$22,IF('Queries'!E665&lt;='Rules'!$B$19,'Rules'!$B$23,IF('Queries'!E665&lt;='Rules'!$B$20,'Rules'!$B$24,'Rules'!$B$25))))</x:f>
        <x:v>0.7</x:v>
      </x:c>
      <x:c r="E665" s="16" t="n">
        <x:f>MIN(LOG10(1+'Queries'!C665)/'Rules'!$B$13,1)</x:f>
        <x:v>0.43367666522132664</x:v>
      </x:c>
      <x:c r="F665" s="16" t="n">
        <x:f>IF(AND('Queries'!E665&lt;='Rules'!$B$15,'Queries'!C665&gt;='Rules'!$B$14,'Queries'!D665&lt;'Rules'!$B$16),1,0)</x:f>
        <x:v>0</x:v>
      </x:c>
      <x:c r="G665" s="16" t="n">
        <x:v>1</x:v>
      </x:c>
      <x:c r="H665" s="16" t="n">
        <x:v>1</x:v>
      </x:c>
      <x:c r="I665" s="16" t="n">
        <x:f>ROUND((B665*'Rules'!$B$6+C665/'Rules'!$B$12*'Rules'!$B$7+D665*'Rules'!$B$8+E665*'Rules'!$B$9+F665*'Rules'!$B$10+G665*'Rules'!$B$11)*H665,1)</x:f>
        <x:v>63.8</x:v>
      </x:c>
      <x:c r="J665" s="18" t="n">
        <x:f>'Queries'!C665*'Queries'!E665</x:f>
        <x:v>356.05999999999995</x:v>
      </x:c>
    </x:row>
    <x:row r="666" ht="32" customHeight="1">
      <x:c r="A666" s="6" t="str">
        <x:v>chevrolet service center dubai</x:v>
      </x:c>
      <x:c r="B666" s="16" t="n">
        <x:v>1</x:v>
      </x:c>
      <x:c r="C666" s="16" t="n">
        <x:v>3</x:v>
      </x:c>
      <x:c r="D666" s="16" t="n">
        <x:f>IF('Queries'!E666&lt;='Rules'!$B$17,'Rules'!$B$21,IF('Queries'!E666&lt;='Rules'!$B$18,'Rules'!$B$22,IF('Queries'!E666&lt;='Rules'!$B$19,'Rules'!$B$23,IF('Queries'!E666&lt;='Rules'!$B$20,'Rules'!$B$24,'Rules'!$B$25))))</x:f>
        <x:v>0.7</x:v>
      </x:c>
      <x:c r="E666" s="16" t="n">
        <x:f>MIN(LOG10(1+'Queries'!C666)/'Rules'!$B$13,1)</x:f>
        <x:v>0.43367666522132664</x:v>
      </x:c>
      <x:c r="F666" s="16" t="n">
        <x:f>IF(AND('Queries'!E666&lt;='Rules'!$B$15,'Queries'!C666&gt;='Rules'!$B$14,'Queries'!D666&lt;'Rules'!$B$16),1,0)</x:f>
        <x:v>0</x:v>
      </x:c>
      <x:c r="G666" s="16" t="n">
        <x:v>1</x:v>
      </x:c>
      <x:c r="H666" s="16" t="n">
        <x:v>1</x:v>
      </x:c>
      <x:c r="I666" s="16" t="n">
        <x:f>ROUND((B666*'Rules'!$B$6+C666/'Rules'!$B$12*'Rules'!$B$7+D666*'Rules'!$B$8+E666*'Rules'!$B$9+F666*'Rules'!$B$10+G666*'Rules'!$B$11)*H666,1)</x:f>
        <x:v>68.8</x:v>
      </x:c>
      <x:c r="J666" s="18" t="n">
        <x:f>'Queries'!C666*'Queries'!E666</x:f>
        <x:v>396.91</x:v>
      </x:c>
    </x:row>
    <x:row r="667" ht="32" customHeight="1">
      <x:c r="A667" s="6" t="str">
        <x:v>aston martin engine repair abu dhabi</x:v>
      </x:c>
      <x:c r="B667" s="16" t="n">
        <x:v>1</x:v>
      </x:c>
      <x:c r="C667" s="16" t="n">
        <x:v>1</x:v>
      </x:c>
      <x:c r="D667" s="16" t="n">
        <x:f>IF('Queries'!E667&lt;='Rules'!$B$17,'Rules'!$B$21,IF('Queries'!E667&lt;='Rules'!$B$18,'Rules'!$B$22,IF('Queries'!E667&lt;='Rules'!$B$19,'Rules'!$B$23,IF('Queries'!E667&lt;='Rules'!$B$20,'Rules'!$B$24,'Rules'!$B$25))))</x:f>
        <x:v>0.7</x:v>
      </x:c>
      <x:c r="E667" s="16" t="n">
        <x:f>MIN(LOG10(1+'Queries'!C667)/'Rules'!$B$13,1)</x:f>
        <x:v>0.43367666522132664</x:v>
      </x:c>
      <x:c r="F667" s="16" t="n">
        <x:f>IF(AND('Queries'!E667&lt;='Rules'!$B$15,'Queries'!C667&gt;='Rules'!$B$14,'Queries'!D667&lt;'Rules'!$B$16),1,0)</x:f>
        <x:v>0</x:v>
      </x:c>
      <x:c r="G667" s="16" t="n">
        <x:v>1</x:v>
      </x:c>
      <x:c r="H667" s="16" t="n">
        <x:v>0.2</x:v>
      </x:c>
      <x:c r="I667" s="16" t="n">
        <x:f>ROUND((B667*'Rules'!$B$6+C667/'Rules'!$B$12*'Rules'!$B$7+D667*'Rules'!$B$8+E667*'Rules'!$B$9+F667*'Rules'!$B$10+G667*'Rules'!$B$11)*H667,1)</x:f>
        <x:v>12.2</x:v>
      </x:c>
      <x:c r="J667" s="18" t="n">
        <x:f>'Queries'!C667*'Queries'!E667</x:f>
        <x:v>411.92</x:v>
      </x:c>
    </x:row>
    <x:row r="668" ht="32" customHeight="1">
      <x:c r="A668" s="6" t="str">
        <x:v>car power steering repair in abu dhabi</x:v>
      </x:c>
      <x:c r="B668" s="16" t="n">
        <x:v>1</x:v>
      </x:c>
      <x:c r="C668" s="16" t="n">
        <x:v>1</x:v>
      </x:c>
      <x:c r="D668" s="16" t="n">
        <x:f>IF('Queries'!E668&lt;='Rules'!$B$17,'Rules'!$B$21,IF('Queries'!E668&lt;='Rules'!$B$18,'Rules'!$B$22,IF('Queries'!E668&lt;='Rules'!$B$19,'Rules'!$B$23,IF('Queries'!E668&lt;='Rules'!$B$20,'Rules'!$B$24,'Rules'!$B$25))))</x:f>
        <x:v>0.7</x:v>
      </x:c>
      <x:c r="E668" s="16" t="n">
        <x:f>MIN(LOG10(1+'Queries'!C668)/'Rules'!$B$13,1)</x:f>
        <x:v>0.43367666522132664</x:v>
      </x:c>
      <x:c r="F668" s="16" t="n">
        <x:f>IF(AND('Queries'!E668&lt;='Rules'!$B$15,'Queries'!C668&gt;='Rules'!$B$14,'Queries'!D668&lt;'Rules'!$B$16),1,0)</x:f>
        <x:v>0</x:v>
      </x:c>
      <x:c r="G668" s="16" t="n">
        <x:v>1</x:v>
      </x:c>
      <x:c r="H668" s="16" t="n">
        <x:v>0.2</x:v>
      </x:c>
      <x:c r="I668" s="16" t="n">
        <x:f>ROUND((B668*'Rules'!$B$6+C668/'Rules'!$B$12*'Rules'!$B$7+D668*'Rules'!$B$8+E668*'Rules'!$B$9+F668*'Rules'!$B$10+G668*'Rules'!$B$11)*H668,1)</x:f>
        <x:v>12.2</x:v>
      </x:c>
      <x:c r="J668" s="18" t="n">
        <x:f>'Queries'!C668*'Queries'!E668</x:f>
        <x:v>434.91</x:v>
      </x:c>
    </x:row>
    <x:row r="669" ht="32" customHeight="1">
      <x:c r="A669" s="6" t="str">
        <x:v>audi transmission repair</x:v>
      </x:c>
      <x:c r="B669" s="16" t="n">
        <x:v>0.8</x:v>
      </x:c>
      <x:c r="C669" s="16" t="n">
        <x:v>5</x:v>
      </x:c>
      <x:c r="D669" s="16" t="n">
        <x:f>IF('Queries'!E669&lt;='Rules'!$B$17,'Rules'!$B$21,IF('Queries'!E669&lt;='Rules'!$B$18,'Rules'!$B$22,IF('Queries'!E669&lt;='Rules'!$B$19,'Rules'!$B$23,IF('Queries'!E669&lt;='Rules'!$B$20,'Rules'!$B$24,'Rules'!$B$25))))</x:f>
        <x:v>0.7</x:v>
      </x:c>
      <x:c r="E669" s="16" t="n">
        <x:f>MIN(LOG10(1+'Queries'!C669)/'Rules'!$B$13,1)</x:f>
        <x:v>0.43367666522132664</x:v>
      </x:c>
      <x:c r="F669" s="16" t="n">
        <x:f>IF(AND('Queries'!E669&lt;='Rules'!$B$15,'Queries'!C669&gt;='Rules'!$B$14,'Queries'!D669&lt;'Rules'!$B$16),1,0)</x:f>
        <x:v>0</x:v>
      </x:c>
      <x:c r="G669" s="16" t="n">
        <x:v>1</x:v>
      </x:c>
      <x:c r="H669" s="16" t="n">
        <x:v>1</x:v>
      </x:c>
      <x:c r="I669" s="16" t="n">
        <x:f>ROUND((B669*'Rules'!$B$6+C669/'Rules'!$B$12*'Rules'!$B$7+D669*'Rules'!$B$8+E669*'Rules'!$B$9+F669*'Rules'!$B$10+G669*'Rules'!$B$11)*H669,1)</x:f>
        <x:v>71.8</x:v>
      </x:c>
      <x:c r="J669" s="18" t="n">
        <x:f>'Queries'!C669*'Queries'!E669</x:f>
        <x:v>470.05999999999995</x:v>
      </x:c>
    </x:row>
    <x:row r="670" ht="32" customHeight="1">
      <x:c r="A670" s="6" t="str">
        <x:v>bmw major service dubai</x:v>
      </x:c>
      <x:c r="B670" s="16" t="n">
        <x:v>1</x:v>
      </x:c>
      <x:c r="C670" s="16" t="n">
        <x:v>5</x:v>
      </x:c>
      <x:c r="D670" s="16" t="n">
        <x:f>IF('Queries'!E670&lt;='Rules'!$B$17,'Rules'!$B$21,IF('Queries'!E670&lt;='Rules'!$B$18,'Rules'!$B$22,IF('Queries'!E670&lt;='Rules'!$B$19,'Rules'!$B$23,IF('Queries'!E670&lt;='Rules'!$B$20,'Rules'!$B$24,'Rules'!$B$25))))</x:f>
        <x:v>0.7</x:v>
      </x:c>
      <x:c r="E670" s="16" t="n">
        <x:f>MIN(LOG10(1+'Queries'!C670)/'Rules'!$B$13,1)</x:f>
        <x:v>0.43367666522132664</x:v>
      </x:c>
      <x:c r="F670" s="16" t="n">
        <x:f>IF(AND('Queries'!E670&lt;='Rules'!$B$15,'Queries'!C670&gt;='Rules'!$B$14,'Queries'!D670&lt;'Rules'!$B$16),1,0)</x:f>
        <x:v>0</x:v>
      </x:c>
      <x:c r="G670" s="16" t="n">
        <x:v>1</x:v>
      </x:c>
      <x:c r="H670" s="16" t="n">
        <x:v>1</x:v>
      </x:c>
      <x:c r="I670" s="16" t="n">
        <x:f>ROUND((B670*'Rules'!$B$6+C670/'Rules'!$B$12*'Rules'!$B$7+D670*'Rules'!$B$8+E670*'Rules'!$B$9+F670*'Rules'!$B$10+G670*'Rules'!$B$11)*H670,1)</x:f>
        <x:v>76.8</x:v>
      </x:c>
      <x:c r="J670" s="18" t="n">
        <x:f>'Queries'!C670*'Queries'!E670</x:f>
        <x:v>502.92999999999995</x:v>
      </x:c>
    </x:row>
    <x:row r="671" ht="32" customHeight="1">
      <x:c r="A671" s="6" t="str">
        <x:v>auto workshop dubai</x:v>
      </x:c>
      <x:c r="B671" s="16" t="n">
        <x:v>1</x:v>
      </x:c>
      <x:c r="C671" s="16" t="n">
        <x:v>3</x:v>
      </x:c>
      <x:c r="D671" s="16" t="n">
        <x:f>IF('Queries'!E671&lt;='Rules'!$B$17,'Rules'!$B$21,IF('Queries'!E671&lt;='Rules'!$B$18,'Rules'!$B$22,IF('Queries'!E671&lt;='Rules'!$B$19,'Rules'!$B$23,IF('Queries'!E671&lt;='Rules'!$B$20,'Rules'!$B$24,'Rules'!$B$25))))</x:f>
        <x:v>0.4</x:v>
      </x:c>
      <x:c r="E671" s="16" t="n">
        <x:f>MIN(LOG10(1+'Queries'!C671)/'Rules'!$B$13,1)</x:f>
        <x:v>0.43367666522132664</x:v>
      </x:c>
      <x:c r="F671" s="16" t="n">
        <x:f>IF(AND('Queries'!E671&lt;='Rules'!$B$15,'Queries'!C671&gt;='Rules'!$B$14,'Queries'!D671&lt;'Rules'!$B$16),1,0)</x:f>
        <x:v>0</x:v>
      </x:c>
      <x:c r="G671" s="16" t="n">
        <x:v>1</x:v>
      </x:c>
      <x:c r="H671" s="16" t="n">
        <x:v>1</x:v>
      </x:c>
      <x:c r="I671" s="16" t="n">
        <x:f>ROUND((B671*'Rules'!$B$6+C671/'Rules'!$B$12*'Rules'!$B$7+D671*'Rules'!$B$8+E671*'Rules'!$B$9+F671*'Rules'!$B$10+G671*'Rules'!$B$11)*H671,1)</x:f>
        <x:v>61.3</x:v>
      </x:c>
      <x:c r="J671" s="18" t="n">
        <x:f>'Queries'!C671*'Queries'!E671</x:f>
        <x:v>649.04</x:v>
      </x:c>
    </x:row>
    <x:row r="672" ht="32" customHeight="1">
      <x:c r="A672" s="6" t="str">
        <x:v>porsche panamera repair dubai</x:v>
      </x:c>
      <x:c r="B672" s="16" t="n">
        <x:v>1</x:v>
      </x:c>
      <x:c r="C672" s="16" t="n">
        <x:v>5</x:v>
      </x:c>
      <x:c r="D672" s="16" t="n">
        <x:f>IF('Queries'!E672&lt;='Rules'!$B$17,'Rules'!$B$21,IF('Queries'!E672&lt;='Rules'!$B$18,'Rules'!$B$22,IF('Queries'!E672&lt;='Rules'!$B$19,'Rules'!$B$23,IF('Queries'!E672&lt;='Rules'!$B$20,'Rules'!$B$24,'Rules'!$B$25))))</x:f>
        <x:v>0.4</x:v>
      </x:c>
      <x:c r="E672" s="16" t="n">
        <x:f>MIN(LOG10(1+'Queries'!C672)/'Rules'!$B$13,1)</x:f>
        <x:v>0.43367666522132664</x:v>
      </x:c>
      <x:c r="F672" s="16" t="n">
        <x:f>IF(AND('Queries'!E672&lt;='Rules'!$B$15,'Queries'!C672&gt;='Rules'!$B$14,'Queries'!D672&lt;'Rules'!$B$16),1,0)</x:f>
        <x:v>0</x:v>
      </x:c>
      <x:c r="G672" s="16" t="n">
        <x:v>1</x:v>
      </x:c>
      <x:c r="H672" s="16" t="n">
        <x:v>1</x:v>
      </x:c>
      <x:c r="I672" s="16" t="n">
        <x:f>ROUND((B672*'Rules'!$B$6+C672/'Rules'!$B$12*'Rules'!$B$7+D672*'Rules'!$B$8+E672*'Rules'!$B$9+F672*'Rules'!$B$10+G672*'Rules'!$B$11)*H672,1)</x:f>
        <x:v>69.3</x:v>
      </x:c>
      <x:c r="J672" s="18" t="n">
        <x:f>'Queries'!C672*'Queries'!E672</x:f>
        <x:v>657.97</x:v>
      </x:c>
    </x:row>
    <x:row r="673" ht="32" customHeight="1">
      <x:c r="A673" s="6" t="str">
        <x:v>ford repair in dubai</x:v>
      </x:c>
      <x:c r="B673" s="16" t="n">
        <x:v>1</x:v>
      </x:c>
      <x:c r="C673" s="16" t="n">
        <x:v>3</x:v>
      </x:c>
      <x:c r="D673" s="16" t="n">
        <x:f>IF('Queries'!E673&lt;='Rules'!$B$17,'Rules'!$B$21,IF('Queries'!E673&lt;='Rules'!$B$18,'Rules'!$B$22,IF('Queries'!E673&lt;='Rules'!$B$19,'Rules'!$B$23,IF('Queries'!E673&lt;='Rules'!$B$20,'Rules'!$B$24,'Rules'!$B$25))))</x:f>
        <x:v>0.15</x:v>
      </x:c>
      <x:c r="E673" s="16" t="n">
        <x:f>MIN(LOG10(1+'Queries'!C673)/'Rules'!$B$13,1)</x:f>
        <x:v>0.43367666522132664</x:v>
      </x:c>
      <x:c r="F673" s="16" t="n">
        <x:f>IF(AND('Queries'!E673&lt;='Rules'!$B$15,'Queries'!C673&gt;='Rules'!$B$14,'Queries'!D673&lt;'Rules'!$B$16),1,0)</x:f>
        <x:v>0</x:v>
      </x:c>
      <x:c r="G673" s="16" t="n">
        <x:v>1</x:v>
      </x:c>
      <x:c r="H673" s="16" t="n">
        <x:v>1</x:v>
      </x:c>
      <x:c r="I673" s="16" t="n">
        <x:f>ROUND((B673*'Rules'!$B$6+C673/'Rules'!$B$12*'Rules'!$B$7+D673*'Rules'!$B$8+E673*'Rules'!$B$9+F673*'Rules'!$B$10+G673*'Rules'!$B$11)*H673,1)</x:f>
        <x:v>55.1</x:v>
      </x:c>
      <x:c r="J673" s="18" t="n">
        <x:f>'Queries'!C673*'Queries'!E673</x:f>
        <x:v>805.03</x:v>
      </x:c>
    </x:row>
    <x:row r="674" ht="32" customHeight="1">
      <x:c r="A674" s="6" t="str">
        <x:v>volkswagen repair</x:v>
      </x:c>
      <x:c r="B674" s="16" t="n">
        <x:v>0.8</x:v>
      </x:c>
      <x:c r="C674" s="16" t="n">
        <x:v>3</x:v>
      </x:c>
      <x:c r="D674" s="16" t="n">
        <x:f>IF('Queries'!E674&lt;='Rules'!$B$17,'Rules'!$B$21,IF('Queries'!E674&lt;='Rules'!$B$18,'Rules'!$B$22,IF('Queries'!E674&lt;='Rules'!$B$19,'Rules'!$B$23,IF('Queries'!E674&lt;='Rules'!$B$20,'Rules'!$B$24,'Rules'!$B$25))))</x:f>
        <x:v>0.15</x:v>
      </x:c>
      <x:c r="E674" s="16" t="n">
        <x:f>MIN(LOG10(1+'Queries'!C674)/'Rules'!$B$13,1)</x:f>
        <x:v>0.43367666522132664</x:v>
      </x:c>
      <x:c r="F674" s="16" t="n">
        <x:f>IF(AND('Queries'!E674&lt;='Rules'!$B$15,'Queries'!C674&gt;='Rules'!$B$14,'Queries'!D674&lt;'Rules'!$B$16),1,0)</x:f>
        <x:v>0</x:v>
      </x:c>
      <x:c r="G674" s="16" t="n">
        <x:v>1</x:v>
      </x:c>
      <x:c r="H674" s="16" t="n">
        <x:v>1</x:v>
      </x:c>
      <x:c r="I674" s="16" t="n">
        <x:f>ROUND((B674*'Rules'!$B$6+C674/'Rules'!$B$12*'Rules'!$B$7+D674*'Rules'!$B$8+E674*'Rules'!$B$9+F674*'Rules'!$B$10+G674*'Rules'!$B$11)*H674,1)</x:f>
        <x:v>50.1</x:v>
      </x:c>
      <x:c r="J674" s="18" t="n">
        <x:f>'Queries'!C674*'Queries'!E674</x:f>
        <x:v>833.91</x:v>
      </x:c>
    </x:row>
    <x:row r="675" ht="32" customHeight="1">
      <x:c r="A675" s="6" t="str">
        <x:v>porsche repair jumeirah</x:v>
      </x:c>
      <x:c r="B675" s="16" t="n">
        <x:v>1</x:v>
      </x:c>
      <x:c r="C675" s="16" t="n">
        <x:v>5</x:v>
      </x:c>
      <x:c r="D675" s="16" t="n">
        <x:f>IF('Queries'!E675&lt;='Rules'!$B$17,'Rules'!$B$21,IF('Queries'!E675&lt;='Rules'!$B$18,'Rules'!$B$22,IF('Queries'!E675&lt;='Rules'!$B$19,'Rules'!$B$23,IF('Queries'!E675&lt;='Rules'!$B$20,'Rules'!$B$24,'Rules'!$B$25))))</x:f>
        <x:v>0.15</x:v>
      </x:c>
      <x:c r="E675" s="16" t="n">
        <x:f>MIN(LOG10(1+'Queries'!C675)/'Rules'!$B$13,1)</x:f>
        <x:v>0.43367666522132664</x:v>
      </x:c>
      <x:c r="F675" s="16" t="n">
        <x:f>IF(AND('Queries'!E675&lt;='Rules'!$B$15,'Queries'!C675&gt;='Rules'!$B$14,'Queries'!D675&lt;'Rules'!$B$16),1,0)</x:f>
        <x:v>0</x:v>
      </x:c>
      <x:c r="G675" s="16" t="n">
        <x:v>1</x:v>
      </x:c>
      <x:c r="H675" s="16" t="n">
        <x:v>1</x:v>
      </x:c>
      <x:c r="I675" s="16" t="n">
        <x:f>ROUND((B675*'Rules'!$B$6+C675/'Rules'!$B$12*'Rules'!$B$7+D675*'Rules'!$B$8+E675*'Rules'!$B$9+F675*'Rules'!$B$10+G675*'Rules'!$B$11)*H675,1)</x:f>
        <x:v>63.1</x:v>
      </x:c>
      <x:c r="J675" s="18" t="n">
        <x:f>'Queries'!C675*'Queries'!E675</x:f>
        <x:v>857.09</x:v>
      </x:c>
    </x:row>
    <x:row r="676" ht="32" customHeight="1">
      <x:c r="A676" s="6" t="str">
        <x:v>ferrari auto body shop</x:v>
      </x:c>
      <x:c r="B676" s="16" t="n">
        <x:v>0.8</x:v>
      </x:c>
      <x:c r="C676" s="16" t="n">
        <x:v>5</x:v>
      </x:c>
      <x:c r="D676" s="16" t="n">
        <x:f>IF('Queries'!E676&lt;='Rules'!$B$17,'Rules'!$B$21,IF('Queries'!E676&lt;='Rules'!$B$18,'Rules'!$B$22,IF('Queries'!E676&lt;='Rules'!$B$19,'Rules'!$B$23,IF('Queries'!E676&lt;='Rules'!$B$20,'Rules'!$B$24,'Rules'!$B$25))))</x:f>
        <x:v>0.15</x:v>
      </x:c>
      <x:c r="E676" s="16" t="n">
        <x:f>MIN(LOG10(1+'Queries'!C676)/'Rules'!$B$13,1)</x:f>
        <x:v>0.43367666522132664</x:v>
      </x:c>
      <x:c r="F676" s="16" t="n">
        <x:f>IF(AND('Queries'!E676&lt;='Rules'!$B$15,'Queries'!C676&gt;='Rules'!$B$14,'Queries'!D676&lt;'Rules'!$B$16),1,0)</x:f>
        <x:v>0</x:v>
      </x:c>
      <x:c r="G676" s="16" t="n">
        <x:v>1</x:v>
      </x:c>
      <x:c r="H676" s="16" t="n">
        <x:v>1</x:v>
      </x:c>
      <x:c r="I676" s="16" t="n">
        <x:f>ROUND((B676*'Rules'!$B$6+C676/'Rules'!$B$12*'Rules'!$B$7+D676*'Rules'!$B$8+E676*'Rules'!$B$9+F676*'Rules'!$B$10+G676*'Rules'!$B$11)*H676,1)</x:f>
        <x:v>58.1</x:v>
      </x:c>
      <x:c r="J676" s="18" t="n">
        <x:f>'Queries'!C676*'Queries'!E676</x:f>
        <x:v>870.96</x:v>
      </x:c>
    </x:row>
    <x:row r="677" ht="32" customHeight="1">
      <x:c r="A677" s="6" t="str">
        <x:v>paint protection film service dubai</x:v>
      </x:c>
      <x:c r="B677" s="16" t="n">
        <x:v>1</x:v>
      </x:c>
      <x:c r="C677" s="16" t="n">
        <x:v>5</x:v>
      </x:c>
      <x:c r="D677" s="16" t="n">
        <x:f>IF('Queries'!E677&lt;='Rules'!$B$17,'Rules'!$B$21,IF('Queries'!E677&lt;='Rules'!$B$18,'Rules'!$B$22,IF('Queries'!E677&lt;='Rules'!$B$19,'Rules'!$B$23,IF('Queries'!E677&lt;='Rules'!$B$20,'Rules'!$B$24,'Rules'!$B$25))))</x:f>
        <x:v>0.15</x:v>
      </x:c>
      <x:c r="E677" s="16" t="n">
        <x:f>MIN(LOG10(1+'Queries'!C677)/'Rules'!$B$13,1)</x:f>
        <x:v>0.43367666522132664</x:v>
      </x:c>
      <x:c r="F677" s="16" t="n">
        <x:f>IF(AND('Queries'!E677&lt;='Rules'!$B$15,'Queries'!C677&gt;='Rules'!$B$14,'Queries'!D677&lt;'Rules'!$B$16),1,0)</x:f>
        <x:v>0</x:v>
      </x:c>
      <x:c r="G677" s="16" t="n">
        <x:v>1</x:v>
      </x:c>
      <x:c r="H677" s="16" t="n">
        <x:v>1</x:v>
      </x:c>
      <x:c r="I677" s="16" t="n">
        <x:f>ROUND((B677*'Rules'!$B$6+C677/'Rules'!$B$12*'Rules'!$B$7+D677*'Rules'!$B$8+E677*'Rules'!$B$9+F677*'Rules'!$B$10+G677*'Rules'!$B$11)*H677,1)</x:f>
        <x:v>63.1</x:v>
      </x:c>
      <x:c r="J677" s="18" t="n">
        <x:f>'Queries'!C677*'Queries'!E677</x:f>
        <x:v>911.0500000000001</x:v>
      </x:c>
    </x:row>
    <x:row r="678" ht="32" customHeight="1">
      <x:c r="A678" s="6" t="str">
        <x:v>brake motors uae</x:v>
      </x:c>
      <x:c r="B678" s="16" t="n">
        <x:v>0</x:v>
      </x:c>
      <x:c r="C678" s="16" t="n">
        <x:v>0</x:v>
      </x:c>
      <x:c r="D678" s="16" t="n">
        <x:f>IF('Queries'!E678&lt;='Rules'!$B$17,'Rules'!$B$21,IF('Queries'!E678&lt;='Rules'!$B$18,'Rules'!$B$22,IF('Queries'!E678&lt;='Rules'!$B$19,'Rules'!$B$23,IF('Queries'!E678&lt;='Rules'!$B$20,'Rules'!$B$24,'Rules'!$B$25))))</x:f>
        <x:v>0.15</x:v>
      </x:c>
      <x:c r="E678" s="16" t="n">
        <x:f>MIN(LOG10(1+'Queries'!C678)/'Rules'!$B$13,1)</x:f>
        <x:v>0.43367666522132664</x:v>
      </x:c>
      <x:c r="F678" s="16" t="n">
        <x:f>IF(AND('Queries'!E678&lt;='Rules'!$B$15,'Queries'!C678&gt;='Rules'!$B$14,'Queries'!D678&lt;'Rules'!$B$16),1,0)</x:f>
        <x:v>0</x:v>
      </x:c>
      <x:c r="G678" s="16" t="n">
        <x:v>0</x:v>
      </x:c>
      <x:c r="H678" s="16" t="n">
        <x:v>0</x:v>
      </x:c>
      <x:c r="I678" s="16" t="n">
        <x:f>ROUND((B678*'Rules'!$B$6+C678/'Rules'!$B$12*'Rules'!$B$7+D678*'Rules'!$B$8+E678*'Rules'!$B$9+F678*'Rules'!$B$10+G678*'Rules'!$B$11)*H678,1)</x:f>
        <x:v>0</x:v>
      </x:c>
      <x:c r="J678" s="18" t="n">
        <x:f>'Queries'!C678*'Queries'!E678</x:f>
        <x:v>922.07</x:v>
      </x:c>
    </x:row>
    <x:row r="679" ht="32" customHeight="1">
      <x:c r="A679" s="6" t="str">
        <x:v>supercar repair dubai</x:v>
      </x:c>
      <x:c r="B679" s="16" t="n">
        <x:v>1</x:v>
      </x:c>
      <x:c r="C679" s="16" t="n">
        <x:v>3</x:v>
      </x:c>
      <x:c r="D679" s="16" t="n">
        <x:f>IF('Queries'!E679&lt;='Rules'!$B$17,'Rules'!$B$21,IF('Queries'!E679&lt;='Rules'!$B$18,'Rules'!$B$22,IF('Queries'!E679&lt;='Rules'!$B$19,'Rules'!$B$23,IF('Queries'!E679&lt;='Rules'!$B$20,'Rules'!$B$24,'Rules'!$B$25))))</x:f>
        <x:v>0.15</x:v>
      </x:c>
      <x:c r="E679" s="16" t="n">
        <x:f>MIN(LOG10(1+'Queries'!C679)/'Rules'!$B$13,1)</x:f>
        <x:v>0.43367666522132664</x:v>
      </x:c>
      <x:c r="F679" s="16" t="n">
        <x:f>IF(AND('Queries'!E679&lt;='Rules'!$B$15,'Queries'!C679&gt;='Rules'!$B$14,'Queries'!D679&lt;'Rules'!$B$16),1,0)</x:f>
        <x:v>0</x:v>
      </x:c>
      <x:c r="G679" s="16" t="n">
        <x:v>1</x:v>
      </x:c>
      <x:c r="H679" s="16" t="n">
        <x:v>1</x:v>
      </x:c>
      <x:c r="I679" s="16" t="n">
        <x:f>ROUND((B679*'Rules'!$B$6+C679/'Rules'!$B$12*'Rules'!$B$7+D679*'Rules'!$B$8+E679*'Rules'!$B$9+F679*'Rules'!$B$10+G679*'Rules'!$B$11)*H679,1)</x:f>
        <x:v>55.1</x:v>
      </x:c>
      <x:c r="J679" s="18" t="n">
        <x:f>'Queries'!C679*'Queries'!E679</x:f>
        <x:v>943.92</x:v>
      </x:c>
    </x:row>
    <x:row r="680" ht="32" customHeight="1">
      <x:c r="A680" s="6" t="str">
        <x:v>car coating dubai</x:v>
      </x:c>
      <x:c r="B680" s="16" t="n">
        <x:v>1</x:v>
      </x:c>
      <x:c r="C680" s="16" t="n">
        <x:v>5</x:v>
      </x:c>
      <x:c r="D680" s="16" t="n">
        <x:f>IF('Queries'!E680&lt;='Rules'!$B$17,'Rules'!$B$21,IF('Queries'!E680&lt;='Rules'!$B$18,'Rules'!$B$22,IF('Queries'!E680&lt;='Rules'!$B$19,'Rules'!$B$23,IF('Queries'!E680&lt;='Rules'!$B$20,'Rules'!$B$24,'Rules'!$B$25))))</x:f>
        <x:v>0.15</x:v>
      </x:c>
      <x:c r="E680" s="16" t="n">
        <x:f>MIN(LOG10(1+'Queries'!C680)/'Rules'!$B$13,1)</x:f>
        <x:v>0.43367666522132664</x:v>
      </x:c>
      <x:c r="F680" s="16" t="n">
        <x:f>IF(AND('Queries'!E680&lt;='Rules'!$B$15,'Queries'!C680&gt;='Rules'!$B$14,'Queries'!D680&lt;'Rules'!$B$16),1,0)</x:f>
        <x:v>0</x:v>
      </x:c>
      <x:c r="G680" s="16" t="n">
        <x:v>1</x:v>
      </x:c>
      <x:c r="H680" s="16" t="n">
        <x:v>1</x:v>
      </x:c>
      <x:c r="I680" s="16" t="n">
        <x:f>ROUND((B680*'Rules'!$B$6+C680/'Rules'!$B$12*'Rules'!$B$7+D680*'Rules'!$B$8+E680*'Rules'!$B$9+F680*'Rules'!$B$10+G680*'Rules'!$B$11)*H680,1)</x:f>
        <x:v>63.1</x:v>
      </x:c>
      <x:c r="J680" s="18" t="n">
        <x:f>'Queries'!C680*'Queries'!E680</x:f>
        <x:v>956.08</x:v>
      </x:c>
    </x:row>
    <x:row r="681" ht="32" customHeight="1">
      <x:c r="A681" s="6" t="str">
        <x:v>car body fix</x:v>
      </x:c>
      <x:c r="B681" s="16" t="n">
        <x:v>0.8</x:v>
      </x:c>
      <x:c r="C681" s="16" t="n">
        <x:v>3</x:v>
      </x:c>
      <x:c r="D681" s="16" t="n">
        <x:f>IF('Queries'!E681&lt;='Rules'!$B$17,'Rules'!$B$21,IF('Queries'!E681&lt;='Rules'!$B$18,'Rules'!$B$22,IF('Queries'!E681&lt;='Rules'!$B$19,'Rules'!$B$23,IF('Queries'!E681&lt;='Rules'!$B$20,'Rules'!$B$24,'Rules'!$B$25))))</x:f>
        <x:v>0.15</x:v>
      </x:c>
      <x:c r="E681" s="16" t="n">
        <x:f>MIN(LOG10(1+'Queries'!C681)/'Rules'!$B$13,1)</x:f>
        <x:v>0.43367666522132664</x:v>
      </x:c>
      <x:c r="F681" s="16" t="n">
        <x:f>IF(AND('Queries'!E681&lt;='Rules'!$B$15,'Queries'!C681&gt;='Rules'!$B$14,'Queries'!D681&lt;'Rules'!$B$16),1,0)</x:f>
        <x:v>0</x:v>
      </x:c>
      <x:c r="G681" s="16" t="n">
        <x:v>1</x:v>
      </x:c>
      <x:c r="H681" s="16" t="n">
        <x:v>1</x:v>
      </x:c>
      <x:c r="I681" s="16" t="n">
        <x:f>ROUND((B681*'Rules'!$B$6+C681/'Rules'!$B$12*'Rules'!$B$7+D681*'Rules'!$B$8+E681*'Rules'!$B$9+F681*'Rules'!$B$10+G681*'Rules'!$B$11)*H681,1)</x:f>
        <x:v>50.1</x:v>
      </x:c>
      <x:c r="J681" s="18" t="n">
        <x:f>'Queries'!C681*'Queries'!E681</x:f>
        <x:v>1021.0600000000001</x:v>
      </x:c>
    </x:row>
    <x:row r="682" ht="32" customHeight="1">
      <x:c r="A682" s="6" t="str">
        <x:v>mercedes body shop</x:v>
      </x:c>
      <x:c r="B682" s="16" t="n">
        <x:v>0.8</x:v>
      </x:c>
      <x:c r="C682" s="16" t="n">
        <x:v>5</x:v>
      </x:c>
      <x:c r="D682" s="16" t="n">
        <x:f>IF('Queries'!E682&lt;='Rules'!$B$17,'Rules'!$B$21,IF('Queries'!E682&lt;='Rules'!$B$18,'Rules'!$B$22,IF('Queries'!E682&lt;='Rules'!$B$19,'Rules'!$B$23,IF('Queries'!E682&lt;='Rules'!$B$20,'Rules'!$B$24,'Rules'!$B$25))))</x:f>
        <x:v>0.15</x:v>
      </x:c>
      <x:c r="E682" s="16" t="n">
        <x:f>MIN(LOG10(1+'Queries'!C682)/'Rules'!$B$13,1)</x:f>
        <x:v>0.43367666522132664</x:v>
      </x:c>
      <x:c r="F682" s="16" t="n">
        <x:f>IF(AND('Queries'!E682&lt;='Rules'!$B$15,'Queries'!C682&gt;='Rules'!$B$14,'Queries'!D682&lt;'Rules'!$B$16),1,0)</x:f>
        <x:v>0</x:v>
      </x:c>
      <x:c r="G682" s="16" t="n">
        <x:v>1</x:v>
      </x:c>
      <x:c r="H682" s="16" t="n">
        <x:v>1</x:v>
      </x:c>
      <x:c r="I682" s="16" t="n">
        <x:f>ROUND((B682*'Rules'!$B$6+C682/'Rules'!$B$12*'Rules'!$B$7+D682*'Rules'!$B$8+E682*'Rules'!$B$9+F682*'Rules'!$B$10+G682*'Rules'!$B$11)*H682,1)</x:f>
        <x:v>58.1</x:v>
      </x:c>
      <x:c r="J682" s="18" t="n">
        <x:f>'Queries'!C682*'Queries'!E682</x:f>
        <x:v>1041.96</x:v>
      </x:c>
    </x:row>
    <x:row r="683" ht="32" customHeight="1">
      <x:c r="A683" s="6" t="str">
        <x:v>mercedes gearbox service</x:v>
      </x:c>
      <x:c r="B683" s="16" t="n">
        <x:v>0.8</x:v>
      </x:c>
      <x:c r="C683" s="16" t="n">
        <x:v>5</x:v>
      </x:c>
      <x:c r="D683" s="16" t="n">
        <x:f>IF('Queries'!E683&lt;='Rules'!$B$17,'Rules'!$B$21,IF('Queries'!E683&lt;='Rules'!$B$18,'Rules'!$B$22,IF('Queries'!E683&lt;='Rules'!$B$19,'Rules'!$B$23,IF('Queries'!E683&lt;='Rules'!$B$20,'Rules'!$B$24,'Rules'!$B$25))))</x:f>
        <x:v>0.15</x:v>
      </x:c>
      <x:c r="E683" s="16" t="n">
        <x:f>MIN(LOG10(1+'Queries'!C683)/'Rules'!$B$13,1)</x:f>
        <x:v>0.43367666522132664</x:v>
      </x:c>
      <x:c r="F683" s="16" t="n">
        <x:f>IF(AND('Queries'!E683&lt;='Rules'!$B$15,'Queries'!C683&gt;='Rules'!$B$14,'Queries'!D683&lt;'Rules'!$B$16),1,0)</x:f>
        <x:v>0</x:v>
      </x:c>
      <x:c r="G683" s="16" t="n">
        <x:v>1</x:v>
      </x:c>
      <x:c r="H683" s="16" t="n">
        <x:v>1</x:v>
      </x:c>
      <x:c r="I683" s="16" t="n">
        <x:f>ROUND((B683*'Rules'!$B$6+C683/'Rules'!$B$12*'Rules'!$B$7+D683*'Rules'!$B$8+E683*'Rules'!$B$9+F683*'Rules'!$B$10+G683*'Rules'!$B$11)*H683,1)</x:f>
        <x:v>58.1</x:v>
      </x:c>
      <x:c r="J683" s="18" t="n">
        <x:f>'Queries'!C683*'Queries'!E683</x:f>
        <x:v>1127.08</x:v>
      </x:c>
    </x:row>
    <x:row r="684" ht="32" customHeight="1">
      <x:c r="A684" s="6" t="str">
        <x:v>exhaust welding near me</x:v>
      </x:c>
      <x:c r="B684" s="16" t="n">
        <x:v>1</x:v>
      </x:c>
      <x:c r="C684" s="16" t="n">
        <x:v>3</x:v>
      </x:c>
      <x:c r="D684" s="16" t="n">
        <x:f>IF('Queries'!E684&lt;='Rules'!$B$17,'Rules'!$B$21,IF('Queries'!E684&lt;='Rules'!$B$18,'Rules'!$B$22,IF('Queries'!E684&lt;='Rules'!$B$19,'Rules'!$B$23,IF('Queries'!E684&lt;='Rules'!$B$20,'Rules'!$B$24,'Rules'!$B$25))))</x:f>
        <x:v>1</x:v>
      </x:c>
      <x:c r="E684" s="16" t="n">
        <x:f>MIN(LOG10(1+'Queries'!C684)/'Rules'!$B$13,1)</x:f>
        <x:v>0.42625120031761</x:v>
      </x:c>
      <x:c r="F684" s="16" t="n">
        <x:f>IF(AND('Queries'!E684&lt;='Rules'!$B$15,'Queries'!C684&gt;='Rules'!$B$14,'Queries'!D684&lt;'Rules'!$B$16),1,0)</x:f>
        <x:v>0</x:v>
      </x:c>
      <x:c r="G684" s="16" t="n">
        <x:v>1</x:v>
      </x:c>
      <x:c r="H684" s="16" t="n">
        <x:v>1</x:v>
      </x:c>
      <x:c r="I684" s="16" t="n">
        <x:f>ROUND((B684*'Rules'!$B$6+C684/'Rules'!$B$12*'Rules'!$B$7+D684*'Rules'!$B$8+E684*'Rules'!$B$9+F684*'Rules'!$B$10+G684*'Rules'!$B$11)*H684,1)</x:f>
        <x:v>76.3</x:v>
      </x:c>
      <x:c r="J684" s="18" t="n">
        <x:f>'Queries'!C684*'Queries'!E684</x:f>
        <x:v>120.06</x:v>
      </x:c>
    </x:row>
    <x:row r="685" ht="32" customHeight="1">
      <x:c r="A685" s="6" t="str">
        <x:v>mercedes steering repair</x:v>
      </x:c>
      <x:c r="B685" s="16" t="n">
        <x:v>0.8</x:v>
      </x:c>
      <x:c r="C685" s="16" t="n">
        <x:v>5</x:v>
      </x:c>
      <x:c r="D685" s="16" t="n">
        <x:f>IF('Queries'!E685&lt;='Rules'!$B$17,'Rules'!$B$21,IF('Queries'!E685&lt;='Rules'!$B$18,'Rules'!$B$22,IF('Queries'!E685&lt;='Rules'!$B$19,'Rules'!$B$23,IF('Queries'!E685&lt;='Rules'!$B$20,'Rules'!$B$24,'Rules'!$B$25))))</x:f>
        <x:v>1</x:v>
      </x:c>
      <x:c r="E685" s="16" t="n">
        <x:f>MIN(LOG10(1+'Queries'!C685)/'Rules'!$B$13,1)</x:f>
        <x:v>0.42625120031761</x:v>
      </x:c>
      <x:c r="F685" s="16" t="n">
        <x:f>IF(AND('Queries'!E685&lt;='Rules'!$B$15,'Queries'!C685&gt;='Rules'!$B$14,'Queries'!D685&lt;'Rules'!$B$16),1,0)</x:f>
        <x:v>0</x:v>
      </x:c>
      <x:c r="G685" s="16" t="n">
        <x:v>1</x:v>
      </x:c>
      <x:c r="H685" s="16" t="n">
        <x:v>1</x:v>
      </x:c>
      <x:c r="I685" s="16" t="n">
        <x:f>ROUND((B685*'Rules'!$B$6+C685/'Rules'!$B$12*'Rules'!$B$7+D685*'Rules'!$B$8+E685*'Rules'!$B$9+F685*'Rules'!$B$10+G685*'Rules'!$B$11)*H685,1)</x:f>
        <x:v>79.3</x:v>
      </x:c>
      <x:c r="J685" s="18" t="n">
        <x:f>'Queries'!C685*'Queries'!E685</x:f>
        <x:v>174.96</x:v>
      </x:c>
    </x:row>
    <x:row r="686" ht="32" customHeight="1">
      <x:c r="A686" s="6" t="str">
        <x:v>porsche service center</x:v>
      </x:c>
      <x:c r="B686" s="16" t="n">
        <x:v>0.8</x:v>
      </x:c>
      <x:c r="C686" s="16" t="n">
        <x:v>5</x:v>
      </x:c>
      <x:c r="D686" s="16" t="n">
        <x:f>IF('Queries'!E686&lt;='Rules'!$B$17,'Rules'!$B$21,IF('Queries'!E686&lt;='Rules'!$B$18,'Rules'!$B$22,IF('Queries'!E686&lt;='Rules'!$B$19,'Rules'!$B$23,IF('Queries'!E686&lt;='Rules'!$B$20,'Rules'!$B$24,'Rules'!$B$25))))</x:f>
        <x:v>1</x:v>
      </x:c>
      <x:c r="E686" s="16" t="n">
        <x:f>MIN(LOG10(1+'Queries'!C686)/'Rules'!$B$13,1)</x:f>
        <x:v>0.42625120031761</x:v>
      </x:c>
      <x:c r="F686" s="16" t="n">
        <x:f>IF(AND('Queries'!E686&lt;='Rules'!$B$15,'Queries'!C686&gt;='Rules'!$B$14,'Queries'!D686&lt;'Rules'!$B$16),1,0)</x:f>
        <x:v>0</x:v>
      </x:c>
      <x:c r="G686" s="16" t="n">
        <x:v>1</x:v>
      </x:c>
      <x:c r="H686" s="16" t="n">
        <x:v>1</x:v>
      </x:c>
      <x:c r="I686" s="16" t="n">
        <x:f>ROUND((B686*'Rules'!$B$6+C686/'Rules'!$B$12*'Rules'!$B$7+D686*'Rules'!$B$8+E686*'Rules'!$B$9+F686*'Rules'!$B$10+G686*'Rules'!$B$11)*H686,1)</x:f>
        <x:v>79.3</x:v>
      </x:c>
      <x:c r="J686" s="18" t="n">
        <x:f>'Queries'!C686*'Queries'!E686</x:f>
        <x:v>190.98</x:v>
      </x:c>
    </x:row>
    <x:row r="687" ht="32" customHeight="1">
      <x:c r="A687" s="6" t="str">
        <x:v>كراج سيارات دبي</x:v>
      </x:c>
      <x:c r="B687" s="16" t="n">
        <x:v>1</x:v>
      </x:c>
      <x:c r="C687" s="16" t="n">
        <x:v>3</x:v>
      </x:c>
      <x:c r="D687" s="16" t="n">
        <x:f>IF('Queries'!E687&lt;='Rules'!$B$17,'Rules'!$B$21,IF('Queries'!E687&lt;='Rules'!$B$18,'Rules'!$B$22,IF('Queries'!E687&lt;='Rules'!$B$19,'Rules'!$B$23,IF('Queries'!E687&lt;='Rules'!$B$20,'Rules'!$B$24,'Rules'!$B$25))))</x:f>
        <x:v>1</x:v>
      </x:c>
      <x:c r="E687" s="16" t="n">
        <x:f>MIN(LOG10(1+'Queries'!C687)/'Rules'!$B$13,1)</x:f>
        <x:v>0.42625120031761</x:v>
      </x:c>
      <x:c r="F687" s="16" t="n">
        <x:f>IF(AND('Queries'!E687&lt;='Rules'!$B$15,'Queries'!C687&gt;='Rules'!$B$14,'Queries'!D687&lt;'Rules'!$B$16),1,0)</x:f>
        <x:v>0</x:v>
      </x:c>
      <x:c r="G687" s="16" t="n">
        <x:v>1</x:v>
      </x:c>
      <x:c r="H687" s="16" t="n">
        <x:v>1</x:v>
      </x:c>
      <x:c r="I687" s="16" t="n">
        <x:f>ROUND((B687*'Rules'!$B$6+C687/'Rules'!$B$12*'Rules'!$B$7+D687*'Rules'!$B$8+E687*'Rules'!$B$9+F687*'Rules'!$B$10+G687*'Rules'!$B$11)*H687,1)</x:f>
        <x:v>76.3</x:v>
      </x:c>
      <x:c r="J687" s="18" t="n">
        <x:f>'Queries'!C687*'Queries'!E687</x:f>
        <x:v>199.98</x:v>
      </x:c>
    </x:row>
    <x:row r="688" ht="32" customHeight="1">
      <x:c r="A688" s="6" t="str">
        <x:v>ecu tuning near me</x:v>
      </x:c>
      <x:c r="B688" s="16" t="n">
        <x:v>1</x:v>
      </x:c>
      <x:c r="C688" s="16" t="n">
        <x:v>5</x:v>
      </x:c>
      <x:c r="D688" s="16" t="n">
        <x:f>IF('Queries'!E688&lt;='Rules'!$B$17,'Rules'!$B$21,IF('Queries'!E688&lt;='Rules'!$B$18,'Rules'!$B$22,IF('Queries'!E688&lt;='Rules'!$B$19,'Rules'!$B$23,IF('Queries'!E688&lt;='Rules'!$B$20,'Rules'!$B$24,'Rules'!$B$25))))</x:f>
        <x:v>1</x:v>
      </x:c>
      <x:c r="E688" s="16" t="n">
        <x:f>MIN(LOG10(1+'Queries'!C688)/'Rules'!$B$13,1)</x:f>
        <x:v>0.42625120031761</x:v>
      </x:c>
      <x:c r="F688" s="16" t="n">
        <x:f>IF(AND('Queries'!E688&lt;='Rules'!$B$15,'Queries'!C688&gt;='Rules'!$B$14,'Queries'!D688&lt;'Rules'!$B$16),1,0)</x:f>
        <x:v>0</x:v>
      </x:c>
      <x:c r="G688" s="16" t="n">
        <x:v>1</x:v>
      </x:c>
      <x:c r="H688" s="16" t="n">
        <x:v>1</x:v>
      </x:c>
      <x:c r="I688" s="16" t="n">
        <x:f>ROUND((B688*'Rules'!$B$6+C688/'Rules'!$B$12*'Rules'!$B$7+D688*'Rules'!$B$8+E688*'Rules'!$B$9+F688*'Rules'!$B$10+G688*'Rules'!$B$11)*H688,1)</x:f>
        <x:v>84.3</x:v>
      </x:c>
      <x:c r="J688" s="18" t="n">
        <x:f>'Queries'!C688*'Queries'!E688</x:f>
        <x:v>205.02</x:v>
      </x:c>
    </x:row>
    <x:row r="689" ht="32" customHeight="1">
      <x:c r="A689" s="6" t="str">
        <x:v>tire fixing near me</x:v>
      </x:c>
      <x:c r="B689" s="16" t="n">
        <x:v>1</x:v>
      </x:c>
      <x:c r="C689" s="16" t="n">
        <x:v>2</x:v>
      </x:c>
      <x:c r="D689" s="16" t="n">
        <x:f>IF('Queries'!E689&lt;='Rules'!$B$17,'Rules'!$B$21,IF('Queries'!E689&lt;='Rules'!$B$18,'Rules'!$B$22,IF('Queries'!E689&lt;='Rules'!$B$19,'Rules'!$B$23,IF('Queries'!E689&lt;='Rules'!$B$20,'Rules'!$B$24,'Rules'!$B$25))))</x:f>
        <x:v>1</x:v>
      </x:c>
      <x:c r="E689" s="16" t="n">
        <x:f>MIN(LOG10(1+'Queries'!C689)/'Rules'!$B$13,1)</x:f>
        <x:v>0.42625120031761</x:v>
      </x:c>
      <x:c r="F689" s="16" t="n">
        <x:f>IF(AND('Queries'!E689&lt;='Rules'!$B$15,'Queries'!C689&gt;='Rules'!$B$14,'Queries'!D689&lt;'Rules'!$B$16),1,0)</x:f>
        <x:v>0</x:v>
      </x:c>
      <x:c r="G689" s="16" t="n">
        <x:v>1</x:v>
      </x:c>
      <x:c r="H689" s="16" t="n">
        <x:v>1</x:v>
      </x:c>
      <x:c r="I689" s="16" t="n">
        <x:f>ROUND((B689*'Rules'!$B$6+C689/'Rules'!$B$12*'Rules'!$B$7+D689*'Rules'!$B$8+E689*'Rules'!$B$9+F689*'Rules'!$B$10+G689*'Rules'!$B$11)*H689,1)</x:f>
        <x:v>72.3</x:v>
      </x:c>
      <x:c r="J689" s="18" t="n">
        <x:f>'Queries'!C689*'Queries'!E689</x:f>
        <x:v>221.04</x:v>
      </x:c>
    </x:row>
    <x:row r="690" ht="32" customHeight="1">
      <x:c r="A690" s="6" t="str">
        <x:v>exhaust services</x:v>
      </x:c>
      <x:c r="B690" s="16" t="n">
        <x:v>0.8</x:v>
      </x:c>
      <x:c r="C690" s="16" t="n">
        <x:v>3</x:v>
      </x:c>
      <x:c r="D690" s="16" t="n">
        <x:f>IF('Queries'!E690&lt;='Rules'!$B$17,'Rules'!$B$21,IF('Queries'!E690&lt;='Rules'!$B$18,'Rules'!$B$22,IF('Queries'!E690&lt;='Rules'!$B$19,'Rules'!$B$23,IF('Queries'!E690&lt;='Rules'!$B$20,'Rules'!$B$24,'Rules'!$B$25))))</x:f>
        <x:v>1</x:v>
      </x:c>
      <x:c r="E690" s="16" t="n">
        <x:f>MIN(LOG10(1+'Queries'!C690)/'Rules'!$B$13,1)</x:f>
        <x:v>0.42625120031761</x:v>
      </x:c>
      <x:c r="F690" s="16" t="n">
        <x:f>IF(AND('Queries'!E690&lt;='Rules'!$B$15,'Queries'!C690&gt;='Rules'!$B$14,'Queries'!D690&lt;'Rules'!$B$16),1,0)</x:f>
        <x:v>0</x:v>
      </x:c>
      <x:c r="G690" s="16" t="n">
        <x:v>1</x:v>
      </x:c>
      <x:c r="H690" s="16" t="n">
        <x:v>1</x:v>
      </x:c>
      <x:c r="I690" s="16" t="n">
        <x:f>ROUND((B690*'Rules'!$B$6+C690/'Rules'!$B$12*'Rules'!$B$7+D690*'Rules'!$B$8+E690*'Rules'!$B$9+F690*'Rules'!$B$10+G690*'Rules'!$B$11)*H690,1)</x:f>
        <x:v>71.3</x:v>
      </x:c>
      <x:c r="J690" s="18" t="n">
        <x:f>'Queries'!C690*'Queries'!E690</x:f>
        <x:v>223.92</x:v>
      </x:c>
    </x:row>
    <x:row r="691" ht="32" customHeight="1">
      <x:c r="A691" s="6" t="str">
        <x:v>mclaren engine repair abu dhabi</x:v>
      </x:c>
      <x:c r="B691" s="16" t="n">
        <x:v>1</x:v>
      </x:c>
      <x:c r="C691" s="16" t="n">
        <x:v>1</x:v>
      </x:c>
      <x:c r="D691" s="16" t="n">
        <x:f>IF('Queries'!E691&lt;='Rules'!$B$17,'Rules'!$B$21,IF('Queries'!E691&lt;='Rules'!$B$18,'Rules'!$B$22,IF('Queries'!E691&lt;='Rules'!$B$19,'Rules'!$B$23,IF('Queries'!E691&lt;='Rules'!$B$20,'Rules'!$B$24,'Rules'!$B$25))))</x:f>
        <x:v>1</x:v>
      </x:c>
      <x:c r="E691" s="16" t="n">
        <x:f>MIN(LOG10(1+'Queries'!C691)/'Rules'!$B$13,1)</x:f>
        <x:v>0.42625120031761</x:v>
      </x:c>
      <x:c r="F691" s="16" t="n">
        <x:f>IF(AND('Queries'!E691&lt;='Rules'!$B$15,'Queries'!C691&gt;='Rules'!$B$14,'Queries'!D691&lt;'Rules'!$B$16),1,0)</x:f>
        <x:v>0</x:v>
      </x:c>
      <x:c r="G691" s="16" t="n">
        <x:v>1</x:v>
      </x:c>
      <x:c r="H691" s="16" t="n">
        <x:v>0.2</x:v>
      </x:c>
      <x:c r="I691" s="16" t="n">
        <x:f>ROUND((B691*'Rules'!$B$6+C691/'Rules'!$B$12*'Rules'!$B$7+D691*'Rules'!$B$8+E691*'Rules'!$B$9+F691*'Rules'!$B$10+G691*'Rules'!$B$11)*H691,1)</x:f>
        <x:v>13.7</x:v>
      </x:c>
      <x:c r="J691" s="18" t="n">
        <x:f>'Queries'!C691*'Queries'!E691</x:f>
        <x:v>252</x:v>
      </x:c>
    </x:row>
    <x:row r="692" ht="32" customHeight="1">
      <x:c r="A692" s="6" t="str">
        <x:v>خدمة تبديل بطارية السيارة دبي</x:v>
      </x:c>
      <x:c r="B692" s="16" t="n">
        <x:v>1</x:v>
      </x:c>
      <x:c r="C692" s="16" t="n">
        <x:v>3</x:v>
      </x:c>
      <x:c r="D692" s="16" t="n">
        <x:f>IF('Queries'!E692&lt;='Rules'!$B$17,'Rules'!$B$21,IF('Queries'!E692&lt;='Rules'!$B$18,'Rules'!$B$22,IF('Queries'!E692&lt;='Rules'!$B$19,'Rules'!$B$23,IF('Queries'!E692&lt;='Rules'!$B$20,'Rules'!$B$24,'Rules'!$B$25))))</x:f>
        <x:v>0.7</x:v>
      </x:c>
      <x:c r="E692" s="16" t="n">
        <x:f>MIN(LOG10(1+'Queries'!C692)/'Rules'!$B$13,1)</x:f>
        <x:v>0.42625120031761</x:v>
      </x:c>
      <x:c r="F692" s="16" t="n">
        <x:f>IF(AND('Queries'!E692&lt;='Rules'!$B$15,'Queries'!C692&gt;='Rules'!$B$14,'Queries'!D692&lt;'Rules'!$B$16),1,0)</x:f>
        <x:v>0</x:v>
      </x:c>
      <x:c r="G692" s="16" t="n">
        <x:v>1</x:v>
      </x:c>
      <x:c r="H692" s="16" t="n">
        <x:v>1</x:v>
      </x:c>
      <x:c r="I692" s="16" t="n">
        <x:f>ROUND((B692*'Rules'!$B$6+C692/'Rules'!$B$12*'Rules'!$B$7+D692*'Rules'!$B$8+E692*'Rules'!$B$9+F692*'Rules'!$B$10+G692*'Rules'!$B$11)*H692,1)</x:f>
        <x:v>68.8</x:v>
      </x:c>
      <x:c r="J692" s="18" t="n">
        <x:f>'Queries'!C692*'Queries'!E692</x:f>
        <x:v>273.96000000000004</x:v>
      </x:c>
    </x:row>
    <x:row r="693" ht="32" customHeight="1">
      <x:c r="A693" s="6" t="str">
        <x:v>bmw body repair dubai</x:v>
      </x:c>
      <x:c r="B693" s="16" t="n">
        <x:v>1</x:v>
      </x:c>
      <x:c r="C693" s="16" t="n">
        <x:v>5</x:v>
      </x:c>
      <x:c r="D693" s="16" t="n">
        <x:f>IF('Queries'!E693&lt;='Rules'!$B$17,'Rules'!$B$21,IF('Queries'!E693&lt;='Rules'!$B$18,'Rules'!$B$22,IF('Queries'!E693&lt;='Rules'!$B$19,'Rules'!$B$23,IF('Queries'!E693&lt;='Rules'!$B$20,'Rules'!$B$24,'Rules'!$B$25))))</x:f>
        <x:v>0.7</x:v>
      </x:c>
      <x:c r="E693" s="16" t="n">
        <x:f>MIN(LOG10(1+'Queries'!C693)/'Rules'!$B$13,1)</x:f>
        <x:v>0.42625120031761</x:v>
      </x:c>
      <x:c r="F693" s="16" t="n">
        <x:f>IF(AND('Queries'!E693&lt;='Rules'!$B$15,'Queries'!C693&gt;='Rules'!$B$14,'Queries'!D693&lt;'Rules'!$B$16),1,0)</x:f>
        <x:v>0</x:v>
      </x:c>
      <x:c r="G693" s="16" t="n">
        <x:v>1</x:v>
      </x:c>
      <x:c r="H693" s="16" t="n">
        <x:v>1</x:v>
      </x:c>
      <x:c r="I693" s="16" t="n">
        <x:f>ROUND((B693*'Rules'!$B$6+C693/'Rules'!$B$12*'Rules'!$B$7+D693*'Rules'!$B$8+E693*'Rules'!$B$9+F693*'Rules'!$B$10+G693*'Rules'!$B$11)*H693,1)</x:f>
        <x:v>76.8</x:v>
      </x:c>
      <x:c r="J693" s="18" t="n">
        <x:f>'Queries'!C693*'Queries'!E693</x:f>
        <x:v>297</x:v>
      </x:c>
    </x:row>
    <x:row r="694" ht="32" customHeight="1">
      <x:c r="A694" s="6" t="str">
        <x:v>porsche gt3 service dubai</x:v>
      </x:c>
      <x:c r="B694" s="16" t="n">
        <x:v>1</x:v>
      </x:c>
      <x:c r="C694" s="16" t="n">
        <x:v>5</x:v>
      </x:c>
      <x:c r="D694" s="16" t="n">
        <x:f>IF('Queries'!E694&lt;='Rules'!$B$17,'Rules'!$B$21,IF('Queries'!E694&lt;='Rules'!$B$18,'Rules'!$B$22,IF('Queries'!E694&lt;='Rules'!$B$19,'Rules'!$B$23,IF('Queries'!E694&lt;='Rules'!$B$20,'Rules'!$B$24,'Rules'!$B$25))))</x:f>
        <x:v>0.7</x:v>
      </x:c>
      <x:c r="E694" s="16" t="n">
        <x:f>MIN(LOG10(1+'Queries'!C694)/'Rules'!$B$13,1)</x:f>
        <x:v>0.42625120031761</x:v>
      </x:c>
      <x:c r="F694" s="16" t="n">
        <x:f>IF(AND('Queries'!E694&lt;='Rules'!$B$15,'Queries'!C694&gt;='Rules'!$B$14,'Queries'!D694&lt;'Rules'!$B$16),1,0)</x:f>
        <x:v>0</x:v>
      </x:c>
      <x:c r="G694" s="16" t="n">
        <x:v>1</x:v>
      </x:c>
      <x:c r="H694" s="16" t="n">
        <x:v>1</x:v>
      </x:c>
      <x:c r="I694" s="16" t="n">
        <x:f>ROUND((B694*'Rules'!$B$6+C694/'Rules'!$B$12*'Rules'!$B$7+D694*'Rules'!$B$8+E694*'Rules'!$B$9+F694*'Rules'!$B$10+G694*'Rules'!$B$11)*H694,1)</x:f>
        <x:v>76.8</x:v>
      </x:c>
      <x:c r="J694" s="18" t="n">
        <x:f>'Queries'!C694*'Queries'!E694</x:f>
        <x:v>313.92</x:v>
      </x:c>
    </x:row>
    <x:row r="695" ht="32" customHeight="1">
      <x:c r="A695" s="6" t="str">
        <x:v>bmw battery replacement dubai</x:v>
      </x:c>
      <x:c r="B695" s="16" t="n">
        <x:v>1</x:v>
      </x:c>
      <x:c r="C695" s="16" t="n">
        <x:v>5</x:v>
      </x:c>
      <x:c r="D695" s="16" t="n">
        <x:f>IF('Queries'!E695&lt;='Rules'!$B$17,'Rules'!$B$21,IF('Queries'!E695&lt;='Rules'!$B$18,'Rules'!$B$22,IF('Queries'!E695&lt;='Rules'!$B$19,'Rules'!$B$23,IF('Queries'!E695&lt;='Rules'!$B$20,'Rules'!$B$24,'Rules'!$B$25))))</x:f>
        <x:v>0.7</x:v>
      </x:c>
      <x:c r="E695" s="16" t="n">
        <x:f>MIN(LOG10(1+'Queries'!C695)/'Rules'!$B$13,1)</x:f>
        <x:v>0.42625120031761</x:v>
      </x:c>
      <x:c r="F695" s="16" t="n">
        <x:f>IF(AND('Queries'!E695&lt;='Rules'!$B$15,'Queries'!C695&gt;='Rules'!$B$14,'Queries'!D695&lt;'Rules'!$B$16),1,0)</x:f>
        <x:v>0</x:v>
      </x:c>
      <x:c r="G695" s="16" t="n">
        <x:v>1</x:v>
      </x:c>
      <x:c r="H695" s="16" t="n">
        <x:v>1</x:v>
      </x:c>
      <x:c r="I695" s="16" t="n">
        <x:f>ROUND((B695*'Rules'!$B$6+C695/'Rules'!$B$12*'Rules'!$B$7+D695*'Rules'!$B$8+E695*'Rules'!$B$9+F695*'Rules'!$B$10+G695*'Rules'!$B$11)*H695,1)</x:f>
        <x:v>76.8</x:v>
      </x:c>
      <x:c r="J695" s="18" t="n">
        <x:f>'Queries'!C695*'Queries'!E695</x:f>
        <x:v>376.02</x:v>
      </x:c>
    </x:row>
    <x:row r="696" ht="32" customHeight="1">
      <x:c r="A696" s="6" t="str">
        <x:v>mercedes benz service center</x:v>
      </x:c>
      <x:c r="B696" s="16" t="n">
        <x:v>0.8</x:v>
      </x:c>
      <x:c r="C696" s="16" t="n">
        <x:v>5</x:v>
      </x:c>
      <x:c r="D696" s="16" t="n">
        <x:f>IF('Queries'!E696&lt;='Rules'!$B$17,'Rules'!$B$21,IF('Queries'!E696&lt;='Rules'!$B$18,'Rules'!$B$22,IF('Queries'!E696&lt;='Rules'!$B$19,'Rules'!$B$23,IF('Queries'!E696&lt;='Rules'!$B$20,'Rules'!$B$24,'Rules'!$B$25))))</x:f>
        <x:v>0.7</x:v>
      </x:c>
      <x:c r="E696" s="16" t="n">
        <x:f>MIN(LOG10(1+'Queries'!C696)/'Rules'!$B$13,1)</x:f>
        <x:v>0.42625120031761</x:v>
      </x:c>
      <x:c r="F696" s="16" t="n">
        <x:f>IF(AND('Queries'!E696&lt;='Rules'!$B$15,'Queries'!C696&gt;='Rules'!$B$14,'Queries'!D696&lt;'Rules'!$B$16),1,0)</x:f>
        <x:v>0</x:v>
      </x:c>
      <x:c r="G696" s="16" t="n">
        <x:v>1</x:v>
      </x:c>
      <x:c r="H696" s="16" t="n">
        <x:v>1</x:v>
      </x:c>
      <x:c r="I696" s="16" t="n">
        <x:f>ROUND((B696*'Rules'!$B$6+C696/'Rules'!$B$12*'Rules'!$B$7+D696*'Rules'!$B$8+E696*'Rules'!$B$9+F696*'Rules'!$B$10+G696*'Rules'!$B$11)*H696,1)</x:f>
        <x:v>71.8</x:v>
      </x:c>
      <x:c r="J696" s="18" t="n">
        <x:f>'Queries'!C696*'Queries'!E696</x:f>
        <x:v>486</x:v>
      </x:c>
    </x:row>
    <x:row r="697" ht="32" customHeight="1">
      <x:c r="A697" s="6" t="str">
        <x:v>porsche 911 service dubai</x:v>
      </x:c>
      <x:c r="B697" s="16" t="n">
        <x:v>1</x:v>
      </x:c>
      <x:c r="C697" s="16" t="n">
        <x:v>5</x:v>
      </x:c>
      <x:c r="D697" s="16" t="n">
        <x:f>IF('Queries'!E697&lt;='Rules'!$B$17,'Rules'!$B$21,IF('Queries'!E697&lt;='Rules'!$B$18,'Rules'!$B$22,IF('Queries'!E697&lt;='Rules'!$B$19,'Rules'!$B$23,IF('Queries'!E697&lt;='Rules'!$B$20,'Rules'!$B$24,'Rules'!$B$25))))</x:f>
        <x:v>0.7</x:v>
      </x:c>
      <x:c r="E697" s="16" t="n">
        <x:f>MIN(LOG10(1+'Queries'!C697)/'Rules'!$B$13,1)</x:f>
        <x:v>0.42625120031761</x:v>
      </x:c>
      <x:c r="F697" s="16" t="n">
        <x:f>IF(AND('Queries'!E697&lt;='Rules'!$B$15,'Queries'!C697&gt;='Rules'!$B$14,'Queries'!D697&lt;'Rules'!$B$16),1,0)</x:f>
        <x:v>0</x:v>
      </x:c>
      <x:c r="G697" s="16" t="n">
        <x:v>1</x:v>
      </x:c>
      <x:c r="H697" s="16" t="n">
        <x:v>1</x:v>
      </x:c>
      <x:c r="I697" s="16" t="n">
        <x:f>ROUND((B697*'Rules'!$B$6+C697/'Rules'!$B$12*'Rules'!$B$7+D697*'Rules'!$B$8+E697*'Rules'!$B$9+F697*'Rules'!$B$10+G697*'Rules'!$B$11)*H697,1)</x:f>
        <x:v>76.8</x:v>
      </x:c>
      <x:c r="J697" s="18" t="n">
        <x:f>'Queries'!C697*'Queries'!E697</x:f>
        <x:v>522</x:v>
      </x:c>
    </x:row>
    <x:row r="698" ht="32" customHeight="1">
      <x:c r="A698" s="6" t="str">
        <x:v>tire repair</x:v>
      </x:c>
      <x:c r="B698" s="16" t="n">
        <x:v>0.8</x:v>
      </x:c>
      <x:c r="C698" s="16" t="n">
        <x:v>2</x:v>
      </x:c>
      <x:c r="D698" s="16" t="n">
        <x:f>IF('Queries'!E698&lt;='Rules'!$B$17,'Rules'!$B$21,IF('Queries'!E698&lt;='Rules'!$B$18,'Rules'!$B$22,IF('Queries'!E698&lt;='Rules'!$B$19,'Rules'!$B$23,IF('Queries'!E698&lt;='Rules'!$B$20,'Rules'!$B$24,'Rules'!$B$25))))</x:f>
        <x:v>0.7</x:v>
      </x:c>
      <x:c r="E698" s="16" t="n">
        <x:f>MIN(LOG10(1+'Queries'!C698)/'Rules'!$B$13,1)</x:f>
        <x:v>0.42625120031761</x:v>
      </x:c>
      <x:c r="F698" s="16" t="n">
        <x:f>IF(AND('Queries'!E698&lt;='Rules'!$B$15,'Queries'!C698&gt;='Rules'!$B$14,'Queries'!D698&lt;'Rules'!$B$16),1,0)</x:f>
        <x:v>0</x:v>
      </x:c>
      <x:c r="G698" s="16" t="n">
        <x:v>1</x:v>
      </x:c>
      <x:c r="H698" s="16" t="n">
        <x:v>1</x:v>
      </x:c>
      <x:c r="I698" s="16" t="n">
        <x:f>ROUND((B698*'Rules'!$B$6+C698/'Rules'!$B$12*'Rules'!$B$7+D698*'Rules'!$B$8+E698*'Rules'!$B$9+F698*'Rules'!$B$10+G698*'Rules'!$B$11)*H698,1)</x:f>
        <x:v>59.8</x:v>
      </x:c>
      <x:c r="J698" s="18" t="n">
        <x:f>'Queries'!C698*'Queries'!E698</x:f>
        <x:v>531</x:v>
      </x:c>
    </x:row>
    <x:row r="699" ht="32" customHeight="1">
      <x:c r="A699" s="6" t="str">
        <x:v>car paint protection services</x:v>
      </x:c>
      <x:c r="B699" s="16" t="n">
        <x:v>0.8</x:v>
      </x:c>
      <x:c r="C699" s="16" t="n">
        <x:v>5</x:v>
      </x:c>
      <x:c r="D699" s="16" t="n">
        <x:f>IF('Queries'!E699&lt;='Rules'!$B$17,'Rules'!$B$21,IF('Queries'!E699&lt;='Rules'!$B$18,'Rules'!$B$22,IF('Queries'!E699&lt;='Rules'!$B$19,'Rules'!$B$23,IF('Queries'!E699&lt;='Rules'!$B$20,'Rules'!$B$24,'Rules'!$B$25))))</x:f>
        <x:v>0.4</x:v>
      </x:c>
      <x:c r="E699" s="16" t="n">
        <x:f>MIN(LOG10(1+'Queries'!C699)/'Rules'!$B$13,1)</x:f>
        <x:v>0.42625120031761</x:v>
      </x:c>
      <x:c r="F699" s="16" t="n">
        <x:f>IF(AND('Queries'!E699&lt;='Rules'!$B$15,'Queries'!C699&gt;='Rules'!$B$14,'Queries'!D699&lt;'Rules'!$B$16),1,0)</x:f>
        <x:v>0</x:v>
      </x:c>
      <x:c r="G699" s="16" t="n">
        <x:v>1</x:v>
      </x:c>
      <x:c r="H699" s="16" t="n">
        <x:v>1</x:v>
      </x:c>
      <x:c r="I699" s="16" t="n">
        <x:f>ROUND((B699*'Rules'!$B$6+C699/'Rules'!$B$12*'Rules'!$B$7+D699*'Rules'!$B$8+E699*'Rules'!$B$9+F699*'Rules'!$B$10+G699*'Rules'!$B$11)*H699,1)</x:f>
        <x:v>64.3</x:v>
      </x:c>
      <x:c r="J699" s="18" t="n">
        <x:f>'Queries'!C699*'Queries'!E699</x:f>
        <x:v>572.9399999999999</x:v>
      </x:c>
    </x:row>
    <x:row r="700" ht="32" customHeight="1">
      <x:c r="A700" s="6" t="str">
        <x:v>audi service in dubai</x:v>
      </x:c>
      <x:c r="B700" s="16" t="n">
        <x:v>1</x:v>
      </x:c>
      <x:c r="C700" s="16" t="n">
        <x:v>5</x:v>
      </x:c>
      <x:c r="D700" s="16" t="n">
        <x:f>IF('Queries'!E700&lt;='Rules'!$B$17,'Rules'!$B$21,IF('Queries'!E700&lt;='Rules'!$B$18,'Rules'!$B$22,IF('Queries'!E700&lt;='Rules'!$B$19,'Rules'!$B$23,IF('Queries'!E700&lt;='Rules'!$B$20,'Rules'!$B$24,'Rules'!$B$25))))</x:f>
        <x:v>0.4</x:v>
      </x:c>
      <x:c r="E700" s="16" t="n">
        <x:f>MIN(LOG10(1+'Queries'!C700)/'Rules'!$B$13,1)</x:f>
        <x:v>0.42625120031761</x:v>
      </x:c>
      <x:c r="F700" s="16" t="n">
        <x:f>IF(AND('Queries'!E700&lt;='Rules'!$B$15,'Queries'!C700&gt;='Rules'!$B$14,'Queries'!D700&lt;'Rules'!$B$16),1,0)</x:f>
        <x:v>0</x:v>
      </x:c>
      <x:c r="G700" s="16" t="n">
        <x:v>1</x:v>
      </x:c>
      <x:c r="H700" s="16" t="n">
        <x:v>1</x:v>
      </x:c>
      <x:c r="I700" s="16" t="n">
        <x:f>ROUND((B700*'Rules'!$B$6+C700/'Rules'!$B$12*'Rules'!$B$7+D700*'Rules'!$B$8+E700*'Rules'!$B$9+F700*'Rules'!$B$10+G700*'Rules'!$B$11)*H700,1)</x:f>
        <x:v>69.3</x:v>
      </x:c>
      <x:c r="J700" s="18" t="n">
        <x:f>'Queries'!C700*'Queries'!E700</x:f>
        <x:v>581.04</x:v>
      </x:c>
    </x:row>
    <x:row r="701" ht="32" customHeight="1">
      <x:c r="A701" s="6" t="str">
        <x:v>porsche turbo service dubai</x:v>
      </x:c>
      <x:c r="B701" s="16" t="n">
        <x:v>1</x:v>
      </x:c>
      <x:c r="C701" s="16" t="n">
        <x:v>5</x:v>
      </x:c>
      <x:c r="D701" s="16" t="n">
        <x:f>IF('Queries'!E701&lt;='Rules'!$B$17,'Rules'!$B$21,IF('Queries'!E701&lt;='Rules'!$B$18,'Rules'!$B$22,IF('Queries'!E701&lt;='Rules'!$B$19,'Rules'!$B$23,IF('Queries'!E701&lt;='Rules'!$B$20,'Rules'!$B$24,'Rules'!$B$25))))</x:f>
        <x:v>0.4</x:v>
      </x:c>
      <x:c r="E701" s="16" t="n">
        <x:f>MIN(LOG10(1+'Queries'!C701)/'Rules'!$B$13,1)</x:f>
        <x:v>0.42625120031761</x:v>
      </x:c>
      <x:c r="F701" s="16" t="n">
        <x:f>IF(AND('Queries'!E701&lt;='Rules'!$B$15,'Queries'!C701&gt;='Rules'!$B$14,'Queries'!D701&lt;'Rules'!$B$16),1,0)</x:f>
        <x:v>0</x:v>
      </x:c>
      <x:c r="G701" s="16" t="n">
        <x:v>1</x:v>
      </x:c>
      <x:c r="H701" s="16" t="n">
        <x:v>1</x:v>
      </x:c>
      <x:c r="I701" s="16" t="n">
        <x:f>ROUND((B701*'Rules'!$B$6+C701/'Rules'!$B$12*'Rules'!$B$7+D701*'Rules'!$B$8+E701*'Rules'!$B$9+F701*'Rules'!$B$10+G701*'Rules'!$B$11)*H701,1)</x:f>
        <x:v>69.3</x:v>
      </x:c>
      <x:c r="J701" s="18" t="n">
        <x:f>'Queries'!C701*'Queries'!E701</x:f>
        <x:v>619.02</x:v>
      </x:c>
    </x:row>
    <x:row r="702" ht="32" customHeight="1">
      <x:c r="A702" s="6" t="str">
        <x:v>premium ppf service dubai</x:v>
      </x:c>
      <x:c r="B702" s="16" t="n">
        <x:v>1</x:v>
      </x:c>
      <x:c r="C702" s="16" t="n">
        <x:v>5</x:v>
      </x:c>
      <x:c r="D702" s="16" t="n">
        <x:f>IF('Queries'!E702&lt;='Rules'!$B$17,'Rules'!$B$21,IF('Queries'!E702&lt;='Rules'!$B$18,'Rules'!$B$22,IF('Queries'!E702&lt;='Rules'!$B$19,'Rules'!$B$23,IF('Queries'!E702&lt;='Rules'!$B$20,'Rules'!$B$24,'Rules'!$B$25))))</x:f>
        <x:v>0.4</x:v>
      </x:c>
      <x:c r="E702" s="16" t="n">
        <x:f>MIN(LOG10(1+'Queries'!C702)/'Rules'!$B$13,1)</x:f>
        <x:v>0.42625120031761</x:v>
      </x:c>
      <x:c r="F702" s="16" t="n">
        <x:f>IF(AND('Queries'!E702&lt;='Rules'!$B$15,'Queries'!C702&gt;='Rules'!$B$14,'Queries'!D702&lt;'Rules'!$B$16),1,0)</x:f>
        <x:v>0</x:v>
      </x:c>
      <x:c r="G702" s="16" t="n">
        <x:v>1</x:v>
      </x:c>
      <x:c r="H702" s="16" t="n">
        <x:v>1</x:v>
      </x:c>
      <x:c r="I702" s="16" t="n">
        <x:f>ROUND((B702*'Rules'!$B$6+C702/'Rules'!$B$12*'Rules'!$B$7+D702*'Rules'!$B$8+E702*'Rules'!$B$9+F702*'Rules'!$B$10+G702*'Rules'!$B$11)*H702,1)</x:f>
        <x:v>69.3</x:v>
      </x:c>
      <x:c r="J702" s="18" t="n">
        <x:f>'Queries'!C702*'Queries'!E702</x:f>
        <x:v>633.96</x:v>
      </x:c>
    </x:row>
    <x:row r="703" ht="32" customHeight="1">
      <x:c r="A703" s="6" t="str">
        <x:v>german car diagnostics dubai</x:v>
      </x:c>
      <x:c r="B703" s="16" t="n">
        <x:v>1</x:v>
      </x:c>
      <x:c r="C703" s="16" t="n">
        <x:v>3</x:v>
      </x:c>
      <x:c r="D703" s="16" t="n">
        <x:f>IF('Queries'!E703&lt;='Rules'!$B$17,'Rules'!$B$21,IF('Queries'!E703&lt;='Rules'!$B$18,'Rules'!$B$22,IF('Queries'!E703&lt;='Rules'!$B$19,'Rules'!$B$23,IF('Queries'!E703&lt;='Rules'!$B$20,'Rules'!$B$24,'Rules'!$B$25))))</x:f>
        <x:v>0.4</x:v>
      </x:c>
      <x:c r="E703" s="16" t="n">
        <x:f>MIN(LOG10(1+'Queries'!C703)/'Rules'!$B$13,1)</x:f>
        <x:v>0.42625120031761</x:v>
      </x:c>
      <x:c r="F703" s="16" t="n">
        <x:f>IF(AND('Queries'!E703&lt;='Rules'!$B$15,'Queries'!C703&gt;='Rules'!$B$14,'Queries'!D703&lt;'Rules'!$B$16),1,0)</x:f>
        <x:v>0</x:v>
      </x:c>
      <x:c r="G703" s="16" t="n">
        <x:v>1</x:v>
      </x:c>
      <x:c r="H703" s="16" t="n">
        <x:v>1</x:v>
      </x:c>
      <x:c r="I703" s="16" t="n">
        <x:f>ROUND((B703*'Rules'!$B$6+C703/'Rules'!$B$12*'Rules'!$B$7+D703*'Rules'!$B$8+E703*'Rules'!$B$9+F703*'Rules'!$B$10+G703*'Rules'!$B$11)*H703,1)</x:f>
        <x:v>61.3</x:v>
      </x:c>
      <x:c r="J703" s="18" t="n">
        <x:f>'Queries'!C703*'Queries'!E703</x:f>
        <x:v>691.02</x:v>
      </x:c>
    </x:row>
    <x:row r="704" ht="32" customHeight="1">
      <x:c r="A704" s="6" t="str">
        <x:v>porsche repair deira</x:v>
      </x:c>
      <x:c r="B704" s="16" t="n">
        <x:v>1</x:v>
      </x:c>
      <x:c r="C704" s="16" t="n">
        <x:v>5</x:v>
      </x:c>
      <x:c r="D704" s="16" t="n">
        <x:f>IF('Queries'!E704&lt;='Rules'!$B$17,'Rules'!$B$21,IF('Queries'!E704&lt;='Rules'!$B$18,'Rules'!$B$22,IF('Queries'!E704&lt;='Rules'!$B$19,'Rules'!$B$23,IF('Queries'!E704&lt;='Rules'!$B$20,'Rules'!$B$24,'Rules'!$B$25))))</x:f>
        <x:v>0.4</x:v>
      </x:c>
      <x:c r="E704" s="16" t="n">
        <x:f>MIN(LOG10(1+'Queries'!C704)/'Rules'!$B$13,1)</x:f>
        <x:v>0.42625120031761</x:v>
      </x:c>
      <x:c r="F704" s="16" t="n">
        <x:f>IF(AND('Queries'!E704&lt;='Rules'!$B$15,'Queries'!C704&gt;='Rules'!$B$14,'Queries'!D704&lt;'Rules'!$B$16),1,0)</x:f>
        <x:v>0</x:v>
      </x:c>
      <x:c r="G704" s="16" t="n">
        <x:v>1</x:v>
      </x:c>
      <x:c r="H704" s="16" t="n">
        <x:v>1</x:v>
      </x:c>
      <x:c r="I704" s="16" t="n">
        <x:f>ROUND((B704*'Rules'!$B$6+C704/'Rules'!$B$12*'Rules'!$B$7+D704*'Rules'!$B$8+E704*'Rules'!$B$9+F704*'Rules'!$B$10+G704*'Rules'!$B$11)*H704,1)</x:f>
        <x:v>69.3</x:v>
      </x:c>
      <x:c r="J704" s="18" t="n">
        <x:f>'Queries'!C704*'Queries'!E704</x:f>
        <x:v>716.04</x:v>
      </x:c>
    </x:row>
    <x:row r="705" ht="32" customHeight="1">
      <x:c r="A705" s="6" t="str">
        <x:v>porsche specialist dip2</x:v>
      </x:c>
      <x:c r="B705" s="16" t="n">
        <x:v>1</x:v>
      </x:c>
      <x:c r="C705" s="16" t="n">
        <x:v>5</x:v>
      </x:c>
      <x:c r="D705" s="16" t="n">
        <x:f>IF('Queries'!E705&lt;='Rules'!$B$17,'Rules'!$B$21,IF('Queries'!E705&lt;='Rules'!$B$18,'Rules'!$B$22,IF('Queries'!E705&lt;='Rules'!$B$19,'Rules'!$B$23,IF('Queries'!E705&lt;='Rules'!$B$20,'Rules'!$B$24,'Rules'!$B$25))))</x:f>
        <x:v>0.15</x:v>
      </x:c>
      <x:c r="E705" s="16" t="n">
        <x:f>MIN(LOG10(1+'Queries'!C705)/'Rules'!$B$13,1)</x:f>
        <x:v>0.42625120031761</x:v>
      </x:c>
      <x:c r="F705" s="16" t="n">
        <x:f>IF(AND('Queries'!E705&lt;='Rules'!$B$15,'Queries'!C705&gt;='Rules'!$B$14,'Queries'!D705&lt;'Rules'!$B$16),1,0)</x:f>
        <x:v>0</x:v>
      </x:c>
      <x:c r="G705" s="16" t="n">
        <x:v>1</x:v>
      </x:c>
      <x:c r="H705" s="16" t="n">
        <x:v>1</x:v>
      </x:c>
      <x:c r="I705" s="16" t="n">
        <x:f>ROUND((B705*'Rules'!$B$6+C705/'Rules'!$B$12*'Rules'!$B$7+D705*'Rules'!$B$8+E705*'Rules'!$B$9+F705*'Rules'!$B$10+G705*'Rules'!$B$11)*H705,1)</x:f>
        <x:v>63</x:v>
      </x:c>
      <x:c r="J705" s="18" t="n">
        <x:f>'Queries'!C705*'Queries'!E705</x:f>
        <x:v>759.0600000000001</x:v>
      </x:c>
    </x:row>
    <x:row r="706" ht="32" customHeight="1">
      <x:c r="A706" s="6" t="str">
        <x:v>mini cooper service dubai</x:v>
      </x:c>
      <x:c r="B706" s="16" t="n">
        <x:v>1</x:v>
      </x:c>
      <x:c r="C706" s="16" t="n">
        <x:v>3</x:v>
      </x:c>
      <x:c r="D706" s="16" t="n">
        <x:f>IF('Queries'!E706&lt;='Rules'!$B$17,'Rules'!$B$21,IF('Queries'!E706&lt;='Rules'!$B$18,'Rules'!$B$22,IF('Queries'!E706&lt;='Rules'!$B$19,'Rules'!$B$23,IF('Queries'!E706&lt;='Rules'!$B$20,'Rules'!$B$24,'Rules'!$B$25))))</x:f>
        <x:v>0.15</x:v>
      </x:c>
      <x:c r="E706" s="16" t="n">
        <x:f>MIN(LOG10(1+'Queries'!C706)/'Rules'!$B$13,1)</x:f>
        <x:v>0.42625120031761</x:v>
      </x:c>
      <x:c r="F706" s="16" t="n">
        <x:f>IF(AND('Queries'!E706&lt;='Rules'!$B$15,'Queries'!C706&gt;='Rules'!$B$14,'Queries'!D706&lt;'Rules'!$B$16),1,0)</x:f>
        <x:v>0</x:v>
      </x:c>
      <x:c r="G706" s="16" t="n">
        <x:v>1</x:v>
      </x:c>
      <x:c r="H706" s="16" t="n">
        <x:v>1</x:v>
      </x:c>
      <x:c r="I706" s="16" t="n">
        <x:f>ROUND((B706*'Rules'!$B$6+C706/'Rules'!$B$12*'Rules'!$B$7+D706*'Rules'!$B$8+E706*'Rules'!$B$9+F706*'Rules'!$B$10+G706*'Rules'!$B$11)*H706,1)</x:f>
        <x:v>55</x:v>
      </x:c>
      <x:c r="J706" s="18" t="n">
        <x:f>'Queries'!C706*'Queries'!E706</x:f>
        <x:v>786.96</x:v>
      </x:c>
    </x:row>
    <x:row r="707" ht="32" customHeight="1">
      <x:c r="A707" s="6" t="str">
        <x:v>ford car service specialist dubai</x:v>
      </x:c>
      <x:c r="B707" s="16" t="n">
        <x:v>1</x:v>
      </x:c>
      <x:c r="C707" s="16" t="n">
        <x:v>3</x:v>
      </x:c>
      <x:c r="D707" s="16" t="n">
        <x:f>IF('Queries'!E707&lt;='Rules'!$B$17,'Rules'!$B$21,IF('Queries'!E707&lt;='Rules'!$B$18,'Rules'!$B$22,IF('Queries'!E707&lt;='Rules'!$B$19,'Rules'!$B$23,IF('Queries'!E707&lt;='Rules'!$B$20,'Rules'!$B$24,'Rules'!$B$25))))</x:f>
        <x:v>0.15</x:v>
      </x:c>
      <x:c r="E707" s="16" t="n">
        <x:f>MIN(LOG10(1+'Queries'!C707)/'Rules'!$B$13,1)</x:f>
        <x:v>0.42625120031761</x:v>
      </x:c>
      <x:c r="F707" s="16" t="n">
        <x:f>IF(AND('Queries'!E707&lt;='Rules'!$B$15,'Queries'!C707&gt;='Rules'!$B$14,'Queries'!D707&lt;'Rules'!$B$16),1,0)</x:f>
        <x:v>0</x:v>
      </x:c>
      <x:c r="G707" s="16" t="n">
        <x:v>1</x:v>
      </x:c>
      <x:c r="H707" s="16" t="n">
        <x:v>1</x:v>
      </x:c>
      <x:c r="I707" s="16" t="n">
        <x:f>ROUND((B707*'Rules'!$B$6+C707/'Rules'!$B$12*'Rules'!$B$7+D707*'Rules'!$B$8+E707*'Rules'!$B$9+F707*'Rules'!$B$10+G707*'Rules'!$B$11)*H707,1)</x:f>
        <x:v>55</x:v>
      </x:c>
      <x:c r="J707" s="18" t="n">
        <x:f>'Queries'!C707*'Queries'!E707</x:f>
        <x:v>855</x:v>
      </x:c>
    </x:row>
    <x:row r="708" ht="32" customHeight="1">
      <x:c r="A708" s="6" t="str">
        <x:v>range rover repair</x:v>
      </x:c>
      <x:c r="B708" s="16" t="n">
        <x:v>0.8</x:v>
      </x:c>
      <x:c r="C708" s="16" t="n">
        <x:v>5</x:v>
      </x:c>
      <x:c r="D708" s="16" t="n">
        <x:f>IF('Queries'!E708&lt;='Rules'!$B$17,'Rules'!$B$21,IF('Queries'!E708&lt;='Rules'!$B$18,'Rules'!$B$22,IF('Queries'!E708&lt;='Rules'!$B$19,'Rules'!$B$23,IF('Queries'!E708&lt;='Rules'!$B$20,'Rules'!$B$24,'Rules'!$B$25))))</x:f>
        <x:v>0.15</x:v>
      </x:c>
      <x:c r="E708" s="16" t="n">
        <x:f>MIN(LOG10(1+'Queries'!C708)/'Rules'!$B$13,1)</x:f>
        <x:v>0.42625120031761</x:v>
      </x:c>
      <x:c r="F708" s="16" t="n">
        <x:f>IF(AND('Queries'!E708&lt;='Rules'!$B$15,'Queries'!C708&gt;='Rules'!$B$14,'Queries'!D708&lt;'Rules'!$B$16),1,0)</x:f>
        <x:v>0</x:v>
      </x:c>
      <x:c r="G708" s="16" t="n">
        <x:v>1</x:v>
      </x:c>
      <x:c r="H708" s="16" t="n">
        <x:v>1</x:v>
      </x:c>
      <x:c r="I708" s="16" t="n">
        <x:f>ROUND((B708*'Rules'!$B$6+C708/'Rules'!$B$12*'Rules'!$B$7+D708*'Rules'!$B$8+E708*'Rules'!$B$9+F708*'Rules'!$B$10+G708*'Rules'!$B$11)*H708,1)</x:f>
        <x:v>58</x:v>
      </x:c>
      <x:c r="J708" s="18" t="n">
        <x:f>'Queries'!C708*'Queries'!E708</x:f>
        <x:v>952.92</x:v>
      </x:c>
    </x:row>
    <x:row r="709" ht="32" customHeight="1">
      <x:c r="A709" s="6" t="str">
        <x:v>gmc garage dubai</x:v>
      </x:c>
      <x:c r="B709" s="16" t="n">
        <x:v>1</x:v>
      </x:c>
      <x:c r="C709" s="16" t="n">
        <x:v>3</x:v>
      </x:c>
      <x:c r="D709" s="16" t="n">
        <x:f>IF('Queries'!E709&lt;='Rules'!$B$17,'Rules'!$B$21,IF('Queries'!E709&lt;='Rules'!$B$18,'Rules'!$B$22,IF('Queries'!E709&lt;='Rules'!$B$19,'Rules'!$B$23,IF('Queries'!E709&lt;='Rules'!$B$20,'Rules'!$B$24,'Rules'!$B$25))))</x:f>
        <x:v>0.15</x:v>
      </x:c>
      <x:c r="E709" s="16" t="n">
        <x:f>MIN(LOG10(1+'Queries'!C709)/'Rules'!$B$13,1)</x:f>
        <x:v>0.42625120031761</x:v>
      </x:c>
      <x:c r="F709" s="16" t="n">
        <x:f>IF(AND('Queries'!E709&lt;='Rules'!$B$15,'Queries'!C709&gt;='Rules'!$B$14,'Queries'!D709&lt;'Rules'!$B$16),1,0)</x:f>
        <x:v>0</x:v>
      </x:c>
      <x:c r="G709" s="16" t="n">
        <x:v>1</x:v>
      </x:c>
      <x:c r="H709" s="16" t="n">
        <x:v>1</x:v>
      </x:c>
      <x:c r="I709" s="16" t="n">
        <x:f>ROUND((B709*'Rules'!$B$6+C709/'Rules'!$B$12*'Rules'!$B$7+D709*'Rules'!$B$8+E709*'Rules'!$B$9+F709*'Rules'!$B$10+G709*'Rules'!$B$11)*H709,1)</x:f>
        <x:v>55</x:v>
      </x:c>
      <x:c r="J709" s="18" t="n">
        <x:f>'Queries'!C709*'Queries'!E709</x:f>
        <x:v>1013.9399999999999</x:v>
      </x:c>
    </x:row>
    <x:row r="710" ht="32" customHeight="1">
      <x:c r="A710" s="6" t="str">
        <x:v>tire change service dubai</x:v>
      </x:c>
      <x:c r="B710" s="16" t="n">
        <x:v>1</x:v>
      </x:c>
      <x:c r="C710" s="16" t="n">
        <x:v>2</x:v>
      </x:c>
      <x:c r="D710" s="16" t="n">
        <x:f>IF('Queries'!E710&lt;='Rules'!$B$17,'Rules'!$B$21,IF('Queries'!E710&lt;='Rules'!$B$18,'Rules'!$B$22,IF('Queries'!E710&lt;='Rules'!$B$19,'Rules'!$B$23,IF('Queries'!E710&lt;='Rules'!$B$20,'Rules'!$B$24,'Rules'!$B$25))))</x:f>
        <x:v>0.15</x:v>
      </x:c>
      <x:c r="E710" s="16" t="n">
        <x:f>MIN(LOG10(1+'Queries'!C710)/'Rules'!$B$13,1)</x:f>
        <x:v>0.42625120031761</x:v>
      </x:c>
      <x:c r="F710" s="16" t="n">
        <x:f>IF(AND('Queries'!E710&lt;='Rules'!$B$15,'Queries'!C710&gt;='Rules'!$B$14,'Queries'!D710&lt;'Rules'!$B$16),1,0)</x:f>
        <x:v>0</x:v>
      </x:c>
      <x:c r="G710" s="16" t="n">
        <x:v>1</x:v>
      </x:c>
      <x:c r="H710" s="16" t="n">
        <x:v>1</x:v>
      </x:c>
      <x:c r="I710" s="16" t="n">
        <x:f>ROUND((B710*'Rules'!$B$6+C710/'Rules'!$B$12*'Rules'!$B$7+D710*'Rules'!$B$8+E710*'Rules'!$B$9+F710*'Rules'!$B$10+G710*'Rules'!$B$11)*H710,1)</x:f>
        <x:v>51</x:v>
      </x:c>
      <x:c r="J710" s="18" t="n">
        <x:f>'Queries'!C710*'Queries'!E710</x:f>
        <x:v>1024.02</x:v>
      </x:c>
    </x:row>
    <x:row r="711" ht="32" customHeight="1">
      <x:c r="A711" s="6" t="str">
        <x:v>car ac repair</x:v>
      </x:c>
      <x:c r="B711" s="16" t="n">
        <x:v>0.8</x:v>
      </x:c>
      <x:c r="C711" s="16" t="n">
        <x:v>3</x:v>
      </x:c>
      <x:c r="D711" s="16" t="n">
        <x:f>IF('Queries'!E711&lt;='Rules'!$B$17,'Rules'!$B$21,IF('Queries'!E711&lt;='Rules'!$B$18,'Rules'!$B$22,IF('Queries'!E711&lt;='Rules'!$B$19,'Rules'!$B$23,IF('Queries'!E711&lt;='Rules'!$B$20,'Rules'!$B$24,'Rules'!$B$25))))</x:f>
        <x:v>0.15</x:v>
      </x:c>
      <x:c r="E711" s="16" t="n">
        <x:f>MIN(LOG10(1+'Queries'!C711)/'Rules'!$B$13,1)</x:f>
        <x:v>0.42625120031761</x:v>
      </x:c>
      <x:c r="F711" s="16" t="n">
        <x:f>IF(AND('Queries'!E711&lt;='Rules'!$B$15,'Queries'!C711&gt;='Rules'!$B$14,'Queries'!D711&lt;'Rules'!$B$16),1,0)</x:f>
        <x:v>0</x:v>
      </x:c>
      <x:c r="G711" s="16" t="n">
        <x:v>1</x:v>
      </x:c>
      <x:c r="H711" s="16" t="n">
        <x:v>1</x:v>
      </x:c>
      <x:c r="I711" s="16" t="n">
        <x:f>ROUND((B711*'Rules'!$B$6+C711/'Rules'!$B$12*'Rules'!$B$7+D711*'Rules'!$B$8+E711*'Rules'!$B$9+F711*'Rules'!$B$10+G711*'Rules'!$B$11)*H711,1)</x:f>
        <x:v>50</x:v>
      </x:c>
      <x:c r="J711" s="18" t="n">
        <x:f>'Queries'!C711*'Queries'!E711</x:f>
        <x:v>1040.94</x:v>
      </x:c>
    </x:row>
    <x:row r="712" ht="32" customHeight="1">
      <x:c r="A712" s="6" t="str">
        <x:v>range rover repair specialist</x:v>
      </x:c>
      <x:c r="B712" s="16" t="n">
        <x:v>0.8</x:v>
      </x:c>
      <x:c r="C712" s="16" t="n">
        <x:v>5</x:v>
      </x:c>
      <x:c r="D712" s="16" t="n">
        <x:f>IF('Queries'!E712&lt;='Rules'!$B$17,'Rules'!$B$21,IF('Queries'!E712&lt;='Rules'!$B$18,'Rules'!$B$22,IF('Queries'!E712&lt;='Rules'!$B$19,'Rules'!$B$23,IF('Queries'!E712&lt;='Rules'!$B$20,'Rules'!$B$24,'Rules'!$B$25))))</x:f>
        <x:v>0.15</x:v>
      </x:c>
      <x:c r="E712" s="16" t="n">
        <x:f>MIN(LOG10(1+'Queries'!C712)/'Rules'!$B$13,1)</x:f>
        <x:v>0.42625120031761</x:v>
      </x:c>
      <x:c r="F712" s="16" t="n">
        <x:f>IF(AND('Queries'!E712&lt;='Rules'!$B$15,'Queries'!C712&gt;='Rules'!$B$14,'Queries'!D712&lt;'Rules'!$B$16),1,0)</x:f>
        <x:v>0</x:v>
      </x:c>
      <x:c r="G712" s="16" t="n">
        <x:v>1</x:v>
      </x:c>
      <x:c r="H712" s="16" t="n">
        <x:v>1</x:v>
      </x:c>
      <x:c r="I712" s="16" t="n">
        <x:f>ROUND((B712*'Rules'!$B$6+C712/'Rules'!$B$12*'Rules'!$B$7+D712*'Rules'!$B$8+E712*'Rules'!$B$9+F712*'Rules'!$B$10+G712*'Rules'!$B$11)*H712,1)</x:f>
        <x:v>58</x:v>
      </x:c>
      <x:c r="J712" s="18" t="n">
        <x:f>'Queries'!C712*'Queries'!E712</x:f>
        <x:v>1252.08</x:v>
      </x:c>
    </x:row>
    <x:row r="713" ht="32" customHeight="1">
      <x:c r="A713" s="6" t="str">
        <x:v>bmw engine repair in dubai</x:v>
      </x:c>
      <x:c r="B713" s="16" t="n">
        <x:v>1</x:v>
      </x:c>
      <x:c r="C713" s="16" t="n">
        <x:v>5</x:v>
      </x:c>
      <x:c r="D713" s="16" t="n">
        <x:f>IF('Queries'!E713&lt;='Rules'!$B$17,'Rules'!$B$21,IF('Queries'!E713&lt;='Rules'!$B$18,'Rules'!$B$22,IF('Queries'!E713&lt;='Rules'!$B$19,'Rules'!$B$23,IF('Queries'!E713&lt;='Rules'!$B$20,'Rules'!$B$24,'Rules'!$B$25))))</x:f>
        <x:v>1</x:v>
      </x:c>
      <x:c r="E713" s="16" t="n">
        <x:f>MIN(LOG10(1+'Queries'!C713)/'Rules'!$B$13,1)</x:f>
        <x:v>0.41842416836777</x:v>
      </x:c>
      <x:c r="F713" s="16" t="n">
        <x:f>IF(AND('Queries'!E713&lt;='Rules'!$B$15,'Queries'!C713&gt;='Rules'!$B$14,'Queries'!D713&lt;'Rules'!$B$16),1,0)</x:f>
        <x:v>0</x:v>
      </x:c>
      <x:c r="G713" s="16" t="n">
        <x:v>1</x:v>
      </x:c>
      <x:c r="H713" s="16" t="n">
        <x:v>1</x:v>
      </x:c>
      <x:c r="I713" s="16" t="n">
        <x:f>ROUND((B713*'Rules'!$B$6+C713/'Rules'!$B$12*'Rules'!$B$7+D713*'Rules'!$B$8+E713*'Rules'!$B$9+F713*'Rules'!$B$10+G713*'Rules'!$B$11)*H713,1)</x:f>
        <x:v>84.2</x:v>
      </x:c>
      <x:c r="J713" s="18" t="n">
        <x:f>'Queries'!C713*'Queries'!E713</x:f>
        <x:v>55.080000000000005</x:v>
      </x:c>
    </x:row>
    <x:row r="714" ht="32" customHeight="1">
      <x:c r="A714" s="6" t="str">
        <x:v>volvo battery dubai</x:v>
      </x:c>
      <x:c r="B714" s="16" t="n">
        <x:v>1</x:v>
      </x:c>
      <x:c r="C714" s="16" t="n">
        <x:v>3</x:v>
      </x:c>
      <x:c r="D714" s="16" t="n">
        <x:f>IF('Queries'!E714&lt;='Rules'!$B$17,'Rules'!$B$21,IF('Queries'!E714&lt;='Rules'!$B$18,'Rules'!$B$22,IF('Queries'!E714&lt;='Rules'!$B$19,'Rules'!$B$23,IF('Queries'!E714&lt;='Rules'!$B$20,'Rules'!$B$24,'Rules'!$B$25))))</x:f>
        <x:v>1</x:v>
      </x:c>
      <x:c r="E714" s="16" t="n">
        <x:f>MIN(LOG10(1+'Queries'!C714)/'Rules'!$B$13,1)</x:f>
        <x:v>0.41842416836777</x:v>
      </x:c>
      <x:c r="F714" s="16" t="n">
        <x:f>IF(AND('Queries'!E714&lt;='Rules'!$B$15,'Queries'!C714&gt;='Rules'!$B$14,'Queries'!D714&lt;'Rules'!$B$16),1,0)</x:f>
        <x:v>0</x:v>
      </x:c>
      <x:c r="G714" s="16" t="n">
        <x:v>0.25</x:v>
      </x:c>
      <x:c r="H714" s="16" t="n">
        <x:v>0.65</x:v>
      </x:c>
      <x:c r="I714" s="16" t="n">
        <x:f>ROUND((B714*'Rules'!$B$6+C714/'Rules'!$B$12*'Rules'!$B$7+D714*'Rules'!$B$8+E714*'Rules'!$B$9+F714*'Rules'!$B$10+G714*'Rules'!$B$11)*H714,1)</x:f>
        <x:v>44.6</x:v>
      </x:c>
      <x:c r="J714" s="18" t="n">
        <x:f>'Queries'!C714*'Queries'!E714</x:f>
        <x:v>104.04</x:v>
      </x:c>
    </x:row>
    <x:row r="715" ht="32" customHeight="1">
      <x:c r="A715" s="6" t="str">
        <x:v>tec performance</x:v>
      </x:c>
      <x:c r="B715" s="16" t="n">
        <x:v>0.6</x:v>
      </x:c>
      <x:c r="C715" s="16" t="n">
        <x:v>3</x:v>
      </x:c>
      <x:c r="D715" s="16" t="n">
        <x:f>IF('Queries'!E715&lt;='Rules'!$B$17,'Rules'!$B$21,IF('Queries'!E715&lt;='Rules'!$B$18,'Rules'!$B$22,IF('Queries'!E715&lt;='Rules'!$B$19,'Rules'!$B$23,IF('Queries'!E715&lt;='Rules'!$B$20,'Rules'!$B$24,'Rules'!$B$25))))</x:f>
        <x:v>1</x:v>
      </x:c>
      <x:c r="E715" s="16" t="n">
        <x:f>MIN(LOG10(1+'Queries'!C715)/'Rules'!$B$13,1)</x:f>
        <x:v>0.41842416836777</x:v>
      </x:c>
      <x:c r="F715" s="16" t="n">
        <x:f>IF(AND('Queries'!E715&lt;='Rules'!$B$15,'Queries'!C715&gt;='Rules'!$B$14,'Queries'!D715&lt;'Rules'!$B$16),1,0)</x:f>
        <x:v>0</x:v>
      </x:c>
      <x:c r="G715" s="16" t="n">
        <x:v>1</x:v>
      </x:c>
      <x:c r="H715" s="16" t="n">
        <x:v>0.65</x:v>
      </x:c>
      <x:c r="I715" s="16" t="n">
        <x:f>ROUND((B715*'Rules'!$B$6+C715/'Rules'!$B$12*'Rules'!$B$7+D715*'Rules'!$B$8+E715*'Rules'!$B$9+F715*'Rules'!$B$10+G715*'Rules'!$B$11)*H715,1)</x:f>
        <x:v>43</x:v>
      </x:c>
      <x:c r="J715" s="18" t="n">
        <x:f>'Queries'!C715*'Queries'!E715</x:f>
        <x:v>130.05</x:v>
      </x:c>
    </x:row>
    <x:row r="716" ht="32" customHeight="1">
      <x:c r="A716" s="6" t="str">
        <x:v>nissan body shop dubai</x:v>
      </x:c>
      <x:c r="B716" s="16" t="n">
        <x:v>1</x:v>
      </x:c>
      <x:c r="C716" s="16" t="n">
        <x:v>3</x:v>
      </x:c>
      <x:c r="D716" s="16" t="n">
        <x:f>IF('Queries'!E716&lt;='Rules'!$B$17,'Rules'!$B$21,IF('Queries'!E716&lt;='Rules'!$B$18,'Rules'!$B$22,IF('Queries'!E716&lt;='Rules'!$B$19,'Rules'!$B$23,IF('Queries'!E716&lt;='Rules'!$B$20,'Rules'!$B$24,'Rules'!$B$25))))</x:f>
        <x:v>1</x:v>
      </x:c>
      <x:c r="E716" s="16" t="n">
        <x:f>MIN(LOG10(1+'Queries'!C716)/'Rules'!$B$13,1)</x:f>
        <x:v>0.41842416836777</x:v>
      </x:c>
      <x:c r="F716" s="16" t="n">
        <x:f>IF(AND('Queries'!E716&lt;='Rules'!$B$15,'Queries'!C716&gt;='Rules'!$B$14,'Queries'!D716&lt;'Rules'!$B$16),1,0)</x:f>
        <x:v>0</x:v>
      </x:c>
      <x:c r="G716" s="16" t="n">
        <x:v>1</x:v>
      </x:c>
      <x:c r="H716" s="16" t="n">
        <x:v>1</x:v>
      </x:c>
      <x:c r="I716" s="16" t="n">
        <x:f>ROUND((B716*'Rules'!$B$6+C716/'Rules'!$B$12*'Rules'!$B$7+D716*'Rules'!$B$8+E716*'Rules'!$B$9+F716*'Rules'!$B$10+G716*'Rules'!$B$11)*H716,1)</x:f>
        <x:v>76.2</x:v>
      </x:c>
      <x:c r="J716" s="18" t="n">
        <x:f>'Queries'!C716*'Queries'!E716</x:f>
        <x:v>155.04</x:v>
      </x:c>
    </x:row>
    <x:row r="717" ht="32" customHeight="1">
      <x:c r="A717" s="6" t="str">
        <x:v>tyre repair near me</x:v>
      </x:c>
      <x:c r="B717" s="16" t="n">
        <x:v>1</x:v>
      </x:c>
      <x:c r="C717" s="16" t="n">
        <x:v>2</x:v>
      </x:c>
      <x:c r="D717" s="16" t="n">
        <x:f>IF('Queries'!E717&lt;='Rules'!$B$17,'Rules'!$B$21,IF('Queries'!E717&lt;='Rules'!$B$18,'Rules'!$B$22,IF('Queries'!E717&lt;='Rules'!$B$19,'Rules'!$B$23,IF('Queries'!E717&lt;='Rules'!$B$20,'Rules'!$B$24,'Rules'!$B$25))))</x:f>
        <x:v>1</x:v>
      </x:c>
      <x:c r="E717" s="16" t="n">
        <x:f>MIN(LOG10(1+'Queries'!C717)/'Rules'!$B$13,1)</x:f>
        <x:v>0.41842416836777</x:v>
      </x:c>
      <x:c r="F717" s="16" t="n">
        <x:f>IF(AND('Queries'!E717&lt;='Rules'!$B$15,'Queries'!C717&gt;='Rules'!$B$14,'Queries'!D717&lt;'Rules'!$B$16),1,0)</x:f>
        <x:v>0</x:v>
      </x:c>
      <x:c r="G717" s="16" t="n">
        <x:v>1</x:v>
      </x:c>
      <x:c r="H717" s="16" t="n">
        <x:v>1</x:v>
      </x:c>
      <x:c r="I717" s="16" t="n">
        <x:f>ROUND((B717*'Rules'!$B$6+C717/'Rules'!$B$12*'Rules'!$B$7+D717*'Rules'!$B$8+E717*'Rules'!$B$9+F717*'Rules'!$B$10+G717*'Rules'!$B$11)*H717,1)</x:f>
        <x:v>72.2</x:v>
      </x:c>
      <x:c r="J717" s="18" t="n">
        <x:f>'Queries'!C717*'Queries'!E717</x:f>
        <x:v>184.96</x:v>
      </x:c>
    </x:row>
    <x:row r="718" ht="32" customHeight="1">
      <x:c r="A718" s="6" t="str">
        <x:v>audi repair</x:v>
      </x:c>
      <x:c r="B718" s="16" t="n">
        <x:v>0.8</x:v>
      </x:c>
      <x:c r="C718" s="16" t="n">
        <x:v>5</x:v>
      </x:c>
      <x:c r="D718" s="16" t="n">
        <x:f>IF('Queries'!E718&lt;='Rules'!$B$17,'Rules'!$B$21,IF('Queries'!E718&lt;='Rules'!$B$18,'Rules'!$B$22,IF('Queries'!E718&lt;='Rules'!$B$19,'Rules'!$B$23,IF('Queries'!E718&lt;='Rules'!$B$20,'Rules'!$B$24,'Rules'!$B$25))))</x:f>
        <x:v>1</x:v>
      </x:c>
      <x:c r="E718" s="16" t="n">
        <x:f>MIN(LOG10(1+'Queries'!C718)/'Rules'!$B$13,1)</x:f>
        <x:v>0.41842416836777</x:v>
      </x:c>
      <x:c r="F718" s="16" t="n">
        <x:f>IF(AND('Queries'!E718&lt;='Rules'!$B$15,'Queries'!C718&gt;='Rules'!$B$14,'Queries'!D718&lt;'Rules'!$B$16),1,0)</x:f>
        <x:v>0</x:v>
      </x:c>
      <x:c r="G718" s="16" t="n">
        <x:v>1</x:v>
      </x:c>
      <x:c r="H718" s="16" t="n">
        <x:v>1</x:v>
      </x:c>
      <x:c r="I718" s="16" t="n">
        <x:f>ROUND((B718*'Rules'!$B$6+C718/'Rules'!$B$12*'Rules'!$B$7+D718*'Rules'!$B$8+E718*'Rules'!$B$9+F718*'Rules'!$B$10+G718*'Rules'!$B$11)*H718,1)</x:f>
        <x:v>79.2</x:v>
      </x:c>
      <x:c r="J718" s="18" t="n">
        <x:f>'Queries'!C718*'Queries'!E718</x:f>
        <x:v>204</x:v>
      </x:c>
    </x:row>
    <x:row r="719" ht="32" customHeight="1">
      <x:c r="A719" s="6" t="str">
        <x:v>tuning mercedes</x:v>
      </x:c>
      <x:c r="B719" s="16" t="n">
        <x:v>0.8</x:v>
      </x:c>
      <x:c r="C719" s="16" t="n">
        <x:v>5</x:v>
      </x:c>
      <x:c r="D719" s="16" t="n">
        <x:f>IF('Queries'!E719&lt;='Rules'!$B$17,'Rules'!$B$21,IF('Queries'!E719&lt;='Rules'!$B$18,'Rules'!$B$22,IF('Queries'!E719&lt;='Rules'!$B$19,'Rules'!$B$23,IF('Queries'!E719&lt;='Rules'!$B$20,'Rules'!$B$24,'Rules'!$B$25))))</x:f>
        <x:v>1</x:v>
      </x:c>
      <x:c r="E719" s="16" t="n">
        <x:f>MIN(LOG10(1+'Queries'!C719)/'Rules'!$B$13,1)</x:f>
        <x:v>0.41842416836777</x:v>
      </x:c>
      <x:c r="F719" s="16" t="n">
        <x:f>IF(AND('Queries'!E719&lt;='Rules'!$B$15,'Queries'!C719&gt;='Rules'!$B$14,'Queries'!D719&lt;'Rules'!$B$16),1,0)</x:f>
        <x:v>0</x:v>
      </x:c>
      <x:c r="G719" s="16" t="n">
        <x:v>1</x:v>
      </x:c>
      <x:c r="H719" s="16" t="n">
        <x:v>1</x:v>
      </x:c>
      <x:c r="I719" s="16" t="n">
        <x:f>ROUND((B719*'Rules'!$B$6+C719/'Rules'!$B$12*'Rules'!$B$7+D719*'Rules'!$B$8+E719*'Rules'!$B$9+F719*'Rules'!$B$10+G719*'Rules'!$B$11)*H719,1)</x:f>
        <x:v>79.2</x:v>
      </x:c>
      <x:c r="J719" s="18" t="n">
        <x:f>'Queries'!C719*'Queries'!E719</x:f>
        <x:v>221</x:v>
      </x:c>
    </x:row>
    <x:row r="720" ht="32" customHeight="1">
      <x:c r="A720" s="6" t="str">
        <x:v>brake services</x:v>
      </x:c>
      <x:c r="B720" s="16" t="n">
        <x:v>0.8</x:v>
      </x:c>
      <x:c r="C720" s="16" t="n">
        <x:v>3</x:v>
      </x:c>
      <x:c r="D720" s="16" t="n">
        <x:f>IF('Queries'!E720&lt;='Rules'!$B$17,'Rules'!$B$21,IF('Queries'!E720&lt;='Rules'!$B$18,'Rules'!$B$22,IF('Queries'!E720&lt;='Rules'!$B$19,'Rules'!$B$23,IF('Queries'!E720&lt;='Rules'!$B$20,'Rules'!$B$24,'Rules'!$B$25))))</x:f>
        <x:v>1</x:v>
      </x:c>
      <x:c r="E720" s="16" t="n">
        <x:f>MIN(LOG10(1+'Queries'!C720)/'Rules'!$B$13,1)</x:f>
        <x:v>0.41842416836777</x:v>
      </x:c>
      <x:c r="F720" s="16" t="n">
        <x:f>IF(AND('Queries'!E720&lt;='Rules'!$B$15,'Queries'!C720&gt;='Rules'!$B$14,'Queries'!D720&lt;'Rules'!$B$16),1,0)</x:f>
        <x:v>0</x:v>
      </x:c>
      <x:c r="G720" s="16" t="n">
        <x:v>1</x:v>
      </x:c>
      <x:c r="H720" s="16" t="n">
        <x:v>1</x:v>
      </x:c>
      <x:c r="I720" s="16" t="n">
        <x:f>ROUND((B720*'Rules'!$B$6+C720/'Rules'!$B$12*'Rules'!$B$7+D720*'Rules'!$B$8+E720*'Rules'!$B$9+F720*'Rules'!$B$10+G720*'Rules'!$B$11)*H720,1)</x:f>
        <x:v>71.2</x:v>
      </x:c>
      <x:c r="J720" s="18" t="n">
        <x:f>'Queries'!C720*'Queries'!E720</x:f>
        <x:v>233.92</x:v>
      </x:c>
    </x:row>
    <x:row r="721" ht="32" customHeight="1">
      <x:c r="A721" s="6" t="str">
        <x:v>ferrari transmission repair dubai</x:v>
      </x:c>
      <x:c r="B721" s="16" t="n">
        <x:v>1</x:v>
      </x:c>
      <x:c r="C721" s="16" t="n">
        <x:v>5</x:v>
      </x:c>
      <x:c r="D721" s="16" t="n">
        <x:f>IF('Queries'!E721&lt;='Rules'!$B$17,'Rules'!$B$21,IF('Queries'!E721&lt;='Rules'!$B$18,'Rules'!$B$22,IF('Queries'!E721&lt;='Rules'!$B$19,'Rules'!$B$23,IF('Queries'!E721&lt;='Rules'!$B$20,'Rules'!$B$24,'Rules'!$B$25))))</x:f>
        <x:v>1</x:v>
      </x:c>
      <x:c r="E721" s="16" t="n">
        <x:f>MIN(LOG10(1+'Queries'!C721)/'Rules'!$B$13,1)</x:f>
        <x:v>0.41842416836777</x:v>
      </x:c>
      <x:c r="F721" s="16" t="n">
        <x:f>IF(AND('Queries'!E721&lt;='Rules'!$B$15,'Queries'!C721&gt;='Rules'!$B$14,'Queries'!D721&lt;'Rules'!$B$16),1,0)</x:f>
        <x:v>0</x:v>
      </x:c>
      <x:c r="G721" s="16" t="n">
        <x:v>1</x:v>
      </x:c>
      <x:c r="H721" s="16" t="n">
        <x:v>1</x:v>
      </x:c>
      <x:c r="I721" s="16" t="n">
        <x:f>ROUND((B721*'Rules'!$B$6+C721/'Rules'!$B$12*'Rules'!$B$7+D721*'Rules'!$B$8+E721*'Rules'!$B$9+F721*'Rules'!$B$10+G721*'Rules'!$B$11)*H721,1)</x:f>
        <x:v>84.2</x:v>
      </x:c>
      <x:c r="J721" s="18" t="n">
        <x:f>'Queries'!C721*'Queries'!E721</x:f>
        <x:v>234.94</x:v>
      </x:c>
    </x:row>
    <x:row r="722" ht="32" customHeight="1">
      <x:c r="A722" s="6" t="str">
        <x:v>mclaren specialist</x:v>
      </x:c>
      <x:c r="B722" s="16" t="n">
        <x:v>0.8</x:v>
      </x:c>
      <x:c r="C722" s="16" t="n">
        <x:v>5</x:v>
      </x:c>
      <x:c r="D722" s="16" t="n">
        <x:f>IF('Queries'!E722&lt;='Rules'!$B$17,'Rules'!$B$21,IF('Queries'!E722&lt;='Rules'!$B$18,'Rules'!$B$22,IF('Queries'!E722&lt;='Rules'!$B$19,'Rules'!$B$23,IF('Queries'!E722&lt;='Rules'!$B$20,'Rules'!$B$24,'Rules'!$B$25))))</x:f>
        <x:v>1</x:v>
      </x:c>
      <x:c r="E722" s="16" t="n">
        <x:f>MIN(LOG10(1+'Queries'!C722)/'Rules'!$B$13,1)</x:f>
        <x:v>0.41842416836777</x:v>
      </x:c>
      <x:c r="F722" s="16" t="n">
        <x:f>IF(AND('Queries'!E722&lt;='Rules'!$B$15,'Queries'!C722&gt;='Rules'!$B$14,'Queries'!D722&lt;'Rules'!$B$16),1,0)</x:f>
        <x:v>0</x:v>
      </x:c>
      <x:c r="G722" s="16" t="n">
        <x:v>1</x:v>
      </x:c>
      <x:c r="H722" s="16" t="n">
        <x:v>1</x:v>
      </x:c>
      <x:c r="I722" s="16" t="n">
        <x:f>ROUND((B722*'Rules'!$B$6+C722/'Rules'!$B$12*'Rules'!$B$7+D722*'Rules'!$B$8+E722*'Rules'!$B$9+F722*'Rules'!$B$10+G722*'Rules'!$B$11)*H722,1)</x:f>
        <x:v>79.2</x:v>
      </x:c>
      <x:c r="J722" s="18" t="n">
        <x:f>'Queries'!C722*'Queries'!E722</x:f>
        <x:v>251.94</x:v>
      </x:c>
    </x:row>
    <x:row r="723" ht="32" customHeight="1">
      <x:c r="A723" s="6" t="str">
        <x:v>benz service dubai</x:v>
      </x:c>
      <x:c r="B723" s="16" t="n">
        <x:v>1</x:v>
      </x:c>
      <x:c r="C723" s="16" t="n">
        <x:v>5</x:v>
      </x:c>
      <x:c r="D723" s="16" t="n">
        <x:f>IF('Queries'!E723&lt;='Rules'!$B$17,'Rules'!$B$21,IF('Queries'!E723&lt;='Rules'!$B$18,'Rules'!$B$22,IF('Queries'!E723&lt;='Rules'!$B$19,'Rules'!$B$23,IF('Queries'!E723&lt;='Rules'!$B$20,'Rules'!$B$24,'Rules'!$B$25))))</x:f>
        <x:v>0.7</x:v>
      </x:c>
      <x:c r="E723" s="16" t="n">
        <x:f>MIN(LOG10(1+'Queries'!C723)/'Rules'!$B$13,1)</x:f>
        <x:v>0.41842416836777</x:v>
      </x:c>
      <x:c r="F723" s="16" t="n">
        <x:f>IF(AND('Queries'!E723&lt;='Rules'!$B$15,'Queries'!C723&gt;='Rules'!$B$14,'Queries'!D723&lt;'Rules'!$B$16),1,0)</x:f>
        <x:v>0</x:v>
      </x:c>
      <x:c r="G723" s="16" t="n">
        <x:v>1</x:v>
      </x:c>
      <x:c r="H723" s="16" t="n">
        <x:v>1</x:v>
      </x:c>
      <x:c r="I723" s="16" t="n">
        <x:f>ROUND((B723*'Rules'!$B$6+C723/'Rules'!$B$12*'Rules'!$B$7+D723*'Rules'!$B$8+E723*'Rules'!$B$9+F723*'Rules'!$B$10+G723*'Rules'!$B$11)*H723,1)</x:f>
        <x:v>76.7</x:v>
      </x:c>
      <x:c r="J723" s="18" t="n">
        <x:f>'Queries'!C723*'Queries'!E723</x:f>
        <x:v>286.96</x:v>
      </x:c>
    </x:row>
    <x:row r="724" ht="32" customHeight="1">
      <x:c r="A724" s="6" t="str">
        <x:v>aston martin service</x:v>
      </x:c>
      <x:c r="B724" s="16" t="n">
        <x:v>0.8</x:v>
      </x:c>
      <x:c r="C724" s="16" t="n">
        <x:v>5</x:v>
      </x:c>
      <x:c r="D724" s="16" t="n">
        <x:f>IF('Queries'!E724&lt;='Rules'!$B$17,'Rules'!$B$21,IF('Queries'!E724&lt;='Rules'!$B$18,'Rules'!$B$22,IF('Queries'!E724&lt;='Rules'!$B$19,'Rules'!$B$23,IF('Queries'!E724&lt;='Rules'!$B$20,'Rules'!$B$24,'Rules'!$B$25))))</x:f>
        <x:v>0.7</x:v>
      </x:c>
      <x:c r="E724" s="16" t="n">
        <x:f>MIN(LOG10(1+'Queries'!C724)/'Rules'!$B$13,1)</x:f>
        <x:v>0.41842416836777</x:v>
      </x:c>
      <x:c r="F724" s="16" t="n">
        <x:f>IF(AND('Queries'!E724&lt;='Rules'!$B$15,'Queries'!C724&gt;='Rules'!$B$14,'Queries'!D724&lt;'Rules'!$B$16),1,0)</x:f>
        <x:v>0</x:v>
      </x:c>
      <x:c r="G724" s="16" t="n">
        <x:v>1</x:v>
      </x:c>
      <x:c r="H724" s="16" t="n">
        <x:v>1</x:v>
      </x:c>
      <x:c r="I724" s="16" t="n">
        <x:f>ROUND((B724*'Rules'!$B$6+C724/'Rules'!$B$12*'Rules'!$B$7+D724*'Rules'!$B$8+E724*'Rules'!$B$9+F724*'Rules'!$B$10+G724*'Rules'!$B$11)*H724,1)</x:f>
        <x:v>71.7</x:v>
      </x:c>
      <x:c r="J724" s="18" t="n">
        <x:f>'Queries'!C724*'Queries'!E724</x:f>
        <x:v>321.98</x:v>
      </x:c>
    </x:row>
    <x:row r="725" ht="32" customHeight="1">
      <x:c r="A725" s="6" t="str">
        <x:v>car paint protection film artarmon</x:v>
      </x:c>
      <x:c r="B725" s="16" t="n">
        <x:v>0</x:v>
      </x:c>
      <x:c r="C725" s="16" t="n">
        <x:v>0</x:v>
      </x:c>
      <x:c r="D725" s="16" t="n">
        <x:f>IF('Queries'!E725&lt;='Rules'!$B$17,'Rules'!$B$21,IF('Queries'!E725&lt;='Rules'!$B$18,'Rules'!$B$22,IF('Queries'!E725&lt;='Rules'!$B$19,'Rules'!$B$23,IF('Queries'!E725&lt;='Rules'!$B$20,'Rules'!$B$24,'Rules'!$B$25))))</x:f>
        <x:v>0.7</x:v>
      </x:c>
      <x:c r="E725" s="16" t="n">
        <x:f>MIN(LOG10(1+'Queries'!C725)/'Rules'!$B$13,1)</x:f>
        <x:v>0.41842416836777</x:v>
      </x:c>
      <x:c r="F725" s="16" t="n">
        <x:f>IF(AND('Queries'!E725&lt;='Rules'!$B$15,'Queries'!C725&gt;='Rules'!$B$14,'Queries'!D725&lt;'Rules'!$B$16),1,0)</x:f>
        <x:v>0</x:v>
      </x:c>
      <x:c r="G725" s="16" t="n">
        <x:v>0</x:v>
      </x:c>
      <x:c r="H725" s="16" t="n">
        <x:v>0</x:v>
      </x:c>
      <x:c r="I725" s="16" t="n">
        <x:f>ROUND((B725*'Rules'!$B$6+C725/'Rules'!$B$12*'Rules'!$B$7+D725*'Rules'!$B$8+E725*'Rules'!$B$9+F725*'Rules'!$B$10+G725*'Rules'!$B$11)*H725,1)</x:f>
        <x:v>0</x:v>
      </x:c>
      <x:c r="J725" s="18" t="n">
        <x:f>'Queries'!C725*'Queries'!E725</x:f>
        <x:v>342.04</x:v>
      </x:c>
    </x:row>
    <x:row r="726" ht="32" customHeight="1">
      <x:c r="A726" s="6" t="str">
        <x:v>صيانة لينكون</x:v>
      </x:c>
      <x:c r="B726" s="16" t="n">
        <x:v>0.8</x:v>
      </x:c>
      <x:c r="C726" s="16" t="n">
        <x:v>3</x:v>
      </x:c>
      <x:c r="D726" s="16" t="n">
        <x:f>IF('Queries'!E726&lt;='Rules'!$B$17,'Rules'!$B$21,IF('Queries'!E726&lt;='Rules'!$B$18,'Rules'!$B$22,IF('Queries'!E726&lt;='Rules'!$B$19,'Rules'!$B$23,IF('Queries'!E726&lt;='Rules'!$B$20,'Rules'!$B$24,'Rules'!$B$25))))</x:f>
        <x:v>0.7</x:v>
      </x:c>
      <x:c r="E726" s="16" t="n">
        <x:f>MIN(LOG10(1+'Queries'!C726)/'Rules'!$B$13,1)</x:f>
        <x:v>0.41842416836777</x:v>
      </x:c>
      <x:c r="F726" s="16" t="n">
        <x:f>IF(AND('Queries'!E726&lt;='Rules'!$B$15,'Queries'!C726&gt;='Rules'!$B$14,'Queries'!D726&lt;'Rules'!$B$16),1,0)</x:f>
        <x:v>0</x:v>
      </x:c>
      <x:c r="G726" s="16" t="n">
        <x:v>1</x:v>
      </x:c>
      <x:c r="H726" s="16" t="n">
        <x:v>1</x:v>
      </x:c>
      <x:c r="I726" s="16" t="n">
        <x:f>ROUND((B726*'Rules'!$B$6+C726/'Rules'!$B$12*'Rules'!$B$7+D726*'Rules'!$B$8+E726*'Rules'!$B$9+F726*'Rules'!$B$10+G726*'Rules'!$B$11)*H726,1)</x:f>
        <x:v>63.7</x:v>
      </x:c>
      <x:c r="J726" s="18" t="n">
        <x:f>'Queries'!C726*'Queries'!E726</x:f>
        <x:v>362.95000000000005</x:v>
      </x:c>
    </x:row>
    <x:row r="727" ht="32" customHeight="1">
      <x:c r="A727" s="6" t="str">
        <x:v>car suspension repair near me</x:v>
      </x:c>
      <x:c r="B727" s="16" t="n">
        <x:v>1</x:v>
      </x:c>
      <x:c r="C727" s="16" t="n">
        <x:v>3</x:v>
      </x:c>
      <x:c r="D727" s="16" t="n">
        <x:f>IF('Queries'!E727&lt;='Rules'!$B$17,'Rules'!$B$21,IF('Queries'!E727&lt;='Rules'!$B$18,'Rules'!$B$22,IF('Queries'!E727&lt;='Rules'!$B$19,'Rules'!$B$23,IF('Queries'!E727&lt;='Rules'!$B$20,'Rules'!$B$24,'Rules'!$B$25))))</x:f>
        <x:v>0.7</x:v>
      </x:c>
      <x:c r="E727" s="16" t="n">
        <x:f>MIN(LOG10(1+'Queries'!C727)/'Rules'!$B$13,1)</x:f>
        <x:v>0.41842416836777</x:v>
      </x:c>
      <x:c r="F727" s="16" t="n">
        <x:f>IF(AND('Queries'!E727&lt;='Rules'!$B$15,'Queries'!C727&gt;='Rules'!$B$14,'Queries'!D727&lt;'Rules'!$B$16),1,0)</x:f>
        <x:v>0</x:v>
      </x:c>
      <x:c r="G727" s="16" t="n">
        <x:v>1</x:v>
      </x:c>
      <x:c r="H727" s="16" t="n">
        <x:v>1</x:v>
      </x:c>
      <x:c r="I727" s="16" t="n">
        <x:f>ROUND((B727*'Rules'!$B$6+C727/'Rules'!$B$12*'Rules'!$B$7+D727*'Rules'!$B$8+E727*'Rules'!$B$9+F727*'Rules'!$B$10+G727*'Rules'!$B$11)*H727,1)</x:f>
        <x:v>68.7</x:v>
      </x:c>
      <x:c r="J727" s="18" t="n">
        <x:f>'Queries'!C727*'Queries'!E727</x:f>
        <x:v>379.95000000000005</x:v>
      </x:c>
    </x:row>
    <x:row r="728" ht="32" customHeight="1">
      <x:c r="A728" s="6" t="str">
        <x:v>paint protection services</x:v>
      </x:c>
      <x:c r="B728" s="16" t="n">
        <x:v>0.8</x:v>
      </x:c>
      <x:c r="C728" s="16" t="n">
        <x:v>5</x:v>
      </x:c>
      <x:c r="D728" s="16" t="n">
        <x:f>IF('Queries'!E728&lt;='Rules'!$B$17,'Rules'!$B$21,IF('Queries'!E728&lt;='Rules'!$B$18,'Rules'!$B$22,IF('Queries'!E728&lt;='Rules'!$B$19,'Rules'!$B$23,IF('Queries'!E728&lt;='Rules'!$B$20,'Rules'!$B$24,'Rules'!$B$25))))</x:f>
        <x:v>0.7</x:v>
      </x:c>
      <x:c r="E728" s="16" t="n">
        <x:f>MIN(LOG10(1+'Queries'!C728)/'Rules'!$B$13,1)</x:f>
        <x:v>0.41842416836777</x:v>
      </x:c>
      <x:c r="F728" s="16" t="n">
        <x:f>IF(AND('Queries'!E728&lt;='Rules'!$B$15,'Queries'!C728&gt;='Rules'!$B$14,'Queries'!D728&lt;'Rules'!$B$16),1,0)</x:f>
        <x:v>0</x:v>
      </x:c>
      <x:c r="G728" s="16" t="n">
        <x:v>1</x:v>
      </x:c>
      <x:c r="H728" s="16" t="n">
        <x:v>1</x:v>
      </x:c>
      <x:c r="I728" s="16" t="n">
        <x:f>ROUND((B728*'Rules'!$B$6+C728/'Rules'!$B$12*'Rules'!$B$7+D728*'Rules'!$B$8+E728*'Rules'!$B$9+F728*'Rules'!$B$10+G728*'Rules'!$B$11)*H728,1)</x:f>
        <x:v>71.7</x:v>
      </x:c>
      <x:c r="J728" s="18" t="n">
        <x:f>'Queries'!C728*'Queries'!E728</x:f>
        <x:v>466.99</x:v>
      </x:c>
    </x:row>
    <x:row r="729" ht="32" customHeight="1">
      <x:c r="A729" s="6" t="str">
        <x:v>mercedes body shop dubai</x:v>
      </x:c>
      <x:c r="B729" s="16" t="n">
        <x:v>1</x:v>
      </x:c>
      <x:c r="C729" s="16" t="n">
        <x:v>5</x:v>
      </x:c>
      <x:c r="D729" s="16" t="n">
        <x:f>IF('Queries'!E729&lt;='Rules'!$B$17,'Rules'!$B$21,IF('Queries'!E729&lt;='Rules'!$B$18,'Rules'!$B$22,IF('Queries'!E729&lt;='Rules'!$B$19,'Rules'!$B$23,IF('Queries'!E729&lt;='Rules'!$B$20,'Rules'!$B$24,'Rules'!$B$25))))</x:f>
        <x:v>0.4</x:v>
      </x:c>
      <x:c r="E729" s="16" t="n">
        <x:f>MIN(LOG10(1+'Queries'!C729)/'Rules'!$B$13,1)</x:f>
        <x:v>0.41842416836777</x:v>
      </x:c>
      <x:c r="F729" s="16" t="n">
        <x:f>IF(AND('Queries'!E729&lt;='Rules'!$B$15,'Queries'!C729&gt;='Rules'!$B$14,'Queries'!D729&lt;'Rules'!$B$16),1,0)</x:f>
        <x:v>0</x:v>
      </x:c>
      <x:c r="G729" s="16" t="n">
        <x:v>1</x:v>
      </x:c>
      <x:c r="H729" s="16" t="n">
        <x:v>1</x:v>
      </x:c>
      <x:c r="I729" s="16" t="n">
        <x:f>ROUND((B729*'Rules'!$B$6+C729/'Rules'!$B$12*'Rules'!$B$7+D729*'Rules'!$B$8+E729*'Rules'!$B$9+F729*'Rules'!$B$10+G729*'Rules'!$B$11)*H729,1)</x:f>
        <x:v>69.2</x:v>
      </x:c>
      <x:c r="J729" s="18" t="n">
        <x:f>'Queries'!C729*'Queries'!E729</x:f>
        <x:v>541.96</x:v>
      </x:c>
    </x:row>
    <x:row r="730" ht="32" customHeight="1">
      <x:c r="A730" s="6" t="str">
        <x:v>nissan magnite service centre near me</x:v>
      </x:c>
      <x:c r="B730" s="16" t="n">
        <x:v>1</x:v>
      </x:c>
      <x:c r="C730" s="16" t="n">
        <x:v>3</x:v>
      </x:c>
      <x:c r="D730" s="16" t="n">
        <x:f>IF('Queries'!E730&lt;='Rules'!$B$17,'Rules'!$B$21,IF('Queries'!E730&lt;='Rules'!$B$18,'Rules'!$B$22,IF('Queries'!E730&lt;='Rules'!$B$19,'Rules'!$B$23,IF('Queries'!E730&lt;='Rules'!$B$20,'Rules'!$B$24,'Rules'!$B$25))))</x:f>
        <x:v>0.4</x:v>
      </x:c>
      <x:c r="E730" s="16" t="n">
        <x:f>MIN(LOG10(1+'Queries'!C730)/'Rules'!$B$13,1)</x:f>
        <x:v>0.41842416836777</x:v>
      </x:c>
      <x:c r="F730" s="16" t="n">
        <x:f>IF(AND('Queries'!E730&lt;='Rules'!$B$15,'Queries'!C730&gt;='Rules'!$B$14,'Queries'!D730&lt;'Rules'!$B$16),1,0)</x:f>
        <x:v>0</x:v>
      </x:c>
      <x:c r="G730" s="16" t="n">
        <x:v>1</x:v>
      </x:c>
      <x:c r="H730" s="16" t="n">
        <x:v>1</x:v>
      </x:c>
      <x:c r="I730" s="16" t="n">
        <x:f>ROUND((B730*'Rules'!$B$6+C730/'Rules'!$B$12*'Rules'!$B$7+D730*'Rules'!$B$8+E730*'Rules'!$B$9+F730*'Rules'!$B$10+G730*'Rules'!$B$11)*H730,1)</x:f>
        <x:v>61.2</x:v>
      </x:c>
      <x:c r="J730" s="18" t="n">
        <x:f>'Queries'!C730*'Queries'!E730</x:f>
        <x:v>562.02</x:v>
      </x:c>
    </x:row>
    <x:row r="731" ht="32" customHeight="1">
      <x:c r="A731" s="6" t="str">
        <x:v>cadillac repair in dubai</x:v>
      </x:c>
      <x:c r="B731" s="16" t="n">
        <x:v>1</x:v>
      </x:c>
      <x:c r="C731" s="16" t="n">
        <x:v>3</x:v>
      </x:c>
      <x:c r="D731" s="16" t="n">
        <x:f>IF('Queries'!E731&lt;='Rules'!$B$17,'Rules'!$B$21,IF('Queries'!E731&lt;='Rules'!$B$18,'Rules'!$B$22,IF('Queries'!E731&lt;='Rules'!$B$19,'Rules'!$B$23,IF('Queries'!E731&lt;='Rules'!$B$20,'Rules'!$B$24,'Rules'!$B$25))))</x:f>
        <x:v>0.4</x:v>
      </x:c>
      <x:c r="E731" s="16" t="n">
        <x:f>MIN(LOG10(1+'Queries'!C731)/'Rules'!$B$13,1)</x:f>
        <x:v>0.41842416836777</x:v>
      </x:c>
      <x:c r="F731" s="16" t="n">
        <x:f>IF(AND('Queries'!E731&lt;='Rules'!$B$15,'Queries'!C731&gt;='Rules'!$B$14,'Queries'!D731&lt;'Rules'!$B$16),1,0)</x:f>
        <x:v>0</x:v>
      </x:c>
      <x:c r="G731" s="16" t="n">
        <x:v>1</x:v>
      </x:c>
      <x:c r="H731" s="16" t="n">
        <x:v>1</x:v>
      </x:c>
      <x:c r="I731" s="16" t="n">
        <x:f>ROUND((B731*'Rules'!$B$6+C731/'Rules'!$B$12*'Rules'!$B$7+D731*'Rules'!$B$8+E731*'Rules'!$B$9+F731*'Rules'!$B$10+G731*'Rules'!$B$11)*H731,1)</x:f>
        <x:v>61.2</x:v>
      </x:c>
      <x:c r="J731" s="18" t="n">
        <x:f>'Queries'!C731*'Queries'!E731</x:f>
        <x:v>571.0300000000001</x:v>
      </x:c>
    </x:row>
    <x:row r="732" ht="32" customHeight="1">
      <x:c r="A732" s="6" t="str">
        <x:v>lincoln repair garage in dubai</x:v>
      </x:c>
      <x:c r="B732" s="16" t="n">
        <x:v>1</x:v>
      </x:c>
      <x:c r="C732" s="16" t="n">
        <x:v>3</x:v>
      </x:c>
      <x:c r="D732" s="16" t="n">
        <x:f>IF('Queries'!E732&lt;='Rules'!$B$17,'Rules'!$B$21,IF('Queries'!E732&lt;='Rules'!$B$18,'Rules'!$B$22,IF('Queries'!E732&lt;='Rules'!$B$19,'Rules'!$B$23,IF('Queries'!E732&lt;='Rules'!$B$20,'Rules'!$B$24,'Rules'!$B$25))))</x:f>
        <x:v>0.4</x:v>
      </x:c>
      <x:c r="E732" s="16" t="n">
        <x:f>MIN(LOG10(1+'Queries'!C732)/'Rules'!$B$13,1)</x:f>
        <x:v>0.41842416836777</x:v>
      </x:c>
      <x:c r="F732" s="16" t="n">
        <x:f>IF(AND('Queries'!E732&lt;='Rules'!$B$15,'Queries'!C732&gt;='Rules'!$B$14,'Queries'!D732&lt;'Rules'!$B$16),1,0)</x:f>
        <x:v>0</x:v>
      </x:c>
      <x:c r="G732" s="16" t="n">
        <x:v>1</x:v>
      </x:c>
      <x:c r="H732" s="16" t="n">
        <x:v>1</x:v>
      </x:c>
      <x:c r="I732" s="16" t="n">
        <x:f>ROUND((B732*'Rules'!$B$6+C732/'Rules'!$B$12*'Rules'!$B$7+D732*'Rules'!$B$8+E732*'Rules'!$B$9+F732*'Rules'!$B$10+G732*'Rules'!$B$11)*H732,1)</x:f>
        <x:v>61.2</x:v>
      </x:c>
      <x:c r="J732" s="18" t="n">
        <x:f>'Queries'!C732*'Queries'!E732</x:f>
        <x:v>590.07</x:v>
      </x:c>
    </x:row>
    <x:row r="733" ht="32" customHeight="1">
      <x:c r="A733" s="6" t="str">
        <x:v>gmc service in dubai</x:v>
      </x:c>
      <x:c r="B733" s="16" t="n">
        <x:v>1</x:v>
      </x:c>
      <x:c r="C733" s="16" t="n">
        <x:v>3</x:v>
      </x:c>
      <x:c r="D733" s="16" t="n">
        <x:f>IF('Queries'!E733&lt;='Rules'!$B$17,'Rules'!$B$21,IF('Queries'!E733&lt;='Rules'!$B$18,'Rules'!$B$22,IF('Queries'!E733&lt;='Rules'!$B$19,'Rules'!$B$23,IF('Queries'!E733&lt;='Rules'!$B$20,'Rules'!$B$24,'Rules'!$B$25))))</x:f>
        <x:v>0.4</x:v>
      </x:c>
      <x:c r="E733" s="16" t="n">
        <x:f>MIN(LOG10(1+'Queries'!C733)/'Rules'!$B$13,1)</x:f>
        <x:v>0.41842416836777</x:v>
      </x:c>
      <x:c r="F733" s="16" t="n">
        <x:f>IF(AND('Queries'!E733&lt;='Rules'!$B$15,'Queries'!C733&gt;='Rules'!$B$14,'Queries'!D733&lt;'Rules'!$B$16),1,0)</x:f>
        <x:v>0</x:v>
      </x:c>
      <x:c r="G733" s="16" t="n">
        <x:v>1</x:v>
      </x:c>
      <x:c r="H733" s="16" t="n">
        <x:v>1</x:v>
      </x:c>
      <x:c r="I733" s="16" t="n">
        <x:f>ROUND((B733*'Rules'!$B$6+C733/'Rules'!$B$12*'Rules'!$B$7+D733*'Rules'!$B$8+E733*'Rules'!$B$9+F733*'Rules'!$B$10+G733*'Rules'!$B$11)*H733,1)</x:f>
        <x:v>61.2</x:v>
      </x:c>
      <x:c r="J733" s="18" t="n">
        <x:f>'Queries'!C733*'Queries'!E733</x:f>
        <x:v>596.02</x:v>
      </x:c>
    </x:row>
    <x:row r="734" ht="32" customHeight="1">
      <x:c r="A734" s="6" t="str">
        <x:v>nissan service station</x:v>
      </x:c>
      <x:c r="B734" s="16" t="n">
        <x:v>0.8</x:v>
      </x:c>
      <x:c r="C734" s="16" t="n">
        <x:v>3</x:v>
      </x:c>
      <x:c r="D734" s="16" t="n">
        <x:f>IF('Queries'!E734&lt;='Rules'!$B$17,'Rules'!$B$21,IF('Queries'!E734&lt;='Rules'!$B$18,'Rules'!$B$22,IF('Queries'!E734&lt;='Rules'!$B$19,'Rules'!$B$23,IF('Queries'!E734&lt;='Rules'!$B$20,'Rules'!$B$24,'Rules'!$B$25))))</x:f>
        <x:v>0.4</x:v>
      </x:c>
      <x:c r="E734" s="16" t="n">
        <x:f>MIN(LOG10(1+'Queries'!C734)/'Rules'!$B$13,1)</x:f>
        <x:v>0.41842416836777</x:v>
      </x:c>
      <x:c r="F734" s="16" t="n">
        <x:f>IF(AND('Queries'!E734&lt;='Rules'!$B$15,'Queries'!C734&gt;='Rules'!$B$14,'Queries'!D734&lt;'Rules'!$B$16),1,0)</x:f>
        <x:v>0</x:v>
      </x:c>
      <x:c r="G734" s="16" t="n">
        <x:v>1</x:v>
      </x:c>
      <x:c r="H734" s="16" t="n">
        <x:v>1</x:v>
      </x:c>
      <x:c r="I734" s="16" t="n">
        <x:f>ROUND((B734*'Rules'!$B$6+C734/'Rules'!$B$12*'Rules'!$B$7+D734*'Rules'!$B$8+E734*'Rules'!$B$9+F734*'Rules'!$B$10+G734*'Rules'!$B$11)*H734,1)</x:f>
        <x:v>56.2</x:v>
      </x:c>
      <x:c r="J734" s="18" t="n">
        <x:f>'Queries'!C734*'Queries'!E734</x:f>
        <x:v>614.04</x:v>
      </x:c>
    </x:row>
    <x:row r="735" ht="32" customHeight="1">
      <x:c r="A735" s="6" t="str">
        <x:v>battery change</x:v>
      </x:c>
      <x:c r="B735" s="16" t="n">
        <x:v>0.8</x:v>
      </x:c>
      <x:c r="C735" s="16" t="n">
        <x:v>3</x:v>
      </x:c>
      <x:c r="D735" s="16" t="n">
        <x:f>IF('Queries'!E735&lt;='Rules'!$B$17,'Rules'!$B$21,IF('Queries'!E735&lt;='Rules'!$B$18,'Rules'!$B$22,IF('Queries'!E735&lt;='Rules'!$B$19,'Rules'!$B$23,IF('Queries'!E735&lt;='Rules'!$B$20,'Rules'!$B$24,'Rules'!$B$25))))</x:f>
        <x:v>0.15</x:v>
      </x:c>
      <x:c r="E735" s="16" t="n">
        <x:f>MIN(LOG10(1+'Queries'!C735)/'Rules'!$B$13,1)</x:f>
        <x:v>0.41842416836777</x:v>
      </x:c>
      <x:c r="F735" s="16" t="n">
        <x:f>IF(AND('Queries'!E735&lt;='Rules'!$B$15,'Queries'!C735&gt;='Rules'!$B$14,'Queries'!D735&lt;'Rules'!$B$16),1,0)</x:f>
        <x:v>0</x:v>
      </x:c>
      <x:c r="G735" s="16" t="n">
        <x:v>1</x:v>
      </x:c>
      <x:c r="H735" s="16" t="n">
        <x:v>1</x:v>
      </x:c>
      <x:c r="I735" s="16" t="n">
        <x:f>ROUND((B735*'Rules'!$B$6+C735/'Rules'!$B$12*'Rules'!$B$7+D735*'Rules'!$B$8+E735*'Rules'!$B$9+F735*'Rules'!$B$10+G735*'Rules'!$B$11)*H735,1)</x:f>
        <x:v>49.9</x:v>
      </x:c>
      <x:c r="J735" s="18" t="n">
        <x:f>'Queries'!C735*'Queries'!E735</x:f>
        <x:v>694.96</x:v>
      </x:c>
    </x:row>
    <x:row r="736" ht="32" customHeight="1">
      <x:c r="A736" s="6" t="str">
        <x:v>land rover workshop dubai</x:v>
      </x:c>
      <x:c r="B736" s="16" t="n">
        <x:v>1</x:v>
      </x:c>
      <x:c r="C736" s="16" t="n">
        <x:v>5</x:v>
      </x:c>
      <x:c r="D736" s="16" t="n">
        <x:f>IF('Queries'!E736&lt;='Rules'!$B$17,'Rules'!$B$21,IF('Queries'!E736&lt;='Rules'!$B$18,'Rules'!$B$22,IF('Queries'!E736&lt;='Rules'!$B$19,'Rules'!$B$23,IF('Queries'!E736&lt;='Rules'!$B$20,'Rules'!$B$24,'Rules'!$B$25))))</x:f>
        <x:v>0.15</x:v>
      </x:c>
      <x:c r="E736" s="16" t="n">
        <x:f>MIN(LOG10(1+'Queries'!C736)/'Rules'!$B$13,1)</x:f>
        <x:v>0.41842416836777</x:v>
      </x:c>
      <x:c r="F736" s="16" t="n">
        <x:f>IF(AND('Queries'!E736&lt;='Rules'!$B$15,'Queries'!C736&gt;='Rules'!$B$14,'Queries'!D736&lt;'Rules'!$B$16),1,0)</x:f>
        <x:v>0</x:v>
      </x:c>
      <x:c r="G736" s="16" t="n">
        <x:v>1</x:v>
      </x:c>
      <x:c r="H736" s="16" t="n">
        <x:v>1</x:v>
      </x:c>
      <x:c r="I736" s="16" t="n">
        <x:f>ROUND((B736*'Rules'!$B$6+C736/'Rules'!$B$12*'Rules'!$B$7+D736*'Rules'!$B$8+E736*'Rules'!$B$9+F736*'Rules'!$B$10+G736*'Rules'!$B$11)*H736,1)</x:f>
        <x:v>62.9</x:v>
      </x:c>
      <x:c r="J736" s="18" t="n">
        <x:f>'Queries'!C736*'Queries'!E736</x:f>
        <x:v>702.95</x:v>
      </x:c>
    </x:row>
    <x:row r="737" ht="32" customHeight="1">
      <x:c r="A737" s="6" t="str">
        <x:v>cadillac workshop dubai</x:v>
      </x:c>
      <x:c r="B737" s="16" t="n">
        <x:v>1</x:v>
      </x:c>
      <x:c r="C737" s="16" t="n">
        <x:v>3</x:v>
      </x:c>
      <x:c r="D737" s="16" t="n">
        <x:f>IF('Queries'!E737&lt;='Rules'!$B$17,'Rules'!$B$21,IF('Queries'!E737&lt;='Rules'!$B$18,'Rules'!$B$22,IF('Queries'!E737&lt;='Rules'!$B$19,'Rules'!$B$23,IF('Queries'!E737&lt;='Rules'!$B$20,'Rules'!$B$24,'Rules'!$B$25))))</x:f>
        <x:v>0.15</x:v>
      </x:c>
      <x:c r="E737" s="16" t="n">
        <x:f>MIN(LOG10(1+'Queries'!C737)/'Rules'!$B$13,1)</x:f>
        <x:v>0.41842416836777</x:v>
      </x:c>
      <x:c r="F737" s="16" t="n">
        <x:f>IF(AND('Queries'!E737&lt;='Rules'!$B$15,'Queries'!C737&gt;='Rules'!$B$14,'Queries'!D737&lt;'Rules'!$B$16),1,0)</x:f>
        <x:v>0</x:v>
      </x:c>
      <x:c r="G737" s="16" t="n">
        <x:v>1</x:v>
      </x:c>
      <x:c r="H737" s="16" t="n">
        <x:v>1</x:v>
      </x:c>
      <x:c r="I737" s="16" t="n">
        <x:f>ROUND((B737*'Rules'!$B$6+C737/'Rules'!$B$12*'Rules'!$B$7+D737*'Rules'!$B$8+E737*'Rules'!$B$9+F737*'Rules'!$B$10+G737*'Rules'!$B$11)*H737,1)</x:f>
        <x:v>54.9</x:v>
      </x:c>
      <x:c r="J737" s="18" t="n">
        <x:f>'Queries'!C737*'Queries'!E737</x:f>
        <x:v>715.02</x:v>
      </x:c>
    </x:row>
    <x:row r="738" ht="32" customHeight="1">
      <x:c r="A738" s="6" t="str">
        <x:v>car brakes repair dubai</x:v>
      </x:c>
      <x:c r="B738" s="16" t="n">
        <x:v>1</x:v>
      </x:c>
      <x:c r="C738" s="16" t="n">
        <x:v>3</x:v>
      </x:c>
      <x:c r="D738" s="16" t="n">
        <x:f>IF('Queries'!E738&lt;='Rules'!$B$17,'Rules'!$B$21,IF('Queries'!E738&lt;='Rules'!$B$18,'Rules'!$B$22,IF('Queries'!E738&lt;='Rules'!$B$19,'Rules'!$B$23,IF('Queries'!E738&lt;='Rules'!$B$20,'Rules'!$B$24,'Rules'!$B$25))))</x:f>
        <x:v>0.15</x:v>
      </x:c>
      <x:c r="E738" s="16" t="n">
        <x:f>MIN(LOG10(1+'Queries'!C738)/'Rules'!$B$13,1)</x:f>
        <x:v>0.41842416836777</x:v>
      </x:c>
      <x:c r="F738" s="16" t="n">
        <x:f>IF(AND('Queries'!E738&lt;='Rules'!$B$15,'Queries'!C738&gt;='Rules'!$B$14,'Queries'!D738&lt;'Rules'!$B$16),1,0)</x:f>
        <x:v>0</x:v>
      </x:c>
      <x:c r="G738" s="16" t="n">
        <x:v>1</x:v>
      </x:c>
      <x:c r="H738" s="16" t="n">
        <x:v>1</x:v>
      </x:c>
      <x:c r="I738" s="16" t="n">
        <x:f>ROUND((B738*'Rules'!$B$6+C738/'Rules'!$B$12*'Rules'!$B$7+D738*'Rules'!$B$8+E738*'Rules'!$B$9+F738*'Rules'!$B$10+G738*'Rules'!$B$11)*H738,1)</x:f>
        <x:v>54.9</x:v>
      </x:c>
      <x:c r="J738" s="18" t="n">
        <x:f>'Queries'!C738*'Queries'!E738</x:f>
        <x:v>717.06</x:v>
      </x:c>
    </x:row>
    <x:row r="739" ht="32" customHeight="1">
      <x:c r="A739" s="6" t="str">
        <x:v>chrysler car repair dubai</x:v>
      </x:c>
      <x:c r="B739" s="16" t="n">
        <x:v>1</x:v>
      </x:c>
      <x:c r="C739" s="16" t="n">
        <x:v>3</x:v>
      </x:c>
      <x:c r="D739" s="16" t="n">
        <x:f>IF('Queries'!E739&lt;='Rules'!$B$17,'Rules'!$B$21,IF('Queries'!E739&lt;='Rules'!$B$18,'Rules'!$B$22,IF('Queries'!E739&lt;='Rules'!$B$19,'Rules'!$B$23,IF('Queries'!E739&lt;='Rules'!$B$20,'Rules'!$B$24,'Rules'!$B$25))))</x:f>
        <x:v>0.15</x:v>
      </x:c>
      <x:c r="E739" s="16" t="n">
        <x:f>MIN(LOG10(1+'Queries'!C739)/'Rules'!$B$13,1)</x:f>
        <x:v>0.41842416836777</x:v>
      </x:c>
      <x:c r="F739" s="16" t="n">
        <x:f>IF(AND('Queries'!E739&lt;='Rules'!$B$15,'Queries'!C739&gt;='Rules'!$B$14,'Queries'!D739&lt;'Rules'!$B$16),1,0)</x:f>
        <x:v>0</x:v>
      </x:c>
      <x:c r="G739" s="16" t="n">
        <x:v>1</x:v>
      </x:c>
      <x:c r="H739" s="16" t="n">
        <x:v>1</x:v>
      </x:c>
      <x:c r="I739" s="16" t="n">
        <x:f>ROUND((B739*'Rules'!$B$6+C739/'Rules'!$B$12*'Rules'!$B$7+D739*'Rules'!$B$8+E739*'Rules'!$B$9+F739*'Rules'!$B$10+G739*'Rules'!$B$11)*H739,1)</x:f>
        <x:v>54.9</x:v>
      </x:c>
      <x:c r="J739" s="18" t="n">
        <x:f>'Queries'!C739*'Queries'!E739</x:f>
        <x:v>752.93</x:v>
      </x:c>
    </x:row>
    <x:row r="740" ht="32" customHeight="1">
      <x:c r="A740" s="6" t="str">
        <x:v>tire replacement dubai</x:v>
      </x:c>
      <x:c r="B740" s="16" t="n">
        <x:v>1</x:v>
      </x:c>
      <x:c r="C740" s="16" t="n">
        <x:v>2</x:v>
      </x:c>
      <x:c r="D740" s="16" t="n">
        <x:f>IF('Queries'!E740&lt;='Rules'!$B$17,'Rules'!$B$21,IF('Queries'!E740&lt;='Rules'!$B$18,'Rules'!$B$22,IF('Queries'!E740&lt;='Rules'!$B$19,'Rules'!$B$23,IF('Queries'!E740&lt;='Rules'!$B$20,'Rules'!$B$24,'Rules'!$B$25))))</x:f>
        <x:v>0.15</x:v>
      </x:c>
      <x:c r="E740" s="16" t="n">
        <x:f>MIN(LOG10(1+'Queries'!C740)/'Rules'!$B$13,1)</x:f>
        <x:v>0.41842416836777</x:v>
      </x:c>
      <x:c r="F740" s="16" t="n">
        <x:f>IF(AND('Queries'!E740&lt;='Rules'!$B$15,'Queries'!C740&gt;='Rules'!$B$14,'Queries'!D740&lt;'Rules'!$B$16),1,0)</x:f>
        <x:v>0</x:v>
      </x:c>
      <x:c r="G740" s="16" t="n">
        <x:v>1</x:v>
      </x:c>
      <x:c r="H740" s="16" t="n">
        <x:v>1</x:v>
      </x:c>
      <x:c r="I740" s="16" t="n">
        <x:f>ROUND((B740*'Rules'!$B$6+C740/'Rules'!$B$12*'Rules'!$B$7+D740*'Rules'!$B$8+E740*'Rules'!$B$9+F740*'Rules'!$B$10+G740*'Rules'!$B$11)*H740,1)</x:f>
        <x:v>50.9</x:v>
      </x:c>
      <x:c r="J740" s="18" t="n">
        <x:f>'Queries'!C740*'Queries'!E740</x:f>
        <x:v>757.01</x:v>
      </x:c>
    </x:row>
    <x:row r="741" ht="32" customHeight="1">
      <x:c r="A741" s="6" t="str">
        <x:v>porsche major service dubai</x:v>
      </x:c>
      <x:c r="B741" s="16" t="n">
        <x:v>1</x:v>
      </x:c>
      <x:c r="C741" s="16" t="n">
        <x:v>5</x:v>
      </x:c>
      <x:c r="D741" s="16" t="n">
        <x:f>IF('Queries'!E741&lt;='Rules'!$B$17,'Rules'!$B$21,IF('Queries'!E741&lt;='Rules'!$B$18,'Rules'!$B$22,IF('Queries'!E741&lt;='Rules'!$B$19,'Rules'!$B$23,IF('Queries'!E741&lt;='Rules'!$B$20,'Rules'!$B$24,'Rules'!$B$25))))</x:f>
        <x:v>0.15</x:v>
      </x:c>
      <x:c r="E741" s="16" t="n">
        <x:f>MIN(LOG10(1+'Queries'!C741)/'Rules'!$B$13,1)</x:f>
        <x:v>0.41842416836777</x:v>
      </x:c>
      <x:c r="F741" s="16" t="n">
        <x:f>IF(AND('Queries'!E741&lt;='Rules'!$B$15,'Queries'!C741&gt;='Rules'!$B$14,'Queries'!D741&lt;'Rules'!$B$16),1,0)</x:f>
        <x:v>0</x:v>
      </x:c>
      <x:c r="G741" s="16" t="n">
        <x:v>1</x:v>
      </x:c>
      <x:c r="H741" s="16" t="n">
        <x:v>1</x:v>
      </x:c>
      <x:c r="I741" s="16" t="n">
        <x:f>ROUND((B741*'Rules'!$B$6+C741/'Rules'!$B$12*'Rules'!$B$7+D741*'Rules'!$B$8+E741*'Rules'!$B$9+F741*'Rules'!$B$10+G741*'Rules'!$B$11)*H741,1)</x:f>
        <x:v>62.9</x:v>
      </x:c>
      <x:c r="J741" s="18" t="n">
        <x:f>'Queries'!C741*'Queries'!E741</x:f>
        <x:v>785.06</x:v>
      </x:c>
    </x:row>
    <x:row r="742" ht="32" customHeight="1">
      <x:c r="A742" s="6" t="str">
        <x:v>best paint protection film service dubai</x:v>
      </x:c>
      <x:c r="B742" s="16" t="n">
        <x:v>1</x:v>
      </x:c>
      <x:c r="C742" s="16" t="n">
        <x:v>5</x:v>
      </x:c>
      <x:c r="D742" s="16" t="n">
        <x:f>IF('Queries'!E742&lt;='Rules'!$B$17,'Rules'!$B$21,IF('Queries'!E742&lt;='Rules'!$B$18,'Rules'!$B$22,IF('Queries'!E742&lt;='Rules'!$B$19,'Rules'!$B$23,IF('Queries'!E742&lt;='Rules'!$B$20,'Rules'!$B$24,'Rules'!$B$25))))</x:f>
        <x:v>0.15</x:v>
      </x:c>
      <x:c r="E742" s="16" t="n">
        <x:f>MIN(LOG10(1+'Queries'!C742)/'Rules'!$B$13,1)</x:f>
        <x:v>0.41842416836777</x:v>
      </x:c>
      <x:c r="F742" s="16" t="n">
        <x:f>IF(AND('Queries'!E742&lt;='Rules'!$B$15,'Queries'!C742&gt;='Rules'!$B$14,'Queries'!D742&lt;'Rules'!$B$16),1,0)</x:f>
        <x:v>0</x:v>
      </x:c>
      <x:c r="G742" s="16" t="n">
        <x:v>1</x:v>
      </x:c>
      <x:c r="H742" s="16" t="n">
        <x:v>1</x:v>
      </x:c>
      <x:c r="I742" s="16" t="n">
        <x:f>ROUND((B742*'Rules'!$B$6+C742/'Rules'!$B$12*'Rules'!$B$7+D742*'Rules'!$B$8+E742*'Rules'!$B$9+F742*'Rules'!$B$10+G742*'Rules'!$B$11)*H742,1)</x:f>
        <x:v>62.9</x:v>
      </x:c>
      <x:c r="J742" s="18" t="n">
        <x:f>'Queries'!C742*'Queries'!E742</x:f>
        <x:v>881.96</x:v>
      </x:c>
    </x:row>
    <x:row r="743" ht="32" customHeight="1">
      <x:c r="A743" s="6" t="str">
        <x:v>chrysler garage in dubai</x:v>
      </x:c>
      <x:c r="B743" s="16" t="n">
        <x:v>1</x:v>
      </x:c>
      <x:c r="C743" s="16" t="n">
        <x:v>3</x:v>
      </x:c>
      <x:c r="D743" s="16" t="n">
        <x:f>IF('Queries'!E743&lt;='Rules'!$B$17,'Rules'!$B$21,IF('Queries'!E743&lt;='Rules'!$B$18,'Rules'!$B$22,IF('Queries'!E743&lt;='Rules'!$B$19,'Rules'!$B$23,IF('Queries'!E743&lt;='Rules'!$B$20,'Rules'!$B$24,'Rules'!$B$25))))</x:f>
        <x:v>0.15</x:v>
      </x:c>
      <x:c r="E743" s="16" t="n">
        <x:f>MIN(LOG10(1+'Queries'!C743)/'Rules'!$B$13,1)</x:f>
        <x:v>0.41842416836777</x:v>
      </x:c>
      <x:c r="F743" s="16" t="n">
        <x:f>IF(AND('Queries'!E743&lt;='Rules'!$B$15,'Queries'!C743&gt;='Rules'!$B$14,'Queries'!D743&lt;'Rules'!$B$16),1,0)</x:f>
        <x:v>0</x:v>
      </x:c>
      <x:c r="G743" s="16" t="n">
        <x:v>1</x:v>
      </x:c>
      <x:c r="H743" s="16" t="n">
        <x:v>1</x:v>
      </x:c>
      <x:c r="I743" s="16" t="n">
        <x:f>ROUND((B743*'Rules'!$B$6+C743/'Rules'!$B$12*'Rules'!$B$7+D743*'Rules'!$B$8+E743*'Rules'!$B$9+F743*'Rules'!$B$10+G743*'Rules'!$B$11)*H743,1)</x:f>
        <x:v>54.9</x:v>
      </x:c>
      <x:c r="J743" s="18" t="n">
        <x:f>'Queries'!C743*'Queries'!E743</x:f>
        <x:v>1084.94</x:v>
      </x:c>
    </x:row>
    <x:row r="744" ht="32" customHeight="1">
      <x:c r="A744" s="6" t="str">
        <x:v>car brake repair</x:v>
      </x:c>
      <x:c r="B744" s="16" t="n">
        <x:v>0.8</x:v>
      </x:c>
      <x:c r="C744" s="16" t="n">
        <x:v>3</x:v>
      </x:c>
      <x:c r="D744" s="16" t="n">
        <x:f>IF('Queries'!E744&lt;='Rules'!$B$17,'Rules'!$B$21,IF('Queries'!E744&lt;='Rules'!$B$18,'Rules'!$B$22,IF('Queries'!E744&lt;='Rules'!$B$19,'Rules'!$B$23,IF('Queries'!E744&lt;='Rules'!$B$20,'Rules'!$B$24,'Rules'!$B$25))))</x:f>
        <x:v>0.15</x:v>
      </x:c>
      <x:c r="E744" s="16" t="n">
        <x:f>MIN(LOG10(1+'Queries'!C744)/'Rules'!$B$13,1)</x:f>
        <x:v>0.41842416836777</x:v>
      </x:c>
      <x:c r="F744" s="16" t="n">
        <x:f>IF(AND('Queries'!E744&lt;='Rules'!$B$15,'Queries'!C744&gt;='Rules'!$B$14,'Queries'!D744&lt;'Rules'!$B$16),1,0)</x:f>
        <x:v>0</x:v>
      </x:c>
      <x:c r="G744" s="16" t="n">
        <x:v>1</x:v>
      </x:c>
      <x:c r="H744" s="16" t="n">
        <x:v>1</x:v>
      </x:c>
      <x:c r="I744" s="16" t="n">
        <x:f>ROUND((B744*'Rules'!$B$6+C744/'Rules'!$B$12*'Rules'!$B$7+D744*'Rules'!$B$8+E744*'Rules'!$B$9+F744*'Rules'!$B$10+G744*'Rules'!$B$11)*H744,1)</x:f>
        <x:v>49.9</x:v>
      </x:c>
      <x:c r="J744" s="18" t="n">
        <x:f>'Queries'!C744*'Queries'!E744</x:f>
        <x:v>1136.96</x:v>
      </x:c>
    </x:row>
    <x:row r="745" ht="32" customHeight="1">
      <x:c r="A745" s="6" t="str">
        <x:v>best car battery change service</x:v>
      </x:c>
      <x:c r="B745" s="16" t="n">
        <x:v>0.8</x:v>
      </x:c>
      <x:c r="C745" s="16" t="n">
        <x:v>3</x:v>
      </x:c>
      <x:c r="D745" s="16" t="n">
        <x:f>IF('Queries'!E745&lt;='Rules'!$B$17,'Rules'!$B$21,IF('Queries'!E745&lt;='Rules'!$B$18,'Rules'!$B$22,IF('Queries'!E745&lt;='Rules'!$B$19,'Rules'!$B$23,IF('Queries'!E745&lt;='Rules'!$B$20,'Rules'!$B$24,'Rules'!$B$25))))</x:f>
        <x:v>0.15</x:v>
      </x:c>
      <x:c r="E745" s="16" t="n">
        <x:f>MIN(LOG10(1+'Queries'!C745)/'Rules'!$B$13,1)</x:f>
        <x:v>0.41842416836777</x:v>
      </x:c>
      <x:c r="F745" s="16" t="n">
        <x:f>IF(AND('Queries'!E745&lt;='Rules'!$B$15,'Queries'!C745&gt;='Rules'!$B$14,'Queries'!D745&lt;'Rules'!$B$16),1,0)</x:f>
        <x:v>0</x:v>
      </x:c>
      <x:c r="G745" s="16" t="n">
        <x:v>1</x:v>
      </x:c>
      <x:c r="H745" s="16" t="n">
        <x:v>1</x:v>
      </x:c>
      <x:c r="I745" s="16" t="n">
        <x:f>ROUND((B745*'Rules'!$B$6+C745/'Rules'!$B$12*'Rules'!$B$7+D745*'Rules'!$B$8+E745*'Rules'!$B$9+F745*'Rules'!$B$10+G745*'Rules'!$B$11)*H745,1)</x:f>
        <x:v>49.9</x:v>
      </x:c>
      <x:c r="J745" s="18" t="n">
        <x:f>'Queries'!C745*'Queries'!E745</x:f>
        <x:v>1282.99</x:v>
      </x:c>
    </x:row>
    <x:row r="746" ht="32" customHeight="1">
      <x:c r="A746" s="6" t="str">
        <x:v>repair mercedes in uae</x:v>
      </x:c>
      <x:c r="B746" s="16" t="n">
        <x:v>0.8</x:v>
      </x:c>
      <x:c r="C746" s="16" t="n">
        <x:v>5</x:v>
      </x:c>
      <x:c r="D746" s="16" t="n">
        <x:f>IF('Queries'!E746&lt;='Rules'!$B$17,'Rules'!$B$21,IF('Queries'!E746&lt;='Rules'!$B$18,'Rules'!$B$22,IF('Queries'!E746&lt;='Rules'!$B$19,'Rules'!$B$23,IF('Queries'!E746&lt;='Rules'!$B$20,'Rules'!$B$24,'Rules'!$B$25))))</x:f>
        <x:v>1</x:v>
      </x:c>
      <x:c r="E746" s="16" t="n">
        <x:f>MIN(LOG10(1+'Queries'!C746)/'Rules'!$B$13,1)</x:f>
        <x:v>0.41014964045942337</x:v>
      </x:c>
      <x:c r="F746" s="16" t="n">
        <x:f>IF(AND('Queries'!E746&lt;='Rules'!$B$15,'Queries'!C746&gt;='Rules'!$B$14,'Queries'!D746&lt;'Rules'!$B$16),1,0)</x:f>
        <x:v>0</x:v>
      </x:c>
      <x:c r="G746" s="16" t="n">
        <x:v>1</x:v>
      </x:c>
      <x:c r="H746" s="16" t="n">
        <x:v>1</x:v>
      </x:c>
      <x:c r="I746" s="16" t="n">
        <x:f>ROUND((B746*'Rules'!$B$6+C746/'Rules'!$B$12*'Rules'!$B$7+D746*'Rules'!$B$8+E746*'Rules'!$B$9+F746*'Rules'!$B$10+G746*'Rules'!$B$11)*H746,1)</x:f>
        <x:v>79.1</x:v>
      </x:c>
      <x:c r="J746" s="18" t="n">
        <x:f>'Queries'!C746*'Queries'!E746</x:f>
        <x:v>75.04</x:v>
      </x:c>
    </x:row>
    <x:row r="747" ht="32" customHeight="1">
      <x:c r="A747" s="6" t="str">
        <x:v>exhaust workshop near me</x:v>
      </x:c>
      <x:c r="B747" s="16" t="n">
        <x:v>1</x:v>
      </x:c>
      <x:c r="C747" s="16" t="n">
        <x:v>3</x:v>
      </x:c>
      <x:c r="D747" s="16" t="n">
        <x:f>IF('Queries'!E747&lt;='Rules'!$B$17,'Rules'!$B$21,IF('Queries'!E747&lt;='Rules'!$B$18,'Rules'!$B$22,IF('Queries'!E747&lt;='Rules'!$B$19,'Rules'!$B$23,IF('Queries'!E747&lt;='Rules'!$B$20,'Rules'!$B$24,'Rules'!$B$25))))</x:f>
        <x:v>1</x:v>
      </x:c>
      <x:c r="E747" s="16" t="n">
        <x:f>MIN(LOG10(1+'Queries'!C747)/'Rules'!$B$13,1)</x:f>
        <x:v>0.41014964045942337</x:v>
      </x:c>
      <x:c r="F747" s="16" t="n">
        <x:f>IF(AND('Queries'!E747&lt;='Rules'!$B$15,'Queries'!C747&gt;='Rules'!$B$14,'Queries'!D747&lt;'Rules'!$B$16),1,0)</x:f>
        <x:v>0</x:v>
      </x:c>
      <x:c r="G747" s="16" t="n">
        <x:v>1</x:v>
      </x:c>
      <x:c r="H747" s="16" t="n">
        <x:v>1</x:v>
      </x:c>
      <x:c r="I747" s="16" t="n">
        <x:f>ROUND((B747*'Rules'!$B$6+C747/'Rules'!$B$12*'Rules'!$B$7+D747*'Rules'!$B$8+E747*'Rules'!$B$9+F747*'Rules'!$B$10+G747*'Rules'!$B$11)*H747,1)</x:f>
        <x:v>76.1</x:v>
      </x:c>
      <x:c r="J747" s="18" t="n">
        <x:f>'Queries'!C747*'Queries'!E747</x:f>
        <x:v>88.96</x:v>
      </x:c>
    </x:row>
    <x:row r="748" ht="42" customHeight="1">
      <x:c r="A748" s="6" t="str">
        <x:v>land rover range rover sport svr brake pads replacement dubai</x:v>
      </x:c>
      <x:c r="B748" s="16" t="n">
        <x:v>1</x:v>
      </x:c>
      <x:c r="C748" s="16" t="n">
        <x:v>5</x:v>
      </x:c>
      <x:c r="D748" s="16" t="n">
        <x:f>IF('Queries'!E748&lt;='Rules'!$B$17,'Rules'!$B$21,IF('Queries'!E748&lt;='Rules'!$B$18,'Rules'!$B$22,IF('Queries'!E748&lt;='Rules'!$B$19,'Rules'!$B$23,IF('Queries'!E748&lt;='Rules'!$B$20,'Rules'!$B$24,'Rules'!$B$25))))</x:f>
        <x:v>1</x:v>
      </x:c>
      <x:c r="E748" s="16" t="n">
        <x:f>MIN(LOG10(1+'Queries'!C748)/'Rules'!$B$13,1)</x:f>
        <x:v>0.41014964045942337</x:v>
      </x:c>
      <x:c r="F748" s="16" t="n">
        <x:f>IF(AND('Queries'!E748&lt;='Rules'!$B$15,'Queries'!C748&gt;='Rules'!$B$14,'Queries'!D748&lt;'Rules'!$B$16),1,0)</x:f>
        <x:v>0</x:v>
      </x:c>
      <x:c r="G748" s="16" t="n">
        <x:v>1</x:v>
      </x:c>
      <x:c r="H748" s="16" t="n">
        <x:v>1</x:v>
      </x:c>
      <x:c r="I748" s="16" t="n">
        <x:f>ROUND((B748*'Rules'!$B$6+C748/'Rules'!$B$12*'Rules'!$B$7+D748*'Rules'!$B$8+E748*'Rules'!$B$9+F748*'Rules'!$B$10+G748*'Rules'!$B$11)*H748,1)</x:f>
        <x:v>84.1</x:v>
      </x:c>
      <x:c r="J748" s="18" t="n">
        <x:f>'Queries'!C748*'Queries'!E748</x:f>
        <x:v>100.96</x:v>
      </x:c>
    </x:row>
    <x:row r="749" ht="32" customHeight="1">
      <x:c r="A749" s="6" t="str">
        <x:v>audi engine diagnostics</x:v>
      </x:c>
      <x:c r="B749" s="16" t="n">
        <x:v>0.8</x:v>
      </x:c>
      <x:c r="C749" s="16" t="n">
        <x:v>5</x:v>
      </x:c>
      <x:c r="D749" s="16" t="n">
        <x:f>IF('Queries'!E749&lt;='Rules'!$B$17,'Rules'!$B$21,IF('Queries'!E749&lt;='Rules'!$B$18,'Rules'!$B$22,IF('Queries'!E749&lt;='Rules'!$B$19,'Rules'!$B$23,IF('Queries'!E749&lt;='Rules'!$B$20,'Rules'!$B$24,'Rules'!$B$25))))</x:f>
        <x:v>1</x:v>
      </x:c>
      <x:c r="E749" s="16" t="n">
        <x:f>MIN(LOG10(1+'Queries'!C749)/'Rules'!$B$13,1)</x:f>
        <x:v>0.41014964045942337</x:v>
      </x:c>
      <x:c r="F749" s="16" t="n">
        <x:f>IF(AND('Queries'!E749&lt;='Rules'!$B$15,'Queries'!C749&gt;='Rules'!$B$14,'Queries'!D749&lt;'Rules'!$B$16),1,0)</x:f>
        <x:v>0</x:v>
      </x:c>
      <x:c r="G749" s="16" t="n">
        <x:v>1</x:v>
      </x:c>
      <x:c r="H749" s="16" t="n">
        <x:v>1</x:v>
      </x:c>
      <x:c r="I749" s="16" t="n">
        <x:f>ROUND((B749*'Rules'!$B$6+C749/'Rules'!$B$12*'Rules'!$B$7+D749*'Rules'!$B$8+E749*'Rules'!$B$9+F749*'Rules'!$B$10+G749*'Rules'!$B$11)*H749,1)</x:f>
        <x:v>79.1</x:v>
      </x:c>
      <x:c r="J749" s="18" t="n">
        <x:f>'Queries'!C749*'Queries'!E749</x:f>
        <x:v>136.96</x:v>
      </x:c>
    </x:row>
    <x:row r="750" ht="32" customHeight="1">
      <x:c r="A750" s="6" t="str">
        <x:v>muffler shop near me</x:v>
      </x:c>
      <x:c r="B750" s="16" t="n">
        <x:v>1</x:v>
      </x:c>
      <x:c r="C750" s="16" t="n">
        <x:v>3</x:v>
      </x:c>
      <x:c r="D750" s="16" t="n">
        <x:f>IF('Queries'!E750&lt;='Rules'!$B$17,'Rules'!$B$21,IF('Queries'!E750&lt;='Rules'!$B$18,'Rules'!$B$22,IF('Queries'!E750&lt;='Rules'!$B$19,'Rules'!$B$23,IF('Queries'!E750&lt;='Rules'!$B$20,'Rules'!$B$24,'Rules'!$B$25))))</x:f>
        <x:v>1</x:v>
      </x:c>
      <x:c r="E750" s="16" t="n">
        <x:f>MIN(LOG10(1+'Queries'!C750)/'Rules'!$B$13,1)</x:f>
        <x:v>0.41014964045942337</x:v>
      </x:c>
      <x:c r="F750" s="16" t="n">
        <x:f>IF(AND('Queries'!E750&lt;='Rules'!$B$15,'Queries'!C750&gt;='Rules'!$B$14,'Queries'!D750&lt;'Rules'!$B$16),1,0)</x:f>
        <x:v>0</x:v>
      </x:c>
      <x:c r="G750" s="16" t="n">
        <x:v>1</x:v>
      </x:c>
      <x:c r="H750" s="16" t="n">
        <x:v>1</x:v>
      </x:c>
      <x:c r="I750" s="16" t="n">
        <x:f>ROUND((B750*'Rules'!$B$6+C750/'Rules'!$B$12*'Rules'!$B$7+D750*'Rules'!$B$8+E750*'Rules'!$B$9+F750*'Rules'!$B$10+G750*'Rules'!$B$11)*H750,1)</x:f>
        <x:v>76.1</x:v>
      </x:c>
      <x:c r="J750" s="18" t="n">
        <x:f>'Queries'!C750*'Queries'!E750</x:f>
        <x:v>139.04</x:v>
      </x:c>
    </x:row>
    <x:row r="751" ht="32" customHeight="1">
      <x:c r="A751" s="6" t="str">
        <x:v>near puncher shop</x:v>
      </x:c>
      <x:c r="B751" s="16" t="n">
        <x:v>0.8</x:v>
      </x:c>
      <x:c r="C751" s="16" t="n">
        <x:v>2</x:v>
      </x:c>
      <x:c r="D751" s="16" t="n">
        <x:f>IF('Queries'!E751&lt;='Rules'!$B$17,'Rules'!$B$21,IF('Queries'!E751&lt;='Rules'!$B$18,'Rules'!$B$22,IF('Queries'!E751&lt;='Rules'!$B$19,'Rules'!$B$23,IF('Queries'!E751&lt;='Rules'!$B$20,'Rules'!$B$24,'Rules'!$B$25))))</x:f>
        <x:v>1</x:v>
      </x:c>
      <x:c r="E751" s="16" t="n">
        <x:f>MIN(LOG10(1+'Queries'!C751)/'Rules'!$B$13,1)</x:f>
        <x:v>0.41014964045942337</x:v>
      </x:c>
      <x:c r="F751" s="16" t="n">
        <x:f>IF(AND('Queries'!E751&lt;='Rules'!$B$15,'Queries'!C751&gt;='Rules'!$B$14,'Queries'!D751&lt;'Rules'!$B$16),1,0)</x:f>
        <x:v>0</x:v>
      </x:c>
      <x:c r="G751" s="16" t="n">
        <x:v>1</x:v>
      </x:c>
      <x:c r="H751" s="16" t="n">
        <x:v>1</x:v>
      </x:c>
      <x:c r="I751" s="16" t="n">
        <x:f>ROUND((B751*'Rules'!$B$6+C751/'Rules'!$B$12*'Rules'!$B$7+D751*'Rules'!$B$8+E751*'Rules'!$B$9+F751*'Rules'!$B$10+G751*'Rules'!$B$11)*H751,1)</x:f>
        <x:v>67.1</x:v>
      </x:c>
      <x:c r="J751" s="18" t="n">
        <x:f>'Queries'!C751*'Queries'!E751</x:f>
        <x:v>155.04</x:v>
      </x:c>
    </x:row>
    <x:row r="752" ht="32" customHeight="1">
      <x:c r="A752" s="6" t="str">
        <x:v>nearest tire repair shop to me</x:v>
      </x:c>
      <x:c r="B752" s="16" t="n">
        <x:v>0.8</x:v>
      </x:c>
      <x:c r="C752" s="16" t="n">
        <x:v>2</x:v>
      </x:c>
      <x:c r="D752" s="16" t="n">
        <x:f>IF('Queries'!E752&lt;='Rules'!$B$17,'Rules'!$B$21,IF('Queries'!E752&lt;='Rules'!$B$18,'Rules'!$B$22,IF('Queries'!E752&lt;='Rules'!$B$19,'Rules'!$B$23,IF('Queries'!E752&lt;='Rules'!$B$20,'Rules'!$B$24,'Rules'!$B$25))))</x:f>
        <x:v>1</x:v>
      </x:c>
      <x:c r="E752" s="16" t="n">
        <x:f>MIN(LOG10(1+'Queries'!C752)/'Rules'!$B$13,1)</x:f>
        <x:v>0.41014964045942337</x:v>
      </x:c>
      <x:c r="F752" s="16" t="n">
        <x:f>IF(AND('Queries'!E752&lt;='Rules'!$B$15,'Queries'!C752&gt;='Rules'!$B$14,'Queries'!D752&lt;'Rules'!$B$16),1,0)</x:f>
        <x:v>0</x:v>
      </x:c>
      <x:c r="G752" s="16" t="n">
        <x:v>1</x:v>
      </x:c>
      <x:c r="H752" s="16" t="n">
        <x:v>1</x:v>
      </x:c>
      <x:c r="I752" s="16" t="n">
        <x:f>ROUND((B752*'Rules'!$B$6+C752/'Rules'!$B$12*'Rules'!$B$7+D752*'Rules'!$B$8+E752*'Rules'!$B$9+F752*'Rules'!$B$10+G752*'Rules'!$B$11)*H752,1)</x:f>
        <x:v>67.1</x:v>
      </x:c>
      <x:c r="J752" s="18" t="n">
        <x:f>'Queries'!C752*'Queries'!E752</x:f>
        <x:v>156</x:v>
      </x:c>
    </x:row>
    <x:row r="753" ht="32" customHeight="1">
      <x:c r="A753" s="6" t="str">
        <x:v>lotus maintenance dubai</x:v>
      </x:c>
      <x:c r="B753" s="16" t="n">
        <x:v>1</x:v>
      </x:c>
      <x:c r="C753" s="16" t="n">
        <x:v>5</x:v>
      </x:c>
      <x:c r="D753" s="16" t="n">
        <x:f>IF('Queries'!E753&lt;='Rules'!$B$17,'Rules'!$B$21,IF('Queries'!E753&lt;='Rules'!$B$18,'Rules'!$B$22,IF('Queries'!E753&lt;='Rules'!$B$19,'Rules'!$B$23,IF('Queries'!E753&lt;='Rules'!$B$20,'Rules'!$B$24,'Rules'!$B$25))))</x:f>
        <x:v>1</x:v>
      </x:c>
      <x:c r="E753" s="16" t="n">
        <x:f>MIN(LOG10(1+'Queries'!C753)/'Rules'!$B$13,1)</x:f>
        <x:v>0.41014964045942337</x:v>
      </x:c>
      <x:c r="F753" s="16" t="n">
        <x:f>IF(AND('Queries'!E753&lt;='Rules'!$B$15,'Queries'!C753&gt;='Rules'!$B$14,'Queries'!D753&lt;'Rules'!$B$16),1,0)</x:f>
        <x:v>0</x:v>
      </x:c>
      <x:c r="G753" s="16" t="n">
        <x:v>1</x:v>
      </x:c>
      <x:c r="H753" s="16" t="n">
        <x:v>1</x:v>
      </x:c>
      <x:c r="I753" s="16" t="n">
        <x:f>ROUND((B753*'Rules'!$B$6+C753/'Rules'!$B$12*'Rules'!$B$7+D753*'Rules'!$B$8+E753*'Rules'!$B$9+F753*'Rules'!$B$10+G753*'Rules'!$B$11)*H753,1)</x:f>
        <x:v>84.1</x:v>
      </x:c>
      <x:c r="J753" s="18" t="n">
        <x:f>'Queries'!C753*'Queries'!E753</x:f>
        <x:v>156.96</x:v>
      </x:c>
    </x:row>
    <x:row r="754" ht="32" customHeight="1">
      <x:c r="A754" s="6" t="str">
        <x:v>tire repair shop near me</x:v>
      </x:c>
      <x:c r="B754" s="16" t="n">
        <x:v>1</x:v>
      </x:c>
      <x:c r="C754" s="16" t="n">
        <x:v>2</x:v>
      </x:c>
      <x:c r="D754" s="16" t="n">
        <x:f>IF('Queries'!E754&lt;='Rules'!$B$17,'Rules'!$B$21,IF('Queries'!E754&lt;='Rules'!$B$18,'Rules'!$B$22,IF('Queries'!E754&lt;='Rules'!$B$19,'Rules'!$B$23,IF('Queries'!E754&lt;='Rules'!$B$20,'Rules'!$B$24,'Rules'!$B$25))))</x:f>
        <x:v>1</x:v>
      </x:c>
      <x:c r="E754" s="16" t="n">
        <x:f>MIN(LOG10(1+'Queries'!C754)/'Rules'!$B$13,1)</x:f>
        <x:v>0.41014964045942337</x:v>
      </x:c>
      <x:c r="F754" s="16" t="n">
        <x:f>IF(AND('Queries'!E754&lt;='Rules'!$B$15,'Queries'!C754&gt;='Rules'!$B$14,'Queries'!D754&lt;'Rules'!$B$16),1,0)</x:f>
        <x:v>0</x:v>
      </x:c>
      <x:c r="G754" s="16" t="n">
        <x:v>1</x:v>
      </x:c>
      <x:c r="H754" s="16" t="n">
        <x:v>1</x:v>
      </x:c>
      <x:c r="I754" s="16" t="n">
        <x:f>ROUND((B754*'Rules'!$B$6+C754/'Rules'!$B$12*'Rules'!$B$7+D754*'Rules'!$B$8+E754*'Rules'!$B$9+F754*'Rules'!$B$10+G754*'Rules'!$B$11)*H754,1)</x:f>
        <x:v>72.1</x:v>
      </x:c>
      <x:c r="J754" s="18" t="n">
        <x:f>'Queries'!C754*'Queries'!E754</x:f>
        <x:v>176</x:v>
      </x:c>
    </x:row>
    <x:row r="755" ht="32" customHeight="1">
      <x:c r="A755" s="6" t="str">
        <x:v>mclaren repair shop</x:v>
      </x:c>
      <x:c r="B755" s="16" t="n">
        <x:v>0.8</x:v>
      </x:c>
      <x:c r="C755" s="16" t="n">
        <x:v>5</x:v>
      </x:c>
      <x:c r="D755" s="16" t="n">
        <x:f>IF('Queries'!E755&lt;='Rules'!$B$17,'Rules'!$B$21,IF('Queries'!E755&lt;='Rules'!$B$18,'Rules'!$B$22,IF('Queries'!E755&lt;='Rules'!$B$19,'Rules'!$B$23,IF('Queries'!E755&lt;='Rules'!$B$20,'Rules'!$B$24,'Rules'!$B$25))))</x:f>
        <x:v>1</x:v>
      </x:c>
      <x:c r="E755" s="16" t="n">
        <x:f>MIN(LOG10(1+'Queries'!C755)/'Rules'!$B$13,1)</x:f>
        <x:v>0.41014964045942337</x:v>
      </x:c>
      <x:c r="F755" s="16" t="n">
        <x:f>IF(AND('Queries'!E755&lt;='Rules'!$B$15,'Queries'!C755&gt;='Rules'!$B$14,'Queries'!D755&lt;'Rules'!$B$16),1,0)</x:f>
        <x:v>0</x:v>
      </x:c>
      <x:c r="G755" s="16" t="n">
        <x:v>1</x:v>
      </x:c>
      <x:c r="H755" s="16" t="n">
        <x:v>1</x:v>
      </x:c>
      <x:c r="I755" s="16" t="n">
        <x:f>ROUND((B755*'Rules'!$B$6+C755/'Rules'!$B$12*'Rules'!$B$7+D755*'Rules'!$B$8+E755*'Rules'!$B$9+F755*'Rules'!$B$10+G755*'Rules'!$B$11)*H755,1)</x:f>
        <x:v>79.1</x:v>
      </x:c>
      <x:c r="J755" s="18" t="n">
        <x:f>'Queries'!C755*'Queries'!E755</x:f>
        <x:v>184.96</x:v>
      </x:c>
    </x:row>
    <x:row r="756" ht="32" customHeight="1">
      <x:c r="A756" s="6" t="str">
        <x:v>land rover suspension repair</x:v>
      </x:c>
      <x:c r="B756" s="16" t="n">
        <x:v>0.8</x:v>
      </x:c>
      <x:c r="C756" s="16" t="n">
        <x:v>5</x:v>
      </x:c>
      <x:c r="D756" s="16" t="n">
        <x:f>IF('Queries'!E756&lt;='Rules'!$B$17,'Rules'!$B$21,IF('Queries'!E756&lt;='Rules'!$B$18,'Rules'!$B$22,IF('Queries'!E756&lt;='Rules'!$B$19,'Rules'!$B$23,IF('Queries'!E756&lt;='Rules'!$B$20,'Rules'!$B$24,'Rules'!$B$25))))</x:f>
        <x:v>1</x:v>
      </x:c>
      <x:c r="E756" s="16" t="n">
        <x:f>MIN(LOG10(1+'Queries'!C756)/'Rules'!$B$13,1)</x:f>
        <x:v>0.41014964045942337</x:v>
      </x:c>
      <x:c r="F756" s="16" t="n">
        <x:f>IF(AND('Queries'!E756&lt;='Rules'!$B$15,'Queries'!C756&gt;='Rules'!$B$14,'Queries'!D756&lt;'Rules'!$B$16),1,0)</x:f>
        <x:v>0</x:v>
      </x:c>
      <x:c r="G756" s="16" t="n">
        <x:v>1</x:v>
      </x:c>
      <x:c r="H756" s="16" t="n">
        <x:v>1</x:v>
      </x:c>
      <x:c r="I756" s="16" t="n">
        <x:f>ROUND((B756*'Rules'!$B$6+C756/'Rules'!$B$12*'Rules'!$B$7+D756*'Rules'!$B$8+E756*'Rules'!$B$9+F756*'Rules'!$B$10+G756*'Rules'!$B$11)*H756,1)</x:f>
        <x:v>79.1</x:v>
      </x:c>
      <x:c r="J756" s="18" t="n">
        <x:f>'Queries'!C756*'Queries'!E756</x:f>
        <x:v>236</x:v>
      </x:c>
    </x:row>
    <x:row r="757" ht="32" customHeight="1">
      <x:c r="A757" s="6" t="str">
        <x:v>chevrolet transmission repair dubai</x:v>
      </x:c>
      <x:c r="B757" s="16" t="n">
        <x:v>1</x:v>
      </x:c>
      <x:c r="C757" s="16" t="n">
        <x:v>3</x:v>
      </x:c>
      <x:c r="D757" s="16" t="n">
        <x:f>IF('Queries'!E757&lt;='Rules'!$B$17,'Rules'!$B$21,IF('Queries'!E757&lt;='Rules'!$B$18,'Rules'!$B$22,IF('Queries'!E757&lt;='Rules'!$B$19,'Rules'!$B$23,IF('Queries'!E757&lt;='Rules'!$B$20,'Rules'!$B$24,'Rules'!$B$25))))</x:f>
        <x:v>0.7</x:v>
      </x:c>
      <x:c r="E757" s="16" t="n">
        <x:f>MIN(LOG10(1+'Queries'!C757)/'Rules'!$B$13,1)</x:f>
        <x:v>0.41014964045942337</x:v>
      </x:c>
      <x:c r="F757" s="16" t="n">
        <x:f>IF(AND('Queries'!E757&lt;='Rules'!$B$15,'Queries'!C757&gt;='Rules'!$B$14,'Queries'!D757&lt;'Rules'!$B$16),1,0)</x:f>
        <x:v>0</x:v>
      </x:c>
      <x:c r="G757" s="16" t="n">
        <x:v>0.25</x:v>
      </x:c>
      <x:c r="H757" s="16" t="n">
        <x:v>0.65</x:v>
      </x:c>
      <x:c r="I757" s="16" t="n">
        <x:f>ROUND((B757*'Rules'!$B$6+C757/'Rules'!$B$12*'Rules'!$B$7+D757*'Rules'!$B$8+E757*'Rules'!$B$9+F757*'Rules'!$B$10+G757*'Rules'!$B$11)*H757,1)</x:f>
        <x:v>39.7</x:v>
      </x:c>
      <x:c r="J757" s="18" t="n">
        <x:f>'Queries'!C757*'Queries'!E757</x:f>
        <x:v>243.04</x:v>
      </x:c>
    </x:row>
    <x:row r="758" ht="32" customHeight="1">
      <x:c r="A758" s="6" t="str">
        <x:v>exhaust repair cost</x:v>
      </x:c>
      <x:c r="B758" s="16" t="n">
        <x:v>0.8</x:v>
      </x:c>
      <x:c r="C758" s="16" t="n">
        <x:v>3</x:v>
      </x:c>
      <x:c r="D758" s="16" t="n">
        <x:f>IF('Queries'!E758&lt;='Rules'!$B$17,'Rules'!$B$21,IF('Queries'!E758&lt;='Rules'!$B$18,'Rules'!$B$22,IF('Queries'!E758&lt;='Rules'!$B$19,'Rules'!$B$23,IF('Queries'!E758&lt;='Rules'!$B$20,'Rules'!$B$24,'Rules'!$B$25))))</x:f>
        <x:v>0.7</x:v>
      </x:c>
      <x:c r="E758" s="16" t="n">
        <x:f>MIN(LOG10(1+'Queries'!C758)/'Rules'!$B$13,1)</x:f>
        <x:v>0.41014964045942337</x:v>
      </x:c>
      <x:c r="F758" s="16" t="n">
        <x:f>IF(AND('Queries'!E758&lt;='Rules'!$B$15,'Queries'!C758&gt;='Rules'!$B$14,'Queries'!D758&lt;'Rules'!$B$16),1,0)</x:f>
        <x:v>0</x:v>
      </x:c>
      <x:c r="G758" s="16" t="n">
        <x:v>1</x:v>
      </x:c>
      <x:c r="H758" s="16" t="n">
        <x:v>1</x:v>
      </x:c>
      <x:c r="I758" s="16" t="n">
        <x:f>ROUND((B758*'Rules'!$B$6+C758/'Rules'!$B$12*'Rules'!$B$7+D758*'Rules'!$B$8+E758*'Rules'!$B$9+F758*'Rules'!$B$10+G758*'Rules'!$B$11)*H758,1)</x:f>
        <x:v>63.6</x:v>
      </x:c>
      <x:c r="J758" s="18" t="n">
        <x:f>'Queries'!C758*'Queries'!E758</x:f>
        <x:v>248</x:v>
      </x:c>
    </x:row>
    <x:row r="759" ht="32" customHeight="1">
      <x:c r="A759" s="6" t="str">
        <x:v>صيانة مازدا دبي</x:v>
      </x:c>
      <x:c r="B759" s="16" t="n">
        <x:v>1</x:v>
      </x:c>
      <x:c r="C759" s="16" t="n">
        <x:v>3</x:v>
      </x:c>
      <x:c r="D759" s="16" t="n">
        <x:f>IF('Queries'!E759&lt;='Rules'!$B$17,'Rules'!$B$21,IF('Queries'!E759&lt;='Rules'!$B$18,'Rules'!$B$22,IF('Queries'!E759&lt;='Rules'!$B$19,'Rules'!$B$23,IF('Queries'!E759&lt;='Rules'!$B$20,'Rules'!$B$24,'Rules'!$B$25))))</x:f>
        <x:v>0.7</x:v>
      </x:c>
      <x:c r="E759" s="16" t="n">
        <x:f>MIN(LOG10(1+'Queries'!C759)/'Rules'!$B$13,1)</x:f>
        <x:v>0.41014964045942337</x:v>
      </x:c>
      <x:c r="F759" s="16" t="n">
        <x:f>IF(AND('Queries'!E759&lt;='Rules'!$B$15,'Queries'!C759&gt;='Rules'!$B$14,'Queries'!D759&lt;'Rules'!$B$16),1,0)</x:f>
        <x:v>0</x:v>
      </x:c>
      <x:c r="G759" s="16" t="n">
        <x:v>1</x:v>
      </x:c>
      <x:c r="H759" s="16" t="n">
        <x:v>1</x:v>
      </x:c>
      <x:c r="I759" s="16" t="n">
        <x:f>ROUND((B759*'Rules'!$B$6+C759/'Rules'!$B$12*'Rules'!$B$7+D759*'Rules'!$B$8+E759*'Rules'!$B$9+F759*'Rules'!$B$10+G759*'Rules'!$B$11)*H759,1)</x:f>
        <x:v>68.6</x:v>
      </x:c>
      <x:c r="J759" s="18" t="n">
        <x:f>'Queries'!C759*'Queries'!E759</x:f>
        <x:v>276.96</x:v>
      </x:c>
    </x:row>
    <x:row r="760" ht="32" customHeight="1">
      <x:c r="A760" s="6" t="str">
        <x:v>gmc transmission repair dubai</x:v>
      </x:c>
      <x:c r="B760" s="16" t="n">
        <x:v>1</x:v>
      </x:c>
      <x:c r="C760" s="16" t="n">
        <x:v>3</x:v>
      </x:c>
      <x:c r="D760" s="16" t="n">
        <x:f>IF('Queries'!E760&lt;='Rules'!$B$17,'Rules'!$B$21,IF('Queries'!E760&lt;='Rules'!$B$18,'Rules'!$B$22,IF('Queries'!E760&lt;='Rules'!$B$19,'Rules'!$B$23,IF('Queries'!E760&lt;='Rules'!$B$20,'Rules'!$B$24,'Rules'!$B$25))))</x:f>
        <x:v>0.7</x:v>
      </x:c>
      <x:c r="E760" s="16" t="n">
        <x:f>MIN(LOG10(1+'Queries'!C760)/'Rules'!$B$13,1)</x:f>
        <x:v>0.41014964045942337</x:v>
      </x:c>
      <x:c r="F760" s="16" t="n">
        <x:f>IF(AND('Queries'!E760&lt;='Rules'!$B$15,'Queries'!C760&gt;='Rules'!$B$14,'Queries'!D760&lt;'Rules'!$B$16),1,0)</x:f>
        <x:v>0</x:v>
      </x:c>
      <x:c r="G760" s="16" t="n">
        <x:v>0.25</x:v>
      </x:c>
      <x:c r="H760" s="16" t="n">
        <x:v>0.65</x:v>
      </x:c>
      <x:c r="I760" s="16" t="n">
        <x:f>ROUND((B760*'Rules'!$B$6+C760/'Rules'!$B$12*'Rules'!$B$7+D760*'Rules'!$B$8+E760*'Rules'!$B$9+F760*'Rules'!$B$10+G760*'Rules'!$B$11)*H760,1)</x:f>
        <x:v>39.7</x:v>
      </x:c>
      <x:c r="J760" s="18" t="n">
        <x:f>'Queries'!C760*'Queries'!E760</x:f>
        <x:v>283.04</x:v>
      </x:c>
    </x:row>
    <x:row r="761" ht="32" customHeight="1">
      <x:c r="A761" s="6" t="str">
        <x:v>toyota lubricants dubai</x:v>
      </x:c>
      <x:c r="B761" s="16" t="n">
        <x:v>1</x:v>
      </x:c>
      <x:c r="C761" s="16" t="n">
        <x:v>2</x:v>
      </x:c>
      <x:c r="D761" s="16" t="n">
        <x:f>IF('Queries'!E761&lt;='Rules'!$B$17,'Rules'!$B$21,IF('Queries'!E761&lt;='Rules'!$B$18,'Rules'!$B$22,IF('Queries'!E761&lt;='Rules'!$B$19,'Rules'!$B$23,IF('Queries'!E761&lt;='Rules'!$B$20,'Rules'!$B$24,'Rules'!$B$25))))</x:f>
        <x:v>0.7</x:v>
      </x:c>
      <x:c r="E761" s="16" t="n">
        <x:f>MIN(LOG10(1+'Queries'!C761)/'Rules'!$B$13,1)</x:f>
        <x:v>0.41014964045942337</x:v>
      </x:c>
      <x:c r="F761" s="16" t="n">
        <x:f>IF(AND('Queries'!E761&lt;='Rules'!$B$15,'Queries'!C761&gt;='Rules'!$B$14,'Queries'!D761&lt;'Rules'!$B$16),1,0)</x:f>
        <x:v>0</x:v>
      </x:c>
      <x:c r="G761" s="16" t="n">
        <x:v>1</x:v>
      </x:c>
      <x:c r="H761" s="16" t="n">
        <x:v>0.65</x:v>
      </x:c>
      <x:c r="I761" s="16" t="n">
        <x:f>ROUND((B761*'Rules'!$B$6+C761/'Rules'!$B$12*'Rules'!$B$7+D761*'Rules'!$B$8+E761*'Rules'!$B$9+F761*'Rules'!$B$10+G761*'Rules'!$B$11)*H761,1)</x:f>
        <x:v>42</x:v>
      </x:c>
      <x:c r="J761" s="18" t="n">
        <x:f>'Queries'!C761*'Queries'!E761</x:f>
        <x:v>347.04</x:v>
      </x:c>
    </x:row>
    <x:row r="762" ht="32" customHeight="1">
      <x:c r="A762" s="6" t="str">
        <x:v>oil change workshop</x:v>
      </x:c>
      <x:c r="B762" s="16" t="n">
        <x:v>0.8</x:v>
      </x:c>
      <x:c r="C762" s="16" t="n">
        <x:v>3</x:v>
      </x:c>
      <x:c r="D762" s="16" t="n">
        <x:f>IF('Queries'!E762&lt;='Rules'!$B$17,'Rules'!$B$21,IF('Queries'!E762&lt;='Rules'!$B$18,'Rules'!$B$22,IF('Queries'!E762&lt;='Rules'!$B$19,'Rules'!$B$23,IF('Queries'!E762&lt;='Rules'!$B$20,'Rules'!$B$24,'Rules'!$B$25))))</x:f>
        <x:v>0.7</x:v>
      </x:c>
      <x:c r="E762" s="16" t="n">
        <x:f>MIN(LOG10(1+'Queries'!C762)/'Rules'!$B$13,1)</x:f>
        <x:v>0.41014964045942337</x:v>
      </x:c>
      <x:c r="F762" s="16" t="n">
        <x:f>IF(AND('Queries'!E762&lt;='Rules'!$B$15,'Queries'!C762&gt;='Rules'!$B$14,'Queries'!D762&lt;'Rules'!$B$16),1,0)</x:f>
        <x:v>0</x:v>
      </x:c>
      <x:c r="G762" s="16" t="n">
        <x:v>1</x:v>
      </x:c>
      <x:c r="H762" s="16" t="n">
        <x:v>1</x:v>
      </x:c>
      <x:c r="I762" s="16" t="n">
        <x:f>ROUND((B762*'Rules'!$B$6+C762/'Rules'!$B$12*'Rules'!$B$7+D762*'Rules'!$B$8+E762*'Rules'!$B$9+F762*'Rules'!$B$10+G762*'Rules'!$B$11)*H762,1)</x:f>
        <x:v>63.6</x:v>
      </x:c>
      <x:c r="J762" s="18" t="n">
        <x:f>'Queries'!C762*'Queries'!E762</x:f>
        <x:v>363.04</x:v>
      </x:c>
    </x:row>
    <x:row r="763" ht="42" customHeight="1">
      <x:c r="A763" s="6" t="str">
        <x:v>best synthetic oil change for cars in dubai</x:v>
      </x:c>
      <x:c r="B763" s="16" t="n">
        <x:v>1</x:v>
      </x:c>
      <x:c r="C763" s="16" t="n">
        <x:v>3</x:v>
      </x:c>
      <x:c r="D763" s="16" t="n">
        <x:f>IF('Queries'!E763&lt;='Rules'!$B$17,'Rules'!$B$21,IF('Queries'!E763&lt;='Rules'!$B$18,'Rules'!$B$22,IF('Queries'!E763&lt;='Rules'!$B$19,'Rules'!$B$23,IF('Queries'!E763&lt;='Rules'!$B$20,'Rules'!$B$24,'Rules'!$B$25))))</x:f>
        <x:v>0.7</x:v>
      </x:c>
      <x:c r="E763" s="16" t="n">
        <x:f>MIN(LOG10(1+'Queries'!C763)/'Rules'!$B$13,1)</x:f>
        <x:v>0.41014964045942337</x:v>
      </x:c>
      <x:c r="F763" s="16" t="n">
        <x:f>IF(AND('Queries'!E763&lt;='Rules'!$B$15,'Queries'!C763&gt;='Rules'!$B$14,'Queries'!D763&lt;'Rules'!$B$16),1,0)</x:f>
        <x:v>0</x:v>
      </x:c>
      <x:c r="G763" s="16" t="n">
        <x:v>1</x:v>
      </x:c>
      <x:c r="H763" s="16" t="n">
        <x:v>1</x:v>
      </x:c>
      <x:c r="I763" s="16" t="n">
        <x:f>ROUND((B763*'Rules'!$B$6+C763/'Rules'!$B$12*'Rules'!$B$7+D763*'Rules'!$B$8+E763*'Rules'!$B$9+F763*'Rules'!$B$10+G763*'Rules'!$B$11)*H763,1)</x:f>
        <x:v>68.6</x:v>
      </x:c>
      <x:c r="J763" s="18" t="n">
        <x:f>'Queries'!C763*'Queries'!E763</x:f>
        <x:v>380.96</x:v>
      </x:c>
    </x:row>
    <x:row r="764" ht="32" customHeight="1">
      <x:c r="A764" s="6" t="str">
        <x:v>best mercedes garage in dubai</x:v>
      </x:c>
      <x:c r="B764" s="16" t="n">
        <x:v>1</x:v>
      </x:c>
      <x:c r="C764" s="16" t="n">
        <x:v>5</x:v>
      </x:c>
      <x:c r="D764" s="16" t="n">
        <x:f>IF('Queries'!E764&lt;='Rules'!$B$17,'Rules'!$B$21,IF('Queries'!E764&lt;='Rules'!$B$18,'Rules'!$B$22,IF('Queries'!E764&lt;='Rules'!$B$19,'Rules'!$B$23,IF('Queries'!E764&lt;='Rules'!$B$20,'Rules'!$B$24,'Rules'!$B$25))))</x:f>
        <x:v>0.7</x:v>
      </x:c>
      <x:c r="E764" s="16" t="n">
        <x:f>MIN(LOG10(1+'Queries'!C764)/'Rules'!$B$13,1)</x:f>
        <x:v>0.41014964045942337</x:v>
      </x:c>
      <x:c r="F764" s="16" t="n">
        <x:f>IF(AND('Queries'!E764&lt;='Rules'!$B$15,'Queries'!C764&gt;='Rules'!$B$14,'Queries'!D764&lt;'Rules'!$B$16),1,0)</x:f>
        <x:v>0</x:v>
      </x:c>
      <x:c r="G764" s="16" t="n">
        <x:v>1</x:v>
      </x:c>
      <x:c r="H764" s="16" t="n">
        <x:v>1</x:v>
      </x:c>
      <x:c r="I764" s="16" t="n">
        <x:f>ROUND((B764*'Rules'!$B$6+C764/'Rules'!$B$12*'Rules'!$B$7+D764*'Rules'!$B$8+E764*'Rules'!$B$9+F764*'Rules'!$B$10+G764*'Rules'!$B$11)*H764,1)</x:f>
        <x:v>76.6</x:v>
      </x:c>
      <x:c r="J764" s="18" t="n">
        <x:f>'Queries'!C764*'Queries'!E764</x:f>
        <x:v>428.96</x:v>
      </x:c>
    </x:row>
    <x:row r="765" ht="32" customHeight="1">
      <x:c r="A765" s="6" t="str">
        <x:v>car code performance</x:v>
      </x:c>
      <x:c r="B765" s="16" t="n">
        <x:v>0.8</x:v>
      </x:c>
      <x:c r="C765" s="16" t="n">
        <x:v>5</x:v>
      </x:c>
      <x:c r="D765" s="16" t="n">
        <x:f>IF('Queries'!E765&lt;='Rules'!$B$17,'Rules'!$B$21,IF('Queries'!E765&lt;='Rules'!$B$18,'Rules'!$B$22,IF('Queries'!E765&lt;='Rules'!$B$19,'Rules'!$B$23,IF('Queries'!E765&lt;='Rules'!$B$20,'Rules'!$B$24,'Rules'!$B$25))))</x:f>
        <x:v>0.7</x:v>
      </x:c>
      <x:c r="E765" s="16" t="n">
        <x:f>MIN(LOG10(1+'Queries'!C765)/'Rules'!$B$13,1)</x:f>
        <x:v>0.41014964045942337</x:v>
      </x:c>
      <x:c r="F765" s="16" t="n">
        <x:f>IF(AND('Queries'!E765&lt;='Rules'!$B$15,'Queries'!C765&gt;='Rules'!$B$14,'Queries'!D765&lt;'Rules'!$B$16),1,0)</x:f>
        <x:v>0</x:v>
      </x:c>
      <x:c r="G765" s="16" t="n">
        <x:v>1</x:v>
      </x:c>
      <x:c r="H765" s="16" t="n">
        <x:v>1</x:v>
      </x:c>
      <x:c r="I765" s="16" t="n">
        <x:f>ROUND((B765*'Rules'!$B$6+C765/'Rules'!$B$12*'Rules'!$B$7+D765*'Rules'!$B$8+E765*'Rules'!$B$9+F765*'Rules'!$B$10+G765*'Rules'!$B$11)*H765,1)</x:f>
        <x:v>71.6</x:v>
      </x:c>
      <x:c r="J765" s="18" t="n">
        <x:f>'Queries'!C765*'Queries'!E765</x:f>
        <x:v>460.96</x:v>
      </x:c>
    </x:row>
    <x:row r="766" ht="32" customHeight="1">
      <x:c r="A766" s="6" t="str">
        <x:v>nissan service center</x:v>
      </x:c>
      <x:c r="B766" s="16" t="n">
        <x:v>0.8</x:v>
      </x:c>
      <x:c r="C766" s="16" t="n">
        <x:v>3</x:v>
      </x:c>
      <x:c r="D766" s="16" t="n">
        <x:f>IF('Queries'!E766&lt;='Rules'!$B$17,'Rules'!$B$21,IF('Queries'!E766&lt;='Rules'!$B$18,'Rules'!$B$22,IF('Queries'!E766&lt;='Rules'!$B$19,'Rules'!$B$23,IF('Queries'!E766&lt;='Rules'!$B$20,'Rules'!$B$24,'Rules'!$B$25))))</x:f>
        <x:v>0.4</x:v>
      </x:c>
      <x:c r="E766" s="16" t="n">
        <x:f>MIN(LOG10(1+'Queries'!C766)/'Rules'!$B$13,1)</x:f>
        <x:v>0.41014964045942337</x:v>
      </x:c>
      <x:c r="F766" s="16" t="n">
        <x:f>IF(AND('Queries'!E766&lt;='Rules'!$B$15,'Queries'!C766&gt;='Rules'!$B$14,'Queries'!D766&lt;'Rules'!$B$16),1,0)</x:f>
        <x:v>0</x:v>
      </x:c>
      <x:c r="G766" s="16" t="n">
        <x:v>1</x:v>
      </x:c>
      <x:c r="H766" s="16" t="n">
        <x:v>1</x:v>
      </x:c>
      <x:c r="I766" s="16" t="n">
        <x:f>ROUND((B766*'Rules'!$B$6+C766/'Rules'!$B$12*'Rules'!$B$7+D766*'Rules'!$B$8+E766*'Rules'!$B$9+F766*'Rules'!$B$10+G766*'Rules'!$B$11)*H766,1)</x:f>
        <x:v>56.1</x:v>
      </x:c>
      <x:c r="J766" s="18" t="n">
        <x:f>'Queries'!C766*'Queries'!E766</x:f>
        <x:v>487.04</x:v>
      </x:c>
    </x:row>
    <x:row r="767" ht="32" customHeight="1">
      <x:c r="A767" s="6" t="str">
        <x:v>lincoln car service specialist dubai</x:v>
      </x:c>
      <x:c r="B767" s="16" t="n">
        <x:v>1</x:v>
      </x:c>
      <x:c r="C767" s="16" t="n">
        <x:v>3</x:v>
      </x:c>
      <x:c r="D767" s="16" t="n">
        <x:f>IF('Queries'!E767&lt;='Rules'!$B$17,'Rules'!$B$21,IF('Queries'!E767&lt;='Rules'!$B$18,'Rules'!$B$22,IF('Queries'!E767&lt;='Rules'!$B$19,'Rules'!$B$23,IF('Queries'!E767&lt;='Rules'!$B$20,'Rules'!$B$24,'Rules'!$B$25))))</x:f>
        <x:v>0.4</x:v>
      </x:c>
      <x:c r="E767" s="16" t="n">
        <x:f>MIN(LOG10(1+'Queries'!C767)/'Rules'!$B$13,1)</x:f>
        <x:v>0.41014964045942337</x:v>
      </x:c>
      <x:c r="F767" s="16" t="n">
        <x:f>IF(AND('Queries'!E767&lt;='Rules'!$B$15,'Queries'!C767&gt;='Rules'!$B$14,'Queries'!D767&lt;'Rules'!$B$16),1,0)</x:f>
        <x:v>0</x:v>
      </x:c>
      <x:c r="G767" s="16" t="n">
        <x:v>1</x:v>
      </x:c>
      <x:c r="H767" s="16" t="n">
        <x:v>1</x:v>
      </x:c>
      <x:c r="I767" s="16" t="n">
        <x:f>ROUND((B767*'Rules'!$B$6+C767/'Rules'!$B$12*'Rules'!$B$7+D767*'Rules'!$B$8+E767*'Rules'!$B$9+F767*'Rules'!$B$10+G767*'Rules'!$B$11)*H767,1)</x:f>
        <x:v>61.1</x:v>
      </x:c>
      <x:c r="J767" s="18" t="n">
        <x:f>'Queries'!C767*'Queries'!E767</x:f>
        <x:v>516.96</x:v>
      </x:c>
    </x:row>
    <x:row r="768" ht="32" customHeight="1">
      <x:c r="A768" s="6" t="str">
        <x:v>car exhaust dubai</x:v>
      </x:c>
      <x:c r="B768" s="16" t="n">
        <x:v>1</x:v>
      </x:c>
      <x:c r="C768" s="16" t="n">
        <x:v>3</x:v>
      </x:c>
      <x:c r="D768" s="16" t="n">
        <x:f>IF('Queries'!E768&lt;='Rules'!$B$17,'Rules'!$B$21,IF('Queries'!E768&lt;='Rules'!$B$18,'Rules'!$B$22,IF('Queries'!E768&lt;='Rules'!$B$19,'Rules'!$B$23,IF('Queries'!E768&lt;='Rules'!$B$20,'Rules'!$B$24,'Rules'!$B$25))))</x:f>
        <x:v>0.4</x:v>
      </x:c>
      <x:c r="E768" s="16" t="n">
        <x:f>MIN(LOG10(1+'Queries'!C768)/'Rules'!$B$13,1)</x:f>
        <x:v>0.41014964045942337</x:v>
      </x:c>
      <x:c r="F768" s="16" t="n">
        <x:f>IF(AND('Queries'!E768&lt;='Rules'!$B$15,'Queries'!C768&gt;='Rules'!$B$14,'Queries'!D768&lt;'Rules'!$B$16),1,0)</x:f>
        <x:v>0</x:v>
      </x:c>
      <x:c r="G768" s="16" t="n">
        <x:v>1</x:v>
      </x:c>
      <x:c r="H768" s="16" t="n">
        <x:v>1</x:v>
      </x:c>
      <x:c r="I768" s="16" t="n">
        <x:f>ROUND((B768*'Rules'!$B$6+C768/'Rules'!$B$12*'Rules'!$B$7+D768*'Rules'!$B$8+E768*'Rules'!$B$9+F768*'Rules'!$B$10+G768*'Rules'!$B$11)*H768,1)</x:f>
        <x:v>61.1</x:v>
      </x:c>
      <x:c r="J768" s="18" t="n">
        <x:f>'Queries'!C768*'Queries'!E768</x:f>
        <x:v>539.04</x:v>
      </x:c>
    </x:row>
    <x:row r="769" ht="32" customHeight="1">
      <x:c r="A769" s="6" t="str">
        <x:v>mercedes services</x:v>
      </x:c>
      <x:c r="B769" s="16" t="n">
        <x:v>0.8</x:v>
      </x:c>
      <x:c r="C769" s="16" t="n">
        <x:v>5</x:v>
      </x:c>
      <x:c r="D769" s="16" t="n">
        <x:f>IF('Queries'!E769&lt;='Rules'!$B$17,'Rules'!$B$21,IF('Queries'!E769&lt;='Rules'!$B$18,'Rules'!$B$22,IF('Queries'!E769&lt;='Rules'!$B$19,'Rules'!$B$23,IF('Queries'!E769&lt;='Rules'!$B$20,'Rules'!$B$24,'Rules'!$B$25))))</x:f>
        <x:v>0.4</x:v>
      </x:c>
      <x:c r="E769" s="16" t="n">
        <x:f>MIN(LOG10(1+'Queries'!C769)/'Rules'!$B$13,1)</x:f>
        <x:v>0.41014964045942337</x:v>
      </x:c>
      <x:c r="F769" s="16" t="n">
        <x:f>IF(AND('Queries'!E769&lt;='Rules'!$B$15,'Queries'!C769&gt;='Rules'!$B$14,'Queries'!D769&lt;'Rules'!$B$16),1,0)</x:f>
        <x:v>0</x:v>
      </x:c>
      <x:c r="G769" s="16" t="n">
        <x:v>1</x:v>
      </x:c>
      <x:c r="H769" s="16" t="n">
        <x:v>1</x:v>
      </x:c>
      <x:c r="I769" s="16" t="n">
        <x:f>ROUND((B769*'Rules'!$B$6+C769/'Rules'!$B$12*'Rules'!$B$7+D769*'Rules'!$B$8+E769*'Rules'!$B$9+F769*'Rules'!$B$10+G769*'Rules'!$B$11)*H769,1)</x:f>
        <x:v>64.1</x:v>
      </x:c>
      <x:c r="J769" s="18" t="n">
        <x:f>'Queries'!C769*'Queries'!E769</x:f>
        <x:v>551.04</x:v>
      </x:c>
    </x:row>
    <x:row r="770" ht="32" customHeight="1">
      <x:c r="A770" s="6" t="str">
        <x:v>lamborghini showroom dubai</x:v>
      </x:c>
      <x:c r="B770" s="16" t="n">
        <x:v>0</x:v>
      </x:c>
      <x:c r="C770" s="16" t="n">
        <x:v>0</x:v>
      </x:c>
      <x:c r="D770" s="16" t="n">
        <x:f>IF('Queries'!E770&lt;='Rules'!$B$17,'Rules'!$B$21,IF('Queries'!E770&lt;='Rules'!$B$18,'Rules'!$B$22,IF('Queries'!E770&lt;='Rules'!$B$19,'Rules'!$B$23,IF('Queries'!E770&lt;='Rules'!$B$20,'Rules'!$B$24,'Rules'!$B$25))))</x:f>
        <x:v>0.4</x:v>
      </x:c>
      <x:c r="E770" s="16" t="n">
        <x:f>MIN(LOG10(1+'Queries'!C770)/'Rules'!$B$13,1)</x:f>
        <x:v>0.41014964045942337</x:v>
      </x:c>
      <x:c r="F770" s="16" t="n">
        <x:f>IF(AND('Queries'!E770&lt;='Rules'!$B$15,'Queries'!C770&gt;='Rules'!$B$14,'Queries'!D770&lt;'Rules'!$B$16),1,0)</x:f>
        <x:v>0</x:v>
      </x:c>
      <x:c r="G770" s="16" t="n">
        <x:v>0</x:v>
      </x:c>
      <x:c r="H770" s="16" t="n">
        <x:v>0</x:v>
      </x:c>
      <x:c r="I770" s="16" t="n">
        <x:f>ROUND((B770*'Rules'!$B$6+C770/'Rules'!$B$12*'Rules'!$B$7+D770*'Rules'!$B$8+E770*'Rules'!$B$9+F770*'Rules'!$B$10+G770*'Rules'!$B$11)*H770,1)</x:f>
        <x:v>0</x:v>
      </x:c>
      <x:c r="J770" s="18" t="n">
        <x:f>'Queries'!C770*'Queries'!E770</x:f>
        <x:v>555.04</x:v>
      </x:c>
    </x:row>
    <x:row r="771" ht="32" customHeight="1">
      <x:c r="A771" s="6" t="str">
        <x:v>mazda service dubai</x:v>
      </x:c>
      <x:c r="B771" s="16" t="n">
        <x:v>1</x:v>
      </x:c>
      <x:c r="C771" s="16" t="n">
        <x:v>3</x:v>
      </x:c>
      <x:c r="D771" s="16" t="n">
        <x:f>IF('Queries'!E771&lt;='Rules'!$B$17,'Rules'!$B$21,IF('Queries'!E771&lt;='Rules'!$B$18,'Rules'!$B$22,IF('Queries'!E771&lt;='Rules'!$B$19,'Rules'!$B$23,IF('Queries'!E771&lt;='Rules'!$B$20,'Rules'!$B$24,'Rules'!$B$25))))</x:f>
        <x:v>0.4</x:v>
      </x:c>
      <x:c r="E771" s="16" t="n">
        <x:f>MIN(LOG10(1+'Queries'!C771)/'Rules'!$B$13,1)</x:f>
        <x:v>0.41014964045942337</x:v>
      </x:c>
      <x:c r="F771" s="16" t="n">
        <x:f>IF(AND('Queries'!E771&lt;='Rules'!$B$15,'Queries'!C771&gt;='Rules'!$B$14,'Queries'!D771&lt;'Rules'!$B$16),1,0)</x:f>
        <x:v>0</x:v>
      </x:c>
      <x:c r="G771" s="16" t="n">
        <x:v>1</x:v>
      </x:c>
      <x:c r="H771" s="16" t="n">
        <x:v>1</x:v>
      </x:c>
      <x:c r="I771" s="16" t="n">
        <x:f>ROUND((B771*'Rules'!$B$6+C771/'Rules'!$B$12*'Rules'!$B$7+D771*'Rules'!$B$8+E771*'Rules'!$B$9+F771*'Rules'!$B$10+G771*'Rules'!$B$11)*H771,1)</x:f>
        <x:v>61.1</x:v>
      </x:c>
      <x:c r="J771" s="18" t="n">
        <x:f>'Queries'!C771*'Queries'!E771</x:f>
        <x:v>566.08</x:v>
      </x:c>
    </x:row>
    <x:row r="772" ht="32" customHeight="1">
      <x:c r="A772" s="6" t="str">
        <x:v>jaguar repair in dubai</x:v>
      </x:c>
      <x:c r="B772" s="16" t="n">
        <x:v>1</x:v>
      </x:c>
      <x:c r="C772" s="16" t="n">
        <x:v>3</x:v>
      </x:c>
      <x:c r="D772" s="16" t="n">
        <x:f>IF('Queries'!E772&lt;='Rules'!$B$17,'Rules'!$B$21,IF('Queries'!E772&lt;='Rules'!$B$18,'Rules'!$B$22,IF('Queries'!E772&lt;='Rules'!$B$19,'Rules'!$B$23,IF('Queries'!E772&lt;='Rules'!$B$20,'Rules'!$B$24,'Rules'!$B$25))))</x:f>
        <x:v>0.4</x:v>
      </x:c>
      <x:c r="E772" s="16" t="n">
        <x:f>MIN(LOG10(1+'Queries'!C772)/'Rules'!$B$13,1)</x:f>
        <x:v>0.41014964045942337</x:v>
      </x:c>
      <x:c r="F772" s="16" t="n">
        <x:f>IF(AND('Queries'!E772&lt;='Rules'!$B$15,'Queries'!C772&gt;='Rules'!$B$14,'Queries'!D772&lt;'Rules'!$B$16),1,0)</x:f>
        <x:v>0</x:v>
      </x:c>
      <x:c r="G772" s="16" t="n">
        <x:v>1</x:v>
      </x:c>
      <x:c r="H772" s="16" t="n">
        <x:v>1</x:v>
      </x:c>
      <x:c r="I772" s="16" t="n">
        <x:f>ROUND((B772*'Rules'!$B$6+C772/'Rules'!$B$12*'Rules'!$B$7+D772*'Rules'!$B$8+E772*'Rules'!$B$9+F772*'Rules'!$B$10+G772*'Rules'!$B$11)*H772,1)</x:f>
        <x:v>61.1</x:v>
      </x:c>
      <x:c r="J772" s="18" t="n">
        <x:f>'Queries'!C772*'Queries'!E772</x:f>
        <x:v>580</x:v>
      </x:c>
    </x:row>
    <x:row r="773" ht="32" customHeight="1">
      <x:c r="A773" s="6" t="str">
        <x:v>performance garage dubai</x:v>
      </x:c>
      <x:c r="B773" s="16" t="n">
        <x:v>1</x:v>
      </x:c>
      <x:c r="C773" s="16" t="n">
        <x:v>5</x:v>
      </x:c>
      <x:c r="D773" s="16" t="n">
        <x:f>IF('Queries'!E773&lt;='Rules'!$B$17,'Rules'!$B$21,IF('Queries'!E773&lt;='Rules'!$B$18,'Rules'!$B$22,IF('Queries'!E773&lt;='Rules'!$B$19,'Rules'!$B$23,IF('Queries'!E773&lt;='Rules'!$B$20,'Rules'!$B$24,'Rules'!$B$25))))</x:f>
        <x:v>0.4</x:v>
      </x:c>
      <x:c r="E773" s="16" t="n">
        <x:f>MIN(LOG10(1+'Queries'!C773)/'Rules'!$B$13,1)</x:f>
        <x:v>0.41014964045942337</x:v>
      </x:c>
      <x:c r="F773" s="16" t="n">
        <x:f>IF(AND('Queries'!E773&lt;='Rules'!$B$15,'Queries'!C773&gt;='Rules'!$B$14,'Queries'!D773&lt;'Rules'!$B$16),1,0)</x:f>
        <x:v>0</x:v>
      </x:c>
      <x:c r="G773" s="16" t="n">
        <x:v>1</x:v>
      </x:c>
      <x:c r="H773" s="16" t="n">
        <x:v>1</x:v>
      </x:c>
      <x:c r="I773" s="16" t="n">
        <x:f>ROUND((B773*'Rules'!$B$6+C773/'Rules'!$B$12*'Rules'!$B$7+D773*'Rules'!$B$8+E773*'Rules'!$B$9+F773*'Rules'!$B$10+G773*'Rules'!$B$11)*H773,1)</x:f>
        <x:v>69.1</x:v>
      </x:c>
      <x:c r="J773" s="18" t="n">
        <x:f>'Queries'!C773*'Queries'!E773</x:f>
        <x:v>584</x:v>
      </x:c>
    </x:row>
    <x:row r="774" ht="32" customHeight="1">
      <x:c r="A774" s="6" t="str">
        <x:v>تصليح جيب في الامارات</x:v>
      </x:c>
      <x:c r="B774" s="16" t="n">
        <x:v>0.8</x:v>
      </x:c>
      <x:c r="C774" s="16" t="n">
        <x:v>3</x:v>
      </x:c>
      <x:c r="D774" s="16" t="n">
        <x:f>IF('Queries'!E774&lt;='Rules'!$B$17,'Rules'!$B$21,IF('Queries'!E774&lt;='Rules'!$B$18,'Rules'!$B$22,IF('Queries'!E774&lt;='Rules'!$B$19,'Rules'!$B$23,IF('Queries'!E774&lt;='Rules'!$B$20,'Rules'!$B$24,'Rules'!$B$25))))</x:f>
        <x:v>0.4</x:v>
      </x:c>
      <x:c r="E774" s="16" t="n">
        <x:f>MIN(LOG10(1+'Queries'!C774)/'Rules'!$B$13,1)</x:f>
        <x:v>0.41014964045942337</x:v>
      </x:c>
      <x:c r="F774" s="16" t="n">
        <x:f>IF(AND('Queries'!E774&lt;='Rules'!$B$15,'Queries'!C774&gt;='Rules'!$B$14,'Queries'!D774&lt;'Rules'!$B$16),1,0)</x:f>
        <x:v>0</x:v>
      </x:c>
      <x:c r="G774" s="16" t="n">
        <x:v>1</x:v>
      </x:c>
      <x:c r="H774" s="16" t="n">
        <x:v>1</x:v>
      </x:c>
      <x:c r="I774" s="16" t="n">
        <x:f>ROUND((B774*'Rules'!$B$6+C774/'Rules'!$B$12*'Rules'!$B$7+D774*'Rules'!$B$8+E774*'Rules'!$B$9+F774*'Rules'!$B$10+G774*'Rules'!$B$11)*H774,1)</x:f>
        <x:v>56.1</x:v>
      </x:c>
      <x:c r="J774" s="18" t="n">
        <x:f>'Queries'!C774*'Queries'!E774</x:f>
        <x:v>600</x:v>
      </x:c>
    </x:row>
    <x:row r="775" ht="32" customHeight="1">
      <x:c r="A775" s="6" t="str">
        <x:v>volvo garage dubai</x:v>
      </x:c>
      <x:c r="B775" s="16" t="n">
        <x:v>1</x:v>
      </x:c>
      <x:c r="C775" s="16" t="n">
        <x:v>3</x:v>
      </x:c>
      <x:c r="D775" s="16" t="n">
        <x:f>IF('Queries'!E775&lt;='Rules'!$B$17,'Rules'!$B$21,IF('Queries'!E775&lt;='Rules'!$B$18,'Rules'!$B$22,IF('Queries'!E775&lt;='Rules'!$B$19,'Rules'!$B$23,IF('Queries'!E775&lt;='Rules'!$B$20,'Rules'!$B$24,'Rules'!$B$25))))</x:f>
        <x:v>0.15</x:v>
      </x:c>
      <x:c r="E775" s="16" t="n">
        <x:f>MIN(LOG10(1+'Queries'!C775)/'Rules'!$B$13,1)</x:f>
        <x:v>0.41014964045942337</x:v>
      </x:c>
      <x:c r="F775" s="16" t="n">
        <x:f>IF(AND('Queries'!E775&lt;='Rules'!$B$15,'Queries'!C775&gt;='Rules'!$B$14,'Queries'!D775&lt;'Rules'!$B$16),1,0)</x:f>
        <x:v>0</x:v>
      </x:c>
      <x:c r="G775" s="16" t="n">
        <x:v>1</x:v>
      </x:c>
      <x:c r="H775" s="16" t="n">
        <x:v>1</x:v>
      </x:c>
      <x:c r="I775" s="16" t="n">
        <x:f>ROUND((B775*'Rules'!$B$6+C775/'Rules'!$B$12*'Rules'!$B$7+D775*'Rules'!$B$8+E775*'Rules'!$B$9+F775*'Rules'!$B$10+G775*'Rules'!$B$11)*H775,1)</x:f>
        <x:v>54.9</x:v>
      </x:c>
      <x:c r="J775" s="18" t="n">
        <x:f>'Queries'!C775*'Queries'!E775</x:f>
        <x:v>651.04</x:v>
      </x:c>
    </x:row>
    <x:row r="776" ht="32" customHeight="1">
      <x:c r="A776" s="6" t="str">
        <x:v>exhaust shop</x:v>
      </x:c>
      <x:c r="B776" s="16" t="n">
        <x:v>0.8</x:v>
      </x:c>
      <x:c r="C776" s="16" t="n">
        <x:v>3</x:v>
      </x:c>
      <x:c r="D776" s="16" t="n">
        <x:f>IF('Queries'!E776&lt;='Rules'!$B$17,'Rules'!$B$21,IF('Queries'!E776&lt;='Rules'!$B$18,'Rules'!$B$22,IF('Queries'!E776&lt;='Rules'!$B$19,'Rules'!$B$23,IF('Queries'!E776&lt;='Rules'!$B$20,'Rules'!$B$24,'Rules'!$B$25))))</x:f>
        <x:v>0.15</x:v>
      </x:c>
      <x:c r="E776" s="16" t="n">
        <x:f>MIN(LOG10(1+'Queries'!C776)/'Rules'!$B$13,1)</x:f>
        <x:v>0.41014964045942337</x:v>
      </x:c>
      <x:c r="F776" s="16" t="n">
        <x:f>IF(AND('Queries'!E776&lt;='Rules'!$B$15,'Queries'!C776&gt;='Rules'!$B$14,'Queries'!D776&lt;'Rules'!$B$16),1,0)</x:f>
        <x:v>0</x:v>
      </x:c>
      <x:c r="G776" s="16" t="n">
        <x:v>1</x:v>
      </x:c>
      <x:c r="H776" s="16" t="n">
        <x:v>1</x:v>
      </x:c>
      <x:c r="I776" s="16" t="n">
        <x:f>ROUND((B776*'Rules'!$B$6+C776/'Rules'!$B$12*'Rules'!$B$7+D776*'Rules'!$B$8+E776*'Rules'!$B$9+F776*'Rules'!$B$10+G776*'Rules'!$B$11)*H776,1)</x:f>
        <x:v>49.9</x:v>
      </x:c>
      <x:c r="J776" s="18" t="n">
        <x:f>'Queries'!C776*'Queries'!E776</x:f>
        <x:v>668</x:v>
      </x:c>
    </x:row>
    <x:row r="777" ht="32" customHeight="1">
      <x:c r="A777" s="6" t="str">
        <x:v>volvo car repair in dubai</x:v>
      </x:c>
      <x:c r="B777" s="16" t="n">
        <x:v>1</x:v>
      </x:c>
      <x:c r="C777" s="16" t="n">
        <x:v>3</x:v>
      </x:c>
      <x:c r="D777" s="16" t="n">
        <x:f>IF('Queries'!E777&lt;='Rules'!$B$17,'Rules'!$B$21,IF('Queries'!E777&lt;='Rules'!$B$18,'Rules'!$B$22,IF('Queries'!E777&lt;='Rules'!$B$19,'Rules'!$B$23,IF('Queries'!E777&lt;='Rules'!$B$20,'Rules'!$B$24,'Rules'!$B$25))))</x:f>
        <x:v>0.15</x:v>
      </x:c>
      <x:c r="E777" s="16" t="n">
        <x:f>MIN(LOG10(1+'Queries'!C777)/'Rules'!$B$13,1)</x:f>
        <x:v>0.41014964045942337</x:v>
      </x:c>
      <x:c r="F777" s="16" t="n">
        <x:f>IF(AND('Queries'!E777&lt;='Rules'!$B$15,'Queries'!C777&gt;='Rules'!$B$14,'Queries'!D777&lt;'Rules'!$B$16),1,0)</x:f>
        <x:v>0</x:v>
      </x:c>
      <x:c r="G777" s="16" t="n">
        <x:v>1</x:v>
      </x:c>
      <x:c r="H777" s="16" t="n">
        <x:v>1</x:v>
      </x:c>
      <x:c r="I777" s="16" t="n">
        <x:f>ROUND((B777*'Rules'!$B$6+C777/'Rules'!$B$12*'Rules'!$B$7+D777*'Rules'!$B$8+E777*'Rules'!$B$9+F777*'Rules'!$B$10+G777*'Rules'!$B$11)*H777,1)</x:f>
        <x:v>54.9</x:v>
      </x:c>
      <x:c r="J777" s="18" t="n">
        <x:f>'Queries'!C777*'Queries'!E777</x:f>
        <x:v>708.96</x:v>
      </x:c>
    </x:row>
    <x:row r="778" ht="32" customHeight="1">
      <x:c r="A778" s="6" t="str">
        <x:v>chrysler garage near me</x:v>
      </x:c>
      <x:c r="B778" s="16" t="n">
        <x:v>1</x:v>
      </x:c>
      <x:c r="C778" s="16" t="n">
        <x:v>3</x:v>
      </x:c>
      <x:c r="D778" s="16" t="n">
        <x:f>IF('Queries'!E778&lt;='Rules'!$B$17,'Rules'!$B$21,IF('Queries'!E778&lt;='Rules'!$B$18,'Rules'!$B$22,IF('Queries'!E778&lt;='Rules'!$B$19,'Rules'!$B$23,IF('Queries'!E778&lt;='Rules'!$B$20,'Rules'!$B$24,'Rules'!$B$25))))</x:f>
        <x:v>0.15</x:v>
      </x:c>
      <x:c r="E778" s="16" t="n">
        <x:f>MIN(LOG10(1+'Queries'!C778)/'Rules'!$B$13,1)</x:f>
        <x:v>0.41014964045942337</x:v>
      </x:c>
      <x:c r="F778" s="16" t="n">
        <x:f>IF(AND('Queries'!E778&lt;='Rules'!$B$15,'Queries'!C778&gt;='Rules'!$B$14,'Queries'!D778&lt;'Rules'!$B$16),1,0)</x:f>
        <x:v>0</x:v>
      </x:c>
      <x:c r="G778" s="16" t="n">
        <x:v>1</x:v>
      </x:c>
      <x:c r="H778" s="16" t="n">
        <x:v>1</x:v>
      </x:c>
      <x:c r="I778" s="16" t="n">
        <x:f>ROUND((B778*'Rules'!$B$6+C778/'Rules'!$B$12*'Rules'!$B$7+D778*'Rules'!$B$8+E778*'Rules'!$B$9+F778*'Rules'!$B$10+G778*'Rules'!$B$11)*H778,1)</x:f>
        <x:v>54.9</x:v>
      </x:c>
      <x:c r="J778" s="18" t="n">
        <x:f>'Queries'!C778*'Queries'!E778</x:f>
        <x:v>750.08</x:v>
      </x:c>
    </x:row>
    <x:row r="779" ht="32" customHeight="1">
      <x:c r="A779" s="6" t="str">
        <x:v>porsche gearbox repair</x:v>
      </x:c>
      <x:c r="B779" s="16" t="n">
        <x:v>0.8</x:v>
      </x:c>
      <x:c r="C779" s="16" t="n">
        <x:v>5</x:v>
      </x:c>
      <x:c r="D779" s="16" t="n">
        <x:f>IF('Queries'!E779&lt;='Rules'!$B$17,'Rules'!$B$21,IF('Queries'!E779&lt;='Rules'!$B$18,'Rules'!$B$22,IF('Queries'!E779&lt;='Rules'!$B$19,'Rules'!$B$23,IF('Queries'!E779&lt;='Rules'!$B$20,'Rules'!$B$24,'Rules'!$B$25))))</x:f>
        <x:v>0.15</x:v>
      </x:c>
      <x:c r="E779" s="16" t="n">
        <x:f>MIN(LOG10(1+'Queries'!C779)/'Rules'!$B$13,1)</x:f>
        <x:v>0.41014964045942337</x:v>
      </x:c>
      <x:c r="F779" s="16" t="n">
        <x:f>IF(AND('Queries'!E779&lt;='Rules'!$B$15,'Queries'!C779&gt;='Rules'!$B$14,'Queries'!D779&lt;'Rules'!$B$16),1,0)</x:f>
        <x:v>0</x:v>
      </x:c>
      <x:c r="G779" s="16" t="n">
        <x:v>1</x:v>
      </x:c>
      <x:c r="H779" s="16" t="n">
        <x:v>1</x:v>
      </x:c>
      <x:c r="I779" s="16" t="n">
        <x:f>ROUND((B779*'Rules'!$B$6+C779/'Rules'!$B$12*'Rules'!$B$7+D779*'Rules'!$B$8+E779*'Rules'!$B$9+F779*'Rules'!$B$10+G779*'Rules'!$B$11)*H779,1)</x:f>
        <x:v>57.9</x:v>
      </x:c>
      <x:c r="J779" s="18" t="n">
        <x:f>'Queries'!C779*'Queries'!E779</x:f>
        <x:v>753.92</x:v>
      </x:c>
    </x:row>
    <x:row r="780" ht="32" customHeight="1">
      <x:c r="A780" s="6" t="str">
        <x:v>mazda car service</x:v>
      </x:c>
      <x:c r="B780" s="16" t="n">
        <x:v>0.8</x:v>
      </x:c>
      <x:c r="C780" s="16" t="n">
        <x:v>3</x:v>
      </x:c>
      <x:c r="D780" s="16" t="n">
        <x:f>IF('Queries'!E780&lt;='Rules'!$B$17,'Rules'!$B$21,IF('Queries'!E780&lt;='Rules'!$B$18,'Rules'!$B$22,IF('Queries'!E780&lt;='Rules'!$B$19,'Rules'!$B$23,IF('Queries'!E780&lt;='Rules'!$B$20,'Rules'!$B$24,'Rules'!$B$25))))</x:f>
        <x:v>0.15</x:v>
      </x:c>
      <x:c r="E780" s="16" t="n">
        <x:f>MIN(LOG10(1+'Queries'!C780)/'Rules'!$B$13,1)</x:f>
        <x:v>0.41014964045942337</x:v>
      </x:c>
      <x:c r="F780" s="16" t="n">
        <x:f>IF(AND('Queries'!E780&lt;='Rules'!$B$15,'Queries'!C780&gt;='Rules'!$B$14,'Queries'!D780&lt;'Rules'!$B$16),1,0)</x:f>
        <x:v>0</x:v>
      </x:c>
      <x:c r="G780" s="16" t="n">
        <x:v>1</x:v>
      </x:c>
      <x:c r="H780" s="16" t="n">
        <x:v>1</x:v>
      </x:c>
      <x:c r="I780" s="16" t="n">
        <x:f>ROUND((B780*'Rules'!$B$6+C780/'Rules'!$B$12*'Rules'!$B$7+D780*'Rules'!$B$8+E780*'Rules'!$B$9+F780*'Rules'!$B$10+G780*'Rules'!$B$11)*H780,1)</x:f>
        <x:v>49.9</x:v>
      </x:c>
      <x:c r="J780" s="18" t="n">
        <x:f>'Queries'!C780*'Queries'!E780</x:f>
        <x:v>785.92</x:v>
      </x:c>
    </x:row>
    <x:row r="781" ht="32" customHeight="1">
      <x:c r="A781" s="6" t="str">
        <x:v>cadillac garage dubai</x:v>
      </x:c>
      <x:c r="B781" s="16" t="n">
        <x:v>1</x:v>
      </x:c>
      <x:c r="C781" s="16" t="n">
        <x:v>3</x:v>
      </x:c>
      <x:c r="D781" s="16" t="n">
        <x:f>IF('Queries'!E781&lt;='Rules'!$B$17,'Rules'!$B$21,IF('Queries'!E781&lt;='Rules'!$B$18,'Rules'!$B$22,IF('Queries'!E781&lt;='Rules'!$B$19,'Rules'!$B$23,IF('Queries'!E781&lt;='Rules'!$B$20,'Rules'!$B$24,'Rules'!$B$25))))</x:f>
        <x:v>0.15</x:v>
      </x:c>
      <x:c r="E781" s="16" t="n">
        <x:f>MIN(LOG10(1+'Queries'!C781)/'Rules'!$B$13,1)</x:f>
        <x:v>0.41014964045942337</x:v>
      </x:c>
      <x:c r="F781" s="16" t="n">
        <x:f>IF(AND('Queries'!E781&lt;='Rules'!$B$15,'Queries'!C781&gt;='Rules'!$B$14,'Queries'!D781&lt;'Rules'!$B$16),1,0)</x:f>
        <x:v>0</x:v>
      </x:c>
      <x:c r="G781" s="16" t="n">
        <x:v>1</x:v>
      </x:c>
      <x:c r="H781" s="16" t="n">
        <x:v>1</x:v>
      </x:c>
      <x:c r="I781" s="16" t="n">
        <x:f>ROUND((B781*'Rules'!$B$6+C781/'Rules'!$B$12*'Rules'!$B$7+D781*'Rules'!$B$8+E781*'Rules'!$B$9+F781*'Rules'!$B$10+G781*'Rules'!$B$11)*H781,1)</x:f>
        <x:v>54.9</x:v>
      </x:c>
      <x:c r="J781" s="18" t="n">
        <x:f>'Queries'!C781*'Queries'!E781</x:f>
        <x:v>836.96</x:v>
      </x:c>
    </x:row>
    <x:row r="782" ht="42" customHeight="1">
      <x:c r="A782" s="6" t="str">
        <x:v>cheap car lubrication and oil change services uae</x:v>
      </x:c>
      <x:c r="B782" s="16" t="n">
        <x:v>0.8</x:v>
      </x:c>
      <x:c r="C782" s="16" t="n">
        <x:v>2</x:v>
      </x:c>
      <x:c r="D782" s="16" t="n">
        <x:f>IF('Queries'!E782&lt;='Rules'!$B$17,'Rules'!$B$21,IF('Queries'!E782&lt;='Rules'!$B$18,'Rules'!$B$22,IF('Queries'!E782&lt;='Rules'!$B$19,'Rules'!$B$23,IF('Queries'!E782&lt;='Rules'!$B$20,'Rules'!$B$24,'Rules'!$B$25))))</x:f>
        <x:v>0.15</x:v>
      </x:c>
      <x:c r="E782" s="16" t="n">
        <x:f>MIN(LOG10(1+'Queries'!C782)/'Rules'!$B$13,1)</x:f>
        <x:v>0.41014964045942337</x:v>
      </x:c>
      <x:c r="F782" s="16" t="n">
        <x:f>IF(AND('Queries'!E782&lt;='Rules'!$B$15,'Queries'!C782&gt;='Rules'!$B$14,'Queries'!D782&lt;'Rules'!$B$16),1,0)</x:f>
        <x:v>0</x:v>
      </x:c>
      <x:c r="G782" s="16" t="n">
        <x:v>1</x:v>
      </x:c>
      <x:c r="H782" s="16" t="n">
        <x:v>0.65</x:v>
      </x:c>
      <x:c r="I782" s="16" t="n">
        <x:f>ROUND((B782*'Rules'!$B$6+C782/'Rules'!$B$12*'Rules'!$B$7+D782*'Rules'!$B$8+E782*'Rules'!$B$9+F782*'Rules'!$B$10+G782*'Rules'!$B$11)*H782,1)</x:f>
        <x:v>29.8</x:v>
      </x:c>
      <x:c r="J782" s="18" t="n">
        <x:f>'Queries'!C782*'Queries'!E782</x:f>
        <x:v>838.08</x:v>
      </x:c>
    </x:row>
    <x:row r="783" ht="32" customHeight="1">
      <x:c r="A783" s="6" t="str">
        <x:v>battery replace uae</x:v>
      </x:c>
      <x:c r="B783" s="16" t="n">
        <x:v>0.8</x:v>
      </x:c>
      <x:c r="C783" s="16" t="n">
        <x:v>3</x:v>
      </x:c>
      <x:c r="D783" s="16" t="n">
        <x:f>IF('Queries'!E783&lt;='Rules'!$B$17,'Rules'!$B$21,IF('Queries'!E783&lt;='Rules'!$B$18,'Rules'!$B$22,IF('Queries'!E783&lt;='Rules'!$B$19,'Rules'!$B$23,IF('Queries'!E783&lt;='Rules'!$B$20,'Rules'!$B$24,'Rules'!$B$25))))</x:f>
        <x:v>0.15</x:v>
      </x:c>
      <x:c r="E783" s="16" t="n">
        <x:f>MIN(LOG10(1+'Queries'!C783)/'Rules'!$B$13,1)</x:f>
        <x:v>0.41014964045942337</x:v>
      </x:c>
      <x:c r="F783" s="16" t="n">
        <x:f>IF(AND('Queries'!E783&lt;='Rules'!$B$15,'Queries'!C783&gt;='Rules'!$B$14,'Queries'!D783&lt;'Rules'!$B$16),1,0)</x:f>
        <x:v>0</x:v>
      </x:c>
      <x:c r="G783" s="16" t="n">
        <x:v>1</x:v>
      </x:c>
      <x:c r="H783" s="16" t="n">
        <x:v>1</x:v>
      </x:c>
      <x:c r="I783" s="16" t="n">
        <x:f>ROUND((B783*'Rules'!$B$6+C783/'Rules'!$B$12*'Rules'!$B$7+D783*'Rules'!$B$8+E783*'Rules'!$B$9+F783*'Rules'!$B$10+G783*'Rules'!$B$11)*H783,1)</x:f>
        <x:v>49.9</x:v>
      </x:c>
      <x:c r="J783" s="18" t="n">
        <x:f>'Queries'!C783*'Queries'!E783</x:f>
        <x:v>844.96</x:v>
      </x:c>
    </x:row>
    <x:row r="784" ht="32" customHeight="1">
      <x:c r="A784" s="6" t="str">
        <x:v>car battery delivery</x:v>
      </x:c>
      <x:c r="B784" s="16" t="n">
        <x:v>1</x:v>
      </x:c>
      <x:c r="C784" s="16" t="n">
        <x:v>1</x:v>
      </x:c>
      <x:c r="D784" s="16" t="n">
        <x:f>IF('Queries'!E784&lt;='Rules'!$B$17,'Rules'!$B$21,IF('Queries'!E784&lt;='Rules'!$B$18,'Rules'!$B$22,IF('Queries'!E784&lt;='Rules'!$B$19,'Rules'!$B$23,IF('Queries'!E784&lt;='Rules'!$B$20,'Rules'!$B$24,'Rules'!$B$25))))</x:f>
        <x:v>0.15</x:v>
      </x:c>
      <x:c r="E784" s="16" t="n">
        <x:f>MIN(LOG10(1+'Queries'!C784)/'Rules'!$B$13,1)</x:f>
        <x:v>0.41014964045942337</x:v>
      </x:c>
      <x:c r="F784" s="16" t="n">
        <x:f>IF(AND('Queries'!E784&lt;='Rules'!$B$15,'Queries'!C784&gt;='Rules'!$B$14,'Queries'!D784&lt;'Rules'!$B$16),1,0)</x:f>
        <x:v>0</x:v>
      </x:c>
      <x:c r="G784" s="16" t="n">
        <x:v>1</x:v>
      </x:c>
      <x:c r="H784" s="16" t="n">
        <x:v>0.1</x:v>
      </x:c>
      <x:c r="I784" s="16" t="n">
        <x:f>ROUND((B784*'Rules'!$B$6+C784/'Rules'!$B$12*'Rules'!$B$7+D784*'Rules'!$B$8+E784*'Rules'!$B$9+F784*'Rules'!$B$10+G784*'Rules'!$B$11)*H784,1)</x:f>
        <x:v>4.7</x:v>
      </x:c>
      <x:c r="J784" s="18" t="n">
        <x:f>'Queries'!C784*'Queries'!E784</x:f>
        <x:v>908</x:v>
      </x:c>
    </x:row>
    <x:row r="785" ht="32" customHeight="1">
      <x:c r="A785" s="6" t="str">
        <x:v>bentley repair in dubai</x:v>
      </x:c>
      <x:c r="B785" s="16" t="n">
        <x:v>1</x:v>
      </x:c>
      <x:c r="C785" s="16" t="n">
        <x:v>5</x:v>
      </x:c>
      <x:c r="D785" s="16" t="n">
        <x:f>IF('Queries'!E785&lt;='Rules'!$B$17,'Rules'!$B$21,IF('Queries'!E785&lt;='Rules'!$B$18,'Rules'!$B$22,IF('Queries'!E785&lt;='Rules'!$B$19,'Rules'!$B$23,IF('Queries'!E785&lt;='Rules'!$B$20,'Rules'!$B$24,'Rules'!$B$25))))</x:f>
        <x:v>0.15</x:v>
      </x:c>
      <x:c r="E785" s="16" t="n">
        <x:f>MIN(LOG10(1+'Queries'!C785)/'Rules'!$B$13,1)</x:f>
        <x:v>0.41014964045942337</x:v>
      </x:c>
      <x:c r="F785" s="16" t="n">
        <x:f>IF(AND('Queries'!E785&lt;='Rules'!$B$15,'Queries'!C785&gt;='Rules'!$B$14,'Queries'!D785&lt;'Rules'!$B$16),1,0)</x:f>
        <x:v>0</x:v>
      </x:c>
      <x:c r="G785" s="16" t="n">
        <x:v>1</x:v>
      </x:c>
      <x:c r="H785" s="16" t="n">
        <x:v>1</x:v>
      </x:c>
      <x:c r="I785" s="16" t="n">
        <x:f>ROUND((B785*'Rules'!$B$6+C785/'Rules'!$B$12*'Rules'!$B$7+D785*'Rules'!$B$8+E785*'Rules'!$B$9+F785*'Rules'!$B$10+G785*'Rules'!$B$11)*H785,1)</x:f>
        <x:v>62.9</x:v>
      </x:c>
      <x:c r="J785" s="18" t="n">
        <x:f>'Queries'!C785*'Queries'!E785</x:f>
        <x:v>923.04</x:v>
      </x:c>
    </x:row>
    <x:row r="786" ht="32" customHeight="1">
      <x:c r="A786" s="6" t="str">
        <x:v>garage in dubai</x:v>
      </x:c>
      <x:c r="B786" s="16" t="n">
        <x:v>1</x:v>
      </x:c>
      <x:c r="C786" s="16" t="n">
        <x:v>3</x:v>
      </x:c>
      <x:c r="D786" s="16" t="n">
        <x:f>IF('Queries'!E786&lt;='Rules'!$B$17,'Rules'!$B$21,IF('Queries'!E786&lt;='Rules'!$B$18,'Rules'!$B$22,IF('Queries'!E786&lt;='Rules'!$B$19,'Rules'!$B$23,IF('Queries'!E786&lt;='Rules'!$B$20,'Rules'!$B$24,'Rules'!$B$25))))</x:f>
        <x:v>0.15</x:v>
      </x:c>
      <x:c r="E786" s="16" t="n">
        <x:f>MIN(LOG10(1+'Queries'!C786)/'Rules'!$B$13,1)</x:f>
        <x:v>0.41014964045942337</x:v>
      </x:c>
      <x:c r="F786" s="16" t="n">
        <x:f>IF(AND('Queries'!E786&lt;='Rules'!$B$15,'Queries'!C786&gt;='Rules'!$B$14,'Queries'!D786&lt;'Rules'!$B$16),1,0)</x:f>
        <x:v>0</x:v>
      </x:c>
      <x:c r="G786" s="16" t="n">
        <x:v>1</x:v>
      </x:c>
      <x:c r="H786" s="16" t="n">
        <x:v>1</x:v>
      </x:c>
      <x:c r="I786" s="16" t="n">
        <x:f>ROUND((B786*'Rules'!$B$6+C786/'Rules'!$B$12*'Rules'!$B$7+D786*'Rules'!$B$8+E786*'Rules'!$B$9+F786*'Rules'!$B$10+G786*'Rules'!$B$11)*H786,1)</x:f>
        <x:v>54.9</x:v>
      </x:c>
      <x:c r="J786" s="18" t="n">
        <x:f>'Queries'!C786*'Queries'!E786</x:f>
        <x:v>1143.04</x:v>
      </x:c>
    </x:row>
    <x:row r="787" ht="32" customHeight="1">
      <x:c r="A787" s="6" t="str">
        <x:v>range rover repair in dubai</x:v>
      </x:c>
      <x:c r="B787" s="16" t="n">
        <x:v>1</x:v>
      </x:c>
      <x:c r="C787" s="16" t="n">
        <x:v>5</x:v>
      </x:c>
      <x:c r="D787" s="16" t="n">
        <x:f>IF('Queries'!E787&lt;='Rules'!$B$17,'Rules'!$B$21,IF('Queries'!E787&lt;='Rules'!$B$18,'Rules'!$B$22,IF('Queries'!E787&lt;='Rules'!$B$19,'Rules'!$B$23,IF('Queries'!E787&lt;='Rules'!$B$20,'Rules'!$B$24,'Rules'!$B$25))))</x:f>
        <x:v>0.15</x:v>
      </x:c>
      <x:c r="E787" s="16" t="n">
        <x:f>MIN(LOG10(1+'Queries'!C787)/'Rules'!$B$13,1)</x:f>
        <x:v>0.41014964045942337</x:v>
      </x:c>
      <x:c r="F787" s="16" t="n">
        <x:f>IF(AND('Queries'!E787&lt;='Rules'!$B$15,'Queries'!C787&gt;='Rules'!$B$14,'Queries'!D787&lt;'Rules'!$B$16),1,0)</x:f>
        <x:v>0</x:v>
      </x:c>
      <x:c r="G787" s="16" t="n">
        <x:v>1</x:v>
      </x:c>
      <x:c r="H787" s="16" t="n">
        <x:v>1</x:v>
      </x:c>
      <x:c r="I787" s="16" t="n">
        <x:f>ROUND((B787*'Rules'!$B$6+C787/'Rules'!$B$12*'Rules'!$B$7+D787*'Rules'!$B$8+E787*'Rules'!$B$9+F787*'Rules'!$B$10+G787*'Rules'!$B$11)*H787,1)</x:f>
        <x:v>62.9</x:v>
      </x:c>
      <x:c r="J787" s="18" t="n">
        <x:f>'Queries'!C787*'Queries'!E787</x:f>
        <x:v>1175.04</x:v>
      </x:c>
    </x:row>
    <x:row r="788" ht="32" customHeight="1">
      <x:c r="A788" s="6" t="str">
        <x:v>tyre replacement dubai</x:v>
      </x:c>
      <x:c r="B788" s="16" t="n">
        <x:v>1</x:v>
      </x:c>
      <x:c r="C788" s="16" t="n">
        <x:v>2</x:v>
      </x:c>
      <x:c r="D788" s="16" t="n">
        <x:f>IF('Queries'!E788&lt;='Rules'!$B$17,'Rules'!$B$21,IF('Queries'!E788&lt;='Rules'!$B$18,'Rules'!$B$22,IF('Queries'!E788&lt;='Rules'!$B$19,'Rules'!$B$23,IF('Queries'!E788&lt;='Rules'!$B$20,'Rules'!$B$24,'Rules'!$B$25))))</x:f>
        <x:v>0.15</x:v>
      </x:c>
      <x:c r="E788" s="16" t="n">
        <x:f>MIN(LOG10(1+'Queries'!C788)/'Rules'!$B$13,1)</x:f>
        <x:v>0.41014964045942337</x:v>
      </x:c>
      <x:c r="F788" s="16" t="n">
        <x:f>IF(AND('Queries'!E788&lt;='Rules'!$B$15,'Queries'!C788&gt;='Rules'!$B$14,'Queries'!D788&lt;'Rules'!$B$16),1,0)</x:f>
        <x:v>0</x:v>
      </x:c>
      <x:c r="G788" s="16" t="n">
        <x:v>1</x:v>
      </x:c>
      <x:c r="H788" s="16" t="n">
        <x:v>1</x:v>
      </x:c>
      <x:c r="I788" s="16" t="n">
        <x:f>ROUND((B788*'Rules'!$B$6+C788/'Rules'!$B$12*'Rules'!$B$7+D788*'Rules'!$B$8+E788*'Rules'!$B$9+F788*'Rules'!$B$10+G788*'Rules'!$B$11)*H788,1)</x:f>
        <x:v>50.9</x:v>
      </x:c>
      <x:c r="J788" s="18" t="n">
        <x:f>'Queries'!C788*'Queries'!E788</x:f>
        <x:v>1176</x:v>
      </x:c>
    </x:row>
    <x:row r="789" ht="32" customHeight="1">
      <x:c r="A789" s="6" t="str">
        <x:v>digitec tuning</x:v>
      </x:c>
      <x:c r="B789" s="16" t="n">
        <x:v>0.8</x:v>
      </x:c>
      <x:c r="C789" s="16" t="n">
        <x:v>5</x:v>
      </x:c>
      <x:c r="D789" s="16" t="n">
        <x:f>IF('Queries'!E789&lt;='Rules'!$B$17,'Rules'!$B$21,IF('Queries'!E789&lt;='Rules'!$B$18,'Rules'!$B$22,IF('Queries'!E789&lt;='Rules'!$B$19,'Rules'!$B$23,IF('Queries'!E789&lt;='Rules'!$B$20,'Rules'!$B$24,'Rules'!$B$25))))</x:f>
        <x:v>1</x:v>
      </x:c>
      <x:c r="E789" s="16" t="n">
        <x:f>MIN(LOG10(1+'Queries'!C789)/'Rules'!$B$13,1)</x:f>
        <x:v>0.4013733275519733</x:v>
      </x:c>
      <x:c r="F789" s="16" t="n">
        <x:f>IF(AND('Queries'!E789&lt;='Rules'!$B$15,'Queries'!C789&gt;='Rules'!$B$14,'Queries'!D789&lt;'Rules'!$B$16),1,0)</x:f>
        <x:v>0</x:v>
      </x:c>
      <x:c r="G789" s="16" t="n">
        <x:v>1</x:v>
      </x:c>
      <x:c r="H789" s="16" t="n">
        <x:v>1</x:v>
      </x:c>
      <x:c r="I789" s="16" t="n">
        <x:f>ROUND((B789*'Rules'!$B$6+C789/'Rules'!$B$12*'Rules'!$B$7+D789*'Rules'!$B$8+E789*'Rules'!$B$9+F789*'Rules'!$B$10+G789*'Rules'!$B$11)*H789,1)</x:f>
        <x:v>79</x:v>
      </x:c>
      <x:c r="J789" s="18" t="n">
        <x:f>'Queries'!C789*'Queries'!E789</x:f>
        <x:v>82.05</x:v>
      </x:c>
    </x:row>
    <x:row r="790" ht="32" customHeight="1">
      <x:c r="A790" s="6" t="str">
        <x:v>mercedes tuning near me</x:v>
      </x:c>
      <x:c r="B790" s="16" t="n">
        <x:v>1</x:v>
      </x:c>
      <x:c r="C790" s="16" t="n">
        <x:v>5</x:v>
      </x:c>
      <x:c r="D790" s="16" t="n">
        <x:f>IF('Queries'!E790&lt;='Rules'!$B$17,'Rules'!$B$21,IF('Queries'!E790&lt;='Rules'!$B$18,'Rules'!$B$22,IF('Queries'!E790&lt;='Rules'!$B$19,'Rules'!$B$23,IF('Queries'!E790&lt;='Rules'!$B$20,'Rules'!$B$24,'Rules'!$B$25))))</x:f>
        <x:v>1</x:v>
      </x:c>
      <x:c r="E790" s="16" t="n">
        <x:f>MIN(LOG10(1+'Queries'!C790)/'Rules'!$B$13,1)</x:f>
        <x:v>0.4013733275519733</x:v>
      </x:c>
      <x:c r="F790" s="16" t="n">
        <x:f>IF(AND('Queries'!E790&lt;='Rules'!$B$15,'Queries'!C790&gt;='Rules'!$B$14,'Queries'!D790&lt;'Rules'!$B$16),1,0)</x:f>
        <x:v>0</x:v>
      </x:c>
      <x:c r="G790" s="16" t="n">
        <x:v>1</x:v>
      </x:c>
      <x:c r="H790" s="16" t="n">
        <x:v>1</x:v>
      </x:c>
      <x:c r="I790" s="16" t="n">
        <x:f>ROUND((B790*'Rules'!$B$6+C790/'Rules'!$B$12*'Rules'!$B$7+D790*'Rules'!$B$8+E790*'Rules'!$B$9+F790*'Rules'!$B$10+G790*'Rules'!$B$11)*H790,1)</x:f>
        <x:v>84</x:v>
      </x:c>
      <x:c r="J790" s="18" t="n">
        <x:f>'Queries'!C790*'Queries'!E790</x:f>
        <x:v>96</x:v>
      </x:c>
    </x:row>
    <x:row r="791" ht="32" customHeight="1">
      <x:c r="A791" s="6" t="str">
        <x:v>silencer repair near me</x:v>
      </x:c>
      <x:c r="B791" s="16" t="n">
        <x:v>1</x:v>
      </x:c>
      <x:c r="C791" s="16" t="n">
        <x:v>3</x:v>
      </x:c>
      <x:c r="D791" s="16" t="n">
        <x:f>IF('Queries'!E791&lt;='Rules'!$B$17,'Rules'!$B$21,IF('Queries'!E791&lt;='Rules'!$B$18,'Rules'!$B$22,IF('Queries'!E791&lt;='Rules'!$B$19,'Rules'!$B$23,IF('Queries'!E791&lt;='Rules'!$B$20,'Rules'!$B$24,'Rules'!$B$25))))</x:f>
        <x:v>1</x:v>
      </x:c>
      <x:c r="E791" s="16" t="n">
        <x:f>MIN(LOG10(1+'Queries'!C791)/'Rules'!$B$13,1)</x:f>
        <x:v>0.4013733275519733</x:v>
      </x:c>
      <x:c r="F791" s="16" t="n">
        <x:f>IF(AND('Queries'!E791&lt;='Rules'!$B$15,'Queries'!C791&gt;='Rules'!$B$14,'Queries'!D791&lt;'Rules'!$B$16),1,0)</x:f>
        <x:v>0</x:v>
      </x:c>
      <x:c r="G791" s="16" t="n">
        <x:v>1</x:v>
      </x:c>
      <x:c r="H791" s="16" t="n">
        <x:v>1</x:v>
      </x:c>
      <x:c r="I791" s="16" t="n">
        <x:f>ROUND((B791*'Rules'!$B$6+C791/'Rules'!$B$12*'Rules'!$B$7+D791*'Rules'!$B$8+E791*'Rules'!$B$9+F791*'Rules'!$B$10+G791*'Rules'!$B$11)*H791,1)</x:f>
        <x:v>76</x:v>
      </x:c>
      <x:c r="J791" s="18" t="n">
        <x:f>'Queries'!C791*'Queries'!E791</x:f>
        <x:v>118.05</x:v>
      </x:c>
    </x:row>
    <x:row r="792" ht="32" customHeight="1">
      <x:c r="A792" s="6" t="str">
        <x:v>nissan workshop</x:v>
      </x:c>
      <x:c r="B792" s="16" t="n">
        <x:v>0.8</x:v>
      </x:c>
      <x:c r="C792" s="16" t="n">
        <x:v>3</x:v>
      </x:c>
      <x:c r="D792" s="16" t="n">
        <x:f>IF('Queries'!E792&lt;='Rules'!$B$17,'Rules'!$B$21,IF('Queries'!E792&lt;='Rules'!$B$18,'Rules'!$B$22,IF('Queries'!E792&lt;='Rules'!$B$19,'Rules'!$B$23,IF('Queries'!E792&lt;='Rules'!$B$20,'Rules'!$B$24,'Rules'!$B$25))))</x:f>
        <x:v>1</x:v>
      </x:c>
      <x:c r="E792" s="16" t="n">
        <x:f>MIN(LOG10(1+'Queries'!C792)/'Rules'!$B$13,1)</x:f>
        <x:v>0.4013733275519733</x:v>
      </x:c>
      <x:c r="F792" s="16" t="n">
        <x:f>IF(AND('Queries'!E792&lt;='Rules'!$B$15,'Queries'!C792&gt;='Rules'!$B$14,'Queries'!D792&lt;'Rules'!$B$16),1,0)</x:f>
        <x:v>0</x:v>
      </x:c>
      <x:c r="G792" s="16" t="n">
        <x:v>1</x:v>
      </x:c>
      <x:c r="H792" s="16" t="n">
        <x:v>1</x:v>
      </x:c>
      <x:c r="I792" s="16" t="n">
        <x:f>ROUND((B792*'Rules'!$B$6+C792/'Rules'!$B$12*'Rules'!$B$7+D792*'Rules'!$B$8+E792*'Rules'!$B$9+F792*'Rules'!$B$10+G792*'Rules'!$B$11)*H792,1)</x:f>
        <x:v>71</x:v>
      </x:c>
      <x:c r="J792" s="18" t="n">
        <x:f>'Queries'!C792*'Queries'!E792</x:f>
        <x:v>139.04999999999998</x:v>
      </x:c>
    </x:row>
    <x:row r="793" ht="32" customHeight="1">
      <x:c r="A793" s="6" t="str">
        <x:v>bmw brake repair</x:v>
      </x:c>
      <x:c r="B793" s="16" t="n">
        <x:v>0.8</x:v>
      </x:c>
      <x:c r="C793" s="16" t="n">
        <x:v>5</x:v>
      </x:c>
      <x:c r="D793" s="16" t="n">
        <x:f>IF('Queries'!E793&lt;='Rules'!$B$17,'Rules'!$B$21,IF('Queries'!E793&lt;='Rules'!$B$18,'Rules'!$B$22,IF('Queries'!E793&lt;='Rules'!$B$19,'Rules'!$B$23,IF('Queries'!E793&lt;='Rules'!$B$20,'Rules'!$B$24,'Rules'!$B$25))))</x:f>
        <x:v>1</x:v>
      </x:c>
      <x:c r="E793" s="16" t="n">
        <x:f>MIN(LOG10(1+'Queries'!C793)/'Rules'!$B$13,1)</x:f>
        <x:v>0.4013733275519733</x:v>
      </x:c>
      <x:c r="F793" s="16" t="n">
        <x:f>IF(AND('Queries'!E793&lt;='Rules'!$B$15,'Queries'!C793&gt;='Rules'!$B$14,'Queries'!D793&lt;'Rules'!$B$16),1,0)</x:f>
        <x:v>0</x:v>
      </x:c>
      <x:c r="G793" s="16" t="n">
        <x:v>1</x:v>
      </x:c>
      <x:c r="H793" s="16" t="n">
        <x:v>1</x:v>
      </x:c>
      <x:c r="I793" s="16" t="n">
        <x:f>ROUND((B793*'Rules'!$B$6+C793/'Rules'!$B$12*'Rules'!$B$7+D793*'Rules'!$B$8+E793*'Rules'!$B$9+F793*'Rules'!$B$10+G793*'Rules'!$B$11)*H793,1)</x:f>
        <x:v>79</x:v>
      </x:c>
      <x:c r="J793" s="18" t="n">
        <x:f>'Queries'!C793*'Queries'!E793</x:f>
        <x:v>168</x:v>
      </x:c>
    </x:row>
    <x:row r="794" ht="32" customHeight="1">
      <x:c r="A794" s="6" t="str">
        <x:v>muffler shop in dubai</x:v>
      </x:c>
      <x:c r="B794" s="16" t="n">
        <x:v>1</x:v>
      </x:c>
      <x:c r="C794" s="16" t="n">
        <x:v>3</x:v>
      </x:c>
      <x:c r="D794" s="16" t="n">
        <x:f>IF('Queries'!E794&lt;='Rules'!$B$17,'Rules'!$B$21,IF('Queries'!E794&lt;='Rules'!$B$18,'Rules'!$B$22,IF('Queries'!E794&lt;='Rules'!$B$19,'Rules'!$B$23,IF('Queries'!E794&lt;='Rules'!$B$20,'Rules'!$B$24,'Rules'!$B$25))))</x:f>
        <x:v>1</x:v>
      </x:c>
      <x:c r="E794" s="16" t="n">
        <x:f>MIN(LOG10(1+'Queries'!C794)/'Rules'!$B$13,1)</x:f>
        <x:v>0.4013733275519733</x:v>
      </x:c>
      <x:c r="F794" s="16" t="n">
        <x:f>IF(AND('Queries'!E794&lt;='Rules'!$B$15,'Queries'!C794&gt;='Rules'!$B$14,'Queries'!D794&lt;'Rules'!$B$16),1,0)</x:f>
        <x:v>0</x:v>
      </x:c>
      <x:c r="G794" s="16" t="n">
        <x:v>1</x:v>
      </x:c>
      <x:c r="H794" s="16" t="n">
        <x:v>1</x:v>
      </x:c>
      <x:c r="I794" s="16" t="n">
        <x:f>ROUND((B794*'Rules'!$B$6+C794/'Rules'!$B$12*'Rules'!$B$7+D794*'Rules'!$B$8+E794*'Rules'!$B$9+F794*'Rules'!$B$10+G794*'Rules'!$B$11)*H794,1)</x:f>
        <x:v>76</x:v>
      </x:c>
      <x:c r="J794" s="18" t="n">
        <x:f>'Queries'!C794*'Queries'!E794</x:f>
        <x:v>211.05</x:v>
      </x:c>
    </x:row>
    <x:row r="795" ht="32" customHeight="1">
      <x:c r="A795" s="6" t="str">
        <x:v>nissan service booking</x:v>
      </x:c>
      <x:c r="B795" s="16" t="n">
        <x:v>0.8</x:v>
      </x:c>
      <x:c r="C795" s="16" t="n">
        <x:v>3</x:v>
      </x:c>
      <x:c r="D795" s="16" t="n">
        <x:f>IF('Queries'!E795&lt;='Rules'!$B$17,'Rules'!$B$21,IF('Queries'!E795&lt;='Rules'!$B$18,'Rules'!$B$22,IF('Queries'!E795&lt;='Rules'!$B$19,'Rules'!$B$23,IF('Queries'!E795&lt;='Rules'!$B$20,'Rules'!$B$24,'Rules'!$B$25))))</x:f>
        <x:v>1</x:v>
      </x:c>
      <x:c r="E795" s="16" t="n">
        <x:f>MIN(LOG10(1+'Queries'!C795)/'Rules'!$B$13,1)</x:f>
        <x:v>0.4013733275519733</x:v>
      </x:c>
      <x:c r="F795" s="16" t="n">
        <x:f>IF(AND('Queries'!E795&lt;='Rules'!$B$15,'Queries'!C795&gt;='Rules'!$B$14,'Queries'!D795&lt;'Rules'!$B$16),1,0)</x:f>
        <x:v>0</x:v>
      </x:c>
      <x:c r="G795" s="16" t="n">
        <x:v>1</x:v>
      </x:c>
      <x:c r="H795" s="16" t="n">
        <x:v>1</x:v>
      </x:c>
      <x:c r="I795" s="16" t="n">
        <x:f>ROUND((B795*'Rules'!$B$6+C795/'Rules'!$B$12*'Rules'!$B$7+D795*'Rules'!$B$8+E795*'Rules'!$B$9+F795*'Rules'!$B$10+G795*'Rules'!$B$11)*H795,1)</x:f>
        <x:v>71</x:v>
      </x:c>
      <x:c r="J795" s="18" t="n">
        <x:f>'Queries'!C795*'Queries'!E795</x:f>
        <x:v>217.05</x:v>
      </x:c>
    </x:row>
    <x:row r="796" ht="32" customHeight="1">
      <x:c r="A796" s="6" t="str">
        <x:v>مركز صيانة مازدا دبي</x:v>
      </x:c>
      <x:c r="B796" s="16" t="n">
        <x:v>1</x:v>
      </x:c>
      <x:c r="C796" s="16" t="n">
        <x:v>3</x:v>
      </x:c>
      <x:c r="D796" s="16" t="n">
        <x:f>IF('Queries'!E796&lt;='Rules'!$B$17,'Rules'!$B$21,IF('Queries'!E796&lt;='Rules'!$B$18,'Rules'!$B$22,IF('Queries'!E796&lt;='Rules'!$B$19,'Rules'!$B$23,IF('Queries'!E796&lt;='Rules'!$B$20,'Rules'!$B$24,'Rules'!$B$25))))</x:f>
        <x:v>0.7</x:v>
      </x:c>
      <x:c r="E796" s="16" t="n">
        <x:f>MIN(LOG10(1+'Queries'!C796)/'Rules'!$B$13,1)</x:f>
        <x:v>0.4013733275519733</x:v>
      </x:c>
      <x:c r="F796" s="16" t="n">
        <x:f>IF(AND('Queries'!E796&lt;='Rules'!$B$15,'Queries'!C796&gt;='Rules'!$B$14,'Queries'!D796&lt;'Rules'!$B$16),1,0)</x:f>
        <x:v>0</x:v>
      </x:c>
      <x:c r="G796" s="16" t="n">
        <x:v>1</x:v>
      </x:c>
      <x:c r="H796" s="16" t="n">
        <x:v>1</x:v>
      </x:c>
      <x:c r="I796" s="16" t="n">
        <x:f>ROUND((B796*'Rules'!$B$6+C796/'Rules'!$B$12*'Rules'!$B$7+D796*'Rules'!$B$8+E796*'Rules'!$B$9+F796*'Rules'!$B$10+G796*'Rules'!$B$11)*H796,1)</x:f>
        <x:v>68.5</x:v>
      </x:c>
      <x:c r="J796" s="18" t="n">
        <x:f>'Queries'!C796*'Queries'!E796</x:f>
        <x:v>249.00000000000003</x:v>
      </x:c>
    </x:row>
    <x:row r="797" ht="32" customHeight="1">
      <x:c r="A797" s="6" t="str">
        <x:v>bmw engine diagnostics</x:v>
      </x:c>
      <x:c r="B797" s="16" t="n">
        <x:v>0.8</x:v>
      </x:c>
      <x:c r="C797" s="16" t="n">
        <x:v>5</x:v>
      </x:c>
      <x:c r="D797" s="16" t="n">
        <x:f>IF('Queries'!E797&lt;='Rules'!$B$17,'Rules'!$B$21,IF('Queries'!E797&lt;='Rules'!$B$18,'Rules'!$B$22,IF('Queries'!E797&lt;='Rules'!$B$19,'Rules'!$B$23,IF('Queries'!E797&lt;='Rules'!$B$20,'Rules'!$B$24,'Rules'!$B$25))))</x:f>
        <x:v>0.7</x:v>
      </x:c>
      <x:c r="E797" s="16" t="n">
        <x:f>MIN(LOG10(1+'Queries'!C797)/'Rules'!$B$13,1)</x:f>
        <x:v>0.4013733275519733</x:v>
      </x:c>
      <x:c r="F797" s="16" t="n">
        <x:f>IF(AND('Queries'!E797&lt;='Rules'!$B$15,'Queries'!C797&gt;='Rules'!$B$14,'Queries'!D797&lt;'Rules'!$B$16),1,0)</x:f>
        <x:v>0</x:v>
      </x:c>
      <x:c r="G797" s="16" t="n">
        <x:v>1</x:v>
      </x:c>
      <x:c r="H797" s="16" t="n">
        <x:v>1</x:v>
      </x:c>
      <x:c r="I797" s="16" t="n">
        <x:f>ROUND((B797*'Rules'!$B$6+C797/'Rules'!$B$12*'Rules'!$B$7+D797*'Rules'!$B$8+E797*'Rules'!$B$9+F797*'Rules'!$B$10+G797*'Rules'!$B$11)*H797,1)</x:f>
        <x:v>71.5</x:v>
      </x:c>
      <x:c r="J797" s="18" t="n">
        <x:f>'Queries'!C797*'Queries'!E797</x:f>
        <x:v>258</x:v>
      </x:c>
    </x:row>
    <x:row r="798" ht="32" customHeight="1">
      <x:c r="A798" s="6" t="str">
        <x:v>car body repair history dubai</x:v>
      </x:c>
      <x:c r="B798" s="16" t="n">
        <x:v>0.5</x:v>
      </x:c>
      <x:c r="C798" s="16" t="n">
        <x:v>1</x:v>
      </x:c>
      <x:c r="D798" s="16" t="n">
        <x:f>IF('Queries'!E798&lt;='Rules'!$B$17,'Rules'!$B$21,IF('Queries'!E798&lt;='Rules'!$B$18,'Rules'!$B$22,IF('Queries'!E798&lt;='Rules'!$B$19,'Rules'!$B$23,IF('Queries'!E798&lt;='Rules'!$B$20,'Rules'!$B$24,'Rules'!$B$25))))</x:f>
        <x:v>0.7</x:v>
      </x:c>
      <x:c r="E798" s="16" t="n">
        <x:f>MIN(LOG10(1+'Queries'!C798)/'Rules'!$B$13,1)</x:f>
        <x:v>0.4013733275519733</x:v>
      </x:c>
      <x:c r="F798" s="16" t="n">
        <x:f>IF(AND('Queries'!E798&lt;='Rules'!$B$15,'Queries'!C798&gt;='Rules'!$B$14,'Queries'!D798&lt;'Rules'!$B$16),1,0)</x:f>
        <x:v>0</x:v>
      </x:c>
      <x:c r="G798" s="16" t="n">
        <x:v>1</x:v>
      </x:c>
      <x:c r="H798" s="16" t="n">
        <x:v>1</x:v>
      </x:c>
      <x:c r="I798" s="16" t="n">
        <x:f>ROUND((B798*'Rules'!$B$6+C798/'Rules'!$B$12*'Rules'!$B$7+D798*'Rules'!$B$8+E798*'Rules'!$B$9+F798*'Rules'!$B$10+G798*'Rules'!$B$11)*H798,1)</x:f>
        <x:v>48</x:v>
      </x:c>
      <x:c r="J798" s="18" t="n">
        <x:f>'Queries'!C798*'Queries'!E798</x:f>
        <x:v>280.95</x:v>
      </x:c>
    </x:row>
    <x:row r="799" ht="32" customHeight="1">
      <x:c r="A799" s="6" t="str">
        <x:v>bmw tuning dubai</x:v>
      </x:c>
      <x:c r="B799" s="16" t="n">
        <x:v>1</x:v>
      </x:c>
      <x:c r="C799" s="16" t="n">
        <x:v>5</x:v>
      </x:c>
      <x:c r="D799" s="16" t="n">
        <x:f>IF('Queries'!E799&lt;='Rules'!$B$17,'Rules'!$B$21,IF('Queries'!E799&lt;='Rules'!$B$18,'Rules'!$B$22,IF('Queries'!E799&lt;='Rules'!$B$19,'Rules'!$B$23,IF('Queries'!E799&lt;='Rules'!$B$20,'Rules'!$B$24,'Rules'!$B$25))))</x:f>
        <x:v>0.7</x:v>
      </x:c>
      <x:c r="E799" s="16" t="n">
        <x:f>MIN(LOG10(1+'Queries'!C799)/'Rules'!$B$13,1)</x:f>
        <x:v>0.4013733275519733</x:v>
      </x:c>
      <x:c r="F799" s="16" t="n">
        <x:f>IF(AND('Queries'!E799&lt;='Rules'!$B$15,'Queries'!C799&gt;='Rules'!$B$14,'Queries'!D799&lt;'Rules'!$B$16),1,0)</x:f>
        <x:v>0</x:v>
      </x:c>
      <x:c r="G799" s="16" t="n">
        <x:v>1</x:v>
      </x:c>
      <x:c r="H799" s="16" t="n">
        <x:v>1</x:v>
      </x:c>
      <x:c r="I799" s="16" t="n">
        <x:f>ROUND((B799*'Rules'!$B$6+C799/'Rules'!$B$12*'Rules'!$B$7+D799*'Rules'!$B$8+E799*'Rules'!$B$9+F799*'Rules'!$B$10+G799*'Rules'!$B$11)*H799,1)</x:f>
        <x:v>76.5</x:v>
      </x:c>
      <x:c r="J799" s="18" t="n">
        <x:f>'Queries'!C799*'Queries'!E799</x:f>
        <x:v>283.05</x:v>
      </x:c>
    </x:row>
    <x:row r="800" ht="32" customHeight="1">
      <x:c r="A800" s="6" t="str">
        <x:v>suspension repairs near me</x:v>
      </x:c>
      <x:c r="B800" s="16" t="n">
        <x:v>1</x:v>
      </x:c>
      <x:c r="C800" s="16" t="n">
        <x:v>3</x:v>
      </x:c>
      <x:c r="D800" s="16" t="n">
        <x:f>IF('Queries'!E800&lt;='Rules'!$B$17,'Rules'!$B$21,IF('Queries'!E800&lt;='Rules'!$B$18,'Rules'!$B$22,IF('Queries'!E800&lt;='Rules'!$B$19,'Rules'!$B$23,IF('Queries'!E800&lt;='Rules'!$B$20,'Rules'!$B$24,'Rules'!$B$25))))</x:f>
        <x:v>0.7</x:v>
      </x:c>
      <x:c r="E800" s="16" t="n">
        <x:f>MIN(LOG10(1+'Queries'!C800)/'Rules'!$B$13,1)</x:f>
        <x:v>0.4013733275519733</x:v>
      </x:c>
      <x:c r="F800" s="16" t="n">
        <x:f>IF(AND('Queries'!E800&lt;='Rules'!$B$15,'Queries'!C800&gt;='Rules'!$B$14,'Queries'!D800&lt;'Rules'!$B$16),1,0)</x:f>
        <x:v>0</x:v>
      </x:c>
      <x:c r="G800" s="16" t="n">
        <x:v>1</x:v>
      </x:c>
      <x:c r="H800" s="16" t="n">
        <x:v>1</x:v>
      </x:c>
      <x:c r="I800" s="16" t="n">
        <x:f>ROUND((B800*'Rules'!$B$6+C800/'Rules'!$B$12*'Rules'!$B$7+D800*'Rules'!$B$8+E800*'Rules'!$B$9+F800*'Rules'!$B$10+G800*'Rules'!$B$11)*H800,1)</x:f>
        <x:v>68.5</x:v>
      </x:c>
      <x:c r="J800" s="18" t="n">
        <x:f>'Queries'!C800*'Queries'!E800</x:f>
        <x:v>285</x:v>
      </x:c>
    </x:row>
    <x:row r="801" ht="32" customHeight="1">
      <x:c r="A801" s="6" t="str">
        <x:v>best bmw garage in dubai</x:v>
      </x:c>
      <x:c r="B801" s="16" t="n">
        <x:v>1</x:v>
      </x:c>
      <x:c r="C801" s="16" t="n">
        <x:v>5</x:v>
      </x:c>
      <x:c r="D801" s="16" t="n">
        <x:f>IF('Queries'!E801&lt;='Rules'!$B$17,'Rules'!$B$21,IF('Queries'!E801&lt;='Rules'!$B$18,'Rules'!$B$22,IF('Queries'!E801&lt;='Rules'!$B$19,'Rules'!$B$23,IF('Queries'!E801&lt;='Rules'!$B$20,'Rules'!$B$24,'Rules'!$B$25))))</x:f>
        <x:v>0.7</x:v>
      </x:c>
      <x:c r="E801" s="16" t="n">
        <x:f>MIN(LOG10(1+'Queries'!C801)/'Rules'!$B$13,1)</x:f>
        <x:v>0.4013733275519733</x:v>
      </x:c>
      <x:c r="F801" s="16" t="n">
        <x:f>IF(AND('Queries'!E801&lt;='Rules'!$B$15,'Queries'!C801&gt;='Rules'!$B$14,'Queries'!D801&lt;'Rules'!$B$16),1,0)</x:f>
        <x:v>0</x:v>
      </x:c>
      <x:c r="G801" s="16" t="n">
        <x:v>1</x:v>
      </x:c>
      <x:c r="H801" s="16" t="n">
        <x:v>1</x:v>
      </x:c>
      <x:c r="I801" s="16" t="n">
        <x:f>ROUND((B801*'Rules'!$B$6+C801/'Rules'!$B$12*'Rules'!$B$7+D801*'Rules'!$B$8+E801*'Rules'!$B$9+F801*'Rules'!$B$10+G801*'Rules'!$B$11)*H801,1)</x:f>
        <x:v>76.5</x:v>
      </x:c>
      <x:c r="J801" s="18" t="n">
        <x:f>'Queries'!C801*'Queries'!E801</x:f>
        <x:v>312</x:v>
      </x:c>
    </x:row>
    <x:row r="802" ht="32" customHeight="1">
      <x:c r="A802" s="6" t="str">
        <x:v>volkswagen car battery dubai</x:v>
      </x:c>
      <x:c r="B802" s="16" t="n">
        <x:v>1</x:v>
      </x:c>
      <x:c r="C802" s="16" t="n">
        <x:v>3</x:v>
      </x:c>
      <x:c r="D802" s="16" t="n">
        <x:f>IF('Queries'!E802&lt;='Rules'!$B$17,'Rules'!$B$21,IF('Queries'!E802&lt;='Rules'!$B$18,'Rules'!$B$22,IF('Queries'!E802&lt;='Rules'!$B$19,'Rules'!$B$23,IF('Queries'!E802&lt;='Rules'!$B$20,'Rules'!$B$24,'Rules'!$B$25))))</x:f>
        <x:v>0.7</x:v>
      </x:c>
      <x:c r="E802" s="16" t="n">
        <x:f>MIN(LOG10(1+'Queries'!C802)/'Rules'!$B$13,1)</x:f>
        <x:v>0.4013733275519733</x:v>
      </x:c>
      <x:c r="F802" s="16" t="n">
        <x:f>IF(AND('Queries'!E802&lt;='Rules'!$B$15,'Queries'!C802&gt;='Rules'!$B$14,'Queries'!D802&lt;'Rules'!$B$16),1,0)</x:f>
        <x:v>0</x:v>
      </x:c>
      <x:c r="G802" s="16" t="n">
        <x:v>0.25</x:v>
      </x:c>
      <x:c r="H802" s="16" t="n">
        <x:v>0.65</x:v>
      </x:c>
      <x:c r="I802" s="16" t="n">
        <x:f>ROUND((B802*'Rules'!$B$6+C802/'Rules'!$B$12*'Rules'!$B$7+D802*'Rules'!$B$8+E802*'Rules'!$B$9+F802*'Rules'!$B$10+G802*'Rules'!$B$11)*H802,1)</x:f>
        <x:v>39.7</x:v>
      </x:c>
      <x:c r="J802" s="18" t="n">
        <x:f>'Queries'!C802*'Queries'!E802</x:f>
        <x:v>339</x:v>
      </x:c>
    </x:row>
    <x:row r="803" ht="32" customHeight="1">
      <x:c r="A803" s="6" t="str">
        <x:v>battery replacement car</x:v>
      </x:c>
      <x:c r="B803" s="16" t="n">
        <x:v>0.8</x:v>
      </x:c>
      <x:c r="C803" s="16" t="n">
        <x:v>3</x:v>
      </x:c>
      <x:c r="D803" s="16" t="n">
        <x:f>IF('Queries'!E803&lt;='Rules'!$B$17,'Rules'!$B$21,IF('Queries'!E803&lt;='Rules'!$B$18,'Rules'!$B$22,IF('Queries'!E803&lt;='Rules'!$B$19,'Rules'!$B$23,IF('Queries'!E803&lt;='Rules'!$B$20,'Rules'!$B$24,'Rules'!$B$25))))</x:f>
        <x:v>0.7</x:v>
      </x:c>
      <x:c r="E803" s="16" t="n">
        <x:f>MIN(LOG10(1+'Queries'!C803)/'Rules'!$B$13,1)</x:f>
        <x:v>0.4013733275519733</x:v>
      </x:c>
      <x:c r="F803" s="16" t="n">
        <x:f>IF(AND('Queries'!E803&lt;='Rules'!$B$15,'Queries'!C803&gt;='Rules'!$B$14,'Queries'!D803&lt;'Rules'!$B$16),1,0)</x:f>
        <x:v>0</x:v>
      </x:c>
      <x:c r="G803" s="16" t="n">
        <x:v>1</x:v>
      </x:c>
      <x:c r="H803" s="16" t="n">
        <x:v>1</x:v>
      </x:c>
      <x:c r="I803" s="16" t="n">
        <x:f>ROUND((B803*'Rules'!$B$6+C803/'Rules'!$B$12*'Rules'!$B$7+D803*'Rules'!$B$8+E803*'Rules'!$B$9+F803*'Rules'!$B$10+G803*'Rules'!$B$11)*H803,1)</x:f>
        <x:v>63.5</x:v>
      </x:c>
      <x:c r="J803" s="18" t="n">
        <x:f>'Queries'!C803*'Queries'!E803</x:f>
        <x:v>361.95</x:v>
      </x:c>
    </x:row>
    <x:row r="804" ht="32" customHeight="1">
      <x:c r="A804" s="6" t="str">
        <x:v>bmw engine repair</x:v>
      </x:c>
      <x:c r="B804" s="16" t="n">
        <x:v>0.8</x:v>
      </x:c>
      <x:c r="C804" s="16" t="n">
        <x:v>5</x:v>
      </x:c>
      <x:c r="D804" s="16" t="n">
        <x:f>IF('Queries'!E804&lt;='Rules'!$B$17,'Rules'!$B$21,IF('Queries'!E804&lt;='Rules'!$B$18,'Rules'!$B$22,IF('Queries'!E804&lt;='Rules'!$B$19,'Rules'!$B$23,IF('Queries'!E804&lt;='Rules'!$B$20,'Rules'!$B$24,'Rules'!$B$25))))</x:f>
        <x:v>0.7</x:v>
      </x:c>
      <x:c r="E804" s="16" t="n">
        <x:f>MIN(LOG10(1+'Queries'!C804)/'Rules'!$B$13,1)</x:f>
        <x:v>0.4013733275519733</x:v>
      </x:c>
      <x:c r="F804" s="16" t="n">
        <x:f>IF(AND('Queries'!E804&lt;='Rules'!$B$15,'Queries'!C804&gt;='Rules'!$B$14,'Queries'!D804&lt;'Rules'!$B$16),1,0)</x:f>
        <x:v>0</x:v>
      </x:c>
      <x:c r="G804" s="16" t="n">
        <x:v>1</x:v>
      </x:c>
      <x:c r="H804" s="16" t="n">
        <x:v>1</x:v>
      </x:c>
      <x:c r="I804" s="16" t="n">
        <x:f>ROUND((B804*'Rules'!$B$6+C804/'Rules'!$B$12*'Rules'!$B$7+D804*'Rules'!$B$8+E804*'Rules'!$B$9+F804*'Rules'!$B$10+G804*'Rules'!$B$11)*H804,1)</x:f>
        <x:v>71.5</x:v>
      </x:c>
      <x:c r="J804" s="18" t="n">
        <x:f>'Queries'!C804*'Queries'!E804</x:f>
        <x:v>369</x:v>
      </x:c>
    </x:row>
    <x:row r="805" ht="32" customHeight="1">
      <x:c r="A805" s="6" t="str">
        <x:v>nissan auto repair</x:v>
      </x:c>
      <x:c r="B805" s="16" t="n">
        <x:v>0.8</x:v>
      </x:c>
      <x:c r="C805" s="16" t="n">
        <x:v>3</x:v>
      </x:c>
      <x:c r="D805" s="16" t="n">
        <x:f>IF('Queries'!E805&lt;='Rules'!$B$17,'Rules'!$B$21,IF('Queries'!E805&lt;='Rules'!$B$18,'Rules'!$B$22,IF('Queries'!E805&lt;='Rules'!$B$19,'Rules'!$B$23,IF('Queries'!E805&lt;='Rules'!$B$20,'Rules'!$B$24,'Rules'!$B$25))))</x:f>
        <x:v>0.7</x:v>
      </x:c>
      <x:c r="E805" s="16" t="n">
        <x:f>MIN(LOG10(1+'Queries'!C805)/'Rules'!$B$13,1)</x:f>
        <x:v>0.4013733275519733</x:v>
      </x:c>
      <x:c r="F805" s="16" t="n">
        <x:f>IF(AND('Queries'!E805&lt;='Rules'!$B$15,'Queries'!C805&gt;='Rules'!$B$14,'Queries'!D805&lt;'Rules'!$B$16),1,0)</x:f>
        <x:v>0</x:v>
      </x:c>
      <x:c r="G805" s="16" t="n">
        <x:v>1</x:v>
      </x:c>
      <x:c r="H805" s="16" t="n">
        <x:v>1</x:v>
      </x:c>
      <x:c r="I805" s="16" t="n">
        <x:f>ROUND((B805*'Rules'!$B$6+C805/'Rules'!$B$12*'Rules'!$B$7+D805*'Rules'!$B$8+E805*'Rules'!$B$9+F805*'Rules'!$B$10+G805*'Rules'!$B$11)*H805,1)</x:f>
        <x:v>63.5</x:v>
      </x:c>
      <x:c r="J805" s="18" t="n">
        <x:f>'Queries'!C805*'Queries'!E805</x:f>
        <x:v>378</x:v>
      </x:c>
    </x:row>
    <x:row r="806" ht="32" customHeight="1">
      <x:c r="A806" s="6" t="str">
        <x:v>صيانة جيب</x:v>
      </x:c>
      <x:c r="B806" s="16" t="n">
        <x:v>0.8</x:v>
      </x:c>
      <x:c r="C806" s="16" t="n">
        <x:v>3</x:v>
      </x:c>
      <x:c r="D806" s="16" t="n">
        <x:f>IF('Queries'!E806&lt;='Rules'!$B$17,'Rules'!$B$21,IF('Queries'!E806&lt;='Rules'!$B$18,'Rules'!$B$22,IF('Queries'!E806&lt;='Rules'!$B$19,'Rules'!$B$23,IF('Queries'!E806&lt;='Rules'!$B$20,'Rules'!$B$24,'Rules'!$B$25))))</x:f>
        <x:v>0.7</x:v>
      </x:c>
      <x:c r="E806" s="16" t="n">
        <x:f>MIN(LOG10(1+'Queries'!C806)/'Rules'!$B$13,1)</x:f>
        <x:v>0.4013733275519733</x:v>
      </x:c>
      <x:c r="F806" s="16" t="n">
        <x:f>IF(AND('Queries'!E806&lt;='Rules'!$B$15,'Queries'!C806&gt;='Rules'!$B$14,'Queries'!D806&lt;'Rules'!$B$16),1,0)</x:f>
        <x:v>0</x:v>
      </x:c>
      <x:c r="G806" s="16" t="n">
        <x:v>1</x:v>
      </x:c>
      <x:c r="H806" s="16" t="n">
        <x:v>1</x:v>
      </x:c>
      <x:c r="I806" s="16" t="n">
        <x:f>ROUND((B806*'Rules'!$B$6+C806/'Rules'!$B$12*'Rules'!$B$7+D806*'Rules'!$B$8+E806*'Rules'!$B$9+F806*'Rules'!$B$10+G806*'Rules'!$B$11)*H806,1)</x:f>
        <x:v>63.5</x:v>
      </x:c>
      <x:c r="J806" s="18" t="n">
        <x:f>'Queries'!C806*'Queries'!E806</x:f>
        <x:v>378</x:v>
      </x:c>
    </x:row>
    <x:row r="807" ht="32" customHeight="1">
      <x:c r="A807" s="6" t="str">
        <x:v>vw golf battery service</x:v>
      </x:c>
      <x:c r="B807" s="16" t="n">
        <x:v>0.8</x:v>
      </x:c>
      <x:c r="C807" s="16" t="n">
        <x:v>3</x:v>
      </x:c>
      <x:c r="D807" s="16" t="n">
        <x:f>IF('Queries'!E807&lt;='Rules'!$B$17,'Rules'!$B$21,IF('Queries'!E807&lt;='Rules'!$B$18,'Rules'!$B$22,IF('Queries'!E807&lt;='Rules'!$B$19,'Rules'!$B$23,IF('Queries'!E807&lt;='Rules'!$B$20,'Rules'!$B$24,'Rules'!$B$25))))</x:f>
        <x:v>0.7</x:v>
      </x:c>
      <x:c r="E807" s="16" t="n">
        <x:f>MIN(LOG10(1+'Queries'!C807)/'Rules'!$B$13,1)</x:f>
        <x:v>0.4013733275519733</x:v>
      </x:c>
      <x:c r="F807" s="16" t="n">
        <x:f>IF(AND('Queries'!E807&lt;='Rules'!$B$15,'Queries'!C807&gt;='Rules'!$B$14,'Queries'!D807&lt;'Rules'!$B$16),1,0)</x:f>
        <x:v>0</x:v>
      </x:c>
      <x:c r="G807" s="16" t="n">
        <x:v>0.25</x:v>
      </x:c>
      <x:c r="H807" s="16" t="n">
        <x:v>0.65</x:v>
      </x:c>
      <x:c r="I807" s="16" t="n">
        <x:f>ROUND((B807*'Rules'!$B$6+C807/'Rules'!$B$12*'Rules'!$B$7+D807*'Rules'!$B$8+E807*'Rules'!$B$9+F807*'Rules'!$B$10+G807*'Rules'!$B$11)*H807,1)</x:f>
        <x:v>36.4</x:v>
      </x:c>
      <x:c r="J807" s="18" t="n">
        <x:f>'Queries'!C807*'Queries'!E807</x:f>
        <x:v>448.05</x:v>
      </x:c>
    </x:row>
    <x:row r="808" ht="32" customHeight="1">
      <x:c r="A808" s="6" t="str">
        <x:v>audi repair specialist in dubai</x:v>
      </x:c>
      <x:c r="B808" s="16" t="n">
        <x:v>1</x:v>
      </x:c>
      <x:c r="C808" s="16" t="n">
        <x:v>5</x:v>
      </x:c>
      <x:c r="D808" s="16" t="n">
        <x:f>IF('Queries'!E808&lt;='Rules'!$B$17,'Rules'!$B$21,IF('Queries'!E808&lt;='Rules'!$B$18,'Rules'!$B$22,IF('Queries'!E808&lt;='Rules'!$B$19,'Rules'!$B$23,IF('Queries'!E808&lt;='Rules'!$B$20,'Rules'!$B$24,'Rules'!$B$25))))</x:f>
        <x:v>0.4</x:v>
      </x:c>
      <x:c r="E808" s="16" t="n">
        <x:f>MIN(LOG10(1+'Queries'!C808)/'Rules'!$B$13,1)</x:f>
        <x:v>0.4013733275519733</x:v>
      </x:c>
      <x:c r="F808" s="16" t="n">
        <x:f>IF(AND('Queries'!E808&lt;='Rules'!$B$15,'Queries'!C808&gt;='Rules'!$B$14,'Queries'!D808&lt;'Rules'!$B$16),1,0)</x:f>
        <x:v>0</x:v>
      </x:c>
      <x:c r="G808" s="16" t="n">
        <x:v>1</x:v>
      </x:c>
      <x:c r="H808" s="16" t="n">
        <x:v>1</x:v>
      </x:c>
      <x:c r="I808" s="16" t="n">
        <x:f>ROUND((B808*'Rules'!$B$6+C808/'Rules'!$B$12*'Rules'!$B$7+D808*'Rules'!$B$8+E808*'Rules'!$B$9+F808*'Rules'!$B$10+G808*'Rules'!$B$11)*H808,1)</x:f>
        <x:v>69</x:v>
      </x:c>
      <x:c r="J808" s="18" t="n">
        <x:f>'Queries'!C808*'Queries'!E808</x:f>
        <x:v>466.95</x:v>
      </x:c>
    </x:row>
    <x:row r="809" ht="32" customHeight="1">
      <x:c r="A809" s="6" t="str">
        <x:v>volkswagen car battery uae</x:v>
      </x:c>
      <x:c r="B809" s="16" t="n">
        <x:v>0.8</x:v>
      </x:c>
      <x:c r="C809" s="16" t="n">
        <x:v>3</x:v>
      </x:c>
      <x:c r="D809" s="16" t="n">
        <x:f>IF('Queries'!E809&lt;='Rules'!$B$17,'Rules'!$B$21,IF('Queries'!E809&lt;='Rules'!$B$18,'Rules'!$B$22,IF('Queries'!E809&lt;='Rules'!$B$19,'Rules'!$B$23,IF('Queries'!E809&lt;='Rules'!$B$20,'Rules'!$B$24,'Rules'!$B$25))))</x:f>
        <x:v>0.4</x:v>
      </x:c>
      <x:c r="E809" s="16" t="n">
        <x:f>MIN(LOG10(1+'Queries'!C809)/'Rules'!$B$13,1)</x:f>
        <x:v>0.4013733275519733</x:v>
      </x:c>
      <x:c r="F809" s="16" t="n">
        <x:f>IF(AND('Queries'!E809&lt;='Rules'!$B$15,'Queries'!C809&gt;='Rules'!$B$14,'Queries'!D809&lt;'Rules'!$B$16),1,0)</x:f>
        <x:v>0</x:v>
      </x:c>
      <x:c r="G809" s="16" t="n">
        <x:v>0.25</x:v>
      </x:c>
      <x:c r="H809" s="16" t="n">
        <x:v>0.65</x:v>
      </x:c>
      <x:c r="I809" s="16" t="n">
        <x:f>ROUND((B809*'Rules'!$B$6+C809/'Rules'!$B$12*'Rules'!$B$7+D809*'Rules'!$B$8+E809*'Rules'!$B$9+F809*'Rules'!$B$10+G809*'Rules'!$B$11)*H809,1)</x:f>
        <x:v>31.5</x:v>
      </x:c>
      <x:c r="J809" s="18" t="n">
        <x:f>'Queries'!C809*'Queries'!E809</x:f>
        <x:v>475.05</x:v>
      </x:c>
    </x:row>
    <x:row r="810" ht="32" customHeight="1">
      <x:c r="A810" s="6" t="str">
        <x:v>trusted car workshop in dubai</x:v>
      </x:c>
      <x:c r="B810" s="16" t="n">
        <x:v>1</x:v>
      </x:c>
      <x:c r="C810" s="16" t="n">
        <x:v>3</x:v>
      </x:c>
      <x:c r="D810" s="16" t="n">
        <x:f>IF('Queries'!E810&lt;='Rules'!$B$17,'Rules'!$B$21,IF('Queries'!E810&lt;='Rules'!$B$18,'Rules'!$B$22,IF('Queries'!E810&lt;='Rules'!$B$19,'Rules'!$B$23,IF('Queries'!E810&lt;='Rules'!$B$20,'Rules'!$B$24,'Rules'!$B$25))))</x:f>
        <x:v>0.4</x:v>
      </x:c>
      <x:c r="E810" s="16" t="n">
        <x:f>MIN(LOG10(1+'Queries'!C810)/'Rules'!$B$13,1)</x:f>
        <x:v>0.4013733275519733</x:v>
      </x:c>
      <x:c r="F810" s="16" t="n">
        <x:f>IF(AND('Queries'!E810&lt;='Rules'!$B$15,'Queries'!C810&gt;='Rules'!$B$14,'Queries'!D810&lt;'Rules'!$B$16),1,0)</x:f>
        <x:v>0</x:v>
      </x:c>
      <x:c r="G810" s="16" t="n">
        <x:v>1</x:v>
      </x:c>
      <x:c r="H810" s="16" t="n">
        <x:v>1</x:v>
      </x:c>
      <x:c r="I810" s="16" t="n">
        <x:f>ROUND((B810*'Rules'!$B$6+C810/'Rules'!$B$12*'Rules'!$B$7+D810*'Rules'!$B$8+E810*'Rules'!$B$9+F810*'Rules'!$B$10+G810*'Rules'!$B$11)*H810,1)</x:f>
        <x:v>61</x:v>
      </x:c>
      <x:c r="J810" s="18" t="n">
        <x:f>'Queries'!C810*'Queries'!E810</x:f>
        <x:v>481.95000000000005</x:v>
      </x:c>
    </x:row>
    <x:row r="811" ht="32" customHeight="1">
      <x:c r="A811" s="6" t="str">
        <x:v>lamborghini dubai service center</x:v>
      </x:c>
      <x:c r="B811" s="16" t="n">
        <x:v>1</x:v>
      </x:c>
      <x:c r="C811" s="16" t="n">
        <x:v>5</x:v>
      </x:c>
      <x:c r="D811" s="16" t="n">
        <x:f>IF('Queries'!E811&lt;='Rules'!$B$17,'Rules'!$B$21,IF('Queries'!E811&lt;='Rules'!$B$18,'Rules'!$B$22,IF('Queries'!E811&lt;='Rules'!$B$19,'Rules'!$B$23,IF('Queries'!E811&lt;='Rules'!$B$20,'Rules'!$B$24,'Rules'!$B$25))))</x:f>
        <x:v>0.4</x:v>
      </x:c>
      <x:c r="E811" s="16" t="n">
        <x:f>MIN(LOG10(1+'Queries'!C811)/'Rules'!$B$13,1)</x:f>
        <x:v>0.4013733275519733</x:v>
      </x:c>
      <x:c r="F811" s="16" t="n">
        <x:f>IF(AND('Queries'!E811&lt;='Rules'!$B$15,'Queries'!C811&gt;='Rules'!$B$14,'Queries'!D811&lt;'Rules'!$B$16),1,0)</x:f>
        <x:v>0</x:v>
      </x:c>
      <x:c r="G811" s="16" t="n">
        <x:v>1</x:v>
      </x:c>
      <x:c r="H811" s="16" t="n">
        <x:v>1</x:v>
      </x:c>
      <x:c r="I811" s="16" t="n">
        <x:f>ROUND((B811*'Rules'!$B$6+C811/'Rules'!$B$12*'Rules'!$B$7+D811*'Rules'!$B$8+E811*'Rules'!$B$9+F811*'Rules'!$B$10+G811*'Rules'!$B$11)*H811,1)</x:f>
        <x:v>69</x:v>
      </x:c>
      <x:c r="J811" s="18" t="n">
        <x:f>'Queries'!C811*'Queries'!E811</x:f>
        <x:v>505.05</x:v>
      </x:c>
    </x:row>
    <x:row r="812" ht="32" customHeight="1">
      <x:c r="A812" s="6" t="str">
        <x:v>افضل مركز صيانة لينكولن</x:v>
      </x:c>
      <x:c r="B812" s="16" t="n">
        <x:v>0.8</x:v>
      </x:c>
      <x:c r="C812" s="16" t="n">
        <x:v>3</x:v>
      </x:c>
      <x:c r="D812" s="16" t="n">
        <x:f>IF('Queries'!E812&lt;='Rules'!$B$17,'Rules'!$B$21,IF('Queries'!E812&lt;='Rules'!$B$18,'Rules'!$B$22,IF('Queries'!E812&lt;='Rules'!$B$19,'Rules'!$B$23,IF('Queries'!E812&lt;='Rules'!$B$20,'Rules'!$B$24,'Rules'!$B$25))))</x:f>
        <x:v>0.4</x:v>
      </x:c>
      <x:c r="E812" s="16" t="n">
        <x:f>MIN(LOG10(1+'Queries'!C812)/'Rules'!$B$13,1)</x:f>
        <x:v>0.4013733275519733</x:v>
      </x:c>
      <x:c r="F812" s="16" t="n">
        <x:f>IF(AND('Queries'!E812&lt;='Rules'!$B$15,'Queries'!C812&gt;='Rules'!$B$14,'Queries'!D812&lt;'Rules'!$B$16),1,0)</x:f>
        <x:v>0</x:v>
      </x:c>
      <x:c r="G812" s="16" t="n">
        <x:v>1</x:v>
      </x:c>
      <x:c r="H812" s="16" t="n">
        <x:v>1</x:v>
      </x:c>
      <x:c r="I812" s="16" t="n">
        <x:f>ROUND((B812*'Rules'!$B$6+C812/'Rules'!$B$12*'Rules'!$B$7+D812*'Rules'!$B$8+E812*'Rules'!$B$9+F812*'Rules'!$B$10+G812*'Rules'!$B$11)*H812,1)</x:f>
        <x:v>56</x:v>
      </x:c>
      <x:c r="J812" s="18" t="n">
        <x:f>'Queries'!C812*'Queries'!E812</x:f>
        <x:v>525</x:v>
      </x:c>
    </x:row>
    <x:row r="813" ht="32" customHeight="1">
      <x:c r="A813" s="6" t="str">
        <x:v>car ac service in dubai</x:v>
      </x:c>
      <x:c r="B813" s="16" t="n">
        <x:v>1</x:v>
      </x:c>
      <x:c r="C813" s="16" t="n">
        <x:v>3</x:v>
      </x:c>
      <x:c r="D813" s="16" t="n">
        <x:f>IF('Queries'!E813&lt;='Rules'!$B$17,'Rules'!$B$21,IF('Queries'!E813&lt;='Rules'!$B$18,'Rules'!$B$22,IF('Queries'!E813&lt;='Rules'!$B$19,'Rules'!$B$23,IF('Queries'!E813&lt;='Rules'!$B$20,'Rules'!$B$24,'Rules'!$B$25))))</x:f>
        <x:v>0.4</x:v>
      </x:c>
      <x:c r="E813" s="16" t="n">
        <x:f>MIN(LOG10(1+'Queries'!C813)/'Rules'!$B$13,1)</x:f>
        <x:v>0.4013733275519733</x:v>
      </x:c>
      <x:c r="F813" s="16" t="n">
        <x:f>IF(AND('Queries'!E813&lt;='Rules'!$B$15,'Queries'!C813&gt;='Rules'!$B$14,'Queries'!D813&lt;'Rules'!$B$16),1,0)</x:f>
        <x:v>0</x:v>
      </x:c>
      <x:c r="G813" s="16" t="n">
        <x:v>1</x:v>
      </x:c>
      <x:c r="H813" s="16" t="n">
        <x:v>1</x:v>
      </x:c>
      <x:c r="I813" s="16" t="n">
        <x:f>ROUND((B813*'Rules'!$B$6+C813/'Rules'!$B$12*'Rules'!$B$7+D813*'Rules'!$B$8+E813*'Rules'!$B$9+F813*'Rules'!$B$10+G813*'Rules'!$B$11)*H813,1)</x:f>
        <x:v>61</x:v>
      </x:c>
      <x:c r="J813" s="18" t="n">
        <x:f>'Queries'!C813*'Queries'!E813</x:f>
        <x:v>540</x:v>
      </x:c>
    </x:row>
    <x:row r="814" ht="32" customHeight="1">
      <x:c r="A814" s="6" t="str">
        <x:v>mazda service centers</x:v>
      </x:c>
      <x:c r="B814" s="16" t="n">
        <x:v>0.8</x:v>
      </x:c>
      <x:c r="C814" s="16" t="n">
        <x:v>3</x:v>
      </x:c>
      <x:c r="D814" s="16" t="n">
        <x:f>IF('Queries'!E814&lt;='Rules'!$B$17,'Rules'!$B$21,IF('Queries'!E814&lt;='Rules'!$B$18,'Rules'!$B$22,IF('Queries'!E814&lt;='Rules'!$B$19,'Rules'!$B$23,IF('Queries'!E814&lt;='Rules'!$B$20,'Rules'!$B$24,'Rules'!$B$25))))</x:f>
        <x:v>0.4</x:v>
      </x:c>
      <x:c r="E814" s="16" t="n">
        <x:f>MIN(LOG10(1+'Queries'!C814)/'Rules'!$B$13,1)</x:f>
        <x:v>0.4013733275519733</x:v>
      </x:c>
      <x:c r="F814" s="16" t="n">
        <x:f>IF(AND('Queries'!E814&lt;='Rules'!$B$15,'Queries'!C814&gt;='Rules'!$B$14,'Queries'!D814&lt;'Rules'!$B$16),1,0)</x:f>
        <x:v>0</x:v>
      </x:c>
      <x:c r="G814" s="16" t="n">
        <x:v>1</x:v>
      </x:c>
      <x:c r="H814" s="16" t="n">
        <x:v>1</x:v>
      </x:c>
      <x:c r="I814" s="16" t="n">
        <x:f>ROUND((B814*'Rules'!$B$6+C814/'Rules'!$B$12*'Rules'!$B$7+D814*'Rules'!$B$8+E814*'Rules'!$B$9+F814*'Rules'!$B$10+G814*'Rules'!$B$11)*H814,1)</x:f>
        <x:v>56</x:v>
      </x:c>
      <x:c r="J814" s="18" t="n">
        <x:f>'Queries'!C814*'Queries'!E814</x:f>
        <x:v>547.05</x:v>
      </x:c>
    </x:row>
    <x:row r="815" ht="32" customHeight="1">
      <x:c r="A815" s="6" t="str">
        <x:v>professional ppf service dubai</x:v>
      </x:c>
      <x:c r="B815" s="16" t="n">
        <x:v>1</x:v>
      </x:c>
      <x:c r="C815" s="16" t="n">
        <x:v>5</x:v>
      </x:c>
      <x:c r="D815" s="16" t="n">
        <x:f>IF('Queries'!E815&lt;='Rules'!$B$17,'Rules'!$B$21,IF('Queries'!E815&lt;='Rules'!$B$18,'Rules'!$B$22,IF('Queries'!E815&lt;='Rules'!$B$19,'Rules'!$B$23,IF('Queries'!E815&lt;='Rules'!$B$20,'Rules'!$B$24,'Rules'!$B$25))))</x:f>
        <x:v>0.4</x:v>
      </x:c>
      <x:c r="E815" s="16" t="n">
        <x:f>MIN(LOG10(1+'Queries'!C815)/'Rules'!$B$13,1)</x:f>
        <x:v>0.4013733275519733</x:v>
      </x:c>
      <x:c r="F815" s="16" t="n">
        <x:f>IF(AND('Queries'!E815&lt;='Rules'!$B$15,'Queries'!C815&gt;='Rules'!$B$14,'Queries'!D815&lt;'Rules'!$B$16),1,0)</x:f>
        <x:v>0</x:v>
      </x:c>
      <x:c r="G815" s="16" t="n">
        <x:v>1</x:v>
      </x:c>
      <x:c r="H815" s="16" t="n">
        <x:v>1</x:v>
      </x:c>
      <x:c r="I815" s="16" t="n">
        <x:f>ROUND((B815*'Rules'!$B$6+C815/'Rules'!$B$12*'Rules'!$B$7+D815*'Rules'!$B$8+E815*'Rules'!$B$9+F815*'Rules'!$B$10+G815*'Rules'!$B$11)*H815,1)</x:f>
        <x:v>69</x:v>
      </x:c>
      <x:c r="J815" s="18" t="n">
        <x:f>'Queries'!C815*'Queries'!E815</x:f>
        <x:v>556.95</x:v>
      </x:c>
    </x:row>
    <x:row r="816" ht="32" customHeight="1">
      <x:c r="A816" s="6" t="str">
        <x:v>battery replacement service</x:v>
      </x:c>
      <x:c r="B816" s="16" t="n">
        <x:v>0.8</x:v>
      </x:c>
      <x:c r="C816" s="16" t="n">
        <x:v>3</x:v>
      </x:c>
      <x:c r="D816" s="16" t="n">
        <x:f>IF('Queries'!E816&lt;='Rules'!$B$17,'Rules'!$B$21,IF('Queries'!E816&lt;='Rules'!$B$18,'Rules'!$B$22,IF('Queries'!E816&lt;='Rules'!$B$19,'Rules'!$B$23,IF('Queries'!E816&lt;='Rules'!$B$20,'Rules'!$B$24,'Rules'!$B$25))))</x:f>
        <x:v>0.4</x:v>
      </x:c>
      <x:c r="E816" s="16" t="n">
        <x:f>MIN(LOG10(1+'Queries'!C816)/'Rules'!$B$13,1)</x:f>
        <x:v>0.4013733275519733</x:v>
      </x:c>
      <x:c r="F816" s="16" t="n">
        <x:f>IF(AND('Queries'!E816&lt;='Rules'!$B$15,'Queries'!C816&gt;='Rules'!$B$14,'Queries'!D816&lt;'Rules'!$B$16),1,0)</x:f>
        <x:v>0</x:v>
      </x:c>
      <x:c r="G816" s="16" t="n">
        <x:v>1</x:v>
      </x:c>
      <x:c r="H816" s="16" t="n">
        <x:v>1</x:v>
      </x:c>
      <x:c r="I816" s="16" t="n">
        <x:f>ROUND((B816*'Rules'!$B$6+C816/'Rules'!$B$12*'Rules'!$B$7+D816*'Rules'!$B$8+E816*'Rules'!$B$9+F816*'Rules'!$B$10+G816*'Rules'!$B$11)*H816,1)</x:f>
        <x:v>56</x:v>
      </x:c>
      <x:c r="J816" s="18" t="n">
        <x:f>'Queries'!C816*'Queries'!E816</x:f>
        <x:v>574.0500000000001</x:v>
      </x:c>
    </x:row>
    <x:row r="817" ht="32" customHeight="1">
      <x:c r="A817" s="6" t="str">
        <x:v>audi gearbox specialist near me</x:v>
      </x:c>
      <x:c r="B817" s="16" t="n">
        <x:v>1</x:v>
      </x:c>
      <x:c r="C817" s="16" t="n">
        <x:v>5</x:v>
      </x:c>
      <x:c r="D817" s="16" t="n">
        <x:f>IF('Queries'!E817&lt;='Rules'!$B$17,'Rules'!$B$21,IF('Queries'!E817&lt;='Rules'!$B$18,'Rules'!$B$22,IF('Queries'!E817&lt;='Rules'!$B$19,'Rules'!$B$23,IF('Queries'!E817&lt;='Rules'!$B$20,'Rules'!$B$24,'Rules'!$B$25))))</x:f>
        <x:v>0.15</x:v>
      </x:c>
      <x:c r="E817" s="16" t="n">
        <x:f>MIN(LOG10(1+'Queries'!C817)/'Rules'!$B$13,1)</x:f>
        <x:v>0.4013733275519733</x:v>
      </x:c>
      <x:c r="F817" s="16" t="n">
        <x:f>IF(AND('Queries'!E817&lt;='Rules'!$B$15,'Queries'!C817&gt;='Rules'!$B$14,'Queries'!D817&lt;'Rules'!$B$16),1,0)</x:f>
        <x:v>0</x:v>
      </x:c>
      <x:c r="G817" s="16" t="n">
        <x:v>1</x:v>
      </x:c>
      <x:c r="H817" s="16" t="n">
        <x:v>1</x:v>
      </x:c>
      <x:c r="I817" s="16" t="n">
        <x:f>ROUND((B817*'Rules'!$B$6+C817/'Rules'!$B$12*'Rules'!$B$7+D817*'Rules'!$B$8+E817*'Rules'!$B$9+F817*'Rules'!$B$10+G817*'Rules'!$B$11)*H817,1)</x:f>
        <x:v>62.8</x:v>
      </x:c>
      <x:c r="J817" s="18" t="n">
        <x:f>'Queries'!C817*'Queries'!E817</x:f>
        <x:v>613.05</x:v>
      </x:c>
    </x:row>
    <x:row r="818" ht="32" customHeight="1">
      <x:c r="A818" s="6" t="str">
        <x:v>graphene car paint protection in dubai</x:v>
      </x:c>
      <x:c r="B818" s="16" t="n">
        <x:v>1</x:v>
      </x:c>
      <x:c r="C818" s="16" t="n">
        <x:v>1</x:v>
      </x:c>
      <x:c r="D818" s="16" t="n">
        <x:f>IF('Queries'!E818&lt;='Rules'!$B$17,'Rules'!$B$21,IF('Queries'!E818&lt;='Rules'!$B$18,'Rules'!$B$22,IF('Queries'!E818&lt;='Rules'!$B$19,'Rules'!$B$23,IF('Queries'!E818&lt;='Rules'!$B$20,'Rules'!$B$24,'Rules'!$B$25))))</x:f>
        <x:v>0.15</x:v>
      </x:c>
      <x:c r="E818" s="16" t="n">
        <x:f>MIN(LOG10(1+'Queries'!C818)/'Rules'!$B$13,1)</x:f>
        <x:v>0.4013733275519733</x:v>
      </x:c>
      <x:c r="F818" s="16" t="n">
        <x:f>IF(AND('Queries'!E818&lt;='Rules'!$B$15,'Queries'!C818&gt;='Rules'!$B$14,'Queries'!D818&lt;'Rules'!$B$16),1,0)</x:f>
        <x:v>0</x:v>
      </x:c>
      <x:c r="G818" s="16" t="n">
        <x:v>1</x:v>
      </x:c>
      <x:c r="H818" s="16" t="n">
        <x:v>0.1</x:v>
      </x:c>
      <x:c r="I818" s="16" t="n">
        <x:f>ROUND((B818*'Rules'!$B$6+C818/'Rules'!$B$12*'Rules'!$B$7+D818*'Rules'!$B$8+E818*'Rules'!$B$9+F818*'Rules'!$B$10+G818*'Rules'!$B$11)*H818,1)</x:f>
        <x:v>4.7</x:v>
      </x:c>
      <x:c r="J818" s="18" t="n">
        <x:f>'Queries'!C818*'Queries'!E818</x:f>
        <x:v>667.05</x:v>
      </x:c>
    </x:row>
    <x:row r="819" ht="32" customHeight="1">
      <x:c r="A819" s="6" t="str">
        <x:v>tesla battery</x:v>
      </x:c>
      <x:c r="B819" s="16" t="n">
        <x:v>1</x:v>
      </x:c>
      <x:c r="C819" s="16" t="n">
        <x:v>1</x:v>
      </x:c>
      <x:c r="D819" s="16" t="n">
        <x:f>IF('Queries'!E819&lt;='Rules'!$B$17,'Rules'!$B$21,IF('Queries'!E819&lt;='Rules'!$B$18,'Rules'!$B$22,IF('Queries'!E819&lt;='Rules'!$B$19,'Rules'!$B$23,IF('Queries'!E819&lt;='Rules'!$B$20,'Rules'!$B$24,'Rules'!$B$25))))</x:f>
        <x:v>0.15</x:v>
      </x:c>
      <x:c r="E819" s="16" t="n">
        <x:f>MIN(LOG10(1+'Queries'!C819)/'Rules'!$B$13,1)</x:f>
        <x:v>0.4013733275519733</x:v>
      </x:c>
      <x:c r="F819" s="16" t="n">
        <x:f>IF(AND('Queries'!E819&lt;='Rules'!$B$15,'Queries'!C819&gt;='Rules'!$B$14,'Queries'!D819&lt;'Rules'!$B$16),1,0)</x:f>
        <x:v>0</x:v>
      </x:c>
      <x:c r="G819" s="16" t="n">
        <x:v>0.25</x:v>
      </x:c>
      <x:c r="H819" s="16" t="n">
        <x:v>0.1</x:v>
      </x:c>
      <x:c r="I819" s="16" t="n">
        <x:f>ROUND((B819*'Rules'!$B$6+C819/'Rules'!$B$12*'Rules'!$B$7+D819*'Rules'!$B$8+E819*'Rules'!$B$9+F819*'Rules'!$B$10+G819*'Rules'!$B$11)*H819,1)</x:f>
        <x:v>3.9</x:v>
      </x:c>
      <x:c r="J819" s="18" t="n">
        <x:f>'Queries'!C819*'Queries'!E819</x:f>
        <x:v>672</x:v>
      </x:c>
    </x:row>
    <x:row r="820" ht="32" customHeight="1">
      <x:c r="A820" s="6" t="str">
        <x:v>graphene paint protection in dubai</x:v>
      </x:c>
      <x:c r="B820" s="16" t="n">
        <x:v>1</x:v>
      </x:c>
      <x:c r="C820" s="16" t="n">
        <x:v>1</x:v>
      </x:c>
      <x:c r="D820" s="16" t="n">
        <x:f>IF('Queries'!E820&lt;='Rules'!$B$17,'Rules'!$B$21,IF('Queries'!E820&lt;='Rules'!$B$18,'Rules'!$B$22,IF('Queries'!E820&lt;='Rules'!$B$19,'Rules'!$B$23,IF('Queries'!E820&lt;='Rules'!$B$20,'Rules'!$B$24,'Rules'!$B$25))))</x:f>
        <x:v>0.15</x:v>
      </x:c>
      <x:c r="E820" s="16" t="n">
        <x:f>MIN(LOG10(1+'Queries'!C820)/'Rules'!$B$13,1)</x:f>
        <x:v>0.4013733275519733</x:v>
      </x:c>
      <x:c r="F820" s="16" t="n">
        <x:f>IF(AND('Queries'!E820&lt;='Rules'!$B$15,'Queries'!C820&gt;='Rules'!$B$14,'Queries'!D820&lt;'Rules'!$B$16),1,0)</x:f>
        <x:v>0</x:v>
      </x:c>
      <x:c r="G820" s="16" t="n">
        <x:v>1</x:v>
      </x:c>
      <x:c r="H820" s="16" t="n">
        <x:v>0.1</x:v>
      </x:c>
      <x:c r="I820" s="16" t="n">
        <x:f>ROUND((B820*'Rules'!$B$6+C820/'Rules'!$B$12*'Rules'!$B$7+D820*'Rules'!$B$8+E820*'Rules'!$B$9+F820*'Rules'!$B$10+G820*'Rules'!$B$11)*H820,1)</x:f>
        <x:v>4.7</x:v>
      </x:c>
      <x:c r="J820" s="18" t="n">
        <x:f>'Queries'!C820*'Queries'!E820</x:f>
        <x:v>690</x:v>
      </x:c>
    </x:row>
    <x:row r="821" ht="32" customHeight="1">
      <x:c r="A821" s="6" t="str">
        <x:v>land rover repairs dubai</x:v>
      </x:c>
      <x:c r="B821" s="16" t="n">
        <x:v>1</x:v>
      </x:c>
      <x:c r="C821" s="16" t="n">
        <x:v>5</x:v>
      </x:c>
      <x:c r="D821" s="16" t="n">
        <x:f>IF('Queries'!E821&lt;='Rules'!$B$17,'Rules'!$B$21,IF('Queries'!E821&lt;='Rules'!$B$18,'Rules'!$B$22,IF('Queries'!E821&lt;='Rules'!$B$19,'Rules'!$B$23,IF('Queries'!E821&lt;='Rules'!$B$20,'Rules'!$B$24,'Rules'!$B$25))))</x:f>
        <x:v>0.15</x:v>
      </x:c>
      <x:c r="E821" s="16" t="n">
        <x:f>MIN(LOG10(1+'Queries'!C821)/'Rules'!$B$13,1)</x:f>
        <x:v>0.4013733275519733</x:v>
      </x:c>
      <x:c r="F821" s="16" t="n">
        <x:f>IF(AND('Queries'!E821&lt;='Rules'!$B$15,'Queries'!C821&gt;='Rules'!$B$14,'Queries'!D821&lt;'Rules'!$B$16),1,0)</x:f>
        <x:v>0</x:v>
      </x:c>
      <x:c r="G821" s="16" t="n">
        <x:v>1</x:v>
      </x:c>
      <x:c r="H821" s="16" t="n">
        <x:v>1</x:v>
      </x:c>
      <x:c r="I821" s="16" t="n">
        <x:f>ROUND((B821*'Rules'!$B$6+C821/'Rules'!$B$12*'Rules'!$B$7+D821*'Rules'!$B$8+E821*'Rules'!$B$9+F821*'Rules'!$B$10+G821*'Rules'!$B$11)*H821,1)</x:f>
        <x:v>62.8</x:v>
      </x:c>
      <x:c r="J821" s="18" t="n">
        <x:f>'Queries'!C821*'Queries'!E821</x:f>
        <x:v>784.0500000000001</x:v>
      </x:c>
    </x:row>
    <x:row r="822" ht="32" customHeight="1">
      <x:c r="A822" s="6" t="str">
        <x:v>ford car service in dubai</x:v>
      </x:c>
      <x:c r="B822" s="16" t="n">
        <x:v>1</x:v>
      </x:c>
      <x:c r="C822" s="16" t="n">
        <x:v>3</x:v>
      </x:c>
      <x:c r="D822" s="16" t="n">
        <x:f>IF('Queries'!E822&lt;='Rules'!$B$17,'Rules'!$B$21,IF('Queries'!E822&lt;='Rules'!$B$18,'Rules'!$B$22,IF('Queries'!E822&lt;='Rules'!$B$19,'Rules'!$B$23,IF('Queries'!E822&lt;='Rules'!$B$20,'Rules'!$B$24,'Rules'!$B$25))))</x:f>
        <x:v>0.15</x:v>
      </x:c>
      <x:c r="E822" s="16" t="n">
        <x:f>MIN(LOG10(1+'Queries'!C822)/'Rules'!$B$13,1)</x:f>
        <x:v>0.4013733275519733</x:v>
      </x:c>
      <x:c r="F822" s="16" t="n">
        <x:f>IF(AND('Queries'!E822&lt;='Rules'!$B$15,'Queries'!C822&gt;='Rules'!$B$14,'Queries'!D822&lt;'Rules'!$B$16),1,0)</x:f>
        <x:v>0</x:v>
      </x:c>
      <x:c r="G822" s="16" t="n">
        <x:v>1</x:v>
      </x:c>
      <x:c r="H822" s="16" t="n">
        <x:v>1</x:v>
      </x:c>
      <x:c r="I822" s="16" t="n">
        <x:f>ROUND((B822*'Rules'!$B$6+C822/'Rules'!$B$12*'Rules'!$B$7+D822*'Rules'!$B$8+E822*'Rules'!$B$9+F822*'Rules'!$B$10+G822*'Rules'!$B$11)*H822,1)</x:f>
        <x:v>54.8</x:v>
      </x:c>
      <x:c r="J822" s="18" t="n">
        <x:f>'Queries'!C822*'Queries'!E822</x:f>
        <x:v>811.05</x:v>
      </x:c>
    </x:row>
    <x:row r="823" ht="32" customHeight="1">
      <x:c r="A823" s="6" t="str">
        <x:v>range rover specialist</x:v>
      </x:c>
      <x:c r="B823" s="16" t="n">
        <x:v>0.8</x:v>
      </x:c>
      <x:c r="C823" s="16" t="n">
        <x:v>5</x:v>
      </x:c>
      <x:c r="D823" s="16" t="n">
        <x:f>IF('Queries'!E823&lt;='Rules'!$B$17,'Rules'!$B$21,IF('Queries'!E823&lt;='Rules'!$B$18,'Rules'!$B$22,IF('Queries'!E823&lt;='Rules'!$B$19,'Rules'!$B$23,IF('Queries'!E823&lt;='Rules'!$B$20,'Rules'!$B$24,'Rules'!$B$25))))</x:f>
        <x:v>0.15</x:v>
      </x:c>
      <x:c r="E823" s="16" t="n">
        <x:f>MIN(LOG10(1+'Queries'!C823)/'Rules'!$B$13,1)</x:f>
        <x:v>0.4013733275519733</x:v>
      </x:c>
      <x:c r="F823" s="16" t="n">
        <x:f>IF(AND('Queries'!E823&lt;='Rules'!$B$15,'Queries'!C823&gt;='Rules'!$B$14,'Queries'!D823&lt;'Rules'!$B$16),1,0)</x:f>
        <x:v>0</x:v>
      </x:c>
      <x:c r="G823" s="16" t="n">
        <x:v>1</x:v>
      </x:c>
      <x:c r="H823" s="16" t="n">
        <x:v>1</x:v>
      </x:c>
      <x:c r="I823" s="16" t="n">
        <x:f>ROUND((B823*'Rules'!$B$6+C823/'Rules'!$B$12*'Rules'!$B$7+D823*'Rules'!$B$8+E823*'Rules'!$B$9+F823*'Rules'!$B$10+G823*'Rules'!$B$11)*H823,1)</x:f>
        <x:v>57.8</x:v>
      </x:c>
      <x:c r="J823" s="18" t="n">
        <x:f>'Queries'!C823*'Queries'!E823</x:f>
        <x:v>820.0500000000001</x:v>
      </x:c>
    </x:row>
    <x:row r="824" ht="32" customHeight="1">
      <x:c r="A824" s="6" t="str">
        <x:v>mercedes benz authorized body shop</x:v>
      </x:c>
      <x:c r="B824" s="16" t="n">
        <x:v>0</x:v>
      </x:c>
      <x:c r="C824" s="16" t="n">
        <x:v>0</x:v>
      </x:c>
      <x:c r="D824" s="16" t="n">
        <x:f>IF('Queries'!E824&lt;='Rules'!$B$17,'Rules'!$B$21,IF('Queries'!E824&lt;='Rules'!$B$18,'Rules'!$B$22,IF('Queries'!E824&lt;='Rules'!$B$19,'Rules'!$B$23,IF('Queries'!E824&lt;='Rules'!$B$20,'Rules'!$B$24,'Rules'!$B$25))))</x:f>
        <x:v>0.15</x:v>
      </x:c>
      <x:c r="E824" s="16" t="n">
        <x:f>MIN(LOG10(1+'Queries'!C824)/'Rules'!$B$13,1)</x:f>
        <x:v>0.4013733275519733</x:v>
      </x:c>
      <x:c r="F824" s="16" t="n">
        <x:f>IF(AND('Queries'!E824&lt;='Rules'!$B$15,'Queries'!C824&gt;='Rules'!$B$14,'Queries'!D824&lt;'Rules'!$B$16),1,0)</x:f>
        <x:v>0</x:v>
      </x:c>
      <x:c r="G824" s="16" t="n">
        <x:v>0</x:v>
      </x:c>
      <x:c r="H824" s="16" t="n">
        <x:v>0</x:v>
      </x:c>
      <x:c r="I824" s="16" t="n">
        <x:f>ROUND((B824*'Rules'!$B$6+C824/'Rules'!$B$12*'Rules'!$B$7+D824*'Rules'!$B$8+E824*'Rules'!$B$9+F824*'Rules'!$B$10+G824*'Rules'!$B$11)*H824,1)</x:f>
        <x:v>0</x:v>
      </x:c>
      <x:c r="J824" s="18" t="n">
        <x:f>'Queries'!C824*'Queries'!E824</x:f>
        <x:v>828</x:v>
      </x:c>
    </x:row>
    <x:row r="825" ht="32" customHeight="1">
      <x:c r="A825" s="6" t="str">
        <x:v>car body shop dubai</x:v>
      </x:c>
      <x:c r="B825" s="16" t="n">
        <x:v>1</x:v>
      </x:c>
      <x:c r="C825" s="16" t="n">
        <x:v>3</x:v>
      </x:c>
      <x:c r="D825" s="16" t="n">
        <x:f>IF('Queries'!E825&lt;='Rules'!$B$17,'Rules'!$B$21,IF('Queries'!E825&lt;='Rules'!$B$18,'Rules'!$B$22,IF('Queries'!E825&lt;='Rules'!$B$19,'Rules'!$B$23,IF('Queries'!E825&lt;='Rules'!$B$20,'Rules'!$B$24,'Rules'!$B$25))))</x:f>
        <x:v>0.15</x:v>
      </x:c>
      <x:c r="E825" s="16" t="n">
        <x:f>MIN(LOG10(1+'Queries'!C825)/'Rules'!$B$13,1)</x:f>
        <x:v>0.4013733275519733</x:v>
      </x:c>
      <x:c r="F825" s="16" t="n">
        <x:f>IF(AND('Queries'!E825&lt;='Rules'!$B$15,'Queries'!C825&gt;='Rules'!$B$14,'Queries'!D825&lt;'Rules'!$B$16),1,0)</x:f>
        <x:v>0</x:v>
      </x:c>
      <x:c r="G825" s="16" t="n">
        <x:v>1</x:v>
      </x:c>
      <x:c r="H825" s="16" t="n">
        <x:v>1</x:v>
      </x:c>
      <x:c r="I825" s="16" t="n">
        <x:f>ROUND((B825*'Rules'!$B$6+C825/'Rules'!$B$12*'Rules'!$B$7+D825*'Rules'!$B$8+E825*'Rules'!$B$9+F825*'Rules'!$B$10+G825*'Rules'!$B$11)*H825,1)</x:f>
        <x:v>54.8</x:v>
      </x:c>
      <x:c r="J825" s="18" t="n">
        <x:f>'Queries'!C825*'Queries'!E825</x:f>
        <x:v>835.0500000000001</x:v>
      </x:c>
    </x:row>
    <x:row r="826" ht="32" customHeight="1">
      <x:c r="A826" s="6" t="str">
        <x:v>car garage</x:v>
      </x:c>
      <x:c r="B826" s="16" t="n">
        <x:v>0.8</x:v>
      </x:c>
      <x:c r="C826" s="16" t="n">
        <x:v>3</x:v>
      </x:c>
      <x:c r="D826" s="16" t="n">
        <x:f>IF('Queries'!E826&lt;='Rules'!$B$17,'Rules'!$B$21,IF('Queries'!E826&lt;='Rules'!$B$18,'Rules'!$B$22,IF('Queries'!E826&lt;='Rules'!$B$19,'Rules'!$B$23,IF('Queries'!E826&lt;='Rules'!$B$20,'Rules'!$B$24,'Rules'!$B$25))))</x:f>
        <x:v>0.15</x:v>
      </x:c>
      <x:c r="E826" s="16" t="n">
        <x:f>MIN(LOG10(1+'Queries'!C826)/'Rules'!$B$13,1)</x:f>
        <x:v>0.4013733275519733</x:v>
      </x:c>
      <x:c r="F826" s="16" t="n">
        <x:f>IF(AND('Queries'!E826&lt;='Rules'!$B$15,'Queries'!C826&gt;='Rules'!$B$14,'Queries'!D826&lt;'Rules'!$B$16),1,0)</x:f>
        <x:v>0</x:v>
      </x:c>
      <x:c r="G826" s="16" t="n">
        <x:v>1</x:v>
      </x:c>
      <x:c r="H826" s="16" t="n">
        <x:v>1</x:v>
      </x:c>
      <x:c r="I826" s="16" t="n">
        <x:f>ROUND((B826*'Rules'!$B$6+C826/'Rules'!$B$12*'Rules'!$B$7+D826*'Rules'!$B$8+E826*'Rules'!$B$9+F826*'Rules'!$B$10+G826*'Rules'!$B$11)*H826,1)</x:f>
        <x:v>49.8</x:v>
      </x:c>
      <x:c r="J826" s="18" t="n">
        <x:f>'Queries'!C826*'Queries'!E826</x:f>
        <x:v>841.95</x:v>
      </x:c>
    </x:row>
    <x:row r="827" ht="32" customHeight="1">
      <x:c r="A827" s="6" t="str">
        <x:v>ford car service dubai</x:v>
      </x:c>
      <x:c r="B827" s="16" t="n">
        <x:v>1</x:v>
      </x:c>
      <x:c r="C827" s="16" t="n">
        <x:v>3</x:v>
      </x:c>
      <x:c r="D827" s="16" t="n">
        <x:f>IF('Queries'!E827&lt;='Rules'!$B$17,'Rules'!$B$21,IF('Queries'!E827&lt;='Rules'!$B$18,'Rules'!$B$22,IF('Queries'!E827&lt;='Rules'!$B$19,'Rules'!$B$23,IF('Queries'!E827&lt;='Rules'!$B$20,'Rules'!$B$24,'Rules'!$B$25))))</x:f>
        <x:v>0.15</x:v>
      </x:c>
      <x:c r="E827" s="16" t="n">
        <x:f>MIN(LOG10(1+'Queries'!C827)/'Rules'!$B$13,1)</x:f>
        <x:v>0.4013733275519733</x:v>
      </x:c>
      <x:c r="F827" s="16" t="n">
        <x:f>IF(AND('Queries'!E827&lt;='Rules'!$B$15,'Queries'!C827&gt;='Rules'!$B$14,'Queries'!D827&lt;'Rules'!$B$16),1,0)</x:f>
        <x:v>0</x:v>
      </x:c>
      <x:c r="G827" s="16" t="n">
        <x:v>1</x:v>
      </x:c>
      <x:c r="H827" s="16" t="n">
        <x:v>1</x:v>
      </x:c>
      <x:c r="I827" s="16" t="n">
        <x:f>ROUND((B827*'Rules'!$B$6+C827/'Rules'!$B$12*'Rules'!$B$7+D827*'Rules'!$B$8+E827*'Rules'!$B$9+F827*'Rules'!$B$10+G827*'Rules'!$B$11)*H827,1)</x:f>
        <x:v>54.8</x:v>
      </x:c>
      <x:c r="J827" s="18" t="n">
        <x:f>'Queries'!C827*'Queries'!E827</x:f>
        <x:v>861</x:v>
      </x:c>
    </x:row>
    <x:row r="828" ht="32" customHeight="1">
      <x:c r="A828" s="6" t="str">
        <x:v>volkswagen car repair in dubai</x:v>
      </x:c>
      <x:c r="B828" s="16" t="n">
        <x:v>1</x:v>
      </x:c>
      <x:c r="C828" s="16" t="n">
        <x:v>3</x:v>
      </x:c>
      <x:c r="D828" s="16" t="n">
        <x:f>IF('Queries'!E828&lt;='Rules'!$B$17,'Rules'!$B$21,IF('Queries'!E828&lt;='Rules'!$B$18,'Rules'!$B$22,IF('Queries'!E828&lt;='Rules'!$B$19,'Rules'!$B$23,IF('Queries'!E828&lt;='Rules'!$B$20,'Rules'!$B$24,'Rules'!$B$25))))</x:f>
        <x:v>0.15</x:v>
      </x:c>
      <x:c r="E828" s="16" t="n">
        <x:f>MIN(LOG10(1+'Queries'!C828)/'Rules'!$B$13,1)</x:f>
        <x:v>0.4013733275519733</x:v>
      </x:c>
      <x:c r="F828" s="16" t="n">
        <x:f>IF(AND('Queries'!E828&lt;='Rules'!$B$15,'Queries'!C828&gt;='Rules'!$B$14,'Queries'!D828&lt;'Rules'!$B$16),1,0)</x:f>
        <x:v>0</x:v>
      </x:c>
      <x:c r="G828" s="16" t="n">
        <x:v>1</x:v>
      </x:c>
      <x:c r="H828" s="16" t="n">
        <x:v>1</x:v>
      </x:c>
      <x:c r="I828" s="16" t="n">
        <x:f>ROUND((B828*'Rules'!$B$6+C828/'Rules'!$B$12*'Rules'!$B$7+D828*'Rules'!$B$8+E828*'Rules'!$B$9+F828*'Rules'!$B$10+G828*'Rules'!$B$11)*H828,1)</x:f>
        <x:v>54.8</x:v>
      </x:c>
      <x:c r="J828" s="18" t="n">
        <x:f>'Queries'!C828*'Queries'!E828</x:f>
        <x:v>886.05</x:v>
      </x:c>
    </x:row>
    <x:row r="829" ht="32" customHeight="1">
      <x:c r="A829" s="6" t="str">
        <x:v>bentley repairs</x:v>
      </x:c>
      <x:c r="B829" s="16" t="n">
        <x:v>0.8</x:v>
      </x:c>
      <x:c r="C829" s="16" t="n">
        <x:v>5</x:v>
      </x:c>
      <x:c r="D829" s="16" t="n">
        <x:f>IF('Queries'!E829&lt;='Rules'!$B$17,'Rules'!$B$21,IF('Queries'!E829&lt;='Rules'!$B$18,'Rules'!$B$22,IF('Queries'!E829&lt;='Rules'!$B$19,'Rules'!$B$23,IF('Queries'!E829&lt;='Rules'!$B$20,'Rules'!$B$24,'Rules'!$B$25))))</x:f>
        <x:v>0.15</x:v>
      </x:c>
      <x:c r="E829" s="16" t="n">
        <x:f>MIN(LOG10(1+'Queries'!C829)/'Rules'!$B$13,1)</x:f>
        <x:v>0.4013733275519733</x:v>
      </x:c>
      <x:c r="F829" s="16" t="n">
        <x:f>IF(AND('Queries'!E829&lt;='Rules'!$B$15,'Queries'!C829&gt;='Rules'!$B$14,'Queries'!D829&lt;'Rules'!$B$16),1,0)</x:f>
        <x:v>0</x:v>
      </x:c>
      <x:c r="G829" s="16" t="n">
        <x:v>1</x:v>
      </x:c>
      <x:c r="H829" s="16" t="n">
        <x:v>1</x:v>
      </x:c>
      <x:c r="I829" s="16" t="n">
        <x:f>ROUND((B829*'Rules'!$B$6+C829/'Rules'!$B$12*'Rules'!$B$7+D829*'Rules'!$B$8+E829*'Rules'!$B$9+F829*'Rules'!$B$10+G829*'Rules'!$B$11)*H829,1)</x:f>
        <x:v>57.8</x:v>
      </x:c>
      <x:c r="J829" s="18" t="n">
        <x:f>'Queries'!C829*'Queries'!E829</x:f>
        <x:v>964.05</x:v>
      </x:c>
    </x:row>
    <x:row r="830" ht="32" customHeight="1">
      <x:c r="A830" s="6" t="str">
        <x:v>change car battery</x:v>
      </x:c>
      <x:c r="B830" s="16" t="n">
        <x:v>0.8</x:v>
      </x:c>
      <x:c r="C830" s="16" t="n">
        <x:v>3</x:v>
      </x:c>
      <x:c r="D830" s="16" t="n">
        <x:f>IF('Queries'!E830&lt;='Rules'!$B$17,'Rules'!$B$21,IF('Queries'!E830&lt;='Rules'!$B$18,'Rules'!$B$22,IF('Queries'!E830&lt;='Rules'!$B$19,'Rules'!$B$23,IF('Queries'!E830&lt;='Rules'!$B$20,'Rules'!$B$24,'Rules'!$B$25))))</x:f>
        <x:v>0.15</x:v>
      </x:c>
      <x:c r="E830" s="16" t="n">
        <x:f>MIN(LOG10(1+'Queries'!C830)/'Rules'!$B$13,1)</x:f>
        <x:v>0.4013733275519733</x:v>
      </x:c>
      <x:c r="F830" s="16" t="n">
        <x:f>IF(AND('Queries'!E830&lt;='Rules'!$B$15,'Queries'!C830&gt;='Rules'!$B$14,'Queries'!D830&lt;'Rules'!$B$16),1,0)</x:f>
        <x:v>0</x:v>
      </x:c>
      <x:c r="G830" s="16" t="n">
        <x:v>1</x:v>
      </x:c>
      <x:c r="H830" s="16" t="n">
        <x:v>1</x:v>
      </x:c>
      <x:c r="I830" s="16" t="n">
        <x:f>ROUND((B830*'Rules'!$B$6+C830/'Rules'!$B$12*'Rules'!$B$7+D830*'Rules'!$B$8+E830*'Rules'!$B$9+F830*'Rules'!$B$10+G830*'Rules'!$B$11)*H830,1)</x:f>
        <x:v>49.8</x:v>
      </x:c>
      <x:c r="J830" s="18" t="n">
        <x:f>'Queries'!C830*'Queries'!E830</x:f>
        <x:v>1077</x:v>
      </x:c>
    </x:row>
    <x:row r="831" ht="32" customHeight="1">
      <x:c r="A831" s="6" t="str">
        <x:v>porsche inspection dubai</x:v>
      </x:c>
      <x:c r="B831" s="16" t="n">
        <x:v>1</x:v>
      </x:c>
      <x:c r="C831" s="16" t="n">
        <x:v>5</x:v>
      </x:c>
      <x:c r="D831" s="16" t="n">
        <x:f>IF('Queries'!E831&lt;='Rules'!$B$17,'Rules'!$B$21,IF('Queries'!E831&lt;='Rules'!$B$18,'Rules'!$B$22,IF('Queries'!E831&lt;='Rules'!$B$19,'Rules'!$B$23,IF('Queries'!E831&lt;='Rules'!$B$20,'Rules'!$B$24,'Rules'!$B$25))))</x:f>
        <x:v>0.15</x:v>
      </x:c>
      <x:c r="E831" s="16" t="n">
        <x:f>MIN(LOG10(1+'Queries'!C831)/'Rules'!$B$13,1)</x:f>
        <x:v>0.4013733275519733</x:v>
      </x:c>
      <x:c r="F831" s="16" t="n">
        <x:f>IF(AND('Queries'!E831&lt;='Rules'!$B$15,'Queries'!C831&gt;='Rules'!$B$14,'Queries'!D831&lt;'Rules'!$B$16),1,0)</x:f>
        <x:v>0</x:v>
      </x:c>
      <x:c r="G831" s="16" t="n">
        <x:v>1</x:v>
      </x:c>
      <x:c r="H831" s="16" t="n">
        <x:v>1</x:v>
      </x:c>
      <x:c r="I831" s="16" t="n">
        <x:f>ROUND((B831*'Rules'!$B$6+C831/'Rules'!$B$12*'Rules'!$B$7+D831*'Rules'!$B$8+E831*'Rules'!$B$9+F831*'Rules'!$B$10+G831*'Rules'!$B$11)*H831,1)</x:f>
        <x:v>62.8</x:v>
      </x:c>
      <x:c r="J831" s="18" t="n">
        <x:f>'Queries'!C831*'Queries'!E831</x:f>
        <x:v>1117.05</x:v>
      </x:c>
    </x:row>
    <x:row r="832" ht="32" customHeight="1">
      <x:c r="A832" s="6" t="str">
        <x:v>automatic car oil change</x:v>
      </x:c>
      <x:c r="B832" s="16" t="n">
        <x:v>0.8</x:v>
      </x:c>
      <x:c r="C832" s="16" t="n">
        <x:v>3</x:v>
      </x:c>
      <x:c r="D832" s="16" t="n">
        <x:f>IF('Queries'!E832&lt;='Rules'!$B$17,'Rules'!$B$21,IF('Queries'!E832&lt;='Rules'!$B$18,'Rules'!$B$22,IF('Queries'!E832&lt;='Rules'!$B$19,'Rules'!$B$23,IF('Queries'!E832&lt;='Rules'!$B$20,'Rules'!$B$24,'Rules'!$B$25))))</x:f>
        <x:v>0.15</x:v>
      </x:c>
      <x:c r="E832" s="16" t="n">
        <x:f>MIN(LOG10(1+'Queries'!C832)/'Rules'!$B$13,1)</x:f>
        <x:v>0.4013733275519733</x:v>
      </x:c>
      <x:c r="F832" s="16" t="n">
        <x:f>IF(AND('Queries'!E832&lt;='Rules'!$B$15,'Queries'!C832&gt;='Rules'!$B$14,'Queries'!D832&lt;'Rules'!$B$16),1,0)</x:f>
        <x:v>0</x:v>
      </x:c>
      <x:c r="G832" s="16" t="n">
        <x:v>1</x:v>
      </x:c>
      <x:c r="H832" s="16" t="n">
        <x:v>1</x:v>
      </x:c>
      <x:c r="I832" s="16" t="n">
        <x:f>ROUND((B832*'Rules'!$B$6+C832/'Rules'!$B$12*'Rules'!$B$7+D832*'Rules'!$B$8+E832*'Rules'!$B$9+F832*'Rules'!$B$10+G832*'Rules'!$B$11)*H832,1)</x:f>
        <x:v>49.8</x:v>
      </x:c>
      <x:c r="J832" s="18" t="n">
        <x:f>'Queries'!C832*'Queries'!E832</x:f>
        <x:v>1117.95</x:v>
      </x:c>
    </x:row>
    <x:row r="833" ht="32" customHeight="1">
      <x:c r="A833" s="6" t="str">
        <x:v>كراج تصليح بنتلي</x:v>
      </x:c>
      <x:c r="B833" s="16" t="n">
        <x:v>0.8</x:v>
      </x:c>
      <x:c r="C833" s="16" t="n">
        <x:v>5</x:v>
      </x:c>
      <x:c r="D833" s="16" t="n">
        <x:f>IF('Queries'!E833&lt;='Rules'!$B$17,'Rules'!$B$21,IF('Queries'!E833&lt;='Rules'!$B$18,'Rules'!$B$22,IF('Queries'!E833&lt;='Rules'!$B$19,'Rules'!$B$23,IF('Queries'!E833&lt;='Rules'!$B$20,'Rules'!$B$24,'Rules'!$B$25))))</x:f>
        <x:v>0.15</x:v>
      </x:c>
      <x:c r="E833" s="16" t="n">
        <x:f>MIN(LOG10(1+'Queries'!C833)/'Rules'!$B$13,1)</x:f>
        <x:v>0.4013733275519733</x:v>
      </x:c>
      <x:c r="F833" s="16" t="n">
        <x:f>IF(AND('Queries'!E833&lt;='Rules'!$B$15,'Queries'!C833&gt;='Rules'!$B$14,'Queries'!D833&lt;'Rules'!$B$16),1,0)</x:f>
        <x:v>0</x:v>
      </x:c>
      <x:c r="G833" s="16" t="n">
        <x:v>1</x:v>
      </x:c>
      <x:c r="H833" s="16" t="n">
        <x:v>1</x:v>
      </x:c>
      <x:c r="I833" s="16" t="n">
        <x:f>ROUND((B833*'Rules'!$B$6+C833/'Rules'!$B$12*'Rules'!$B$7+D833*'Rules'!$B$8+E833*'Rules'!$B$9+F833*'Rules'!$B$10+G833*'Rules'!$B$11)*H833,1)</x:f>
        <x:v>57.8</x:v>
      </x:c>
      <x:c r="J833" s="18" t="n">
        <x:f>'Queries'!C833*'Queries'!E833</x:f>
        <x:v>1216.9499999999998</x:v>
      </x:c>
    </x:row>
    <x:row r="834" ht="32" customHeight="1">
      <x:c r="A834" s="6" t="str">
        <x:v>mercedes exhaust repair</x:v>
      </x:c>
      <x:c r="B834" s="16" t="n">
        <x:v>0.8</x:v>
      </x:c>
      <x:c r="C834" s="16" t="n">
        <x:v>5</x:v>
      </x:c>
      <x:c r="D834" s="16" t="n">
        <x:f>IF('Queries'!E834&lt;='Rules'!$B$17,'Rules'!$B$21,IF('Queries'!E834&lt;='Rules'!$B$18,'Rules'!$B$22,IF('Queries'!E834&lt;='Rules'!$B$19,'Rules'!$B$23,IF('Queries'!E834&lt;='Rules'!$B$20,'Rules'!$B$24,'Rules'!$B$25))))</x:f>
        <x:v>1</x:v>
      </x:c>
      <x:c r="E834" s="16" t="n">
        <x:f>MIN(LOG10(1+'Queries'!C834)/'Rules'!$B$13,1)</x:f>
        <x:v>0.39203041968522667</x:v>
      </x:c>
      <x:c r="F834" s="16" t="n">
        <x:f>IF(AND('Queries'!E834&lt;='Rules'!$B$15,'Queries'!C834&gt;='Rules'!$B$14,'Queries'!D834&lt;'Rules'!$B$16),1,0)</x:f>
        <x:v>0</x:v>
      </x:c>
      <x:c r="G834" s="16" t="n">
        <x:v>1</x:v>
      </x:c>
      <x:c r="H834" s="16" t="n">
        <x:v>1</x:v>
      </x:c>
      <x:c r="I834" s="16" t="n">
        <x:f>ROUND((B834*'Rules'!$B$6+C834/'Rules'!$B$12*'Rules'!$B$7+D834*'Rules'!$B$8+E834*'Rules'!$B$9+F834*'Rules'!$B$10+G834*'Rules'!$B$11)*H834,1)</x:f>
        <x:v>78.9</x:v>
      </x:c>
      <x:c r="J834" s="18" t="n">
        <x:f>'Queries'!C834*'Queries'!E834</x:f>
        <x:v>91</x:v>
      </x:c>
    </x:row>
    <x:row r="835" ht="32" customHeight="1">
      <x:c r="A835" s="6" t="str">
        <x:v>audi maintenance</x:v>
      </x:c>
      <x:c r="B835" s="16" t="n">
        <x:v>0.8</x:v>
      </x:c>
      <x:c r="C835" s="16" t="n">
        <x:v>5</x:v>
      </x:c>
      <x:c r="D835" s="16" t="n">
        <x:f>IF('Queries'!E835&lt;='Rules'!$B$17,'Rules'!$B$21,IF('Queries'!E835&lt;='Rules'!$B$18,'Rules'!$B$22,IF('Queries'!E835&lt;='Rules'!$B$19,'Rules'!$B$23,IF('Queries'!E835&lt;='Rules'!$B$20,'Rules'!$B$24,'Rules'!$B$25))))</x:f>
        <x:v>1</x:v>
      </x:c>
      <x:c r="E835" s="16" t="n">
        <x:f>MIN(LOG10(1+'Queries'!C835)/'Rules'!$B$13,1)</x:f>
        <x:v>0.39203041968522667</x:v>
      </x:c>
      <x:c r="F835" s="16" t="n">
        <x:f>IF(AND('Queries'!E835&lt;='Rules'!$B$15,'Queries'!C835&gt;='Rules'!$B$14,'Queries'!D835&lt;'Rules'!$B$16),1,0)</x:f>
        <x:v>0</x:v>
      </x:c>
      <x:c r="G835" s="16" t="n">
        <x:v>1</x:v>
      </x:c>
      <x:c r="H835" s="16" t="n">
        <x:v>1</x:v>
      </x:c>
      <x:c r="I835" s="16" t="n">
        <x:f>ROUND((B835*'Rules'!$B$6+C835/'Rules'!$B$12*'Rules'!$B$7+D835*'Rules'!$B$8+E835*'Rules'!$B$9+F835*'Rules'!$B$10+G835*'Rules'!$B$11)*H835,1)</x:f>
        <x:v>78.9</x:v>
      </x:c>
      <x:c r="J835" s="18" t="n">
        <x:f>'Queries'!C835*'Queries'!E835</x:f>
        <x:v>130.06</x:v>
      </x:c>
    </x:row>
    <x:row r="836" ht="32" customHeight="1">
      <x:c r="A836" s="6" t="str">
        <x:v>bmw electrical repair</x:v>
      </x:c>
      <x:c r="B836" s="16" t="n">
        <x:v>0.8</x:v>
      </x:c>
      <x:c r="C836" s="16" t="n">
        <x:v>5</x:v>
      </x:c>
      <x:c r="D836" s="16" t="n">
        <x:f>IF('Queries'!E836&lt;='Rules'!$B$17,'Rules'!$B$21,IF('Queries'!E836&lt;='Rules'!$B$18,'Rules'!$B$22,IF('Queries'!E836&lt;='Rules'!$B$19,'Rules'!$B$23,IF('Queries'!E836&lt;='Rules'!$B$20,'Rules'!$B$24,'Rules'!$B$25))))</x:f>
        <x:v>1</x:v>
      </x:c>
      <x:c r="E836" s="16" t="n">
        <x:f>MIN(LOG10(1+'Queries'!C836)/'Rules'!$B$13,1)</x:f>
        <x:v>0.39203041968522667</x:v>
      </x:c>
      <x:c r="F836" s="16" t="n">
        <x:f>IF(AND('Queries'!E836&lt;='Rules'!$B$15,'Queries'!C836&gt;='Rules'!$B$14,'Queries'!D836&lt;'Rules'!$B$16),1,0)</x:f>
        <x:v>0</x:v>
      </x:c>
      <x:c r="G836" s="16" t="n">
        <x:v>1</x:v>
      </x:c>
      <x:c r="H836" s="16" t="n">
        <x:v>1</x:v>
      </x:c>
      <x:c r="I836" s="16" t="n">
        <x:f>ROUND((B836*'Rules'!$B$6+C836/'Rules'!$B$12*'Rules'!$B$7+D836*'Rules'!$B$8+E836*'Rules'!$B$9+F836*'Rules'!$B$10+G836*'Rules'!$B$11)*H836,1)</x:f>
        <x:v>78.9</x:v>
      </x:c>
      <x:c r="J836" s="18" t="n">
        <x:f>'Queries'!C836*'Queries'!E836</x:f>
        <x:v>132.01999999999998</x:v>
      </x:c>
    </x:row>
    <x:row r="837" ht="32" customHeight="1">
      <x:c r="A837" s="6" t="str">
        <x:v>mercedes workshop near me</x:v>
      </x:c>
      <x:c r="B837" s="16" t="n">
        <x:v>1</x:v>
      </x:c>
      <x:c r="C837" s="16" t="n">
        <x:v>5</x:v>
      </x:c>
      <x:c r="D837" s="16" t="n">
        <x:f>IF('Queries'!E837&lt;='Rules'!$B$17,'Rules'!$B$21,IF('Queries'!E837&lt;='Rules'!$B$18,'Rules'!$B$22,IF('Queries'!E837&lt;='Rules'!$B$19,'Rules'!$B$23,IF('Queries'!E837&lt;='Rules'!$B$20,'Rules'!$B$24,'Rules'!$B$25))))</x:f>
        <x:v>1</x:v>
      </x:c>
      <x:c r="E837" s="16" t="n">
        <x:f>MIN(LOG10(1+'Queries'!C837)/'Rules'!$B$13,1)</x:f>
        <x:v>0.39203041968522667</x:v>
      </x:c>
      <x:c r="F837" s="16" t="n">
        <x:f>IF(AND('Queries'!E837&lt;='Rules'!$B$15,'Queries'!C837&gt;='Rules'!$B$14,'Queries'!D837&lt;'Rules'!$B$16),1,0)</x:f>
        <x:v>0</x:v>
      </x:c>
      <x:c r="G837" s="16" t="n">
        <x:v>1</x:v>
      </x:c>
      <x:c r="H837" s="16" t="n">
        <x:v>1</x:v>
      </x:c>
      <x:c r="I837" s="16" t="n">
        <x:f>ROUND((B837*'Rules'!$B$6+C837/'Rules'!$B$12*'Rules'!$B$7+D837*'Rules'!$B$8+E837*'Rules'!$B$9+F837*'Rules'!$B$10+G837*'Rules'!$B$11)*H837,1)</x:f>
        <x:v>83.9</x:v>
      </x:c>
      <x:c r="J837" s="18" t="n">
        <x:f>'Queries'!C837*'Queries'!E837</x:f>
        <x:v>160.01999999999998</x:v>
      </x:c>
    </x:row>
    <x:row r="838" ht="32" customHeight="1">
      <x:c r="A838" s="6" t="str">
        <x:v>land rover service</x:v>
      </x:c>
      <x:c r="B838" s="16" t="n">
        <x:v>0.8</x:v>
      </x:c>
      <x:c r="C838" s="16" t="n">
        <x:v>5</x:v>
      </x:c>
      <x:c r="D838" s="16" t="n">
        <x:f>IF('Queries'!E838&lt;='Rules'!$B$17,'Rules'!$B$21,IF('Queries'!E838&lt;='Rules'!$B$18,'Rules'!$B$22,IF('Queries'!E838&lt;='Rules'!$B$19,'Rules'!$B$23,IF('Queries'!E838&lt;='Rules'!$B$20,'Rules'!$B$24,'Rules'!$B$25))))</x:f>
        <x:v>1</x:v>
      </x:c>
      <x:c r="E838" s="16" t="n">
        <x:f>MIN(LOG10(1+'Queries'!C838)/'Rules'!$B$13,1)</x:f>
        <x:v>0.39203041968522667</x:v>
      </x:c>
      <x:c r="F838" s="16" t="n">
        <x:f>IF(AND('Queries'!E838&lt;='Rules'!$B$15,'Queries'!C838&gt;='Rules'!$B$14,'Queries'!D838&lt;'Rules'!$B$16),1,0)</x:f>
        <x:v>0</x:v>
      </x:c>
      <x:c r="G838" s="16" t="n">
        <x:v>1</x:v>
      </x:c>
      <x:c r="H838" s="16" t="n">
        <x:v>1</x:v>
      </x:c>
      <x:c r="I838" s="16" t="n">
        <x:f>ROUND((B838*'Rules'!$B$6+C838/'Rules'!$B$12*'Rules'!$B$7+D838*'Rules'!$B$8+E838*'Rules'!$B$9+F838*'Rules'!$B$10+G838*'Rules'!$B$11)*H838,1)</x:f>
        <x:v>78.9</x:v>
      </x:c>
      <x:c r="J838" s="18" t="n">
        <x:f>'Queries'!C838*'Queries'!E838</x:f>
        <x:v>180.04</x:v>
      </x:c>
    </x:row>
    <x:row r="839" ht="32" customHeight="1">
      <x:c r="A839" s="6" t="str">
        <x:v>nissan body repair</x:v>
      </x:c>
      <x:c r="B839" s="16" t="n">
        <x:v>0.8</x:v>
      </x:c>
      <x:c r="C839" s="16" t="n">
        <x:v>3</x:v>
      </x:c>
      <x:c r="D839" s="16" t="n">
        <x:f>IF('Queries'!E839&lt;='Rules'!$B$17,'Rules'!$B$21,IF('Queries'!E839&lt;='Rules'!$B$18,'Rules'!$B$22,IF('Queries'!E839&lt;='Rules'!$B$19,'Rules'!$B$23,IF('Queries'!E839&lt;='Rules'!$B$20,'Rules'!$B$24,'Rules'!$B$25))))</x:f>
        <x:v>1</x:v>
      </x:c>
      <x:c r="E839" s="16" t="n">
        <x:f>MIN(LOG10(1+'Queries'!C839)/'Rules'!$B$13,1)</x:f>
        <x:v>0.39203041968522667</x:v>
      </x:c>
      <x:c r="F839" s="16" t="n">
        <x:f>IF(AND('Queries'!E839&lt;='Rules'!$B$15,'Queries'!C839&gt;='Rules'!$B$14,'Queries'!D839&lt;'Rules'!$B$16),1,0)</x:f>
        <x:v>0</x:v>
      </x:c>
      <x:c r="G839" s="16" t="n">
        <x:v>1</x:v>
      </x:c>
      <x:c r="H839" s="16" t="n">
        <x:v>1</x:v>
      </x:c>
      <x:c r="I839" s="16" t="n">
        <x:f>ROUND((B839*'Rules'!$B$6+C839/'Rules'!$B$12*'Rules'!$B$7+D839*'Rules'!$B$8+E839*'Rules'!$B$9+F839*'Rules'!$B$10+G839*'Rules'!$B$11)*H839,1)</x:f>
        <x:v>70.9</x:v>
      </x:c>
      <x:c r="J839" s="18" t="n">
        <x:f>'Queries'!C839*'Queries'!E839</x:f>
        <x:v>184.94</x:v>
      </x:c>
    </x:row>
    <x:row r="840" ht="32" customHeight="1">
      <x:c r="A840" s="6" t="str">
        <x:v>ecu tuning dubai</x:v>
      </x:c>
      <x:c r="B840" s="16" t="n">
        <x:v>1</x:v>
      </x:c>
      <x:c r="C840" s="16" t="n">
        <x:v>5</x:v>
      </x:c>
      <x:c r="D840" s="16" t="n">
        <x:f>IF('Queries'!E840&lt;='Rules'!$B$17,'Rules'!$B$21,IF('Queries'!E840&lt;='Rules'!$B$18,'Rules'!$B$22,IF('Queries'!E840&lt;='Rules'!$B$19,'Rules'!$B$23,IF('Queries'!E840&lt;='Rules'!$B$20,'Rules'!$B$24,'Rules'!$B$25))))</x:f>
        <x:v>1</x:v>
      </x:c>
      <x:c r="E840" s="16" t="n">
        <x:f>MIN(LOG10(1+'Queries'!C840)/'Rules'!$B$13,1)</x:f>
        <x:v>0.39203041968522667</x:v>
      </x:c>
      <x:c r="F840" s="16" t="n">
        <x:f>IF(AND('Queries'!E840&lt;='Rules'!$B$15,'Queries'!C840&gt;='Rules'!$B$14,'Queries'!D840&lt;'Rules'!$B$16),1,0)</x:f>
        <x:v>0</x:v>
      </x:c>
      <x:c r="G840" s="16" t="n">
        <x:v>1</x:v>
      </x:c>
      <x:c r="H840" s="16" t="n">
        <x:v>1</x:v>
      </x:c>
      <x:c r="I840" s="16" t="n">
        <x:f>ROUND((B840*'Rules'!$B$6+C840/'Rules'!$B$12*'Rules'!$B$7+D840*'Rules'!$B$8+E840*'Rules'!$B$9+F840*'Rules'!$B$10+G840*'Rules'!$B$11)*H840,1)</x:f>
        <x:v>83.9</x:v>
      </x:c>
      <x:c r="J840" s="18" t="n">
        <x:f>'Queries'!C840*'Queries'!E840</x:f>
        <x:v>202.01999999999998</x:v>
      </x:c>
    </x:row>
    <x:row r="841" ht="32" customHeight="1">
      <x:c r="A841" s="6" t="str">
        <x:v>auto battery replacement service</x:v>
      </x:c>
      <x:c r="B841" s="16" t="n">
        <x:v>0.8</x:v>
      </x:c>
      <x:c r="C841" s="16" t="n">
        <x:v>3</x:v>
      </x:c>
      <x:c r="D841" s="16" t="n">
        <x:f>IF('Queries'!E841&lt;='Rules'!$B$17,'Rules'!$B$21,IF('Queries'!E841&lt;='Rules'!$B$18,'Rules'!$B$22,IF('Queries'!E841&lt;='Rules'!$B$19,'Rules'!$B$23,IF('Queries'!E841&lt;='Rules'!$B$20,'Rules'!$B$24,'Rules'!$B$25))))</x:f>
        <x:v>0.7</x:v>
      </x:c>
      <x:c r="E841" s="16" t="n">
        <x:f>MIN(LOG10(1+'Queries'!C841)/'Rules'!$B$13,1)</x:f>
        <x:v>0.39203041968522667</x:v>
      </x:c>
      <x:c r="F841" s="16" t="n">
        <x:f>IF(AND('Queries'!E841&lt;='Rules'!$B$15,'Queries'!C841&gt;='Rules'!$B$14,'Queries'!D841&lt;'Rules'!$B$16),1,0)</x:f>
        <x:v>0</x:v>
      </x:c>
      <x:c r="G841" s="16" t="n">
        <x:v>1</x:v>
      </x:c>
      <x:c r="H841" s="16" t="n">
        <x:v>1</x:v>
      </x:c>
      <x:c r="I841" s="16" t="n">
        <x:f>ROUND((B841*'Rules'!$B$6+C841/'Rules'!$B$12*'Rules'!$B$7+D841*'Rules'!$B$8+E841*'Rules'!$B$9+F841*'Rules'!$B$10+G841*'Rules'!$B$11)*H841,1)</x:f>
        <x:v>63.4</x:v>
      </x:c>
      <x:c r="J841" s="18" t="n">
        <x:f>'Queries'!C841*'Queries'!E841</x:f>
        <x:v>228.06</x:v>
      </x:c>
    </x:row>
    <x:row r="842" ht="32" customHeight="1">
      <x:c r="A842" s="6" t="str">
        <x:v>porsche transmission service</x:v>
      </x:c>
      <x:c r="B842" s="16" t="n">
        <x:v>0.8</x:v>
      </x:c>
      <x:c r="C842" s="16" t="n">
        <x:v>5</x:v>
      </x:c>
      <x:c r="D842" s="16" t="n">
        <x:f>IF('Queries'!E842&lt;='Rules'!$B$17,'Rules'!$B$21,IF('Queries'!E842&lt;='Rules'!$B$18,'Rules'!$B$22,IF('Queries'!E842&lt;='Rules'!$B$19,'Rules'!$B$23,IF('Queries'!E842&lt;='Rules'!$B$20,'Rules'!$B$24,'Rules'!$B$25))))</x:f>
        <x:v>0.7</x:v>
      </x:c>
      <x:c r="E842" s="16" t="n">
        <x:f>MIN(LOG10(1+'Queries'!C842)/'Rules'!$B$13,1)</x:f>
        <x:v>0.39203041968522667</x:v>
      </x:c>
      <x:c r="F842" s="16" t="n">
        <x:f>IF(AND('Queries'!E842&lt;='Rules'!$B$15,'Queries'!C842&gt;='Rules'!$B$14,'Queries'!D842&lt;'Rules'!$B$16),1,0)</x:f>
        <x:v>0</x:v>
      </x:c>
      <x:c r="G842" s="16" t="n">
        <x:v>1</x:v>
      </x:c>
      <x:c r="H842" s="16" t="n">
        <x:v>1</x:v>
      </x:c>
      <x:c r="I842" s="16" t="n">
        <x:f>ROUND((B842*'Rules'!$B$6+C842/'Rules'!$B$12*'Rules'!$B$7+D842*'Rules'!$B$8+E842*'Rules'!$B$9+F842*'Rules'!$B$10+G842*'Rules'!$B$11)*H842,1)</x:f>
        <x:v>71.4</x:v>
      </x:c>
      <x:c r="J842" s="18" t="n">
        <x:f>'Queries'!C842*'Queries'!E842</x:f>
        <x:v>252</x:v>
      </x:c>
    </x:row>
    <x:row r="843" ht="32" customHeight="1">
      <x:c r="A843" s="6" t="str">
        <x:v>aston martin specialist</x:v>
      </x:c>
      <x:c r="B843" s="16" t="n">
        <x:v>0.8</x:v>
      </x:c>
      <x:c r="C843" s="16" t="n">
        <x:v>5</x:v>
      </x:c>
      <x:c r="D843" s="16" t="n">
        <x:f>IF('Queries'!E843&lt;='Rules'!$B$17,'Rules'!$B$21,IF('Queries'!E843&lt;='Rules'!$B$18,'Rules'!$B$22,IF('Queries'!E843&lt;='Rules'!$B$19,'Rules'!$B$23,IF('Queries'!E843&lt;='Rules'!$B$20,'Rules'!$B$24,'Rules'!$B$25))))</x:f>
        <x:v>0.7</x:v>
      </x:c>
      <x:c r="E843" s="16" t="n">
        <x:f>MIN(LOG10(1+'Queries'!C843)/'Rules'!$B$13,1)</x:f>
        <x:v>0.39203041968522667</x:v>
      </x:c>
      <x:c r="F843" s="16" t="n">
        <x:f>IF(AND('Queries'!E843&lt;='Rules'!$B$15,'Queries'!C843&gt;='Rules'!$B$14,'Queries'!D843&lt;'Rules'!$B$16),1,0)</x:f>
        <x:v>0</x:v>
      </x:c>
      <x:c r="G843" s="16" t="n">
        <x:v>1</x:v>
      </x:c>
      <x:c r="H843" s="16" t="n">
        <x:v>1</x:v>
      </x:c>
      <x:c r="I843" s="16" t="n">
        <x:f>ROUND((B843*'Rules'!$B$6+C843/'Rules'!$B$12*'Rules'!$B$7+D843*'Rules'!$B$8+E843*'Rules'!$B$9+F843*'Rules'!$B$10+G843*'Rules'!$B$11)*H843,1)</x:f>
        <x:v>71.4</x:v>
      </x:c>
      <x:c r="J843" s="18" t="n">
        <x:f>'Queries'!C843*'Queries'!E843</x:f>
        <x:v>274.96000000000004</x:v>
      </x:c>
    </x:row>
    <x:row r="844" ht="32" customHeight="1">
      <x:c r="A844" s="6" t="str">
        <x:v>car steering repair in al quoz</x:v>
      </x:c>
      <x:c r="B844" s="16" t="n">
        <x:v>1</x:v>
      </x:c>
      <x:c r="C844" s="16" t="n">
        <x:v>3</x:v>
      </x:c>
      <x:c r="D844" s="16" t="n">
        <x:f>IF('Queries'!E844&lt;='Rules'!$B$17,'Rules'!$B$21,IF('Queries'!E844&lt;='Rules'!$B$18,'Rules'!$B$22,IF('Queries'!E844&lt;='Rules'!$B$19,'Rules'!$B$23,IF('Queries'!E844&lt;='Rules'!$B$20,'Rules'!$B$24,'Rules'!$B$25))))</x:f>
        <x:v>0.7</x:v>
      </x:c>
      <x:c r="E844" s="16" t="n">
        <x:f>MIN(LOG10(1+'Queries'!C844)/'Rules'!$B$13,1)</x:f>
        <x:v>0.39203041968522667</x:v>
      </x:c>
      <x:c r="F844" s="16" t="n">
        <x:f>IF(AND('Queries'!E844&lt;='Rules'!$B$15,'Queries'!C844&gt;='Rules'!$B$14,'Queries'!D844&lt;'Rules'!$B$16),1,0)</x:f>
        <x:v>0</x:v>
      </x:c>
      <x:c r="G844" s="16" t="n">
        <x:v>1</x:v>
      </x:c>
      <x:c r="H844" s="16" t="n">
        <x:v>1</x:v>
      </x:c>
      <x:c r="I844" s="16" t="n">
        <x:f>ROUND((B844*'Rules'!$B$6+C844/'Rules'!$B$12*'Rules'!$B$7+D844*'Rules'!$B$8+E844*'Rules'!$B$9+F844*'Rules'!$B$10+G844*'Rules'!$B$11)*H844,1)</x:f>
        <x:v>68.4</x:v>
      </x:c>
      <x:c r="J844" s="18" t="n">
        <x:f>'Queries'!C844*'Queries'!E844</x:f>
        <x:v>285.03999999999996</x:v>
      </x:c>
    </x:row>
    <x:row r="845" ht="32" customHeight="1">
      <x:c r="A845" s="6" t="str">
        <x:v>gearbox specialist near me</x:v>
      </x:c>
      <x:c r="B845" s="16" t="n">
        <x:v>1</x:v>
      </x:c>
      <x:c r="C845" s="16" t="n">
        <x:v>3</x:v>
      </x:c>
      <x:c r="D845" s="16" t="n">
        <x:f>IF('Queries'!E845&lt;='Rules'!$B$17,'Rules'!$B$21,IF('Queries'!E845&lt;='Rules'!$B$18,'Rules'!$B$22,IF('Queries'!E845&lt;='Rules'!$B$19,'Rules'!$B$23,IF('Queries'!E845&lt;='Rules'!$B$20,'Rules'!$B$24,'Rules'!$B$25))))</x:f>
        <x:v>0.7</x:v>
      </x:c>
      <x:c r="E845" s="16" t="n">
        <x:f>MIN(LOG10(1+'Queries'!C845)/'Rules'!$B$13,1)</x:f>
        <x:v>0.39203041968522667</x:v>
      </x:c>
      <x:c r="F845" s="16" t="n">
        <x:f>IF(AND('Queries'!E845&lt;='Rules'!$B$15,'Queries'!C845&gt;='Rules'!$B$14,'Queries'!D845&lt;'Rules'!$B$16),1,0)</x:f>
        <x:v>0</x:v>
      </x:c>
      <x:c r="G845" s="16" t="n">
        <x:v>1</x:v>
      </x:c>
      <x:c r="H845" s="16" t="n">
        <x:v>1</x:v>
      </x:c>
      <x:c r="I845" s="16" t="n">
        <x:f>ROUND((B845*'Rules'!$B$6+C845/'Rules'!$B$12*'Rules'!$B$7+D845*'Rules'!$B$8+E845*'Rules'!$B$9+F845*'Rules'!$B$10+G845*'Rules'!$B$11)*H845,1)</x:f>
        <x:v>68.4</x:v>
      </x:c>
      <x:c r="J845" s="18" t="n">
        <x:f>'Queries'!C845*'Queries'!E845</x:f>
        <x:v>294.98</x:v>
      </x:c>
    </x:row>
    <x:row r="846" ht="32" customHeight="1">
      <x:c r="A846" s="6" t="str">
        <x:v>volkswagen transmission repair dubai</x:v>
      </x:c>
      <x:c r="B846" s="16" t="n">
        <x:v>1</x:v>
      </x:c>
      <x:c r="C846" s="16" t="n">
        <x:v>3</x:v>
      </x:c>
      <x:c r="D846" s="16" t="n">
        <x:f>IF('Queries'!E846&lt;='Rules'!$B$17,'Rules'!$B$21,IF('Queries'!E846&lt;='Rules'!$B$18,'Rules'!$B$22,IF('Queries'!E846&lt;='Rules'!$B$19,'Rules'!$B$23,IF('Queries'!E846&lt;='Rules'!$B$20,'Rules'!$B$24,'Rules'!$B$25))))</x:f>
        <x:v>0.7</x:v>
      </x:c>
      <x:c r="E846" s="16" t="n">
        <x:f>MIN(LOG10(1+'Queries'!C846)/'Rules'!$B$13,1)</x:f>
        <x:v>0.39203041968522667</x:v>
      </x:c>
      <x:c r="F846" s="16" t="n">
        <x:f>IF(AND('Queries'!E846&lt;='Rules'!$B$15,'Queries'!C846&gt;='Rules'!$B$14,'Queries'!D846&lt;'Rules'!$B$16),1,0)</x:f>
        <x:v>0</x:v>
      </x:c>
      <x:c r="G846" s="16" t="n">
        <x:v>0.25</x:v>
      </x:c>
      <x:c r="H846" s="16" t="n">
        <x:v>0.65</x:v>
      </x:c>
      <x:c r="I846" s="16" t="n">
        <x:f>ROUND((B846*'Rules'!$B$6+C846/'Rules'!$B$12*'Rules'!$B$7+D846*'Rules'!$B$8+E846*'Rules'!$B$9+F846*'Rules'!$B$10+G846*'Rules'!$B$11)*H846,1)</x:f>
        <x:v>39.6</x:v>
      </x:c>
      <x:c r="J846" s="18" t="n">
        <x:f>'Queries'!C846*'Queries'!E846</x:f>
        <x:v>295.96000000000004</x:v>
      </x:c>
    </x:row>
    <x:row r="847" ht="32" customHeight="1">
      <x:c r="A847" s="6" t="str">
        <x:v>مركز صيانة اودي</x:v>
      </x:c>
      <x:c r="B847" s="16" t="n">
        <x:v>0.8</x:v>
      </x:c>
      <x:c r="C847" s="16" t="n">
        <x:v>5</x:v>
      </x:c>
      <x:c r="D847" s="16" t="n">
        <x:f>IF('Queries'!E847&lt;='Rules'!$B$17,'Rules'!$B$21,IF('Queries'!E847&lt;='Rules'!$B$18,'Rules'!$B$22,IF('Queries'!E847&lt;='Rules'!$B$19,'Rules'!$B$23,IF('Queries'!E847&lt;='Rules'!$B$20,'Rules'!$B$24,'Rules'!$B$25))))</x:f>
        <x:v>0.7</x:v>
      </x:c>
      <x:c r="E847" s="16" t="n">
        <x:f>MIN(LOG10(1+'Queries'!C847)/'Rules'!$B$13,1)</x:f>
        <x:v>0.39203041968522667</x:v>
      </x:c>
      <x:c r="F847" s="16" t="n">
        <x:f>IF(AND('Queries'!E847&lt;='Rules'!$B$15,'Queries'!C847&gt;='Rules'!$B$14,'Queries'!D847&lt;'Rules'!$B$16),1,0)</x:f>
        <x:v>0</x:v>
      </x:c>
      <x:c r="G847" s="16" t="n">
        <x:v>1</x:v>
      </x:c>
      <x:c r="H847" s="16" t="n">
        <x:v>1</x:v>
      </x:c>
      <x:c r="I847" s="16" t="n">
        <x:f>ROUND((B847*'Rules'!$B$6+C847/'Rules'!$B$12*'Rules'!$B$7+D847*'Rules'!$B$8+E847*'Rules'!$B$9+F847*'Rules'!$B$10+G847*'Rules'!$B$11)*H847,1)</x:f>
        <x:v>71.4</x:v>
      </x:c>
      <x:c r="J847" s="18" t="n">
        <x:f>'Queries'!C847*'Queries'!E847</x:f>
        <x:v>300.02</x:v>
      </x:c>
    </x:row>
    <x:row r="848" ht="32" customHeight="1">
      <x:c r="A848" s="6" t="str">
        <x:v>benz repair near me</x:v>
      </x:c>
      <x:c r="B848" s="16" t="n">
        <x:v>1</x:v>
      </x:c>
      <x:c r="C848" s="16" t="n">
        <x:v>5</x:v>
      </x:c>
      <x:c r="D848" s="16" t="n">
        <x:f>IF('Queries'!E848&lt;='Rules'!$B$17,'Rules'!$B$21,IF('Queries'!E848&lt;='Rules'!$B$18,'Rules'!$B$22,IF('Queries'!E848&lt;='Rules'!$B$19,'Rules'!$B$23,IF('Queries'!E848&lt;='Rules'!$B$20,'Rules'!$B$24,'Rules'!$B$25))))</x:f>
        <x:v>0.7</x:v>
      </x:c>
      <x:c r="E848" s="16" t="n">
        <x:f>MIN(LOG10(1+'Queries'!C848)/'Rules'!$B$13,1)</x:f>
        <x:v>0.39203041968522667</x:v>
      </x:c>
      <x:c r="F848" s="16" t="n">
        <x:f>IF(AND('Queries'!E848&lt;='Rules'!$B$15,'Queries'!C848&gt;='Rules'!$B$14,'Queries'!D848&lt;'Rules'!$B$16),1,0)</x:f>
        <x:v>0</x:v>
      </x:c>
      <x:c r="G848" s="16" t="n">
        <x:v>1</x:v>
      </x:c>
      <x:c r="H848" s="16" t="n">
        <x:v>1</x:v>
      </x:c>
      <x:c r="I848" s="16" t="n">
        <x:f>ROUND((B848*'Rules'!$B$6+C848/'Rules'!$B$12*'Rules'!$B$7+D848*'Rules'!$B$8+E848*'Rules'!$B$9+F848*'Rules'!$B$10+G848*'Rules'!$B$11)*H848,1)</x:f>
        <x:v>76.4</x:v>
      </x:c>
      <x:c r="J848" s="18" t="n">
        <x:f>'Queries'!C848*'Queries'!E848</x:f>
        <x:v>344.96000000000004</x:v>
      </x:c>
    </x:row>
    <x:row r="849" ht="32" customHeight="1">
      <x:c r="A849" s="6" t="str">
        <x:v>lamborghini showroom near me</x:v>
      </x:c>
      <x:c r="B849" s="16" t="n">
        <x:v>0</x:v>
      </x:c>
      <x:c r="C849" s="16" t="n">
        <x:v>0</x:v>
      </x:c>
      <x:c r="D849" s="16" t="n">
        <x:f>IF('Queries'!E849&lt;='Rules'!$B$17,'Rules'!$B$21,IF('Queries'!E849&lt;='Rules'!$B$18,'Rules'!$B$22,IF('Queries'!E849&lt;='Rules'!$B$19,'Rules'!$B$23,IF('Queries'!E849&lt;='Rules'!$B$20,'Rules'!$B$24,'Rules'!$B$25))))</x:f>
        <x:v>0.7</x:v>
      </x:c>
      <x:c r="E849" s="16" t="n">
        <x:f>MIN(LOG10(1+'Queries'!C849)/'Rules'!$B$13,1)</x:f>
        <x:v>0.39203041968522667</x:v>
      </x:c>
      <x:c r="F849" s="16" t="n">
        <x:f>IF(AND('Queries'!E849&lt;='Rules'!$B$15,'Queries'!C849&gt;='Rules'!$B$14,'Queries'!D849&lt;'Rules'!$B$16),1,0)</x:f>
        <x:v>0</x:v>
      </x:c>
      <x:c r="G849" s="16" t="n">
        <x:v>0</x:v>
      </x:c>
      <x:c r="H849" s="16" t="n">
        <x:v>0</x:v>
      </x:c>
      <x:c r="I849" s="16" t="n">
        <x:f>ROUND((B849*'Rules'!$B$6+C849/'Rules'!$B$12*'Rules'!$B$7+D849*'Rules'!$B$8+E849*'Rules'!$B$9+F849*'Rules'!$B$10+G849*'Rules'!$B$11)*H849,1)</x:f>
        <x:v>0</x:v>
      </x:c>
      <x:c r="J849" s="18" t="n">
        <x:f>'Queries'!C849*'Queries'!E849</x:f>
        <x:v>345.94</x:v>
      </x:c>
    </x:row>
    <x:row r="850" ht="32" customHeight="1">
      <x:c r="A850" s="6" t="str">
        <x:v>ceramic coating near me</x:v>
      </x:c>
      <x:c r="B850" s="16" t="n">
        <x:v>1</x:v>
      </x:c>
      <x:c r="C850" s="16" t="n">
        <x:v>5</x:v>
      </x:c>
      <x:c r="D850" s="16" t="n">
        <x:f>IF('Queries'!E850&lt;='Rules'!$B$17,'Rules'!$B$21,IF('Queries'!E850&lt;='Rules'!$B$18,'Rules'!$B$22,IF('Queries'!E850&lt;='Rules'!$B$19,'Rules'!$B$23,IF('Queries'!E850&lt;='Rules'!$B$20,'Rules'!$B$24,'Rules'!$B$25))))</x:f>
        <x:v>0.7</x:v>
      </x:c>
      <x:c r="E850" s="16" t="n">
        <x:f>MIN(LOG10(1+'Queries'!C850)/'Rules'!$B$13,1)</x:f>
        <x:v>0.39203041968522667</x:v>
      </x:c>
      <x:c r="F850" s="16" t="n">
        <x:f>IF(AND('Queries'!E850&lt;='Rules'!$B$15,'Queries'!C850&gt;='Rules'!$B$14,'Queries'!D850&lt;'Rules'!$B$16),1,0)</x:f>
        <x:v>0</x:v>
      </x:c>
      <x:c r="G850" s="16" t="n">
        <x:v>1</x:v>
      </x:c>
      <x:c r="H850" s="16" t="n">
        <x:v>1</x:v>
      </x:c>
      <x:c r="I850" s="16" t="n">
        <x:f>ROUND((B850*'Rules'!$B$6+C850/'Rules'!$B$12*'Rules'!$B$7+D850*'Rules'!$B$8+E850*'Rules'!$B$9+F850*'Rules'!$B$10+G850*'Rules'!$B$11)*H850,1)</x:f>
        <x:v>76.4</x:v>
      </x:c>
      <x:c r="J850" s="18" t="n">
        <x:f>'Queries'!C850*'Queries'!E850</x:f>
        <x:v>385.98</x:v>
      </x:c>
    </x:row>
    <x:row r="851" ht="32" customHeight="1">
      <x:c r="A851" s="6" t="str">
        <x:v>bmw brake service dubai</x:v>
      </x:c>
      <x:c r="B851" s="16" t="n">
        <x:v>1</x:v>
      </x:c>
      <x:c r="C851" s="16" t="n">
        <x:v>5</x:v>
      </x:c>
      <x:c r="D851" s="16" t="n">
        <x:f>IF('Queries'!E851&lt;='Rules'!$B$17,'Rules'!$B$21,IF('Queries'!E851&lt;='Rules'!$B$18,'Rules'!$B$22,IF('Queries'!E851&lt;='Rules'!$B$19,'Rules'!$B$23,IF('Queries'!E851&lt;='Rules'!$B$20,'Rules'!$B$24,'Rules'!$B$25))))</x:f>
        <x:v>0.7</x:v>
      </x:c>
      <x:c r="E851" s="16" t="n">
        <x:f>MIN(LOG10(1+'Queries'!C851)/'Rules'!$B$13,1)</x:f>
        <x:v>0.39203041968522667</x:v>
      </x:c>
      <x:c r="F851" s="16" t="n">
        <x:f>IF(AND('Queries'!E851&lt;='Rules'!$B$15,'Queries'!C851&gt;='Rules'!$B$14,'Queries'!D851&lt;'Rules'!$B$16),1,0)</x:f>
        <x:v>0</x:v>
      </x:c>
      <x:c r="G851" s="16" t="n">
        <x:v>1</x:v>
      </x:c>
      <x:c r="H851" s="16" t="n">
        <x:v>1</x:v>
      </x:c>
      <x:c r="I851" s="16" t="n">
        <x:f>ROUND((B851*'Rules'!$B$6+C851/'Rules'!$B$12*'Rules'!$B$7+D851*'Rules'!$B$8+E851*'Rules'!$B$9+F851*'Rules'!$B$10+G851*'Rules'!$B$11)*H851,1)</x:f>
        <x:v>76.4</x:v>
      </x:c>
      <x:c r="J851" s="18" t="n">
        <x:f>'Queries'!C851*'Queries'!E851</x:f>
        <x:v>386.96000000000004</x:v>
      </x:c>
    </x:row>
    <x:row r="852" ht="32" customHeight="1">
      <x:c r="A852" s="6" t="str">
        <x:v>best car workshop dubai</x:v>
      </x:c>
      <x:c r="B852" s="16" t="n">
        <x:v>1</x:v>
      </x:c>
      <x:c r="C852" s="16" t="n">
        <x:v>3</x:v>
      </x:c>
      <x:c r="D852" s="16" t="n">
        <x:f>IF('Queries'!E852&lt;='Rules'!$B$17,'Rules'!$B$21,IF('Queries'!E852&lt;='Rules'!$B$18,'Rules'!$B$22,IF('Queries'!E852&lt;='Rules'!$B$19,'Rules'!$B$23,IF('Queries'!E852&lt;='Rules'!$B$20,'Rules'!$B$24,'Rules'!$B$25))))</x:f>
        <x:v>0.7</x:v>
      </x:c>
      <x:c r="E852" s="16" t="n">
        <x:f>MIN(LOG10(1+'Queries'!C852)/'Rules'!$B$13,1)</x:f>
        <x:v>0.39203041968522667</x:v>
      </x:c>
      <x:c r="F852" s="16" t="n">
        <x:f>IF(AND('Queries'!E852&lt;='Rules'!$B$15,'Queries'!C852&gt;='Rules'!$B$14,'Queries'!D852&lt;'Rules'!$B$16),1,0)</x:f>
        <x:v>0</x:v>
      </x:c>
      <x:c r="G852" s="16" t="n">
        <x:v>1</x:v>
      </x:c>
      <x:c r="H852" s="16" t="n">
        <x:v>1</x:v>
      </x:c>
      <x:c r="I852" s="16" t="n">
        <x:f>ROUND((B852*'Rules'!$B$6+C852/'Rules'!$B$12*'Rules'!$B$7+D852*'Rules'!$B$8+E852*'Rules'!$B$9+F852*'Rules'!$B$10+G852*'Rules'!$B$11)*H852,1)</x:f>
        <x:v>68.4</x:v>
      </x:c>
      <x:c r="J852" s="18" t="n">
        <x:f>'Queries'!C852*'Queries'!E852</x:f>
        <x:v>392.98</x:v>
      </x:c>
    </x:row>
    <x:row r="853" ht="32" customHeight="1">
      <x:c r="A853" s="6" t="str">
        <x:v>mazda service center dubai</x:v>
      </x:c>
      <x:c r="B853" s="16" t="n">
        <x:v>1</x:v>
      </x:c>
      <x:c r="C853" s="16" t="n">
        <x:v>3</x:v>
      </x:c>
      <x:c r="D853" s="16" t="n">
        <x:f>IF('Queries'!E853&lt;='Rules'!$B$17,'Rules'!$B$21,IF('Queries'!E853&lt;='Rules'!$B$18,'Rules'!$B$22,IF('Queries'!E853&lt;='Rules'!$B$19,'Rules'!$B$23,IF('Queries'!E853&lt;='Rules'!$B$20,'Rules'!$B$24,'Rules'!$B$25))))</x:f>
        <x:v>0.7</x:v>
      </x:c>
      <x:c r="E853" s="16" t="n">
        <x:f>MIN(LOG10(1+'Queries'!C853)/'Rules'!$B$13,1)</x:f>
        <x:v>0.39203041968522667</x:v>
      </x:c>
      <x:c r="F853" s="16" t="n">
        <x:f>IF(AND('Queries'!E853&lt;='Rules'!$B$15,'Queries'!C853&gt;='Rules'!$B$14,'Queries'!D853&lt;'Rules'!$B$16),1,0)</x:f>
        <x:v>0</x:v>
      </x:c>
      <x:c r="G853" s="16" t="n">
        <x:v>1</x:v>
      </x:c>
      <x:c r="H853" s="16" t="n">
        <x:v>1</x:v>
      </x:c>
      <x:c r="I853" s="16" t="n">
        <x:f>ROUND((B853*'Rules'!$B$6+C853/'Rules'!$B$12*'Rules'!$B$7+D853*'Rules'!$B$8+E853*'Rules'!$B$9+F853*'Rules'!$B$10+G853*'Rules'!$B$11)*H853,1)</x:f>
        <x:v>68.4</x:v>
      </x:c>
      <x:c r="J853" s="18" t="n">
        <x:f>'Queries'!C853*'Queries'!E853</x:f>
        <x:v>419.02</x:v>
      </x:c>
    </x:row>
    <x:row r="854" ht="32" customHeight="1">
      <x:c r="A854" s="6" t="str">
        <x:v>nissan car battery dubai</x:v>
      </x:c>
      <x:c r="B854" s="16" t="n">
        <x:v>1</x:v>
      </x:c>
      <x:c r="C854" s="16" t="n">
        <x:v>3</x:v>
      </x:c>
      <x:c r="D854" s="16" t="n">
        <x:f>IF('Queries'!E854&lt;='Rules'!$B$17,'Rules'!$B$21,IF('Queries'!E854&lt;='Rules'!$B$18,'Rules'!$B$22,IF('Queries'!E854&lt;='Rules'!$B$19,'Rules'!$B$23,IF('Queries'!E854&lt;='Rules'!$B$20,'Rules'!$B$24,'Rules'!$B$25))))</x:f>
        <x:v>0.4</x:v>
      </x:c>
      <x:c r="E854" s="16" t="n">
        <x:f>MIN(LOG10(1+'Queries'!C854)/'Rules'!$B$13,1)</x:f>
        <x:v>0.39203041968522667</x:v>
      </x:c>
      <x:c r="F854" s="16" t="n">
        <x:f>IF(AND('Queries'!E854&lt;='Rules'!$B$15,'Queries'!C854&gt;='Rules'!$B$14,'Queries'!D854&lt;'Rules'!$B$16),1,0)</x:f>
        <x:v>0</x:v>
      </x:c>
      <x:c r="G854" s="16" t="n">
        <x:v>1</x:v>
      </x:c>
      <x:c r="H854" s="16" t="n">
        <x:v>1</x:v>
      </x:c>
      <x:c r="I854" s="16" t="n">
        <x:f>ROUND((B854*'Rules'!$B$6+C854/'Rules'!$B$12*'Rules'!$B$7+D854*'Rules'!$B$8+E854*'Rules'!$B$9+F854*'Rules'!$B$10+G854*'Rules'!$B$11)*H854,1)</x:f>
        <x:v>60.9</x:v>
      </x:c>
      <x:c r="J854" s="18" t="n">
        <x:f>'Queries'!C854*'Queries'!E854</x:f>
        <x:v>434</x:v>
      </x:c>
    </x:row>
    <x:row r="855" ht="32" customHeight="1">
      <x:c r="A855" s="6" t="str">
        <x:v>jeep car battery uae</x:v>
      </x:c>
      <x:c r="B855" s="16" t="n">
        <x:v>0.8</x:v>
      </x:c>
      <x:c r="C855" s="16" t="n">
        <x:v>3</x:v>
      </x:c>
      <x:c r="D855" s="16" t="n">
        <x:f>IF('Queries'!E855&lt;='Rules'!$B$17,'Rules'!$B$21,IF('Queries'!E855&lt;='Rules'!$B$18,'Rules'!$B$22,IF('Queries'!E855&lt;='Rules'!$B$19,'Rules'!$B$23,IF('Queries'!E855&lt;='Rules'!$B$20,'Rules'!$B$24,'Rules'!$B$25))))</x:f>
        <x:v>0.4</x:v>
      </x:c>
      <x:c r="E855" s="16" t="n">
        <x:f>MIN(LOG10(1+'Queries'!C855)/'Rules'!$B$13,1)</x:f>
        <x:v>0.39203041968522667</x:v>
      </x:c>
      <x:c r="F855" s="16" t="n">
        <x:f>IF(AND('Queries'!E855&lt;='Rules'!$B$15,'Queries'!C855&gt;='Rules'!$B$14,'Queries'!D855&lt;'Rules'!$B$16),1,0)</x:f>
        <x:v>0</x:v>
      </x:c>
      <x:c r="G855" s="16" t="n">
        <x:v>0.25</x:v>
      </x:c>
      <x:c r="H855" s="16" t="n">
        <x:v>0.65</x:v>
      </x:c>
      <x:c r="I855" s="16" t="n">
        <x:f>ROUND((B855*'Rules'!$B$6+C855/'Rules'!$B$12*'Rules'!$B$7+D855*'Rules'!$B$8+E855*'Rules'!$B$9+F855*'Rules'!$B$10+G855*'Rules'!$B$11)*H855,1)</x:f>
        <x:v>31.5</x:v>
      </x:c>
      <x:c r="J855" s="18" t="n">
        <x:f>'Queries'!C855*'Queries'!E855</x:f>
        <x:v>462</x:v>
      </x:c>
    </x:row>
    <x:row r="856" ht="32" customHeight="1">
      <x:c r="A856" s="6" t="str">
        <x:v>cadillac service garage dubai</x:v>
      </x:c>
      <x:c r="B856" s="16" t="n">
        <x:v>1</x:v>
      </x:c>
      <x:c r="C856" s="16" t="n">
        <x:v>3</x:v>
      </x:c>
      <x:c r="D856" s="16" t="n">
        <x:f>IF('Queries'!E856&lt;='Rules'!$B$17,'Rules'!$B$21,IF('Queries'!E856&lt;='Rules'!$B$18,'Rules'!$B$22,IF('Queries'!E856&lt;='Rules'!$B$19,'Rules'!$B$23,IF('Queries'!E856&lt;='Rules'!$B$20,'Rules'!$B$24,'Rules'!$B$25))))</x:f>
        <x:v>0.4</x:v>
      </x:c>
      <x:c r="E856" s="16" t="n">
        <x:f>MIN(LOG10(1+'Queries'!C856)/'Rules'!$B$13,1)</x:f>
        <x:v>0.39203041968522667</x:v>
      </x:c>
      <x:c r="F856" s="16" t="n">
        <x:f>IF(AND('Queries'!E856&lt;='Rules'!$B$15,'Queries'!C856&gt;='Rules'!$B$14,'Queries'!D856&lt;'Rules'!$B$16),1,0)</x:f>
        <x:v>0</x:v>
      </x:c>
      <x:c r="G856" s="16" t="n">
        <x:v>1</x:v>
      </x:c>
      <x:c r="H856" s="16" t="n">
        <x:v>1</x:v>
      </x:c>
      <x:c r="I856" s="16" t="n">
        <x:f>ROUND((B856*'Rules'!$B$6+C856/'Rules'!$B$12*'Rules'!$B$7+D856*'Rules'!$B$8+E856*'Rules'!$B$9+F856*'Rules'!$B$10+G856*'Rules'!$B$11)*H856,1)</x:f>
        <x:v>60.9</x:v>
      </x:c>
      <x:c r="J856" s="18" t="n">
        <x:f>'Queries'!C856*'Queries'!E856</x:f>
        <x:v>477.96000000000004</x:v>
      </x:c>
    </x:row>
    <x:row r="857" ht="32" customHeight="1">
      <x:c r="A857" s="6" t="str">
        <x:v>exhaust system dubai</x:v>
      </x:c>
      <x:c r="B857" s="16" t="n">
        <x:v>1</x:v>
      </x:c>
      <x:c r="C857" s="16" t="n">
        <x:v>3</x:v>
      </x:c>
      <x:c r="D857" s="16" t="n">
        <x:f>IF('Queries'!E857&lt;='Rules'!$B$17,'Rules'!$B$21,IF('Queries'!E857&lt;='Rules'!$B$18,'Rules'!$B$22,IF('Queries'!E857&lt;='Rules'!$B$19,'Rules'!$B$23,IF('Queries'!E857&lt;='Rules'!$B$20,'Rules'!$B$24,'Rules'!$B$25))))</x:f>
        <x:v>0.4</x:v>
      </x:c>
      <x:c r="E857" s="16" t="n">
        <x:f>MIN(LOG10(1+'Queries'!C857)/'Rules'!$B$13,1)</x:f>
        <x:v>0.39203041968522667</x:v>
      </x:c>
      <x:c r="F857" s="16" t="n">
        <x:f>IF(AND('Queries'!E857&lt;='Rules'!$B$15,'Queries'!C857&gt;='Rules'!$B$14,'Queries'!D857&lt;'Rules'!$B$16),1,0)</x:f>
        <x:v>0</x:v>
      </x:c>
      <x:c r="G857" s="16" t="n">
        <x:v>1</x:v>
      </x:c>
      <x:c r="H857" s="16" t="n">
        <x:v>1</x:v>
      </x:c>
      <x:c r="I857" s="16" t="n">
        <x:f>ROUND((B857*'Rules'!$B$6+C857/'Rules'!$B$12*'Rules'!$B$7+D857*'Rules'!$B$8+E857*'Rules'!$B$9+F857*'Rules'!$B$10+G857*'Rules'!$B$11)*H857,1)</x:f>
        <x:v>60.9</x:v>
      </x:c>
      <x:c r="J857" s="18" t="n">
        <x:f>'Queries'!C857*'Queries'!E857</x:f>
        <x:v>510.02</x:v>
      </x:c>
    </x:row>
    <x:row r="858" ht="32" customHeight="1">
      <x:c r="A858" s="6" t="str">
        <x:v>rolls royce repair</x:v>
      </x:c>
      <x:c r="B858" s="16" t="n">
        <x:v>0.8</x:v>
      </x:c>
      <x:c r="C858" s="16" t="n">
        <x:v>5</x:v>
      </x:c>
      <x:c r="D858" s="16" t="n">
        <x:f>IF('Queries'!E858&lt;='Rules'!$B$17,'Rules'!$B$21,IF('Queries'!E858&lt;='Rules'!$B$18,'Rules'!$B$22,IF('Queries'!E858&lt;='Rules'!$B$19,'Rules'!$B$23,IF('Queries'!E858&lt;='Rules'!$B$20,'Rules'!$B$24,'Rules'!$B$25))))</x:f>
        <x:v>0.4</x:v>
      </x:c>
      <x:c r="E858" s="16" t="n">
        <x:f>MIN(LOG10(1+'Queries'!C858)/'Rules'!$B$13,1)</x:f>
        <x:v>0.39203041968522667</x:v>
      </x:c>
      <x:c r="F858" s="16" t="n">
        <x:f>IF(AND('Queries'!E858&lt;='Rules'!$B$15,'Queries'!C858&gt;='Rules'!$B$14,'Queries'!D858&lt;'Rules'!$B$16),1,0)</x:f>
        <x:v>0</x:v>
      </x:c>
      <x:c r="G858" s="16" t="n">
        <x:v>1</x:v>
      </x:c>
      <x:c r="H858" s="16" t="n">
        <x:v>1</x:v>
      </x:c>
      <x:c r="I858" s="16" t="n">
        <x:f>ROUND((B858*'Rules'!$B$6+C858/'Rules'!$B$12*'Rules'!$B$7+D858*'Rules'!$B$8+E858*'Rules'!$B$9+F858*'Rules'!$B$10+G858*'Rules'!$B$11)*H858,1)</x:f>
        <x:v>63.9</x:v>
      </x:c>
      <x:c r="J858" s="18" t="n">
        <x:f>'Queries'!C858*'Queries'!E858</x:f>
        <x:v>527.94</x:v>
      </x:c>
    </x:row>
    <x:row r="859" ht="32" customHeight="1">
      <x:c r="A859" s="6" t="str">
        <x:v>audi car battery dubai</x:v>
      </x:c>
      <x:c r="B859" s="16" t="n">
        <x:v>1</x:v>
      </x:c>
      <x:c r="C859" s="16" t="n">
        <x:v>5</x:v>
      </x:c>
      <x:c r="D859" s="16" t="n">
        <x:f>IF('Queries'!E859&lt;='Rules'!$B$17,'Rules'!$B$21,IF('Queries'!E859&lt;='Rules'!$B$18,'Rules'!$B$22,IF('Queries'!E859&lt;='Rules'!$B$19,'Rules'!$B$23,IF('Queries'!E859&lt;='Rules'!$B$20,'Rules'!$B$24,'Rules'!$B$25))))</x:f>
        <x:v>0.4</x:v>
      </x:c>
      <x:c r="E859" s="16" t="n">
        <x:f>MIN(LOG10(1+'Queries'!C859)/'Rules'!$B$13,1)</x:f>
        <x:v>0.39203041968522667</x:v>
      </x:c>
      <x:c r="F859" s="16" t="n">
        <x:f>IF(AND('Queries'!E859&lt;='Rules'!$B$15,'Queries'!C859&gt;='Rules'!$B$14,'Queries'!D859&lt;'Rules'!$B$16),1,0)</x:f>
        <x:v>0</x:v>
      </x:c>
      <x:c r="G859" s="16" t="n">
        <x:v>1</x:v>
      </x:c>
      <x:c r="H859" s="16" t="n">
        <x:v>1</x:v>
      </x:c>
      <x:c r="I859" s="16" t="n">
        <x:f>ROUND((B859*'Rules'!$B$6+C859/'Rules'!$B$12*'Rules'!$B$7+D859*'Rules'!$B$8+E859*'Rules'!$B$9+F859*'Rules'!$B$10+G859*'Rules'!$B$11)*H859,1)</x:f>
        <x:v>68.9</x:v>
      </x:c>
      <x:c r="J859" s="18" t="n">
        <x:f>'Queries'!C859*'Queries'!E859</x:f>
        <x:v>530.04</x:v>
      </x:c>
    </x:row>
    <x:row r="860" ht="32" customHeight="1">
      <x:c r="A860" s="6" t="str">
        <x:v>volkswagen dubai service</x:v>
      </x:c>
      <x:c r="B860" s="16" t="n">
        <x:v>1</x:v>
      </x:c>
      <x:c r="C860" s="16" t="n">
        <x:v>3</x:v>
      </x:c>
      <x:c r="D860" s="16" t="n">
        <x:f>IF('Queries'!E860&lt;='Rules'!$B$17,'Rules'!$B$21,IF('Queries'!E860&lt;='Rules'!$B$18,'Rules'!$B$22,IF('Queries'!E860&lt;='Rules'!$B$19,'Rules'!$B$23,IF('Queries'!E860&lt;='Rules'!$B$20,'Rules'!$B$24,'Rules'!$B$25))))</x:f>
        <x:v>0.4</x:v>
      </x:c>
      <x:c r="E860" s="16" t="n">
        <x:f>MIN(LOG10(1+'Queries'!C860)/'Rules'!$B$13,1)</x:f>
        <x:v>0.39203041968522667</x:v>
      </x:c>
      <x:c r="F860" s="16" t="n">
        <x:f>IF(AND('Queries'!E860&lt;='Rules'!$B$15,'Queries'!C860&gt;='Rules'!$B$14,'Queries'!D860&lt;'Rules'!$B$16),1,0)</x:f>
        <x:v>0</x:v>
      </x:c>
      <x:c r="G860" s="16" t="n">
        <x:v>1</x:v>
      </x:c>
      <x:c r="H860" s="16" t="n">
        <x:v>1</x:v>
      </x:c>
      <x:c r="I860" s="16" t="n">
        <x:f>ROUND((B860*'Rules'!$B$6+C860/'Rules'!$B$12*'Rules'!$B$7+D860*'Rules'!$B$8+E860*'Rules'!$B$9+F860*'Rules'!$B$10+G860*'Rules'!$B$11)*H860,1)</x:f>
        <x:v>60.9</x:v>
      </x:c>
      <x:c r="J860" s="18" t="n">
        <x:f>'Queries'!C860*'Queries'!E860</x:f>
        <x:v>532</x:v>
      </x:c>
    </x:row>
    <x:row r="861" ht="32" customHeight="1">
      <x:c r="A861" s="6" t="str">
        <x:v>transmission repair parts</x:v>
      </x:c>
      <x:c r="B861" s="16" t="n">
        <x:v>0.8</x:v>
      </x:c>
      <x:c r="C861" s="16" t="n">
        <x:v>2</x:v>
      </x:c>
      <x:c r="D861" s="16" t="n">
        <x:f>IF('Queries'!E861&lt;='Rules'!$B$17,'Rules'!$B$21,IF('Queries'!E861&lt;='Rules'!$B$18,'Rules'!$B$22,IF('Queries'!E861&lt;='Rules'!$B$19,'Rules'!$B$23,IF('Queries'!E861&lt;='Rules'!$B$20,'Rules'!$B$24,'Rules'!$B$25))))</x:f>
        <x:v>0.4</x:v>
      </x:c>
      <x:c r="E861" s="16" t="n">
        <x:f>MIN(LOG10(1+'Queries'!C861)/'Rules'!$B$13,1)</x:f>
        <x:v>0.39203041968522667</x:v>
      </x:c>
      <x:c r="F861" s="16" t="n">
        <x:f>IF(AND('Queries'!E861&lt;='Rules'!$B$15,'Queries'!C861&gt;='Rules'!$B$14,'Queries'!D861&lt;'Rules'!$B$16),1,0)</x:f>
        <x:v>0</x:v>
      </x:c>
      <x:c r="G861" s="16" t="n">
        <x:v>1</x:v>
      </x:c>
      <x:c r="H861" s="16" t="n">
        <x:v>0.65</x:v>
      </x:c>
      <x:c r="I861" s="16" t="n">
        <x:f>ROUND((B861*'Rules'!$B$6+C861/'Rules'!$B$12*'Rules'!$B$7+D861*'Rules'!$B$8+E861*'Rules'!$B$9+F861*'Rules'!$B$10+G861*'Rules'!$B$11)*H861,1)</x:f>
        <x:v>33.7</x:v>
      </x:c>
      <x:c r="J861" s="18" t="n">
        <x:f>'Queries'!C861*'Queries'!E861</x:f>
        <x:v>540.96</x:v>
      </x:c>
    </x:row>
    <x:row r="862" ht="32" customHeight="1">
      <x:c r="A862" s="6" t="str">
        <x:v>car servicing</x:v>
      </x:c>
      <x:c r="B862" s="16" t="n">
        <x:v>0.8</x:v>
      </x:c>
      <x:c r="C862" s="16" t="n">
        <x:v>3</x:v>
      </x:c>
      <x:c r="D862" s="16" t="n">
        <x:f>IF('Queries'!E862&lt;='Rules'!$B$17,'Rules'!$B$21,IF('Queries'!E862&lt;='Rules'!$B$18,'Rules'!$B$22,IF('Queries'!E862&lt;='Rules'!$B$19,'Rules'!$B$23,IF('Queries'!E862&lt;='Rules'!$B$20,'Rules'!$B$24,'Rules'!$B$25))))</x:f>
        <x:v>0.4</x:v>
      </x:c>
      <x:c r="E862" s="16" t="n">
        <x:f>MIN(LOG10(1+'Queries'!C862)/'Rules'!$B$13,1)</x:f>
        <x:v>0.39203041968522667</x:v>
      </x:c>
      <x:c r="F862" s="16" t="n">
        <x:f>IF(AND('Queries'!E862&lt;='Rules'!$B$15,'Queries'!C862&gt;='Rules'!$B$14,'Queries'!D862&lt;'Rules'!$B$16),1,0)</x:f>
        <x:v>0</x:v>
      </x:c>
      <x:c r="G862" s="16" t="n">
        <x:v>1</x:v>
      </x:c>
      <x:c r="H862" s="16" t="n">
        <x:v>1</x:v>
      </x:c>
      <x:c r="I862" s="16" t="n">
        <x:f>ROUND((B862*'Rules'!$B$6+C862/'Rules'!$B$12*'Rules'!$B$7+D862*'Rules'!$B$8+E862*'Rules'!$B$9+F862*'Rules'!$B$10+G862*'Rules'!$B$11)*H862,1)</x:f>
        <x:v>55.9</x:v>
      </x:c>
      <x:c r="J862" s="18" t="n">
        <x:f>'Queries'!C862*'Queries'!E862</x:f>
        <x:v>551.04</x:v>
      </x:c>
    </x:row>
    <x:row r="863" ht="42" customHeight="1">
      <x:c r="A863" s="6" t="str">
        <x:v>professional gear box maintenance company in uae</x:v>
      </x:c>
      <x:c r="B863" s="16" t="n">
        <x:v>0.8</x:v>
      </x:c>
      <x:c r="C863" s="16" t="n">
        <x:v>3</x:v>
      </x:c>
      <x:c r="D863" s="16" t="n">
        <x:f>IF('Queries'!E863&lt;='Rules'!$B$17,'Rules'!$B$21,IF('Queries'!E863&lt;='Rules'!$B$18,'Rules'!$B$22,IF('Queries'!E863&lt;='Rules'!$B$19,'Rules'!$B$23,IF('Queries'!E863&lt;='Rules'!$B$20,'Rules'!$B$24,'Rules'!$B$25))))</x:f>
        <x:v>0.15</x:v>
      </x:c>
      <x:c r="E863" s="16" t="n">
        <x:f>MIN(LOG10(1+'Queries'!C863)/'Rules'!$B$13,1)</x:f>
        <x:v>0.39203041968522667</x:v>
      </x:c>
      <x:c r="F863" s="16" t="n">
        <x:f>IF(AND('Queries'!E863&lt;='Rules'!$B$15,'Queries'!C863&gt;='Rules'!$B$14,'Queries'!D863&lt;'Rules'!$B$16),1,0)</x:f>
        <x:v>0</x:v>
      </x:c>
      <x:c r="G863" s="16" t="n">
        <x:v>1</x:v>
      </x:c>
      <x:c r="H863" s="16" t="n">
        <x:v>1</x:v>
      </x:c>
      <x:c r="I863" s="16" t="n">
        <x:f>ROUND((B863*'Rules'!$B$6+C863/'Rules'!$B$12*'Rules'!$B$7+D863*'Rules'!$B$8+E863*'Rules'!$B$9+F863*'Rules'!$B$10+G863*'Rules'!$B$11)*H863,1)</x:f>
        <x:v>49.7</x:v>
      </x:c>
      <x:c r="J863" s="18" t="n">
        <x:f>'Queries'!C863*'Queries'!E863</x:f>
        <x:v>567.98</x:v>
      </x:c>
    </x:row>
    <x:row r="864" ht="32" customHeight="1">
      <x:c r="A864" s="6" t="str">
        <x:v>bmw car battery replacement</x:v>
      </x:c>
      <x:c r="B864" s="16" t="n">
        <x:v>0.8</x:v>
      </x:c>
      <x:c r="C864" s="16" t="n">
        <x:v>5</x:v>
      </x:c>
      <x:c r="D864" s="16" t="n">
        <x:f>IF('Queries'!E864&lt;='Rules'!$B$17,'Rules'!$B$21,IF('Queries'!E864&lt;='Rules'!$B$18,'Rules'!$B$22,IF('Queries'!E864&lt;='Rules'!$B$19,'Rules'!$B$23,IF('Queries'!E864&lt;='Rules'!$B$20,'Rules'!$B$24,'Rules'!$B$25))))</x:f>
        <x:v>0.15</x:v>
      </x:c>
      <x:c r="E864" s="16" t="n">
        <x:f>MIN(LOG10(1+'Queries'!C864)/'Rules'!$B$13,1)</x:f>
        <x:v>0.39203041968522667</x:v>
      </x:c>
      <x:c r="F864" s="16" t="n">
        <x:f>IF(AND('Queries'!E864&lt;='Rules'!$B$15,'Queries'!C864&gt;='Rules'!$B$14,'Queries'!D864&lt;'Rules'!$B$16),1,0)</x:f>
        <x:v>0</x:v>
      </x:c>
      <x:c r="G864" s="16" t="n">
        <x:v>1</x:v>
      </x:c>
      <x:c r="H864" s="16" t="n">
        <x:v>1</x:v>
      </x:c>
      <x:c r="I864" s="16" t="n">
        <x:f>ROUND((B864*'Rules'!$B$6+C864/'Rules'!$B$12*'Rules'!$B$7+D864*'Rules'!$B$8+E864*'Rules'!$B$9+F864*'Rules'!$B$10+G864*'Rules'!$B$11)*H864,1)</x:f>
        <x:v>57.7</x:v>
      </x:c>
      <x:c r="J864" s="18" t="n">
        <x:f>'Queries'!C864*'Queries'!E864</x:f>
        <x:v>572.04</x:v>
      </x:c>
    </x:row>
    <x:row r="865" ht="32" customHeight="1">
      <x:c r="A865" s="6" t="str">
        <x:v>infiniti car service dubai</x:v>
      </x:c>
      <x:c r="B865" s="16" t="n">
        <x:v>1</x:v>
      </x:c>
      <x:c r="C865" s="16" t="n">
        <x:v>3</x:v>
      </x:c>
      <x:c r="D865" s="16" t="n">
        <x:f>IF('Queries'!E865&lt;='Rules'!$B$17,'Rules'!$B$21,IF('Queries'!E865&lt;='Rules'!$B$18,'Rules'!$B$22,IF('Queries'!E865&lt;='Rules'!$B$19,'Rules'!$B$23,IF('Queries'!E865&lt;='Rules'!$B$20,'Rules'!$B$24,'Rules'!$B$25))))</x:f>
        <x:v>0.15</x:v>
      </x:c>
      <x:c r="E865" s="16" t="n">
        <x:f>MIN(LOG10(1+'Queries'!C865)/'Rules'!$B$13,1)</x:f>
        <x:v>0.39203041968522667</x:v>
      </x:c>
      <x:c r="F865" s="16" t="n">
        <x:f>IF(AND('Queries'!E865&lt;='Rules'!$B$15,'Queries'!C865&gt;='Rules'!$B$14,'Queries'!D865&lt;'Rules'!$B$16),1,0)</x:f>
        <x:v>0</x:v>
      </x:c>
      <x:c r="G865" s="16" t="n">
        <x:v>1</x:v>
      </x:c>
      <x:c r="H865" s="16" t="n">
        <x:v>1</x:v>
      </x:c>
      <x:c r="I865" s="16" t="n">
        <x:f>ROUND((B865*'Rules'!$B$6+C865/'Rules'!$B$12*'Rules'!$B$7+D865*'Rules'!$B$8+E865*'Rules'!$B$9+F865*'Rules'!$B$10+G865*'Rules'!$B$11)*H865,1)</x:f>
        <x:v>54.7</x:v>
      </x:c>
      <x:c r="J865" s="18" t="n">
        <x:f>'Queries'!C865*'Queries'!E865</x:f>
        <x:v>601.02</x:v>
      </x:c>
    </x:row>
    <x:row r="866" ht="32" customHeight="1">
      <x:c r="A866" s="6" t="str">
        <x:v>dodge repair dubai</x:v>
      </x:c>
      <x:c r="B866" s="16" t="n">
        <x:v>1</x:v>
      </x:c>
      <x:c r="C866" s="16" t="n">
        <x:v>3</x:v>
      </x:c>
      <x:c r="D866" s="16" t="n">
        <x:f>IF('Queries'!E866&lt;='Rules'!$B$17,'Rules'!$B$21,IF('Queries'!E866&lt;='Rules'!$B$18,'Rules'!$B$22,IF('Queries'!E866&lt;='Rules'!$B$19,'Rules'!$B$23,IF('Queries'!E866&lt;='Rules'!$B$20,'Rules'!$B$24,'Rules'!$B$25))))</x:f>
        <x:v>0.15</x:v>
      </x:c>
      <x:c r="E866" s="16" t="n">
        <x:f>MIN(LOG10(1+'Queries'!C866)/'Rules'!$B$13,1)</x:f>
        <x:v>0.39203041968522667</x:v>
      </x:c>
      <x:c r="F866" s="16" t="n">
        <x:f>IF(AND('Queries'!E866&lt;='Rules'!$B$15,'Queries'!C866&gt;='Rules'!$B$14,'Queries'!D866&lt;'Rules'!$B$16),1,0)</x:f>
        <x:v>0</x:v>
      </x:c>
      <x:c r="G866" s="16" t="n">
        <x:v>1</x:v>
      </x:c>
      <x:c r="H866" s="16" t="n">
        <x:v>1</x:v>
      </x:c>
      <x:c r="I866" s="16" t="n">
        <x:f>ROUND((B866*'Rules'!$B$6+C866/'Rules'!$B$12*'Rules'!$B$7+D866*'Rules'!$B$8+E866*'Rules'!$B$9+F866*'Rules'!$B$10+G866*'Rules'!$B$11)*H866,1)</x:f>
        <x:v>54.7</x:v>
      </x:c>
      <x:c r="J866" s="18" t="n">
        <x:f>'Queries'!C866*'Queries'!E866</x:f>
        <x:v>623.98</x:v>
      </x:c>
    </x:row>
    <x:row r="867" ht="32" customHeight="1">
      <x:c r="A867" s="6" t="str">
        <x:v>rolls royce suspension repair dubai</x:v>
      </x:c>
      <x:c r="B867" s="16" t="n">
        <x:v>1</x:v>
      </x:c>
      <x:c r="C867" s="16" t="n">
        <x:v>5</x:v>
      </x:c>
      <x:c r="D867" s="16" t="n">
        <x:f>IF('Queries'!E867&lt;='Rules'!$B$17,'Rules'!$B$21,IF('Queries'!E867&lt;='Rules'!$B$18,'Rules'!$B$22,IF('Queries'!E867&lt;='Rules'!$B$19,'Rules'!$B$23,IF('Queries'!E867&lt;='Rules'!$B$20,'Rules'!$B$24,'Rules'!$B$25))))</x:f>
        <x:v>0.15</x:v>
      </x:c>
      <x:c r="E867" s="16" t="n">
        <x:f>MIN(LOG10(1+'Queries'!C867)/'Rules'!$B$13,1)</x:f>
        <x:v>0.39203041968522667</x:v>
      </x:c>
      <x:c r="F867" s="16" t="n">
        <x:f>IF(AND('Queries'!E867&lt;='Rules'!$B$15,'Queries'!C867&gt;='Rules'!$B$14,'Queries'!D867&lt;'Rules'!$B$16),1,0)</x:f>
        <x:v>0</x:v>
      </x:c>
      <x:c r="G867" s="16" t="n">
        <x:v>1</x:v>
      </x:c>
      <x:c r="H867" s="16" t="n">
        <x:v>1</x:v>
      </x:c>
      <x:c r="I867" s="16" t="n">
        <x:f>ROUND((B867*'Rules'!$B$6+C867/'Rules'!$B$12*'Rules'!$B$7+D867*'Rules'!$B$8+E867*'Rules'!$B$9+F867*'Rules'!$B$10+G867*'Rules'!$B$11)*H867,1)</x:f>
        <x:v>62.7</x:v>
      </x:c>
      <x:c r="J867" s="18" t="n">
        <x:f>'Queries'!C867*'Queries'!E867</x:f>
        <x:v>632.94</x:v>
      </x:c>
    </x:row>
    <x:row r="868" ht="32" customHeight="1">
      <x:c r="A868" s="6" t="str">
        <x:v>car exterior protection</x:v>
      </x:c>
      <x:c r="B868" s="16" t="n">
        <x:v>0.8</x:v>
      </x:c>
      <x:c r="C868" s="16" t="n">
        <x:v>5</x:v>
      </x:c>
      <x:c r="D868" s="16" t="n">
        <x:f>IF('Queries'!E868&lt;='Rules'!$B$17,'Rules'!$B$21,IF('Queries'!E868&lt;='Rules'!$B$18,'Rules'!$B$22,IF('Queries'!E868&lt;='Rules'!$B$19,'Rules'!$B$23,IF('Queries'!E868&lt;='Rules'!$B$20,'Rules'!$B$24,'Rules'!$B$25))))</x:f>
        <x:v>0.15</x:v>
      </x:c>
      <x:c r="E868" s="16" t="n">
        <x:f>MIN(LOG10(1+'Queries'!C868)/'Rules'!$B$13,1)</x:f>
        <x:v>0.39203041968522667</x:v>
      </x:c>
      <x:c r="F868" s="16" t="n">
        <x:f>IF(AND('Queries'!E868&lt;='Rules'!$B$15,'Queries'!C868&gt;='Rules'!$B$14,'Queries'!D868&lt;'Rules'!$B$16),1,0)</x:f>
        <x:v>0</x:v>
      </x:c>
      <x:c r="G868" s="16" t="n">
        <x:v>1</x:v>
      </x:c>
      <x:c r="H868" s="16" t="n">
        <x:v>1</x:v>
      </x:c>
      <x:c r="I868" s="16" t="n">
        <x:f>ROUND((B868*'Rules'!$B$6+C868/'Rules'!$B$12*'Rules'!$B$7+D868*'Rules'!$B$8+E868*'Rules'!$B$9+F868*'Rules'!$B$10+G868*'Rules'!$B$11)*H868,1)</x:f>
        <x:v>57.7</x:v>
      </x:c>
      <x:c r="J868" s="18" t="n">
        <x:f>'Queries'!C868*'Queries'!E868</x:f>
        <x:v>645.96</x:v>
      </x:c>
    </x:row>
    <x:row r="869" ht="32" customHeight="1">
      <x:c r="A869" s="6" t="str">
        <x:v>paint protection film service in dubai</x:v>
      </x:c>
      <x:c r="B869" s="16" t="n">
        <x:v>1</x:v>
      </x:c>
      <x:c r="C869" s="16" t="n">
        <x:v>5</x:v>
      </x:c>
      <x:c r="D869" s="16" t="n">
        <x:f>IF('Queries'!E869&lt;='Rules'!$B$17,'Rules'!$B$21,IF('Queries'!E869&lt;='Rules'!$B$18,'Rules'!$B$22,IF('Queries'!E869&lt;='Rules'!$B$19,'Rules'!$B$23,IF('Queries'!E869&lt;='Rules'!$B$20,'Rules'!$B$24,'Rules'!$B$25))))</x:f>
        <x:v>0.15</x:v>
      </x:c>
      <x:c r="E869" s="16" t="n">
        <x:f>MIN(LOG10(1+'Queries'!C869)/'Rules'!$B$13,1)</x:f>
        <x:v>0.39203041968522667</x:v>
      </x:c>
      <x:c r="F869" s="16" t="n">
        <x:f>IF(AND('Queries'!E869&lt;='Rules'!$B$15,'Queries'!C869&gt;='Rules'!$B$14,'Queries'!D869&lt;'Rules'!$B$16),1,0)</x:f>
        <x:v>0</x:v>
      </x:c>
      <x:c r="G869" s="16" t="n">
        <x:v>1</x:v>
      </x:c>
      <x:c r="H869" s="16" t="n">
        <x:v>1</x:v>
      </x:c>
      <x:c r="I869" s="16" t="n">
        <x:f>ROUND((B869*'Rules'!$B$6+C869/'Rules'!$B$12*'Rules'!$B$7+D869*'Rules'!$B$8+E869*'Rules'!$B$9+F869*'Rules'!$B$10+G869*'Rules'!$B$11)*H869,1)</x:f>
        <x:v>62.7</x:v>
      </x:c>
      <x:c r="J869" s="18" t="n">
        <x:f>'Queries'!C869*'Queries'!E869</x:f>
        <x:v>685.02</x:v>
      </x:c>
    </x:row>
    <x:row r="870" ht="32" customHeight="1">
      <x:c r="A870" s="6" t="str">
        <x:v>fuel system design uae</x:v>
      </x:c>
      <x:c r="B870" s="16" t="n">
        <x:v>1</x:v>
      </x:c>
      <x:c r="C870" s="16" t="n">
        <x:v>1</x:v>
      </x:c>
      <x:c r="D870" s="16" t="n">
        <x:f>IF('Queries'!E870&lt;='Rules'!$B$17,'Rules'!$B$21,IF('Queries'!E870&lt;='Rules'!$B$18,'Rules'!$B$22,IF('Queries'!E870&lt;='Rules'!$B$19,'Rules'!$B$23,IF('Queries'!E870&lt;='Rules'!$B$20,'Rules'!$B$24,'Rules'!$B$25))))</x:f>
        <x:v>0.15</x:v>
      </x:c>
      <x:c r="E870" s="16" t="n">
        <x:f>MIN(LOG10(1+'Queries'!C870)/'Rules'!$B$13,1)</x:f>
        <x:v>0.39203041968522667</x:v>
      </x:c>
      <x:c r="F870" s="16" t="n">
        <x:f>IF(AND('Queries'!E870&lt;='Rules'!$B$15,'Queries'!C870&gt;='Rules'!$B$14,'Queries'!D870&lt;'Rules'!$B$16),1,0)</x:f>
        <x:v>0</x:v>
      </x:c>
      <x:c r="G870" s="16" t="n">
        <x:v>1</x:v>
      </x:c>
      <x:c r="H870" s="16" t="n">
        <x:v>0.1</x:v>
      </x:c>
      <x:c r="I870" s="16" t="n">
        <x:f>ROUND((B870*'Rules'!$B$6+C870/'Rules'!$B$12*'Rules'!$B$7+D870*'Rules'!$B$8+E870*'Rules'!$B$9+F870*'Rules'!$B$10+G870*'Rules'!$B$11)*H870,1)</x:f>
        <x:v>4.7</x:v>
      </x:c>
      <x:c r="J870" s="18" t="n">
        <x:f>'Queries'!C870*'Queries'!E870</x:f>
        <x:v>712.04</x:v>
      </x:c>
    </x:row>
    <x:row r="871" ht="32" customHeight="1">
      <x:c r="A871" s="6" t="str">
        <x:v>gmc car service dubai</x:v>
      </x:c>
      <x:c r="B871" s="16" t="n">
        <x:v>1</x:v>
      </x:c>
      <x:c r="C871" s="16" t="n">
        <x:v>3</x:v>
      </x:c>
      <x:c r="D871" s="16" t="n">
        <x:f>IF('Queries'!E871&lt;='Rules'!$B$17,'Rules'!$B$21,IF('Queries'!E871&lt;='Rules'!$B$18,'Rules'!$B$22,IF('Queries'!E871&lt;='Rules'!$B$19,'Rules'!$B$23,IF('Queries'!E871&lt;='Rules'!$B$20,'Rules'!$B$24,'Rules'!$B$25))))</x:f>
        <x:v>0.15</x:v>
      </x:c>
      <x:c r="E871" s="16" t="n">
        <x:f>MIN(LOG10(1+'Queries'!C871)/'Rules'!$B$13,1)</x:f>
        <x:v>0.39203041968522667</x:v>
      </x:c>
      <x:c r="F871" s="16" t="n">
        <x:f>IF(AND('Queries'!E871&lt;='Rules'!$B$15,'Queries'!C871&gt;='Rules'!$B$14,'Queries'!D871&lt;'Rules'!$B$16),1,0)</x:f>
        <x:v>0</x:v>
      </x:c>
      <x:c r="G871" s="16" t="n">
        <x:v>1</x:v>
      </x:c>
      <x:c r="H871" s="16" t="n">
        <x:v>1</x:v>
      </x:c>
      <x:c r="I871" s="16" t="n">
        <x:f>ROUND((B871*'Rules'!$B$6+C871/'Rules'!$B$12*'Rules'!$B$7+D871*'Rules'!$B$8+E871*'Rules'!$B$9+F871*'Rules'!$B$10+G871*'Rules'!$B$11)*H871,1)</x:f>
        <x:v>54.7</x:v>
      </x:c>
      <x:c r="J871" s="18" t="n">
        <x:f>'Queries'!C871*'Queries'!E871</x:f>
        <x:v>723.94</x:v>
      </x:c>
    </x:row>
    <x:row r="872" ht="32" customHeight="1">
      <x:c r="A872" s="6" t="str">
        <x:v>bentley repair specialist in dubai</x:v>
      </x:c>
      <x:c r="B872" s="16" t="n">
        <x:v>1</x:v>
      </x:c>
      <x:c r="C872" s="16" t="n">
        <x:v>5</x:v>
      </x:c>
      <x:c r="D872" s="16" t="n">
        <x:f>IF('Queries'!E872&lt;='Rules'!$B$17,'Rules'!$B$21,IF('Queries'!E872&lt;='Rules'!$B$18,'Rules'!$B$22,IF('Queries'!E872&lt;='Rules'!$B$19,'Rules'!$B$23,IF('Queries'!E872&lt;='Rules'!$B$20,'Rules'!$B$24,'Rules'!$B$25))))</x:f>
        <x:v>0.15</x:v>
      </x:c>
      <x:c r="E872" s="16" t="n">
        <x:f>MIN(LOG10(1+'Queries'!C872)/'Rules'!$B$13,1)</x:f>
        <x:v>0.39203041968522667</x:v>
      </x:c>
      <x:c r="F872" s="16" t="n">
        <x:f>IF(AND('Queries'!E872&lt;='Rules'!$B$15,'Queries'!C872&gt;='Rules'!$B$14,'Queries'!D872&lt;'Rules'!$B$16),1,0)</x:f>
        <x:v>0</x:v>
      </x:c>
      <x:c r="G872" s="16" t="n">
        <x:v>1</x:v>
      </x:c>
      <x:c r="H872" s="16" t="n">
        <x:v>1</x:v>
      </x:c>
      <x:c r="I872" s="16" t="n">
        <x:f>ROUND((B872*'Rules'!$B$6+C872/'Rules'!$B$12*'Rules'!$B$7+D872*'Rules'!$B$8+E872*'Rules'!$B$9+F872*'Rules'!$B$10+G872*'Rules'!$B$11)*H872,1)</x:f>
        <x:v>62.7</x:v>
      </x:c>
      <x:c r="J872" s="18" t="n">
        <x:f>'Queries'!C872*'Queries'!E872</x:f>
        <x:v>753.06</x:v>
      </x:c>
    </x:row>
    <x:row r="873" ht="32" customHeight="1">
      <x:c r="A873" s="6" t="str">
        <x:v>toyota car battery</x:v>
      </x:c>
      <x:c r="B873" s="16" t="n">
        <x:v>0.8</x:v>
      </x:c>
      <x:c r="C873" s="16" t="n">
        <x:v>3</x:v>
      </x:c>
      <x:c r="D873" s="16" t="n">
        <x:f>IF('Queries'!E873&lt;='Rules'!$B$17,'Rules'!$B$21,IF('Queries'!E873&lt;='Rules'!$B$18,'Rules'!$B$22,IF('Queries'!E873&lt;='Rules'!$B$19,'Rules'!$B$23,IF('Queries'!E873&lt;='Rules'!$B$20,'Rules'!$B$24,'Rules'!$B$25))))</x:f>
        <x:v>0.15</x:v>
      </x:c>
      <x:c r="E873" s="16" t="n">
        <x:f>MIN(LOG10(1+'Queries'!C873)/'Rules'!$B$13,1)</x:f>
        <x:v>0.39203041968522667</x:v>
      </x:c>
      <x:c r="F873" s="16" t="n">
        <x:f>IF(AND('Queries'!E873&lt;='Rules'!$B$15,'Queries'!C873&gt;='Rules'!$B$14,'Queries'!D873&lt;'Rules'!$B$16),1,0)</x:f>
        <x:v>0</x:v>
      </x:c>
      <x:c r="G873" s="16" t="n">
        <x:v>1</x:v>
      </x:c>
      <x:c r="H873" s="16" t="n">
        <x:v>1</x:v>
      </x:c>
      <x:c r="I873" s="16" t="n">
        <x:f>ROUND((B873*'Rules'!$B$6+C873/'Rules'!$B$12*'Rules'!$B$7+D873*'Rules'!$B$8+E873*'Rules'!$B$9+F873*'Rules'!$B$10+G873*'Rules'!$B$11)*H873,1)</x:f>
        <x:v>49.7</x:v>
      </x:c>
      <x:c r="J873" s="18" t="n">
        <x:f>'Queries'!C873*'Queries'!E873</x:f>
        <x:v>781.06</x:v>
      </x:c>
    </x:row>
    <x:row r="874" ht="32" customHeight="1">
      <x:c r="A874" s="6" t="str">
        <x:v>maserati engine repair dubai</x:v>
      </x:c>
      <x:c r="B874" s="16" t="n">
        <x:v>1</x:v>
      </x:c>
      <x:c r="C874" s="16" t="n">
        <x:v>5</x:v>
      </x:c>
      <x:c r="D874" s="16" t="n">
        <x:f>IF('Queries'!E874&lt;='Rules'!$B$17,'Rules'!$B$21,IF('Queries'!E874&lt;='Rules'!$B$18,'Rules'!$B$22,IF('Queries'!E874&lt;='Rules'!$B$19,'Rules'!$B$23,IF('Queries'!E874&lt;='Rules'!$B$20,'Rules'!$B$24,'Rules'!$B$25))))</x:f>
        <x:v>0.15</x:v>
      </x:c>
      <x:c r="E874" s="16" t="n">
        <x:f>MIN(LOG10(1+'Queries'!C874)/'Rules'!$B$13,1)</x:f>
        <x:v>0.39203041968522667</x:v>
      </x:c>
      <x:c r="F874" s="16" t="n">
        <x:f>IF(AND('Queries'!E874&lt;='Rules'!$B$15,'Queries'!C874&gt;='Rules'!$B$14,'Queries'!D874&lt;'Rules'!$B$16),1,0)</x:f>
        <x:v>0</x:v>
      </x:c>
      <x:c r="G874" s="16" t="n">
        <x:v>1</x:v>
      </x:c>
      <x:c r="H874" s="16" t="n">
        <x:v>1</x:v>
      </x:c>
      <x:c r="I874" s="16" t="n">
        <x:f>ROUND((B874*'Rules'!$B$6+C874/'Rules'!$B$12*'Rules'!$B$7+D874*'Rules'!$B$8+E874*'Rules'!$B$9+F874*'Rules'!$B$10+G874*'Rules'!$B$11)*H874,1)</x:f>
        <x:v>62.7</x:v>
      </x:c>
      <x:c r="J874" s="18" t="n">
        <x:f>'Queries'!C874*'Queries'!E874</x:f>
        <x:v>814.94</x:v>
      </x:c>
    </x:row>
    <x:row r="875" ht="32" customHeight="1">
      <x:c r="A875" s="6" t="str">
        <x:v>porsche engine repair</x:v>
      </x:c>
      <x:c r="B875" s="16" t="n">
        <x:v>0.8</x:v>
      </x:c>
      <x:c r="C875" s="16" t="n">
        <x:v>5</x:v>
      </x:c>
      <x:c r="D875" s="16" t="n">
        <x:f>IF('Queries'!E875&lt;='Rules'!$B$17,'Rules'!$B$21,IF('Queries'!E875&lt;='Rules'!$B$18,'Rules'!$B$22,IF('Queries'!E875&lt;='Rules'!$B$19,'Rules'!$B$23,IF('Queries'!E875&lt;='Rules'!$B$20,'Rules'!$B$24,'Rules'!$B$25))))</x:f>
        <x:v>0.15</x:v>
      </x:c>
      <x:c r="E875" s="16" t="n">
        <x:f>MIN(LOG10(1+'Queries'!C875)/'Rules'!$B$13,1)</x:f>
        <x:v>0.39203041968522667</x:v>
      </x:c>
      <x:c r="F875" s="16" t="n">
        <x:f>IF(AND('Queries'!E875&lt;='Rules'!$B$15,'Queries'!C875&gt;='Rules'!$B$14,'Queries'!D875&lt;'Rules'!$B$16),1,0)</x:f>
        <x:v>0</x:v>
      </x:c>
      <x:c r="G875" s="16" t="n">
        <x:v>1</x:v>
      </x:c>
      <x:c r="H875" s="16" t="n">
        <x:v>1</x:v>
      </x:c>
      <x:c r="I875" s="16" t="n">
        <x:f>ROUND((B875*'Rules'!$B$6+C875/'Rules'!$B$12*'Rules'!$B$7+D875*'Rules'!$B$8+E875*'Rules'!$B$9+F875*'Rules'!$B$10+G875*'Rules'!$B$11)*H875,1)</x:f>
        <x:v>57.7</x:v>
      </x:c>
      <x:c r="J875" s="18" t="n">
        <x:f>'Queries'!C875*'Queries'!E875</x:f>
        <x:v>847</x:v>
      </x:c>
    </x:row>
    <x:row r="876" ht="32" customHeight="1">
      <x:c r="A876" s="6" t="str">
        <x:v>best car body repair service in dubai</x:v>
      </x:c>
      <x:c r="B876" s="16" t="n">
        <x:v>1</x:v>
      </x:c>
      <x:c r="C876" s="16" t="n">
        <x:v>3</x:v>
      </x:c>
      <x:c r="D876" s="16" t="n">
        <x:f>IF('Queries'!E876&lt;='Rules'!$B$17,'Rules'!$B$21,IF('Queries'!E876&lt;='Rules'!$B$18,'Rules'!$B$22,IF('Queries'!E876&lt;='Rules'!$B$19,'Rules'!$B$23,IF('Queries'!E876&lt;='Rules'!$B$20,'Rules'!$B$24,'Rules'!$B$25))))</x:f>
        <x:v>0.15</x:v>
      </x:c>
      <x:c r="E876" s="16" t="n">
        <x:f>MIN(LOG10(1+'Queries'!C876)/'Rules'!$B$13,1)</x:f>
        <x:v>0.39203041968522667</x:v>
      </x:c>
      <x:c r="F876" s="16" t="n">
        <x:f>IF(AND('Queries'!E876&lt;='Rules'!$B$15,'Queries'!C876&gt;='Rules'!$B$14,'Queries'!D876&lt;'Rules'!$B$16),1,0)</x:f>
        <x:v>0</x:v>
      </x:c>
      <x:c r="G876" s="16" t="n">
        <x:v>1</x:v>
      </x:c>
      <x:c r="H876" s="16" t="n">
        <x:v>1</x:v>
      </x:c>
      <x:c r="I876" s="16" t="n">
        <x:f>ROUND((B876*'Rules'!$B$6+C876/'Rules'!$B$12*'Rules'!$B$7+D876*'Rules'!$B$8+E876*'Rules'!$B$9+F876*'Rules'!$B$10+G876*'Rules'!$B$11)*H876,1)</x:f>
        <x:v>54.7</x:v>
      </x:c>
      <x:c r="J876" s="18" t="n">
        <x:f>'Queries'!C876*'Queries'!E876</x:f>
        <x:v>912.9399999999999</x:v>
      </x:c>
    </x:row>
    <x:row r="877" ht="32" customHeight="1">
      <x:c r="A877" s="6" t="str">
        <x:v>volkswagen car battery</x:v>
      </x:c>
      <x:c r="B877" s="16" t="n">
        <x:v>0.8</x:v>
      </x:c>
      <x:c r="C877" s="16" t="n">
        <x:v>3</x:v>
      </x:c>
      <x:c r="D877" s="16" t="n">
        <x:f>IF('Queries'!E877&lt;='Rules'!$B$17,'Rules'!$B$21,IF('Queries'!E877&lt;='Rules'!$B$18,'Rules'!$B$22,IF('Queries'!E877&lt;='Rules'!$B$19,'Rules'!$B$23,IF('Queries'!E877&lt;='Rules'!$B$20,'Rules'!$B$24,'Rules'!$B$25))))</x:f>
        <x:v>0.15</x:v>
      </x:c>
      <x:c r="E877" s="16" t="n">
        <x:f>MIN(LOG10(1+'Queries'!C877)/'Rules'!$B$13,1)</x:f>
        <x:v>0.39203041968522667</x:v>
      </x:c>
      <x:c r="F877" s="16" t="n">
        <x:f>IF(AND('Queries'!E877&lt;='Rules'!$B$15,'Queries'!C877&gt;='Rules'!$B$14,'Queries'!D877&lt;'Rules'!$B$16),1,0)</x:f>
        <x:v>0</x:v>
      </x:c>
      <x:c r="G877" s="16" t="n">
        <x:v>0.25</x:v>
      </x:c>
      <x:c r="H877" s="16" t="n">
        <x:v>0.65</x:v>
      </x:c>
      <x:c r="I877" s="16" t="n">
        <x:f>ROUND((B877*'Rules'!$B$6+C877/'Rules'!$B$12*'Rules'!$B$7+D877*'Rules'!$B$8+E877*'Rules'!$B$9+F877*'Rules'!$B$10+G877*'Rules'!$B$11)*H877,1)</x:f>
        <x:v>27.4</x:v>
      </x:c>
      <x:c r="J877" s="18" t="n">
        <x:f>'Queries'!C877*'Queries'!E877</x:f>
        <x:v>926.9399999999999</x:v>
      </x:c>
    </x:row>
    <x:row r="878" ht="32" customHeight="1">
      <x:c r="A878" s="6" t="str">
        <x:v>porsche garage dubai</x:v>
      </x:c>
      <x:c r="B878" s="16" t="n">
        <x:v>1</x:v>
      </x:c>
      <x:c r="C878" s="16" t="n">
        <x:v>5</x:v>
      </x:c>
      <x:c r="D878" s="16" t="n">
        <x:f>IF('Queries'!E878&lt;='Rules'!$B$17,'Rules'!$B$21,IF('Queries'!E878&lt;='Rules'!$B$18,'Rules'!$B$22,IF('Queries'!E878&lt;='Rules'!$B$19,'Rules'!$B$23,IF('Queries'!E878&lt;='Rules'!$B$20,'Rules'!$B$24,'Rules'!$B$25))))</x:f>
        <x:v>0.15</x:v>
      </x:c>
      <x:c r="E878" s="16" t="n">
        <x:f>MIN(LOG10(1+'Queries'!C878)/'Rules'!$B$13,1)</x:f>
        <x:v>0.39203041968522667</x:v>
      </x:c>
      <x:c r="F878" s="16" t="n">
        <x:f>IF(AND('Queries'!E878&lt;='Rules'!$B$15,'Queries'!C878&gt;='Rules'!$B$14,'Queries'!D878&lt;'Rules'!$B$16),1,0)</x:f>
        <x:v>0</x:v>
      </x:c>
      <x:c r="G878" s="16" t="n">
        <x:v>1</x:v>
      </x:c>
      <x:c r="H878" s="16" t="n">
        <x:v>1</x:v>
      </x:c>
      <x:c r="I878" s="16" t="n">
        <x:f>ROUND((B878*'Rules'!$B$6+C878/'Rules'!$B$12*'Rules'!$B$7+D878*'Rules'!$B$8+E878*'Rules'!$B$9+F878*'Rules'!$B$10+G878*'Rules'!$B$11)*H878,1)</x:f>
        <x:v>62.7</x:v>
      </x:c>
      <x:c r="J878" s="18" t="n">
        <x:f>'Queries'!C878*'Queries'!E878</x:f>
        <x:v>968.9399999999999</x:v>
      </x:c>
    </x:row>
    <x:row r="879" ht="32" customHeight="1">
      <x:c r="A879" s="6" t="str">
        <x:v>car garage al quoz</x:v>
      </x:c>
      <x:c r="B879" s="16" t="n">
        <x:v>1</x:v>
      </x:c>
      <x:c r="C879" s="16" t="n">
        <x:v>3</x:v>
      </x:c>
      <x:c r="D879" s="16" t="n">
        <x:f>IF('Queries'!E879&lt;='Rules'!$B$17,'Rules'!$B$21,IF('Queries'!E879&lt;='Rules'!$B$18,'Rules'!$B$22,IF('Queries'!E879&lt;='Rules'!$B$19,'Rules'!$B$23,IF('Queries'!E879&lt;='Rules'!$B$20,'Rules'!$B$24,'Rules'!$B$25))))</x:f>
        <x:v>0.15</x:v>
      </x:c>
      <x:c r="E879" s="16" t="n">
        <x:f>MIN(LOG10(1+'Queries'!C879)/'Rules'!$B$13,1)</x:f>
        <x:v>0.39203041968522667</x:v>
      </x:c>
      <x:c r="F879" s="16" t="n">
        <x:f>IF(AND('Queries'!E879&lt;='Rules'!$B$15,'Queries'!C879&gt;='Rules'!$B$14,'Queries'!D879&lt;'Rules'!$B$16),1,0)</x:f>
        <x:v>0</x:v>
      </x:c>
      <x:c r="G879" s="16" t="n">
        <x:v>1</x:v>
      </x:c>
      <x:c r="H879" s="16" t="n">
        <x:v>1</x:v>
      </x:c>
      <x:c r="I879" s="16" t="n">
        <x:f>ROUND((B879*'Rules'!$B$6+C879/'Rules'!$B$12*'Rules'!$B$7+D879*'Rules'!$B$8+E879*'Rules'!$B$9+F879*'Rules'!$B$10+G879*'Rules'!$B$11)*H879,1)</x:f>
        <x:v>54.7</x:v>
      </x:c>
      <x:c r="J879" s="18" t="n">
        <x:f>'Queries'!C879*'Queries'!E879</x:f>
        <x:v>1021.0200000000001</x:v>
      </x:c>
    </x:row>
    <x:row r="880" ht="57" customHeight="1">
      <x:c r="A880" s="6" t="str">
        <x:v>can you suggest top-rated tuning shops in dubai that specialize in german 
cars and high-performance parts?</x:v>
      </x:c>
      <x:c r="B880" s="16" t="n">
        <x:v>1</x:v>
      </x:c>
      <x:c r="C880" s="16" t="n">
        <x:v>5</x:v>
      </x:c>
      <x:c r="D880" s="16" t="n">
        <x:f>IF('Queries'!E880&lt;='Rules'!$B$17,'Rules'!$B$21,IF('Queries'!E880&lt;='Rules'!$B$18,'Rules'!$B$22,IF('Queries'!E880&lt;='Rules'!$B$19,'Rules'!$B$23,IF('Queries'!E880&lt;='Rules'!$B$20,'Rules'!$B$24,'Rules'!$B$25))))</x:f>
        <x:v>1</x:v>
      </x:c>
      <x:c r="E880" s="16" t="n">
        <x:f>MIN(LOG10(1+'Queries'!C880)/'Rules'!$B$13,1)</x:f>
        <x:v>0.3820426785594133</x:v>
      </x:c>
      <x:c r="F880" s="16" t="n">
        <x:f>IF(AND('Queries'!E880&lt;='Rules'!$B$15,'Queries'!C880&gt;='Rules'!$B$14,'Queries'!D880&lt;'Rules'!$B$16),1,0)</x:f>
        <x:v>0</x:v>
      </x:c>
      <x:c r="G880" s="16" t="n">
        <x:v>1</x:v>
      </x:c>
      <x:c r="H880" s="16" t="n">
        <x:v>1</x:v>
      </x:c>
      <x:c r="I880" s="16" t="n">
        <x:f>ROUND((B880*'Rules'!$B$6+C880/'Rules'!$B$12*'Rules'!$B$7+D880*'Rules'!$B$8+E880*'Rules'!$B$9+F880*'Rules'!$B$10+G880*'Rules'!$B$11)*H880,1)</x:f>
        <x:v>83.8</x:v>
      </x:c>
      <x:c r="J880" s="18" t="n">
        <x:f>'Queries'!C880*'Queries'!E880</x:f>
        <x:v>79.04</x:v>
      </x:c>
    </x:row>
    <x:row r="881" ht="32" customHeight="1">
      <x:c r="A881" s="6" t="str">
        <x:v>porsche ac repair dubai</x:v>
      </x:c>
      <x:c r="B881" s="16" t="n">
        <x:v>1</x:v>
      </x:c>
      <x:c r="C881" s="16" t="n">
        <x:v>5</x:v>
      </x:c>
      <x:c r="D881" s="16" t="n">
        <x:f>IF('Queries'!E881&lt;='Rules'!$B$17,'Rules'!$B$21,IF('Queries'!E881&lt;='Rules'!$B$18,'Rules'!$B$22,IF('Queries'!E881&lt;='Rules'!$B$19,'Rules'!$B$23,IF('Queries'!E881&lt;='Rules'!$B$20,'Rules'!$B$24,'Rules'!$B$25))))</x:f>
        <x:v>1</x:v>
      </x:c>
      <x:c r="E881" s="16" t="n">
        <x:f>MIN(LOG10(1+'Queries'!C881)/'Rules'!$B$13,1)</x:f>
        <x:v>0.3820426785594133</x:v>
      </x:c>
      <x:c r="F881" s="16" t="n">
        <x:f>IF(AND('Queries'!E881&lt;='Rules'!$B$15,'Queries'!C881&gt;='Rules'!$B$14,'Queries'!D881&lt;'Rules'!$B$16),1,0)</x:f>
        <x:v>0</x:v>
      </x:c>
      <x:c r="G881" s="16" t="n">
        <x:v>1</x:v>
      </x:c>
      <x:c r="H881" s="16" t="n">
        <x:v>1</x:v>
      </x:c>
      <x:c r="I881" s="16" t="n">
        <x:f>ROUND((B881*'Rules'!$B$6+C881/'Rules'!$B$12*'Rules'!$B$7+D881*'Rules'!$B$8+E881*'Rules'!$B$9+F881*'Rules'!$B$10+G881*'Rules'!$B$11)*H881,1)</x:f>
        <x:v>83.8</x:v>
      </x:c>
      <x:c r="J881" s="18" t="n">
        <x:f>'Queries'!C881*'Queries'!E881</x:f>
        <x:v>92.95</x:v>
      </x:c>
    </x:row>
    <x:row r="882" ht="32" customHeight="1">
      <x:c r="A882" s="6" t="str">
        <x:v>افضل ورشة اودى مصفح</x:v>
      </x:c>
      <x:c r="B882" s="16" t="n">
        <x:v>1</x:v>
      </x:c>
      <x:c r="C882" s="16" t="n">
        <x:v>1</x:v>
      </x:c>
      <x:c r="D882" s="16" t="n">
        <x:f>IF('Queries'!E882&lt;='Rules'!$B$17,'Rules'!$B$21,IF('Queries'!E882&lt;='Rules'!$B$18,'Rules'!$B$22,IF('Queries'!E882&lt;='Rules'!$B$19,'Rules'!$B$23,IF('Queries'!E882&lt;='Rules'!$B$20,'Rules'!$B$24,'Rules'!$B$25))))</x:f>
        <x:v>1</x:v>
      </x:c>
      <x:c r="E882" s="16" t="n">
        <x:f>MIN(LOG10(1+'Queries'!C882)/'Rules'!$B$13,1)</x:f>
        <x:v>0.3820426785594133</x:v>
      </x:c>
      <x:c r="F882" s="16" t="n">
        <x:f>IF(AND('Queries'!E882&lt;='Rules'!$B$15,'Queries'!C882&gt;='Rules'!$B$14,'Queries'!D882&lt;'Rules'!$B$16),1,0)</x:f>
        <x:v>0</x:v>
      </x:c>
      <x:c r="G882" s="16" t="n">
        <x:v>1</x:v>
      </x:c>
      <x:c r="H882" s="16" t="n">
        <x:v>0.2</x:v>
      </x:c>
      <x:c r="I882" s="16" t="n">
        <x:f>ROUND((B882*'Rules'!$B$6+C882/'Rules'!$B$12*'Rules'!$B$7+D882*'Rules'!$B$8+E882*'Rules'!$B$9+F882*'Rules'!$B$10+G882*'Rules'!$B$11)*H882,1)</x:f>
        <x:v>13.6</x:v>
      </x:c>
      <x:c r="J882" s="18" t="n">
        <x:f>'Queries'!C882*'Queries'!E882</x:f>
        <x:v>109.98000000000002</x:v>
      </x:c>
    </x:row>
    <x:row r="883" ht="32" customHeight="1">
      <x:c r="A883" s="6" t="str">
        <x:v>silencer repair shop near me</x:v>
      </x:c>
      <x:c r="B883" s="16" t="n">
        <x:v>1</x:v>
      </x:c>
      <x:c r="C883" s="16" t="n">
        <x:v>3</x:v>
      </x:c>
      <x:c r="D883" s="16" t="n">
        <x:f>IF('Queries'!E883&lt;='Rules'!$B$17,'Rules'!$B$21,IF('Queries'!E883&lt;='Rules'!$B$18,'Rules'!$B$22,IF('Queries'!E883&lt;='Rules'!$B$19,'Rules'!$B$23,IF('Queries'!E883&lt;='Rules'!$B$20,'Rules'!$B$24,'Rules'!$B$25))))</x:f>
        <x:v>1</x:v>
      </x:c>
      <x:c r="E883" s="16" t="n">
        <x:f>MIN(LOG10(1+'Queries'!C883)/'Rules'!$B$13,1)</x:f>
        <x:v>0.3820426785594133</x:v>
      </x:c>
      <x:c r="F883" s="16" t="n">
        <x:f>IF(AND('Queries'!E883&lt;='Rules'!$B$15,'Queries'!C883&gt;='Rules'!$B$14,'Queries'!D883&lt;'Rules'!$B$16),1,0)</x:f>
        <x:v>0</x:v>
      </x:c>
      <x:c r="G883" s="16" t="n">
        <x:v>1</x:v>
      </x:c>
      <x:c r="H883" s="16" t="n">
        <x:v>1</x:v>
      </x:c>
      <x:c r="I883" s="16" t="n">
        <x:f>ROUND((B883*'Rules'!$B$6+C883/'Rules'!$B$12*'Rules'!$B$7+D883*'Rules'!$B$8+E883*'Rules'!$B$9+F883*'Rules'!$B$10+G883*'Rules'!$B$11)*H883,1)</x:f>
        <x:v>75.8</x:v>
      </x:c>
      <x:c r="J883" s="18" t="n">
        <x:f>'Queries'!C883*'Queries'!E883</x:f>
        <x:v>111.01999999999998</x:v>
      </x:c>
    </x:row>
    <x:row r="884" ht="32" customHeight="1">
      <x:c r="A884" s="6" t="str">
        <x:v>porsche diagnostic service</x:v>
      </x:c>
      <x:c r="B884" s="16" t="n">
        <x:v>0.8</x:v>
      </x:c>
      <x:c r="C884" s="16" t="n">
        <x:v>5</x:v>
      </x:c>
      <x:c r="D884" s="16" t="n">
        <x:f>IF('Queries'!E884&lt;='Rules'!$B$17,'Rules'!$B$21,IF('Queries'!E884&lt;='Rules'!$B$18,'Rules'!$B$22,IF('Queries'!E884&lt;='Rules'!$B$19,'Rules'!$B$23,IF('Queries'!E884&lt;='Rules'!$B$20,'Rules'!$B$24,'Rules'!$B$25))))</x:f>
        <x:v>1</x:v>
      </x:c>
      <x:c r="E884" s="16" t="n">
        <x:f>MIN(LOG10(1+'Queries'!C884)/'Rules'!$B$13,1)</x:f>
        <x:v>0.3820426785594133</x:v>
      </x:c>
      <x:c r="F884" s="16" t="n">
        <x:f>IF(AND('Queries'!E884&lt;='Rules'!$B$15,'Queries'!C884&gt;='Rules'!$B$14,'Queries'!D884&lt;'Rules'!$B$16),1,0)</x:f>
        <x:v>0</x:v>
      </x:c>
      <x:c r="G884" s="16" t="n">
        <x:v>1</x:v>
      </x:c>
      <x:c r="H884" s="16" t="n">
        <x:v>1</x:v>
      </x:c>
      <x:c r="I884" s="16" t="n">
        <x:f>ROUND((B884*'Rules'!$B$6+C884/'Rules'!$B$12*'Rules'!$B$7+D884*'Rules'!$B$8+E884*'Rules'!$B$9+F884*'Rules'!$B$10+G884*'Rules'!$B$11)*H884,1)</x:f>
        <x:v>78.8</x:v>
      </x:c>
      <x:c r="J884" s="18" t="n">
        <x:f>'Queries'!C884*'Queries'!E884</x:f>
        <x:v>115.96</x:v>
      </x:c>
    </x:row>
    <x:row r="885" ht="32" customHeight="1">
      <x:c r="A885" s="6" t="str">
        <x:v>ferrari maintenance</x:v>
      </x:c>
      <x:c r="B885" s="16" t="n">
        <x:v>0.8</x:v>
      </x:c>
      <x:c r="C885" s="16" t="n">
        <x:v>5</x:v>
      </x:c>
      <x:c r="D885" s="16" t="n">
        <x:f>IF('Queries'!E885&lt;='Rules'!$B$17,'Rules'!$B$21,IF('Queries'!E885&lt;='Rules'!$B$18,'Rules'!$B$22,IF('Queries'!E885&lt;='Rules'!$B$19,'Rules'!$B$23,IF('Queries'!E885&lt;='Rules'!$B$20,'Rules'!$B$24,'Rules'!$B$25))))</x:f>
        <x:v>1</x:v>
      </x:c>
      <x:c r="E885" s="16" t="n">
        <x:f>MIN(LOG10(1+'Queries'!C885)/'Rules'!$B$13,1)</x:f>
        <x:v>0.3820426785594133</x:v>
      </x:c>
      <x:c r="F885" s="16" t="n">
        <x:f>IF(AND('Queries'!E885&lt;='Rules'!$B$15,'Queries'!C885&gt;='Rules'!$B$14,'Queries'!D885&lt;'Rules'!$B$16),1,0)</x:f>
        <x:v>0</x:v>
      </x:c>
      <x:c r="G885" s="16" t="n">
        <x:v>1</x:v>
      </x:c>
      <x:c r="H885" s="16" t="n">
        <x:v>1</x:v>
      </x:c>
      <x:c r="I885" s="16" t="n">
        <x:f>ROUND((B885*'Rules'!$B$6+C885/'Rules'!$B$12*'Rules'!$B$7+D885*'Rules'!$B$8+E885*'Rules'!$B$9+F885*'Rules'!$B$10+G885*'Rules'!$B$11)*H885,1)</x:f>
        <x:v>78.8</x:v>
      </x:c>
      <x:c r="J885" s="18" t="n">
        <x:f>'Queries'!C885*'Queries'!E885</x:f>
        <x:v>131.95000000000002</x:v>
      </x:c>
    </x:row>
    <x:row r="886" ht="32" customHeight="1">
      <x:c r="A886" s="6" t="str">
        <x:v>mercedes service center in dubai</x:v>
      </x:c>
      <x:c r="B886" s="16" t="n">
        <x:v>1</x:v>
      </x:c>
      <x:c r="C886" s="16" t="n">
        <x:v>5</x:v>
      </x:c>
      <x:c r="D886" s="16" t="n">
        <x:f>IF('Queries'!E886&lt;='Rules'!$B$17,'Rules'!$B$21,IF('Queries'!E886&lt;='Rules'!$B$18,'Rules'!$B$22,IF('Queries'!E886&lt;='Rules'!$B$19,'Rules'!$B$23,IF('Queries'!E886&lt;='Rules'!$B$20,'Rules'!$B$24,'Rules'!$B$25))))</x:f>
        <x:v>1</x:v>
      </x:c>
      <x:c r="E886" s="16" t="n">
        <x:f>MIN(LOG10(1+'Queries'!C886)/'Rules'!$B$13,1)</x:f>
        <x:v>0.3820426785594133</x:v>
      </x:c>
      <x:c r="F886" s="16" t="n">
        <x:f>IF(AND('Queries'!E886&lt;='Rules'!$B$15,'Queries'!C886&gt;='Rules'!$B$14,'Queries'!D886&lt;'Rules'!$B$16),1,0)</x:f>
        <x:v>0</x:v>
      </x:c>
      <x:c r="G886" s="16" t="n">
        <x:v>1</x:v>
      </x:c>
      <x:c r="H886" s="16" t="n">
        <x:v>1</x:v>
      </x:c>
      <x:c r="I886" s="16" t="n">
        <x:f>ROUND((B886*'Rules'!$B$6+C886/'Rules'!$B$12*'Rules'!$B$7+D886*'Rules'!$B$8+E886*'Rules'!$B$9+F886*'Rules'!$B$10+G886*'Rules'!$B$11)*H886,1)</x:f>
        <x:v>83.8</x:v>
      </x:c>
      <x:c r="J886" s="18" t="n">
        <x:f>'Queries'!C886*'Queries'!E886</x:f>
        <x:v>131.95000000000002</x:v>
      </x:c>
    </x:row>
    <x:row r="887" ht="32" customHeight="1">
      <x:c r="A887" s="6" t="str">
        <x:v>tire fix near me</x:v>
      </x:c>
      <x:c r="B887" s="16" t="n">
        <x:v>1</x:v>
      </x:c>
      <x:c r="C887" s="16" t="n">
        <x:v>2</x:v>
      </x:c>
      <x:c r="D887" s="16" t="n">
        <x:f>IF('Queries'!E887&lt;='Rules'!$B$17,'Rules'!$B$21,IF('Queries'!E887&lt;='Rules'!$B$18,'Rules'!$B$22,IF('Queries'!E887&lt;='Rules'!$B$19,'Rules'!$B$23,IF('Queries'!E887&lt;='Rules'!$B$20,'Rules'!$B$24,'Rules'!$B$25))))</x:f>
        <x:v>1</x:v>
      </x:c>
      <x:c r="E887" s="16" t="n">
        <x:f>MIN(LOG10(1+'Queries'!C887)/'Rules'!$B$13,1)</x:f>
        <x:v>0.3820426785594133</x:v>
      </x:c>
      <x:c r="F887" s="16" t="n">
        <x:f>IF(AND('Queries'!E887&lt;='Rules'!$B$15,'Queries'!C887&gt;='Rules'!$B$14,'Queries'!D887&lt;'Rules'!$B$16),1,0)</x:f>
        <x:v>0</x:v>
      </x:c>
      <x:c r="G887" s="16" t="n">
        <x:v>1</x:v>
      </x:c>
      <x:c r="H887" s="16" t="n">
        <x:v>1</x:v>
      </x:c>
      <x:c r="I887" s="16" t="n">
        <x:f>ROUND((B887*'Rules'!$B$6+C887/'Rules'!$B$12*'Rules'!$B$7+D887*'Rules'!$B$8+E887*'Rules'!$B$9+F887*'Rules'!$B$10+G887*'Rules'!$B$11)*H887,1)</x:f>
        <x:v>71.8</x:v>
      </x:c>
      <x:c r="J887" s="18" t="n">
        <x:f>'Queries'!C887*'Queries'!E887</x:f>
        <x:v>143</x:v>
      </x:c>
    </x:row>
    <x:row r="888" ht="32" customHeight="1">
      <x:c r="A888" s="6" t="str">
        <x:v>car battery dubai near me</x:v>
      </x:c>
      <x:c r="B888" s="16" t="n">
        <x:v>1</x:v>
      </x:c>
      <x:c r="C888" s="16" t="n">
        <x:v>3</x:v>
      </x:c>
      <x:c r="D888" s="16" t="n">
        <x:f>IF('Queries'!E888&lt;='Rules'!$B$17,'Rules'!$B$21,IF('Queries'!E888&lt;='Rules'!$B$18,'Rules'!$B$22,IF('Queries'!E888&lt;='Rules'!$B$19,'Rules'!$B$23,IF('Queries'!E888&lt;='Rules'!$B$20,'Rules'!$B$24,'Rules'!$B$25))))</x:f>
        <x:v>1</x:v>
      </x:c>
      <x:c r="E888" s="16" t="n">
        <x:f>MIN(LOG10(1+'Queries'!C888)/'Rules'!$B$13,1)</x:f>
        <x:v>0.3820426785594133</x:v>
      </x:c>
      <x:c r="F888" s="16" t="n">
        <x:f>IF(AND('Queries'!E888&lt;='Rules'!$B$15,'Queries'!C888&gt;='Rules'!$B$14,'Queries'!D888&lt;'Rules'!$B$16),1,0)</x:f>
        <x:v>0</x:v>
      </x:c>
      <x:c r="G888" s="16" t="n">
        <x:v>1</x:v>
      </x:c>
      <x:c r="H888" s="16" t="n">
        <x:v>1</x:v>
      </x:c>
      <x:c r="I888" s="16" t="n">
        <x:f>ROUND((B888*'Rules'!$B$6+C888/'Rules'!$B$12*'Rules'!$B$7+D888*'Rules'!$B$8+E888*'Rules'!$B$9+F888*'Rules'!$B$10+G888*'Rules'!$B$11)*H888,1)</x:f>
        <x:v>75.8</x:v>
      </x:c>
      <x:c r="J888" s="18" t="n">
        <x:f>'Queries'!C888*'Queries'!E888</x:f>
        <x:v>154.04999999999998</x:v>
      </x:c>
    </x:row>
    <x:row r="889" ht="32" customHeight="1">
      <x:c r="A889" s="6" t="str">
        <x:v>mercedes oil change near me</x:v>
      </x:c>
      <x:c r="B889" s="16" t="n">
        <x:v>1</x:v>
      </x:c>
      <x:c r="C889" s="16" t="n">
        <x:v>5</x:v>
      </x:c>
      <x:c r="D889" s="16" t="n">
        <x:f>IF('Queries'!E889&lt;='Rules'!$B$17,'Rules'!$B$21,IF('Queries'!E889&lt;='Rules'!$B$18,'Rules'!$B$22,IF('Queries'!E889&lt;='Rules'!$B$19,'Rules'!$B$23,IF('Queries'!E889&lt;='Rules'!$B$20,'Rules'!$B$24,'Rules'!$B$25))))</x:f>
        <x:v>1</x:v>
      </x:c>
      <x:c r="E889" s="16" t="n">
        <x:f>MIN(LOG10(1+'Queries'!C889)/'Rules'!$B$13,1)</x:f>
        <x:v>0.3820426785594133</x:v>
      </x:c>
      <x:c r="F889" s="16" t="n">
        <x:f>IF(AND('Queries'!E889&lt;='Rules'!$B$15,'Queries'!C889&gt;='Rules'!$B$14,'Queries'!D889&lt;'Rules'!$B$16),1,0)</x:f>
        <x:v>0</x:v>
      </x:c>
      <x:c r="G889" s="16" t="n">
        <x:v>1</x:v>
      </x:c>
      <x:c r="H889" s="16" t="n">
        <x:v>1</x:v>
      </x:c>
      <x:c r="I889" s="16" t="n">
        <x:f>ROUND((B889*'Rules'!$B$6+C889/'Rules'!$B$12*'Rules'!$B$7+D889*'Rules'!$B$8+E889*'Rules'!$B$9+F889*'Rules'!$B$10+G889*'Rules'!$B$11)*H889,1)</x:f>
        <x:v>83.8</x:v>
      </x:c>
      <x:c r="J889" s="18" t="n">
        <x:f>'Queries'!C889*'Queries'!E889</x:f>
        <x:v>164.06</x:v>
      </x:c>
    </x:row>
    <x:row r="890" ht="32" customHeight="1">
      <x:c r="A890" s="6" t="str">
        <x:v>ferrari workshop</x:v>
      </x:c>
      <x:c r="B890" s="16" t="n">
        <x:v>0.8</x:v>
      </x:c>
      <x:c r="C890" s="16" t="n">
        <x:v>5</x:v>
      </x:c>
      <x:c r="D890" s="16" t="n">
        <x:f>IF('Queries'!E890&lt;='Rules'!$B$17,'Rules'!$B$21,IF('Queries'!E890&lt;='Rules'!$B$18,'Rules'!$B$22,IF('Queries'!E890&lt;='Rules'!$B$19,'Rules'!$B$23,IF('Queries'!E890&lt;='Rules'!$B$20,'Rules'!$B$24,'Rules'!$B$25))))</x:f>
        <x:v>1</x:v>
      </x:c>
      <x:c r="E890" s="16" t="n">
        <x:f>MIN(LOG10(1+'Queries'!C890)/'Rules'!$B$13,1)</x:f>
        <x:v>0.3820426785594133</x:v>
      </x:c>
      <x:c r="F890" s="16" t="n">
        <x:f>IF(AND('Queries'!E890&lt;='Rules'!$B$15,'Queries'!C890&gt;='Rules'!$B$14,'Queries'!D890&lt;'Rules'!$B$16),1,0)</x:f>
        <x:v>0</x:v>
      </x:c>
      <x:c r="G890" s="16" t="n">
        <x:v>1</x:v>
      </x:c>
      <x:c r="H890" s="16" t="n">
        <x:v>1</x:v>
      </x:c>
      <x:c r="I890" s="16" t="n">
        <x:f>ROUND((B890*'Rules'!$B$6+C890/'Rules'!$B$12*'Rules'!$B$7+D890*'Rules'!$B$8+E890*'Rules'!$B$9+F890*'Rules'!$B$10+G890*'Rules'!$B$11)*H890,1)</x:f>
        <x:v>78.8</x:v>
      </x:c>
      <x:c r="J890" s="18" t="n">
        <x:f>'Queries'!C890*'Queries'!E890</x:f>
        <x:v>164.97</x:v>
      </x:c>
    </x:row>
    <x:row r="891" ht="32" customHeight="1">
      <x:c r="A891" s="6" t="str">
        <x:v>jeep suspension repair dubai</x:v>
      </x:c>
      <x:c r="B891" s="16" t="n">
        <x:v>1</x:v>
      </x:c>
      <x:c r="C891" s="16" t="n">
        <x:v>3</x:v>
      </x:c>
      <x:c r="D891" s="16" t="n">
        <x:f>IF('Queries'!E891&lt;='Rules'!$B$17,'Rules'!$B$21,IF('Queries'!E891&lt;='Rules'!$B$18,'Rules'!$B$22,IF('Queries'!E891&lt;='Rules'!$B$19,'Rules'!$B$23,IF('Queries'!E891&lt;='Rules'!$B$20,'Rules'!$B$24,'Rules'!$B$25))))</x:f>
        <x:v>1</x:v>
      </x:c>
      <x:c r="E891" s="16" t="n">
        <x:f>MIN(LOG10(1+'Queries'!C891)/'Rules'!$B$13,1)</x:f>
        <x:v>0.3820426785594133</x:v>
      </x:c>
      <x:c r="F891" s="16" t="n">
        <x:f>IF(AND('Queries'!E891&lt;='Rules'!$B$15,'Queries'!C891&gt;='Rules'!$B$14,'Queries'!D891&lt;'Rules'!$B$16),1,0)</x:f>
        <x:v>0</x:v>
      </x:c>
      <x:c r="G891" s="16" t="n">
        <x:v>0.25</x:v>
      </x:c>
      <x:c r="H891" s="16" t="n">
        <x:v>0.65</x:v>
      </x:c>
      <x:c r="I891" s="16" t="n">
        <x:f>ROUND((B891*'Rules'!$B$6+C891/'Rules'!$B$12*'Rules'!$B$7+D891*'Rules'!$B$8+E891*'Rules'!$B$9+F891*'Rules'!$B$10+G891*'Rules'!$B$11)*H891,1)</x:f>
        <x:v>44.4</x:v>
      </x:c>
      <x:c r="J891" s="18" t="n">
        <x:f>'Queries'!C891*'Queries'!E891</x:f>
        <x:v>187.98000000000002</x:v>
      </x:c>
    </x:row>
    <x:row r="892" ht="32" customHeight="1">
      <x:c r="A892" s="6" t="str">
        <x:v>bugatti repair abu dhabi</x:v>
      </x:c>
      <x:c r="B892" s="16" t="n">
        <x:v>1</x:v>
      </x:c>
      <x:c r="C892" s="16" t="n">
        <x:v>1</x:v>
      </x:c>
      <x:c r="D892" s="16" t="n">
        <x:f>IF('Queries'!E892&lt;='Rules'!$B$17,'Rules'!$B$21,IF('Queries'!E892&lt;='Rules'!$B$18,'Rules'!$B$22,IF('Queries'!E892&lt;='Rules'!$B$19,'Rules'!$B$23,IF('Queries'!E892&lt;='Rules'!$B$20,'Rules'!$B$24,'Rules'!$B$25))))</x:f>
        <x:v>0.7</x:v>
      </x:c>
      <x:c r="E892" s="16" t="n">
        <x:f>MIN(LOG10(1+'Queries'!C892)/'Rules'!$B$13,1)</x:f>
        <x:v>0.3820426785594133</x:v>
      </x:c>
      <x:c r="F892" s="16" t="n">
        <x:f>IF(AND('Queries'!E892&lt;='Rules'!$B$15,'Queries'!C892&gt;='Rules'!$B$14,'Queries'!D892&lt;'Rules'!$B$16),1,0)</x:f>
        <x:v>0</x:v>
      </x:c>
      <x:c r="G892" s="16" t="n">
        <x:v>1</x:v>
      </x:c>
      <x:c r="H892" s="16" t="n">
        <x:v>0.2</x:v>
      </x:c>
      <x:c r="I892" s="16" t="n">
        <x:f>ROUND((B892*'Rules'!$B$6+C892/'Rules'!$B$12*'Rules'!$B$7+D892*'Rules'!$B$8+E892*'Rules'!$B$9+F892*'Rules'!$B$10+G892*'Rules'!$B$11)*H892,1)</x:f>
        <x:v>12.1</x:v>
      </x:c>
      <x:c r="J892" s="18" t="n">
        <x:f>'Queries'!C892*'Queries'!E892</x:f>
        <x:v>208</x:v>
      </x:c>
    </x:row>
    <x:row r="893" ht="32" customHeight="1">
      <x:c r="A893" s="6" t="str">
        <x:v>volkswagen ac repair dubai</x:v>
      </x:c>
      <x:c r="B893" s="16" t="n">
        <x:v>1</x:v>
      </x:c>
      <x:c r="C893" s="16" t="n">
        <x:v>3</x:v>
      </x:c>
      <x:c r="D893" s="16" t="n">
        <x:f>IF('Queries'!E893&lt;='Rules'!$B$17,'Rules'!$B$21,IF('Queries'!E893&lt;='Rules'!$B$18,'Rules'!$B$22,IF('Queries'!E893&lt;='Rules'!$B$19,'Rules'!$B$23,IF('Queries'!E893&lt;='Rules'!$B$20,'Rules'!$B$24,'Rules'!$B$25))))</x:f>
        <x:v>0.7</x:v>
      </x:c>
      <x:c r="E893" s="16" t="n">
        <x:f>MIN(LOG10(1+'Queries'!C893)/'Rules'!$B$13,1)</x:f>
        <x:v>0.3820426785594133</x:v>
      </x:c>
      <x:c r="F893" s="16" t="n">
        <x:f>IF(AND('Queries'!E893&lt;='Rules'!$B$15,'Queries'!C893&gt;='Rules'!$B$14,'Queries'!D893&lt;'Rules'!$B$16),1,0)</x:f>
        <x:v>0</x:v>
      </x:c>
      <x:c r="G893" s="16" t="n">
        <x:v>1</x:v>
      </x:c>
      <x:c r="H893" s="16" t="n">
        <x:v>1</x:v>
      </x:c>
      <x:c r="I893" s="16" t="n">
        <x:f>ROUND((B893*'Rules'!$B$6+C893/'Rules'!$B$12*'Rules'!$B$7+D893*'Rules'!$B$8+E893*'Rules'!$B$9+F893*'Rules'!$B$10+G893*'Rules'!$B$11)*H893,1)</x:f>
        <x:v>68.3</x:v>
      </x:c>
      <x:c r="J893" s="18" t="n">
        <x:f>'Queries'!C893*'Queries'!E893</x:f>
        <x:v>208</x:v>
      </x:c>
    </x:row>
    <x:row r="894" ht="32" customHeight="1">
      <x:c r="A894" s="6" t="str">
        <x:v>porsche tyre replacement dubai</x:v>
      </x:c>
      <x:c r="B894" s="16" t="n">
        <x:v>1</x:v>
      </x:c>
      <x:c r="C894" s="16" t="n">
        <x:v>2</x:v>
      </x:c>
      <x:c r="D894" s="16" t="n">
        <x:f>IF('Queries'!E894&lt;='Rules'!$B$17,'Rules'!$B$21,IF('Queries'!E894&lt;='Rules'!$B$18,'Rules'!$B$22,IF('Queries'!E894&lt;='Rules'!$B$19,'Rules'!$B$23,IF('Queries'!E894&lt;='Rules'!$B$20,'Rules'!$B$24,'Rules'!$B$25))))</x:f>
        <x:v>0.7</x:v>
      </x:c>
      <x:c r="E894" s="16" t="n">
        <x:f>MIN(LOG10(1+'Queries'!C894)/'Rules'!$B$13,1)</x:f>
        <x:v>0.3820426785594133</x:v>
      </x:c>
      <x:c r="F894" s="16" t="n">
        <x:f>IF(AND('Queries'!E894&lt;='Rules'!$B$15,'Queries'!C894&gt;='Rules'!$B$14,'Queries'!D894&lt;'Rules'!$B$16),1,0)</x:f>
        <x:v>0</x:v>
      </x:c>
      <x:c r="G894" s="16" t="n">
        <x:v>1</x:v>
      </x:c>
      <x:c r="H894" s="16" t="n">
        <x:v>1</x:v>
      </x:c>
      <x:c r="I894" s="16" t="n">
        <x:f>ROUND((B894*'Rules'!$B$6+C894/'Rules'!$B$12*'Rules'!$B$7+D894*'Rules'!$B$8+E894*'Rules'!$B$9+F894*'Rules'!$B$10+G894*'Rules'!$B$11)*H894,1)</x:f>
        <x:v>64.3</x:v>
      </x:c>
      <x:c r="J894" s="18" t="n">
        <x:f>'Queries'!C894*'Queries'!E894</x:f>
        <x:v>225.94</x:v>
      </x:c>
    </x:row>
    <x:row r="895" ht="32" customHeight="1">
      <x:c r="A895" s="6" t="str">
        <x:v>صيانة الفرامل لينكون</x:v>
      </x:c>
      <x:c r="B895" s="16" t="n">
        <x:v>0.8</x:v>
      </x:c>
      <x:c r="C895" s="16" t="n">
        <x:v>3</x:v>
      </x:c>
      <x:c r="D895" s="16" t="n">
        <x:f>IF('Queries'!E895&lt;='Rules'!$B$17,'Rules'!$B$21,IF('Queries'!E895&lt;='Rules'!$B$18,'Rules'!$B$22,IF('Queries'!E895&lt;='Rules'!$B$19,'Rules'!$B$23,IF('Queries'!E895&lt;='Rules'!$B$20,'Rules'!$B$24,'Rules'!$B$25))))</x:f>
        <x:v>0.7</x:v>
      </x:c>
      <x:c r="E895" s="16" t="n">
        <x:f>MIN(LOG10(1+'Queries'!C895)/'Rules'!$B$13,1)</x:f>
        <x:v>0.3820426785594133</x:v>
      </x:c>
      <x:c r="F895" s="16" t="n">
        <x:f>IF(AND('Queries'!E895&lt;='Rules'!$B$15,'Queries'!C895&gt;='Rules'!$B$14,'Queries'!D895&lt;'Rules'!$B$16),1,0)</x:f>
        <x:v>0</x:v>
      </x:c>
      <x:c r="G895" s="16" t="n">
        <x:v>1</x:v>
      </x:c>
      <x:c r="H895" s="16" t="n">
        <x:v>1</x:v>
      </x:c>
      <x:c r="I895" s="16" t="n">
        <x:f>ROUND((B895*'Rules'!$B$6+C895/'Rules'!$B$12*'Rules'!$B$7+D895*'Rules'!$B$8+E895*'Rules'!$B$9+F895*'Rules'!$B$10+G895*'Rules'!$B$11)*H895,1)</x:f>
        <x:v>63.3</x:v>
      </x:c>
      <x:c r="J895" s="18" t="n">
        <x:f>'Queries'!C895*'Queries'!E895</x:f>
        <x:v>238.94</x:v>
      </x:c>
    </x:row>
    <x:row r="896" ht="32" customHeight="1">
      <x:c r="A896" s="6" t="str">
        <x:v>audi specialists</x:v>
      </x:c>
      <x:c r="B896" s="16" t="n">
        <x:v>0.8</x:v>
      </x:c>
      <x:c r="C896" s="16" t="n">
        <x:v>5</x:v>
      </x:c>
      <x:c r="D896" s="16" t="n">
        <x:f>IF('Queries'!E896&lt;='Rules'!$B$17,'Rules'!$B$21,IF('Queries'!E896&lt;='Rules'!$B$18,'Rules'!$B$22,IF('Queries'!E896&lt;='Rules'!$B$19,'Rules'!$B$23,IF('Queries'!E896&lt;='Rules'!$B$20,'Rules'!$B$24,'Rules'!$B$25))))</x:f>
        <x:v>0.7</x:v>
      </x:c>
      <x:c r="E896" s="16" t="n">
        <x:f>MIN(LOG10(1+'Queries'!C896)/'Rules'!$B$13,1)</x:f>
        <x:v>0.3820426785594133</x:v>
      </x:c>
      <x:c r="F896" s="16" t="n">
        <x:f>IF(AND('Queries'!E896&lt;='Rules'!$B$15,'Queries'!C896&gt;='Rules'!$B$14,'Queries'!D896&lt;'Rules'!$B$16),1,0)</x:f>
        <x:v>0</x:v>
      </x:c>
      <x:c r="G896" s="16" t="n">
        <x:v>1</x:v>
      </x:c>
      <x:c r="H896" s="16" t="n">
        <x:v>1</x:v>
      </x:c>
      <x:c r="I896" s="16" t="n">
        <x:f>ROUND((B896*'Rules'!$B$6+C896/'Rules'!$B$12*'Rules'!$B$7+D896*'Rules'!$B$8+E896*'Rules'!$B$9+F896*'Rules'!$B$10+G896*'Rules'!$B$11)*H896,1)</x:f>
        <x:v>71.3</x:v>
      </x:c>
      <x:c r="J896" s="18" t="n">
        <x:f>'Queries'!C896*'Queries'!E896</x:f>
        <x:v>247</x:v>
      </x:c>
    </x:row>
    <x:row r="897" ht="32" customHeight="1">
      <x:c r="A897" s="6" t="str">
        <x:v>cadillac car battery uae</x:v>
      </x:c>
      <x:c r="B897" s="16" t="n">
        <x:v>0.8</x:v>
      </x:c>
      <x:c r="C897" s="16" t="n">
        <x:v>3</x:v>
      </x:c>
      <x:c r="D897" s="16" t="n">
        <x:f>IF('Queries'!E897&lt;='Rules'!$B$17,'Rules'!$B$21,IF('Queries'!E897&lt;='Rules'!$B$18,'Rules'!$B$22,IF('Queries'!E897&lt;='Rules'!$B$19,'Rules'!$B$23,IF('Queries'!E897&lt;='Rules'!$B$20,'Rules'!$B$24,'Rules'!$B$25))))</x:f>
        <x:v>0.7</x:v>
      </x:c>
      <x:c r="E897" s="16" t="n">
        <x:f>MIN(LOG10(1+'Queries'!C897)/'Rules'!$B$13,1)</x:f>
        <x:v>0.3820426785594133</x:v>
      </x:c>
      <x:c r="F897" s="16" t="n">
        <x:f>IF(AND('Queries'!E897&lt;='Rules'!$B$15,'Queries'!C897&gt;='Rules'!$B$14,'Queries'!D897&lt;'Rules'!$B$16),1,0)</x:f>
        <x:v>0</x:v>
      </x:c>
      <x:c r="G897" s="16" t="n">
        <x:v>0.25</x:v>
      </x:c>
      <x:c r="H897" s="16" t="n">
        <x:v>0.65</x:v>
      </x:c>
      <x:c r="I897" s="16" t="n">
        <x:f>ROUND((B897*'Rules'!$B$6+C897/'Rules'!$B$12*'Rules'!$B$7+D897*'Rules'!$B$8+E897*'Rules'!$B$9+F897*'Rules'!$B$10+G897*'Rules'!$B$11)*H897,1)</x:f>
        <x:v>36.3</x:v>
      </x:c>
      <x:c r="J897" s="18" t="n">
        <x:f>'Queries'!C897*'Queries'!E897</x:f>
        <x:v>262.99</x:v>
      </x:c>
    </x:row>
    <x:row r="898" ht="32" customHeight="1">
      <x:c r="A898" s="6" t="str">
        <x:v>صيانة دودج</x:v>
      </x:c>
      <x:c r="B898" s="16" t="n">
        <x:v>0.8</x:v>
      </x:c>
      <x:c r="C898" s="16" t="n">
        <x:v>3</x:v>
      </x:c>
      <x:c r="D898" s="16" t="n">
        <x:f>IF('Queries'!E898&lt;='Rules'!$B$17,'Rules'!$B$21,IF('Queries'!E898&lt;='Rules'!$B$18,'Rules'!$B$22,IF('Queries'!E898&lt;='Rules'!$B$19,'Rules'!$B$23,IF('Queries'!E898&lt;='Rules'!$B$20,'Rules'!$B$24,'Rules'!$B$25))))</x:f>
        <x:v>0.7</x:v>
      </x:c>
      <x:c r="E898" s="16" t="n">
        <x:f>MIN(LOG10(1+'Queries'!C898)/'Rules'!$B$13,1)</x:f>
        <x:v>0.3820426785594133</x:v>
      </x:c>
      <x:c r="F898" s="16" t="n">
        <x:f>IF(AND('Queries'!E898&lt;='Rules'!$B$15,'Queries'!C898&gt;='Rules'!$B$14,'Queries'!D898&lt;'Rules'!$B$16),1,0)</x:f>
        <x:v>0</x:v>
      </x:c>
      <x:c r="G898" s="16" t="n">
        <x:v>1</x:v>
      </x:c>
      <x:c r="H898" s="16" t="n">
        <x:v>1</x:v>
      </x:c>
      <x:c r="I898" s="16" t="n">
        <x:f>ROUND((B898*'Rules'!$B$6+C898/'Rules'!$B$12*'Rules'!$B$7+D898*'Rules'!$B$8+E898*'Rules'!$B$9+F898*'Rules'!$B$10+G898*'Rules'!$B$11)*H898,1)</x:f>
        <x:v>63.3</x:v>
      </x:c>
      <x:c r="J898" s="18" t="n">
        <x:f>'Queries'!C898*'Queries'!E898</x:f>
        <x:v>274.95</x:v>
      </x:c>
    </x:row>
    <x:row r="899" ht="32" customHeight="1">
      <x:c r="A899" s="6" t="str">
        <x:v>industrial gearbox repair near me</x:v>
      </x:c>
      <x:c r="B899" s="16" t="n">
        <x:v>0</x:v>
      </x:c>
      <x:c r="C899" s="16" t="n">
        <x:v>0</x:v>
      </x:c>
      <x:c r="D899" s="16" t="n">
        <x:f>IF('Queries'!E899&lt;='Rules'!$B$17,'Rules'!$B$21,IF('Queries'!E899&lt;='Rules'!$B$18,'Rules'!$B$22,IF('Queries'!E899&lt;='Rules'!$B$19,'Rules'!$B$23,IF('Queries'!E899&lt;='Rules'!$B$20,'Rules'!$B$24,'Rules'!$B$25))))</x:f>
        <x:v>0.7</x:v>
      </x:c>
      <x:c r="E899" s="16" t="n">
        <x:f>MIN(LOG10(1+'Queries'!C899)/'Rules'!$B$13,1)</x:f>
        <x:v>0.3820426785594133</x:v>
      </x:c>
      <x:c r="F899" s="16" t="n">
        <x:f>IF(AND('Queries'!E899&lt;='Rules'!$B$15,'Queries'!C899&gt;='Rules'!$B$14,'Queries'!D899&lt;'Rules'!$B$16),1,0)</x:f>
        <x:v>0</x:v>
      </x:c>
      <x:c r="G899" s="16" t="n">
        <x:v>0</x:v>
      </x:c>
      <x:c r="H899" s="16" t="n">
        <x:v>0</x:v>
      </x:c>
      <x:c r="I899" s="16" t="n">
        <x:f>ROUND((B899*'Rules'!$B$6+C899/'Rules'!$B$12*'Rules'!$B$7+D899*'Rules'!$B$8+E899*'Rules'!$B$9+F899*'Rules'!$B$10+G899*'Rules'!$B$11)*H899,1)</x:f>
        <x:v>0</x:v>
      </x:c>
      <x:c r="J899" s="18" t="n">
        <x:f>'Queries'!C899*'Queries'!E899</x:f>
        <x:v>290.03</x:v>
      </x:c>
    </x:row>
    <x:row r="900" ht="32" customHeight="1">
      <x:c r="A900" s="6" t="str">
        <x:v>audi servicing</x:v>
      </x:c>
      <x:c r="B900" s="16" t="n">
        <x:v>0.8</x:v>
      </x:c>
      <x:c r="C900" s="16" t="n">
        <x:v>5</x:v>
      </x:c>
      <x:c r="D900" s="16" t="n">
        <x:f>IF('Queries'!E900&lt;='Rules'!$B$17,'Rules'!$B$21,IF('Queries'!E900&lt;='Rules'!$B$18,'Rules'!$B$22,IF('Queries'!E900&lt;='Rules'!$B$19,'Rules'!$B$23,IF('Queries'!E900&lt;='Rules'!$B$20,'Rules'!$B$24,'Rules'!$B$25))))</x:f>
        <x:v>0.7</x:v>
      </x:c>
      <x:c r="E900" s="16" t="n">
        <x:f>MIN(LOG10(1+'Queries'!C900)/'Rules'!$B$13,1)</x:f>
        <x:v>0.3820426785594133</x:v>
      </x:c>
      <x:c r="F900" s="16" t="n">
        <x:f>IF(AND('Queries'!E900&lt;='Rules'!$B$15,'Queries'!C900&gt;='Rules'!$B$14,'Queries'!D900&lt;'Rules'!$B$16),1,0)</x:f>
        <x:v>0</x:v>
      </x:c>
      <x:c r="G900" s="16" t="n">
        <x:v>1</x:v>
      </x:c>
      <x:c r="H900" s="16" t="n">
        <x:v>1</x:v>
      </x:c>
      <x:c r="I900" s="16" t="n">
        <x:f>ROUND((B900*'Rules'!$B$6+C900/'Rules'!$B$12*'Rules'!$B$7+D900*'Rules'!$B$8+E900*'Rules'!$B$9+F900*'Rules'!$B$10+G900*'Rules'!$B$11)*H900,1)</x:f>
        <x:v>71.3</x:v>
      </x:c>
      <x:c r="J900" s="18" t="n">
        <x:f>'Queries'!C900*'Queries'!E900</x:f>
        <x:v>291.98</x:v>
      </x:c>
    </x:row>
    <x:row r="901" ht="42" customHeight="1">
      <x:c r="A901" s="6" t="str">
        <x:v>best car servicing center for all makes in dubai</x:v>
      </x:c>
      <x:c r="B901" s="16" t="n">
        <x:v>1</x:v>
      </x:c>
      <x:c r="C901" s="16" t="n">
        <x:v>3</x:v>
      </x:c>
      <x:c r="D901" s="16" t="n">
        <x:f>IF('Queries'!E901&lt;='Rules'!$B$17,'Rules'!$B$21,IF('Queries'!E901&lt;='Rules'!$B$18,'Rules'!$B$22,IF('Queries'!E901&lt;='Rules'!$B$19,'Rules'!$B$23,IF('Queries'!E901&lt;='Rules'!$B$20,'Rules'!$B$24,'Rules'!$B$25))))</x:f>
        <x:v>0.7</x:v>
      </x:c>
      <x:c r="E901" s="16" t="n">
        <x:f>MIN(LOG10(1+'Queries'!C901)/'Rules'!$B$13,1)</x:f>
        <x:v>0.3820426785594133</x:v>
      </x:c>
      <x:c r="F901" s="16" t="n">
        <x:f>IF(AND('Queries'!E901&lt;='Rules'!$B$15,'Queries'!C901&gt;='Rules'!$B$14,'Queries'!D901&lt;'Rules'!$B$16),1,0)</x:f>
        <x:v>0</x:v>
      </x:c>
      <x:c r="G901" s="16" t="n">
        <x:v>1</x:v>
      </x:c>
      <x:c r="H901" s="16" t="n">
        <x:v>1</x:v>
      </x:c>
      <x:c r="I901" s="16" t="n">
        <x:f>ROUND((B901*'Rules'!$B$6+C901/'Rules'!$B$12*'Rules'!$B$7+D901*'Rules'!$B$8+E901*'Rules'!$B$9+F901*'Rules'!$B$10+G901*'Rules'!$B$11)*H901,1)</x:f>
        <x:v>68.3</x:v>
      </x:c>
      <x:c r="J901" s="18" t="n">
        <x:f>'Queries'!C901*'Queries'!E901</x:f>
        <x:v>299</x:v>
      </x:c>
    </x:row>
    <x:row r="902" ht="32" customHeight="1">
      <x:c r="A902" s="6" t="str">
        <x:v>bentley suspension repair dubai</x:v>
      </x:c>
      <x:c r="B902" s="16" t="n">
        <x:v>1</x:v>
      </x:c>
      <x:c r="C902" s="16" t="n">
        <x:v>5</x:v>
      </x:c>
      <x:c r="D902" s="16" t="n">
        <x:f>IF('Queries'!E902&lt;='Rules'!$B$17,'Rules'!$B$21,IF('Queries'!E902&lt;='Rules'!$B$18,'Rules'!$B$22,IF('Queries'!E902&lt;='Rules'!$B$19,'Rules'!$B$23,IF('Queries'!E902&lt;='Rules'!$B$20,'Rules'!$B$24,'Rules'!$B$25))))</x:f>
        <x:v>0.7</x:v>
      </x:c>
      <x:c r="E902" s="16" t="n">
        <x:f>MIN(LOG10(1+'Queries'!C902)/'Rules'!$B$13,1)</x:f>
        <x:v>0.3820426785594133</x:v>
      </x:c>
      <x:c r="F902" s="16" t="n">
        <x:f>IF(AND('Queries'!E902&lt;='Rules'!$B$15,'Queries'!C902&gt;='Rules'!$B$14,'Queries'!D902&lt;'Rules'!$B$16),1,0)</x:f>
        <x:v>0</x:v>
      </x:c>
      <x:c r="G902" s="16" t="n">
        <x:v>1</x:v>
      </x:c>
      <x:c r="H902" s="16" t="n">
        <x:v>1</x:v>
      </x:c>
      <x:c r="I902" s="16" t="n">
        <x:f>ROUND((B902*'Rules'!$B$6+C902/'Rules'!$B$12*'Rules'!$B$7+D902*'Rules'!$B$8+E902*'Rules'!$B$9+F902*'Rules'!$B$10+G902*'Rules'!$B$11)*H902,1)</x:f>
        <x:v>76.3</x:v>
      </x:c>
      <x:c r="J902" s="18" t="n">
        <x:f>'Queries'!C902*'Queries'!E902</x:f>
        <x:v>339.95</x:v>
      </x:c>
    </x:row>
    <x:row r="903" ht="32" customHeight="1">
      <x:c r="A903" s="6" t="str">
        <x:v>صيانة سيارات فورد</x:v>
      </x:c>
      <x:c r="B903" s="16" t="n">
        <x:v>0.8</x:v>
      </x:c>
      <x:c r="C903" s="16" t="n">
        <x:v>3</x:v>
      </x:c>
      <x:c r="D903" s="16" t="n">
        <x:f>IF('Queries'!E903&lt;='Rules'!$B$17,'Rules'!$B$21,IF('Queries'!E903&lt;='Rules'!$B$18,'Rules'!$B$22,IF('Queries'!E903&lt;='Rules'!$B$19,'Rules'!$B$23,IF('Queries'!E903&lt;='Rules'!$B$20,'Rules'!$B$24,'Rules'!$B$25))))</x:f>
        <x:v>0.7</x:v>
      </x:c>
      <x:c r="E903" s="16" t="n">
        <x:f>MIN(LOG10(1+'Queries'!C903)/'Rules'!$B$13,1)</x:f>
        <x:v>0.3820426785594133</x:v>
      </x:c>
      <x:c r="F903" s="16" t="n">
        <x:f>IF(AND('Queries'!E903&lt;='Rules'!$B$15,'Queries'!C903&gt;='Rules'!$B$14,'Queries'!D903&lt;'Rules'!$B$16),1,0)</x:f>
        <x:v>0</x:v>
      </x:c>
      <x:c r="G903" s="16" t="n">
        <x:v>1</x:v>
      </x:c>
      <x:c r="H903" s="16" t="n">
        <x:v>1</x:v>
      </x:c>
      <x:c r="I903" s="16" t="n">
        <x:f>ROUND((B903*'Rules'!$B$6+C903/'Rules'!$B$12*'Rules'!$B$7+D903*'Rules'!$B$8+E903*'Rules'!$B$9+F903*'Rules'!$B$10+G903*'Rules'!$B$11)*H903,1)</x:f>
        <x:v>63.3</x:v>
      </x:c>
      <x:c r="J903" s="18" t="n">
        <x:f>'Queries'!C903*'Queries'!E903</x:f>
        <x:v>349.96000000000004</x:v>
      </x:c>
    </x:row>
    <x:row r="904" ht="32" customHeight="1">
      <x:c r="A904" s="6" t="str">
        <x:v>jaguar specialist dubai</x:v>
      </x:c>
      <x:c r="B904" s="16" t="n">
        <x:v>1</x:v>
      </x:c>
      <x:c r="C904" s="16" t="n">
        <x:v>3</x:v>
      </x:c>
      <x:c r="D904" s="16" t="n">
        <x:f>IF('Queries'!E904&lt;='Rules'!$B$17,'Rules'!$B$21,IF('Queries'!E904&lt;='Rules'!$B$18,'Rules'!$B$22,IF('Queries'!E904&lt;='Rules'!$B$19,'Rules'!$B$23,IF('Queries'!E904&lt;='Rules'!$B$20,'Rules'!$B$24,'Rules'!$B$25))))</x:f>
        <x:v>0.7</x:v>
      </x:c>
      <x:c r="E904" s="16" t="n">
        <x:f>MIN(LOG10(1+'Queries'!C904)/'Rules'!$B$13,1)</x:f>
        <x:v>0.3820426785594133</x:v>
      </x:c>
      <x:c r="F904" s="16" t="n">
        <x:f>IF(AND('Queries'!E904&lt;='Rules'!$B$15,'Queries'!C904&gt;='Rules'!$B$14,'Queries'!D904&lt;'Rules'!$B$16),1,0)</x:f>
        <x:v>0</x:v>
      </x:c>
      <x:c r="G904" s="16" t="n">
        <x:v>1</x:v>
      </x:c>
      <x:c r="H904" s="16" t="n">
        <x:v>1</x:v>
      </x:c>
      <x:c r="I904" s="16" t="n">
        <x:f>ROUND((B904*'Rules'!$B$6+C904/'Rules'!$B$12*'Rules'!$B$7+D904*'Rules'!$B$8+E904*'Rules'!$B$9+F904*'Rules'!$B$10+G904*'Rules'!$B$11)*H904,1)</x:f>
        <x:v>68.3</x:v>
      </x:c>
      <x:c r="J904" s="18" t="n">
        <x:f>'Queries'!C904*'Queries'!E904</x:f>
        <x:v>351</x:v>
      </x:c>
    </x:row>
    <x:row r="905" ht="32" customHeight="1">
      <x:c r="A905" s="6" t="str">
        <x:v>porsche panamera service dubai</x:v>
      </x:c>
      <x:c r="B905" s="16" t="n">
        <x:v>1</x:v>
      </x:c>
      <x:c r="C905" s="16" t="n">
        <x:v>5</x:v>
      </x:c>
      <x:c r="D905" s="16" t="n">
        <x:f>IF('Queries'!E905&lt;='Rules'!$B$17,'Rules'!$B$21,IF('Queries'!E905&lt;='Rules'!$B$18,'Rules'!$B$22,IF('Queries'!E905&lt;='Rules'!$B$19,'Rules'!$B$23,IF('Queries'!E905&lt;='Rules'!$B$20,'Rules'!$B$24,'Rules'!$B$25))))</x:f>
        <x:v>0.7</x:v>
      </x:c>
      <x:c r="E905" s="16" t="n">
        <x:f>MIN(LOG10(1+'Queries'!C905)/'Rules'!$B$13,1)</x:f>
        <x:v>0.3820426785594133</x:v>
      </x:c>
      <x:c r="F905" s="16" t="n">
        <x:f>IF(AND('Queries'!E905&lt;='Rules'!$B$15,'Queries'!C905&gt;='Rules'!$B$14,'Queries'!D905&lt;'Rules'!$B$16),1,0)</x:f>
        <x:v>0</x:v>
      </x:c>
      <x:c r="G905" s="16" t="n">
        <x:v>1</x:v>
      </x:c>
      <x:c r="H905" s="16" t="n">
        <x:v>1</x:v>
      </x:c>
      <x:c r="I905" s="16" t="n">
        <x:f>ROUND((B905*'Rules'!$B$6+C905/'Rules'!$B$12*'Rules'!$B$7+D905*'Rules'!$B$8+E905*'Rules'!$B$9+F905*'Rules'!$B$10+G905*'Rules'!$B$11)*H905,1)</x:f>
        <x:v>76.3</x:v>
      </x:c>
      <x:c r="J905" s="18" t="n">
        <x:f>'Queries'!C905*'Queries'!E905</x:f>
        <x:v>352.95</x:v>
      </x:c>
    </x:row>
    <x:row r="906" ht="32" customHeight="1">
      <x:c r="A906" s="6" t="str">
        <x:v>صيانة سيارات فورد الامارات</x:v>
      </x:c>
      <x:c r="B906" s="16" t="n">
        <x:v>0.8</x:v>
      </x:c>
      <x:c r="C906" s="16" t="n">
        <x:v>3</x:v>
      </x:c>
      <x:c r="D906" s="16" t="n">
        <x:f>IF('Queries'!E906&lt;='Rules'!$B$17,'Rules'!$B$21,IF('Queries'!E906&lt;='Rules'!$B$18,'Rules'!$B$22,IF('Queries'!E906&lt;='Rules'!$B$19,'Rules'!$B$23,IF('Queries'!E906&lt;='Rules'!$B$20,'Rules'!$B$24,'Rules'!$B$25))))</x:f>
        <x:v>0.4</x:v>
      </x:c>
      <x:c r="E906" s="16" t="n">
        <x:f>MIN(LOG10(1+'Queries'!C906)/'Rules'!$B$13,1)</x:f>
        <x:v>0.3820426785594133</x:v>
      </x:c>
      <x:c r="F906" s="16" t="n">
        <x:f>IF(AND('Queries'!E906&lt;='Rules'!$B$15,'Queries'!C906&gt;='Rules'!$B$14,'Queries'!D906&lt;'Rules'!$B$16),1,0)</x:f>
        <x:v>0</x:v>
      </x:c>
      <x:c r="G906" s="16" t="n">
        <x:v>1</x:v>
      </x:c>
      <x:c r="H906" s="16" t="n">
        <x:v>1</x:v>
      </x:c>
      <x:c r="I906" s="16" t="n">
        <x:f>ROUND((B906*'Rules'!$B$6+C906/'Rules'!$B$12*'Rules'!$B$7+D906*'Rules'!$B$8+E906*'Rules'!$B$9+F906*'Rules'!$B$10+G906*'Rules'!$B$11)*H906,1)</x:f>
        <x:v>55.8</x:v>
      </x:c>
      <x:c r="J906" s="18" t="n">
        <x:f>'Queries'!C906*'Queries'!E906</x:f>
        <x:v>394.94</x:v>
      </x:c>
    </x:row>
    <x:row r="907" ht="32" customHeight="1">
      <x:c r="A907" s="6" t="str">
        <x:v>nano ceramic paint protection dubai</x:v>
      </x:c>
      <x:c r="B907" s="16" t="n">
        <x:v>1</x:v>
      </x:c>
      <x:c r="C907" s="16" t="n">
        <x:v>5</x:v>
      </x:c>
      <x:c r="D907" s="16" t="n">
        <x:f>IF('Queries'!E907&lt;='Rules'!$B$17,'Rules'!$B$21,IF('Queries'!E907&lt;='Rules'!$B$18,'Rules'!$B$22,IF('Queries'!E907&lt;='Rules'!$B$19,'Rules'!$B$23,IF('Queries'!E907&lt;='Rules'!$B$20,'Rules'!$B$24,'Rules'!$B$25))))</x:f>
        <x:v>0.4</x:v>
      </x:c>
      <x:c r="E907" s="16" t="n">
        <x:f>MIN(LOG10(1+'Queries'!C907)/'Rules'!$B$13,1)</x:f>
        <x:v>0.3820426785594133</x:v>
      </x:c>
      <x:c r="F907" s="16" t="n">
        <x:f>IF(AND('Queries'!E907&lt;='Rules'!$B$15,'Queries'!C907&gt;='Rules'!$B$14,'Queries'!D907&lt;'Rules'!$B$16),1,0)</x:f>
        <x:v>0</x:v>
      </x:c>
      <x:c r="G907" s="16" t="n">
        <x:v>1</x:v>
      </x:c>
      <x:c r="H907" s="16" t="n">
        <x:v>1</x:v>
      </x:c>
      <x:c r="I907" s="16" t="n">
        <x:f>ROUND((B907*'Rules'!$B$6+C907/'Rules'!$B$12*'Rules'!$B$7+D907*'Rules'!$B$8+E907*'Rules'!$B$9+F907*'Rules'!$B$10+G907*'Rules'!$B$11)*H907,1)</x:f>
        <x:v>68.8</x:v>
      </x:c>
      <x:c r="J907" s="18" t="n">
        <x:f>'Queries'!C907*'Queries'!E907</x:f>
        <x:v>403</x:v>
      </x:c>
    </x:row>
    <x:row r="908" ht="32" customHeight="1">
      <x:c r="A908" s="6" t="str">
        <x:v>ppf coating near me</x:v>
      </x:c>
      <x:c r="B908" s="16" t="n">
        <x:v>1</x:v>
      </x:c>
      <x:c r="C908" s="16" t="n">
        <x:v>5</x:v>
      </x:c>
      <x:c r="D908" s="16" t="n">
        <x:f>IF('Queries'!E908&lt;='Rules'!$B$17,'Rules'!$B$21,IF('Queries'!E908&lt;='Rules'!$B$18,'Rules'!$B$22,IF('Queries'!E908&lt;='Rules'!$B$19,'Rules'!$B$23,IF('Queries'!E908&lt;='Rules'!$B$20,'Rules'!$B$24,'Rules'!$B$25))))</x:f>
        <x:v>0.4</x:v>
      </x:c>
      <x:c r="E908" s="16" t="n">
        <x:f>MIN(LOG10(1+'Queries'!C908)/'Rules'!$B$13,1)</x:f>
        <x:v>0.3820426785594133</x:v>
      </x:c>
      <x:c r="F908" s="16" t="n">
        <x:f>IF(AND('Queries'!E908&lt;='Rules'!$B$15,'Queries'!C908&gt;='Rules'!$B$14,'Queries'!D908&lt;'Rules'!$B$16),1,0)</x:f>
        <x:v>0</x:v>
      </x:c>
      <x:c r="G908" s="16" t="n">
        <x:v>1</x:v>
      </x:c>
      <x:c r="H908" s="16" t="n">
        <x:v>1</x:v>
      </x:c>
      <x:c r="I908" s="16" t="n">
        <x:f>ROUND((B908*'Rules'!$B$6+C908/'Rules'!$B$12*'Rules'!$B$7+D908*'Rules'!$B$8+E908*'Rules'!$B$9+F908*'Rules'!$B$10+G908*'Rules'!$B$11)*H908,1)</x:f>
        <x:v>68.8</x:v>
      </x:c>
      <x:c r="J908" s="18" t="n">
        <x:f>'Queries'!C908*'Queries'!E908</x:f>
        <x:v>408.98</x:v>
      </x:c>
    </x:row>
    <x:row r="909" ht="32" customHeight="1">
      <x:c r="A909" s="6" t="str">
        <x:v>body repair</x:v>
      </x:c>
      <x:c r="B909" s="16" t="n">
        <x:v>0.8</x:v>
      </x:c>
      <x:c r="C909" s="16" t="n">
        <x:v>3</x:v>
      </x:c>
      <x:c r="D909" s="16" t="n">
        <x:f>IF('Queries'!E909&lt;='Rules'!$B$17,'Rules'!$B$21,IF('Queries'!E909&lt;='Rules'!$B$18,'Rules'!$B$22,IF('Queries'!E909&lt;='Rules'!$B$19,'Rules'!$B$23,IF('Queries'!E909&lt;='Rules'!$B$20,'Rules'!$B$24,'Rules'!$B$25))))</x:f>
        <x:v>0.4</x:v>
      </x:c>
      <x:c r="E909" s="16" t="n">
        <x:f>MIN(LOG10(1+'Queries'!C909)/'Rules'!$B$13,1)</x:f>
        <x:v>0.3820426785594133</x:v>
      </x:c>
      <x:c r="F909" s="16" t="n">
        <x:f>IF(AND('Queries'!E909&lt;='Rules'!$B$15,'Queries'!C909&gt;='Rules'!$B$14,'Queries'!D909&lt;'Rules'!$B$16),1,0)</x:f>
        <x:v>0</x:v>
      </x:c>
      <x:c r="G909" s="16" t="n">
        <x:v>1</x:v>
      </x:c>
      <x:c r="H909" s="16" t="n">
        <x:v>1</x:v>
      </x:c>
      <x:c r="I909" s="16" t="n">
        <x:f>ROUND((B909*'Rules'!$B$6+C909/'Rules'!$B$12*'Rules'!$B$7+D909*'Rules'!$B$8+E909*'Rules'!$B$9+F909*'Rules'!$B$10+G909*'Rules'!$B$11)*H909,1)</x:f>
        <x:v>55.8</x:v>
      </x:c>
      <x:c r="J909" s="18" t="n">
        <x:f>'Queries'!C909*'Queries'!E909</x:f>
        <x:v>417.95</x:v>
      </x:c>
    </x:row>
    <x:row r="910" ht="32" customHeight="1">
      <x:c r="A910" s="6" t="str">
        <x:v>jaguar service dubai</x:v>
      </x:c>
      <x:c r="B910" s="16" t="n">
        <x:v>1</x:v>
      </x:c>
      <x:c r="C910" s="16" t="n">
        <x:v>3</x:v>
      </x:c>
      <x:c r="D910" s="16" t="n">
        <x:f>IF('Queries'!E910&lt;='Rules'!$B$17,'Rules'!$B$21,IF('Queries'!E910&lt;='Rules'!$B$18,'Rules'!$B$22,IF('Queries'!E910&lt;='Rules'!$B$19,'Rules'!$B$23,IF('Queries'!E910&lt;='Rules'!$B$20,'Rules'!$B$24,'Rules'!$B$25))))</x:f>
        <x:v>0.4</x:v>
      </x:c>
      <x:c r="E910" s="16" t="n">
        <x:f>MIN(LOG10(1+'Queries'!C910)/'Rules'!$B$13,1)</x:f>
        <x:v>0.3820426785594133</x:v>
      </x:c>
      <x:c r="F910" s="16" t="n">
        <x:f>IF(AND('Queries'!E910&lt;='Rules'!$B$15,'Queries'!C910&gt;='Rules'!$B$14,'Queries'!D910&lt;'Rules'!$B$16),1,0)</x:f>
        <x:v>0</x:v>
      </x:c>
      <x:c r="G910" s="16" t="n">
        <x:v>1</x:v>
      </x:c>
      <x:c r="H910" s="16" t="n">
        <x:v>1</x:v>
      </x:c>
      <x:c r="I910" s="16" t="n">
        <x:f>ROUND((B910*'Rules'!$B$6+C910/'Rules'!$B$12*'Rules'!$B$7+D910*'Rules'!$B$8+E910*'Rules'!$B$9+F910*'Rules'!$B$10+G910*'Rules'!$B$11)*H910,1)</x:f>
        <x:v>60.8</x:v>
      </x:c>
      <x:c r="J910" s="18" t="n">
        <x:f>'Queries'!C910*'Queries'!E910</x:f>
        <x:v>423.02</x:v>
      </x:c>
    </x:row>
    <x:row r="911" ht="32" customHeight="1">
      <x:c r="A911" s="6" t="str">
        <x:v>paint protection film service</x:v>
      </x:c>
      <x:c r="B911" s="16" t="n">
        <x:v>0.8</x:v>
      </x:c>
      <x:c r="C911" s="16" t="n">
        <x:v>5</x:v>
      </x:c>
      <x:c r="D911" s="16" t="n">
        <x:f>IF('Queries'!E911&lt;='Rules'!$B$17,'Rules'!$B$21,IF('Queries'!E911&lt;='Rules'!$B$18,'Rules'!$B$22,IF('Queries'!E911&lt;='Rules'!$B$19,'Rules'!$B$23,IF('Queries'!E911&lt;='Rules'!$B$20,'Rules'!$B$24,'Rules'!$B$25))))</x:f>
        <x:v>0.4</x:v>
      </x:c>
      <x:c r="E911" s="16" t="n">
        <x:f>MIN(LOG10(1+'Queries'!C911)/'Rules'!$B$13,1)</x:f>
        <x:v>0.3820426785594133</x:v>
      </x:c>
      <x:c r="F911" s="16" t="n">
        <x:f>IF(AND('Queries'!E911&lt;='Rules'!$B$15,'Queries'!C911&gt;='Rules'!$B$14,'Queries'!D911&lt;'Rules'!$B$16),1,0)</x:f>
        <x:v>0</x:v>
      </x:c>
      <x:c r="G911" s="16" t="n">
        <x:v>1</x:v>
      </x:c>
      <x:c r="H911" s="16" t="n">
        <x:v>1</x:v>
      </x:c>
      <x:c r="I911" s="16" t="n">
        <x:f>ROUND((B911*'Rules'!$B$6+C911/'Rules'!$B$12*'Rules'!$B$7+D911*'Rules'!$B$8+E911*'Rules'!$B$9+F911*'Rules'!$B$10+G911*'Rules'!$B$11)*H911,1)</x:f>
        <x:v>63.8</x:v>
      </x:c>
      <x:c r="J911" s="18" t="n">
        <x:f>'Queries'!C911*'Queries'!E911</x:f>
        <x:v>426.01000000000005</x:v>
      </x:c>
    </x:row>
    <x:row r="912" ht="32" customHeight="1">
      <x:c r="A912" s="6" t="str">
        <x:v>benz repair shop</x:v>
      </x:c>
      <x:c r="B912" s="16" t="n">
        <x:v>0.8</x:v>
      </x:c>
      <x:c r="C912" s="16" t="n">
        <x:v>5</x:v>
      </x:c>
      <x:c r="D912" s="16" t="n">
        <x:f>IF('Queries'!E912&lt;='Rules'!$B$17,'Rules'!$B$21,IF('Queries'!E912&lt;='Rules'!$B$18,'Rules'!$B$22,IF('Queries'!E912&lt;='Rules'!$B$19,'Rules'!$B$23,IF('Queries'!E912&lt;='Rules'!$B$20,'Rules'!$B$24,'Rules'!$B$25))))</x:f>
        <x:v>0.4</x:v>
      </x:c>
      <x:c r="E912" s="16" t="n">
        <x:f>MIN(LOG10(1+'Queries'!C912)/'Rules'!$B$13,1)</x:f>
        <x:v>0.3820426785594133</x:v>
      </x:c>
      <x:c r="F912" s="16" t="n">
        <x:f>IF(AND('Queries'!E912&lt;='Rules'!$B$15,'Queries'!C912&gt;='Rules'!$B$14,'Queries'!D912&lt;'Rules'!$B$16),1,0)</x:f>
        <x:v>0</x:v>
      </x:c>
      <x:c r="G912" s="16" t="n">
        <x:v>1</x:v>
      </x:c>
      <x:c r="H912" s="16" t="n">
        <x:v>1</x:v>
      </x:c>
      <x:c r="I912" s="16" t="n">
        <x:f>ROUND((B912*'Rules'!$B$6+C912/'Rules'!$B$12*'Rules'!$B$7+D912*'Rules'!$B$8+E912*'Rules'!$B$9+F912*'Rules'!$B$10+G912*'Rules'!$B$11)*H912,1)</x:f>
        <x:v>63.8</x:v>
      </x:c>
      <x:c r="J912" s="18" t="n">
        <x:f>'Queries'!C912*'Queries'!E912</x:f>
        <x:v>450.05999999999995</x:v>
      </x:c>
    </x:row>
    <x:row r="913" ht="32" customHeight="1">
      <x:c r="A913" s="6" t="str">
        <x:v>car battery change in dubai</x:v>
      </x:c>
      <x:c r="B913" s="16" t="n">
        <x:v>1</x:v>
      </x:c>
      <x:c r="C913" s="16" t="n">
        <x:v>3</x:v>
      </x:c>
      <x:c r="D913" s="16" t="n">
        <x:f>IF('Queries'!E913&lt;='Rules'!$B$17,'Rules'!$B$21,IF('Queries'!E913&lt;='Rules'!$B$18,'Rules'!$B$22,IF('Queries'!E913&lt;='Rules'!$B$19,'Rules'!$B$23,IF('Queries'!E913&lt;='Rules'!$B$20,'Rules'!$B$24,'Rules'!$B$25))))</x:f>
        <x:v>0.4</x:v>
      </x:c>
      <x:c r="E913" s="16" t="n">
        <x:f>MIN(LOG10(1+'Queries'!C913)/'Rules'!$B$13,1)</x:f>
        <x:v>0.3820426785594133</x:v>
      </x:c>
      <x:c r="F913" s="16" t="n">
        <x:f>IF(AND('Queries'!E913&lt;='Rules'!$B$15,'Queries'!C913&gt;='Rules'!$B$14,'Queries'!D913&lt;'Rules'!$B$16),1,0)</x:f>
        <x:v>0</x:v>
      </x:c>
      <x:c r="G913" s="16" t="n">
        <x:v>1</x:v>
      </x:c>
      <x:c r="H913" s="16" t="n">
        <x:v>1</x:v>
      </x:c>
      <x:c r="I913" s="16" t="n">
        <x:f>ROUND((B913*'Rules'!$B$6+C913/'Rules'!$B$12*'Rules'!$B$7+D913*'Rules'!$B$8+E913*'Rules'!$B$9+F913*'Rules'!$B$10+G913*'Rules'!$B$11)*H913,1)</x:f>
        <x:v>60.8</x:v>
      </x:c>
      <x:c r="J913" s="18" t="n">
        <x:f>'Queries'!C913*'Queries'!E913</x:f>
        <x:v>452.01000000000005</x:v>
      </x:c>
    </x:row>
    <x:row r="914" ht="32" customHeight="1">
      <x:c r="A914" s="6" t="str">
        <x:v>bmw car battery dubai</x:v>
      </x:c>
      <x:c r="B914" s="16" t="n">
        <x:v>1</x:v>
      </x:c>
      <x:c r="C914" s="16" t="n">
        <x:v>5</x:v>
      </x:c>
      <x:c r="D914" s="16" t="n">
        <x:f>IF('Queries'!E914&lt;='Rules'!$B$17,'Rules'!$B$21,IF('Queries'!E914&lt;='Rules'!$B$18,'Rules'!$B$22,IF('Queries'!E914&lt;='Rules'!$B$19,'Rules'!$B$23,IF('Queries'!E914&lt;='Rules'!$B$20,'Rules'!$B$24,'Rules'!$B$25))))</x:f>
        <x:v>0.4</x:v>
      </x:c>
      <x:c r="E914" s="16" t="n">
        <x:f>MIN(LOG10(1+'Queries'!C914)/'Rules'!$B$13,1)</x:f>
        <x:v>0.3820426785594133</x:v>
      </x:c>
      <x:c r="F914" s="16" t="n">
        <x:f>IF(AND('Queries'!E914&lt;='Rules'!$B$15,'Queries'!C914&gt;='Rules'!$B$14,'Queries'!D914&lt;'Rules'!$B$16),1,0)</x:f>
        <x:v>0</x:v>
      </x:c>
      <x:c r="G914" s="16" t="n">
        <x:v>1</x:v>
      </x:c>
      <x:c r="H914" s="16" t="n">
        <x:v>1</x:v>
      </x:c>
      <x:c r="I914" s="16" t="n">
        <x:f>ROUND((B914*'Rules'!$B$6+C914/'Rules'!$B$12*'Rules'!$B$7+D914*'Rules'!$B$8+E914*'Rules'!$B$9+F914*'Rules'!$B$10+G914*'Rules'!$B$11)*H914,1)</x:f>
        <x:v>68.8</x:v>
      </x:c>
      <x:c r="J914" s="18" t="n">
        <x:f>'Queries'!C914*'Queries'!E914</x:f>
        <x:v>470.98999999999995</x:v>
      </x:c>
    </x:row>
    <x:row r="915" ht="32" customHeight="1">
      <x:c r="A915" s="6" t="str">
        <x:v>best car modification in dubai</x:v>
      </x:c>
      <x:c r="B915" s="16" t="n">
        <x:v>1</x:v>
      </x:c>
      <x:c r="C915" s="16" t="n">
        <x:v>5</x:v>
      </x:c>
      <x:c r="D915" s="16" t="n">
        <x:f>IF('Queries'!E915&lt;='Rules'!$B$17,'Rules'!$B$21,IF('Queries'!E915&lt;='Rules'!$B$18,'Rules'!$B$22,IF('Queries'!E915&lt;='Rules'!$B$19,'Rules'!$B$23,IF('Queries'!E915&lt;='Rules'!$B$20,'Rules'!$B$24,'Rules'!$B$25))))</x:f>
        <x:v>0.4</x:v>
      </x:c>
      <x:c r="E915" s="16" t="n">
        <x:f>MIN(LOG10(1+'Queries'!C915)/'Rules'!$B$13,1)</x:f>
        <x:v>0.3820426785594133</x:v>
      </x:c>
      <x:c r="F915" s="16" t="n">
        <x:f>IF(AND('Queries'!E915&lt;='Rules'!$B$15,'Queries'!C915&gt;='Rules'!$B$14,'Queries'!D915&lt;'Rules'!$B$16),1,0)</x:f>
        <x:v>0</x:v>
      </x:c>
      <x:c r="G915" s="16" t="n">
        <x:v>1</x:v>
      </x:c>
      <x:c r="H915" s="16" t="n">
        <x:v>1</x:v>
      </x:c>
      <x:c r="I915" s="16" t="n">
        <x:f>ROUND((B915*'Rules'!$B$6+C915/'Rules'!$B$12*'Rules'!$B$7+D915*'Rules'!$B$8+E915*'Rules'!$B$9+F915*'Rules'!$B$10+G915*'Rules'!$B$11)*H915,1)</x:f>
        <x:v>68.8</x:v>
      </x:c>
      <x:c r="J915" s="18" t="n">
        <x:f>'Queries'!C915*'Queries'!E915</x:f>
        <x:v>482.03999999999996</x:v>
      </x:c>
    </x:row>
    <x:row r="916" ht="32" customHeight="1">
      <x:c r="A916" s="6" t="str">
        <x:v>افضل مركز صيانة اودى</x:v>
      </x:c>
      <x:c r="B916" s="16" t="n">
        <x:v>0.8</x:v>
      </x:c>
      <x:c r="C916" s="16" t="n">
        <x:v>5</x:v>
      </x:c>
      <x:c r="D916" s="16" t="n">
        <x:f>IF('Queries'!E916&lt;='Rules'!$B$17,'Rules'!$B$21,IF('Queries'!E916&lt;='Rules'!$B$18,'Rules'!$B$22,IF('Queries'!E916&lt;='Rules'!$B$19,'Rules'!$B$23,IF('Queries'!E916&lt;='Rules'!$B$20,'Rules'!$B$24,'Rules'!$B$25))))</x:f>
        <x:v>0.4</x:v>
      </x:c>
      <x:c r="E916" s="16" t="n">
        <x:f>MIN(LOG10(1+'Queries'!C916)/'Rules'!$B$13,1)</x:f>
        <x:v>0.3820426785594133</x:v>
      </x:c>
      <x:c r="F916" s="16" t="n">
        <x:f>IF(AND('Queries'!E916&lt;='Rules'!$B$15,'Queries'!C916&gt;='Rules'!$B$14,'Queries'!D916&lt;'Rules'!$B$16),1,0)</x:f>
        <x:v>0</x:v>
      </x:c>
      <x:c r="G916" s="16" t="n">
        <x:v>1</x:v>
      </x:c>
      <x:c r="H916" s="16" t="n">
        <x:v>1</x:v>
      </x:c>
      <x:c r="I916" s="16" t="n">
        <x:f>ROUND((B916*'Rules'!$B$6+C916/'Rules'!$B$12*'Rules'!$B$7+D916*'Rules'!$B$8+E916*'Rules'!$B$9+F916*'Rules'!$B$10+G916*'Rules'!$B$11)*H916,1)</x:f>
        <x:v>63.8</x:v>
      </x:c>
      <x:c r="J916" s="18" t="n">
        <x:f>'Queries'!C916*'Queries'!E916</x:f>
        <x:v>498.94000000000005</x:v>
      </x:c>
    </x:row>
    <x:row r="917" ht="32" customHeight="1">
      <x:c r="A917" s="6" t="str">
        <x:v>range rover body repair dubai</x:v>
      </x:c>
      <x:c r="B917" s="16" t="n">
        <x:v>1</x:v>
      </x:c>
      <x:c r="C917" s="16" t="n">
        <x:v>5</x:v>
      </x:c>
      <x:c r="D917" s="16" t="n">
        <x:f>IF('Queries'!E917&lt;='Rules'!$B$17,'Rules'!$B$21,IF('Queries'!E917&lt;='Rules'!$B$18,'Rules'!$B$22,IF('Queries'!E917&lt;='Rules'!$B$19,'Rules'!$B$23,IF('Queries'!E917&lt;='Rules'!$B$20,'Rules'!$B$24,'Rules'!$B$25))))</x:f>
        <x:v>0.4</x:v>
      </x:c>
      <x:c r="E917" s="16" t="n">
        <x:f>MIN(LOG10(1+'Queries'!C917)/'Rules'!$B$13,1)</x:f>
        <x:v>0.3820426785594133</x:v>
      </x:c>
      <x:c r="F917" s="16" t="n">
        <x:f>IF(AND('Queries'!E917&lt;='Rules'!$B$15,'Queries'!C917&gt;='Rules'!$B$14,'Queries'!D917&lt;'Rules'!$B$16),1,0)</x:f>
        <x:v>0</x:v>
      </x:c>
      <x:c r="G917" s="16" t="n">
        <x:v>1</x:v>
      </x:c>
      <x:c r="H917" s="16" t="n">
        <x:v>1</x:v>
      </x:c>
      <x:c r="I917" s="16" t="n">
        <x:f>ROUND((B917*'Rules'!$B$6+C917/'Rules'!$B$12*'Rules'!$B$7+D917*'Rules'!$B$8+E917*'Rules'!$B$9+F917*'Rules'!$B$10+G917*'Rules'!$B$11)*H917,1)</x:f>
        <x:v>68.8</x:v>
      </x:c>
      <x:c r="J917" s="18" t="n">
        <x:f>'Queries'!C917*'Queries'!E917</x:f>
        <x:v>514.02</x:v>
      </x:c>
    </x:row>
    <x:row r="918" ht="32" customHeight="1">
      <x:c r="A918" s="6" t="str">
        <x:v>toyota car battery dubai</x:v>
      </x:c>
      <x:c r="B918" s="16" t="n">
        <x:v>1</x:v>
      </x:c>
      <x:c r="C918" s="16" t="n">
        <x:v>3</x:v>
      </x:c>
      <x:c r="D918" s="16" t="n">
        <x:f>IF('Queries'!E918&lt;='Rules'!$B$17,'Rules'!$B$21,IF('Queries'!E918&lt;='Rules'!$B$18,'Rules'!$B$22,IF('Queries'!E918&lt;='Rules'!$B$19,'Rules'!$B$23,IF('Queries'!E918&lt;='Rules'!$B$20,'Rules'!$B$24,'Rules'!$B$25))))</x:f>
        <x:v>0.15</x:v>
      </x:c>
      <x:c r="E918" s="16" t="n">
        <x:f>MIN(LOG10(1+'Queries'!C918)/'Rules'!$B$13,1)</x:f>
        <x:v>0.3820426785594133</x:v>
      </x:c>
      <x:c r="F918" s="16" t="n">
        <x:f>IF(AND('Queries'!E918&lt;='Rules'!$B$15,'Queries'!C918&gt;='Rules'!$B$14,'Queries'!D918&lt;'Rules'!$B$16),1,0)</x:f>
        <x:v>0</x:v>
      </x:c>
      <x:c r="G918" s="16" t="n">
        <x:v>1</x:v>
      </x:c>
      <x:c r="H918" s="16" t="n">
        <x:v>1</x:v>
      </x:c>
      <x:c r="I918" s="16" t="n">
        <x:f>ROUND((B918*'Rules'!$B$6+C918/'Rules'!$B$12*'Rules'!$B$7+D918*'Rules'!$B$8+E918*'Rules'!$B$9+F918*'Rules'!$B$10+G918*'Rules'!$B$11)*H918,1)</x:f>
        <x:v>54.6</x:v>
      </x:c>
      <x:c r="J918" s="18" t="n">
        <x:f>'Queries'!C918*'Queries'!E918</x:f>
        <x:v>531.0500000000001</x:v>
      </x:c>
    </x:row>
    <x:row r="919" ht="32" customHeight="1">
      <x:c r="A919" s="6" t="str">
        <x:v>nissan car battery uae</x:v>
      </x:c>
      <x:c r="B919" s="16" t="n">
        <x:v>0.8</x:v>
      </x:c>
      <x:c r="C919" s="16" t="n">
        <x:v>3</x:v>
      </x:c>
      <x:c r="D919" s="16" t="n">
        <x:f>IF('Queries'!E919&lt;='Rules'!$B$17,'Rules'!$B$21,IF('Queries'!E919&lt;='Rules'!$B$18,'Rules'!$B$22,IF('Queries'!E919&lt;='Rules'!$B$19,'Rules'!$B$23,IF('Queries'!E919&lt;='Rules'!$B$20,'Rules'!$B$24,'Rules'!$B$25))))</x:f>
        <x:v>0.15</x:v>
      </x:c>
      <x:c r="E919" s="16" t="n">
        <x:f>MIN(LOG10(1+'Queries'!C919)/'Rules'!$B$13,1)</x:f>
        <x:v>0.3820426785594133</x:v>
      </x:c>
      <x:c r="F919" s="16" t="n">
        <x:f>IF(AND('Queries'!E919&lt;='Rules'!$B$15,'Queries'!C919&gt;='Rules'!$B$14,'Queries'!D919&lt;'Rules'!$B$16),1,0)</x:f>
        <x:v>0</x:v>
      </x:c>
      <x:c r="G919" s="16" t="n">
        <x:v>1</x:v>
      </x:c>
      <x:c r="H919" s="16" t="n">
        <x:v>1</x:v>
      </x:c>
      <x:c r="I919" s="16" t="n">
        <x:f>ROUND((B919*'Rules'!$B$6+C919/'Rules'!$B$12*'Rules'!$B$7+D919*'Rules'!$B$8+E919*'Rules'!$B$9+F919*'Rules'!$B$10+G919*'Rules'!$B$11)*H919,1)</x:f>
        <x:v>49.6</x:v>
      </x:c>
      <x:c r="J919" s="18" t="n">
        <x:f>'Queries'!C919*'Queries'!E919</x:f>
        <x:v>547.9499999999999</x:v>
      </x:c>
    </x:row>
    <x:row r="920" ht="32" customHeight="1">
      <x:c r="A920" s="6" t="str">
        <x:v>porsche service jumeirah</x:v>
      </x:c>
      <x:c r="B920" s="16" t="n">
        <x:v>1</x:v>
      </x:c>
      <x:c r="C920" s="16" t="n">
        <x:v>5</x:v>
      </x:c>
      <x:c r="D920" s="16" t="n">
        <x:f>IF('Queries'!E920&lt;='Rules'!$B$17,'Rules'!$B$21,IF('Queries'!E920&lt;='Rules'!$B$18,'Rules'!$B$22,IF('Queries'!E920&lt;='Rules'!$B$19,'Rules'!$B$23,IF('Queries'!E920&lt;='Rules'!$B$20,'Rules'!$B$24,'Rules'!$B$25))))</x:f>
        <x:v>0.15</x:v>
      </x:c>
      <x:c r="E920" s="16" t="n">
        <x:f>MIN(LOG10(1+'Queries'!C920)/'Rules'!$B$13,1)</x:f>
        <x:v>0.3820426785594133</x:v>
      </x:c>
      <x:c r="F920" s="16" t="n">
        <x:f>IF(AND('Queries'!E920&lt;='Rules'!$B$15,'Queries'!C920&gt;='Rules'!$B$14,'Queries'!D920&lt;'Rules'!$B$16),1,0)</x:f>
        <x:v>0</x:v>
      </x:c>
      <x:c r="G920" s="16" t="n">
        <x:v>1</x:v>
      </x:c>
      <x:c r="H920" s="16" t="n">
        <x:v>1</x:v>
      </x:c>
      <x:c r="I920" s="16" t="n">
        <x:f>ROUND((B920*'Rules'!$B$6+C920/'Rules'!$B$12*'Rules'!$B$7+D920*'Rules'!$B$8+E920*'Rules'!$B$9+F920*'Rules'!$B$10+G920*'Rules'!$B$11)*H920,1)</x:f>
        <x:v>62.6</x:v>
      </x:c>
      <x:c r="J920" s="18" t="n">
        <x:f>'Queries'!C920*'Queries'!E920</x:f>
        <x:v>580.06</x:v>
      </x:c>
    </x:row>
    <x:row r="921" ht="32" customHeight="1">
      <x:c r="A921" s="6" t="str">
        <x:v>gmc engine repair dubai</x:v>
      </x:c>
      <x:c r="B921" s="16" t="n">
        <x:v>1</x:v>
      </x:c>
      <x:c r="C921" s="16" t="n">
        <x:v>3</x:v>
      </x:c>
      <x:c r="D921" s="16" t="n">
        <x:f>IF('Queries'!E921&lt;='Rules'!$B$17,'Rules'!$B$21,IF('Queries'!E921&lt;='Rules'!$B$18,'Rules'!$B$22,IF('Queries'!E921&lt;='Rules'!$B$19,'Rules'!$B$23,IF('Queries'!E921&lt;='Rules'!$B$20,'Rules'!$B$24,'Rules'!$B$25))))</x:f>
        <x:v>0.15</x:v>
      </x:c>
      <x:c r="E921" s="16" t="n">
        <x:f>MIN(LOG10(1+'Queries'!C921)/'Rules'!$B$13,1)</x:f>
        <x:v>0.3820426785594133</x:v>
      </x:c>
      <x:c r="F921" s="16" t="n">
        <x:f>IF(AND('Queries'!E921&lt;='Rules'!$B$15,'Queries'!C921&gt;='Rules'!$B$14,'Queries'!D921&lt;'Rules'!$B$16),1,0)</x:f>
        <x:v>0</x:v>
      </x:c>
      <x:c r="G921" s="16" t="n">
        <x:v>1</x:v>
      </x:c>
      <x:c r="H921" s="16" t="n">
        <x:v>1</x:v>
      </x:c>
      <x:c r="I921" s="16" t="n">
        <x:f>ROUND((B921*'Rules'!$B$6+C921/'Rules'!$B$12*'Rules'!$B$7+D921*'Rules'!$B$8+E921*'Rules'!$B$9+F921*'Rules'!$B$10+G921*'Rules'!$B$11)*H921,1)</x:f>
        <x:v>54.6</x:v>
      </x:c>
      <x:c r="J921" s="18" t="n">
        <x:f>'Queries'!C921*'Queries'!E921</x:f>
        <x:v>583.96</x:v>
      </x:c>
    </x:row>
    <x:row r="922" ht="32" customHeight="1">
      <x:c r="A922" s="6" t="str">
        <x:v>exhaust modification dubai</x:v>
      </x:c>
      <x:c r="B922" s="16" t="n">
        <x:v>1</x:v>
      </x:c>
      <x:c r="C922" s="16" t="n">
        <x:v>5</x:v>
      </x:c>
      <x:c r="D922" s="16" t="n">
        <x:f>IF('Queries'!E922&lt;='Rules'!$B$17,'Rules'!$B$21,IF('Queries'!E922&lt;='Rules'!$B$18,'Rules'!$B$22,IF('Queries'!E922&lt;='Rules'!$B$19,'Rules'!$B$23,IF('Queries'!E922&lt;='Rules'!$B$20,'Rules'!$B$24,'Rules'!$B$25))))</x:f>
        <x:v>0.15</x:v>
      </x:c>
      <x:c r="E922" s="16" t="n">
        <x:f>MIN(LOG10(1+'Queries'!C922)/'Rules'!$B$13,1)</x:f>
        <x:v>0.3820426785594133</x:v>
      </x:c>
      <x:c r="F922" s="16" t="n">
        <x:f>IF(AND('Queries'!E922&lt;='Rules'!$B$15,'Queries'!C922&gt;='Rules'!$B$14,'Queries'!D922&lt;'Rules'!$B$16),1,0)</x:f>
        <x:v>0</x:v>
      </x:c>
      <x:c r="G922" s="16" t="n">
        <x:v>1</x:v>
      </x:c>
      <x:c r="H922" s="16" t="n">
        <x:v>1</x:v>
      </x:c>
      <x:c r="I922" s="16" t="n">
        <x:f>ROUND((B922*'Rules'!$B$6+C922/'Rules'!$B$12*'Rules'!$B$7+D922*'Rules'!$B$8+E922*'Rules'!$B$9+F922*'Rules'!$B$10+G922*'Rules'!$B$11)*H922,1)</x:f>
        <x:v>62.6</x:v>
      </x:c>
      <x:c r="J922" s="18" t="n">
        <x:f>'Queries'!C922*'Queries'!E922</x:f>
        <x:v>585</x:v>
      </x:c>
    </x:row>
    <x:row r="923" ht="32" customHeight="1">
      <x:c r="A923" s="6" t="str">
        <x:v>صيانة فولكس فاجن</x:v>
      </x:c>
      <x:c r="B923" s="16" t="n">
        <x:v>0.8</x:v>
      </x:c>
      <x:c r="C923" s="16" t="n">
        <x:v>3</x:v>
      </x:c>
      <x:c r="D923" s="16" t="n">
        <x:f>IF('Queries'!E923&lt;='Rules'!$B$17,'Rules'!$B$21,IF('Queries'!E923&lt;='Rules'!$B$18,'Rules'!$B$22,IF('Queries'!E923&lt;='Rules'!$B$19,'Rules'!$B$23,IF('Queries'!E923&lt;='Rules'!$B$20,'Rules'!$B$24,'Rules'!$B$25))))</x:f>
        <x:v>0.15</x:v>
      </x:c>
      <x:c r="E923" s="16" t="n">
        <x:f>MIN(LOG10(1+'Queries'!C923)/'Rules'!$B$13,1)</x:f>
        <x:v>0.3820426785594133</x:v>
      </x:c>
      <x:c r="F923" s="16" t="n">
        <x:f>IF(AND('Queries'!E923&lt;='Rules'!$B$15,'Queries'!C923&gt;='Rules'!$B$14,'Queries'!D923&lt;'Rules'!$B$16),1,0)</x:f>
        <x:v>0</x:v>
      </x:c>
      <x:c r="G923" s="16" t="n">
        <x:v>1</x:v>
      </x:c>
      <x:c r="H923" s="16" t="n">
        <x:v>1</x:v>
      </x:c>
      <x:c r="I923" s="16" t="n">
        <x:f>ROUND((B923*'Rules'!$B$6+C923/'Rules'!$B$12*'Rules'!$B$7+D923*'Rules'!$B$8+E923*'Rules'!$B$9+F923*'Rules'!$B$10+G923*'Rules'!$B$11)*H923,1)</x:f>
        <x:v>49.6</x:v>
      </x:c>
      <x:c r="J923" s="18" t="n">
        <x:f>'Queries'!C923*'Queries'!E923</x:f>
        <x:v>596.96</x:v>
      </x:c>
    </x:row>
    <x:row r="924" ht="32" customHeight="1">
      <x:c r="A924" s="6" t="str">
        <x:v>cadillac car battery</x:v>
      </x:c>
      <x:c r="B924" s="16" t="n">
        <x:v>0.8</x:v>
      </x:c>
      <x:c r="C924" s="16" t="n">
        <x:v>3</x:v>
      </x:c>
      <x:c r="D924" s="16" t="n">
        <x:f>IF('Queries'!E924&lt;='Rules'!$B$17,'Rules'!$B$21,IF('Queries'!E924&lt;='Rules'!$B$18,'Rules'!$B$22,IF('Queries'!E924&lt;='Rules'!$B$19,'Rules'!$B$23,IF('Queries'!E924&lt;='Rules'!$B$20,'Rules'!$B$24,'Rules'!$B$25))))</x:f>
        <x:v>0.15</x:v>
      </x:c>
      <x:c r="E924" s="16" t="n">
        <x:f>MIN(LOG10(1+'Queries'!C924)/'Rules'!$B$13,1)</x:f>
        <x:v>0.3820426785594133</x:v>
      </x:c>
      <x:c r="F924" s="16" t="n">
        <x:f>IF(AND('Queries'!E924&lt;='Rules'!$B$15,'Queries'!C924&gt;='Rules'!$B$14,'Queries'!D924&lt;'Rules'!$B$16),1,0)</x:f>
        <x:v>0</x:v>
      </x:c>
      <x:c r="G924" s="16" t="n">
        <x:v>0.25</x:v>
      </x:c>
      <x:c r="H924" s="16" t="n">
        <x:v>0.65</x:v>
      </x:c>
      <x:c r="I924" s="16" t="n">
        <x:f>ROUND((B924*'Rules'!$B$6+C924/'Rules'!$B$12*'Rules'!$B$7+D924*'Rules'!$B$8+E924*'Rules'!$B$9+F924*'Rules'!$B$10+G924*'Rules'!$B$11)*H924,1)</x:f>
        <x:v>27.3</x:v>
      </x:c>
      <x:c r="J924" s="18" t="n">
        <x:f>'Queries'!C924*'Queries'!E924</x:f>
        <x:v>605.02</x:v>
      </x:c>
    </x:row>
    <x:row r="925" ht="32" customHeight="1">
      <x:c r="A925" s="6" t="str">
        <x:v>gmc repair center near me</x:v>
      </x:c>
      <x:c r="B925" s="16" t="n">
        <x:v>1</x:v>
      </x:c>
      <x:c r="C925" s="16" t="n">
        <x:v>3</x:v>
      </x:c>
      <x:c r="D925" s="16" t="n">
        <x:f>IF('Queries'!E925&lt;='Rules'!$B$17,'Rules'!$B$21,IF('Queries'!E925&lt;='Rules'!$B$18,'Rules'!$B$22,IF('Queries'!E925&lt;='Rules'!$B$19,'Rules'!$B$23,IF('Queries'!E925&lt;='Rules'!$B$20,'Rules'!$B$24,'Rules'!$B$25))))</x:f>
        <x:v>0.15</x:v>
      </x:c>
      <x:c r="E925" s="16" t="n">
        <x:f>MIN(LOG10(1+'Queries'!C925)/'Rules'!$B$13,1)</x:f>
        <x:v>0.3820426785594133</x:v>
      </x:c>
      <x:c r="F925" s="16" t="n">
        <x:f>IF(AND('Queries'!E925&lt;='Rules'!$B$15,'Queries'!C925&gt;='Rules'!$B$14,'Queries'!D925&lt;'Rules'!$B$16),1,0)</x:f>
        <x:v>0</x:v>
      </x:c>
      <x:c r="G925" s="16" t="n">
        <x:v>1</x:v>
      </x:c>
      <x:c r="H925" s="16" t="n">
        <x:v>1</x:v>
      </x:c>
      <x:c r="I925" s="16" t="n">
        <x:f>ROUND((B925*'Rules'!$B$6+C925/'Rules'!$B$12*'Rules'!$B$7+D925*'Rules'!$B$8+E925*'Rules'!$B$9+F925*'Rules'!$B$10+G925*'Rules'!$B$11)*H925,1)</x:f>
        <x:v>54.6</x:v>
      </x:c>
      <x:c r="J925" s="18" t="n">
        <x:f>'Queries'!C925*'Queries'!E925</x:f>
        <x:v>605.02</x:v>
      </x:c>
    </x:row>
    <x:row r="926" ht="32" customHeight="1">
      <x:c r="A926" s="6" t="str">
        <x:v>luxury car paint protection film dubai</x:v>
      </x:c>
      <x:c r="B926" s="16" t="n">
        <x:v>1</x:v>
      </x:c>
      <x:c r="C926" s="16" t="n">
        <x:v>5</x:v>
      </x:c>
      <x:c r="D926" s="16" t="n">
        <x:f>IF('Queries'!E926&lt;='Rules'!$B$17,'Rules'!$B$21,IF('Queries'!E926&lt;='Rules'!$B$18,'Rules'!$B$22,IF('Queries'!E926&lt;='Rules'!$B$19,'Rules'!$B$23,IF('Queries'!E926&lt;='Rules'!$B$20,'Rules'!$B$24,'Rules'!$B$25))))</x:f>
        <x:v>0.15</x:v>
      </x:c>
      <x:c r="E926" s="16" t="n">
        <x:f>MIN(LOG10(1+'Queries'!C926)/'Rules'!$B$13,1)</x:f>
        <x:v>0.3820426785594133</x:v>
      </x:c>
      <x:c r="F926" s="16" t="n">
        <x:f>IF(AND('Queries'!E926&lt;='Rules'!$B$15,'Queries'!C926&gt;='Rules'!$B$14,'Queries'!D926&lt;'Rules'!$B$16),1,0)</x:f>
        <x:v>0</x:v>
      </x:c>
      <x:c r="G926" s="16" t="n">
        <x:v>1</x:v>
      </x:c>
      <x:c r="H926" s="16" t="n">
        <x:v>1</x:v>
      </x:c>
      <x:c r="I926" s="16" t="n">
        <x:f>ROUND((B926*'Rules'!$B$6+C926/'Rules'!$B$12*'Rules'!$B$7+D926*'Rules'!$B$8+E926*'Rules'!$B$9+F926*'Rules'!$B$10+G926*'Rules'!$B$11)*H926,1)</x:f>
        <x:v>62.6</x:v>
      </x:c>
      <x:c r="J926" s="18" t="n">
        <x:f>'Queries'!C926*'Queries'!E926</x:f>
        <x:v>648.0500000000001</x:v>
      </x:c>
    </x:row>
    <x:row r="927" ht="32" customHeight="1">
      <x:c r="A927" s="6" t="str">
        <x:v>jeep car battery</x:v>
      </x:c>
      <x:c r="B927" s="16" t="n">
        <x:v>0.8</x:v>
      </x:c>
      <x:c r="C927" s="16" t="n">
        <x:v>3</x:v>
      </x:c>
      <x:c r="D927" s="16" t="n">
        <x:f>IF('Queries'!E927&lt;='Rules'!$B$17,'Rules'!$B$21,IF('Queries'!E927&lt;='Rules'!$B$18,'Rules'!$B$22,IF('Queries'!E927&lt;='Rules'!$B$19,'Rules'!$B$23,IF('Queries'!E927&lt;='Rules'!$B$20,'Rules'!$B$24,'Rules'!$B$25))))</x:f>
        <x:v>0.15</x:v>
      </x:c>
      <x:c r="E927" s="16" t="n">
        <x:f>MIN(LOG10(1+'Queries'!C927)/'Rules'!$B$13,1)</x:f>
        <x:v>0.3820426785594133</x:v>
      </x:c>
      <x:c r="F927" s="16" t="n">
        <x:f>IF(AND('Queries'!E927&lt;='Rules'!$B$15,'Queries'!C927&gt;='Rules'!$B$14,'Queries'!D927&lt;'Rules'!$B$16),1,0)</x:f>
        <x:v>0</x:v>
      </x:c>
      <x:c r="G927" s="16" t="n">
        <x:v>0.25</x:v>
      </x:c>
      <x:c r="H927" s="16" t="n">
        <x:v>0.65</x:v>
      </x:c>
      <x:c r="I927" s="16" t="n">
        <x:f>ROUND((B927*'Rules'!$B$6+C927/'Rules'!$B$12*'Rules'!$B$7+D927*'Rules'!$B$8+E927*'Rules'!$B$9+F927*'Rules'!$B$10+G927*'Rules'!$B$11)*H927,1)</x:f>
        <x:v>27.3</x:v>
      </x:c>
      <x:c r="J927" s="18" t="n">
        <x:f>'Queries'!C927*'Queries'!E927</x:f>
        <x:v>658.97</x:v>
      </x:c>
    </x:row>
    <x:row r="928" ht="32" customHeight="1">
      <x:c r="A928" s="6" t="str">
        <x:v>range rover body shop dubai</x:v>
      </x:c>
      <x:c r="B928" s="16" t="n">
        <x:v>1</x:v>
      </x:c>
      <x:c r="C928" s="16" t="n">
        <x:v>5</x:v>
      </x:c>
      <x:c r="D928" s="16" t="n">
        <x:f>IF('Queries'!E928&lt;='Rules'!$B$17,'Rules'!$B$21,IF('Queries'!E928&lt;='Rules'!$B$18,'Rules'!$B$22,IF('Queries'!E928&lt;='Rules'!$B$19,'Rules'!$B$23,IF('Queries'!E928&lt;='Rules'!$B$20,'Rules'!$B$24,'Rules'!$B$25))))</x:f>
        <x:v>0.15</x:v>
      </x:c>
      <x:c r="E928" s="16" t="n">
        <x:f>MIN(LOG10(1+'Queries'!C928)/'Rules'!$B$13,1)</x:f>
        <x:v>0.3820426785594133</x:v>
      </x:c>
      <x:c r="F928" s="16" t="n">
        <x:f>IF(AND('Queries'!E928&lt;='Rules'!$B$15,'Queries'!C928&gt;='Rules'!$B$14,'Queries'!D928&lt;'Rules'!$B$16),1,0)</x:f>
        <x:v>0</x:v>
      </x:c>
      <x:c r="G928" s="16" t="n">
        <x:v>1</x:v>
      </x:c>
      <x:c r="H928" s="16" t="n">
        <x:v>1</x:v>
      </x:c>
      <x:c r="I928" s="16" t="n">
        <x:f>ROUND((B928*'Rules'!$B$6+C928/'Rules'!$B$12*'Rules'!$B$7+D928*'Rules'!$B$8+E928*'Rules'!$B$9+F928*'Rules'!$B$10+G928*'Rules'!$B$11)*H928,1)</x:f>
        <x:v>62.6</x:v>
      </x:c>
      <x:c r="J928" s="18" t="n">
        <x:f>'Queries'!C928*'Queries'!E928</x:f>
        <x:v>677.9499999999999</x:v>
      </x:c>
    </x:row>
    <x:row r="929" ht="32" customHeight="1">
      <x:c r="A929" s="6" t="str">
        <x:v>brabus repair dubai</x:v>
      </x:c>
      <x:c r="B929" s="16" t="n">
        <x:v>1</x:v>
      </x:c>
      <x:c r="C929" s="16" t="n">
        <x:v>5</x:v>
      </x:c>
      <x:c r="D929" s="16" t="n">
        <x:f>IF('Queries'!E929&lt;='Rules'!$B$17,'Rules'!$B$21,IF('Queries'!E929&lt;='Rules'!$B$18,'Rules'!$B$22,IF('Queries'!E929&lt;='Rules'!$B$19,'Rules'!$B$23,IF('Queries'!E929&lt;='Rules'!$B$20,'Rules'!$B$24,'Rules'!$B$25))))</x:f>
        <x:v>0.15</x:v>
      </x:c>
      <x:c r="E929" s="16" t="n">
        <x:f>MIN(LOG10(1+'Queries'!C929)/'Rules'!$B$13,1)</x:f>
        <x:v>0.3820426785594133</x:v>
      </x:c>
      <x:c r="F929" s="16" t="n">
        <x:f>IF(AND('Queries'!E929&lt;='Rules'!$B$15,'Queries'!C929&gt;='Rules'!$B$14,'Queries'!D929&lt;'Rules'!$B$16),1,0)</x:f>
        <x:v>0</x:v>
      </x:c>
      <x:c r="G929" s="16" t="n">
        <x:v>1</x:v>
      </x:c>
      <x:c r="H929" s="16" t="n">
        <x:v>1</x:v>
      </x:c>
      <x:c r="I929" s="16" t="n">
        <x:f>ROUND((B929*'Rules'!$B$6+C929/'Rules'!$B$12*'Rules'!$B$7+D929*'Rules'!$B$8+E929*'Rules'!$B$9+F929*'Rules'!$B$10+G929*'Rules'!$B$11)*H929,1)</x:f>
        <x:v>62.6</x:v>
      </x:c>
      <x:c r="J929" s="18" t="n">
        <x:f>'Queries'!C929*'Queries'!E929</x:f>
        <x:v>678.99</x:v>
      </x:c>
    </x:row>
    <x:row r="930" ht="32" customHeight="1">
      <x:c r="A930" s="6" t="str">
        <x:v>nissan car battery</x:v>
      </x:c>
      <x:c r="B930" s="16" t="n">
        <x:v>0.8</x:v>
      </x:c>
      <x:c r="C930" s="16" t="n">
        <x:v>3</x:v>
      </x:c>
      <x:c r="D930" s="16" t="n">
        <x:f>IF('Queries'!E930&lt;='Rules'!$B$17,'Rules'!$B$21,IF('Queries'!E930&lt;='Rules'!$B$18,'Rules'!$B$22,IF('Queries'!E930&lt;='Rules'!$B$19,'Rules'!$B$23,IF('Queries'!E930&lt;='Rules'!$B$20,'Rules'!$B$24,'Rules'!$B$25))))</x:f>
        <x:v>0.15</x:v>
      </x:c>
      <x:c r="E930" s="16" t="n">
        <x:f>MIN(LOG10(1+'Queries'!C930)/'Rules'!$B$13,1)</x:f>
        <x:v>0.3820426785594133</x:v>
      </x:c>
      <x:c r="F930" s="16" t="n">
        <x:f>IF(AND('Queries'!E930&lt;='Rules'!$B$15,'Queries'!C930&gt;='Rules'!$B$14,'Queries'!D930&lt;'Rules'!$B$16),1,0)</x:f>
        <x:v>0</x:v>
      </x:c>
      <x:c r="G930" s="16" t="n">
        <x:v>1</x:v>
      </x:c>
      <x:c r="H930" s="16" t="n">
        <x:v>1</x:v>
      </x:c>
      <x:c r="I930" s="16" t="n">
        <x:f>ROUND((B930*'Rules'!$B$6+C930/'Rules'!$B$12*'Rules'!$B$7+D930*'Rules'!$B$8+E930*'Rules'!$B$9+F930*'Rules'!$B$10+G930*'Rules'!$B$11)*H930,1)</x:f>
        <x:v>49.6</x:v>
      </x:c>
      <x:c r="J930" s="18" t="n">
        <x:f>'Queries'!C930*'Queries'!E930</x:f>
        <x:v>686.01</x:v>
      </x:c>
    </x:row>
    <x:row r="931" ht="32" customHeight="1">
      <x:c r="A931" s="6" t="str">
        <x:v>car air conditioner repair</x:v>
      </x:c>
      <x:c r="B931" s="16" t="n">
        <x:v>0.8</x:v>
      </x:c>
      <x:c r="C931" s="16" t="n">
        <x:v>3</x:v>
      </x:c>
      <x:c r="D931" s="16" t="n">
        <x:f>IF('Queries'!E931&lt;='Rules'!$B$17,'Rules'!$B$21,IF('Queries'!E931&lt;='Rules'!$B$18,'Rules'!$B$22,IF('Queries'!E931&lt;='Rules'!$B$19,'Rules'!$B$23,IF('Queries'!E931&lt;='Rules'!$B$20,'Rules'!$B$24,'Rules'!$B$25))))</x:f>
        <x:v>0.15</x:v>
      </x:c>
      <x:c r="E931" s="16" t="n">
        <x:f>MIN(LOG10(1+'Queries'!C931)/'Rules'!$B$13,1)</x:f>
        <x:v>0.3820426785594133</x:v>
      </x:c>
      <x:c r="F931" s="16" t="n">
        <x:f>IF(AND('Queries'!E931&lt;='Rules'!$B$15,'Queries'!C931&gt;='Rules'!$B$14,'Queries'!D931&lt;'Rules'!$B$16),1,0)</x:f>
        <x:v>0</x:v>
      </x:c>
      <x:c r="G931" s="16" t="n">
        <x:v>1</x:v>
      </x:c>
      <x:c r="H931" s="16" t="n">
        <x:v>1</x:v>
      </x:c>
      <x:c r="I931" s="16" t="n">
        <x:f>ROUND((B931*'Rules'!$B$6+C931/'Rules'!$B$12*'Rules'!$B$7+D931*'Rules'!$B$8+E931*'Rules'!$B$9+F931*'Rules'!$B$10+G931*'Rules'!$B$11)*H931,1)</x:f>
        <x:v>49.6</x:v>
      </x:c>
      <x:c r="J931" s="18" t="n">
        <x:f>'Queries'!C931*'Queries'!E931</x:f>
        <x:v>689</x:v>
      </x:c>
    </x:row>
    <x:row r="932" ht="32" customHeight="1">
      <x:c r="A932" s="6" t="str">
        <x:v>jaguar car service in dubai</x:v>
      </x:c>
      <x:c r="B932" s="16" t="n">
        <x:v>1</x:v>
      </x:c>
      <x:c r="C932" s="16" t="n">
        <x:v>3</x:v>
      </x:c>
      <x:c r="D932" s="16" t="n">
        <x:f>IF('Queries'!E932&lt;='Rules'!$B$17,'Rules'!$B$21,IF('Queries'!E932&lt;='Rules'!$B$18,'Rules'!$B$22,IF('Queries'!E932&lt;='Rules'!$B$19,'Rules'!$B$23,IF('Queries'!E932&lt;='Rules'!$B$20,'Rules'!$B$24,'Rules'!$B$25))))</x:f>
        <x:v>0.15</x:v>
      </x:c>
      <x:c r="E932" s="16" t="n">
        <x:f>MIN(LOG10(1+'Queries'!C932)/'Rules'!$B$13,1)</x:f>
        <x:v>0.3820426785594133</x:v>
      </x:c>
      <x:c r="F932" s="16" t="n">
        <x:f>IF(AND('Queries'!E932&lt;='Rules'!$B$15,'Queries'!C932&gt;='Rules'!$B$14,'Queries'!D932&lt;'Rules'!$B$16),1,0)</x:f>
        <x:v>0</x:v>
      </x:c>
      <x:c r="G932" s="16" t="n">
        <x:v>1</x:v>
      </x:c>
      <x:c r="H932" s="16" t="n">
        <x:v>1</x:v>
      </x:c>
      <x:c r="I932" s="16" t="n">
        <x:f>ROUND((B932*'Rules'!$B$6+C932/'Rules'!$B$12*'Rules'!$B$7+D932*'Rules'!$B$8+E932*'Rules'!$B$9+F932*'Rules'!$B$10+G932*'Rules'!$B$11)*H932,1)</x:f>
        <x:v>54.6</x:v>
      </x:c>
      <x:c r="J932" s="18" t="n">
        <x:f>'Queries'!C932*'Queries'!E932</x:f>
        <x:v>706.94</x:v>
      </x:c>
    </x:row>
    <x:row r="933" ht="32" customHeight="1">
      <x:c r="A933" s="6" t="str">
        <x:v>dodge garage dubai</x:v>
      </x:c>
      <x:c r="B933" s="16" t="n">
        <x:v>1</x:v>
      </x:c>
      <x:c r="C933" s="16" t="n">
        <x:v>3</x:v>
      </x:c>
      <x:c r="D933" s="16" t="n">
        <x:f>IF('Queries'!E933&lt;='Rules'!$B$17,'Rules'!$B$21,IF('Queries'!E933&lt;='Rules'!$B$18,'Rules'!$B$22,IF('Queries'!E933&lt;='Rules'!$B$19,'Rules'!$B$23,IF('Queries'!E933&lt;='Rules'!$B$20,'Rules'!$B$24,'Rules'!$B$25))))</x:f>
        <x:v>0.15</x:v>
      </x:c>
      <x:c r="E933" s="16" t="n">
        <x:f>MIN(LOG10(1+'Queries'!C933)/'Rules'!$B$13,1)</x:f>
        <x:v>0.3820426785594133</x:v>
      </x:c>
      <x:c r="F933" s="16" t="n">
        <x:f>IF(AND('Queries'!E933&lt;='Rules'!$B$15,'Queries'!C933&gt;='Rules'!$B$14,'Queries'!D933&lt;'Rules'!$B$16),1,0)</x:f>
        <x:v>0</x:v>
      </x:c>
      <x:c r="G933" s="16" t="n">
        <x:v>1</x:v>
      </x:c>
      <x:c r="H933" s="16" t="n">
        <x:v>1</x:v>
      </x:c>
      <x:c r="I933" s="16" t="n">
        <x:f>ROUND((B933*'Rules'!$B$6+C933/'Rules'!$B$12*'Rules'!$B$7+D933*'Rules'!$B$8+E933*'Rules'!$B$9+F933*'Rules'!$B$10+G933*'Rules'!$B$11)*H933,1)</x:f>
        <x:v>54.6</x:v>
      </x:c>
      <x:c r="J933" s="18" t="n">
        <x:f>'Queries'!C933*'Queries'!E933</x:f>
        <x:v>739.96</x:v>
      </x:c>
    </x:row>
    <x:row r="934" ht="32" customHeight="1">
      <x:c r="A934" s="6" t="str">
        <x:v>mazda service locations</x:v>
      </x:c>
      <x:c r="B934" s="16" t="n">
        <x:v>0.8</x:v>
      </x:c>
      <x:c r="C934" s="16" t="n">
        <x:v>3</x:v>
      </x:c>
      <x:c r="D934" s="16" t="n">
        <x:f>IF('Queries'!E934&lt;='Rules'!$B$17,'Rules'!$B$21,IF('Queries'!E934&lt;='Rules'!$B$18,'Rules'!$B$22,IF('Queries'!E934&lt;='Rules'!$B$19,'Rules'!$B$23,IF('Queries'!E934&lt;='Rules'!$B$20,'Rules'!$B$24,'Rules'!$B$25))))</x:f>
        <x:v>0.15</x:v>
      </x:c>
      <x:c r="E934" s="16" t="n">
        <x:f>MIN(LOG10(1+'Queries'!C934)/'Rules'!$B$13,1)</x:f>
        <x:v>0.3820426785594133</x:v>
      </x:c>
      <x:c r="F934" s="16" t="n">
        <x:f>IF(AND('Queries'!E934&lt;='Rules'!$B$15,'Queries'!C934&gt;='Rules'!$B$14,'Queries'!D934&lt;'Rules'!$B$16),1,0)</x:f>
        <x:v>0</x:v>
      </x:c>
      <x:c r="G934" s="16" t="n">
        <x:v>1</x:v>
      </x:c>
      <x:c r="H934" s="16" t="n">
        <x:v>1</x:v>
      </x:c>
      <x:c r="I934" s="16" t="n">
        <x:f>ROUND((B934*'Rules'!$B$6+C934/'Rules'!$B$12*'Rules'!$B$7+D934*'Rules'!$B$8+E934*'Rules'!$B$9+F934*'Rules'!$B$10+G934*'Rules'!$B$11)*H934,1)</x:f>
        <x:v>49.6</x:v>
      </x:c>
      <x:c r="J934" s="18" t="n">
        <x:f>'Queries'!C934*'Queries'!E934</x:f>
        <x:v>761.02</x:v>
      </x:c>
    </x:row>
    <x:row r="935" ht="32" customHeight="1">
      <x:c r="A935" s="6" t="str">
        <x:v>car garages dubai</x:v>
      </x:c>
      <x:c r="B935" s="16" t="n">
        <x:v>1</x:v>
      </x:c>
      <x:c r="C935" s="16" t="n">
        <x:v>3</x:v>
      </x:c>
      <x:c r="D935" s="16" t="n">
        <x:f>IF('Queries'!E935&lt;='Rules'!$B$17,'Rules'!$B$21,IF('Queries'!E935&lt;='Rules'!$B$18,'Rules'!$B$22,IF('Queries'!E935&lt;='Rules'!$B$19,'Rules'!$B$23,IF('Queries'!E935&lt;='Rules'!$B$20,'Rules'!$B$24,'Rules'!$B$25))))</x:f>
        <x:v>0.15</x:v>
      </x:c>
      <x:c r="E935" s="16" t="n">
        <x:f>MIN(LOG10(1+'Queries'!C935)/'Rules'!$B$13,1)</x:f>
        <x:v>0.3820426785594133</x:v>
      </x:c>
      <x:c r="F935" s="16" t="n">
        <x:f>IF(AND('Queries'!E935&lt;='Rules'!$B$15,'Queries'!C935&gt;='Rules'!$B$14,'Queries'!D935&lt;'Rules'!$B$16),1,0)</x:f>
        <x:v>0</x:v>
      </x:c>
      <x:c r="G935" s="16" t="n">
        <x:v>1</x:v>
      </x:c>
      <x:c r="H935" s="16" t="n">
        <x:v>1</x:v>
      </x:c>
      <x:c r="I935" s="16" t="n">
        <x:f>ROUND((B935*'Rules'!$B$6+C935/'Rules'!$B$12*'Rules'!$B$7+D935*'Rules'!$B$8+E935*'Rules'!$B$9+F935*'Rules'!$B$10+G935*'Rules'!$B$11)*H935,1)</x:f>
        <x:v>54.6</x:v>
      </x:c>
      <x:c r="J935" s="18" t="n">
        <x:f>'Queries'!C935*'Queries'!E935</x:f>
        <x:v>875.9399999999999</x:v>
      </x:c>
    </x:row>
    <x:row r="936" ht="32" customHeight="1">
      <x:c r="A936" s="6" t="str">
        <x:v>auto service dubai</x:v>
      </x:c>
      <x:c r="B936" s="16" t="n">
        <x:v>1</x:v>
      </x:c>
      <x:c r="C936" s="16" t="n">
        <x:v>3</x:v>
      </x:c>
      <x:c r="D936" s="16" t="n">
        <x:f>IF('Queries'!E936&lt;='Rules'!$B$17,'Rules'!$B$21,IF('Queries'!E936&lt;='Rules'!$B$18,'Rules'!$B$22,IF('Queries'!E936&lt;='Rules'!$B$19,'Rules'!$B$23,IF('Queries'!E936&lt;='Rules'!$B$20,'Rules'!$B$24,'Rules'!$B$25))))</x:f>
        <x:v>0.15</x:v>
      </x:c>
      <x:c r="E936" s="16" t="n">
        <x:f>MIN(LOG10(1+'Queries'!C936)/'Rules'!$B$13,1)</x:f>
        <x:v>0.3820426785594133</x:v>
      </x:c>
      <x:c r="F936" s="16" t="n">
        <x:f>IF(AND('Queries'!E936&lt;='Rules'!$B$15,'Queries'!C936&gt;='Rules'!$B$14,'Queries'!D936&lt;'Rules'!$B$16),1,0)</x:f>
        <x:v>0</x:v>
      </x:c>
      <x:c r="G936" s="16" t="n">
        <x:v>1</x:v>
      </x:c>
      <x:c r="H936" s="16" t="n">
        <x:v>1</x:v>
      </x:c>
      <x:c r="I936" s="16" t="n">
        <x:f>ROUND((B936*'Rules'!$B$6+C936/'Rules'!$B$12*'Rules'!$B$7+D936*'Rules'!$B$8+E936*'Rules'!$B$9+F936*'Rules'!$B$10+G936*'Rules'!$B$11)*H936,1)</x:f>
        <x:v>54.6</x:v>
      </x:c>
      <x:c r="J936" s="18" t="n">
        <x:f>'Queries'!C936*'Queries'!E936</x:f>
        <x:v>1178.06</x:v>
      </x:c>
    </x:row>
    <x:row r="937" ht="32" customHeight="1">
      <x:c r="A937" s="6" t="str">
        <x:v>silencer welding shop near me</x:v>
      </x:c>
      <x:c r="B937" s="16" t="n">
        <x:v>1</x:v>
      </x:c>
      <x:c r="C937" s="16" t="n">
        <x:v>3</x:v>
      </x:c>
      <x:c r="D937" s="16" t="n">
        <x:f>IF('Queries'!E937&lt;='Rules'!$B$17,'Rules'!$B$21,IF('Queries'!E937&lt;='Rules'!$B$18,'Rules'!$B$22,IF('Queries'!E937&lt;='Rules'!$B$19,'Rules'!$B$23,IF('Queries'!E937&lt;='Rules'!$B$20,'Rules'!$B$24,'Rules'!$B$25))))</x:f>
        <x:v>1</x:v>
      </x:c>
      <x:c r="E937" s="16" t="n">
        <x:f>MIN(LOG10(1+'Queries'!C937)/'Rules'!$B$13,1)</x:f>
        <x:v>0.3713144507689467</x:v>
      </x:c>
      <x:c r="F937" s="16" t="n">
        <x:f>IF(AND('Queries'!E937&lt;='Rules'!$B$15,'Queries'!C937&gt;='Rules'!$B$14,'Queries'!D937&lt;'Rules'!$B$16),1,0)</x:f>
        <x:v>0</x:v>
      </x:c>
      <x:c r="G937" s="16" t="n">
        <x:v>1</x:v>
      </x:c>
      <x:c r="H937" s="16" t="n">
        <x:v>1</x:v>
      </x:c>
      <x:c r="I937" s="16" t="n">
        <x:f>ROUND((B937*'Rules'!$B$6+C937/'Rules'!$B$12*'Rules'!$B$7+D937*'Rules'!$B$8+E937*'Rules'!$B$9+F937*'Rules'!$B$10+G937*'Rules'!$B$11)*H937,1)</x:f>
        <x:v>75.7</x:v>
      </x:c>
      <x:c r="J937" s="18" t="n">
        <x:f>'Queries'!C937*'Queries'!E937</x:f>
        <x:v>69</x:v>
      </x:c>
    </x:row>
    <x:row r="938" ht="32" customHeight="1">
      <x:c r="A938" s="6" t="str">
        <x:v>maserati workshop</x:v>
      </x:c>
      <x:c r="B938" s="16" t="n">
        <x:v>0.8</x:v>
      </x:c>
      <x:c r="C938" s="16" t="n">
        <x:v>5</x:v>
      </x:c>
      <x:c r="D938" s="16" t="n">
        <x:f>IF('Queries'!E938&lt;='Rules'!$B$17,'Rules'!$B$21,IF('Queries'!E938&lt;='Rules'!$B$18,'Rules'!$B$22,IF('Queries'!E938&lt;='Rules'!$B$19,'Rules'!$B$23,IF('Queries'!E938&lt;='Rules'!$B$20,'Rules'!$B$24,'Rules'!$B$25))))</x:f>
        <x:v>1</x:v>
      </x:c>
      <x:c r="E938" s="16" t="n">
        <x:f>MIN(LOG10(1+'Queries'!C938)/'Rules'!$B$13,1)</x:f>
        <x:v>0.3713144507689467</x:v>
      </x:c>
      <x:c r="F938" s="16" t="n">
        <x:f>IF(AND('Queries'!E938&lt;='Rules'!$B$15,'Queries'!C938&gt;='Rules'!$B$14,'Queries'!D938&lt;'Rules'!$B$16),1,0)</x:f>
        <x:v>0</x:v>
      </x:c>
      <x:c r="G938" s="16" t="n">
        <x:v>1</x:v>
      </x:c>
      <x:c r="H938" s="16" t="n">
        <x:v>1</x:v>
      </x:c>
      <x:c r="I938" s="16" t="n">
        <x:f>ROUND((B938*'Rules'!$B$6+C938/'Rules'!$B$12*'Rules'!$B$7+D938*'Rules'!$B$8+E938*'Rules'!$B$9+F938*'Rules'!$B$10+G938*'Rules'!$B$11)*H938,1)</x:f>
        <x:v>78.7</x:v>
      </x:c>
      <x:c r="J938" s="18" t="n">
        <x:f>'Queries'!C938*'Queries'!E938</x:f>
        <x:v>77.03999999999999</x:v>
      </x:c>
    </x:row>
    <x:row r="939" ht="32" customHeight="1">
      <x:c r="A939" s="6" t="str">
        <x:v>land rover workshop</x:v>
      </x:c>
      <x:c r="B939" s="16" t="n">
        <x:v>0.8</x:v>
      </x:c>
      <x:c r="C939" s="16" t="n">
        <x:v>5</x:v>
      </x:c>
      <x:c r="D939" s="16" t="n">
        <x:f>IF('Queries'!E939&lt;='Rules'!$B$17,'Rules'!$B$21,IF('Queries'!E939&lt;='Rules'!$B$18,'Rules'!$B$22,IF('Queries'!E939&lt;='Rules'!$B$19,'Rules'!$B$23,IF('Queries'!E939&lt;='Rules'!$B$20,'Rules'!$B$24,'Rules'!$B$25))))</x:f>
        <x:v>1</x:v>
      </x:c>
      <x:c r="E939" s="16" t="n">
        <x:f>MIN(LOG10(1+'Queries'!C939)/'Rules'!$B$13,1)</x:f>
        <x:v>0.3713144507689467</x:v>
      </x:c>
      <x:c r="F939" s="16" t="n">
        <x:f>IF(AND('Queries'!E939&lt;='Rules'!$B$15,'Queries'!C939&gt;='Rules'!$B$14,'Queries'!D939&lt;'Rules'!$B$16),1,0)</x:f>
        <x:v>0</x:v>
      </x:c>
      <x:c r="G939" s="16" t="n">
        <x:v>1</x:v>
      </x:c>
      <x:c r="H939" s="16" t="n">
        <x:v>1</x:v>
      </x:c>
      <x:c r="I939" s="16" t="n">
        <x:f>ROUND((B939*'Rules'!$B$6+C939/'Rules'!$B$12*'Rules'!$B$7+D939*'Rules'!$B$8+E939*'Rules'!$B$9+F939*'Rules'!$B$10+G939*'Rules'!$B$11)*H939,1)</x:f>
        <x:v>78.7</x:v>
      </x:c>
      <x:c r="J939" s="18" t="n">
        <x:f>'Queries'!C939*'Queries'!E939</x:f>
        <x:v>78</x:v>
      </x:c>
    </x:row>
    <x:row r="940" ht="32" customHeight="1">
      <x:c r="A940" s="6" t="str">
        <x:v>rox 01 soft close door</x:v>
      </x:c>
      <x:c r="B940" s="16" t="n">
        <x:v>0.8</x:v>
      </x:c>
      <x:c r="C940" s="16" t="n">
        <x:v>3</x:v>
      </x:c>
      <x:c r="D940" s="16" t="n">
        <x:f>IF('Queries'!E940&lt;='Rules'!$B$17,'Rules'!$B$21,IF('Queries'!E940&lt;='Rules'!$B$18,'Rules'!$B$22,IF('Queries'!E940&lt;='Rules'!$B$19,'Rules'!$B$23,IF('Queries'!E940&lt;='Rules'!$B$20,'Rules'!$B$24,'Rules'!$B$25))))</x:f>
        <x:v>1</x:v>
      </x:c>
      <x:c r="E940" s="16" t="n">
        <x:f>MIN(LOG10(1+'Queries'!C940)/'Rules'!$B$13,1)</x:f>
        <x:v>0.3713144507689467</x:v>
      </x:c>
      <x:c r="F940" s="16" t="n">
        <x:f>IF(AND('Queries'!E940&lt;='Rules'!$B$15,'Queries'!C940&gt;='Rules'!$B$14,'Queries'!D940&lt;'Rules'!$B$16),1,0)</x:f>
        <x:v>0</x:v>
      </x:c>
      <x:c r="G940" s="16" t="n">
        <x:v>0.25</x:v>
      </x:c>
      <x:c r="H940" s="16" t="n">
        <x:v>0.65</x:v>
      </x:c>
      <x:c r="I940" s="16" t="n">
        <x:f>ROUND((B940*'Rules'!$B$6+C940/'Rules'!$B$12*'Rules'!$B$7+D940*'Rules'!$B$8+E940*'Rules'!$B$9+F940*'Rules'!$B$10+G940*'Rules'!$B$11)*H940,1)</x:f>
        <x:v>41.1</x:v>
      </x:c>
      <x:c r="J940" s="18" t="n">
        <x:f>'Queries'!C940*'Queries'!E940</x:f>
        <x:v>87</x:v>
      </x:c>
    </x:row>
    <x:row r="941" ht="32" customHeight="1">
      <x:c r="A941" s="6" t="str">
        <x:v>chevrolet workshop</x:v>
      </x:c>
      <x:c r="B941" s="16" t="n">
        <x:v>0.8</x:v>
      </x:c>
      <x:c r="C941" s="16" t="n">
        <x:v>3</x:v>
      </x:c>
      <x:c r="D941" s="16" t="n">
        <x:f>IF('Queries'!E941&lt;='Rules'!$B$17,'Rules'!$B$21,IF('Queries'!E941&lt;='Rules'!$B$18,'Rules'!$B$22,IF('Queries'!E941&lt;='Rules'!$B$19,'Rules'!$B$23,IF('Queries'!E941&lt;='Rules'!$B$20,'Rules'!$B$24,'Rules'!$B$25))))</x:f>
        <x:v>1</x:v>
      </x:c>
      <x:c r="E941" s="16" t="n">
        <x:f>MIN(LOG10(1+'Queries'!C941)/'Rules'!$B$13,1)</x:f>
        <x:v>0.3713144507689467</x:v>
      </x:c>
      <x:c r="F941" s="16" t="n">
        <x:f>IF(AND('Queries'!E941&lt;='Rules'!$B$15,'Queries'!C941&gt;='Rules'!$B$14,'Queries'!D941&lt;'Rules'!$B$16),1,0)</x:f>
        <x:v>0</x:v>
      </x:c>
      <x:c r="G941" s="16" t="n">
        <x:v>1</x:v>
      </x:c>
      <x:c r="H941" s="16" t="n">
        <x:v>1</x:v>
      </x:c>
      <x:c r="I941" s="16" t="n">
        <x:f>ROUND((B941*'Rules'!$B$6+C941/'Rules'!$B$12*'Rules'!$B$7+D941*'Rules'!$B$8+E941*'Rules'!$B$9+F941*'Rules'!$B$10+G941*'Rules'!$B$11)*H941,1)</x:f>
        <x:v>70.7</x:v>
      </x:c>
      <x:c r="J941" s="18" t="n">
        <x:f>'Queries'!C941*'Queries'!E941</x:f>
        <x:v>90</x:v>
      </x:c>
    </x:row>
    <x:row r="942" ht="32" customHeight="1">
      <x:c r="A942" s="6" t="str">
        <x:v>engine tuning near me</x:v>
      </x:c>
      <x:c r="B942" s="16" t="n">
        <x:v>1</x:v>
      </x:c>
      <x:c r="C942" s="16" t="n">
        <x:v>5</x:v>
      </x:c>
      <x:c r="D942" s="16" t="n">
        <x:f>IF('Queries'!E942&lt;='Rules'!$B$17,'Rules'!$B$21,IF('Queries'!E942&lt;='Rules'!$B$18,'Rules'!$B$22,IF('Queries'!E942&lt;='Rules'!$B$19,'Rules'!$B$23,IF('Queries'!E942&lt;='Rules'!$B$20,'Rules'!$B$24,'Rules'!$B$25))))</x:f>
        <x:v>1</x:v>
      </x:c>
      <x:c r="E942" s="16" t="n">
        <x:f>MIN(LOG10(1+'Queries'!C942)/'Rules'!$B$13,1)</x:f>
        <x:v>0.3713144507689467</x:v>
      </x:c>
      <x:c r="F942" s="16" t="n">
        <x:f>IF(AND('Queries'!E942&lt;='Rules'!$B$15,'Queries'!C942&gt;='Rules'!$B$14,'Queries'!D942&lt;'Rules'!$B$16),1,0)</x:f>
        <x:v>0</x:v>
      </x:c>
      <x:c r="G942" s="16" t="n">
        <x:v>1</x:v>
      </x:c>
      <x:c r="H942" s="16" t="n">
        <x:v>1</x:v>
      </x:c>
      <x:c r="I942" s="16" t="n">
        <x:f>ROUND((B942*'Rules'!$B$6+C942/'Rules'!$B$12*'Rules'!$B$7+D942*'Rules'!$B$8+E942*'Rules'!$B$9+F942*'Rules'!$B$10+G942*'Rules'!$B$11)*H942,1)</x:f>
        <x:v>83.7</x:v>
      </x:c>
      <x:c r="J942" s="18" t="n">
        <x:f>'Queries'!C942*'Queries'!E942</x:f>
        <x:v>95.03999999999999</x:v>
      </x:c>
    </x:row>
    <x:row r="943" ht="32" customHeight="1">
      <x:c r="A943" s="6" t="str">
        <x:v>car programming near me</x:v>
      </x:c>
      <x:c r="B943" s="16" t="n">
        <x:v>1</x:v>
      </x:c>
      <x:c r="C943" s="16" t="n">
        <x:v>3</x:v>
      </x:c>
      <x:c r="D943" s="16" t="n">
        <x:f>IF('Queries'!E943&lt;='Rules'!$B$17,'Rules'!$B$21,IF('Queries'!E943&lt;='Rules'!$B$18,'Rules'!$B$22,IF('Queries'!E943&lt;='Rules'!$B$19,'Rules'!$B$23,IF('Queries'!E943&lt;='Rules'!$B$20,'Rules'!$B$24,'Rules'!$B$25))))</x:f>
        <x:v>1</x:v>
      </x:c>
      <x:c r="E943" s="16" t="n">
        <x:f>MIN(LOG10(1+'Queries'!C943)/'Rules'!$B$13,1)</x:f>
        <x:v>0.3713144507689467</x:v>
      </x:c>
      <x:c r="F943" s="16" t="n">
        <x:f>IF(AND('Queries'!E943&lt;='Rules'!$B$15,'Queries'!C943&gt;='Rules'!$B$14,'Queries'!D943&lt;'Rules'!$B$16),1,0)</x:f>
        <x:v>0</x:v>
      </x:c>
      <x:c r="G943" s="16" t="n">
        <x:v>1</x:v>
      </x:c>
      <x:c r="H943" s="16" t="n">
        <x:v>1</x:v>
      </x:c>
      <x:c r="I943" s="16" t="n">
        <x:f>ROUND((B943*'Rules'!$B$6+C943/'Rules'!$B$12*'Rules'!$B$7+D943*'Rules'!$B$8+E943*'Rules'!$B$9+F943*'Rules'!$B$10+G943*'Rules'!$B$11)*H943,1)</x:f>
        <x:v>75.7</x:v>
      </x:c>
      <x:c r="J943" s="18" t="n">
        <x:f>'Queries'!C943*'Queries'!E943</x:f>
        <x:v>114</x:v>
      </x:c>
    </x:row>
    <x:row r="944" ht="32" customHeight="1">
      <x:c r="A944" s="6" t="str">
        <x:v>near me puncher shop</x:v>
      </x:c>
      <x:c r="B944" s="16" t="n">
        <x:v>1</x:v>
      </x:c>
      <x:c r="C944" s="16" t="n">
        <x:v>2</x:v>
      </x:c>
      <x:c r="D944" s="16" t="n">
        <x:f>IF('Queries'!E944&lt;='Rules'!$B$17,'Rules'!$B$21,IF('Queries'!E944&lt;='Rules'!$B$18,'Rules'!$B$22,IF('Queries'!E944&lt;='Rules'!$B$19,'Rules'!$B$23,IF('Queries'!E944&lt;='Rules'!$B$20,'Rules'!$B$24,'Rules'!$B$25))))</x:f>
        <x:v>1</x:v>
      </x:c>
      <x:c r="E944" s="16" t="n">
        <x:f>MIN(LOG10(1+'Queries'!C944)/'Rules'!$B$13,1)</x:f>
        <x:v>0.3713144507689467</x:v>
      </x:c>
      <x:c r="F944" s="16" t="n">
        <x:f>IF(AND('Queries'!E944&lt;='Rules'!$B$15,'Queries'!C944&gt;='Rules'!$B$14,'Queries'!D944&lt;'Rules'!$B$16),1,0)</x:f>
        <x:v>0</x:v>
      </x:c>
      <x:c r="G944" s="16" t="n">
        <x:v>1</x:v>
      </x:c>
      <x:c r="H944" s="16" t="n">
        <x:v>1</x:v>
      </x:c>
      <x:c r="I944" s="16" t="n">
        <x:f>ROUND((B944*'Rules'!$B$6+C944/'Rules'!$B$12*'Rules'!$B$7+D944*'Rules'!$B$8+E944*'Rules'!$B$9+F944*'Rules'!$B$10+G944*'Rules'!$B$11)*H944,1)</x:f>
        <x:v>71.7</x:v>
      </x:c>
      <x:c r="J944" s="18" t="n">
        <x:f>'Queries'!C944*'Queries'!E944</x:f>
        <x:v>114.96000000000001</x:v>
      </x:c>
    </x:row>
    <x:row r="945" ht="32" customHeight="1">
      <x:c r="A945" s="6" t="str">
        <x:v>ford workshop</x:v>
      </x:c>
      <x:c r="B945" s="16" t="n">
        <x:v>0.8</x:v>
      </x:c>
      <x:c r="C945" s="16" t="n">
        <x:v>3</x:v>
      </x:c>
      <x:c r="D945" s="16" t="n">
        <x:f>IF('Queries'!E945&lt;='Rules'!$B$17,'Rules'!$B$21,IF('Queries'!E945&lt;='Rules'!$B$18,'Rules'!$B$22,IF('Queries'!E945&lt;='Rules'!$B$19,'Rules'!$B$23,IF('Queries'!E945&lt;='Rules'!$B$20,'Rules'!$B$24,'Rules'!$B$25))))</x:f>
        <x:v>1</x:v>
      </x:c>
      <x:c r="E945" s="16" t="n">
        <x:f>MIN(LOG10(1+'Queries'!C945)/'Rules'!$B$13,1)</x:f>
        <x:v>0.3713144507689467</x:v>
      </x:c>
      <x:c r="F945" s="16" t="n">
        <x:f>IF(AND('Queries'!E945&lt;='Rules'!$B$15,'Queries'!C945&gt;='Rules'!$B$14,'Queries'!D945&lt;'Rules'!$B$16),1,0)</x:f>
        <x:v>0</x:v>
      </x:c>
      <x:c r="G945" s="16" t="n">
        <x:v>1</x:v>
      </x:c>
      <x:c r="H945" s="16" t="n">
        <x:v>1</x:v>
      </x:c>
      <x:c r="I945" s="16" t="n">
        <x:f>ROUND((B945*'Rules'!$B$6+C945/'Rules'!$B$12*'Rules'!$B$7+D945*'Rules'!$B$8+E945*'Rules'!$B$9+F945*'Rules'!$B$10+G945*'Rules'!$B$11)*H945,1)</x:f>
        <x:v>70.7</x:v>
      </x:c>
      <x:c r="J945" s="18" t="n">
        <x:f>'Queries'!C945*'Queries'!E945</x:f>
        <x:v>116.03999999999999</x:v>
      </x:c>
    </x:row>
    <x:row r="946" ht="32" customHeight="1">
      <x:c r="A946" s="6" t="str">
        <x:v>stage 2 tuning near me</x:v>
      </x:c>
      <x:c r="B946" s="16" t="n">
        <x:v>1</x:v>
      </x:c>
      <x:c r="C946" s="16" t="n">
        <x:v>5</x:v>
      </x:c>
      <x:c r="D946" s="16" t="n">
        <x:f>IF('Queries'!E946&lt;='Rules'!$B$17,'Rules'!$B$21,IF('Queries'!E946&lt;='Rules'!$B$18,'Rules'!$B$22,IF('Queries'!E946&lt;='Rules'!$B$19,'Rules'!$B$23,IF('Queries'!E946&lt;='Rules'!$B$20,'Rules'!$B$24,'Rules'!$B$25))))</x:f>
        <x:v>1</x:v>
      </x:c>
      <x:c r="E946" s="16" t="n">
        <x:f>MIN(LOG10(1+'Queries'!C946)/'Rules'!$B$13,1)</x:f>
        <x:v>0.3713144507689467</x:v>
      </x:c>
      <x:c r="F946" s="16" t="n">
        <x:f>IF(AND('Queries'!E946&lt;='Rules'!$B$15,'Queries'!C946&gt;='Rules'!$B$14,'Queries'!D946&lt;'Rules'!$B$16),1,0)</x:f>
        <x:v>0</x:v>
      </x:c>
      <x:c r="G946" s="16" t="n">
        <x:v>1</x:v>
      </x:c>
      <x:c r="H946" s="16" t="n">
        <x:v>1</x:v>
      </x:c>
      <x:c r="I946" s="16" t="n">
        <x:f>ROUND((B946*'Rules'!$B$6+C946/'Rules'!$B$12*'Rules'!$B$7+D946*'Rules'!$B$8+E946*'Rules'!$B$9+F946*'Rules'!$B$10+G946*'Rules'!$B$11)*H946,1)</x:f>
        <x:v>83.7</x:v>
      </x:c>
      <x:c r="J946" s="18" t="n">
        <x:f>'Queries'!C946*'Queries'!E946</x:f>
        <x:v>120</x:v>
      </x:c>
    </x:row>
    <x:row r="947" ht="32" customHeight="1">
      <x:c r="A947" s="6" t="str">
        <x:v>exhaust shops near me</x:v>
      </x:c>
      <x:c r="B947" s="16" t="n">
        <x:v>1</x:v>
      </x:c>
      <x:c r="C947" s="16" t="n">
        <x:v>3</x:v>
      </x:c>
      <x:c r="D947" s="16" t="n">
        <x:f>IF('Queries'!E947&lt;='Rules'!$B$17,'Rules'!$B$21,IF('Queries'!E947&lt;='Rules'!$B$18,'Rules'!$B$22,IF('Queries'!E947&lt;='Rules'!$B$19,'Rules'!$B$23,IF('Queries'!E947&lt;='Rules'!$B$20,'Rules'!$B$24,'Rules'!$B$25))))</x:f>
        <x:v>1</x:v>
      </x:c>
      <x:c r="E947" s="16" t="n">
        <x:f>MIN(LOG10(1+'Queries'!C947)/'Rules'!$B$13,1)</x:f>
        <x:v>0.3713144507689467</x:v>
      </x:c>
      <x:c r="F947" s="16" t="n">
        <x:f>IF(AND('Queries'!E947&lt;='Rules'!$B$15,'Queries'!C947&gt;='Rules'!$B$14,'Queries'!D947&lt;'Rules'!$B$16),1,0)</x:f>
        <x:v>0</x:v>
      </x:c>
      <x:c r="G947" s="16" t="n">
        <x:v>1</x:v>
      </x:c>
      <x:c r="H947" s="16" t="n">
        <x:v>1</x:v>
      </x:c>
      <x:c r="I947" s="16" t="n">
        <x:f>ROUND((B947*'Rules'!$B$6+C947/'Rules'!$B$12*'Rules'!$B$7+D947*'Rules'!$B$8+E947*'Rules'!$B$9+F947*'Rules'!$B$10+G947*'Rules'!$B$11)*H947,1)</x:f>
        <x:v>75.7</x:v>
      </x:c>
      <x:c r="J947" s="18" t="n">
        <x:f>'Queries'!C947*'Queries'!E947</x:f>
        <x:v>123</x:v>
      </x:c>
    </x:row>
    <x:row r="948" ht="32" customHeight="1">
      <x:c r="A948" s="6" t="str">
        <x:v>range rover service</x:v>
      </x:c>
      <x:c r="B948" s="16" t="n">
        <x:v>0.8</x:v>
      </x:c>
      <x:c r="C948" s="16" t="n">
        <x:v>5</x:v>
      </x:c>
      <x:c r="D948" s="16" t="n">
        <x:f>IF('Queries'!E948&lt;='Rules'!$B$17,'Rules'!$B$21,IF('Queries'!E948&lt;='Rules'!$B$18,'Rules'!$B$22,IF('Queries'!E948&lt;='Rules'!$B$19,'Rules'!$B$23,IF('Queries'!E948&lt;='Rules'!$B$20,'Rules'!$B$24,'Rules'!$B$25))))</x:f>
        <x:v>1</x:v>
      </x:c>
      <x:c r="E948" s="16" t="n">
        <x:f>MIN(LOG10(1+'Queries'!C948)/'Rules'!$B$13,1)</x:f>
        <x:v>0.3713144507689467</x:v>
      </x:c>
      <x:c r="F948" s="16" t="n">
        <x:f>IF(AND('Queries'!E948&lt;='Rules'!$B$15,'Queries'!C948&gt;='Rules'!$B$14,'Queries'!D948&lt;'Rules'!$B$16),1,0)</x:f>
        <x:v>0</x:v>
      </x:c>
      <x:c r="G948" s="16" t="n">
        <x:v>1</x:v>
      </x:c>
      <x:c r="H948" s="16" t="n">
        <x:v>1</x:v>
      </x:c>
      <x:c r="I948" s="16" t="n">
        <x:f>ROUND((B948*'Rules'!$B$6+C948/'Rules'!$B$12*'Rules'!$B$7+D948*'Rules'!$B$8+E948*'Rules'!$B$9+F948*'Rules'!$B$10+G948*'Rules'!$B$11)*H948,1)</x:f>
        <x:v>78.7</x:v>
      </x:c>
      <x:c r="J948" s="18" t="n">
        <x:f>'Queries'!C948*'Queries'!E948</x:f>
        <x:v>162</x:v>
      </x:c>
    </x:row>
    <x:row r="949" ht="32" customHeight="1">
      <x:c r="A949" s="6" t="str">
        <x:v>nissan maintenance dubai</x:v>
      </x:c>
      <x:c r="B949" s="16" t="n">
        <x:v>1</x:v>
      </x:c>
      <x:c r="C949" s="16" t="n">
        <x:v>3</x:v>
      </x:c>
      <x:c r="D949" s="16" t="n">
        <x:f>IF('Queries'!E949&lt;='Rules'!$B$17,'Rules'!$B$21,IF('Queries'!E949&lt;='Rules'!$B$18,'Rules'!$B$22,IF('Queries'!E949&lt;='Rules'!$B$19,'Rules'!$B$23,IF('Queries'!E949&lt;='Rules'!$B$20,'Rules'!$B$24,'Rules'!$B$25))))</x:f>
        <x:v>1</x:v>
      </x:c>
      <x:c r="E949" s="16" t="n">
        <x:f>MIN(LOG10(1+'Queries'!C949)/'Rules'!$B$13,1)</x:f>
        <x:v>0.3713144507689467</x:v>
      </x:c>
      <x:c r="F949" s="16" t="n">
        <x:f>IF(AND('Queries'!E949&lt;='Rules'!$B$15,'Queries'!C949&gt;='Rules'!$B$14,'Queries'!D949&lt;'Rules'!$B$16),1,0)</x:f>
        <x:v>0</x:v>
      </x:c>
      <x:c r="G949" s="16" t="n">
        <x:v>1</x:v>
      </x:c>
      <x:c r="H949" s="16" t="n">
        <x:v>1</x:v>
      </x:c>
      <x:c r="I949" s="16" t="n">
        <x:f>ROUND((B949*'Rules'!$B$6+C949/'Rules'!$B$12*'Rules'!$B$7+D949*'Rules'!$B$8+E949*'Rules'!$B$9+F949*'Rules'!$B$10+G949*'Rules'!$B$11)*H949,1)</x:f>
        <x:v>75.7</x:v>
      </x:c>
      <x:c r="J949" s="18" t="n">
        <x:f>'Queries'!C949*'Queries'!E949</x:f>
        <x:v>177.96</x:v>
      </x:c>
    </x:row>
    <x:row r="950" ht="32" customHeight="1">
      <x:c r="A950" s="6" t="str">
        <x:v>audi service</x:v>
      </x:c>
      <x:c r="B950" s="16" t="n">
        <x:v>0.8</x:v>
      </x:c>
      <x:c r="C950" s="16" t="n">
        <x:v>5</x:v>
      </x:c>
      <x:c r="D950" s="16" t="n">
        <x:f>IF('Queries'!E950&lt;='Rules'!$B$17,'Rules'!$B$21,IF('Queries'!E950&lt;='Rules'!$B$18,'Rules'!$B$22,IF('Queries'!E950&lt;='Rules'!$B$19,'Rules'!$B$23,IF('Queries'!E950&lt;='Rules'!$B$20,'Rules'!$B$24,'Rules'!$B$25))))</x:f>
        <x:v>0.7</x:v>
      </x:c>
      <x:c r="E950" s="16" t="n">
        <x:f>MIN(LOG10(1+'Queries'!C950)/'Rules'!$B$13,1)</x:f>
        <x:v>0.3713144507689467</x:v>
      </x:c>
      <x:c r="F950" s="16" t="n">
        <x:f>IF(AND('Queries'!E950&lt;='Rules'!$B$15,'Queries'!C950&gt;='Rules'!$B$14,'Queries'!D950&lt;'Rules'!$B$16),1,0)</x:f>
        <x:v>0</x:v>
      </x:c>
      <x:c r="G950" s="16" t="n">
        <x:v>1</x:v>
      </x:c>
      <x:c r="H950" s="16" t="n">
        <x:v>1</x:v>
      </x:c>
      <x:c r="I950" s="16" t="n">
        <x:f>ROUND((B950*'Rules'!$B$6+C950/'Rules'!$B$12*'Rules'!$B$7+D950*'Rules'!$B$8+E950*'Rules'!$B$9+F950*'Rules'!$B$10+G950*'Rules'!$B$11)*H950,1)</x:f>
        <x:v>71.2</x:v>
      </x:c>
      <x:c r="J950" s="18" t="n">
        <x:f>'Queries'!C950*'Queries'!E950</x:f>
        <x:v>198</x:v>
      </x:c>
    </x:row>
    <x:row r="951" ht="32" customHeight="1">
      <x:c r="A951" s="6" t="str">
        <x:v>car ac service dubai</x:v>
      </x:c>
      <x:c r="B951" s="16" t="n">
        <x:v>1</x:v>
      </x:c>
      <x:c r="C951" s="16" t="n">
        <x:v>3</x:v>
      </x:c>
      <x:c r="D951" s="16" t="n">
        <x:f>IF('Queries'!E951&lt;='Rules'!$B$17,'Rules'!$B$21,IF('Queries'!E951&lt;='Rules'!$B$18,'Rules'!$B$22,IF('Queries'!E951&lt;='Rules'!$B$19,'Rules'!$B$23,IF('Queries'!E951&lt;='Rules'!$B$20,'Rules'!$B$24,'Rules'!$B$25))))</x:f>
        <x:v>0.7</x:v>
      </x:c>
      <x:c r="E951" s="16" t="n">
        <x:f>MIN(LOG10(1+'Queries'!C951)/'Rules'!$B$13,1)</x:f>
        <x:v>0.3713144507689467</x:v>
      </x:c>
      <x:c r="F951" s="16" t="n">
        <x:f>IF(AND('Queries'!E951&lt;='Rules'!$B$15,'Queries'!C951&gt;='Rules'!$B$14,'Queries'!D951&lt;'Rules'!$B$16),1,0)</x:f>
        <x:v>0</x:v>
      </x:c>
      <x:c r="G951" s="16" t="n">
        <x:v>1</x:v>
      </x:c>
      <x:c r="H951" s="16" t="n">
        <x:v>1</x:v>
      </x:c>
      <x:c r="I951" s="16" t="n">
        <x:f>ROUND((B951*'Rules'!$B$6+C951/'Rules'!$B$12*'Rules'!$B$7+D951*'Rules'!$B$8+E951*'Rules'!$B$9+F951*'Rules'!$B$10+G951*'Rules'!$B$11)*H951,1)</x:f>
        <x:v>68.2</x:v>
      </x:c>
      <x:c r="J951" s="18" t="n">
        <x:f>'Queries'!C951*'Queries'!E951</x:f>
        <x:v>201.95999999999998</x:v>
      </x:c>
    </x:row>
    <x:row r="952" ht="32" customHeight="1">
      <x:c r="A952" s="6" t="str">
        <x:v>porsche battery replacement</x:v>
      </x:c>
      <x:c r="B952" s="16" t="n">
        <x:v>0.8</x:v>
      </x:c>
      <x:c r="C952" s="16" t="n">
        <x:v>5</x:v>
      </x:c>
      <x:c r="D952" s="16" t="n">
        <x:f>IF('Queries'!E952&lt;='Rules'!$B$17,'Rules'!$B$21,IF('Queries'!E952&lt;='Rules'!$B$18,'Rules'!$B$22,IF('Queries'!E952&lt;='Rules'!$B$19,'Rules'!$B$23,IF('Queries'!E952&lt;='Rules'!$B$20,'Rules'!$B$24,'Rules'!$B$25))))</x:f>
        <x:v>0.7</x:v>
      </x:c>
      <x:c r="E952" s="16" t="n">
        <x:f>MIN(LOG10(1+'Queries'!C952)/'Rules'!$B$13,1)</x:f>
        <x:v>0.3713144507689467</x:v>
      </x:c>
      <x:c r="F952" s="16" t="n">
        <x:f>IF(AND('Queries'!E952&lt;='Rules'!$B$15,'Queries'!C952&gt;='Rules'!$B$14,'Queries'!D952&lt;'Rules'!$B$16),1,0)</x:f>
        <x:v>0</x:v>
      </x:c>
      <x:c r="G952" s="16" t="n">
        <x:v>1</x:v>
      </x:c>
      <x:c r="H952" s="16" t="n">
        <x:v>1</x:v>
      </x:c>
      <x:c r="I952" s="16" t="n">
        <x:f>ROUND((B952*'Rules'!$B$6+C952/'Rules'!$B$12*'Rules'!$B$7+D952*'Rules'!$B$8+E952*'Rules'!$B$9+F952*'Rules'!$B$10+G952*'Rules'!$B$11)*H952,1)</x:f>
        <x:v>71.2</x:v>
      </x:c>
      <x:c r="J952" s="18" t="n">
        <x:f>'Queries'!C952*'Queries'!E952</x:f>
        <x:v>213</x:v>
      </x:c>
    </x:row>
    <x:row r="953" ht="32" customHeight="1">
      <x:c r="A953" s="6" t="str">
        <x:v>vw workshop dubai</x:v>
      </x:c>
      <x:c r="B953" s="16" t="n">
        <x:v>1</x:v>
      </x:c>
      <x:c r="C953" s="16" t="n">
        <x:v>3</x:v>
      </x:c>
      <x:c r="D953" s="16" t="n">
        <x:f>IF('Queries'!E953&lt;='Rules'!$B$17,'Rules'!$B$21,IF('Queries'!E953&lt;='Rules'!$B$18,'Rules'!$B$22,IF('Queries'!E953&lt;='Rules'!$B$19,'Rules'!$B$23,IF('Queries'!E953&lt;='Rules'!$B$20,'Rules'!$B$24,'Rules'!$B$25))))</x:f>
        <x:v>0.7</x:v>
      </x:c>
      <x:c r="E953" s="16" t="n">
        <x:f>MIN(LOG10(1+'Queries'!C953)/'Rules'!$B$13,1)</x:f>
        <x:v>0.3713144507689467</x:v>
      </x:c>
      <x:c r="F953" s="16" t="n">
        <x:f>IF(AND('Queries'!E953&lt;='Rules'!$B$15,'Queries'!C953&gt;='Rules'!$B$14,'Queries'!D953&lt;'Rules'!$B$16),1,0)</x:f>
        <x:v>0</x:v>
      </x:c>
      <x:c r="G953" s="16" t="n">
        <x:v>1</x:v>
      </x:c>
      <x:c r="H953" s="16" t="n">
        <x:v>1</x:v>
      </x:c>
      <x:c r="I953" s="16" t="n">
        <x:f>ROUND((B953*'Rules'!$B$6+C953/'Rules'!$B$12*'Rules'!$B$7+D953*'Rules'!$B$8+E953*'Rules'!$B$9+F953*'Rules'!$B$10+G953*'Rules'!$B$11)*H953,1)</x:f>
        <x:v>68.2</x:v>
      </x:c>
      <x:c r="J953" s="18" t="n">
        <x:f>'Queries'!C953*'Queries'!E953</x:f>
        <x:v>213</x:v>
      </x:c>
    </x:row>
    <x:row r="954" ht="32" customHeight="1">
      <x:c r="A954" s="6" t="str">
        <x:v>mercedes benz sl63 amg service dubai</x:v>
      </x:c>
      <x:c r="B954" s="16" t="n">
        <x:v>1</x:v>
      </x:c>
      <x:c r="C954" s="16" t="n">
        <x:v>5</x:v>
      </x:c>
      <x:c r="D954" s="16" t="n">
        <x:f>IF('Queries'!E954&lt;='Rules'!$B$17,'Rules'!$B$21,IF('Queries'!E954&lt;='Rules'!$B$18,'Rules'!$B$22,IF('Queries'!E954&lt;='Rules'!$B$19,'Rules'!$B$23,IF('Queries'!E954&lt;='Rules'!$B$20,'Rules'!$B$24,'Rules'!$B$25))))</x:f>
        <x:v>0.7</x:v>
      </x:c>
      <x:c r="E954" s="16" t="n">
        <x:f>MIN(LOG10(1+'Queries'!C954)/'Rules'!$B$13,1)</x:f>
        <x:v>0.3713144507689467</x:v>
      </x:c>
      <x:c r="F954" s="16" t="n">
        <x:f>IF(AND('Queries'!E954&lt;='Rules'!$B$15,'Queries'!C954&gt;='Rules'!$B$14,'Queries'!D954&lt;'Rules'!$B$16),1,0)</x:f>
        <x:v>0</x:v>
      </x:c>
      <x:c r="G954" s="16" t="n">
        <x:v>1</x:v>
      </x:c>
      <x:c r="H954" s="16" t="n">
        <x:v>1</x:v>
      </x:c>
      <x:c r="I954" s="16" t="n">
        <x:f>ROUND((B954*'Rules'!$B$6+C954/'Rules'!$B$12*'Rules'!$B$7+D954*'Rules'!$B$8+E954*'Rules'!$B$9+F954*'Rules'!$B$10+G954*'Rules'!$B$11)*H954,1)</x:f>
        <x:v>76.2</x:v>
      </x:c>
      <x:c r="J954" s="18" t="n">
        <x:f>'Queries'!C954*'Queries'!E954</x:f>
        <x:v>237</x:v>
      </x:c>
    </x:row>
    <x:row r="955" ht="32" customHeight="1">
      <x:c r="A955" s="6" t="str">
        <x:v>car fabrication near me</x:v>
      </x:c>
      <x:c r="B955" s="16" t="n">
        <x:v>1</x:v>
      </x:c>
      <x:c r="C955" s="16" t="n">
        <x:v>1</x:v>
      </x:c>
      <x:c r="D955" s="16" t="n">
        <x:f>IF('Queries'!E955&lt;='Rules'!$B$17,'Rules'!$B$21,IF('Queries'!E955&lt;='Rules'!$B$18,'Rules'!$B$22,IF('Queries'!E955&lt;='Rules'!$B$19,'Rules'!$B$23,IF('Queries'!E955&lt;='Rules'!$B$20,'Rules'!$B$24,'Rules'!$B$25))))</x:f>
        <x:v>0.7</x:v>
      </x:c>
      <x:c r="E955" s="16" t="n">
        <x:f>MIN(LOG10(1+'Queries'!C955)/'Rules'!$B$13,1)</x:f>
        <x:v>0.3713144507689467</x:v>
      </x:c>
      <x:c r="F955" s="16" t="n">
        <x:f>IF(AND('Queries'!E955&lt;='Rules'!$B$15,'Queries'!C955&gt;='Rules'!$B$14,'Queries'!D955&lt;'Rules'!$B$16),1,0)</x:f>
        <x:v>0</x:v>
      </x:c>
      <x:c r="G955" s="16" t="n">
        <x:v>1</x:v>
      </x:c>
      <x:c r="H955" s="16" t="n">
        <x:v>0.1</x:v>
      </x:c>
      <x:c r="I955" s="16" t="n">
        <x:f>ROUND((B955*'Rules'!$B$6+C955/'Rules'!$B$12*'Rules'!$B$7+D955*'Rules'!$B$8+E955*'Rules'!$B$9+F955*'Rules'!$B$10+G955*'Rules'!$B$11)*H955,1)</x:f>
        <x:v>6</x:v>
      </x:c>
      <x:c r="J955" s="18" t="n">
        <x:f>'Queries'!C955*'Queries'!E955</x:f>
        <x:v>239.04000000000002</x:v>
      </x:c>
    </x:row>
    <x:row r="956" ht="32" customHeight="1">
      <x:c r="A956" s="6" t="str">
        <x:v>nissan car service dubai</x:v>
      </x:c>
      <x:c r="B956" s="16" t="n">
        <x:v>1</x:v>
      </x:c>
      <x:c r="C956" s="16" t="n">
        <x:v>3</x:v>
      </x:c>
      <x:c r="D956" s="16" t="n">
        <x:f>IF('Queries'!E956&lt;='Rules'!$B$17,'Rules'!$B$21,IF('Queries'!E956&lt;='Rules'!$B$18,'Rules'!$B$22,IF('Queries'!E956&lt;='Rules'!$B$19,'Rules'!$B$23,IF('Queries'!E956&lt;='Rules'!$B$20,'Rules'!$B$24,'Rules'!$B$25))))</x:f>
        <x:v>0.7</x:v>
      </x:c>
      <x:c r="E956" s="16" t="n">
        <x:f>MIN(LOG10(1+'Queries'!C956)/'Rules'!$B$13,1)</x:f>
        <x:v>0.3713144507689467</x:v>
      </x:c>
      <x:c r="F956" s="16" t="n">
        <x:f>IF(AND('Queries'!E956&lt;='Rules'!$B$15,'Queries'!C956&gt;='Rules'!$B$14,'Queries'!D956&lt;'Rules'!$B$16),1,0)</x:f>
        <x:v>0</x:v>
      </x:c>
      <x:c r="G956" s="16" t="n">
        <x:v>1</x:v>
      </x:c>
      <x:c r="H956" s="16" t="n">
        <x:v>1</x:v>
      </x:c>
      <x:c r="I956" s="16" t="n">
        <x:f>ROUND((B956*'Rules'!$B$6+C956/'Rules'!$B$12*'Rules'!$B$7+D956*'Rules'!$B$8+E956*'Rules'!$B$9+F956*'Rules'!$B$10+G956*'Rules'!$B$11)*H956,1)</x:f>
        <x:v>68.2</x:v>
      </x:c>
      <x:c r="J956" s="18" t="n">
        <x:f>'Queries'!C956*'Queries'!E956</x:f>
        <x:v>240.95999999999998</x:v>
      </x:c>
    </x:row>
    <x:row r="957" ht="32" customHeight="1">
      <x:c r="A957" s="6" t="str">
        <x:v>best mclaren service center abu dhabi</x:v>
      </x:c>
      <x:c r="B957" s="16" t="n">
        <x:v>1</x:v>
      </x:c>
      <x:c r="C957" s="16" t="n">
        <x:v>1</x:v>
      </x:c>
      <x:c r="D957" s="16" t="n">
        <x:f>IF('Queries'!E957&lt;='Rules'!$B$17,'Rules'!$B$21,IF('Queries'!E957&lt;='Rules'!$B$18,'Rules'!$B$22,IF('Queries'!E957&lt;='Rules'!$B$19,'Rules'!$B$23,IF('Queries'!E957&lt;='Rules'!$B$20,'Rules'!$B$24,'Rules'!$B$25))))</x:f>
        <x:v>0.7</x:v>
      </x:c>
      <x:c r="E957" s="16" t="n">
        <x:f>MIN(LOG10(1+'Queries'!C957)/'Rules'!$B$13,1)</x:f>
        <x:v>0.3713144507689467</x:v>
      </x:c>
      <x:c r="F957" s="16" t="n">
        <x:f>IF(AND('Queries'!E957&lt;='Rules'!$B$15,'Queries'!C957&gt;='Rules'!$B$14,'Queries'!D957&lt;'Rules'!$B$16),1,0)</x:f>
        <x:v>0</x:v>
      </x:c>
      <x:c r="G957" s="16" t="n">
        <x:v>1</x:v>
      </x:c>
      <x:c r="H957" s="16" t="n">
        <x:v>0.2</x:v>
      </x:c>
      <x:c r="I957" s="16" t="n">
        <x:f>ROUND((B957*'Rules'!$B$6+C957/'Rules'!$B$12*'Rules'!$B$7+D957*'Rules'!$B$8+E957*'Rules'!$B$9+F957*'Rules'!$B$10+G957*'Rules'!$B$11)*H957,1)</x:f>
        <x:v>12</x:v>
      </x:c>
      <x:c r="J957" s="18" t="n">
        <x:f>'Queries'!C957*'Queries'!E957</x:f>
        <x:v>260.04</x:v>
      </x:c>
    </x:row>
    <x:row r="958" ht="32" customHeight="1">
      <x:c r="A958" s="6" t="str">
        <x:v>chevrolet repair dubai</x:v>
      </x:c>
      <x:c r="B958" s="16" t="n">
        <x:v>1</x:v>
      </x:c>
      <x:c r="C958" s="16" t="n">
        <x:v>3</x:v>
      </x:c>
      <x:c r="D958" s="16" t="n">
        <x:f>IF('Queries'!E958&lt;='Rules'!$B$17,'Rules'!$B$21,IF('Queries'!E958&lt;='Rules'!$B$18,'Rules'!$B$22,IF('Queries'!E958&lt;='Rules'!$B$19,'Rules'!$B$23,IF('Queries'!E958&lt;='Rules'!$B$20,'Rules'!$B$24,'Rules'!$B$25))))</x:f>
        <x:v>0.7</x:v>
      </x:c>
      <x:c r="E958" s="16" t="n">
        <x:f>MIN(LOG10(1+'Queries'!C958)/'Rules'!$B$13,1)</x:f>
        <x:v>0.3713144507689467</x:v>
      </x:c>
      <x:c r="F958" s="16" t="n">
        <x:f>IF(AND('Queries'!E958&lt;='Rules'!$B$15,'Queries'!C958&gt;='Rules'!$B$14,'Queries'!D958&lt;'Rules'!$B$16),1,0)</x:f>
        <x:v>0</x:v>
      </x:c>
      <x:c r="G958" s="16" t="n">
        <x:v>1</x:v>
      </x:c>
      <x:c r="H958" s="16" t="n">
        <x:v>1</x:v>
      </x:c>
      <x:c r="I958" s="16" t="n">
        <x:f>ROUND((B958*'Rules'!$B$6+C958/'Rules'!$B$12*'Rules'!$B$7+D958*'Rules'!$B$8+E958*'Rules'!$B$9+F958*'Rules'!$B$10+G958*'Rules'!$B$11)*H958,1)</x:f>
        <x:v>68.2</x:v>
      </x:c>
      <x:c r="J958" s="18" t="n">
        <x:f>'Queries'!C958*'Queries'!E958</x:f>
        <x:v>260.04</x:v>
      </x:c>
    </x:row>
    <x:row r="959" ht="32" customHeight="1">
      <x:c r="A959" s="6" t="str">
        <x:v>car diagnostics</x:v>
      </x:c>
      <x:c r="B959" s="16" t="n">
        <x:v>0.8</x:v>
      </x:c>
      <x:c r="C959" s="16" t="n">
        <x:v>3</x:v>
      </x:c>
      <x:c r="D959" s="16" t="n">
        <x:f>IF('Queries'!E959&lt;='Rules'!$B$17,'Rules'!$B$21,IF('Queries'!E959&lt;='Rules'!$B$18,'Rules'!$B$22,IF('Queries'!E959&lt;='Rules'!$B$19,'Rules'!$B$23,IF('Queries'!E959&lt;='Rules'!$B$20,'Rules'!$B$24,'Rules'!$B$25))))</x:f>
        <x:v>0.7</x:v>
      </x:c>
      <x:c r="E959" s="16" t="n">
        <x:f>MIN(LOG10(1+'Queries'!C959)/'Rules'!$B$13,1)</x:f>
        <x:v>0.3713144507689467</x:v>
      </x:c>
      <x:c r="F959" s="16" t="n">
        <x:f>IF(AND('Queries'!E959&lt;='Rules'!$B$15,'Queries'!C959&gt;='Rules'!$B$14,'Queries'!D959&lt;'Rules'!$B$16),1,0)</x:f>
        <x:v>0</x:v>
      </x:c>
      <x:c r="G959" s="16" t="n">
        <x:v>1</x:v>
      </x:c>
      <x:c r="H959" s="16" t="n">
        <x:v>1</x:v>
      </x:c>
      <x:c r="I959" s="16" t="n">
        <x:f>ROUND((B959*'Rules'!$B$6+C959/'Rules'!$B$12*'Rules'!$B$7+D959*'Rules'!$B$8+E959*'Rules'!$B$9+F959*'Rules'!$B$10+G959*'Rules'!$B$11)*H959,1)</x:f>
        <x:v>63.2</x:v>
      </x:c>
      <x:c r="J959" s="18" t="n">
        <x:f>'Queries'!C959*'Queries'!E959</x:f>
        <x:v>273</x:v>
      </x:c>
    </x:row>
    <x:row r="960" ht="32" customHeight="1">
      <x:c r="A960" s="6" t="str">
        <x:v>mechanical repairs dubai</x:v>
      </x:c>
      <x:c r="B960" s="16" t="n">
        <x:v>1</x:v>
      </x:c>
      <x:c r="C960" s="16" t="n">
        <x:v>3</x:v>
      </x:c>
      <x:c r="D960" s="16" t="n">
        <x:f>IF('Queries'!E960&lt;='Rules'!$B$17,'Rules'!$B$21,IF('Queries'!E960&lt;='Rules'!$B$18,'Rules'!$B$22,IF('Queries'!E960&lt;='Rules'!$B$19,'Rules'!$B$23,IF('Queries'!E960&lt;='Rules'!$B$20,'Rules'!$B$24,'Rules'!$B$25))))</x:f>
        <x:v>0.7</x:v>
      </x:c>
      <x:c r="E960" s="16" t="n">
        <x:f>MIN(LOG10(1+'Queries'!C960)/'Rules'!$B$13,1)</x:f>
        <x:v>0.3713144507689467</x:v>
      </x:c>
      <x:c r="F960" s="16" t="n">
        <x:f>IF(AND('Queries'!E960&lt;='Rules'!$B$15,'Queries'!C960&gt;='Rules'!$B$14,'Queries'!D960&lt;'Rules'!$B$16),1,0)</x:f>
        <x:v>0</x:v>
      </x:c>
      <x:c r="G960" s="16" t="n">
        <x:v>1</x:v>
      </x:c>
      <x:c r="H960" s="16" t="n">
        <x:v>1</x:v>
      </x:c>
      <x:c r="I960" s="16" t="n">
        <x:f>ROUND((B960*'Rules'!$B$6+C960/'Rules'!$B$12*'Rules'!$B$7+D960*'Rules'!$B$8+E960*'Rules'!$B$9+F960*'Rules'!$B$10+G960*'Rules'!$B$11)*H960,1)</x:f>
        <x:v>68.2</x:v>
      </x:c>
      <x:c r="J960" s="18" t="n">
        <x:f>'Queries'!C960*'Queries'!E960</x:f>
        <x:v>276.96</x:v>
      </x:c>
    </x:row>
    <x:row r="961" ht="32" customHeight="1">
      <x:c r="A961" s="6" t="str">
        <x:v>mini repair dubai</x:v>
      </x:c>
      <x:c r="B961" s="16" t="n">
        <x:v>1</x:v>
      </x:c>
      <x:c r="C961" s="16" t="n">
        <x:v>3</x:v>
      </x:c>
      <x:c r="D961" s="16" t="n">
        <x:f>IF('Queries'!E961&lt;='Rules'!$B$17,'Rules'!$B$21,IF('Queries'!E961&lt;='Rules'!$B$18,'Rules'!$B$22,IF('Queries'!E961&lt;='Rules'!$B$19,'Rules'!$B$23,IF('Queries'!E961&lt;='Rules'!$B$20,'Rules'!$B$24,'Rules'!$B$25))))</x:f>
        <x:v>0.7</x:v>
      </x:c>
      <x:c r="E961" s="16" t="n">
        <x:f>MIN(LOG10(1+'Queries'!C961)/'Rules'!$B$13,1)</x:f>
        <x:v>0.3713144507689467</x:v>
      </x:c>
      <x:c r="F961" s="16" t="n">
        <x:f>IF(AND('Queries'!E961&lt;='Rules'!$B$15,'Queries'!C961&gt;='Rules'!$B$14,'Queries'!D961&lt;'Rules'!$B$16),1,0)</x:f>
        <x:v>0</x:v>
      </x:c>
      <x:c r="G961" s="16" t="n">
        <x:v>1</x:v>
      </x:c>
      <x:c r="H961" s="16" t="n">
        <x:v>1</x:v>
      </x:c>
      <x:c r="I961" s="16" t="n">
        <x:f>ROUND((B961*'Rules'!$B$6+C961/'Rules'!$B$12*'Rules'!$B$7+D961*'Rules'!$B$8+E961*'Rules'!$B$9+F961*'Rules'!$B$10+G961*'Rules'!$B$11)*H961,1)</x:f>
        <x:v>68.2</x:v>
      </x:c>
      <x:c r="J961" s="18" t="n">
        <x:f>'Queries'!C961*'Queries'!E961</x:f>
        <x:v>278.04</x:v>
      </x:c>
    </x:row>
    <x:row r="962" ht="32" customHeight="1">
      <x:c r="A962" s="6" t="str">
        <x:v>mercedes performance tuning</x:v>
      </x:c>
      <x:c r="B962" s="16" t="n">
        <x:v>0.8</x:v>
      </x:c>
      <x:c r="C962" s="16" t="n">
        <x:v>5</x:v>
      </x:c>
      <x:c r="D962" s="16" t="n">
        <x:f>IF('Queries'!E962&lt;='Rules'!$B$17,'Rules'!$B$21,IF('Queries'!E962&lt;='Rules'!$B$18,'Rules'!$B$22,IF('Queries'!E962&lt;='Rules'!$B$19,'Rules'!$B$23,IF('Queries'!E962&lt;='Rules'!$B$20,'Rules'!$B$24,'Rules'!$B$25))))</x:f>
        <x:v>0.7</x:v>
      </x:c>
      <x:c r="E962" s="16" t="n">
        <x:f>MIN(LOG10(1+'Queries'!C962)/'Rules'!$B$13,1)</x:f>
        <x:v>0.3713144507689467</x:v>
      </x:c>
      <x:c r="F962" s="16" t="n">
        <x:f>IF(AND('Queries'!E962&lt;='Rules'!$B$15,'Queries'!C962&gt;='Rules'!$B$14,'Queries'!D962&lt;'Rules'!$B$16),1,0)</x:f>
        <x:v>0</x:v>
      </x:c>
      <x:c r="G962" s="16" t="n">
        <x:v>1</x:v>
      </x:c>
      <x:c r="H962" s="16" t="n">
        <x:v>1</x:v>
      </x:c>
      <x:c r="I962" s="16" t="n">
        <x:f>ROUND((B962*'Rules'!$B$6+C962/'Rules'!$B$12*'Rules'!$B$7+D962*'Rules'!$B$8+E962*'Rules'!$B$9+F962*'Rules'!$B$10+G962*'Rules'!$B$11)*H962,1)</x:f>
        <x:v>71.2</x:v>
      </x:c>
      <x:c r="J962" s="18" t="n">
        <x:f>'Queries'!C962*'Queries'!E962</x:f>
        <x:v>282.96</x:v>
      </x:c>
    </x:row>
    <x:row r="963" ht="32" customHeight="1">
      <x:c r="A963" s="6" t="str">
        <x:v>mercedes inspection dubai</x:v>
      </x:c>
      <x:c r="B963" s="16" t="n">
        <x:v>1</x:v>
      </x:c>
      <x:c r="C963" s="16" t="n">
        <x:v>5</x:v>
      </x:c>
      <x:c r="D963" s="16" t="n">
        <x:f>IF('Queries'!E963&lt;='Rules'!$B$17,'Rules'!$B$21,IF('Queries'!E963&lt;='Rules'!$B$18,'Rules'!$B$22,IF('Queries'!E963&lt;='Rules'!$B$19,'Rules'!$B$23,IF('Queries'!E963&lt;='Rules'!$B$20,'Rules'!$B$24,'Rules'!$B$25))))</x:f>
        <x:v>0.7</x:v>
      </x:c>
      <x:c r="E963" s="16" t="n">
        <x:f>MIN(LOG10(1+'Queries'!C963)/'Rules'!$B$13,1)</x:f>
        <x:v>0.3713144507689467</x:v>
      </x:c>
      <x:c r="F963" s="16" t="n">
        <x:f>IF(AND('Queries'!E963&lt;='Rules'!$B$15,'Queries'!C963&gt;='Rules'!$B$14,'Queries'!D963&lt;'Rules'!$B$16),1,0)</x:f>
        <x:v>0</x:v>
      </x:c>
      <x:c r="G963" s="16" t="n">
        <x:v>1</x:v>
      </x:c>
      <x:c r="H963" s="16" t="n">
        <x:v>1</x:v>
      </x:c>
      <x:c r="I963" s="16" t="n">
        <x:f>ROUND((B963*'Rules'!$B$6+C963/'Rules'!$B$12*'Rules'!$B$7+D963*'Rules'!$B$8+E963*'Rules'!$B$9+F963*'Rules'!$B$10+G963*'Rules'!$B$11)*H963,1)</x:f>
        <x:v>76.2</x:v>
      </x:c>
      <x:c r="J963" s="18" t="n">
        <x:f>'Queries'!C963*'Queries'!E963</x:f>
        <x:v>296.04</x:v>
      </x:c>
    </x:row>
    <x:row r="964" ht="32" customHeight="1">
      <x:c r="A964" s="6" t="str">
        <x:v>timing chain specialist</x:v>
      </x:c>
      <x:c r="B964" s="16" t="n">
        <x:v>0.8</x:v>
      </x:c>
      <x:c r="C964" s="16" t="n">
        <x:v>3</x:v>
      </x:c>
      <x:c r="D964" s="16" t="n">
        <x:f>IF('Queries'!E964&lt;='Rules'!$B$17,'Rules'!$B$21,IF('Queries'!E964&lt;='Rules'!$B$18,'Rules'!$B$22,IF('Queries'!E964&lt;='Rules'!$B$19,'Rules'!$B$23,IF('Queries'!E964&lt;='Rules'!$B$20,'Rules'!$B$24,'Rules'!$B$25))))</x:f>
        <x:v>0.7</x:v>
      </x:c>
      <x:c r="E964" s="16" t="n">
        <x:f>MIN(LOG10(1+'Queries'!C964)/'Rules'!$B$13,1)</x:f>
        <x:v>0.3713144507689467</x:v>
      </x:c>
      <x:c r="F964" s="16" t="n">
        <x:f>IF(AND('Queries'!E964&lt;='Rules'!$B$15,'Queries'!C964&gt;='Rules'!$B$14,'Queries'!D964&lt;'Rules'!$B$16),1,0)</x:f>
        <x:v>0</x:v>
      </x:c>
      <x:c r="G964" s="16" t="n">
        <x:v>1</x:v>
      </x:c>
      <x:c r="H964" s="16" t="n">
        <x:v>1</x:v>
      </x:c>
      <x:c r="I964" s="16" t="n">
        <x:f>ROUND((B964*'Rules'!$B$6+C964/'Rules'!$B$12*'Rules'!$B$7+D964*'Rules'!$B$8+E964*'Rules'!$B$9+F964*'Rules'!$B$10+G964*'Rules'!$B$11)*H964,1)</x:f>
        <x:v>63.2</x:v>
      </x:c>
      <x:c r="J964" s="18" t="n">
        <x:f>'Queries'!C964*'Queries'!E964</x:f>
        <x:v>302.04</x:v>
      </x:c>
    </x:row>
    <x:row r="965" ht="32" customHeight="1">
      <x:c r="A965" s="6" t="str">
        <x:v>engine oil change near me</x:v>
      </x:c>
      <x:c r="B965" s="16" t="n">
        <x:v>1</x:v>
      </x:c>
      <x:c r="C965" s="16" t="n">
        <x:v>3</x:v>
      </x:c>
      <x:c r="D965" s="16" t="n">
        <x:f>IF('Queries'!E965&lt;='Rules'!$B$17,'Rules'!$B$21,IF('Queries'!E965&lt;='Rules'!$B$18,'Rules'!$B$22,IF('Queries'!E965&lt;='Rules'!$B$19,'Rules'!$B$23,IF('Queries'!E965&lt;='Rules'!$B$20,'Rules'!$B$24,'Rules'!$B$25))))</x:f>
        <x:v>0.7</x:v>
      </x:c>
      <x:c r="E965" s="16" t="n">
        <x:f>MIN(LOG10(1+'Queries'!C965)/'Rules'!$B$13,1)</x:f>
        <x:v>0.3713144507689467</x:v>
      </x:c>
      <x:c r="F965" s="16" t="n">
        <x:f>IF(AND('Queries'!E965&lt;='Rules'!$B$15,'Queries'!C965&gt;='Rules'!$B$14,'Queries'!D965&lt;'Rules'!$B$16),1,0)</x:f>
        <x:v>0</x:v>
      </x:c>
      <x:c r="G965" s="16" t="n">
        <x:v>1</x:v>
      </x:c>
      <x:c r="H965" s="16" t="n">
        <x:v>1</x:v>
      </x:c>
      <x:c r="I965" s="16" t="n">
        <x:f>ROUND((B965*'Rules'!$B$6+C965/'Rules'!$B$12*'Rules'!$B$7+D965*'Rules'!$B$8+E965*'Rules'!$B$9+F965*'Rules'!$B$10+G965*'Rules'!$B$11)*H965,1)</x:f>
        <x:v>68.2</x:v>
      </x:c>
      <x:c r="J965" s="18" t="n">
        <x:f>'Queries'!C965*'Queries'!E965</x:f>
        <x:v>308.04</x:v>
      </x:c>
    </x:row>
    <x:row r="966" ht="32" customHeight="1">
      <x:c r="A966" s="6" t="str">
        <x:v>amg performance tuning</x:v>
      </x:c>
      <x:c r="B966" s="16" t="n">
        <x:v>0.8</x:v>
      </x:c>
      <x:c r="C966" s="16" t="n">
        <x:v>5</x:v>
      </x:c>
      <x:c r="D966" s="16" t="n">
        <x:f>IF('Queries'!E966&lt;='Rules'!$B$17,'Rules'!$B$21,IF('Queries'!E966&lt;='Rules'!$B$18,'Rules'!$B$22,IF('Queries'!E966&lt;='Rules'!$B$19,'Rules'!$B$23,IF('Queries'!E966&lt;='Rules'!$B$20,'Rules'!$B$24,'Rules'!$B$25))))</x:f>
        <x:v>0.7</x:v>
      </x:c>
      <x:c r="E966" s="16" t="n">
        <x:f>MIN(LOG10(1+'Queries'!C966)/'Rules'!$B$13,1)</x:f>
        <x:v>0.3713144507689467</x:v>
      </x:c>
      <x:c r="F966" s="16" t="n">
        <x:f>IF(AND('Queries'!E966&lt;='Rules'!$B$15,'Queries'!C966&gt;='Rules'!$B$14,'Queries'!D966&lt;'Rules'!$B$16),1,0)</x:f>
        <x:v>0</x:v>
      </x:c>
      <x:c r="G966" s="16" t="n">
        <x:v>1</x:v>
      </x:c>
      <x:c r="H966" s="16" t="n">
        <x:v>1</x:v>
      </x:c>
      <x:c r="I966" s="16" t="n">
        <x:f>ROUND((B966*'Rules'!$B$6+C966/'Rules'!$B$12*'Rules'!$B$7+D966*'Rules'!$B$8+E966*'Rules'!$B$9+F966*'Rules'!$B$10+G966*'Rules'!$B$11)*H966,1)</x:f>
        <x:v>71.2</x:v>
      </x:c>
      <x:c r="J966" s="18" t="n">
        <x:f>'Queries'!C966*'Queries'!E966</x:f>
        <x:v>312.96</x:v>
      </x:c>
    </x:row>
    <x:row r="967" ht="32" customHeight="1">
      <x:c r="A967" s="6" t="str">
        <x:v>road assistance dubai</x:v>
      </x:c>
      <x:c r="B967" s="16" t="n">
        <x:v>1</x:v>
      </x:c>
      <x:c r="C967" s="16" t="n">
        <x:v>1</x:v>
      </x:c>
      <x:c r="D967" s="16" t="n">
        <x:f>IF('Queries'!E967&lt;='Rules'!$B$17,'Rules'!$B$21,IF('Queries'!E967&lt;='Rules'!$B$18,'Rules'!$B$22,IF('Queries'!E967&lt;='Rules'!$B$19,'Rules'!$B$23,IF('Queries'!E967&lt;='Rules'!$B$20,'Rules'!$B$24,'Rules'!$B$25))))</x:f>
        <x:v>0.7</x:v>
      </x:c>
      <x:c r="E967" s="16" t="n">
        <x:f>MIN(LOG10(1+'Queries'!C967)/'Rules'!$B$13,1)</x:f>
        <x:v>0.3713144507689467</x:v>
      </x:c>
      <x:c r="F967" s="16" t="n">
        <x:f>IF(AND('Queries'!E967&lt;='Rules'!$B$15,'Queries'!C967&gt;='Rules'!$B$14,'Queries'!D967&lt;'Rules'!$B$16),1,0)</x:f>
        <x:v>0</x:v>
      </x:c>
      <x:c r="G967" s="16" t="n">
        <x:v>1</x:v>
      </x:c>
      <x:c r="H967" s="16" t="n">
        <x:v>0.1</x:v>
      </x:c>
      <x:c r="I967" s="16" t="n">
        <x:f>ROUND((B967*'Rules'!$B$6+C967/'Rules'!$B$12*'Rules'!$B$7+D967*'Rules'!$B$8+E967*'Rules'!$B$9+F967*'Rules'!$B$10+G967*'Rules'!$B$11)*H967,1)</x:f>
        <x:v>6</x:v>
      </x:c>
      <x:c r="J967" s="18" t="n">
        <x:f>'Queries'!C967*'Queries'!E967</x:f>
        <x:v>351.96</x:v>
      </x:c>
    </x:row>
    <x:row r="968" ht="32" customHeight="1">
      <x:c r="A968" s="6" t="str">
        <x:v>mercedes authorized service near me</x:v>
      </x:c>
      <x:c r="B968" s="16" t="n">
        <x:v>0</x:v>
      </x:c>
      <x:c r="C968" s="16" t="n">
        <x:v>0</x:v>
      </x:c>
      <x:c r="D968" s="16" t="n">
        <x:f>IF('Queries'!E968&lt;='Rules'!$B$17,'Rules'!$B$21,IF('Queries'!E968&lt;='Rules'!$B$18,'Rules'!$B$22,IF('Queries'!E968&lt;='Rules'!$B$19,'Rules'!$B$23,IF('Queries'!E968&lt;='Rules'!$B$20,'Rules'!$B$24,'Rules'!$B$25))))</x:f>
        <x:v>0.7</x:v>
      </x:c>
      <x:c r="E968" s="16" t="n">
        <x:f>MIN(LOG10(1+'Queries'!C968)/'Rules'!$B$13,1)</x:f>
        <x:v>0.3713144507689467</x:v>
      </x:c>
      <x:c r="F968" s="16" t="n">
        <x:f>IF(AND('Queries'!E968&lt;='Rules'!$B$15,'Queries'!C968&gt;='Rules'!$B$14,'Queries'!D968&lt;'Rules'!$B$16),1,0)</x:f>
        <x:v>0</x:v>
      </x:c>
      <x:c r="G968" s="16" t="n">
        <x:v>0</x:v>
      </x:c>
      <x:c r="H968" s="16" t="n">
        <x:v>0</x:v>
      </x:c>
      <x:c r="I968" s="16" t="n">
        <x:f>ROUND((B968*'Rules'!$B$6+C968/'Rules'!$B$12*'Rules'!$B$7+D968*'Rules'!$B$8+E968*'Rules'!$B$9+F968*'Rules'!$B$10+G968*'Rules'!$B$11)*H968,1)</x:f>
        <x:v>0</x:v>
      </x:c>
      <x:c r="J968" s="18" t="n">
        <x:f>'Queries'!C968*'Queries'!E968</x:f>
        <x:v>353.04</x:v>
      </x:c>
    </x:row>
    <x:row r="969" ht="32" customHeight="1">
      <x:c r="A969" s="6" t="str">
        <x:v>nissan service centre</x:v>
      </x:c>
      <x:c r="B969" s="16" t="n">
        <x:v>0.8</x:v>
      </x:c>
      <x:c r="C969" s="16" t="n">
        <x:v>3</x:v>
      </x:c>
      <x:c r="D969" s="16" t="n">
        <x:f>IF('Queries'!E969&lt;='Rules'!$B$17,'Rules'!$B$21,IF('Queries'!E969&lt;='Rules'!$B$18,'Rules'!$B$22,IF('Queries'!E969&lt;='Rules'!$B$19,'Rules'!$B$23,IF('Queries'!E969&lt;='Rules'!$B$20,'Rules'!$B$24,'Rules'!$B$25))))</x:f>
        <x:v>0.4</x:v>
      </x:c>
      <x:c r="E969" s="16" t="n">
        <x:f>MIN(LOG10(1+'Queries'!C969)/'Rules'!$B$13,1)</x:f>
        <x:v>0.3713144507689467</x:v>
      </x:c>
      <x:c r="F969" s="16" t="n">
        <x:f>IF(AND('Queries'!E969&lt;='Rules'!$B$15,'Queries'!C969&gt;='Rules'!$B$14,'Queries'!D969&lt;'Rules'!$B$16),1,0)</x:f>
        <x:v>0</x:v>
      </x:c>
      <x:c r="G969" s="16" t="n">
        <x:v>1</x:v>
      </x:c>
      <x:c r="H969" s="16" t="n">
        <x:v>1</x:v>
      </x:c>
      <x:c r="I969" s="16" t="n">
        <x:f>ROUND((B969*'Rules'!$B$6+C969/'Rules'!$B$12*'Rules'!$B$7+D969*'Rules'!$B$8+E969*'Rules'!$B$9+F969*'Rules'!$B$10+G969*'Rules'!$B$11)*H969,1)</x:f>
        <x:v>55.7</x:v>
      </x:c>
      <x:c r="J969" s="18" t="n">
        <x:f>'Queries'!C969*'Queries'!E969</x:f>
        <x:v>360.96</x:v>
      </x:c>
    </x:row>
    <x:row r="970" ht="32" customHeight="1">
      <x:c r="A970" s="6" t="str">
        <x:v>gearbox repair near me</x:v>
      </x:c>
      <x:c r="B970" s="16" t="n">
        <x:v>1</x:v>
      </x:c>
      <x:c r="C970" s="16" t="n">
        <x:v>3</x:v>
      </x:c>
      <x:c r="D970" s="16" t="n">
        <x:f>IF('Queries'!E970&lt;='Rules'!$B$17,'Rules'!$B$21,IF('Queries'!E970&lt;='Rules'!$B$18,'Rules'!$B$22,IF('Queries'!E970&lt;='Rules'!$B$19,'Rules'!$B$23,IF('Queries'!E970&lt;='Rules'!$B$20,'Rules'!$B$24,'Rules'!$B$25))))</x:f>
        <x:v>0.4</x:v>
      </x:c>
      <x:c r="E970" s="16" t="n">
        <x:f>MIN(LOG10(1+'Queries'!C970)/'Rules'!$B$13,1)</x:f>
        <x:v>0.3713144507689467</x:v>
      </x:c>
      <x:c r="F970" s="16" t="n">
        <x:f>IF(AND('Queries'!E970&lt;='Rules'!$B$15,'Queries'!C970&gt;='Rules'!$B$14,'Queries'!D970&lt;'Rules'!$B$16),1,0)</x:f>
        <x:v>0</x:v>
      </x:c>
      <x:c r="G970" s="16" t="n">
        <x:v>1</x:v>
      </x:c>
      <x:c r="H970" s="16" t="n">
        <x:v>1</x:v>
      </x:c>
      <x:c r="I970" s="16" t="n">
        <x:f>ROUND((B970*'Rules'!$B$6+C970/'Rules'!$B$12*'Rules'!$B$7+D970*'Rules'!$B$8+E970*'Rules'!$B$9+F970*'Rules'!$B$10+G970*'Rules'!$B$11)*H970,1)</x:f>
        <x:v>60.7</x:v>
      </x:c>
      <x:c r="J970" s="18" t="n">
        <x:f>'Queries'!C970*'Queries'!E970</x:f>
        <x:v>366.96</x:v>
      </x:c>
    </x:row>
    <x:row r="971" ht="32" customHeight="1">
      <x:c r="A971" s="6" t="str">
        <x:v>bmw repair specialist in dubai</x:v>
      </x:c>
      <x:c r="B971" s="16" t="n">
        <x:v>1</x:v>
      </x:c>
      <x:c r="C971" s="16" t="n">
        <x:v>5</x:v>
      </x:c>
      <x:c r="D971" s="16" t="n">
        <x:f>IF('Queries'!E971&lt;='Rules'!$B$17,'Rules'!$B$21,IF('Queries'!E971&lt;='Rules'!$B$18,'Rules'!$B$22,IF('Queries'!E971&lt;='Rules'!$B$19,'Rules'!$B$23,IF('Queries'!E971&lt;='Rules'!$B$20,'Rules'!$B$24,'Rules'!$B$25))))</x:f>
        <x:v>0.4</x:v>
      </x:c>
      <x:c r="E971" s="16" t="n">
        <x:f>MIN(LOG10(1+'Queries'!C971)/'Rules'!$B$13,1)</x:f>
        <x:v>0.3713144507689467</x:v>
      </x:c>
      <x:c r="F971" s="16" t="n">
        <x:f>IF(AND('Queries'!E971&lt;='Rules'!$B$15,'Queries'!C971&gt;='Rules'!$B$14,'Queries'!D971&lt;'Rules'!$B$16),1,0)</x:f>
        <x:v>0</x:v>
      </x:c>
      <x:c r="G971" s="16" t="n">
        <x:v>1</x:v>
      </x:c>
      <x:c r="H971" s="16" t="n">
        <x:v>1</x:v>
      </x:c>
      <x:c r="I971" s="16" t="n">
        <x:f>ROUND((B971*'Rules'!$B$6+C971/'Rules'!$B$12*'Rules'!$B$7+D971*'Rules'!$B$8+E971*'Rules'!$B$9+F971*'Rules'!$B$10+G971*'Rules'!$B$11)*H971,1)</x:f>
        <x:v>68.7</x:v>
      </x:c>
      <x:c r="J971" s="18" t="n">
        <x:f>'Queries'!C971*'Queries'!E971</x:f>
        <x:v>372.96</x:v>
      </x:c>
    </x:row>
    <x:row r="972" ht="32" customHeight="1">
      <x:c r="A972" s="6" t="str">
        <x:v>body repair services</x:v>
      </x:c>
      <x:c r="B972" s="16" t="n">
        <x:v>0.8</x:v>
      </x:c>
      <x:c r="C972" s="16" t="n">
        <x:v>3</x:v>
      </x:c>
      <x:c r="D972" s="16" t="n">
        <x:f>IF('Queries'!E972&lt;='Rules'!$B$17,'Rules'!$B$21,IF('Queries'!E972&lt;='Rules'!$B$18,'Rules'!$B$22,IF('Queries'!E972&lt;='Rules'!$B$19,'Rules'!$B$23,IF('Queries'!E972&lt;='Rules'!$B$20,'Rules'!$B$24,'Rules'!$B$25))))</x:f>
        <x:v>0.4</x:v>
      </x:c>
      <x:c r="E972" s="16" t="n">
        <x:f>MIN(LOG10(1+'Queries'!C972)/'Rules'!$B$13,1)</x:f>
        <x:v>0.3713144507689467</x:v>
      </x:c>
      <x:c r="F972" s="16" t="n">
        <x:f>IF(AND('Queries'!E972&lt;='Rules'!$B$15,'Queries'!C972&gt;='Rules'!$B$14,'Queries'!D972&lt;'Rules'!$B$16),1,0)</x:f>
        <x:v>0</x:v>
      </x:c>
      <x:c r="G972" s="16" t="n">
        <x:v>1</x:v>
      </x:c>
      <x:c r="H972" s="16" t="n">
        <x:v>1</x:v>
      </x:c>
      <x:c r="I972" s="16" t="n">
        <x:f>ROUND((B972*'Rules'!$B$6+C972/'Rules'!$B$12*'Rules'!$B$7+D972*'Rules'!$B$8+E972*'Rules'!$B$9+F972*'Rules'!$B$10+G972*'Rules'!$B$11)*H972,1)</x:f>
        <x:v>55.7</x:v>
      </x:c>
      <x:c r="J972" s="18" t="n">
        <x:f>'Queries'!C972*'Queries'!E972</x:f>
        <x:v>398.04</x:v>
      </x:c>
    </x:row>
    <x:row r="973" ht="32" customHeight="1">
      <x:c r="A973" s="6" t="str">
        <x:v>audi engine repair dubai</x:v>
      </x:c>
      <x:c r="B973" s="16" t="n">
        <x:v>1</x:v>
      </x:c>
      <x:c r="C973" s="16" t="n">
        <x:v>5</x:v>
      </x:c>
      <x:c r="D973" s="16" t="n">
        <x:f>IF('Queries'!E973&lt;='Rules'!$B$17,'Rules'!$B$21,IF('Queries'!E973&lt;='Rules'!$B$18,'Rules'!$B$22,IF('Queries'!E973&lt;='Rules'!$B$19,'Rules'!$B$23,IF('Queries'!E973&lt;='Rules'!$B$20,'Rules'!$B$24,'Rules'!$B$25))))</x:f>
        <x:v>0.4</x:v>
      </x:c>
      <x:c r="E973" s="16" t="n">
        <x:f>MIN(LOG10(1+'Queries'!C973)/'Rules'!$B$13,1)</x:f>
        <x:v>0.3713144507689467</x:v>
      </x:c>
      <x:c r="F973" s="16" t="n">
        <x:f>IF(AND('Queries'!E973&lt;='Rules'!$B$15,'Queries'!C973&gt;='Rules'!$B$14,'Queries'!D973&lt;'Rules'!$B$16),1,0)</x:f>
        <x:v>0</x:v>
      </x:c>
      <x:c r="G973" s="16" t="n">
        <x:v>1</x:v>
      </x:c>
      <x:c r="H973" s="16" t="n">
        <x:v>1</x:v>
      </x:c>
      <x:c r="I973" s="16" t="n">
        <x:f>ROUND((B973*'Rules'!$B$6+C973/'Rules'!$B$12*'Rules'!$B$7+D973*'Rules'!$B$8+E973*'Rules'!$B$9+F973*'Rules'!$B$10+G973*'Rules'!$B$11)*H973,1)</x:f>
        <x:v>68.7</x:v>
      </x:c>
      <x:c r="J973" s="18" t="n">
        <x:f>'Queries'!C973*'Queries'!E973</x:f>
        <x:v>402</x:v>
      </x:c>
    </x:row>
    <x:row r="974" ht="32" customHeight="1">
      <x:c r="A974" s="6" t="str">
        <x:v>car mechanical repair dubai</x:v>
      </x:c>
      <x:c r="B974" s="16" t="n">
        <x:v>1</x:v>
      </x:c>
      <x:c r="C974" s="16" t="n">
        <x:v>3</x:v>
      </x:c>
      <x:c r="D974" s="16" t="n">
        <x:f>IF('Queries'!E974&lt;='Rules'!$B$17,'Rules'!$B$21,IF('Queries'!E974&lt;='Rules'!$B$18,'Rules'!$B$22,IF('Queries'!E974&lt;='Rules'!$B$19,'Rules'!$B$23,IF('Queries'!E974&lt;='Rules'!$B$20,'Rules'!$B$24,'Rules'!$B$25))))</x:f>
        <x:v>0.4</x:v>
      </x:c>
      <x:c r="E974" s="16" t="n">
        <x:f>MIN(LOG10(1+'Queries'!C974)/'Rules'!$B$13,1)</x:f>
        <x:v>0.3713144507689467</x:v>
      </x:c>
      <x:c r="F974" s="16" t="n">
        <x:f>IF(AND('Queries'!E974&lt;='Rules'!$B$15,'Queries'!C974&gt;='Rules'!$B$14,'Queries'!D974&lt;'Rules'!$B$16),1,0)</x:f>
        <x:v>0</x:v>
      </x:c>
      <x:c r="G974" s="16" t="n">
        <x:v>1</x:v>
      </x:c>
      <x:c r="H974" s="16" t="n">
        <x:v>1</x:v>
      </x:c>
      <x:c r="I974" s="16" t="n">
        <x:f>ROUND((B974*'Rules'!$B$6+C974/'Rules'!$B$12*'Rules'!$B$7+D974*'Rules'!$B$8+E974*'Rules'!$B$9+F974*'Rules'!$B$10+G974*'Rules'!$B$11)*H974,1)</x:f>
        <x:v>60.7</x:v>
      </x:c>
      <x:c r="J974" s="18" t="n">
        <x:f>'Queries'!C974*'Queries'!E974</x:f>
        <x:v>426.96</x:v>
      </x:c>
    </x:row>
    <x:row r="975" ht="32" customHeight="1">
      <x:c r="A975" s="6" t="str">
        <x:v>auto suspension repair</x:v>
      </x:c>
      <x:c r="B975" s="16" t="n">
        <x:v>0.8</x:v>
      </x:c>
      <x:c r="C975" s="16" t="n">
        <x:v>3</x:v>
      </x:c>
      <x:c r="D975" s="16" t="n">
        <x:f>IF('Queries'!E975&lt;='Rules'!$B$17,'Rules'!$B$21,IF('Queries'!E975&lt;='Rules'!$B$18,'Rules'!$B$22,IF('Queries'!E975&lt;='Rules'!$B$19,'Rules'!$B$23,IF('Queries'!E975&lt;='Rules'!$B$20,'Rules'!$B$24,'Rules'!$B$25))))</x:f>
        <x:v>0.15</x:v>
      </x:c>
      <x:c r="E975" s="16" t="n">
        <x:f>MIN(LOG10(1+'Queries'!C975)/'Rules'!$B$13,1)</x:f>
        <x:v>0.3713144507689467</x:v>
      </x:c>
      <x:c r="F975" s="16" t="n">
        <x:f>IF(AND('Queries'!E975&lt;='Rules'!$B$15,'Queries'!C975&gt;='Rules'!$B$14,'Queries'!D975&lt;'Rules'!$B$16),1,0)</x:f>
        <x:v>0</x:v>
      </x:c>
      <x:c r="G975" s="16" t="n">
        <x:v>1</x:v>
      </x:c>
      <x:c r="H975" s="16" t="n">
        <x:v>1</x:v>
      </x:c>
      <x:c r="I975" s="16" t="n">
        <x:f>ROUND((B975*'Rules'!$B$6+C975/'Rules'!$B$12*'Rules'!$B$7+D975*'Rules'!$B$8+E975*'Rules'!$B$9+F975*'Rules'!$B$10+G975*'Rules'!$B$11)*H975,1)</x:f>
        <x:v>49.5</x:v>
      </x:c>
      <x:c r="J975" s="18" t="n">
        <x:f>'Queries'!C975*'Queries'!E975</x:f>
        <x:v>492.96</x:v>
      </x:c>
    </x:row>
    <x:row r="976" ht="32" customHeight="1">
      <x:c r="A976" s="6" t="str">
        <x:v>porsche service dubai investment park</x:v>
      </x:c>
      <x:c r="B976" s="16" t="n">
        <x:v>1</x:v>
      </x:c>
      <x:c r="C976" s="16" t="n">
        <x:v>5</x:v>
      </x:c>
      <x:c r="D976" s="16" t="n">
        <x:f>IF('Queries'!E976&lt;='Rules'!$B$17,'Rules'!$B$21,IF('Queries'!E976&lt;='Rules'!$B$18,'Rules'!$B$22,IF('Queries'!E976&lt;='Rules'!$B$19,'Rules'!$B$23,IF('Queries'!E976&lt;='Rules'!$B$20,'Rules'!$B$24,'Rules'!$B$25))))</x:f>
        <x:v>0.15</x:v>
      </x:c>
      <x:c r="E976" s="16" t="n">
        <x:f>MIN(LOG10(1+'Queries'!C976)/'Rules'!$B$13,1)</x:f>
        <x:v>0.3713144507689467</x:v>
      </x:c>
      <x:c r="F976" s="16" t="n">
        <x:f>IF(AND('Queries'!E976&lt;='Rules'!$B$15,'Queries'!C976&gt;='Rules'!$B$14,'Queries'!D976&lt;'Rules'!$B$16),1,0)</x:f>
        <x:v>0</x:v>
      </x:c>
      <x:c r="G976" s="16" t="n">
        <x:v>1</x:v>
      </x:c>
      <x:c r="H976" s="16" t="n">
        <x:v>1</x:v>
      </x:c>
      <x:c r="I976" s="16" t="n">
        <x:f>ROUND((B976*'Rules'!$B$6+C976/'Rules'!$B$12*'Rules'!$B$7+D976*'Rules'!$B$8+E976*'Rules'!$B$9+F976*'Rules'!$B$10+G976*'Rules'!$B$11)*H976,1)</x:f>
        <x:v>62.5</x:v>
      </x:c>
      <x:c r="J976" s="18" t="n">
        <x:f>'Queries'!C976*'Queries'!E976</x:f>
        <x:v>494.04</x:v>
      </x:c>
    </x:row>
    <x:row r="977" ht="32" customHeight="1">
      <x:c r="A977" s="6" t="str">
        <x:v>car battery replacement delivery</x:v>
      </x:c>
      <x:c r="B977" s="16" t="n">
        <x:v>1</x:v>
      </x:c>
      <x:c r="C977" s="16" t="n">
        <x:v>1</x:v>
      </x:c>
      <x:c r="D977" s="16" t="n">
        <x:f>IF('Queries'!E977&lt;='Rules'!$B$17,'Rules'!$B$21,IF('Queries'!E977&lt;='Rules'!$B$18,'Rules'!$B$22,IF('Queries'!E977&lt;='Rules'!$B$19,'Rules'!$B$23,IF('Queries'!E977&lt;='Rules'!$B$20,'Rules'!$B$24,'Rules'!$B$25))))</x:f>
        <x:v>0.15</x:v>
      </x:c>
      <x:c r="E977" s="16" t="n">
        <x:f>MIN(LOG10(1+'Queries'!C977)/'Rules'!$B$13,1)</x:f>
        <x:v>0.3713144507689467</x:v>
      </x:c>
      <x:c r="F977" s="16" t="n">
        <x:f>IF(AND('Queries'!E977&lt;='Rules'!$B$15,'Queries'!C977&gt;='Rules'!$B$14,'Queries'!D977&lt;'Rules'!$B$16),1,0)</x:f>
        <x:v>0</x:v>
      </x:c>
      <x:c r="G977" s="16" t="n">
        <x:v>1</x:v>
      </x:c>
      <x:c r="H977" s="16" t="n">
        <x:v>0.1</x:v>
      </x:c>
      <x:c r="I977" s="16" t="n">
        <x:f>ROUND((B977*'Rules'!$B$6+C977/'Rules'!$B$12*'Rules'!$B$7+D977*'Rules'!$B$8+E977*'Rules'!$B$9+F977*'Rules'!$B$10+G977*'Rules'!$B$11)*H977,1)</x:f>
        <x:v>4.6</x:v>
      </x:c>
      <x:c r="J977" s="18" t="n">
        <x:f>'Queries'!C977*'Queries'!E977</x:f>
        <x:v>539.04</x:v>
      </x:c>
    </x:row>
    <x:row r="978" ht="32" customHeight="1">
      <x:c r="A978" s="6" t="str">
        <x:v>jeep repair</x:v>
      </x:c>
      <x:c r="B978" s="16" t="n">
        <x:v>0.8</x:v>
      </x:c>
      <x:c r="C978" s="16" t="n">
        <x:v>3</x:v>
      </x:c>
      <x:c r="D978" s="16" t="n">
        <x:f>IF('Queries'!E978&lt;='Rules'!$B$17,'Rules'!$B$21,IF('Queries'!E978&lt;='Rules'!$B$18,'Rules'!$B$22,IF('Queries'!E978&lt;='Rules'!$B$19,'Rules'!$B$23,IF('Queries'!E978&lt;='Rules'!$B$20,'Rules'!$B$24,'Rules'!$B$25))))</x:f>
        <x:v>0.15</x:v>
      </x:c>
      <x:c r="E978" s="16" t="n">
        <x:f>MIN(LOG10(1+'Queries'!C978)/'Rules'!$B$13,1)</x:f>
        <x:v>0.3713144507689467</x:v>
      </x:c>
      <x:c r="F978" s="16" t="n">
        <x:f>IF(AND('Queries'!E978&lt;='Rules'!$B$15,'Queries'!C978&gt;='Rules'!$B$14,'Queries'!D978&lt;'Rules'!$B$16),1,0)</x:f>
        <x:v>0</x:v>
      </x:c>
      <x:c r="G978" s="16" t="n">
        <x:v>1</x:v>
      </x:c>
      <x:c r="H978" s="16" t="n">
        <x:v>1</x:v>
      </x:c>
      <x:c r="I978" s="16" t="n">
        <x:f>ROUND((B978*'Rules'!$B$6+C978/'Rules'!$B$12*'Rules'!$B$7+D978*'Rules'!$B$8+E978*'Rules'!$B$9+F978*'Rules'!$B$10+G978*'Rules'!$B$11)*H978,1)</x:f>
        <x:v>49.5</x:v>
      </x:c>
      <x:c r="J978" s="18" t="n">
        <x:f>'Queries'!C978*'Queries'!E978</x:f>
        <x:v>563.04</x:v>
      </x:c>
    </x:row>
    <x:row r="979" ht="32" customHeight="1">
      <x:c r="A979" s="6" t="str">
        <x:v>best oil change in dubai</x:v>
      </x:c>
      <x:c r="B979" s="16" t="n">
        <x:v>1</x:v>
      </x:c>
      <x:c r="C979" s="16" t="n">
        <x:v>3</x:v>
      </x:c>
      <x:c r="D979" s="16" t="n">
        <x:f>IF('Queries'!E979&lt;='Rules'!$B$17,'Rules'!$B$21,IF('Queries'!E979&lt;='Rules'!$B$18,'Rules'!$B$22,IF('Queries'!E979&lt;='Rules'!$B$19,'Rules'!$B$23,IF('Queries'!E979&lt;='Rules'!$B$20,'Rules'!$B$24,'Rules'!$B$25))))</x:f>
        <x:v>0.15</x:v>
      </x:c>
      <x:c r="E979" s="16" t="n">
        <x:f>MIN(LOG10(1+'Queries'!C979)/'Rules'!$B$13,1)</x:f>
        <x:v>0.3713144507689467</x:v>
      </x:c>
      <x:c r="F979" s="16" t="n">
        <x:f>IF(AND('Queries'!E979&lt;='Rules'!$B$15,'Queries'!C979&gt;='Rules'!$B$14,'Queries'!D979&lt;'Rules'!$B$16),1,0)</x:f>
        <x:v>0</x:v>
      </x:c>
      <x:c r="G979" s="16" t="n">
        <x:v>1</x:v>
      </x:c>
      <x:c r="H979" s="16" t="n">
        <x:v>1</x:v>
      </x:c>
      <x:c r="I979" s="16" t="n">
        <x:f>ROUND((B979*'Rules'!$B$6+C979/'Rules'!$B$12*'Rules'!$B$7+D979*'Rules'!$B$8+E979*'Rules'!$B$9+F979*'Rules'!$B$10+G979*'Rules'!$B$11)*H979,1)</x:f>
        <x:v>54.5</x:v>
      </x:c>
      <x:c r="J979" s="18" t="n">
        <x:f>'Queries'!C979*'Queries'!E979</x:f>
        <x:v>566.04</x:v>
      </x:c>
    </x:row>
    <x:row r="980" ht="32" customHeight="1">
      <x:c r="A980" s="6" t="str">
        <x:v>oil change shops</x:v>
      </x:c>
      <x:c r="B980" s="16" t="n">
        <x:v>0.8</x:v>
      </x:c>
      <x:c r="C980" s="16" t="n">
        <x:v>3</x:v>
      </x:c>
      <x:c r="D980" s="16" t="n">
        <x:f>IF('Queries'!E980&lt;='Rules'!$B$17,'Rules'!$B$21,IF('Queries'!E980&lt;='Rules'!$B$18,'Rules'!$B$22,IF('Queries'!E980&lt;='Rules'!$B$19,'Rules'!$B$23,IF('Queries'!E980&lt;='Rules'!$B$20,'Rules'!$B$24,'Rules'!$B$25))))</x:f>
        <x:v>0.15</x:v>
      </x:c>
      <x:c r="E980" s="16" t="n">
        <x:f>MIN(LOG10(1+'Queries'!C980)/'Rules'!$B$13,1)</x:f>
        <x:v>0.3713144507689467</x:v>
      </x:c>
      <x:c r="F980" s="16" t="n">
        <x:f>IF(AND('Queries'!E980&lt;='Rules'!$B$15,'Queries'!C980&gt;='Rules'!$B$14,'Queries'!D980&lt;'Rules'!$B$16),1,0)</x:f>
        <x:v>0</x:v>
      </x:c>
      <x:c r="G980" s="16" t="n">
        <x:v>1</x:v>
      </x:c>
      <x:c r="H980" s="16" t="n">
        <x:v>1</x:v>
      </x:c>
      <x:c r="I980" s="16" t="n">
        <x:f>ROUND((B980*'Rules'!$B$6+C980/'Rules'!$B$12*'Rules'!$B$7+D980*'Rules'!$B$8+E980*'Rules'!$B$9+F980*'Rules'!$B$10+G980*'Rules'!$B$11)*H980,1)</x:f>
        <x:v>49.5</x:v>
      </x:c>
      <x:c r="J980" s="18" t="n">
        <x:f>'Queries'!C980*'Queries'!E980</x:f>
        <x:v>570.96</x:v>
      </x:c>
    </x:row>
    <x:row r="981" ht="32" customHeight="1">
      <x:c r="A981" s="6" t="str">
        <x:v>exhaust system</x:v>
      </x:c>
      <x:c r="B981" s="16" t="n">
        <x:v>0.8</x:v>
      </x:c>
      <x:c r="C981" s="16" t="n">
        <x:v>3</x:v>
      </x:c>
      <x:c r="D981" s="16" t="n">
        <x:f>IF('Queries'!E981&lt;='Rules'!$B$17,'Rules'!$B$21,IF('Queries'!E981&lt;='Rules'!$B$18,'Rules'!$B$22,IF('Queries'!E981&lt;='Rules'!$B$19,'Rules'!$B$23,IF('Queries'!E981&lt;='Rules'!$B$20,'Rules'!$B$24,'Rules'!$B$25))))</x:f>
        <x:v>0.15</x:v>
      </x:c>
      <x:c r="E981" s="16" t="n">
        <x:f>MIN(LOG10(1+'Queries'!C981)/'Rules'!$B$13,1)</x:f>
        <x:v>0.3713144507689467</x:v>
      </x:c>
      <x:c r="F981" s="16" t="n">
        <x:f>IF(AND('Queries'!E981&lt;='Rules'!$B$15,'Queries'!C981&gt;='Rules'!$B$14,'Queries'!D981&lt;'Rules'!$B$16),1,0)</x:f>
        <x:v>0</x:v>
      </x:c>
      <x:c r="G981" s="16" t="n">
        <x:v>1</x:v>
      </x:c>
      <x:c r="H981" s="16" t="n">
        <x:v>1</x:v>
      </x:c>
      <x:c r="I981" s="16" t="n">
        <x:f>ROUND((B981*'Rules'!$B$6+C981/'Rules'!$B$12*'Rules'!$B$7+D981*'Rules'!$B$8+E981*'Rules'!$B$9+F981*'Rules'!$B$10+G981*'Rules'!$B$11)*H981,1)</x:f>
        <x:v>49.5</x:v>
      </x:c>
      <x:c r="J981" s="18" t="n">
        <x:f>'Queries'!C981*'Queries'!E981</x:f>
        <x:v>582</x:v>
      </x:c>
    </x:row>
    <x:row r="982" ht="32" customHeight="1">
      <x:c r="A982" s="6" t="str">
        <x:v>premium ppf service uae</x:v>
      </x:c>
      <x:c r="B982" s="16" t="n">
        <x:v>0.8</x:v>
      </x:c>
      <x:c r="C982" s="16" t="n">
        <x:v>5</x:v>
      </x:c>
      <x:c r="D982" s="16" t="n">
        <x:f>IF('Queries'!E982&lt;='Rules'!$B$17,'Rules'!$B$21,IF('Queries'!E982&lt;='Rules'!$B$18,'Rules'!$B$22,IF('Queries'!E982&lt;='Rules'!$B$19,'Rules'!$B$23,IF('Queries'!E982&lt;='Rules'!$B$20,'Rules'!$B$24,'Rules'!$B$25))))</x:f>
        <x:v>0.15</x:v>
      </x:c>
      <x:c r="E982" s="16" t="n">
        <x:f>MIN(LOG10(1+'Queries'!C982)/'Rules'!$B$13,1)</x:f>
        <x:v>0.3713144507689467</x:v>
      </x:c>
      <x:c r="F982" s="16" t="n">
        <x:f>IF(AND('Queries'!E982&lt;='Rules'!$B$15,'Queries'!C982&gt;='Rules'!$B$14,'Queries'!D982&lt;'Rules'!$B$16),1,0)</x:f>
        <x:v>0</x:v>
      </x:c>
      <x:c r="G982" s="16" t="n">
        <x:v>1</x:v>
      </x:c>
      <x:c r="H982" s="16" t="n">
        <x:v>1</x:v>
      </x:c>
      <x:c r="I982" s="16" t="n">
        <x:f>ROUND((B982*'Rules'!$B$6+C982/'Rules'!$B$12*'Rules'!$B$7+D982*'Rules'!$B$8+E982*'Rules'!$B$9+F982*'Rules'!$B$10+G982*'Rules'!$B$11)*H982,1)</x:f>
        <x:v>57.5</x:v>
      </x:c>
      <x:c r="J982" s="18" t="n">
        <x:f>'Queries'!C982*'Queries'!E982</x:f>
        <x:v>614.04</x:v>
      </x:c>
    </x:row>
    <x:row r="983" ht="32" customHeight="1">
      <x:c r="A983" s="6" t="str">
        <x:v>bmw body shop</x:v>
      </x:c>
      <x:c r="B983" s="16" t="n">
        <x:v>0.8</x:v>
      </x:c>
      <x:c r="C983" s="16" t="n">
        <x:v>5</x:v>
      </x:c>
      <x:c r="D983" s="16" t="n">
        <x:f>IF('Queries'!E983&lt;='Rules'!$B$17,'Rules'!$B$21,IF('Queries'!E983&lt;='Rules'!$B$18,'Rules'!$B$22,IF('Queries'!E983&lt;='Rules'!$B$19,'Rules'!$B$23,IF('Queries'!E983&lt;='Rules'!$B$20,'Rules'!$B$24,'Rules'!$B$25))))</x:f>
        <x:v>0.15</x:v>
      </x:c>
      <x:c r="E983" s="16" t="n">
        <x:f>MIN(LOG10(1+'Queries'!C983)/'Rules'!$B$13,1)</x:f>
        <x:v>0.3713144507689467</x:v>
      </x:c>
      <x:c r="F983" s="16" t="n">
        <x:f>IF(AND('Queries'!E983&lt;='Rules'!$B$15,'Queries'!C983&gt;='Rules'!$B$14,'Queries'!D983&lt;'Rules'!$B$16),1,0)</x:f>
        <x:v>0</x:v>
      </x:c>
      <x:c r="G983" s="16" t="n">
        <x:v>1</x:v>
      </x:c>
      <x:c r="H983" s="16" t="n">
        <x:v>1</x:v>
      </x:c>
      <x:c r="I983" s="16" t="n">
        <x:f>ROUND((B983*'Rules'!$B$6+C983/'Rules'!$B$12*'Rules'!$B$7+D983*'Rules'!$B$8+E983*'Rules'!$B$9+F983*'Rules'!$B$10+G983*'Rules'!$B$11)*H983,1)</x:f>
        <x:v>57.5</x:v>
      </x:c>
      <x:c r="J983" s="18" t="n">
        <x:f>'Queries'!C983*'Queries'!E983</x:f>
        <x:v>653.04</x:v>
      </x:c>
    </x:row>
    <x:row r="984" ht="42" customHeight="1">
      <x:c r="A984" s="6" t="str">
        <x:v>professional car modification and outfitting services uae</x:v>
      </x:c>
      <x:c r="B984" s="16" t="n">
        <x:v>0.8</x:v>
      </x:c>
      <x:c r="C984" s="16" t="n">
        <x:v>5</x:v>
      </x:c>
      <x:c r="D984" s="16" t="n">
        <x:f>IF('Queries'!E984&lt;='Rules'!$B$17,'Rules'!$B$21,IF('Queries'!E984&lt;='Rules'!$B$18,'Rules'!$B$22,IF('Queries'!E984&lt;='Rules'!$B$19,'Rules'!$B$23,IF('Queries'!E984&lt;='Rules'!$B$20,'Rules'!$B$24,'Rules'!$B$25))))</x:f>
        <x:v>0.15</x:v>
      </x:c>
      <x:c r="E984" s="16" t="n">
        <x:f>MIN(LOG10(1+'Queries'!C984)/'Rules'!$B$13,1)</x:f>
        <x:v>0.3713144507689467</x:v>
      </x:c>
      <x:c r="F984" s="16" t="n">
        <x:f>IF(AND('Queries'!E984&lt;='Rules'!$B$15,'Queries'!C984&gt;='Rules'!$B$14,'Queries'!D984&lt;'Rules'!$B$16),1,0)</x:f>
        <x:v>0</x:v>
      </x:c>
      <x:c r="G984" s="16" t="n">
        <x:v>1</x:v>
      </x:c>
      <x:c r="H984" s="16" t="n">
        <x:v>1</x:v>
      </x:c>
      <x:c r="I984" s="16" t="n">
        <x:f>ROUND((B984*'Rules'!$B$6+C984/'Rules'!$B$12*'Rules'!$B$7+D984*'Rules'!$B$8+E984*'Rules'!$B$9+F984*'Rules'!$B$10+G984*'Rules'!$B$11)*H984,1)</x:f>
        <x:v>57.5</x:v>
      </x:c>
      <x:c r="J984" s="18" t="n">
        <x:f>'Queries'!C984*'Queries'!E984</x:f>
        <x:v>666.96</x:v>
      </x:c>
    </x:row>
    <x:row r="985" ht="32" customHeight="1">
      <x:c r="A985" s="6" t="str">
        <x:v>vw brake repair</x:v>
      </x:c>
      <x:c r="B985" s="16" t="n">
        <x:v>0.8</x:v>
      </x:c>
      <x:c r="C985" s="16" t="n">
        <x:v>3</x:v>
      </x:c>
      <x:c r="D985" s="16" t="n">
        <x:f>IF('Queries'!E985&lt;='Rules'!$B$17,'Rules'!$B$21,IF('Queries'!E985&lt;='Rules'!$B$18,'Rules'!$B$22,IF('Queries'!E985&lt;='Rules'!$B$19,'Rules'!$B$23,IF('Queries'!E985&lt;='Rules'!$B$20,'Rules'!$B$24,'Rules'!$B$25))))</x:f>
        <x:v>0.15</x:v>
      </x:c>
      <x:c r="E985" s="16" t="n">
        <x:f>MIN(LOG10(1+'Queries'!C985)/'Rules'!$B$13,1)</x:f>
        <x:v>0.3713144507689467</x:v>
      </x:c>
      <x:c r="F985" s="16" t="n">
        <x:f>IF(AND('Queries'!E985&lt;='Rules'!$B$15,'Queries'!C985&gt;='Rules'!$B$14,'Queries'!D985&lt;'Rules'!$B$16),1,0)</x:f>
        <x:v>0</x:v>
      </x:c>
      <x:c r="G985" s="16" t="n">
        <x:v>1</x:v>
      </x:c>
      <x:c r="H985" s="16" t="n">
        <x:v>1</x:v>
      </x:c>
      <x:c r="I985" s="16" t="n">
        <x:f>ROUND((B985*'Rules'!$B$6+C985/'Rules'!$B$12*'Rules'!$B$7+D985*'Rules'!$B$8+E985*'Rules'!$B$9+F985*'Rules'!$B$10+G985*'Rules'!$B$11)*H985,1)</x:f>
        <x:v>49.5</x:v>
      </x:c>
      <x:c r="J985" s="18" t="n">
        <x:f>'Queries'!C985*'Queries'!E985</x:f>
        <x:v>674.04</x:v>
      </x:c>
    </x:row>
    <x:row r="986" ht="32" customHeight="1">
      <x:c r="A986" s="6" t="str">
        <x:v>ford repair shop near me</x:v>
      </x:c>
      <x:c r="B986" s="16" t="n">
        <x:v>1</x:v>
      </x:c>
      <x:c r="C986" s="16" t="n">
        <x:v>3</x:v>
      </x:c>
      <x:c r="D986" s="16" t="n">
        <x:f>IF('Queries'!E986&lt;='Rules'!$B$17,'Rules'!$B$21,IF('Queries'!E986&lt;='Rules'!$B$18,'Rules'!$B$22,IF('Queries'!E986&lt;='Rules'!$B$19,'Rules'!$B$23,IF('Queries'!E986&lt;='Rules'!$B$20,'Rules'!$B$24,'Rules'!$B$25))))</x:f>
        <x:v>0.15</x:v>
      </x:c>
      <x:c r="E986" s="16" t="n">
        <x:f>MIN(LOG10(1+'Queries'!C986)/'Rules'!$B$13,1)</x:f>
        <x:v>0.3713144507689467</x:v>
      </x:c>
      <x:c r="F986" s="16" t="n">
        <x:f>IF(AND('Queries'!E986&lt;='Rules'!$B$15,'Queries'!C986&gt;='Rules'!$B$14,'Queries'!D986&lt;'Rules'!$B$16),1,0)</x:f>
        <x:v>0</x:v>
      </x:c>
      <x:c r="G986" s="16" t="n">
        <x:v>1</x:v>
      </x:c>
      <x:c r="H986" s="16" t="n">
        <x:v>1</x:v>
      </x:c>
      <x:c r="I986" s="16" t="n">
        <x:f>ROUND((B986*'Rules'!$B$6+C986/'Rules'!$B$12*'Rules'!$B$7+D986*'Rules'!$B$8+E986*'Rules'!$B$9+F986*'Rules'!$B$10+G986*'Rules'!$B$11)*H986,1)</x:f>
        <x:v>54.5</x:v>
      </x:c>
      <x:c r="J986" s="18" t="n">
        <x:f>'Queries'!C986*'Queries'!E986</x:f>
        <x:v>678.96</x:v>
      </x:c>
    </x:row>
    <x:row r="987" ht="32" customHeight="1">
      <x:c r="A987" s="6" t="str">
        <x:v>range rover engine repair dubai</x:v>
      </x:c>
      <x:c r="B987" s="16" t="n">
        <x:v>1</x:v>
      </x:c>
      <x:c r="C987" s="16" t="n">
        <x:v>5</x:v>
      </x:c>
      <x:c r="D987" s="16" t="n">
        <x:f>IF('Queries'!E987&lt;='Rules'!$B$17,'Rules'!$B$21,IF('Queries'!E987&lt;='Rules'!$B$18,'Rules'!$B$22,IF('Queries'!E987&lt;='Rules'!$B$19,'Rules'!$B$23,IF('Queries'!E987&lt;='Rules'!$B$20,'Rules'!$B$24,'Rules'!$B$25))))</x:f>
        <x:v>0.15</x:v>
      </x:c>
      <x:c r="E987" s="16" t="n">
        <x:f>MIN(LOG10(1+'Queries'!C987)/'Rules'!$B$13,1)</x:f>
        <x:v>0.3713144507689467</x:v>
      </x:c>
      <x:c r="F987" s="16" t="n">
        <x:f>IF(AND('Queries'!E987&lt;='Rules'!$B$15,'Queries'!C987&gt;='Rules'!$B$14,'Queries'!D987&lt;'Rules'!$B$16),1,0)</x:f>
        <x:v>0</x:v>
      </x:c>
      <x:c r="G987" s="16" t="n">
        <x:v>1</x:v>
      </x:c>
      <x:c r="H987" s="16" t="n">
        <x:v>1</x:v>
      </x:c>
      <x:c r="I987" s="16" t="n">
        <x:f>ROUND((B987*'Rules'!$B$6+C987/'Rules'!$B$12*'Rules'!$B$7+D987*'Rules'!$B$8+E987*'Rules'!$B$9+F987*'Rules'!$B$10+G987*'Rules'!$B$11)*H987,1)</x:f>
        <x:v>62.5</x:v>
      </x:c>
      <x:c r="J987" s="18" t="n">
        <x:f>'Queries'!C987*'Queries'!E987</x:f>
        <x:v>683.04</x:v>
      </x:c>
    </x:row>
    <x:row r="988" ht="32" customHeight="1">
      <x:c r="A988" s="6" t="str">
        <x:v>افضل كراج صبغ بورش</x:v>
      </x:c>
      <x:c r="B988" s="16" t="n">
        <x:v>0.8</x:v>
      </x:c>
      <x:c r="C988" s="16" t="n">
        <x:v>5</x:v>
      </x:c>
      <x:c r="D988" s="16" t="n">
        <x:f>IF('Queries'!E988&lt;='Rules'!$B$17,'Rules'!$B$21,IF('Queries'!E988&lt;='Rules'!$B$18,'Rules'!$B$22,IF('Queries'!E988&lt;='Rules'!$B$19,'Rules'!$B$23,IF('Queries'!E988&lt;='Rules'!$B$20,'Rules'!$B$24,'Rules'!$B$25))))</x:f>
        <x:v>0.15</x:v>
      </x:c>
      <x:c r="E988" s="16" t="n">
        <x:f>MIN(LOG10(1+'Queries'!C988)/'Rules'!$B$13,1)</x:f>
        <x:v>0.3713144507689467</x:v>
      </x:c>
      <x:c r="F988" s="16" t="n">
        <x:f>IF(AND('Queries'!E988&lt;='Rules'!$B$15,'Queries'!C988&gt;='Rules'!$B$14,'Queries'!D988&lt;'Rules'!$B$16),1,0)</x:f>
        <x:v>0</x:v>
      </x:c>
      <x:c r="G988" s="16" t="n">
        <x:v>1</x:v>
      </x:c>
      <x:c r="H988" s="16" t="n">
        <x:v>1</x:v>
      </x:c>
      <x:c r="I988" s="16" t="n">
        <x:f>ROUND((B988*'Rules'!$B$6+C988/'Rules'!$B$12*'Rules'!$B$7+D988*'Rules'!$B$8+E988*'Rules'!$B$9+F988*'Rules'!$B$10+G988*'Rules'!$B$11)*H988,1)</x:f>
        <x:v>57.5</x:v>
      </x:c>
      <x:c r="J988" s="18" t="n">
        <x:f>'Queries'!C988*'Queries'!E988</x:f>
        <x:v>782.04</x:v>
      </x:c>
    </x:row>
    <x:row r="989" ht="42" customHeight="1">
      <x:c r="A989" s="6" t="str">
        <x:v>digital solutions for automotive industry in dubai</x:v>
      </x:c>
      <x:c r="B989" s="16" t="n">
        <x:v>0</x:v>
      </x:c>
      <x:c r="C989" s="16" t="n">
        <x:v>0</x:v>
      </x:c>
      <x:c r="D989" s="16" t="n">
        <x:f>IF('Queries'!E989&lt;='Rules'!$B$17,'Rules'!$B$21,IF('Queries'!E989&lt;='Rules'!$B$18,'Rules'!$B$22,IF('Queries'!E989&lt;='Rules'!$B$19,'Rules'!$B$23,IF('Queries'!E989&lt;='Rules'!$B$20,'Rules'!$B$24,'Rules'!$B$25))))</x:f>
        <x:v>0.15</x:v>
      </x:c>
      <x:c r="E989" s="16" t="n">
        <x:f>MIN(LOG10(1+'Queries'!C989)/'Rules'!$B$13,1)</x:f>
        <x:v>0.3713144507689467</x:v>
      </x:c>
      <x:c r="F989" s="16" t="n">
        <x:f>IF(AND('Queries'!E989&lt;='Rules'!$B$15,'Queries'!C989&gt;='Rules'!$B$14,'Queries'!D989&lt;'Rules'!$B$16),1,0)</x:f>
        <x:v>0</x:v>
      </x:c>
      <x:c r="G989" s="16" t="n">
        <x:v>0</x:v>
      </x:c>
      <x:c r="H989" s="16" t="n">
        <x:v>0</x:v>
      </x:c>
      <x:c r="I989" s="16" t="n">
        <x:f>ROUND((B989*'Rules'!$B$6+C989/'Rules'!$B$12*'Rules'!$B$7+D989*'Rules'!$B$8+E989*'Rules'!$B$9+F989*'Rules'!$B$10+G989*'Rules'!$B$11)*H989,1)</x:f>
        <x:v>0</x:v>
      </x:c>
      <x:c r="J989" s="18" t="n">
        <x:f>'Queries'!C989*'Queries'!E989</x:f>
        <x:v>852.96</x:v>
      </x:c>
    </x:row>
    <x:row r="990" ht="32" customHeight="1">
      <x:c r="A990" s="6" t="str">
        <x:v>car brakes services</x:v>
      </x:c>
      <x:c r="B990" s="16" t="n">
        <x:v>0.8</x:v>
      </x:c>
      <x:c r="C990" s="16" t="n">
        <x:v>3</x:v>
      </x:c>
      <x:c r="D990" s="16" t="n">
        <x:f>IF('Queries'!E990&lt;='Rules'!$B$17,'Rules'!$B$21,IF('Queries'!E990&lt;='Rules'!$B$18,'Rules'!$B$22,IF('Queries'!E990&lt;='Rules'!$B$19,'Rules'!$B$23,IF('Queries'!E990&lt;='Rules'!$B$20,'Rules'!$B$24,'Rules'!$B$25))))</x:f>
        <x:v>0.15</x:v>
      </x:c>
      <x:c r="E990" s="16" t="n">
        <x:f>MIN(LOG10(1+'Queries'!C990)/'Rules'!$B$13,1)</x:f>
        <x:v>0.3713144507689467</x:v>
      </x:c>
      <x:c r="F990" s="16" t="n">
        <x:f>IF(AND('Queries'!E990&lt;='Rules'!$B$15,'Queries'!C990&gt;='Rules'!$B$14,'Queries'!D990&lt;'Rules'!$B$16),1,0)</x:f>
        <x:v>0</x:v>
      </x:c>
      <x:c r="G990" s="16" t="n">
        <x:v>1</x:v>
      </x:c>
      <x:c r="H990" s="16" t="n">
        <x:v>1</x:v>
      </x:c>
      <x:c r="I990" s="16" t="n">
        <x:f>ROUND((B990*'Rules'!$B$6+C990/'Rules'!$B$12*'Rules'!$B$7+D990*'Rules'!$B$8+E990*'Rules'!$B$9+F990*'Rules'!$B$10+G990*'Rules'!$B$11)*H990,1)</x:f>
        <x:v>49.5</x:v>
      </x:c>
      <x:c r="J990" s="18" t="n">
        <x:f>'Queries'!C990*'Queries'!E990</x:f>
        <x:v>878.04</x:v>
      </x:c>
    </x:row>
    <x:row r="991" ht="32" customHeight="1">
      <x:c r="A991" s="6" t="str">
        <x:v>instrument cluster repair</x:v>
      </x:c>
      <x:c r="B991" s="16" t="n">
        <x:v>1</x:v>
      </x:c>
      <x:c r="C991" s="16" t="n">
        <x:v>1</x:v>
      </x:c>
      <x:c r="D991" s="16" t="n">
        <x:f>IF('Queries'!E991&lt;='Rules'!$B$17,'Rules'!$B$21,IF('Queries'!E991&lt;='Rules'!$B$18,'Rules'!$B$22,IF('Queries'!E991&lt;='Rules'!$B$19,'Rules'!$B$23,IF('Queries'!E991&lt;='Rules'!$B$20,'Rules'!$B$24,'Rules'!$B$25))))</x:f>
        <x:v>0.15</x:v>
      </x:c>
      <x:c r="E991" s="16" t="n">
        <x:f>MIN(LOG10(1+'Queries'!C991)/'Rules'!$B$13,1)</x:f>
        <x:v>0.3713144507689467</x:v>
      </x:c>
      <x:c r="F991" s="16" t="n">
        <x:f>IF(AND('Queries'!E991&lt;='Rules'!$B$15,'Queries'!C991&gt;='Rules'!$B$14,'Queries'!D991&lt;'Rules'!$B$16),1,0)</x:f>
        <x:v>0</x:v>
      </x:c>
      <x:c r="G991" s="16" t="n">
        <x:v>0</x:v>
      </x:c>
      <x:c r="H991" s="16" t="n">
        <x:v>0.1</x:v>
      </x:c>
      <x:c r="I991" s="16" t="n">
        <x:f>ROUND((B991*'Rules'!$B$6+C991/'Rules'!$B$12*'Rules'!$B$7+D991*'Rules'!$B$8+E991*'Rules'!$B$9+F991*'Rules'!$B$10+G991*'Rules'!$B$11)*H991,1)</x:f>
        <x:v>3.6</x:v>
      </x:c>
      <x:c r="J991" s="18" t="n">
        <x:f>'Queries'!C991*'Queries'!E991</x:f>
        <x:v>911.04</x:v>
      </x:c>
    </x:row>
    <x:row r="992" ht="32" customHeight="1">
      <x:c r="A992" s="6" t="str">
        <x:v>porsche body repair dubai</x:v>
      </x:c>
      <x:c r="B992" s="16" t="n">
        <x:v>1</x:v>
      </x:c>
      <x:c r="C992" s="16" t="n">
        <x:v>5</x:v>
      </x:c>
      <x:c r="D992" s="16" t="n">
        <x:f>IF('Queries'!E992&lt;='Rules'!$B$17,'Rules'!$B$21,IF('Queries'!E992&lt;='Rules'!$B$18,'Rules'!$B$22,IF('Queries'!E992&lt;='Rules'!$B$19,'Rules'!$B$23,IF('Queries'!E992&lt;='Rules'!$B$20,'Rules'!$B$24,'Rules'!$B$25))))</x:f>
        <x:v>1</x:v>
      </x:c>
      <x:c r="E992" s="16" t="n">
        <x:f>MIN(LOG10(1+'Queries'!C992)/'Rules'!$B$13,1)</x:f>
        <x:v>0.35972708201587333</x:v>
      </x:c>
      <x:c r="F992" s="16" t="n">
        <x:f>IF(AND('Queries'!E992&lt;='Rules'!$B$15,'Queries'!C992&gt;='Rules'!$B$14,'Queries'!D992&lt;'Rules'!$B$16),1,0)</x:f>
        <x:v>0</x:v>
      </x:c>
      <x:c r="G992" s="16" t="n">
        <x:v>1</x:v>
      </x:c>
      <x:c r="H992" s="16" t="n">
        <x:v>1</x:v>
      </x:c>
      <x:c r="I992" s="16" t="n">
        <x:f>ROUND((B992*'Rules'!$B$6+C992/'Rules'!$B$12*'Rules'!$B$7+D992*'Rules'!$B$8+E992*'Rules'!$B$9+F992*'Rules'!$B$10+G992*'Rules'!$B$11)*H992,1)</x:f>
        <x:v>83.6</x:v>
      </x:c>
      <x:c r="J992" s="18" t="n">
        <x:f>'Queries'!C992*'Queries'!E992</x:f>
        <x:v>64.02000000000001</x:v>
      </x:c>
    </x:row>
    <x:row r="993" ht="32" customHeight="1">
      <x:c r="A993" s="6" t="str">
        <x:v>"boasortechikjeitosoradio@gmail.com"</x:v>
      </x:c>
      <x:c r="B993" s="16" t="n">
        <x:v>0</x:v>
      </x:c>
      <x:c r="C993" s="16" t="n">
        <x:v>0</x:v>
      </x:c>
      <x:c r="D993" s="16" t="n">
        <x:f>IF('Queries'!E993&lt;='Rules'!$B$17,'Rules'!$B$21,IF('Queries'!E993&lt;='Rules'!$B$18,'Rules'!$B$22,IF('Queries'!E993&lt;='Rules'!$B$19,'Rules'!$B$23,IF('Queries'!E993&lt;='Rules'!$B$20,'Rules'!$B$24,'Rules'!$B$25))))</x:f>
        <x:v>1</x:v>
      </x:c>
      <x:c r="E993" s="16" t="n">
        <x:f>MIN(LOG10(1+'Queries'!C993)/'Rules'!$B$13,1)</x:f>
        <x:v>0.35972708201587333</x:v>
      </x:c>
      <x:c r="F993" s="16" t="n">
        <x:f>IF(AND('Queries'!E993&lt;='Rules'!$B$15,'Queries'!C993&gt;='Rules'!$B$14,'Queries'!D993&lt;'Rules'!$B$16),1,0)</x:f>
        <x:v>0</x:v>
      </x:c>
      <x:c r="G993" s="16" t="n">
        <x:v>0</x:v>
      </x:c>
      <x:c r="H993" s="16" t="n">
        <x:v>0</x:v>
      </x:c>
      <x:c r="I993" s="16" t="n">
        <x:f>ROUND((B993*'Rules'!$B$6+C993/'Rules'!$B$12*'Rules'!$B$7+D993*'Rules'!$B$8+E993*'Rules'!$B$9+F993*'Rules'!$B$10+G993*'Rules'!$B$11)*H993,1)</x:f>
        <x:v>0</x:v>
      </x:c>
      <x:c r="J993" s="18" t="n">
        <x:f>'Queries'!C993*'Queries'!E993</x:f>
        <x:v>74.03</x:v>
      </x:c>
    </x:row>
    <x:row r="994" ht="32" customHeight="1">
      <x:c r="A994" s="6" t="str">
        <x:v>puncture near me</x:v>
      </x:c>
      <x:c r="B994" s="16" t="n">
        <x:v>1</x:v>
      </x:c>
      <x:c r="C994" s="16" t="n">
        <x:v>2</x:v>
      </x:c>
      <x:c r="D994" s="16" t="n">
        <x:f>IF('Queries'!E994&lt;='Rules'!$B$17,'Rules'!$B$21,IF('Queries'!E994&lt;='Rules'!$B$18,'Rules'!$B$22,IF('Queries'!E994&lt;='Rules'!$B$19,'Rules'!$B$23,IF('Queries'!E994&lt;='Rules'!$B$20,'Rules'!$B$24,'Rules'!$B$25))))</x:f>
        <x:v>1</x:v>
      </x:c>
      <x:c r="E994" s="16" t="n">
        <x:f>MIN(LOG10(1+'Queries'!C994)/'Rules'!$B$13,1)</x:f>
        <x:v>0.35972708201587333</x:v>
      </x:c>
      <x:c r="F994" s="16" t="n">
        <x:f>IF(AND('Queries'!E994&lt;='Rules'!$B$15,'Queries'!C994&gt;='Rules'!$B$14,'Queries'!D994&lt;'Rules'!$B$16),1,0)</x:f>
        <x:v>0</x:v>
      </x:c>
      <x:c r="G994" s="16" t="n">
        <x:v>1</x:v>
      </x:c>
      <x:c r="H994" s="16" t="n">
        <x:v>1</x:v>
      </x:c>
      <x:c r="I994" s="16" t="n">
        <x:f>ROUND((B994*'Rules'!$B$6+C994/'Rules'!$B$12*'Rules'!$B$7+D994*'Rules'!$B$8+E994*'Rules'!$B$9+F994*'Rules'!$B$10+G994*'Rules'!$B$11)*H994,1)</x:f>
        <x:v>71.6</x:v>
      </x:c>
      <x:c r="J994" s="18" t="n">
        <x:f>'Queries'!C994*'Queries'!E994</x:f>
        <x:v>78.97999999999999</x:v>
      </x:c>
    </x:row>
    <x:row r="995" ht="32" customHeight="1">
      <x:c r="A995" s="6" t="str">
        <x:v>suspension specialist near me</x:v>
      </x:c>
      <x:c r="B995" s="16" t="n">
        <x:v>1</x:v>
      </x:c>
      <x:c r="C995" s="16" t="n">
        <x:v>3</x:v>
      </x:c>
      <x:c r="D995" s="16" t="n">
        <x:f>IF('Queries'!E995&lt;='Rules'!$B$17,'Rules'!$B$21,IF('Queries'!E995&lt;='Rules'!$B$18,'Rules'!$B$22,IF('Queries'!E995&lt;='Rules'!$B$19,'Rules'!$B$23,IF('Queries'!E995&lt;='Rules'!$B$20,'Rules'!$B$24,'Rules'!$B$25))))</x:f>
        <x:v>1</x:v>
      </x:c>
      <x:c r="E995" s="16" t="n">
        <x:f>MIN(LOG10(1+'Queries'!C995)/'Rules'!$B$13,1)</x:f>
        <x:v>0.35972708201587333</x:v>
      </x:c>
      <x:c r="F995" s="16" t="n">
        <x:f>IF(AND('Queries'!E995&lt;='Rules'!$B$15,'Queries'!C995&gt;='Rules'!$B$14,'Queries'!D995&lt;'Rules'!$B$16),1,0)</x:f>
        <x:v>0</x:v>
      </x:c>
      <x:c r="G995" s="16" t="n">
        <x:v>1</x:v>
      </x:c>
      <x:c r="H995" s="16" t="n">
        <x:v>1</x:v>
      </x:c>
      <x:c r="I995" s="16" t="n">
        <x:f>ROUND((B995*'Rules'!$B$6+C995/'Rules'!$B$12*'Rules'!$B$7+D995*'Rules'!$B$8+E995*'Rules'!$B$9+F995*'Rules'!$B$10+G995*'Rules'!$B$11)*H995,1)</x:f>
        <x:v>75.6</x:v>
      </x:c>
      <x:c r="J995" s="18" t="n">
        <x:f>'Queries'!C995*'Queries'!E995</x:f>
        <x:v>88</x:v>
      </x:c>
    </x:row>
    <x:row r="996" ht="32" customHeight="1">
      <x:c r="A996" s="6" t="str">
        <x:v>ecu centre</x:v>
      </x:c>
      <x:c r="B996" s="16" t="n">
        <x:v>0.8</x:v>
      </x:c>
      <x:c r="C996" s="16" t="n">
        <x:v>3</x:v>
      </x:c>
      <x:c r="D996" s="16" t="n">
        <x:f>IF('Queries'!E996&lt;='Rules'!$B$17,'Rules'!$B$21,IF('Queries'!E996&lt;='Rules'!$B$18,'Rules'!$B$22,IF('Queries'!E996&lt;='Rules'!$B$19,'Rules'!$B$23,IF('Queries'!E996&lt;='Rules'!$B$20,'Rules'!$B$24,'Rules'!$B$25))))</x:f>
        <x:v>1</x:v>
      </x:c>
      <x:c r="E996" s="16" t="n">
        <x:f>MIN(LOG10(1+'Queries'!C996)/'Rules'!$B$13,1)</x:f>
        <x:v>0.35972708201587333</x:v>
      </x:c>
      <x:c r="F996" s="16" t="n">
        <x:f>IF(AND('Queries'!E996&lt;='Rules'!$B$15,'Queries'!C996&gt;='Rules'!$B$14,'Queries'!D996&lt;'Rules'!$B$16),1,0)</x:f>
        <x:v>0</x:v>
      </x:c>
      <x:c r="G996" s="16" t="n">
        <x:v>1</x:v>
      </x:c>
      <x:c r="H996" s="16" t="n">
        <x:v>1</x:v>
      </x:c>
      <x:c r="I996" s="16" t="n">
        <x:f>ROUND((B996*'Rules'!$B$6+C996/'Rules'!$B$12*'Rules'!$B$7+D996*'Rules'!$B$8+E996*'Rules'!$B$9+F996*'Rules'!$B$10+G996*'Rules'!$B$11)*H996,1)</x:f>
        <x:v>70.6</x:v>
      </x:c>
      <x:c r="J996" s="18" t="n">
        <x:f>'Queries'!C996*'Queries'!E996</x:f>
        <x:v>90.97</x:v>
      </x:c>
    </x:row>
    <x:row r="997" ht="32" customHeight="1">
      <x:c r="A997" s="6" t="str">
        <x:v>range rover suspension repair</x:v>
      </x:c>
      <x:c r="B997" s="16" t="n">
        <x:v>0.8</x:v>
      </x:c>
      <x:c r="C997" s="16" t="n">
        <x:v>5</x:v>
      </x:c>
      <x:c r="D997" s="16" t="n">
        <x:f>IF('Queries'!E997&lt;='Rules'!$B$17,'Rules'!$B$21,IF('Queries'!E997&lt;='Rules'!$B$18,'Rules'!$B$22,IF('Queries'!E997&lt;='Rules'!$B$19,'Rules'!$B$23,IF('Queries'!E997&lt;='Rules'!$B$20,'Rules'!$B$24,'Rules'!$B$25))))</x:f>
        <x:v>1</x:v>
      </x:c>
      <x:c r="E997" s="16" t="n">
        <x:f>MIN(LOG10(1+'Queries'!C997)/'Rules'!$B$13,1)</x:f>
        <x:v>0.35972708201587333</x:v>
      </x:c>
      <x:c r="F997" s="16" t="n">
        <x:f>IF(AND('Queries'!E997&lt;='Rules'!$B$15,'Queries'!C997&gt;='Rules'!$B$14,'Queries'!D997&lt;'Rules'!$B$16),1,0)</x:f>
        <x:v>0</x:v>
      </x:c>
      <x:c r="G997" s="16" t="n">
        <x:v>1</x:v>
      </x:c>
      <x:c r="H997" s="16" t="n">
        <x:v>1</x:v>
      </x:c>
      <x:c r="I997" s="16" t="n">
        <x:f>ROUND((B997*'Rules'!$B$6+C997/'Rules'!$B$12*'Rules'!$B$7+D997*'Rules'!$B$8+E997*'Rules'!$B$9+F997*'Rules'!$B$10+G997*'Rules'!$B$11)*H997,1)</x:f>
        <x:v>78.6</x:v>
      </x:c>
      <x:c r="J997" s="18" t="n">
        <x:f>'Queries'!C997*'Queries'!E997</x:f>
        <x:v>125.94999999999999</x:v>
      </x:c>
    </x:row>
    <x:row r="998" ht="32" customHeight="1">
      <x:c r="A998" s="6" t="str">
        <x:v>tire patch near me</x:v>
      </x:c>
      <x:c r="B998" s="16" t="n">
        <x:v>1</x:v>
      </x:c>
      <x:c r="C998" s="16" t="n">
        <x:v>2</x:v>
      </x:c>
      <x:c r="D998" s="16" t="n">
        <x:f>IF('Queries'!E998&lt;='Rules'!$B$17,'Rules'!$B$21,IF('Queries'!E998&lt;='Rules'!$B$18,'Rules'!$B$22,IF('Queries'!E998&lt;='Rules'!$B$19,'Rules'!$B$23,IF('Queries'!E998&lt;='Rules'!$B$20,'Rules'!$B$24,'Rules'!$B$25))))</x:f>
        <x:v>1</x:v>
      </x:c>
      <x:c r="E998" s="16" t="n">
        <x:f>MIN(LOG10(1+'Queries'!C998)/'Rules'!$B$13,1)</x:f>
        <x:v>0.35972708201587333</x:v>
      </x:c>
      <x:c r="F998" s="16" t="n">
        <x:f>IF(AND('Queries'!E998&lt;='Rules'!$B$15,'Queries'!C998&gt;='Rules'!$B$14,'Queries'!D998&lt;'Rules'!$B$16),1,0)</x:f>
        <x:v>0</x:v>
      </x:c>
      <x:c r="G998" s="16" t="n">
        <x:v>1</x:v>
      </x:c>
      <x:c r="H998" s="16" t="n">
        <x:v>1</x:v>
      </x:c>
      <x:c r="I998" s="16" t="n">
        <x:f>ROUND((B998*'Rules'!$B$6+C998/'Rules'!$B$12*'Rules'!$B$7+D998*'Rules'!$B$8+E998*'Rules'!$B$9+F998*'Rules'!$B$10+G998*'Rules'!$B$11)*H998,1)</x:f>
        <x:v>71.6</x:v>
      </x:c>
      <x:c r="J998" s="18" t="n">
        <x:f>'Queries'!C998*'Queries'!E998</x:f>
        <x:v>127.05000000000001</x:v>
      </x:c>
    </x:row>
    <x:row r="999" ht="32" customHeight="1">
      <x:c r="A999" s="6" t="str">
        <x:v>best mclaren service center dubai</x:v>
      </x:c>
      <x:c r="B999" s="16" t="n">
        <x:v>1</x:v>
      </x:c>
      <x:c r="C999" s="16" t="n">
        <x:v>5</x:v>
      </x:c>
      <x:c r="D999" s="16" t="n">
        <x:f>IF('Queries'!E999&lt;='Rules'!$B$17,'Rules'!$B$21,IF('Queries'!E999&lt;='Rules'!$B$18,'Rules'!$B$22,IF('Queries'!E999&lt;='Rules'!$B$19,'Rules'!$B$23,IF('Queries'!E999&lt;='Rules'!$B$20,'Rules'!$B$24,'Rules'!$B$25))))</x:f>
        <x:v>1</x:v>
      </x:c>
      <x:c r="E999" s="16" t="n">
        <x:f>MIN(LOG10(1+'Queries'!C999)/'Rules'!$B$13,1)</x:f>
        <x:v>0.35972708201587333</x:v>
      </x:c>
      <x:c r="F999" s="16" t="n">
        <x:f>IF(AND('Queries'!E999&lt;='Rules'!$B$15,'Queries'!C999&gt;='Rules'!$B$14,'Queries'!D999&lt;'Rules'!$B$16),1,0)</x:f>
        <x:v>0</x:v>
      </x:c>
      <x:c r="G999" s="16" t="n">
        <x:v>1</x:v>
      </x:c>
      <x:c r="H999" s="16" t="n">
        <x:v>1</x:v>
      </x:c>
      <x:c r="I999" s="16" t="n">
        <x:f>ROUND((B999*'Rules'!$B$6+C999/'Rules'!$B$12*'Rules'!$B$7+D999*'Rules'!$B$8+E999*'Rules'!$B$9+F999*'Rules'!$B$10+G999*'Rules'!$B$11)*H999,1)</x:f>
        <x:v>83.6</x:v>
      </x:c>
      <x:c r="J999" s="18" t="n">
        <x:f>'Queries'!C999*'Queries'!E999</x:f>
        <x:v>150.04000000000002</x:v>
      </x:c>
    </x:row>
    <x:row r="1000" ht="32" customHeight="1">
      <x:c r="A1000" s="6" t="str">
        <x:v>cadillac car battery dubai</x:v>
      </x:c>
      <x:c r="B1000" s="16" t="n">
        <x:v>1</x:v>
      </x:c>
      <x:c r="C1000" s="16" t="n">
        <x:v>3</x:v>
      </x:c>
      <x:c r="D1000" s="16" t="n">
        <x:f>IF('Queries'!E1000&lt;='Rules'!$B$17,'Rules'!$B$21,IF('Queries'!E1000&lt;='Rules'!$B$18,'Rules'!$B$22,IF('Queries'!E1000&lt;='Rules'!$B$19,'Rules'!$B$23,IF('Queries'!E1000&lt;='Rules'!$B$20,'Rules'!$B$24,'Rules'!$B$25))))</x:f>
        <x:v>1</x:v>
      </x:c>
      <x:c r="E1000" s="16" t="n">
        <x:f>MIN(LOG10(1+'Queries'!C1000)/'Rules'!$B$13,1)</x:f>
        <x:v>0.35972708201587333</x:v>
      </x:c>
      <x:c r="F1000" s="16" t="n">
        <x:f>IF(AND('Queries'!E1000&lt;='Rules'!$B$15,'Queries'!C1000&gt;='Rules'!$B$14,'Queries'!D1000&lt;'Rules'!$B$16),1,0)</x:f>
        <x:v>0</x:v>
      </x:c>
      <x:c r="G1000" s="16" t="n">
        <x:v>0.25</x:v>
      </x:c>
      <x:c r="H1000" s="16" t="n">
        <x:v>0.65</x:v>
      </x:c>
      <x:c r="I1000" s="16" t="n">
        <x:f>ROUND((B1000*'Rules'!$B$6+C1000/'Rules'!$B$12*'Rules'!$B$7+D1000*'Rules'!$B$8+E1000*'Rules'!$B$9+F1000*'Rules'!$B$10+G1000*'Rules'!$B$11)*H1000,1)</x:f>
        <x:v>44.3</x:v>
      </x:c>
      <x:c r="J1000" s="18" t="n">
        <x:f>'Queries'!C1000*'Queries'!E1000</x:f>
        <x:v>150.04000000000002</x:v>
      </x:c>
    </x:row>
    <x:row r="1001" ht="32" customHeight="1">
      <x:c r="A1001" s="6" t="str">
        <x:v>mercedes repair shops dubai</x:v>
      </x:c>
      <x:c r="B1001" s="16" t="n">
        <x:v>1</x:v>
      </x:c>
      <x:c r="C1001" s="16" t="n">
        <x:v>5</x:v>
      </x:c>
      <x:c r="D1001" s="16" t="n">
        <x:f>IF('Queries'!E1001&lt;='Rules'!$B$17,'Rules'!$B$21,IF('Queries'!E1001&lt;='Rules'!$B$18,'Rules'!$B$22,IF('Queries'!E1001&lt;='Rules'!$B$19,'Rules'!$B$23,IF('Queries'!E1001&lt;='Rules'!$B$20,'Rules'!$B$24,'Rules'!$B$25))))</x:f>
        <x:v>0.7</x:v>
      </x:c>
      <x:c r="E1001" s="16" t="n">
        <x:f>MIN(LOG10(1+'Queries'!C1001)/'Rules'!$B$13,1)</x:f>
        <x:v>0.35972708201587333</x:v>
      </x:c>
      <x:c r="F1001" s="16" t="n">
        <x:f>IF(AND('Queries'!E1001&lt;='Rules'!$B$15,'Queries'!C1001&gt;='Rules'!$B$14,'Queries'!D1001&lt;'Rules'!$B$16),1,0)</x:f>
        <x:v>0</x:v>
      </x:c>
      <x:c r="G1001" s="16" t="n">
        <x:v>1</x:v>
      </x:c>
      <x:c r="H1001" s="16" t="n">
        <x:v>1</x:v>
      </x:c>
      <x:c r="I1001" s="16" t="n">
        <x:f>ROUND((B1001*'Rules'!$B$6+C1001/'Rules'!$B$12*'Rules'!$B$7+D1001*'Rules'!$B$8+E1001*'Rules'!$B$9+F1001*'Rules'!$B$10+G1001*'Rules'!$B$11)*H1001,1)</x:f>
        <x:v>76.1</x:v>
      </x:c>
      <x:c r="J1001" s="18" t="n">
        <x:f>'Queries'!C1001*'Queries'!E1001</x:f>
        <x:v>172.04000000000002</x:v>
      </x:c>
    </x:row>
    <x:row r="1002" ht="32" customHeight="1">
      <x:c r="A1002" s="6" t="str">
        <x:v>mercedes independent service</x:v>
      </x:c>
      <x:c r="B1002" s="16" t="n">
        <x:v>0.8</x:v>
      </x:c>
      <x:c r="C1002" s="16" t="n">
        <x:v>5</x:v>
      </x:c>
      <x:c r="D1002" s="16" t="n">
        <x:f>IF('Queries'!E1002&lt;='Rules'!$B$17,'Rules'!$B$21,IF('Queries'!E1002&lt;='Rules'!$B$18,'Rules'!$B$22,IF('Queries'!E1002&lt;='Rules'!$B$19,'Rules'!$B$23,IF('Queries'!E1002&lt;='Rules'!$B$20,'Rules'!$B$24,'Rules'!$B$25))))</x:f>
        <x:v>0.7</x:v>
      </x:c>
      <x:c r="E1002" s="16" t="n">
        <x:f>MIN(LOG10(1+'Queries'!C1002)/'Rules'!$B$13,1)</x:f>
        <x:v>0.35972708201587333</x:v>
      </x:c>
      <x:c r="F1002" s="16" t="n">
        <x:f>IF(AND('Queries'!E1002&lt;='Rules'!$B$15,'Queries'!C1002&gt;='Rules'!$B$14,'Queries'!D1002&lt;'Rules'!$B$16),1,0)</x:f>
        <x:v>0</x:v>
      </x:c>
      <x:c r="G1002" s="16" t="n">
        <x:v>1</x:v>
      </x:c>
      <x:c r="H1002" s="16" t="n">
        <x:v>1</x:v>
      </x:c>
      <x:c r="I1002" s="16" t="n">
        <x:f>ROUND((B1002*'Rules'!$B$6+C1002/'Rules'!$B$12*'Rules'!$B$7+D1002*'Rules'!$B$8+E1002*'Rules'!$B$9+F1002*'Rules'!$B$10+G1002*'Rules'!$B$11)*H1002,1)</x:f>
        <x:v>71.1</x:v>
      </x:c>
      <x:c r="J1002" s="18" t="n">
        <x:f>'Queries'!C1002*'Queries'!E1002</x:f>
        <x:v>187</x:v>
      </x:c>
    </x:row>
    <x:row r="1003" ht="32" customHeight="1">
      <x:c r="A1003" s="6" t="str">
        <x:v>fuel pump repair shop</x:v>
      </x:c>
      <x:c r="B1003" s="16" t="n">
        <x:v>0.8</x:v>
      </x:c>
      <x:c r="C1003" s="16" t="n">
        <x:v>3</x:v>
      </x:c>
      <x:c r="D1003" s="16" t="n">
        <x:f>IF('Queries'!E1003&lt;='Rules'!$B$17,'Rules'!$B$21,IF('Queries'!E1003&lt;='Rules'!$B$18,'Rules'!$B$22,IF('Queries'!E1003&lt;='Rules'!$B$19,'Rules'!$B$23,IF('Queries'!E1003&lt;='Rules'!$B$20,'Rules'!$B$24,'Rules'!$B$25))))</x:f>
        <x:v>0.7</x:v>
      </x:c>
      <x:c r="E1003" s="16" t="n">
        <x:f>MIN(LOG10(1+'Queries'!C1003)/'Rules'!$B$13,1)</x:f>
        <x:v>0.35972708201587333</x:v>
      </x:c>
      <x:c r="F1003" s="16" t="n">
        <x:f>IF(AND('Queries'!E1003&lt;='Rules'!$B$15,'Queries'!C1003&gt;='Rules'!$B$14,'Queries'!D1003&lt;'Rules'!$B$16),1,0)</x:f>
        <x:v>0</x:v>
      </x:c>
      <x:c r="G1003" s="16" t="n">
        <x:v>1</x:v>
      </x:c>
      <x:c r="H1003" s="16" t="n">
        <x:v>1</x:v>
      </x:c>
      <x:c r="I1003" s="16" t="n">
        <x:f>ROUND((B1003*'Rules'!$B$6+C1003/'Rules'!$B$12*'Rules'!$B$7+D1003*'Rules'!$B$8+E1003*'Rules'!$B$9+F1003*'Rules'!$B$10+G1003*'Rules'!$B$11)*H1003,1)</x:f>
        <x:v>63.1</x:v>
      </x:c>
      <x:c r="J1003" s="18" t="n">
        <x:f>'Queries'!C1003*'Queries'!E1003</x:f>
        <x:v>190.95999999999998</x:v>
      </x:c>
    </x:row>
    <x:row r="1004" ht="32" customHeight="1">
      <x:c r="A1004" s="6" t="str">
        <x:v>dodge transmission repair dubai</x:v>
      </x:c>
      <x:c r="B1004" s="16" t="n">
        <x:v>1</x:v>
      </x:c>
      <x:c r="C1004" s="16" t="n">
        <x:v>3</x:v>
      </x:c>
      <x:c r="D1004" s="16" t="n">
        <x:f>IF('Queries'!E1004&lt;='Rules'!$B$17,'Rules'!$B$21,IF('Queries'!E1004&lt;='Rules'!$B$18,'Rules'!$B$22,IF('Queries'!E1004&lt;='Rules'!$B$19,'Rules'!$B$23,IF('Queries'!E1004&lt;='Rules'!$B$20,'Rules'!$B$24,'Rules'!$B$25))))</x:f>
        <x:v>0.7</x:v>
      </x:c>
      <x:c r="E1004" s="16" t="n">
        <x:f>MIN(LOG10(1+'Queries'!C1004)/'Rules'!$B$13,1)</x:f>
        <x:v>0.35972708201587333</x:v>
      </x:c>
      <x:c r="F1004" s="16" t="n">
        <x:f>IF(AND('Queries'!E1004&lt;='Rules'!$B$15,'Queries'!C1004&gt;='Rules'!$B$14,'Queries'!D1004&lt;'Rules'!$B$16),1,0)</x:f>
        <x:v>0</x:v>
      </x:c>
      <x:c r="G1004" s="16" t="n">
        <x:v>0.25</x:v>
      </x:c>
      <x:c r="H1004" s="16" t="n">
        <x:v>0.65</x:v>
      </x:c>
      <x:c r="I1004" s="16" t="n">
        <x:f>ROUND((B1004*'Rules'!$B$6+C1004/'Rules'!$B$12*'Rules'!$B$7+D1004*'Rules'!$B$8+E1004*'Rules'!$B$9+F1004*'Rules'!$B$10+G1004*'Rules'!$B$11)*H1004,1)</x:f>
        <x:v>39.4</x:v>
      </x:c>
      <x:c r="J1004" s="18" t="n">
        <x:f>'Queries'!C1004*'Queries'!E1004</x:f>
        <x:v>207.02</x:v>
      </x:c>
    </x:row>
    <x:row r="1005" ht="32" customHeight="1">
      <x:c r="A1005" s="6" t="str">
        <x:v>chevrolet service dubai</x:v>
      </x:c>
      <x:c r="B1005" s="16" t="n">
        <x:v>1</x:v>
      </x:c>
      <x:c r="C1005" s="16" t="n">
        <x:v>3</x:v>
      </x:c>
      <x:c r="D1005" s="16" t="n">
        <x:f>IF('Queries'!E1005&lt;='Rules'!$B$17,'Rules'!$B$21,IF('Queries'!E1005&lt;='Rules'!$B$18,'Rules'!$B$22,IF('Queries'!E1005&lt;='Rules'!$B$19,'Rules'!$B$23,IF('Queries'!E1005&lt;='Rules'!$B$20,'Rules'!$B$24,'Rules'!$B$25))))</x:f>
        <x:v>0.7</x:v>
      </x:c>
      <x:c r="E1005" s="16" t="n">
        <x:f>MIN(LOG10(1+'Queries'!C1005)/'Rules'!$B$13,1)</x:f>
        <x:v>0.35972708201587333</x:v>
      </x:c>
      <x:c r="F1005" s="16" t="n">
        <x:f>IF(AND('Queries'!E1005&lt;='Rules'!$B$15,'Queries'!C1005&gt;='Rules'!$B$14,'Queries'!D1005&lt;'Rules'!$B$16),1,0)</x:f>
        <x:v>0</x:v>
      </x:c>
      <x:c r="G1005" s="16" t="n">
        <x:v>1</x:v>
      </x:c>
      <x:c r="H1005" s="16" t="n">
        <x:v>1</x:v>
      </x:c>
      <x:c r="I1005" s="16" t="n">
        <x:f>ROUND((B1005*'Rules'!$B$6+C1005/'Rules'!$B$12*'Rules'!$B$7+D1005*'Rules'!$B$8+E1005*'Rules'!$B$9+F1005*'Rules'!$B$10+G1005*'Rules'!$B$11)*H1005,1)</x:f>
        <x:v>68.1</x:v>
      </x:c>
      <x:c r="J1005" s="18" t="n">
        <x:f>'Queries'!C1005*'Queries'!E1005</x:f>
        <x:v>208.01</x:v>
      </x:c>
    </x:row>
  </x:sheetData>
  <x:pageMargins left="0.7" right="0.7" top="0.75" bottom="0.75" header="0.3" footer="0.3"/>
  <x:tableParts count="1">
    <x:tablePart xmlns:r="http://schemas.openxmlformats.org/officeDocument/2006/relationships" r:id="Ra88ab01bc25b408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35" hidden="0" customWidth="1"/>
    <x:col min="3" max="3" width="110" hidden="0" customWidth="1"/>
    <x:col min="4" max="4" width="65" hidden="0" customWidth="1"/>
  </x:cols>
  <x:sheetData>
    <x:row r="1" ht="30" customHeight="1">
      <x:c r="A1" s="2" t="str">
        <x:v>Method and source notes</x:v>
      </x:c>
      <x:c r="B1" s="1"/>
      <x:c r="C1" s="1"/>
      <x:c r="D1" s="1"/>
    </x:row>
    <x:row r="2">
      <x:c r="A2" s="3" t="str">
        <x:v>Read these definitions before interpreting the opportunity score.</x:v>
      </x:c>
      <x:c r="B2" s="1"/>
      <x:c r="C2" s="1"/>
      <x:c r="D2" s="1"/>
    </x:row>
    <x:row r="3">
      <x:c r="A3" s="4"/>
      <x:c r="B3" s="4"/>
      <x:c r="C3" s="4"/>
      <x:c r="D3" s="4"/>
    </x:row>
    <x:row r="4">
      <x:c r="A4" s="1"/>
      <x:c r="B4" s="1"/>
      <x:c r="C4" s="1"/>
      <x:c r="D4" s="1"/>
    </x:row>
    <x:row r="5" ht="42" customHeight="1">
      <x:c r="A5" s="10" t="str">
        <x:v>Rule</x:v>
      </x:c>
      <x:c r="B5" s="11" t="str">
        <x:v>Value</x:v>
      </x:c>
      <x:c r="C5" s="11" t="str">
        <x:v>Explanation</x:v>
      </x:c>
      <x:c r="D5" s="12" t="str">
        <x:v>Source</x:v>
      </x:c>
    </x:row>
    <x:row r="6" ht="32" customHeight="1">
      <x:c r="A6" s="6" t="str">
        <x:v>Intent weight</x:v>
      </x:c>
      <x:c r="B6" s="6" t="n">
        <x:v>25</x:v>
      </x:c>
      <x:c r="C6" s="6" t="str">
        <x:v>Editorial work-order score; not a probability or traffic forecast.</x:v>
      </x:c>
      <x:c r="D6" s="6" t="str"/>
    </x:row>
    <x:row r="7" ht="32" customHeight="1">
      <x:c r="A7" s="6" t="str">
        <x:v>Business value weight</x:v>
      </x:c>
      <x:c r="B7" s="6" t="n">
        <x:v>20</x:v>
      </x:c>
      <x:c r="C7" s="6" t="str">
        <x:v>Assumed relative business value, not observed revenue or margin.</x:v>
      </x:c>
      <x:c r="D7" s="6" t="str"/>
    </x:row>
    <x:row r="8" ht="32" customHeight="1">
      <x:c r="A8" s="6" t="str">
        <x:v>Ranking opportunity weight</x:v>
      </x:c>
      <x:c r="B8" s="6" t="n">
        <x:v>25</x:v>
      </x:c>
      <x:c r="C8" s="6" t="str">
        <x:v>Near-page-one visibility gets greatest weighting.</x:v>
      </x:c>
      <x:c r="D8" s="6" t="str"/>
    </x:row>
    <x:row r="9" ht="32" customHeight="1">
      <x:c r="A9" s="6" t="str">
        <x:v>Impression weight</x:v>
      </x:c>
      <x:c r="B9" s="6" t="n">
        <x:v>10</x:v>
      </x:c>
      <x:c r="C9" s="6" t="str">
        <x:v>Logarithmic and capped to prevent raw volume dominating.</x:v>
      </x:c>
      <x:c r="D9" s="6" t="str"/>
    </x:row>
    <x:row r="10" ht="32" customHeight="1">
      <x:c r="A10" s="6" t="str">
        <x:v>CTR triage weight</x:v>
      </x:c>
      <x:c r="B10" s="6" t="n">
        <x:v>10</x:v>
      </x:c>
      <x:c r="C10" s="6" t="str">
        <x:v>Only page-one queries with sufficient impressions and low CTR qualify.</x:v>
      </x:c>
      <x:c r="D10" s="6" t="str"/>
    </x:row>
    <x:row r="11" ht="42" customHeight="1">
      <x:c r="A11" s="6" t="str">
        <x:v>Existing page readiness weight</x:v>
      </x:c>
      <x:c r="B11" s="6" t="n">
        <x:v>10</x:v>
      </x:c>
      <x:c r="C11" s="6" t="str">
        <x:v>1 = local indexable canonical owner with one H1; 0.25 = constrained owner; 0 = no owner. This is not an external authority score.</x:v>
      </x:c>
      <x:c r="D11" s="6" t="str"/>
    </x:row>
    <x:row r="12" ht="42" customHeight="1">
      <x:c r="A12" s="6" t="str">
        <x:v>Maximum business value</x:v>
      </x:c>
      <x:c r="B12" s="6" t="n">
        <x:v>5</x:v>
      </x:c>
      <x:c r="C12" s="6" t="str">
        <x:v>5 = luxury / business-priority service, 3 = standard service, 2 = tyre / informational or price-led, 1 = uncertain or outside scope, 0 = irrelevant.</x:v>
      </x:c>
      <x:c r="D12" s="6" t="str"/>
    </x:row>
    <x:row r="13" ht="32" customHeight="1">
      <x:c r="A13" s="6" t="str">
        <x:v>Volume logarithm divisor</x:v>
      </x:c>
      <x:c r="B13" s="6" t="n">
        <x:v>3</x:v>
      </x:c>
      <x:c r="C13" s="6" t="str">
        <x:v>MIN(LOG10(1 + impressions) / 3, 1).</x:v>
      </x:c>
      <x:c r="D13" s="6" t="str"/>
    </x:row>
    <x:row r="14" ht="42" customHeight="1">
      <x:c r="A14" s="6" t="str">
        <x:v>CTR triage minimum impressions</x:v>
      </x:c>
      <x:c r="B14" s="6" t="n">
        <x:v>20</x:v>
      </x:c>
      <x:c r="C14" s="6" t="str">
        <x:v>A review threshold, not a statistical benchmark.</x:v>
      </x:c>
      <x:c r="D14" s="6" t="str"/>
    </x:row>
    <x:row r="15" ht="32" customHeight="1">
      <x:c r="A15" s="6" t="str">
        <x:v>CTR triage upper position</x:v>
      </x:c>
      <x:c r="B15" s="6" t="n">
        <x:v>10</x:v>
      </x:c>
      <x:c r="C15" s="6" t="str">
        <x:v>Aggregate average position can conceal SERP, country and device variation.</x:v>
      </x:c>
      <x:c r="D15" s="6" t="str"/>
    </x:row>
    <x:row r="16" ht="32" customHeight="1">
      <x:c r="A16" s="6" t="str">
        <x:v>CTR triage threshold</x:v>
      </x:c>
      <x:c r="B16" s="13" t="n">
        <x:v>0.01</x:v>
      </x:c>
      <x:c r="C16" s="6" t="str">
        <x:v>Below 1%; flag for investigation, not proof that the meta description is wrong.</x:v>
      </x:c>
      <x:c r="D16" s="6" t="str"/>
    </x:row>
    <x:row r="17" ht="32" customHeight="1">
      <x:c r="A17" s="6" t="str">
        <x:v>Defend position ceiling</x:v>
      </x:c>
      <x:c r="B17" s="6" t="n">
        <x:v>3</x:v>
      </x:c>
      <x:c r="C17" s="6" t="str">
        <x:v>Current ranking band, based on exported average position.</x:v>
      </x:c>
      <x:c r="D17" s="6" t="str"/>
    </x:row>
    <x:row r="18" ht="32" customHeight="1">
      <x:c r="A18" s="6" t="str">
        <x:v>Near-win position ceiling</x:v>
      </x:c>
      <x:c r="B18" s="6" t="n">
        <x:v>15</x:v>
      </x:c>
      <x:c r="C18" s="6" t="str">
        <x:v>CRITICAL needs &gt;3 to 15, at least 20 impressions, value &gt;=3 and adequate relevance.</x:v>
      </x:c>
      <x:c r="D18" s="6" t="str"/>
    </x:row>
    <x:row r="19" ht="32" customHeight="1">
      <x:c r="A19" s="6" t="str">
        <x:v>High opportunity ceiling</x:v>
      </x:c>
      <x:c r="B19" s="6" t="n">
        <x:v>30</x:v>
      </x:c>
      <x:c r="C19" s="6" t="str">
        <x:v>HIGH is an editorial action group. Lower-volume near-wins may be HIGH.</x:v>
      </x:c>
      <x:c r="D19" s="6" t="str"/>
    </x:row>
    <x:row r="20" ht="32" customHeight="1">
      <x:c r="A20" s="6" t="str">
        <x:v>Middle position ceiling</x:v>
      </x:c>
      <x:c r="B20" s="6" t="n">
        <x:v>40</x:v>
      </x:c>
      <x:c r="C20" s="6" t="str">
        <x:v>Above 40 requires stronger relevance/capability/indexation investigation.</x:v>
      </x:c>
      <x:c r="D20" s="6" t="str"/>
    </x:row>
    <x:row r="21" ht="32" customHeight="1">
      <x:c r="A21" s="6" t="str">
        <x:v>Ranking factor at &lt;=3</x:v>
      </x:c>
      <x:c r="B21" s="6" t="n">
        <x:v>0.3</x:v>
      </x:c>
      <x:c r="C21" s="6" t="str">
        <x:v>Defend rankings; avoid unnecessary change.</x:v>
      </x:c>
      <x:c r="D21" s="6" t="str"/>
    </x:row>
    <x:row r="22" ht="32" customHeight="1">
      <x:c r="A22" s="6" t="str">
        <x:v>Ranking factor at &gt;3–15</x:v>
      </x:c>
      <x:c r="B22" s="6" t="n">
        <x:v>1</x:v>
      </x:c>
      <x:c r="C22" s="6" t="str">
        <x:v>Highest ranking opportunity factor.</x:v>
      </x:c>
      <x:c r="D22" s="6" t="str"/>
    </x:row>
    <x:row r="23" ht="32" customHeight="1">
      <x:c r="A23" s="6" t="str">
        <x:v>Ranking factor at &gt;15–30</x:v>
      </x:c>
      <x:c r="B23" s="6" t="n">
        <x:v>0.7</x:v>
      </x:c>
      <x:c r="C23" s="6" t="str">
        <x:v>Ranking/content/internal relevance work.</x:v>
      </x:c>
      <x:c r="D23" s="6" t="str"/>
    </x:row>
    <x:row r="24" ht="32" customHeight="1">
      <x:c r="A24" s="6" t="str">
        <x:v>Ranking factor at &gt;30–40</x:v>
      </x:c>
      <x:c r="B24" s="6" t="n">
        <x:v>0.4</x:v>
      </x:c>
      <x:c r="C24" s="6" t="str">
        <x:v>Substantial ranking improvement needed.</x:v>
      </x:c>
      <x:c r="D24" s="6" t="str"/>
    </x:row>
    <x:row r="25" ht="32" customHeight="1">
      <x:c r="A25" s="6" t="str">
        <x:v>Ranking factor above 40</x:v>
      </x:c>
      <x:c r="B25" s="6" t="n">
        <x:v>0.15</x:v>
      </x:c>
      <x:c r="C25" s="6" t="str">
        <x:v>No CTR-only optimization.</x:v>
      </x:c>
      <x:c r="D25" s="6" t="str"/>
    </x:row>
    <x:row r="26" ht="32" customHeight="1">
      <x:c r="A26" s="6" t="str">
        <x:v>Source period</x:v>
      </x:c>
      <x:c r="B26" s="6" t="str">
        <x:v>7 Jun–6 Sep 2026</x:v>
      </x:c>
      <x:c r="C26" s="6" t="str">
        <x:v>Filename says 8 Sep; analysis and live checks were on 9 Sep. The data contains 92 daily rows.</x:v>
      </x:c>
      <x:c r="D26" s="6" t="str">
        <x:v>digitecme.com-Performance-on-Search-2026-09-08 (2).xlsx</x:v>
      </x:c>
    </x:row>
    <x:row r="27" ht="42" customHeight="1">
      <x:c r="A27" s="6" t="str">
        <x:v>Observed query scope</x:v>
      </x:c>
      <x:c r="B27" s="6" t="str">
        <x:v>1,000 exported rows</x:v>
      </x:c>
      <x:c r="C27" s="6" t="str">
        <x:v>Rows cover 50,945 impressions / 106 clicks. Do not apply quality percentages to the 81,284 property impressions.</x:v>
      </x:c>
      <x:c r="D27" s="6" t="str">
        <x:v>https://support.google.com/webmasters/answer/17010575?hl=en</x:v>
      </x:c>
    </x:row>
    <x:row r="28" ht="42" customHeight="1">
      <x:c r="A28" s="6" t="str">
        <x:v>Query/page ownership</x:v>
      </x:c>
      <x:c r="B28" s="6" t="str">
        <x:v>Not observed</x:v>
      </x:c>
      <x:c r="C28" s="6" t="str">
        <x:v>The workbook has separate Queries and Pages tabs; recommended owners are editorial mappings, not ranking evidence.</x:v>
      </x:c>
      <x:c r="D28" s="6" t="str">
        <x:v>https://support.google.com/webmasters/answer/17010961</x:v>
      </x:c>
    </x:row>
    <x:row r="29" ht="42" customHeight="1">
      <x:c r="A29" s="6" t="str">
        <x:v>Page aggregation</x:v>
      </x:c>
      <x:c r="B29" s="6" t="str">
        <x:v>Separate from property totals</x:v>
      </x:c>
      <x:c r="C29" s="6" t="str">
        <x:v>Pages sum to 87,382 impressions / 390 clicks. Keep separate; multiple page results and aggregation can produce different totals.</x:v>
      </x:c>
      <x:c r="D29" s="6" t="str">
        <x:v>https://support.google.com/webmasters/answer/17011364?hl=en</x:v>
      </x:c>
    </x:row>
    <x:row r="30" ht="42" customHeight="1">
      <x:c r="A30" s="6" t="str">
        <x:v>Weighted average position</x:v>
      </x:c>
      <x:c r="B30" s="6" t="str">
        <x:v>Approximate aggregate</x:v>
      </x:c>
      <x:c r="C30" s="6" t="str">
        <x:v>SUM(impressions × exported average position) / SUM(impressions); source values are rounded and grouping differs.</x:v>
      </x:c>
      <x:c r="D30" s="6" t="str"/>
    </x:row>
    <x:row r="31" ht="42" customHeight="1">
      <x:c r="A31" s="6" t="str">
        <x:v>Cluster score</x:v>
      </x:c>
      <x:c r="B31" s="6" t="str">
        <x:v>Best member query score</x:v>
      </x:c>
      <x:c r="C31" s="6" t="str">
        <x:v>Cluster priority follows the highest action priority among its member queries; aggregate position is descriptive, not the priority trigger.</x:v>
      </x:c>
      <x:c r="D31" s="6" t="str"/>
    </x:row>
    <x:row r="32" ht="42" customHeight="1">
      <x:c r="A32" s="6" t="str">
        <x:v>Impression quality</x:v>
      </x:c>
      <x:c r="B32" s="6" t="str">
        <x:v>Editorial, within exported queries</x:v>
      </x:c>
      <x:c r="C32" s="6" t="str">
        <x:v>Primary commercial queries and dedicated service variants are high-value; close variations are supporting. Ambiguous entity, foreign-city and unverified capability demands are reduced.</x:v>
      </x:c>
      <x:c r="D32" s="6" t="str"/>
    </x:row>
    <x:row r="33" ht="42" customHeight="1">
      <x:c r="A33" s="6" t="str">
        <x:v>Relevance multiplier</x:v>
      </x:c>
      <x:c r="B33" s="6" t="str">
        <x:v>High 1; Medium 0.65; Low 0.2; Unverified 0.1; None 0</x:v>
      </x:c>
      <x:c r="C33" s="6" t="str">
        <x:v>Near-me queries have no query-level geography in this export. Country totals cannot establish their individual locations.</x:v>
      </x:c>
      <x:c r="D33" s="6" t="str"/>
    </x:row>
    <x:row r="34" ht="42" customHeight="1">
      <x:c r="A34" s="6" t="str">
        <x:v>Classification</x:v>
      </x:c>
      <x:c r="B34" s="6" t="str">
        <x:v>PRIORITIZE / SUPPORT / SPLIT / DEPRIORITIZE / IGNORE</x:v>
      </x:c>
      <x:c r="C34" s="6" t="str">
        <x:v>SPLIT means an existing distinct service owner, not a new page. No REASSIGN ranking claim is made without query/page evidence.</x:v>
      </x:c>
      <x:c r="D34" s="6" t="str"/>
    </x:row>
    <x:row r="35" ht="42" customHeight="1">
      <x:c r="A35" s="6" t="str">
        <x:v>Local inventory</x:v>
      </x:c>
      <x:c r="B35" s="6" t="str">
        <x:v>Current main source rendered separately</x:v>
      </x:c>
      <x:c r="C35" s="6" t="str">
        <x:v>1,438 rendered routes, 1,158 locally indexable. Live sample overrides local title/H1 where checked. Not a proof of Google indexing.</x:v>
      </x:c>
      <x:c r="D35" s="6" t="str"/>
    </x:row>
    <x:row r="36" ht="42" customHeight="1">
      <x:c r="A36" s="6" t="str">
        <x:v>Live/source mismatch</x:v>
      </x:c>
      <x:c r="B36" s="6" t="str">
        <x:v>Six checked Mercedes pages</x:v>
      </x:c>
      <x:c r="C36" s="6" t="str">
        <x:v>The live version has newer metadata than the local checkout; reconcile source before editing or deployment. Earlier publication notes are stale.</x:v>
      </x:c>
      <x:c r="D36" s="6" t="str">
        <x:v>https://digitecme.com/services/mercedes-mechanical-repair-dubai</x:v>
      </x:c>
    </x:row>
    <x:row r="37" ht="42" customHeight="1">
      <x:c r="A37" s="6" t="str">
        <x:v>Internal link counts</x:v>
      </x:c>
      <x:c r="B37" s="6" t="str">
        <x:v>Rendered local referring pages</x:v>
      </x:c>
      <x:c r="C37" s="6" t="str">
        <x:v>Includes shared navigation/footer and localized pages. Counts measure references, not authority, and are not a complete public crawl.</x:v>
      </x:c>
      <x:c r="D37" s="6" t="str"/>
    </x:row>
    <x:row r="38" ht="57" customHeight="1">
      <x:c r="A38" s="6" t="str">
        <x:v>Technical limitations</x:v>
      </x:c>
      <x:c r="B38" s="6" t="str">
        <x:v>Scoped read-only verification</x:v>
      </x:c>
      <x:c r="C38" s="6" t="str">
        <x:v>33 public HTML responses; title/H1/canonical/robots and phone/WhatsApp targets checked. No browser interaction, form submission, URL Inspection, full public broken-link crawl or live analytics verification.</x:v>
      </x:c>
      <x:c r="D38" s="6" t="str"/>
    </x:row>
    <x:row r="39" ht="42" customHeight="1">
      <x:c r="A39" s="6" t="str">
        <x:v>GEO approach</x:v>
      </x:c>
      <x:c r="B39" s="6" t="str">
        <x:v>Useful original evidence and crawlable pages</x:v>
      </x:c>
      <x:c r="C39" s="6" t="str">
        <x:v>Use reliable workshop-specific answers, clear service scope and visible facts. Google does not require special AI schema or llms.txt. Check Search Console AI inclusion settings.</x:v>
      </x:c>
      <x:c r="D39" s="6" t="str">
        <x:v>https://developers.google.com/search/docs/fundamentals/ai-optimization-guide</x:v>
      </x:c>
    </x:row>
    <x:row r="40" ht="42" customHeight="1">
      <x:c r="A40" s="6" t="str">
        <x:v>AI and lead measurement</x:v>
      </x:c>
      <x:c r="B40" s="6" t="str">
        <x:v>Not supplied</x:v>
      </x:c>
      <x:c r="C40" s="6" t="str">
        <x:v>This Web search export contains no AI citations, WhatsApp enquiries, calls, bookings, qualified leads or revenue. Clicks are not leads.</x:v>
      </x:c>
      <x:c r="D40" s="6" t="str"/>
    </x:row>
    <x:row r="41" ht="42" customHeight="1">
      <x:c r="A41" s="6" t="str">
        <x:v>Workflow status</x:v>
      </x:c>
      <x:c r="B41" s="6" t="str">
        <x:v>Analysis and proposed changes only</x:v>
      </x:c>
      <x:c r="C41" s="6" t="str">
        <x:v>No website source, publishing, redirect, GTM/GA4 or business-profile change was made in this task.</x:v>
      </x:c>
      <x:c r="D41" s="6" t="str"/>
    </x:row>
    <x:row r="42" ht="42" customHeight="1">
      <x:c r="A42" s="6" t="str">
        <x:v>Refresh behaviour</x:v>
      </x:c>
      <x:c r="B42" s="6" t="str">
        <x:v>Reclassification requires review</x:v>
      </x:c>
      <x:c r="C42" s="6" t="str">
        <x:v>Scores and aggregations recalculate from cells. Owner, intent, priority, reasons and proposal text describe this fixed export and need editorial review after replacement data.</x:v>
      </x:c>
      <x:c r="D42" s="6" t="str"/>
    </x:row>
  </x:sheetData>
  <x:pageMargins left="0.7" right="0.7" top="0.75" bottom="0.75" header="0.3" footer="0.3"/>
  <x:tableParts count="1">
    <x:tablePart xmlns:r="http://schemas.openxmlformats.org/officeDocument/2006/relationships" r:id="R84b0feb28b0b4e5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48" hidden="0" customWidth="1"/>
    <x:col min="3" max="3" width="16" hidden="0" customWidth="1"/>
    <x:col min="4" max="4" width="20" hidden="0" customWidth="1"/>
    <x:col min="5" max="5" width="20" hidden="0" customWidth="1"/>
    <x:col min="6" max="6" width="22" hidden="0" customWidth="1"/>
  </x:cols>
  <x:sheetData>
    <x:row r="1" ht="30" customHeight="1">
      <x:c r="A1" s="2" t="str">
        <x:v>Source metrics</x:v>
      </x:c>
      <x:c r="B1" s="1"/>
      <x:c r="C1" s="1"/>
      <x:c r="D1" s="1"/>
      <x:c r="E1" s="1"/>
      <x:c r="F1" s="1"/>
    </x:row>
    <x:row r="2">
      <x:c r="A2" s="3" t="str">
        <x:v>Original Chart, Countries and Devices values. Queries and Pages are preserved in their respective maps.</x:v>
      </x:c>
      <x:c r="B2" s="1"/>
      <x:c r="C2" s="1"/>
      <x:c r="D2" s="1"/>
      <x:c r="E2" s="1"/>
      <x:c r="F2" s="1"/>
    </x:row>
    <x:row r="3">
      <x:c r="A3" s="4"/>
      <x:c r="B3" s="4"/>
      <x:c r="C3" s="4"/>
      <x:c r="D3" s="4"/>
      <x:c r="E3" s="4"/>
      <x:c r="F3" s="4"/>
    </x:row>
    <x:row r="4">
      <x:c r="A4" s="1"/>
      <x:c r="B4" s="1"/>
      <x:c r="C4" s="1"/>
      <x:c r="D4" s="1"/>
      <x:c r="E4" s="1"/>
      <x:c r="F4" s="1"/>
    </x:row>
    <x:row r="5" ht="42" customHeight="1">
      <x:c r="A5" s="10" t="str">
        <x:v>Dimension</x:v>
      </x:c>
      <x:c r="B5" s="11" t="str">
        <x:v>Date / label</x:v>
      </x:c>
      <x:c r="C5" s="11" t="str">
        <x:v>Clicks</x:v>
      </x:c>
      <x:c r="D5" s="11" t="str">
        <x:v>Impressions</x:v>
      </x:c>
      <x:c r="E5" s="11" t="str">
        <x:v>CTR (export)</x:v>
      </x:c>
      <x:c r="F5" s="12" t="str">
        <x:v>Position (export)</x:v>
      </x:c>
    </x:row>
    <x:row r="6" ht="42" customHeight="1">
      <x:c r="A6" s="6" t="str">
        <x:v>Chart</x:v>
      </x:c>
      <x:c r="B6" s="19" t="n">
        <x:v>46180</x:v>
      </x:c>
      <x:c r="C6" s="6" t="n">
        <x:v>4</x:v>
      </x:c>
      <x:c r="D6" s="6" t="n">
        <x:v>575</x:v>
      </x:c>
      <x:c r="E6" s="15" t="n">
        <x:v>0.006999999999999999</x:v>
      </x:c>
      <x:c r="F6" s="16" t="n">
        <x:v>20.5</x:v>
      </x:c>
    </x:row>
    <x:row r="7" ht="42" customHeight="1">
      <x:c r="A7" s="6" t="str">
        <x:v>Chart</x:v>
      </x:c>
      <x:c r="B7" s="19" t="n">
        <x:v>46181</x:v>
      </x:c>
      <x:c r="C7" s="6" t="n">
        <x:v>2</x:v>
      </x:c>
      <x:c r="D7" s="6" t="n">
        <x:v>624</x:v>
      </x:c>
      <x:c r="E7" s="15" t="n">
        <x:v>0.0032</x:v>
      </x:c>
      <x:c r="F7" s="16" t="n">
        <x:v>25.1</x:v>
      </x:c>
    </x:row>
    <x:row r="8" ht="42" customHeight="1">
      <x:c r="A8" s="6" t="str">
        <x:v>Chart</x:v>
      </x:c>
      <x:c r="B8" s="19" t="n">
        <x:v>46182</x:v>
      </x:c>
      <x:c r="C8" s="6" t="n">
        <x:v>4</x:v>
      </x:c>
      <x:c r="D8" s="6" t="n">
        <x:v>518</x:v>
      </x:c>
      <x:c r="E8" s="15" t="n">
        <x:v>0.0077</x:v>
      </x:c>
      <x:c r="F8" s="16" t="n">
        <x:v>21</x:v>
      </x:c>
    </x:row>
    <x:row r="9" ht="42" customHeight="1">
      <x:c r="A9" s="6" t="str">
        <x:v>Chart</x:v>
      </x:c>
      <x:c r="B9" s="19" t="n">
        <x:v>46183</x:v>
      </x:c>
      <x:c r="C9" s="6" t="n">
        <x:v>6</x:v>
      </x:c>
      <x:c r="D9" s="6" t="n">
        <x:v>516</x:v>
      </x:c>
      <x:c r="E9" s="15" t="n">
        <x:v>0.0116</x:v>
      </x:c>
      <x:c r="F9" s="16" t="n">
        <x:v>22.8</x:v>
      </x:c>
    </x:row>
    <x:row r="10" ht="42" customHeight="1">
      <x:c r="A10" s="6" t="str">
        <x:v>Chart</x:v>
      </x:c>
      <x:c r="B10" s="19" t="n">
        <x:v>46184</x:v>
      </x:c>
      <x:c r="C10" s="6" t="n">
        <x:v>2</x:v>
      </x:c>
      <x:c r="D10" s="6" t="n">
        <x:v>681</x:v>
      </x:c>
      <x:c r="E10" s="15" t="n">
        <x:v>0.0029</x:v>
      </x:c>
      <x:c r="F10" s="16" t="n">
        <x:v>24.9</x:v>
      </x:c>
    </x:row>
    <x:row r="11" ht="42" customHeight="1">
      <x:c r="A11" s="6" t="str">
        <x:v>Chart</x:v>
      </x:c>
      <x:c r="B11" s="19" t="n">
        <x:v>46185</x:v>
      </x:c>
      <x:c r="C11" s="6" t="n">
        <x:v>2</x:v>
      </x:c>
      <x:c r="D11" s="6" t="n">
        <x:v>534</x:v>
      </x:c>
      <x:c r="E11" s="15" t="n">
        <x:v>0.0037</x:v>
      </x:c>
      <x:c r="F11" s="16" t="n">
        <x:v>23.3</x:v>
      </x:c>
    </x:row>
    <x:row r="12" ht="42" customHeight="1">
      <x:c r="A12" s="6" t="str">
        <x:v>Chart</x:v>
      </x:c>
      <x:c r="B12" s="19" t="n">
        <x:v>46186</x:v>
      </x:c>
      <x:c r="C12" s="6" t="n">
        <x:v>0</x:v>
      </x:c>
      <x:c r="D12" s="6" t="n">
        <x:v>502</x:v>
      </x:c>
      <x:c r="E12" s="15" t="n">
        <x:v>0</x:v>
      </x:c>
      <x:c r="F12" s="16" t="n">
        <x:v>21.7</x:v>
      </x:c>
    </x:row>
    <x:row r="13" ht="42" customHeight="1">
      <x:c r="A13" s="6" t="str">
        <x:v>Chart</x:v>
      </x:c>
      <x:c r="B13" s="19" t="n">
        <x:v>46187</x:v>
      </x:c>
      <x:c r="C13" s="6" t="n">
        <x:v>4</x:v>
      </x:c>
      <x:c r="D13" s="6" t="n">
        <x:v>574</x:v>
      </x:c>
      <x:c r="E13" s="15" t="n">
        <x:v>0.006999999999999999</x:v>
      </x:c>
      <x:c r="F13" s="16" t="n">
        <x:v>21.7</x:v>
      </x:c>
    </x:row>
    <x:row r="14" ht="42" customHeight="1">
      <x:c r="A14" s="6" t="str">
        <x:v>Chart</x:v>
      </x:c>
      <x:c r="B14" s="19" t="n">
        <x:v>46188</x:v>
      </x:c>
      <x:c r="C14" s="6" t="n">
        <x:v>1</x:v>
      </x:c>
      <x:c r="D14" s="6" t="n">
        <x:v>602</x:v>
      </x:c>
      <x:c r="E14" s="15" t="n">
        <x:v>0.0017000000000000001</x:v>
      </x:c>
      <x:c r="F14" s="16" t="n">
        <x:v>20.9</x:v>
      </x:c>
    </x:row>
    <x:row r="15" ht="42" customHeight="1">
      <x:c r="A15" s="6" t="str">
        <x:v>Chart</x:v>
      </x:c>
      <x:c r="B15" s="19" t="n">
        <x:v>46189</x:v>
      </x:c>
      <x:c r="C15" s="6" t="n">
        <x:v>2</x:v>
      </x:c>
      <x:c r="D15" s="6" t="n">
        <x:v>599</x:v>
      </x:c>
      <x:c r="E15" s="15" t="n">
        <x:v>0.0033</x:v>
      </x:c>
      <x:c r="F15" s="16" t="n">
        <x:v>18.9</x:v>
      </x:c>
    </x:row>
    <x:row r="16" ht="42" customHeight="1">
      <x:c r="A16" s="6" t="str">
        <x:v>Chart</x:v>
      </x:c>
      <x:c r="B16" s="19" t="n">
        <x:v>46190</x:v>
      </x:c>
      <x:c r="C16" s="6" t="n">
        <x:v>1</x:v>
      </x:c>
      <x:c r="D16" s="6" t="n">
        <x:v>579</x:v>
      </x:c>
      <x:c r="E16" s="15" t="n">
        <x:v>0.0017000000000000001</x:v>
      </x:c>
      <x:c r="F16" s="16" t="n">
        <x:v>22.4</x:v>
      </x:c>
    </x:row>
    <x:row r="17" ht="42" customHeight="1">
      <x:c r="A17" s="6" t="str">
        <x:v>Chart</x:v>
      </x:c>
      <x:c r="B17" s="19" t="n">
        <x:v>46191</x:v>
      </x:c>
      <x:c r="C17" s="6" t="n">
        <x:v>3</x:v>
      </x:c>
      <x:c r="D17" s="6" t="n">
        <x:v>728</x:v>
      </x:c>
      <x:c r="E17" s="15" t="n">
        <x:v>0.0040999999999999995</x:v>
      </x:c>
      <x:c r="F17" s="16" t="n">
        <x:v>22.4</x:v>
      </x:c>
    </x:row>
    <x:row r="18" ht="42" customHeight="1">
      <x:c r="A18" s="6" t="str">
        <x:v>Chart</x:v>
      </x:c>
      <x:c r="B18" s="19" t="n">
        <x:v>46192</x:v>
      </x:c>
      <x:c r="C18" s="6" t="n">
        <x:v>3</x:v>
      </x:c>
      <x:c r="D18" s="6" t="n">
        <x:v>520</x:v>
      </x:c>
      <x:c r="E18" s="15" t="n">
        <x:v>0.0058</x:v>
      </x:c>
      <x:c r="F18" s="16" t="n">
        <x:v>21.8</x:v>
      </x:c>
    </x:row>
    <x:row r="19" ht="42" customHeight="1">
      <x:c r="A19" s="6" t="str">
        <x:v>Chart</x:v>
      </x:c>
      <x:c r="B19" s="19" t="n">
        <x:v>46193</x:v>
      </x:c>
      <x:c r="C19" s="6" t="n">
        <x:v>0</x:v>
      </x:c>
      <x:c r="D19" s="6" t="n">
        <x:v>516</x:v>
      </x:c>
      <x:c r="E19" s="15" t="n">
        <x:v>0</x:v>
      </x:c>
      <x:c r="F19" s="16" t="n">
        <x:v>20.9</x:v>
      </x:c>
    </x:row>
    <x:row r="20" ht="42" customHeight="1">
      <x:c r="A20" s="6" t="str">
        <x:v>Chart</x:v>
      </x:c>
      <x:c r="B20" s="19" t="n">
        <x:v>46194</x:v>
      </x:c>
      <x:c r="C20" s="6" t="n">
        <x:v>2</x:v>
      </x:c>
      <x:c r="D20" s="6" t="n">
        <x:v>384</x:v>
      </x:c>
      <x:c r="E20" s="15" t="n">
        <x:v>0.0052</x:v>
      </x:c>
      <x:c r="F20" s="16" t="n">
        <x:v>24.8</x:v>
      </x:c>
    </x:row>
    <x:row r="21" ht="42" customHeight="1">
      <x:c r="A21" s="6" t="str">
        <x:v>Chart</x:v>
      </x:c>
      <x:c r="B21" s="19" t="n">
        <x:v>46195</x:v>
      </x:c>
      <x:c r="C21" s="6" t="n">
        <x:v>1</x:v>
      </x:c>
      <x:c r="D21" s="6" t="n">
        <x:v>628</x:v>
      </x:c>
      <x:c r="E21" s="15" t="n">
        <x:v>0.0016</x:v>
      </x:c>
      <x:c r="F21" s="16" t="n">
        <x:v>25.3</x:v>
      </x:c>
    </x:row>
    <x:row r="22" ht="42" customHeight="1">
      <x:c r="A22" s="6" t="str">
        <x:v>Chart</x:v>
      </x:c>
      <x:c r="B22" s="19" t="n">
        <x:v>46196</x:v>
      </x:c>
      <x:c r="C22" s="6" t="n">
        <x:v>1</x:v>
      </x:c>
      <x:c r="D22" s="6" t="n">
        <x:v>468</x:v>
      </x:c>
      <x:c r="E22" s="15" t="n">
        <x:v>0.0021</x:v>
      </x:c>
      <x:c r="F22" s="16" t="n">
        <x:v>27.4</x:v>
      </x:c>
    </x:row>
    <x:row r="23" ht="42" customHeight="1">
      <x:c r="A23" s="6" t="str">
        <x:v>Chart</x:v>
      </x:c>
      <x:c r="B23" s="19" t="n">
        <x:v>46197</x:v>
      </x:c>
      <x:c r="C23" s="6" t="n">
        <x:v>5</x:v>
      </x:c>
      <x:c r="D23" s="6" t="n">
        <x:v>371</x:v>
      </x:c>
      <x:c r="E23" s="15" t="n">
        <x:v>0.013500000000000002</x:v>
      </x:c>
      <x:c r="F23" s="16" t="n">
        <x:v>27.7</x:v>
      </x:c>
    </x:row>
    <x:row r="24" ht="42" customHeight="1">
      <x:c r="A24" s="6" t="str">
        <x:v>Chart</x:v>
      </x:c>
      <x:c r="B24" s="19" t="n">
        <x:v>46198</x:v>
      </x:c>
      <x:c r="C24" s="6" t="n">
        <x:v>3</x:v>
      </x:c>
      <x:c r="D24" s="6" t="n">
        <x:v>507</x:v>
      </x:c>
      <x:c r="E24" s="15" t="n">
        <x:v>0.0059</x:v>
      </x:c>
      <x:c r="F24" s="16" t="n">
        <x:v>26.7</x:v>
      </x:c>
    </x:row>
    <x:row r="25" ht="42" customHeight="1">
      <x:c r="A25" s="6" t="str">
        <x:v>Chart</x:v>
      </x:c>
      <x:c r="B25" s="19" t="n">
        <x:v>46199</x:v>
      </x:c>
      <x:c r="C25" s="6" t="n">
        <x:v>1</x:v>
      </x:c>
      <x:c r="D25" s="6" t="n">
        <x:v>337</x:v>
      </x:c>
      <x:c r="E25" s="15" t="n">
        <x:v>0.003</x:v>
      </x:c>
      <x:c r="F25" s="16" t="n">
        <x:v>30.2</x:v>
      </x:c>
    </x:row>
    <x:row r="26" ht="42" customHeight="1">
      <x:c r="A26" s="6" t="str">
        <x:v>Chart</x:v>
      </x:c>
      <x:c r="B26" s="19" t="n">
        <x:v>46200</x:v>
      </x:c>
      <x:c r="C26" s="6" t="n">
        <x:v>3</x:v>
      </x:c>
      <x:c r="D26" s="6" t="n">
        <x:v>426</x:v>
      </x:c>
      <x:c r="E26" s="15" t="n">
        <x:v>0.006999999999999999</x:v>
      </x:c>
      <x:c r="F26" s="16" t="n">
        <x:v>28.8</x:v>
      </x:c>
    </x:row>
    <x:row r="27" ht="42" customHeight="1">
      <x:c r="A27" s="6" t="str">
        <x:v>Chart</x:v>
      </x:c>
      <x:c r="B27" s="19" t="n">
        <x:v>46201</x:v>
      </x:c>
      <x:c r="C27" s="6" t="n">
        <x:v>3</x:v>
      </x:c>
      <x:c r="D27" s="6" t="n">
        <x:v>445</x:v>
      </x:c>
      <x:c r="E27" s="15" t="n">
        <x:v>0.0067</x:v>
      </x:c>
      <x:c r="F27" s="16" t="n">
        <x:v>27.2</x:v>
      </x:c>
    </x:row>
    <x:row r="28" ht="42" customHeight="1">
      <x:c r="A28" s="6" t="str">
        <x:v>Chart</x:v>
      </x:c>
      <x:c r="B28" s="19" t="n">
        <x:v>46202</x:v>
      </x:c>
      <x:c r="C28" s="6" t="n">
        <x:v>2</x:v>
      </x:c>
      <x:c r="D28" s="6" t="n">
        <x:v>429</x:v>
      </x:c>
      <x:c r="E28" s="15" t="n">
        <x:v>0.004699999999999999</x:v>
      </x:c>
      <x:c r="F28" s="16" t="n">
        <x:v>27.9</x:v>
      </x:c>
    </x:row>
    <x:row r="29" ht="42" customHeight="1">
      <x:c r="A29" s="6" t="str">
        <x:v>Chart</x:v>
      </x:c>
      <x:c r="B29" s="19" t="n">
        <x:v>46203</x:v>
      </x:c>
      <x:c r="C29" s="6" t="n">
        <x:v>3</x:v>
      </x:c>
      <x:c r="D29" s="6" t="n">
        <x:v>498</x:v>
      </x:c>
      <x:c r="E29" s="15" t="n">
        <x:v>0.006</x:v>
      </x:c>
      <x:c r="F29" s="16" t="n">
        <x:v>28</x:v>
      </x:c>
    </x:row>
    <x:row r="30" ht="42" customHeight="1">
      <x:c r="A30" s="6" t="str">
        <x:v>Chart</x:v>
      </x:c>
      <x:c r="B30" s="19" t="n">
        <x:v>46204</x:v>
      </x:c>
      <x:c r="C30" s="6" t="n">
        <x:v>2</x:v>
      </x:c>
      <x:c r="D30" s="6" t="n">
        <x:v>501</x:v>
      </x:c>
      <x:c r="E30" s="15" t="n">
        <x:v>0.004</x:v>
      </x:c>
      <x:c r="F30" s="16" t="n">
        <x:v>28.8</x:v>
      </x:c>
    </x:row>
    <x:row r="31" ht="42" customHeight="1">
      <x:c r="A31" s="6" t="str">
        <x:v>Chart</x:v>
      </x:c>
      <x:c r="B31" s="19" t="n">
        <x:v>46205</x:v>
      </x:c>
      <x:c r="C31" s="6" t="n">
        <x:v>2</x:v>
      </x:c>
      <x:c r="D31" s="6" t="n">
        <x:v>592</x:v>
      </x:c>
      <x:c r="E31" s="15" t="n">
        <x:v>0.0034000000000000002</x:v>
      </x:c>
      <x:c r="F31" s="16" t="n">
        <x:v>30.7</x:v>
      </x:c>
    </x:row>
    <x:row r="32" ht="42" customHeight="1">
      <x:c r="A32" s="6" t="str">
        <x:v>Chart</x:v>
      </x:c>
      <x:c r="B32" s="19" t="n">
        <x:v>46206</x:v>
      </x:c>
      <x:c r="C32" s="6" t="n">
        <x:v>2</x:v>
      </x:c>
      <x:c r="D32" s="6" t="n">
        <x:v>479</x:v>
      </x:c>
      <x:c r="E32" s="15" t="n">
        <x:v>0.0042</x:v>
      </x:c>
      <x:c r="F32" s="16" t="n">
        <x:v>28.7</x:v>
      </x:c>
    </x:row>
    <x:row r="33" ht="42" customHeight="1">
      <x:c r="A33" s="6" t="str">
        <x:v>Chart</x:v>
      </x:c>
      <x:c r="B33" s="19" t="n">
        <x:v>46207</x:v>
      </x:c>
      <x:c r="C33" s="6" t="n">
        <x:v>1</x:v>
      </x:c>
      <x:c r="D33" s="6" t="n">
        <x:v>332</x:v>
      </x:c>
      <x:c r="E33" s="15" t="n">
        <x:v>0.003</x:v>
      </x:c>
      <x:c r="F33" s="16" t="n">
        <x:v>28.7</x:v>
      </x:c>
    </x:row>
    <x:row r="34" ht="42" customHeight="1">
      <x:c r="A34" s="6" t="str">
        <x:v>Chart</x:v>
      </x:c>
      <x:c r="B34" s="19" t="n">
        <x:v>46208</x:v>
      </x:c>
      <x:c r="C34" s="6" t="n">
        <x:v>1</x:v>
      </x:c>
      <x:c r="D34" s="6" t="n">
        <x:v>507</x:v>
      </x:c>
      <x:c r="E34" s="15" t="n">
        <x:v>0.002</x:v>
      </x:c>
      <x:c r="F34" s="16" t="n">
        <x:v>27.4</x:v>
      </x:c>
    </x:row>
    <x:row r="35" ht="42" customHeight="1">
      <x:c r="A35" s="6" t="str">
        <x:v>Chart</x:v>
      </x:c>
      <x:c r="B35" s="19" t="n">
        <x:v>46209</x:v>
      </x:c>
      <x:c r="C35" s="6" t="n">
        <x:v>4</x:v>
      </x:c>
      <x:c r="D35" s="6" t="n">
        <x:v>634</x:v>
      </x:c>
      <x:c r="E35" s="15" t="n">
        <x:v>0.0063</x:v>
      </x:c>
      <x:c r="F35" s="16" t="n">
        <x:v>27.6</x:v>
      </x:c>
    </x:row>
    <x:row r="36" ht="42" customHeight="1">
      <x:c r="A36" s="6" t="str">
        <x:v>Chart</x:v>
      </x:c>
      <x:c r="B36" s="19" t="n">
        <x:v>46210</x:v>
      </x:c>
      <x:c r="C36" s="6" t="n">
        <x:v>0</x:v>
      </x:c>
      <x:c r="D36" s="6" t="n">
        <x:v>478</x:v>
      </x:c>
      <x:c r="E36" s="15" t="n">
        <x:v>0</x:v>
      </x:c>
      <x:c r="F36" s="16" t="n">
        <x:v>28.5</x:v>
      </x:c>
    </x:row>
    <x:row r="37" ht="42" customHeight="1">
      <x:c r="A37" s="6" t="str">
        <x:v>Chart</x:v>
      </x:c>
      <x:c r="B37" s="19" t="n">
        <x:v>46211</x:v>
      </x:c>
      <x:c r="C37" s="6" t="n">
        <x:v>2</x:v>
      </x:c>
      <x:c r="D37" s="6" t="n">
        <x:v>1331</x:v>
      </x:c>
      <x:c r="E37" s="15" t="n">
        <x:v>0.0015</x:v>
      </x:c>
      <x:c r="F37" s="16" t="n">
        <x:v>32.6</x:v>
      </x:c>
    </x:row>
    <x:row r="38" ht="42" customHeight="1">
      <x:c r="A38" s="6" t="str">
        <x:v>Chart</x:v>
      </x:c>
      <x:c r="B38" s="19" t="n">
        <x:v>46212</x:v>
      </x:c>
      <x:c r="C38" s="6" t="n">
        <x:v>2</x:v>
      </x:c>
      <x:c r="D38" s="6" t="n">
        <x:v>422</x:v>
      </x:c>
      <x:c r="E38" s="15" t="n">
        <x:v>0.004699999999999999</x:v>
      </x:c>
      <x:c r="F38" s="16" t="n">
        <x:v>29.8</x:v>
      </x:c>
    </x:row>
    <x:row r="39" ht="42" customHeight="1">
      <x:c r="A39" s="6" t="str">
        <x:v>Chart</x:v>
      </x:c>
      <x:c r="B39" s="19" t="n">
        <x:v>46213</x:v>
      </x:c>
      <x:c r="C39" s="6" t="n">
        <x:v>2</x:v>
      </x:c>
      <x:c r="D39" s="6" t="n">
        <x:v>409</x:v>
      </x:c>
      <x:c r="E39" s="15" t="n">
        <x:v>0.0049</x:v>
      </x:c>
      <x:c r="F39" s="16" t="n">
        <x:v>32</x:v>
      </x:c>
    </x:row>
    <x:row r="40" ht="42" customHeight="1">
      <x:c r="A40" s="6" t="str">
        <x:v>Chart</x:v>
      </x:c>
      <x:c r="B40" s="19" t="n">
        <x:v>46214</x:v>
      </x:c>
      <x:c r="C40" s="6" t="n">
        <x:v>4</x:v>
      </x:c>
      <x:c r="D40" s="6" t="n">
        <x:v>467</x:v>
      </x:c>
      <x:c r="E40" s="15" t="n">
        <x:v>0.0086</x:v>
      </x:c>
      <x:c r="F40" s="16" t="n">
        <x:v>32.5</x:v>
      </x:c>
    </x:row>
    <x:row r="41" ht="42" customHeight="1">
      <x:c r="A41" s="6" t="str">
        <x:v>Chart</x:v>
      </x:c>
      <x:c r="B41" s="19" t="n">
        <x:v>46215</x:v>
      </x:c>
      <x:c r="C41" s="6" t="n">
        <x:v>0</x:v>
      </x:c>
      <x:c r="D41" s="6" t="n">
        <x:v>479</x:v>
      </x:c>
      <x:c r="E41" s="15" t="n">
        <x:v>0</x:v>
      </x:c>
      <x:c r="F41" s="16" t="n">
        <x:v>32.1</x:v>
      </x:c>
    </x:row>
    <x:row r="42" ht="42" customHeight="1">
      <x:c r="A42" s="6" t="str">
        <x:v>Chart</x:v>
      </x:c>
      <x:c r="B42" s="19" t="n">
        <x:v>46216</x:v>
      </x:c>
      <x:c r="C42" s="6" t="n">
        <x:v>2</x:v>
      </x:c>
      <x:c r="D42" s="6" t="n">
        <x:v>463</x:v>
      </x:c>
      <x:c r="E42" s="15" t="n">
        <x:v>0.0043</x:v>
      </x:c>
      <x:c r="F42" s="16" t="n">
        <x:v>34.2</x:v>
      </x:c>
    </x:row>
    <x:row r="43" ht="42" customHeight="1">
      <x:c r="A43" s="6" t="str">
        <x:v>Chart</x:v>
      </x:c>
      <x:c r="B43" s="19" t="n">
        <x:v>46217</x:v>
      </x:c>
      <x:c r="C43" s="6" t="n">
        <x:v>2</x:v>
      </x:c>
      <x:c r="D43" s="6" t="n">
        <x:v>567</x:v>
      </x:c>
      <x:c r="E43" s="15" t="n">
        <x:v>0.0034999999999999996</x:v>
      </x:c>
      <x:c r="F43" s="16" t="n">
        <x:v>37.7</x:v>
      </x:c>
    </x:row>
    <x:row r="44" ht="42" customHeight="1">
      <x:c r="A44" s="6" t="str">
        <x:v>Chart</x:v>
      </x:c>
      <x:c r="B44" s="19" t="n">
        <x:v>46218</x:v>
      </x:c>
      <x:c r="C44" s="6" t="n">
        <x:v>5</x:v>
      </x:c>
      <x:c r="D44" s="6" t="n">
        <x:v>675</x:v>
      </x:c>
      <x:c r="E44" s="15" t="n">
        <x:v>0.0074</x:v>
      </x:c>
      <x:c r="F44" s="16" t="n">
        <x:v>38.6</x:v>
      </x:c>
    </x:row>
    <x:row r="45" ht="42" customHeight="1">
      <x:c r="A45" s="6" t="str">
        <x:v>Chart</x:v>
      </x:c>
      <x:c r="B45" s="19" t="n">
        <x:v>46219</x:v>
      </x:c>
      <x:c r="C45" s="6" t="n">
        <x:v>2</x:v>
      </x:c>
      <x:c r="D45" s="6" t="n">
        <x:v>562</x:v>
      </x:c>
      <x:c r="E45" s="15" t="n">
        <x:v>0.0036</x:v>
      </x:c>
      <x:c r="F45" s="16" t="n">
        <x:v>39.2</x:v>
      </x:c>
    </x:row>
    <x:row r="46" ht="42" customHeight="1">
      <x:c r="A46" s="6" t="str">
        <x:v>Chart</x:v>
      </x:c>
      <x:c r="B46" s="19" t="n">
        <x:v>46220</x:v>
      </x:c>
      <x:c r="C46" s="6" t="n">
        <x:v>7</x:v>
      </x:c>
      <x:c r="D46" s="6" t="n">
        <x:v>661</x:v>
      </x:c>
      <x:c r="E46" s="15" t="n">
        <x:v>0.0106</x:v>
      </x:c>
      <x:c r="F46" s="16" t="n">
        <x:v>27.4</x:v>
      </x:c>
    </x:row>
    <x:row r="47" ht="42" customHeight="1">
      <x:c r="A47" s="6" t="str">
        <x:v>Chart</x:v>
      </x:c>
      <x:c r="B47" s="19" t="n">
        <x:v>46221</x:v>
      </x:c>
      <x:c r="C47" s="6" t="n">
        <x:v>3</x:v>
      </x:c>
      <x:c r="D47" s="6" t="n">
        <x:v>395</x:v>
      </x:c>
      <x:c r="E47" s="15" t="n">
        <x:v>0.0076</x:v>
      </x:c>
      <x:c r="F47" s="16" t="n">
        <x:v>32.2</x:v>
      </x:c>
    </x:row>
    <x:row r="48" ht="42" customHeight="1">
      <x:c r="A48" s="6" t="str">
        <x:v>Chart</x:v>
      </x:c>
      <x:c r="B48" s="19" t="n">
        <x:v>46222</x:v>
      </x:c>
      <x:c r="C48" s="6" t="n">
        <x:v>3</x:v>
      </x:c>
      <x:c r="D48" s="6" t="n">
        <x:v>714</x:v>
      </x:c>
      <x:c r="E48" s="15" t="n">
        <x:v>0.0042</x:v>
      </x:c>
      <x:c r="F48" s="16" t="n">
        <x:v>37.2</x:v>
      </x:c>
    </x:row>
    <x:row r="49" ht="42" customHeight="1">
      <x:c r="A49" s="6" t="str">
        <x:v>Chart</x:v>
      </x:c>
      <x:c r="B49" s="19" t="n">
        <x:v>46223</x:v>
      </x:c>
      <x:c r="C49" s="6" t="n">
        <x:v>2</x:v>
      </x:c>
      <x:c r="D49" s="6" t="n">
        <x:v>758</x:v>
      </x:c>
      <x:c r="E49" s="15" t="n">
        <x:v>0.0026</x:v>
      </x:c>
      <x:c r="F49" s="16" t="n">
        <x:v>34.4</x:v>
      </x:c>
    </x:row>
    <x:row r="50" ht="42" customHeight="1">
      <x:c r="A50" s="6" t="str">
        <x:v>Chart</x:v>
      </x:c>
      <x:c r="B50" s="19" t="n">
        <x:v>46224</x:v>
      </x:c>
      <x:c r="C50" s="6" t="n">
        <x:v>6</x:v>
      </x:c>
      <x:c r="D50" s="6" t="n">
        <x:v>877</x:v>
      </x:c>
      <x:c r="E50" s="15" t="n">
        <x:v>0.0068000000000000005</x:v>
      </x:c>
      <x:c r="F50" s="16" t="n">
        <x:v>33.7</x:v>
      </x:c>
    </x:row>
    <x:row r="51" ht="42" customHeight="1">
      <x:c r="A51" s="6" t="str">
        <x:v>Chart</x:v>
      </x:c>
      <x:c r="B51" s="19" t="n">
        <x:v>46225</x:v>
      </x:c>
      <x:c r="C51" s="6" t="n">
        <x:v>1</x:v>
      </x:c>
      <x:c r="D51" s="6" t="n">
        <x:v>1590</x:v>
      </x:c>
      <x:c r="E51" s="15" t="n">
        <x:v>0.0006</x:v>
      </x:c>
      <x:c r="F51" s="16" t="n">
        <x:v>27.5</x:v>
      </x:c>
    </x:row>
    <x:row r="52" ht="42" customHeight="1">
      <x:c r="A52" s="6" t="str">
        <x:v>Chart</x:v>
      </x:c>
      <x:c r="B52" s="19" t="n">
        <x:v>46226</x:v>
      </x:c>
      <x:c r="C52" s="6" t="n">
        <x:v>3</x:v>
      </x:c>
      <x:c r="D52" s="6" t="n">
        <x:v>1080</x:v>
      </x:c>
      <x:c r="E52" s="15" t="n">
        <x:v>0.0028000000000000004</x:v>
      </x:c>
      <x:c r="F52" s="16" t="n">
        <x:v>34.2</x:v>
      </x:c>
    </x:row>
    <x:row r="53" ht="42" customHeight="1">
      <x:c r="A53" s="6" t="str">
        <x:v>Chart</x:v>
      </x:c>
      <x:c r="B53" s="19" t="n">
        <x:v>46227</x:v>
      </x:c>
      <x:c r="C53" s="6" t="n">
        <x:v>4</x:v>
      </x:c>
      <x:c r="D53" s="6" t="n">
        <x:v>1080</x:v>
      </x:c>
      <x:c r="E53" s="15" t="n">
        <x:v>0.0037</x:v>
      </x:c>
      <x:c r="F53" s="16" t="n">
        <x:v>28.1</x:v>
      </x:c>
    </x:row>
    <x:row r="54" ht="42" customHeight="1">
      <x:c r="A54" s="6" t="str">
        <x:v>Chart</x:v>
      </x:c>
      <x:c r="B54" s="19" t="n">
        <x:v>46228</x:v>
      </x:c>
      <x:c r="C54" s="6" t="n">
        <x:v>3</x:v>
      </x:c>
      <x:c r="D54" s="6" t="n">
        <x:v>913</x:v>
      </x:c>
      <x:c r="E54" s="15" t="n">
        <x:v>0.0033</x:v>
      </x:c>
      <x:c r="F54" s="16" t="n">
        <x:v>28.9</x:v>
      </x:c>
    </x:row>
    <x:row r="55" ht="42" customHeight="1">
      <x:c r="A55" s="6" t="str">
        <x:v>Chart</x:v>
      </x:c>
      <x:c r="B55" s="19" t="n">
        <x:v>46229</x:v>
      </x:c>
      <x:c r="C55" s="6" t="n">
        <x:v>3</x:v>
      </x:c>
      <x:c r="D55" s="6" t="n">
        <x:v>1255</x:v>
      </x:c>
      <x:c r="E55" s="15" t="n">
        <x:v>0.0024</x:v>
      </x:c>
      <x:c r="F55" s="16" t="n">
        <x:v>32.6</x:v>
      </x:c>
    </x:row>
    <x:row r="56" ht="42" customHeight="1">
      <x:c r="A56" s="6" t="str">
        <x:v>Chart</x:v>
      </x:c>
      <x:c r="B56" s="19" t="n">
        <x:v>46230</x:v>
      </x:c>
      <x:c r="C56" s="6" t="n">
        <x:v>21</x:v>
      </x:c>
      <x:c r="D56" s="6" t="n">
        <x:v>1820</x:v>
      </x:c>
      <x:c r="E56" s="15" t="n">
        <x:v>0.0115</x:v>
      </x:c>
      <x:c r="F56" s="16" t="n">
        <x:v>25.2</x:v>
      </x:c>
    </x:row>
    <x:row r="57" ht="42" customHeight="1">
      <x:c r="A57" s="6" t="str">
        <x:v>Chart</x:v>
      </x:c>
      <x:c r="B57" s="19" t="n">
        <x:v>46231</x:v>
      </x:c>
      <x:c r="C57" s="6" t="n">
        <x:v>7</x:v>
      </x:c>
      <x:c r="D57" s="6" t="n">
        <x:v>1326</x:v>
      </x:c>
      <x:c r="E57" s="15" t="n">
        <x:v>0.0053</x:v>
      </x:c>
      <x:c r="F57" s="16" t="n">
        <x:v>32.2</x:v>
      </x:c>
    </x:row>
    <x:row r="58" ht="42" customHeight="1">
      <x:c r="A58" s="6" t="str">
        <x:v>Chart</x:v>
      </x:c>
      <x:c r="B58" s="19" t="n">
        <x:v>46232</x:v>
      </x:c>
      <x:c r="C58" s="6" t="n">
        <x:v>9</x:v>
      </x:c>
      <x:c r="D58" s="6" t="n">
        <x:v>1498</x:v>
      </x:c>
      <x:c r="E58" s="15" t="n">
        <x:v>0.006</x:v>
      </x:c>
      <x:c r="F58" s="16" t="n">
        <x:v>30.8</x:v>
      </x:c>
    </x:row>
    <x:row r="59" ht="42" customHeight="1">
      <x:c r="A59" s="6" t="str">
        <x:v>Chart</x:v>
      </x:c>
      <x:c r="B59" s="19" t="n">
        <x:v>46233</x:v>
      </x:c>
      <x:c r="C59" s="6" t="n">
        <x:v>13</x:v>
      </x:c>
      <x:c r="D59" s="6" t="n">
        <x:v>1412</x:v>
      </x:c>
      <x:c r="E59" s="15" t="n">
        <x:v>0.0092</x:v>
      </x:c>
      <x:c r="F59" s="16" t="n">
        <x:v>32.6</x:v>
      </x:c>
    </x:row>
    <x:row r="60" ht="42" customHeight="1">
      <x:c r="A60" s="6" t="str">
        <x:v>Chart</x:v>
      </x:c>
      <x:c r="B60" s="19" t="n">
        <x:v>46234</x:v>
      </x:c>
      <x:c r="C60" s="6" t="n">
        <x:v>6</x:v>
      </x:c>
      <x:c r="D60" s="6" t="n">
        <x:v>1690</x:v>
      </x:c>
      <x:c r="E60" s="15" t="n">
        <x:v>0.0036</x:v>
      </x:c>
      <x:c r="F60" s="16" t="n">
        <x:v>28.3</x:v>
      </x:c>
    </x:row>
    <x:row r="61" ht="42" customHeight="1">
      <x:c r="A61" s="6" t="str">
        <x:v>Chart</x:v>
      </x:c>
      <x:c r="B61" s="19" t="n">
        <x:v>46235</x:v>
      </x:c>
      <x:c r="C61" s="6" t="n">
        <x:v>5</x:v>
      </x:c>
      <x:c r="D61" s="6" t="n">
        <x:v>887</x:v>
      </x:c>
      <x:c r="E61" s="15" t="n">
        <x:v>0.005600000000000001</x:v>
      </x:c>
      <x:c r="F61" s="16" t="n">
        <x:v>27.7</x:v>
      </x:c>
    </x:row>
    <x:row r="62" ht="42" customHeight="1">
      <x:c r="A62" s="6" t="str">
        <x:v>Chart</x:v>
      </x:c>
      <x:c r="B62" s="19" t="n">
        <x:v>46236</x:v>
      </x:c>
      <x:c r="C62" s="6" t="n">
        <x:v>6</x:v>
      </x:c>
      <x:c r="D62" s="6" t="n">
        <x:v>839</x:v>
      </x:c>
      <x:c r="E62" s="15" t="n">
        <x:v>0.0072</x:v>
      </x:c>
      <x:c r="F62" s="16" t="n">
        <x:v>26.2</x:v>
      </x:c>
    </x:row>
    <x:row r="63" ht="42" customHeight="1">
      <x:c r="A63" s="6" t="str">
        <x:v>Chart</x:v>
      </x:c>
      <x:c r="B63" s="19" t="n">
        <x:v>46237</x:v>
      </x:c>
      <x:c r="C63" s="6" t="n">
        <x:v>8</x:v>
      </x:c>
      <x:c r="D63" s="6" t="n">
        <x:v>1027</x:v>
      </x:c>
      <x:c r="E63" s="15" t="n">
        <x:v>0.0078000000000000005</x:v>
      </x:c>
      <x:c r="F63" s="16" t="n">
        <x:v>25.5</x:v>
      </x:c>
    </x:row>
    <x:row r="64" ht="42" customHeight="1">
      <x:c r="A64" s="6" t="str">
        <x:v>Chart</x:v>
      </x:c>
      <x:c r="B64" s="19" t="n">
        <x:v>46238</x:v>
      </x:c>
      <x:c r="C64" s="6" t="n">
        <x:v>2</x:v>
      </x:c>
      <x:c r="D64" s="6" t="n">
        <x:v>874</x:v>
      </x:c>
      <x:c r="E64" s="15" t="n">
        <x:v>0.0023</x:v>
      </x:c>
      <x:c r="F64" s="16" t="n">
        <x:v>27.4</x:v>
      </x:c>
    </x:row>
    <x:row r="65" ht="42" customHeight="1">
      <x:c r="A65" s="6" t="str">
        <x:v>Chart</x:v>
      </x:c>
      <x:c r="B65" s="19" t="n">
        <x:v>46239</x:v>
      </x:c>
      <x:c r="C65" s="6" t="n">
        <x:v>7</x:v>
      </x:c>
      <x:c r="D65" s="6" t="n">
        <x:v>902</x:v>
      </x:c>
      <x:c r="E65" s="15" t="n">
        <x:v>0.0078000000000000005</x:v>
      </x:c>
      <x:c r="F65" s="16" t="n">
        <x:v>23.4</x:v>
      </x:c>
    </x:row>
    <x:row r="66" ht="42" customHeight="1">
      <x:c r="A66" s="6" t="str">
        <x:v>Chart</x:v>
      </x:c>
      <x:c r="B66" s="19" t="n">
        <x:v>46240</x:v>
      </x:c>
      <x:c r="C66" s="6" t="n">
        <x:v>5</x:v>
      </x:c>
      <x:c r="D66" s="6" t="n">
        <x:v>956</x:v>
      </x:c>
      <x:c r="E66" s="15" t="n">
        <x:v>0.0052</x:v>
      </x:c>
      <x:c r="F66" s="16" t="n">
        <x:v>24.3</x:v>
      </x:c>
    </x:row>
    <x:row r="67" ht="42" customHeight="1">
      <x:c r="A67" s="6" t="str">
        <x:v>Chart</x:v>
      </x:c>
      <x:c r="B67" s="19" t="n">
        <x:v>46241</x:v>
      </x:c>
      <x:c r="C67" s="6" t="n">
        <x:v>3</x:v>
      </x:c>
      <x:c r="D67" s="6" t="n">
        <x:v>871</x:v>
      </x:c>
      <x:c r="E67" s="15" t="n">
        <x:v>0.0034000000000000002</x:v>
      </x:c>
      <x:c r="F67" s="16" t="n">
        <x:v>24.9</x:v>
      </x:c>
    </x:row>
    <x:row r="68" ht="42" customHeight="1">
      <x:c r="A68" s="6" t="str">
        <x:v>Chart</x:v>
      </x:c>
      <x:c r="B68" s="19" t="n">
        <x:v>46242</x:v>
      </x:c>
      <x:c r="C68" s="6" t="n">
        <x:v>1</x:v>
      </x:c>
      <x:c r="D68" s="6" t="n">
        <x:v>747</x:v>
      </x:c>
      <x:c r="E68" s="15" t="n">
        <x:v>0.0013</x:v>
      </x:c>
      <x:c r="F68" s="16" t="n">
        <x:v>26.7</x:v>
      </x:c>
    </x:row>
    <x:row r="69" ht="42" customHeight="1">
      <x:c r="A69" s="6" t="str">
        <x:v>Chart</x:v>
      </x:c>
      <x:c r="B69" s="19" t="n">
        <x:v>46243</x:v>
      </x:c>
      <x:c r="C69" s="6" t="n">
        <x:v>2</x:v>
      </x:c>
      <x:c r="D69" s="6" t="n">
        <x:v>834</x:v>
      </x:c>
      <x:c r="E69" s="15" t="n">
        <x:v>0.0024</x:v>
      </x:c>
      <x:c r="F69" s="16" t="n">
        <x:v>26</x:v>
      </x:c>
    </x:row>
    <x:row r="70" ht="42" customHeight="1">
      <x:c r="A70" s="6" t="str">
        <x:v>Chart</x:v>
      </x:c>
      <x:c r="B70" s="19" t="n">
        <x:v>46244</x:v>
      </x:c>
      <x:c r="C70" s="6" t="n">
        <x:v>8</x:v>
      </x:c>
      <x:c r="D70" s="6" t="n">
        <x:v>1047</x:v>
      </x:c>
      <x:c r="E70" s="15" t="n">
        <x:v>0.0076</x:v>
      </x:c>
      <x:c r="F70" s="16" t="n">
        <x:v>24.2</x:v>
      </x:c>
    </x:row>
    <x:row r="71" ht="42" customHeight="1">
      <x:c r="A71" s="6" t="str">
        <x:v>Chart</x:v>
      </x:c>
      <x:c r="B71" s="19" t="n">
        <x:v>46245</x:v>
      </x:c>
      <x:c r="C71" s="6" t="n">
        <x:v>6</x:v>
      </x:c>
      <x:c r="D71" s="6" t="n">
        <x:v>971</x:v>
      </x:c>
      <x:c r="E71" s="15" t="n">
        <x:v>0.0062</x:v>
      </x:c>
      <x:c r="F71" s="16" t="n">
        <x:v>28.1</x:v>
      </x:c>
    </x:row>
    <x:row r="72" ht="42" customHeight="1">
      <x:c r="A72" s="6" t="str">
        <x:v>Chart</x:v>
      </x:c>
      <x:c r="B72" s="19" t="n">
        <x:v>46246</x:v>
      </x:c>
      <x:c r="C72" s="6" t="n">
        <x:v>6</x:v>
      </x:c>
      <x:c r="D72" s="6" t="n">
        <x:v>1167</x:v>
      </x:c>
      <x:c r="E72" s="15" t="n">
        <x:v>0.0051</x:v>
      </x:c>
      <x:c r="F72" s="16" t="n">
        <x:v>29.3</x:v>
      </x:c>
    </x:row>
    <x:row r="73" ht="42" customHeight="1">
      <x:c r="A73" s="6" t="str">
        <x:v>Chart</x:v>
      </x:c>
      <x:c r="B73" s="19" t="n">
        <x:v>46247</x:v>
      </x:c>
      <x:c r="C73" s="6" t="n">
        <x:v>5</x:v>
      </x:c>
      <x:c r="D73" s="6" t="n">
        <x:v>938</x:v>
      </x:c>
      <x:c r="E73" s="15" t="n">
        <x:v>0.0053</x:v>
      </x:c>
      <x:c r="F73" s="16" t="n">
        <x:v>26.7</x:v>
      </x:c>
    </x:row>
    <x:row r="74" ht="42" customHeight="1">
      <x:c r="A74" s="6" t="str">
        <x:v>Chart</x:v>
      </x:c>
      <x:c r="B74" s="19" t="n">
        <x:v>46248</x:v>
      </x:c>
      <x:c r="C74" s="6" t="n">
        <x:v>5</x:v>
      </x:c>
      <x:c r="D74" s="6" t="n">
        <x:v>889</x:v>
      </x:c>
      <x:c r="E74" s="15" t="n">
        <x:v>0.005600000000000001</x:v>
      </x:c>
      <x:c r="F74" s="16" t="n">
        <x:v>23.6</x:v>
      </x:c>
    </x:row>
    <x:row r="75" ht="42" customHeight="1">
      <x:c r="A75" s="6" t="str">
        <x:v>Chart</x:v>
      </x:c>
      <x:c r="B75" s="19" t="n">
        <x:v>46249</x:v>
      </x:c>
      <x:c r="C75" s="6" t="n">
        <x:v>8</x:v>
      </x:c>
      <x:c r="D75" s="6" t="n">
        <x:v>878</x:v>
      </x:c>
      <x:c r="E75" s="15" t="n">
        <x:v>0.0091</x:v>
      </x:c>
      <x:c r="F75" s="16" t="n">
        <x:v>21.9</x:v>
      </x:c>
    </x:row>
    <x:row r="76" ht="42" customHeight="1">
      <x:c r="A76" s="6" t="str">
        <x:v>Chart</x:v>
      </x:c>
      <x:c r="B76" s="19" t="n">
        <x:v>46250</x:v>
      </x:c>
      <x:c r="C76" s="6" t="n">
        <x:v>3</x:v>
      </x:c>
      <x:c r="D76" s="6" t="n">
        <x:v>1161</x:v>
      </x:c>
      <x:c r="E76" s="15" t="n">
        <x:v>0.0026</x:v>
      </x:c>
      <x:c r="F76" s="16" t="n">
        <x:v>20.2</x:v>
      </x:c>
    </x:row>
    <x:row r="77" ht="42" customHeight="1">
      <x:c r="A77" s="6" t="str">
        <x:v>Chart</x:v>
      </x:c>
      <x:c r="B77" s="19" t="n">
        <x:v>46251</x:v>
      </x:c>
      <x:c r="C77" s="6" t="n">
        <x:v>5</x:v>
      </x:c>
      <x:c r="D77" s="6" t="n">
        <x:v>1552</x:v>
      </x:c>
      <x:c r="E77" s="15" t="n">
        <x:v>0.0032</x:v>
      </x:c>
      <x:c r="F77" s="16" t="n">
        <x:v>20.5</x:v>
      </x:c>
    </x:row>
    <x:row r="78" ht="42" customHeight="1">
      <x:c r="A78" s="6" t="str">
        <x:v>Chart</x:v>
      </x:c>
      <x:c r="B78" s="19" t="n">
        <x:v>46252</x:v>
      </x:c>
      <x:c r="C78" s="6" t="n">
        <x:v>4</x:v>
      </x:c>
      <x:c r="D78" s="6" t="n">
        <x:v>959</x:v>
      </x:c>
      <x:c r="E78" s="15" t="n">
        <x:v>0.0042</x:v>
      </x:c>
      <x:c r="F78" s="16" t="n">
        <x:v>21.8</x:v>
      </x:c>
    </x:row>
    <x:row r="79" ht="42" customHeight="1">
      <x:c r="A79" s="6" t="str">
        <x:v>Chart</x:v>
      </x:c>
      <x:c r="B79" s="19" t="n">
        <x:v>46253</x:v>
      </x:c>
      <x:c r="C79" s="6" t="n">
        <x:v>5</x:v>
      </x:c>
      <x:c r="D79" s="6" t="n">
        <x:v>1144</x:v>
      </x:c>
      <x:c r="E79" s="15" t="n">
        <x:v>0.0044</x:v>
      </x:c>
      <x:c r="F79" s="16" t="n">
        <x:v>20.9</x:v>
      </x:c>
    </x:row>
    <x:row r="80" ht="42" customHeight="1">
      <x:c r="A80" s="6" t="str">
        <x:v>Chart</x:v>
      </x:c>
      <x:c r="B80" s="19" t="n">
        <x:v>46254</x:v>
      </x:c>
      <x:c r="C80" s="6" t="n">
        <x:v>5</x:v>
      </x:c>
      <x:c r="D80" s="6" t="n">
        <x:v>1023</x:v>
      </x:c>
      <x:c r="E80" s="15" t="n">
        <x:v>0.0049</x:v>
      </x:c>
      <x:c r="F80" s="16" t="n">
        <x:v>23.1</x:v>
      </x:c>
    </x:row>
    <x:row r="81" ht="42" customHeight="1">
      <x:c r="A81" s="6" t="str">
        <x:v>Chart</x:v>
      </x:c>
      <x:c r="B81" s="19" t="n">
        <x:v>46255</x:v>
      </x:c>
      <x:c r="C81" s="6" t="n">
        <x:v>16</x:v>
      </x:c>
      <x:c r="D81" s="6" t="n">
        <x:v>1031</x:v>
      </x:c>
      <x:c r="E81" s="15" t="n">
        <x:v>0.0155</x:v>
      </x:c>
      <x:c r="F81" s="16" t="n">
        <x:v>21.4</x:v>
      </x:c>
    </x:row>
    <x:row r="82" ht="42" customHeight="1">
      <x:c r="A82" s="6" t="str">
        <x:v>Chart</x:v>
      </x:c>
      <x:c r="B82" s="19" t="n">
        <x:v>46256</x:v>
      </x:c>
      <x:c r="C82" s="6" t="n">
        <x:v>6</x:v>
      </x:c>
      <x:c r="D82" s="6" t="n">
        <x:v>1045</x:v>
      </x:c>
      <x:c r="E82" s="15" t="n">
        <x:v>0.005699999999999999</x:v>
      </x:c>
      <x:c r="F82" s="16" t="n">
        <x:v>21</x:v>
      </x:c>
    </x:row>
    <x:row r="83" ht="42" customHeight="1">
      <x:c r="A83" s="6" t="str">
        <x:v>Chart</x:v>
      </x:c>
      <x:c r="B83" s="19" t="n">
        <x:v>46257</x:v>
      </x:c>
      <x:c r="C83" s="6" t="n">
        <x:v>5</x:v>
      </x:c>
      <x:c r="D83" s="6" t="n">
        <x:v>1093</x:v>
      </x:c>
      <x:c r="E83" s="15" t="n">
        <x:v>0.0046</x:v>
      </x:c>
      <x:c r="F83" s="16" t="n">
        <x:v>21.8</x:v>
      </x:c>
    </x:row>
    <x:row r="84" ht="42" customHeight="1">
      <x:c r="A84" s="6" t="str">
        <x:v>Chart</x:v>
      </x:c>
      <x:c r="B84" s="19" t="n">
        <x:v>46258</x:v>
      </x:c>
      <x:c r="C84" s="6" t="n">
        <x:v>6</x:v>
      </x:c>
      <x:c r="D84" s="6" t="n">
        <x:v>1834</x:v>
      </x:c>
      <x:c r="E84" s="15" t="n">
        <x:v>0.0033</x:v>
      </x:c>
      <x:c r="F84" s="16" t="n">
        <x:v>19.9</x:v>
      </x:c>
    </x:row>
    <x:row r="85" ht="42" customHeight="1">
      <x:c r="A85" s="6" t="str">
        <x:v>Chart</x:v>
      </x:c>
      <x:c r="B85" s="19" t="n">
        <x:v>46259</x:v>
      </x:c>
      <x:c r="C85" s="6" t="n">
        <x:v>7</x:v>
      </x:c>
      <x:c r="D85" s="6" t="n">
        <x:v>1256</x:v>
      </x:c>
      <x:c r="E85" s="15" t="n">
        <x:v>0.005600000000000001</x:v>
      </x:c>
      <x:c r="F85" s="16" t="n">
        <x:v>24.3</x:v>
      </x:c>
    </x:row>
    <x:row r="86" ht="42" customHeight="1">
      <x:c r="A86" s="6" t="str">
        <x:v>Chart</x:v>
      </x:c>
      <x:c r="B86" s="19" t="n">
        <x:v>46260</x:v>
      </x:c>
      <x:c r="C86" s="6" t="n">
        <x:v>5</x:v>
      </x:c>
      <x:c r="D86" s="6" t="n">
        <x:v>1445</x:v>
      </x:c>
      <x:c r="E86" s="15" t="n">
        <x:v>0.0034999999999999996</x:v>
      </x:c>
      <x:c r="F86" s="16" t="n">
        <x:v>23.1</x:v>
      </x:c>
    </x:row>
    <x:row r="87" ht="42" customHeight="1">
      <x:c r="A87" s="6" t="str">
        <x:v>Chart</x:v>
      </x:c>
      <x:c r="B87" s="19" t="n">
        <x:v>46261</x:v>
      </x:c>
      <x:c r="C87" s="6" t="n">
        <x:v>4</x:v>
      </x:c>
      <x:c r="D87" s="6" t="n">
        <x:v>1393</x:v>
      </x:c>
      <x:c r="E87" s="15" t="n">
        <x:v>0.0029</x:v>
      </x:c>
      <x:c r="F87" s="16" t="n">
        <x:v>23.6</x:v>
      </x:c>
    </x:row>
    <x:row r="88" ht="42" customHeight="1">
      <x:c r="A88" s="6" t="str">
        <x:v>Chart</x:v>
      </x:c>
      <x:c r="B88" s="19" t="n">
        <x:v>46262</x:v>
      </x:c>
      <x:c r="C88" s="6" t="n">
        <x:v>2</x:v>
      </x:c>
      <x:c r="D88" s="6" t="n">
        <x:v>1332</x:v>
      </x:c>
      <x:c r="E88" s="15" t="n">
        <x:v>0.0015</x:v>
      </x:c>
      <x:c r="F88" s="16" t="n">
        <x:v>22.5</x:v>
      </x:c>
    </x:row>
    <x:row r="89" ht="42" customHeight="1">
      <x:c r="A89" s="6" t="str">
        <x:v>Chart</x:v>
      </x:c>
      <x:c r="B89" s="19" t="n">
        <x:v>46263</x:v>
      </x:c>
      <x:c r="C89" s="6" t="n">
        <x:v>8</x:v>
      </x:c>
      <x:c r="D89" s="6" t="n">
        <x:v>1009</x:v>
      </x:c>
      <x:c r="E89" s="15" t="n">
        <x:v>0.0079</x:v>
      </x:c>
      <x:c r="F89" s="16" t="n">
        <x:v>23.1</x:v>
      </x:c>
    </x:row>
    <x:row r="90" ht="42" customHeight="1">
      <x:c r="A90" s="6" t="str">
        <x:v>Chart</x:v>
      </x:c>
      <x:c r="B90" s="19" t="n">
        <x:v>46264</x:v>
      </x:c>
      <x:c r="C90" s="6" t="n">
        <x:v>0</x:v>
      </x:c>
      <x:c r="D90" s="6" t="n">
        <x:v>1279</x:v>
      </x:c>
      <x:c r="E90" s="15" t="n">
        <x:v>0</x:v>
      </x:c>
      <x:c r="F90" s="16" t="n">
        <x:v>22.5</x:v>
      </x:c>
    </x:row>
    <x:row r="91" ht="42" customHeight="1">
      <x:c r="A91" s="6" t="str">
        <x:v>Chart</x:v>
      </x:c>
      <x:c r="B91" s="19" t="n">
        <x:v>46265</x:v>
      </x:c>
      <x:c r="C91" s="6" t="n">
        <x:v>12</x:v>
      </x:c>
      <x:c r="D91" s="6" t="n">
        <x:v>1443</x:v>
      </x:c>
      <x:c r="E91" s="15" t="n">
        <x:v>0.0083</x:v>
      </x:c>
      <x:c r="F91" s="16" t="n">
        <x:v>22.8</x:v>
      </x:c>
    </x:row>
    <x:row r="92" ht="42" customHeight="1">
      <x:c r="A92" s="6" t="str">
        <x:v>Chart</x:v>
      </x:c>
      <x:c r="B92" s="19" t="n">
        <x:v>46266</x:v>
      </x:c>
      <x:c r="C92" s="6" t="n">
        <x:v>2</x:v>
      </x:c>
      <x:c r="D92" s="6" t="n">
        <x:v>1514</x:v>
      </x:c>
      <x:c r="E92" s="15" t="n">
        <x:v>0.0013</x:v>
      </x:c>
      <x:c r="F92" s="16" t="n">
        <x:v>18.6</x:v>
      </x:c>
    </x:row>
    <x:row r="93" ht="42" customHeight="1">
      <x:c r="A93" s="6" t="str">
        <x:v>Chart</x:v>
      </x:c>
      <x:c r="B93" s="19" t="n">
        <x:v>46267</x:v>
      </x:c>
      <x:c r="C93" s="6" t="n">
        <x:v>4</x:v>
      </x:c>
      <x:c r="D93" s="6" t="n">
        <x:v>1445</x:v>
      </x:c>
      <x:c r="E93" s="15" t="n">
        <x:v>0.0028000000000000004</x:v>
      </x:c>
      <x:c r="F93" s="16" t="n">
        <x:v>18.1</x:v>
      </x:c>
    </x:row>
    <x:row r="94" ht="42" customHeight="1">
      <x:c r="A94" s="6" t="str">
        <x:v>Chart</x:v>
      </x:c>
      <x:c r="B94" s="19" t="n">
        <x:v>46268</x:v>
      </x:c>
      <x:c r="C94" s="6" t="n">
        <x:v>7</x:v>
      </x:c>
      <x:c r="D94" s="6" t="n">
        <x:v>1359</x:v>
      </x:c>
      <x:c r="E94" s="15" t="n">
        <x:v>0.0052</x:v>
      </x:c>
      <x:c r="F94" s="16" t="n">
        <x:v>20.3</x:v>
      </x:c>
    </x:row>
    <x:row r="95" ht="42" customHeight="1">
      <x:c r="A95" s="6" t="str">
        <x:v>Chart</x:v>
      </x:c>
      <x:c r="B95" s="19" t="n">
        <x:v>46269</x:v>
      </x:c>
      <x:c r="C95" s="6" t="n">
        <x:v>13</x:v>
      </x:c>
      <x:c r="D95" s="6" t="n">
        <x:v>1434</x:v>
      </x:c>
      <x:c r="E95" s="15" t="n">
        <x:v>0.0091</x:v>
      </x:c>
      <x:c r="F95" s="16" t="n">
        <x:v>20.4</x:v>
      </x:c>
    </x:row>
    <x:row r="96" ht="42" customHeight="1">
      <x:c r="A96" s="6" t="str">
        <x:v>Chart</x:v>
      </x:c>
      <x:c r="B96" s="19" t="n">
        <x:v>46270</x:v>
      </x:c>
      <x:c r="C96" s="6" t="n">
        <x:v>3</x:v>
      </x:c>
      <x:c r="D96" s="6" t="n">
        <x:v>1584</x:v>
      </x:c>
      <x:c r="E96" s="15" t="n">
        <x:v>0.0019</x:v>
      </x:c>
      <x:c r="F96" s="16" t="n">
        <x:v>21.3</x:v>
      </x:c>
    </x:row>
    <x:row r="97" ht="42" customHeight="1">
      <x:c r="A97" s="6" t="str">
        <x:v>Chart</x:v>
      </x:c>
      <x:c r="B97" s="19" t="n">
        <x:v>46271</x:v>
      </x:c>
      <x:c r="C97" s="6" t="n">
        <x:v>6</x:v>
      </x:c>
      <x:c r="D97" s="6" t="n">
        <x:v>1594</x:v>
      </x:c>
      <x:c r="E97" s="15" t="n">
        <x:v>0.0038</x:v>
      </x:c>
      <x:c r="F97" s="16" t="n">
        <x:v>18.7</x:v>
      </x:c>
    </x:row>
    <x:row r="98" ht="32" customHeight="1">
      <x:c r="A98" s="6" t="str">
        <x:v>Countries</x:v>
      </x:c>
      <x:c r="B98" s="6" t="str">
        <x:v>United Arab Emirates</x:v>
      </x:c>
      <x:c r="C98" s="6" t="n">
        <x:v>324</x:v>
      </x:c>
      <x:c r="D98" s="6" t="n">
        <x:v>75594</x:v>
      </x:c>
      <x:c r="E98" s="15" t="n">
        <x:v>0.0043</x:v>
      </x:c>
      <x:c r="F98" s="16" t="n">
        <x:v>26.2</x:v>
      </x:c>
    </x:row>
    <x:row r="99" ht="32" customHeight="1">
      <x:c r="A99" s="6" t="str">
        <x:v>Countries</x:v>
      </x:c>
      <x:c r="B99" s="6" t="str">
        <x:v>Jordan</x:v>
      </x:c>
      <x:c r="C99" s="6" t="n">
        <x:v>8</x:v>
      </x:c>
      <x:c r="D99" s="6" t="n">
        <x:v>59</x:v>
      </x:c>
      <x:c r="E99" s="15" t="n">
        <x:v>0.1356</x:v>
      </x:c>
      <x:c r="F99" s="16" t="n">
        <x:v>14.76</x:v>
      </x:c>
    </x:row>
    <x:row r="100" ht="32" customHeight="1">
      <x:c r="A100" s="6" t="str">
        <x:v>Countries</x:v>
      </x:c>
      <x:c r="B100" s="6" t="str">
        <x:v>Saudi Arabia</x:v>
      </x:c>
      <x:c r="C100" s="6" t="n">
        <x:v>6</x:v>
      </x:c>
      <x:c r="D100" s="6" t="n">
        <x:v>140</x:v>
      </x:c>
      <x:c r="E100" s="15" t="n">
        <x:v>0.0429</x:v>
      </x:c>
      <x:c r="F100" s="16" t="n">
        <x:v>14.6</x:v>
      </x:c>
    </x:row>
    <x:row r="101" ht="32" customHeight="1">
      <x:c r="A101" s="6" t="str">
        <x:v>Countries</x:v>
      </x:c>
      <x:c r="B101" s="6" t="str">
        <x:v>Pakistan</x:v>
      </x:c>
      <x:c r="C101" s="6" t="n">
        <x:v>4</x:v>
      </x:c>
      <x:c r="D101" s="6" t="n">
        <x:v>167</x:v>
      </x:c>
      <x:c r="E101" s="15" t="n">
        <x:v>0.024</x:v>
      </x:c>
      <x:c r="F101" s="16" t="n">
        <x:v>20.22</x:v>
      </x:c>
    </x:row>
    <x:row r="102" ht="42" customHeight="1">
      <x:c r="A102" s="6" t="str">
        <x:v>Countries</x:v>
      </x:c>
      <x:c r="B102" s="6" t="str">
        <x:v>India</x:v>
      </x:c>
      <x:c r="C102" s="6" t="n">
        <x:v>3</x:v>
      </x:c>
      <x:c r="D102" s="6" t="n">
        <x:v>633</x:v>
      </x:c>
      <x:c r="E102" s="15" t="n">
        <x:v>0.004699999999999999</x:v>
      </x:c>
      <x:c r="F102" s="16" t="n">
        <x:v>29.94</x:v>
      </x:c>
    </x:row>
    <x:row r="103" ht="32" customHeight="1">
      <x:c r="A103" s="6" t="str">
        <x:v>Countries</x:v>
      </x:c>
      <x:c r="B103" s="6" t="str">
        <x:v>Germany</x:v>
      </x:c>
      <x:c r="C103" s="6" t="n">
        <x:v>3</x:v>
      </x:c>
      <x:c r="D103" s="6" t="n">
        <x:v>206</x:v>
      </x:c>
      <x:c r="E103" s="15" t="n">
        <x:v>0.0146</x:v>
      </x:c>
      <x:c r="F103" s="16" t="n">
        <x:v>10.95</x:v>
      </x:c>
    </x:row>
    <x:row r="104" ht="42" customHeight="1">
      <x:c r="A104" s="6" t="str">
        <x:v>Countries</x:v>
      </x:c>
      <x:c r="B104" s="6" t="str">
        <x:v>France</x:v>
      </x:c>
      <x:c r="C104" s="6" t="n">
        <x:v>3</x:v>
      </x:c>
      <x:c r="D104" s="6" t="n">
        <x:v>67</x:v>
      </x:c>
      <x:c r="E104" s="15" t="n">
        <x:v>0.044800000000000006</x:v>
      </x:c>
      <x:c r="F104" s="16" t="n">
        <x:v>13.21</x:v>
      </x:c>
    </x:row>
    <x:row r="105" ht="42" customHeight="1">
      <x:c r="A105" s="6" t="str">
        <x:v>Countries</x:v>
      </x:c>
      <x:c r="B105" s="6" t="str">
        <x:v>United Kingdom</x:v>
      </x:c>
      <x:c r="C105" s="6" t="n">
        <x:v>2</x:v>
      </x:c>
      <x:c r="D105" s="6" t="n">
        <x:v>329</x:v>
      </x:c>
      <x:c r="E105" s="15" t="n">
        <x:v>0.0060999999999999995</x:v>
      </x:c>
      <x:c r="F105" s="16" t="n">
        <x:v>19.43</x:v>
      </x:c>
    </x:row>
    <x:row r="106" ht="32" customHeight="1">
      <x:c r="A106" s="6" t="str">
        <x:v>Countries</x:v>
      </x:c>
      <x:c r="B106" s="6" t="str">
        <x:v>Netherlands</x:v>
      </x:c>
      <x:c r="C106" s="6" t="n">
        <x:v>2</x:v>
      </x:c>
      <x:c r="D106" s="6" t="n">
        <x:v>210</x:v>
      </x:c>
      <x:c r="E106" s="15" t="n">
        <x:v>0.0095</x:v>
      </x:c>
      <x:c r="F106" s="16" t="n">
        <x:v>8.38</x:v>
      </x:c>
    </x:row>
    <x:row r="107" ht="32" customHeight="1">
      <x:c r="A107" s="6" t="str">
        <x:v>Countries</x:v>
      </x:c>
      <x:c r="B107" s="6" t="str">
        <x:v>Turkey</x:v>
      </x:c>
      <x:c r="C107" s="6" t="n">
        <x:v>2</x:v>
      </x:c>
      <x:c r="D107" s="6" t="n">
        <x:v>126</x:v>
      </x:c>
      <x:c r="E107" s="15" t="n">
        <x:v>0.0159</x:v>
      </x:c>
      <x:c r="F107" s="16" t="n">
        <x:v>24.77</x:v>
      </x:c>
    </x:row>
    <x:row r="108" ht="42" customHeight="1">
      <x:c r="A108" s="6" t="str">
        <x:v>Countries</x:v>
      </x:c>
      <x:c r="B108" s="6" t="str">
        <x:v>Oman</x:v>
      </x:c>
      <x:c r="C108" s="6" t="n">
        <x:v>2</x:v>
      </x:c>
      <x:c r="D108" s="6" t="n">
        <x:v>64</x:v>
      </x:c>
      <x:c r="E108" s="15" t="n">
        <x:v>0.031200000000000002</x:v>
      </x:c>
      <x:c r="F108" s="16" t="n">
        <x:v>13.38</x:v>
      </x:c>
    </x:row>
    <x:row r="109" ht="42" customHeight="1">
      <x:c r="A109" s="6" t="str">
        <x:v>Countries</x:v>
      </x:c>
      <x:c r="B109" s="6" t="str">
        <x:v>Spain</x:v>
      </x:c>
      <x:c r="C109" s="6" t="n">
        <x:v>2</x:v>
      </x:c>
      <x:c r="D109" s="6" t="n">
        <x:v>64</x:v>
      </x:c>
      <x:c r="E109" s="15" t="n">
        <x:v>0.031200000000000002</x:v>
      </x:c>
      <x:c r="F109" s="16" t="n">
        <x:v>18.42</x:v>
      </x:c>
    </x:row>
    <x:row r="110" ht="32" customHeight="1">
      <x:c r="A110" s="6" t="str">
        <x:v>Countries</x:v>
      </x:c>
      <x:c r="B110" s="6" t="str">
        <x:v>Iran</x:v>
      </x:c>
      <x:c r="C110" s="6" t="n">
        <x:v>2</x:v>
      </x:c>
      <x:c r="D110" s="6" t="n">
        <x:v>38</x:v>
      </x:c>
      <x:c r="E110" s="15" t="n">
        <x:v>0.0526</x:v>
      </x:c>
      <x:c r="F110" s="16" t="n">
        <x:v>8.47</x:v>
      </x:c>
    </x:row>
    <x:row r="111" ht="32" customHeight="1">
      <x:c r="A111" s="6" t="str">
        <x:v>Countries</x:v>
      </x:c>
      <x:c r="B111" s="6" t="str">
        <x:v>Slovakia</x:v>
      </x:c>
      <x:c r="C111" s="6" t="n">
        <x:v>2</x:v>
      </x:c>
      <x:c r="D111" s="6" t="n">
        <x:v>15</x:v>
      </x:c>
      <x:c r="E111" s="15" t="n">
        <x:v>0.1333</x:v>
      </x:c>
      <x:c r="F111" s="16" t="n">
        <x:v>8.67</x:v>
      </x:c>
    </x:row>
    <x:row r="112" ht="32" customHeight="1">
      <x:c r="A112" s="6" t="str">
        <x:v>Countries</x:v>
      </x:c>
      <x:c r="B112" s="6" t="str">
        <x:v>United States</x:v>
      </x:c>
      <x:c r="C112" s="6" t="n">
        <x:v>1</x:v>
      </x:c>
      <x:c r="D112" s="6" t="n">
        <x:v>914</x:v>
      </x:c>
      <x:c r="E112" s="15" t="n">
        <x:v>0.0011</x:v>
      </x:c>
      <x:c r="F112" s="16" t="n">
        <x:v>14.69</x:v>
      </x:c>
    </x:row>
    <x:row r="113" ht="42" customHeight="1">
      <x:c r="A113" s="6" t="str">
        <x:v>Countries</x:v>
      </x:c>
      <x:c r="B113" s="6" t="str">
        <x:v>Vietnam</x:v>
      </x:c>
      <x:c r="C113" s="6" t="n">
        <x:v>1</x:v>
      </x:c>
      <x:c r="D113" s="6" t="n">
        <x:v>101</x:v>
      </x:c>
      <x:c r="E113" s="15" t="n">
        <x:v>0.009899999999999999</x:v>
      </x:c>
      <x:c r="F113" s="16" t="n">
        <x:v>35.13</x:v>
      </x:c>
    </x:row>
    <x:row r="114" ht="32" customHeight="1">
      <x:c r="A114" s="6" t="str">
        <x:v>Countries</x:v>
      </x:c>
      <x:c r="B114" s="6" t="str">
        <x:v>Poland</x:v>
      </x:c>
      <x:c r="C114" s="6" t="n">
        <x:v>1</x:v>
      </x:c>
      <x:c r="D114" s="6" t="n">
        <x:v>76</x:v>
      </x:c>
      <x:c r="E114" s="15" t="n">
        <x:v>0.0132</x:v>
      </x:c>
      <x:c r="F114" s="16" t="n">
        <x:v>14.3</x:v>
      </x:c>
    </x:row>
    <x:row r="115" ht="42" customHeight="1">
      <x:c r="A115" s="6" t="str">
        <x:v>Countries</x:v>
      </x:c>
      <x:c r="B115" s="6" t="str">
        <x:v>Qatar</x:v>
      </x:c>
      <x:c r="C115" s="6" t="n">
        <x:v>1</x:v>
      </x:c>
      <x:c r="D115" s="6" t="n">
        <x:v>74</x:v>
      </x:c>
      <x:c r="E115" s="15" t="n">
        <x:v>0.013500000000000002</x:v>
      </x:c>
      <x:c r="F115" s="16" t="n">
        <x:v>6.41</x:v>
      </x:c>
    </x:row>
    <x:row r="116" ht="32" customHeight="1">
      <x:c r="A116" s="6" t="str">
        <x:v>Countries</x:v>
      </x:c>
      <x:c r="B116" s="6" t="str">
        <x:v>Brazil</x:v>
      </x:c>
      <x:c r="C116" s="6" t="n">
        <x:v>1</x:v>
      </x:c>
      <x:c r="D116" s="6" t="n">
        <x:v>62</x:v>
      </x:c>
      <x:c r="E116" s="15" t="n">
        <x:v>0.0161</x:v>
      </x:c>
      <x:c r="F116" s="16" t="n">
        <x:v>15.77</x:v>
      </x:c>
    </x:row>
    <x:row r="117" ht="32" customHeight="1">
      <x:c r="A117" s="6" t="str">
        <x:v>Countries</x:v>
      </x:c>
      <x:c r="B117" s="6" t="str">
        <x:v>Morocco</x:v>
      </x:c>
      <x:c r="C117" s="6" t="n">
        <x:v>1</x:v>
      </x:c>
      <x:c r="D117" s="6" t="n">
        <x:v>60</x:v>
      </x:c>
      <x:c r="E117" s="15" t="n">
        <x:v>0.0167</x:v>
      </x:c>
      <x:c r="F117" s="16" t="n">
        <x:v>30.17</x:v>
      </x:c>
    </x:row>
    <x:row r="118" ht="32" customHeight="1">
      <x:c r="A118" s="6" t="str">
        <x:v>Countries</x:v>
      </x:c>
      <x:c r="B118" s="6" t="str">
        <x:v>Thailand</x:v>
      </x:c>
      <x:c r="C118" s="6" t="n">
        <x:v>1</x:v>
      </x:c>
      <x:c r="D118" s="6" t="n">
        <x:v>58</x:v>
      </x:c>
      <x:c r="E118" s="15" t="n">
        <x:v>0.0172</x:v>
      </x:c>
      <x:c r="F118" s="16" t="n">
        <x:v>27.16</x:v>
      </x:c>
    </x:row>
    <x:row r="119" ht="32" customHeight="1">
      <x:c r="A119" s="6" t="str">
        <x:v>Countries</x:v>
      </x:c>
      <x:c r="B119" s="6" t="str">
        <x:v>Canada</x:v>
      </x:c>
      <x:c r="C119" s="6" t="n">
        <x:v>1</x:v>
      </x:c>
      <x:c r="D119" s="6" t="n">
        <x:v>49</x:v>
      </x:c>
      <x:c r="E119" s="15" t="n">
        <x:v>0.0204</x:v>
      </x:c>
      <x:c r="F119" s="16" t="n">
        <x:v>10.02</x:v>
      </x:c>
    </x:row>
    <x:row r="120" ht="32" customHeight="1">
      <x:c r="A120" s="6" t="str">
        <x:v>Countries</x:v>
      </x:c>
      <x:c r="B120" s="6" t="str">
        <x:v>Kuwait</x:v>
      </x:c>
      <x:c r="C120" s="6" t="n">
        <x:v>1</x:v>
      </x:c>
      <x:c r="D120" s="6" t="n">
        <x:v>36</x:v>
      </x:c>
      <x:c r="E120" s="15" t="n">
        <x:v>0.0278</x:v>
      </x:c>
      <x:c r="F120" s="16" t="n">
        <x:v>15.69</x:v>
      </x:c>
    </x:row>
    <x:row r="121" ht="42" customHeight="1">
      <x:c r="A121" s="6" t="str">
        <x:v>Countries</x:v>
      </x:c>
      <x:c r="B121" s="6" t="str">
        <x:v>Switzerland</x:v>
      </x:c>
      <x:c r="C121" s="6" t="n">
        <x:v>1</x:v>
      </x:c>
      <x:c r="D121" s="6" t="n">
        <x:v>33</x:v>
      </x:c>
      <x:c r="E121" s="15" t="n">
        <x:v>0.030299999999999997</x:v>
      </x:c>
      <x:c r="F121" s="16" t="n">
        <x:v>11.12</x:v>
      </x:c>
    </x:row>
    <x:row r="122" ht="32" customHeight="1">
      <x:c r="A122" s="6" t="str">
        <x:v>Countries</x:v>
      </x:c>
      <x:c r="B122" s="6" t="str">
        <x:v>Lebanon</x:v>
      </x:c>
      <x:c r="C122" s="6" t="n">
        <x:v>1</x:v>
      </x:c>
      <x:c r="D122" s="6" t="n">
        <x:v>31</x:v>
      </x:c>
      <x:c r="E122" s="15" t="n">
        <x:v>0.0323</x:v>
      </x:c>
      <x:c r="F122" s="16" t="n">
        <x:v>9.58</x:v>
      </x:c>
    </x:row>
    <x:row r="123" ht="32" customHeight="1">
      <x:c r="A123" s="6" t="str">
        <x:v>Countries</x:v>
      </x:c>
      <x:c r="B123" s="6" t="str">
        <x:v>Belgium</x:v>
      </x:c>
      <x:c r="C123" s="6" t="n">
        <x:v>1</x:v>
      </x:c>
      <x:c r="D123" s="6" t="n">
        <x:v>29</x:v>
      </x:c>
      <x:c r="E123" s="15" t="n">
        <x:v>0.0345</x:v>
      </x:c>
      <x:c r="F123" s="16" t="n">
        <x:v>9.48</x:v>
      </x:c>
    </x:row>
    <x:row r="124" ht="42" customHeight="1">
      <x:c r="A124" s="6" t="str">
        <x:v>Countries</x:v>
      </x:c>
      <x:c r="B124" s="6" t="str">
        <x:v>Sweden</x:v>
      </x:c>
      <x:c r="C124" s="6" t="n">
        <x:v>1</x:v>
      </x:c>
      <x:c r="D124" s="6" t="n">
        <x:v>28</x:v>
      </x:c>
      <x:c r="E124" s="15" t="n">
        <x:v>0.035699999999999996</x:v>
      </x:c>
      <x:c r="F124" s="16" t="n">
        <x:v>8.54</x:v>
      </x:c>
    </x:row>
    <x:row r="125" ht="32" customHeight="1">
      <x:c r="A125" s="6" t="str">
        <x:v>Countries</x:v>
      </x:c>
      <x:c r="B125" s="6" t="str">
        <x:v>Austria</x:v>
      </x:c>
      <x:c r="C125" s="6" t="n">
        <x:v>1</x:v>
      </x:c>
      <x:c r="D125" s="6" t="n">
        <x:v>24</x:v>
      </x:c>
      <x:c r="E125" s="15" t="n">
        <x:v>0.0417</x:v>
      </x:c>
      <x:c r="F125" s="16" t="n">
        <x:v>8.17</x:v>
      </x:c>
    </x:row>
    <x:row r="126" ht="32" customHeight="1">
      <x:c r="A126" s="6" t="str">
        <x:v>Countries</x:v>
      </x:c>
      <x:c r="B126" s="6" t="str">
        <x:v>Ghana</x:v>
      </x:c>
      <x:c r="C126" s="6" t="n">
        <x:v>1</x:v>
      </x:c>
      <x:c r="D126" s="6" t="n">
        <x:v>22</x:v>
      </x:c>
      <x:c r="E126" s="15" t="n">
        <x:v>0.0455</x:v>
      </x:c>
      <x:c r="F126" s="16" t="n">
        <x:v>5.73</x:v>
      </x:c>
    </x:row>
    <x:row r="127" ht="32" customHeight="1">
      <x:c r="A127" s="6" t="str">
        <x:v>Countries</x:v>
      </x:c>
      <x:c r="B127" s="6" t="str">
        <x:v>Hong Kong</x:v>
      </x:c>
      <x:c r="C127" s="6" t="n">
        <x:v>1</x:v>
      </x:c>
      <x:c r="D127" s="6" t="n">
        <x:v>22</x:v>
      </x:c>
      <x:c r="E127" s="15" t="n">
        <x:v>0.0455</x:v>
      </x:c>
      <x:c r="F127" s="16" t="n">
        <x:v>6.05</x:v>
      </x:c>
    </x:row>
    <x:row r="128" ht="42" customHeight="1">
      <x:c r="A128" s="6" t="str">
        <x:v>Countries</x:v>
      </x:c>
      <x:c r="B128" s="6" t="str">
        <x:v>Ireland</x:v>
      </x:c>
      <x:c r="C128" s="6" t="n">
        <x:v>1</x:v>
      </x:c>
      <x:c r="D128" s="6" t="n">
        <x:v>21</x:v>
      </x:c>
      <x:c r="E128" s="15" t="n">
        <x:v>0.047599999999999996</x:v>
      </x:c>
      <x:c r="F128" s="16" t="n">
        <x:v>21.67</x:v>
      </x:c>
    </x:row>
    <x:row r="129" ht="32" customHeight="1">
      <x:c r="A129" s="6" t="str">
        <x:v>Countries</x:v>
      </x:c>
      <x:c r="B129" s="6" t="str">
        <x:v>Nigeria</x:v>
      </x:c>
      <x:c r="C129" s="6" t="n">
        <x:v>1</x:v>
      </x:c>
      <x:c r="D129" s="6" t="n">
        <x:v>19</x:v>
      </x:c>
      <x:c r="E129" s="15" t="n">
        <x:v>0.0526</x:v>
      </x:c>
      <x:c r="F129" s="16" t="n">
        <x:v>11.68</x:v>
      </x:c>
    </x:row>
    <x:row r="130" ht="32" customHeight="1">
      <x:c r="A130" s="6" t="str">
        <x:v>Countries</x:v>
      </x:c>
      <x:c r="B130" s="6" t="str">
        <x:v>Denmark</x:v>
      </x:c>
      <x:c r="C130" s="6" t="n">
        <x:v>1</x:v>
      </x:c>
      <x:c r="D130" s="6" t="n">
        <x:v>18</x:v>
      </x:c>
      <x:c r="E130" s="15" t="n">
        <x:v>0.0556</x:v>
      </x:c>
      <x:c r="F130" s="16" t="n">
        <x:v>10.83</x:v>
      </x:c>
    </x:row>
    <x:row r="131" ht="42" customHeight="1">
      <x:c r="A131" s="6" t="str">
        <x:v>Countries</x:v>
      </x:c>
      <x:c r="B131" s="6" t="str">
        <x:v>Tunisia</x:v>
      </x:c>
      <x:c r="C131" s="6" t="n">
        <x:v>1</x:v>
      </x:c>
      <x:c r="D131" s="6" t="n">
        <x:v>14</x:v>
      </x:c>
      <x:c r="E131" s="15" t="n">
        <x:v>0.07139999999999999</x:v>
      </x:c>
      <x:c r="F131" s="16" t="n">
        <x:v>6.5</x:v>
      </x:c>
    </x:row>
    <x:row r="132" ht="42" customHeight="1">
      <x:c r="A132" s="6" t="str">
        <x:v>Countries</x:v>
      </x:c>
      <x:c r="B132" s="6" t="str">
        <x:v>Taiwan</x:v>
      </x:c>
      <x:c r="C132" s="6" t="n">
        <x:v>1</x:v>
      </x:c>
      <x:c r="D132" s="6" t="n">
        <x:v>14</x:v>
      </x:c>
      <x:c r="E132" s="15" t="n">
        <x:v>0.07139999999999999</x:v>
      </x:c>
      <x:c r="F132" s="16" t="n">
        <x:v>9.14</x:v>
      </x:c>
    </x:row>
    <x:row r="133" ht="42" customHeight="1">
      <x:c r="A133" s="6" t="str">
        <x:v>Countries</x:v>
      </x:c>
      <x:c r="B133" s="6" t="str">
        <x:v>Libya</x:v>
      </x:c>
      <x:c r="C133" s="6" t="n">
        <x:v>1</x:v>
      </x:c>
      <x:c r="D133" s="6" t="n">
        <x:v>6</x:v>
      </x:c>
      <x:c r="E133" s="15" t="n">
        <x:v>0.16670000000000001</x:v>
      </x:c>
      <x:c r="F133" s="16" t="n">
        <x:v>8.67</x:v>
      </x:c>
    </x:row>
    <x:row r="134" ht="32" customHeight="1">
      <x:c r="A134" s="6" t="str">
        <x:v>Countries</x:v>
      </x:c>
      <x:c r="B134" s="6" t="str">
        <x:v>Mexico</x:v>
      </x:c>
      <x:c r="C134" s="6" t="n">
        <x:v>0</x:v>
      </x:c>
      <x:c r="D134" s="6" t="n">
        <x:v>402</x:v>
      </x:c>
      <x:c r="E134" s="15" t="n">
        <x:v>0</x:v>
      </x:c>
      <x:c r="F134" s="16" t="n">
        <x:v>11.53</x:v>
      </x:c>
    </x:row>
    <x:row r="135" ht="32" customHeight="1">
      <x:c r="A135" s="6" t="str">
        <x:v>Countries</x:v>
      </x:c>
      <x:c r="B135" s="6" t="str">
        <x:v>Indonesia</x:v>
      </x:c>
      <x:c r="C135" s="6" t="n">
        <x:v>0</x:v>
      </x:c>
      <x:c r="D135" s="6" t="n">
        <x:v>103</x:v>
      </x:c>
      <x:c r="E135" s="15" t="n">
        <x:v>0</x:v>
      </x:c>
      <x:c r="F135" s="16" t="n">
        <x:v>25.02</x:v>
      </x:c>
    </x:row>
    <x:row r="136" ht="32" customHeight="1">
      <x:c r="A136" s="6" t="str">
        <x:v>Countries</x:v>
      </x:c>
      <x:c r="B136" s="6" t="str">
        <x:v>Philippines</x:v>
      </x:c>
      <x:c r="C136" s="6" t="n">
        <x:v>0</x:v>
      </x:c>
      <x:c r="D136" s="6" t="n">
        <x:v>96</x:v>
      </x:c>
      <x:c r="E136" s="15" t="n">
        <x:v>0</x:v>
      </x:c>
      <x:c r="F136" s="16" t="n">
        <x:v>35.43</x:v>
      </x:c>
    </x:row>
    <x:row r="137" ht="32" customHeight="1">
      <x:c r="A137" s="6" t="str">
        <x:v>Countries</x:v>
      </x:c>
      <x:c r="B137" s="6" t="str">
        <x:v>Russia</x:v>
      </x:c>
      <x:c r="C137" s="6" t="n">
        <x:v>0</x:v>
      </x:c>
      <x:c r="D137" s="6" t="n">
        <x:v>91</x:v>
      </x:c>
      <x:c r="E137" s="15" t="n">
        <x:v>0</x:v>
      </x:c>
      <x:c r="F137" s="16" t="n">
        <x:v>17.7</x:v>
      </x:c>
    </x:row>
    <x:row r="138" ht="32" customHeight="1">
      <x:c r="A138" s="6" t="str">
        <x:v>Countries</x:v>
      </x:c>
      <x:c r="B138" s="6" t="str">
        <x:v>Egypt</x:v>
      </x:c>
      <x:c r="C138" s="6" t="n">
        <x:v>0</x:v>
      </x:c>
      <x:c r="D138" s="6" t="n">
        <x:v>75</x:v>
      </x:c>
      <x:c r="E138" s="15" t="n">
        <x:v>0</x:v>
      </x:c>
      <x:c r="F138" s="16" t="n">
        <x:v>8.69</x:v>
      </x:c>
    </x:row>
    <x:row r="139" ht="32" customHeight="1">
      <x:c r="A139" s="6" t="str">
        <x:v>Countries</x:v>
      </x:c>
      <x:c r="B139" s="6" t="str">
        <x:v>Australia</x:v>
      </x:c>
      <x:c r="C139" s="6" t="n">
        <x:v>0</x:v>
      </x:c>
      <x:c r="D139" s="6" t="n">
        <x:v>60</x:v>
      </x:c>
      <x:c r="E139" s="15" t="n">
        <x:v>0</x:v>
      </x:c>
      <x:c r="F139" s="16" t="n">
        <x:v>15.85</x:v>
      </x:c>
    </x:row>
    <x:row r="140" ht="32" customHeight="1">
      <x:c r="A140" s="6" t="str">
        <x:v>Countries</x:v>
      </x:c>
      <x:c r="B140" s="6" t="str">
        <x:v>Bangladesh</x:v>
      </x:c>
      <x:c r="C140" s="6" t="n">
        <x:v>0</x:v>
      </x:c>
      <x:c r="D140" s="6" t="n">
        <x:v>56</x:v>
      </x:c>
      <x:c r="E140" s="15" t="n">
        <x:v>0</x:v>
      </x:c>
      <x:c r="F140" s="16" t="n">
        <x:v>33.23</x:v>
      </x:c>
    </x:row>
    <x:row r="141" ht="32" customHeight="1">
      <x:c r="A141" s="6" t="str">
        <x:v>Countries</x:v>
      </x:c>
      <x:c r="B141" s="6" t="str">
        <x:v>Italy</x:v>
      </x:c>
      <x:c r="C141" s="6" t="n">
        <x:v>0</x:v>
      </x:c>
      <x:c r="D141" s="6" t="n">
        <x:v>55</x:v>
      </x:c>
      <x:c r="E141" s="15" t="n">
        <x:v>0</x:v>
      </x:c>
      <x:c r="F141" s="16" t="n">
        <x:v>10.2</x:v>
      </x:c>
    </x:row>
    <x:row r="142" ht="32" customHeight="1">
      <x:c r="A142" s="6" t="str">
        <x:v>Countries</x:v>
      </x:c>
      <x:c r="B142" s="6" t="str">
        <x:v>Malaysia</x:v>
      </x:c>
      <x:c r="C142" s="6" t="n">
        <x:v>0</x:v>
      </x:c>
      <x:c r="D142" s="6" t="n">
        <x:v>52</x:v>
      </x:c>
      <x:c r="E142" s="15" t="n">
        <x:v>0</x:v>
      </x:c>
      <x:c r="F142" s="16" t="n">
        <x:v>26.52</x:v>
      </x:c>
    </x:row>
    <x:row r="143" ht="32" customHeight="1">
      <x:c r="A143" s="6" t="str">
        <x:v>Countries</x:v>
      </x:c>
      <x:c r="B143" s="6" t="str">
        <x:v>South Africa</x:v>
      </x:c>
      <x:c r="C143" s="6" t="n">
        <x:v>0</x:v>
      </x:c>
      <x:c r="D143" s="6" t="n">
        <x:v>45</x:v>
      </x:c>
      <x:c r="E143" s="15" t="n">
        <x:v>0</x:v>
      </x:c>
      <x:c r="F143" s="16" t="n">
        <x:v>11.47</x:v>
      </x:c>
    </x:row>
    <x:row r="144" ht="32" customHeight="1">
      <x:c r="A144" s="6" t="str">
        <x:v>Countries</x:v>
      </x:c>
      <x:c r="B144" s="6" t="str">
        <x:v>Algeria</x:v>
      </x:c>
      <x:c r="C144" s="6" t="n">
        <x:v>0</x:v>
      </x:c>
      <x:c r="D144" s="6" t="n">
        <x:v>37</x:v>
      </x:c>
      <x:c r="E144" s="15" t="n">
        <x:v>0</x:v>
      </x:c>
      <x:c r="F144" s="16" t="n">
        <x:v>32.73</x:v>
      </x:c>
    </x:row>
    <x:row r="145" ht="32" customHeight="1">
      <x:c r="A145" s="6" t="str">
        <x:v>Countries</x:v>
      </x:c>
      <x:c r="B145" s="6" t="str">
        <x:v>Iraq</x:v>
      </x:c>
      <x:c r="C145" s="6" t="n">
        <x:v>0</x:v>
      </x:c>
      <x:c r="D145" s="6" t="n">
        <x:v>33</x:v>
      </x:c>
      <x:c r="E145" s="15" t="n">
        <x:v>0</x:v>
      </x:c>
      <x:c r="F145" s="16" t="n">
        <x:v>15.39</x:v>
      </x:c>
    </x:row>
    <x:row r="146" ht="32" customHeight="1">
      <x:c r="A146" s="6" t="str">
        <x:v>Countries</x:v>
      </x:c>
      <x:c r="B146" s="6" t="str">
        <x:v>Romania</x:v>
      </x:c>
      <x:c r="C146" s="6" t="n">
        <x:v>0</x:v>
      </x:c>
      <x:c r="D146" s="6" t="n">
        <x:v>32</x:v>
      </x:c>
      <x:c r="E146" s="15" t="n">
        <x:v>0</x:v>
      </x:c>
      <x:c r="F146" s="16" t="n">
        <x:v>10.41</x:v>
      </x:c>
    </x:row>
    <x:row r="147" ht="32" customHeight="1">
      <x:c r="A147" s="6" t="str">
        <x:v>Countries</x:v>
      </x:c>
      <x:c r="B147" s="6" t="str">
        <x:v>Greece</x:v>
      </x:c>
      <x:c r="C147" s="6" t="n">
        <x:v>0</x:v>
      </x:c>
      <x:c r="D147" s="6" t="n">
        <x:v>31</x:v>
      </x:c>
      <x:c r="E147" s="15" t="n">
        <x:v>0</x:v>
      </x:c>
      <x:c r="F147" s="16" t="n">
        <x:v>10.68</x:v>
      </x:c>
    </x:row>
    <x:row r="148" ht="32" customHeight="1">
      <x:c r="A148" s="6" t="str">
        <x:v>Countries</x:v>
      </x:c>
      <x:c r="B148" s="6" t="str">
        <x:v>Singapore</x:v>
      </x:c>
      <x:c r="C148" s="6" t="n">
        <x:v>0</x:v>
      </x:c>
      <x:c r="D148" s="6" t="n">
        <x:v>27</x:v>
      </x:c>
      <x:c r="E148" s="15" t="n">
        <x:v>0</x:v>
      </x:c>
      <x:c r="F148" s="16" t="n">
        <x:v>13.19</x:v>
      </x:c>
    </x:row>
    <x:row r="149" ht="32" customHeight="1">
      <x:c r="A149" s="6" t="str">
        <x:v>Countries</x:v>
      </x:c>
      <x:c r="B149" s="6" t="str">
        <x:v>China</x:v>
      </x:c>
      <x:c r="C149" s="6" t="n">
        <x:v>0</x:v>
      </x:c>
      <x:c r="D149" s="6" t="n">
        <x:v>27</x:v>
      </x:c>
      <x:c r="E149" s="15" t="n">
        <x:v>0</x:v>
      </x:c>
      <x:c r="F149" s="16" t="n">
        <x:v>16.48</x:v>
      </x:c>
    </x:row>
    <x:row r="150" ht="32" customHeight="1">
      <x:c r="A150" s="6" t="str">
        <x:v>Countries</x:v>
      </x:c>
      <x:c r="B150" s="6" t="str">
        <x:v>Japan</x:v>
      </x:c>
      <x:c r="C150" s="6" t="n">
        <x:v>0</x:v>
      </x:c>
      <x:c r="D150" s="6" t="n">
        <x:v>25</x:v>
      </x:c>
      <x:c r="E150" s="15" t="n">
        <x:v>0</x:v>
      </x:c>
      <x:c r="F150" s="16" t="n">
        <x:v>8.4</x:v>
      </x:c>
    </x:row>
    <x:row r="151" ht="32" customHeight="1">
      <x:c r="A151" s="6" t="str">
        <x:v>Countries</x:v>
      </x:c>
      <x:c r="B151" s="6" t="str">
        <x:v>Syria</x:v>
      </x:c>
      <x:c r="C151" s="6" t="n">
        <x:v>0</x:v>
      </x:c>
      <x:c r="D151" s="6" t="n">
        <x:v>23</x:v>
      </x:c>
      <x:c r="E151" s="15" t="n">
        <x:v>0</x:v>
      </x:c>
      <x:c r="F151" s="16" t="n">
        <x:v>7.65</x:v>
      </x:c>
    </x:row>
    <x:row r="152" ht="32" customHeight="1">
      <x:c r="A152" s="6" t="str">
        <x:v>Countries</x:v>
      </x:c>
      <x:c r="B152" s="6" t="str">
        <x:v>Azerbaijan</x:v>
      </x:c>
      <x:c r="C152" s="6" t="n">
        <x:v>0</x:v>
      </x:c>
      <x:c r="D152" s="6" t="n">
        <x:v>23</x:v>
      </x:c>
      <x:c r="E152" s="15" t="n">
        <x:v>0</x:v>
      </x:c>
      <x:c r="F152" s="16" t="n">
        <x:v>12.7</x:v>
      </x:c>
    </x:row>
    <x:row r="153" ht="32" customHeight="1">
      <x:c r="A153" s="6" t="str">
        <x:v>Countries</x:v>
      </x:c>
      <x:c r="B153" s="6" t="str">
        <x:v>Croatia</x:v>
      </x:c>
      <x:c r="C153" s="6" t="n">
        <x:v>0</x:v>
      </x:c>
      <x:c r="D153" s="6" t="n">
        <x:v>22</x:v>
      </x:c>
      <x:c r="E153" s="15" t="n">
        <x:v>0</x:v>
      </x:c>
      <x:c r="F153" s="16" t="n">
        <x:v>7.82</x:v>
      </x:c>
    </x:row>
    <x:row r="154" ht="32" customHeight="1">
      <x:c r="A154" s="6" t="str">
        <x:v>Countries</x:v>
      </x:c>
      <x:c r="B154" s="6" t="str">
        <x:v>Georgia</x:v>
      </x:c>
      <x:c r="C154" s="6" t="n">
        <x:v>0</x:v>
      </x:c>
      <x:c r="D154" s="6" t="n">
        <x:v>20</x:v>
      </x:c>
      <x:c r="E154" s="15" t="n">
        <x:v>0</x:v>
      </x:c>
      <x:c r="F154" s="16" t="n">
        <x:v>7.9</x:v>
      </x:c>
    </x:row>
    <x:row r="155" ht="32" customHeight="1">
      <x:c r="A155" s="6" t="str">
        <x:v>Countries</x:v>
      </x:c>
      <x:c r="B155" s="6" t="str">
        <x:v>Bulgaria</x:v>
      </x:c>
      <x:c r="C155" s="6" t="n">
        <x:v>0</x:v>
      </x:c>
      <x:c r="D155" s="6" t="n">
        <x:v>20</x:v>
      </x:c>
      <x:c r="E155" s="15" t="n">
        <x:v>0</x:v>
      </x:c>
      <x:c r="F155" s="16" t="n">
        <x:v>10.6</x:v>
      </x:c>
    </x:row>
    <x:row r="156" ht="32" customHeight="1">
      <x:c r="A156" s="6" t="str">
        <x:v>Countries</x:v>
      </x:c>
      <x:c r="B156" s="6" t="str">
        <x:v>Ukraine</x:v>
      </x:c>
      <x:c r="C156" s="6" t="n">
        <x:v>0</x:v>
      </x:c>
      <x:c r="D156" s="6" t="n">
        <x:v>20</x:v>
      </x:c>
      <x:c r="E156" s="15" t="n">
        <x:v>0</x:v>
      </x:c>
      <x:c r="F156" s="16" t="n">
        <x:v>25.4</x:v>
      </x:c>
    </x:row>
    <x:row r="157" ht="32" customHeight="1">
      <x:c r="A157" s="6" t="str">
        <x:v>Countries</x:v>
      </x:c>
      <x:c r="B157" s="6" t="str">
        <x:v>Ethiopia</x:v>
      </x:c>
      <x:c r="C157" s="6" t="n">
        <x:v>0</x:v>
      </x:c>
      <x:c r="D157" s="6" t="n">
        <x:v>19</x:v>
      </x:c>
      <x:c r="E157" s="15" t="n">
        <x:v>0</x:v>
      </x:c>
      <x:c r="F157" s="16" t="n">
        <x:v>8.21</x:v>
      </x:c>
    </x:row>
    <x:row r="158" ht="32" customHeight="1">
      <x:c r="A158" s="6" t="str">
        <x:v>Countries</x:v>
      </x:c>
      <x:c r="B158" s="6" t="str">
        <x:v>Serbia</x:v>
      </x:c>
      <x:c r="C158" s="6" t="n">
        <x:v>0</x:v>
      </x:c>
      <x:c r="D158" s="6" t="n">
        <x:v>19</x:v>
      </x:c>
      <x:c r="E158" s="15" t="n">
        <x:v>0</x:v>
      </x:c>
      <x:c r="F158" s="16" t="n">
        <x:v>9.37</x:v>
      </x:c>
    </x:row>
    <x:row r="159" ht="32" customHeight="1">
      <x:c r="A159" s="6" t="str">
        <x:v>Countries</x:v>
      </x:c>
      <x:c r="B159" s="6" t="str">
        <x:v>Hungary</x:v>
      </x:c>
      <x:c r="C159" s="6" t="n">
        <x:v>0</x:v>
      </x:c>
      <x:c r="D159" s="6" t="n">
        <x:v>18</x:v>
      </x:c>
      <x:c r="E159" s="15" t="n">
        <x:v>0</x:v>
      </x:c>
      <x:c r="F159" s="16" t="n">
        <x:v>7.17</x:v>
      </x:c>
    </x:row>
    <x:row r="160" ht="32" customHeight="1">
      <x:c r="A160" s="6" t="str">
        <x:v>Countries</x:v>
      </x:c>
      <x:c r="B160" s="6" t="str">
        <x:v>Kenya</x:v>
      </x:c>
      <x:c r="C160" s="6" t="n">
        <x:v>0</x:v>
      </x:c>
      <x:c r="D160" s="6" t="n">
        <x:v>17</x:v>
      </x:c>
      <x:c r="E160" s="15" t="n">
        <x:v>0</x:v>
      </x:c>
      <x:c r="F160" s="16" t="n">
        <x:v>8.71</x:v>
      </x:c>
    </x:row>
    <x:row r="161" ht="32" customHeight="1">
      <x:c r="A161" s="6" t="str">
        <x:v>Countries</x:v>
      </x:c>
      <x:c r="B161" s="6" t="str">
        <x:v>Czechia</x:v>
      </x:c>
      <x:c r="C161" s="6" t="n">
        <x:v>0</x:v>
      </x:c>
      <x:c r="D161" s="6" t="n">
        <x:v>15</x:v>
      </x:c>
      <x:c r="E161" s="15" t="n">
        <x:v>0</x:v>
      </x:c>
      <x:c r="F161" s="16" t="n">
        <x:v>8.93</x:v>
      </x:c>
    </x:row>
    <x:row r="162" ht="32" customHeight="1">
      <x:c r="A162" s="6" t="str">
        <x:v>Countries</x:v>
      </x:c>
      <x:c r="B162" s="6" t="str">
        <x:v>New Zealand</x:v>
      </x:c>
      <x:c r="C162" s="6" t="n">
        <x:v>0</x:v>
      </x:c>
      <x:c r="D162" s="6" t="n">
        <x:v>15</x:v>
      </x:c>
      <x:c r="E162" s="15" t="n">
        <x:v>0</x:v>
      </x:c>
      <x:c r="F162" s="16" t="n">
        <x:v>23.53</x:v>
      </x:c>
    </x:row>
    <x:row r="163" ht="32" customHeight="1">
      <x:c r="A163" s="6" t="str">
        <x:v>Countries</x:v>
      </x:c>
      <x:c r="B163" s="6" t="str">
        <x:v>Bahrain</x:v>
      </x:c>
      <x:c r="C163" s="6" t="n">
        <x:v>0</x:v>
      </x:c>
      <x:c r="D163" s="6" t="n">
        <x:v>14</x:v>
      </x:c>
      <x:c r="E163" s="15" t="n">
        <x:v>0</x:v>
      </x:c>
      <x:c r="F163" s="16" t="n">
        <x:v>7.79</x:v>
      </x:c>
    </x:row>
    <x:row r="164" ht="32" customHeight="1">
      <x:c r="A164" s="6" t="str">
        <x:v>Countries</x:v>
      </x:c>
      <x:c r="B164" s="6" t="str">
        <x:v>Sri Lanka</x:v>
      </x:c>
      <x:c r="C164" s="6" t="n">
        <x:v>0</x:v>
      </x:c>
      <x:c r="D164" s="6" t="n">
        <x:v>14</x:v>
      </x:c>
      <x:c r="E164" s="15" t="n">
        <x:v>0</x:v>
      </x:c>
      <x:c r="F164" s="16" t="n">
        <x:v>10.57</x:v>
      </x:c>
    </x:row>
    <x:row r="165" ht="32" customHeight="1">
      <x:c r="A165" s="6" t="str">
        <x:v>Countries</x:v>
      </x:c>
      <x:c r="B165" s="6" t="str">
        <x:v>Norway</x:v>
      </x:c>
      <x:c r="C165" s="6" t="n">
        <x:v>0</x:v>
      </x:c>
      <x:c r="D165" s="6" t="n">
        <x:v>13</x:v>
      </x:c>
      <x:c r="E165" s="15" t="n">
        <x:v>0</x:v>
      </x:c>
      <x:c r="F165" s="16" t="n">
        <x:v>7.46</x:v>
      </x:c>
    </x:row>
    <x:row r="166" ht="32" customHeight="1">
      <x:c r="A166" s="6" t="str">
        <x:v>Countries</x:v>
      </x:c>
      <x:c r="B166" s="6" t="str">
        <x:v>Armenia</x:v>
      </x:c>
      <x:c r="C166" s="6" t="n">
        <x:v>0</x:v>
      </x:c>
      <x:c r="D166" s="6" t="n">
        <x:v>12</x:v>
      </x:c>
      <x:c r="E166" s="15" t="n">
        <x:v>0</x:v>
      </x:c>
      <x:c r="F166" s="16" t="n">
        <x:v>16.92</x:v>
      </x:c>
    </x:row>
    <x:row r="167" ht="32" customHeight="1">
      <x:c r="A167" s="6" t="str">
        <x:v>Countries</x:v>
      </x:c>
      <x:c r="B167" s="6" t="str">
        <x:v>Ecuador</x:v>
      </x:c>
      <x:c r="C167" s="6" t="n">
        <x:v>0</x:v>
      </x:c>
      <x:c r="D167" s="6" t="n">
        <x:v>12</x:v>
      </x:c>
      <x:c r="E167" s="15" t="n">
        <x:v>0</x:v>
      </x:c>
      <x:c r="F167" s="16" t="n">
        <x:v>18.92</x:v>
      </x:c>
    </x:row>
    <x:row r="168" ht="32" customHeight="1">
      <x:c r="A168" s="6" t="str">
        <x:v>Countries</x:v>
      </x:c>
      <x:c r="B168" s="6" t="str">
        <x:v>Albania</x:v>
      </x:c>
      <x:c r="C168" s="6" t="n">
        <x:v>0</x:v>
      </x:c>
      <x:c r="D168" s="6" t="n">
        <x:v>11</x:v>
      </x:c>
      <x:c r="E168" s="15" t="n">
        <x:v>0</x:v>
      </x:c>
      <x:c r="F168" s="16" t="n">
        <x:v>6.45</x:v>
      </x:c>
    </x:row>
    <x:row r="169" ht="32" customHeight="1">
      <x:c r="A169" s="6" t="str">
        <x:v>Countries</x:v>
      </x:c>
      <x:c r="B169" s="6" t="str">
        <x:v>Portugal</x:v>
      </x:c>
      <x:c r="C169" s="6" t="n">
        <x:v>0</x:v>
      </x:c>
      <x:c r="D169" s="6" t="n">
        <x:v>11</x:v>
      </x:c>
      <x:c r="E169" s="15" t="n">
        <x:v>0</x:v>
      </x:c>
      <x:c r="F169" s="16" t="n">
        <x:v>14.82</x:v>
      </x:c>
    </x:row>
    <x:row r="170" ht="32" customHeight="1">
      <x:c r="A170" s="6" t="str">
        <x:v>Countries</x:v>
      </x:c>
      <x:c r="B170" s="6" t="str">
        <x:v>Argentina</x:v>
      </x:c>
      <x:c r="C170" s="6" t="n">
        <x:v>0</x:v>
      </x:c>
      <x:c r="D170" s="6" t="n">
        <x:v>11</x:v>
      </x:c>
      <x:c r="E170" s="15" t="n">
        <x:v>0</x:v>
      </x:c>
      <x:c r="F170" s="16" t="n">
        <x:v>24.09</x:v>
      </x:c>
    </x:row>
    <x:row r="171" ht="32" customHeight="1">
      <x:c r="A171" s="6" t="str">
        <x:v>Countries</x:v>
      </x:c>
      <x:c r="B171" s="6" t="str">
        <x:v>Cyprus</x:v>
      </x:c>
      <x:c r="C171" s="6" t="n">
        <x:v>0</x:v>
      </x:c>
      <x:c r="D171" s="6" t="n">
        <x:v>10</x:v>
      </x:c>
      <x:c r="E171" s="15" t="n">
        <x:v>0</x:v>
      </x:c>
      <x:c r="F171" s="16" t="n">
        <x:v>8.4</x:v>
      </x:c>
    </x:row>
    <x:row r="172" ht="32" customHeight="1">
      <x:c r="A172" s="6" t="str">
        <x:v>Countries</x:v>
      </x:c>
      <x:c r="B172" s="6" t="str">
        <x:v>South Korea</x:v>
      </x:c>
      <x:c r="C172" s="6" t="n">
        <x:v>0</x:v>
      </x:c>
      <x:c r="D172" s="6" t="n">
        <x:v>10</x:v>
      </x:c>
      <x:c r="E172" s="15" t="n">
        <x:v>0</x:v>
      </x:c>
      <x:c r="F172" s="16" t="n">
        <x:v>19.5</x:v>
      </x:c>
    </x:row>
    <x:row r="173" ht="32" customHeight="1">
      <x:c r="A173" s="6" t="str">
        <x:v>Countries</x:v>
      </x:c>
      <x:c r="B173" s="6" t="str">
        <x:v>Colombia</x:v>
      </x:c>
      <x:c r="C173" s="6" t="n">
        <x:v>0</x:v>
      </x:c>
      <x:c r="D173" s="6" t="n">
        <x:v>9</x:v>
      </x:c>
      <x:c r="E173" s="15" t="n">
        <x:v>0</x:v>
      </x:c>
      <x:c r="F173" s="16" t="n">
        <x:v>8</x:v>
      </x:c>
    </x:row>
    <x:row r="174" ht="32" customHeight="1">
      <x:c r="A174" s="6" t="str">
        <x:v>Countries</x:v>
      </x:c>
      <x:c r="B174" s="6" t="str">
        <x:v>Bosnia &amp; Herzegovina</x:v>
      </x:c>
      <x:c r="C174" s="6" t="n">
        <x:v>0</x:v>
      </x:c>
      <x:c r="D174" s="6" t="n">
        <x:v>9</x:v>
      </x:c>
      <x:c r="E174" s="15" t="n">
        <x:v>0</x:v>
      </x:c>
      <x:c r="F174" s="16" t="n">
        <x:v>8.56</x:v>
      </x:c>
    </x:row>
    <x:row r="175" ht="32" customHeight="1">
      <x:c r="A175" s="6" t="str">
        <x:v>Countries</x:v>
      </x:c>
      <x:c r="B175" s="6" t="str">
        <x:v>Uzbekistan</x:v>
      </x:c>
      <x:c r="C175" s="6" t="n">
        <x:v>0</x:v>
      </x:c>
      <x:c r="D175" s="6" t="n">
        <x:v>8</x:v>
      </x:c>
      <x:c r="E175" s="15" t="n">
        <x:v>0</x:v>
      </x:c>
      <x:c r="F175" s="16" t="n">
        <x:v>5.88</x:v>
      </x:c>
    </x:row>
    <x:row r="176" ht="32" customHeight="1">
      <x:c r="A176" s="6" t="str">
        <x:v>Countries</x:v>
      </x:c>
      <x:c r="B176" s="6" t="str">
        <x:v>Lithuania</x:v>
      </x:c>
      <x:c r="C176" s="6" t="n">
        <x:v>0</x:v>
      </x:c>
      <x:c r="D176" s="6" t="n">
        <x:v>8</x:v>
      </x:c>
      <x:c r="E176" s="15" t="n">
        <x:v>0</x:v>
      </x:c>
      <x:c r="F176" s="16" t="n">
        <x:v>7.5</x:v>
      </x:c>
    </x:row>
    <x:row r="177" ht="32" customHeight="1">
      <x:c r="A177" s="6" t="str">
        <x:v>Countries</x:v>
      </x:c>
      <x:c r="B177" s="6" t="str">
        <x:v>Sudan</x:v>
      </x:c>
      <x:c r="C177" s="6" t="n">
        <x:v>0</x:v>
      </x:c>
      <x:c r="D177" s="6" t="n">
        <x:v>8</x:v>
      </x:c>
      <x:c r="E177" s="15" t="n">
        <x:v>0</x:v>
      </x:c>
      <x:c r="F177" s="16" t="n">
        <x:v>9.25</x:v>
      </x:c>
    </x:row>
    <x:row r="178" ht="32" customHeight="1">
      <x:c r="A178" s="6" t="str">
        <x:v>Countries</x:v>
      </x:c>
      <x:c r="B178" s="6" t="str">
        <x:v>Zimbabwe</x:v>
      </x:c>
      <x:c r="C178" s="6" t="n">
        <x:v>0</x:v>
      </x:c>
      <x:c r="D178" s="6" t="n">
        <x:v>8</x:v>
      </x:c>
      <x:c r="E178" s="15" t="n">
        <x:v>0</x:v>
      </x:c>
      <x:c r="F178" s="16" t="n">
        <x:v>11</x:v>
      </x:c>
    </x:row>
    <x:row r="179" ht="32" customHeight="1">
      <x:c r="A179" s="6" t="str">
        <x:v>Countries</x:v>
      </x:c>
      <x:c r="B179" s="6" t="str">
        <x:v>Myanmar (Burma)</x:v>
      </x:c>
      <x:c r="C179" s="6" t="n">
        <x:v>0</x:v>
      </x:c>
      <x:c r="D179" s="6" t="n">
        <x:v>8</x:v>
      </x:c>
      <x:c r="E179" s="15" t="n">
        <x:v>0</x:v>
      </x:c>
      <x:c r="F179" s="16" t="n">
        <x:v>13.75</x:v>
      </x:c>
    </x:row>
    <x:row r="180" ht="32" customHeight="1">
      <x:c r="A180" s="6" t="str">
        <x:v>Countries</x:v>
      </x:c>
      <x:c r="B180" s="6" t="str">
        <x:v>Israel</x:v>
      </x:c>
      <x:c r="C180" s="6" t="n">
        <x:v>0</x:v>
      </x:c>
      <x:c r="D180" s="6" t="n">
        <x:v>8</x:v>
      </x:c>
      <x:c r="E180" s="15" t="n">
        <x:v>0</x:v>
      </x:c>
      <x:c r="F180" s="16" t="n">
        <x:v>16.88</x:v>
      </x:c>
    </x:row>
    <x:row r="181" ht="32" customHeight="1">
      <x:c r="A181" s="6" t="str">
        <x:v>Countries</x:v>
      </x:c>
      <x:c r="B181" s="6" t="str">
        <x:v>Mongolia</x:v>
      </x:c>
      <x:c r="C181" s="6" t="n">
        <x:v>0</x:v>
      </x:c>
      <x:c r="D181" s="6" t="n">
        <x:v>7</x:v>
      </x:c>
      <x:c r="E181" s="15" t="n">
        <x:v>0</x:v>
      </x:c>
      <x:c r="F181" s="16" t="n">
        <x:v>6.43</x:v>
      </x:c>
    </x:row>
    <x:row r="182" ht="32" customHeight="1">
      <x:c r="A182" s="6" t="str">
        <x:v>Countries</x:v>
      </x:c>
      <x:c r="B182" s="6" t="str">
        <x:v>Mauritius</x:v>
      </x:c>
      <x:c r="C182" s="6" t="n">
        <x:v>0</x:v>
      </x:c>
      <x:c r="D182" s="6" t="n">
        <x:v>7</x:v>
      </x:c>
      <x:c r="E182" s="15" t="n">
        <x:v>0</x:v>
      </x:c>
      <x:c r="F182" s="16" t="n">
        <x:v>6.86</x:v>
      </x:c>
    </x:row>
    <x:row r="183" ht="32" customHeight="1">
      <x:c r="A183" s="6" t="str">
        <x:v>Countries</x:v>
      </x:c>
      <x:c r="B183" s="6" t="str">
        <x:v>Kazakhstan</x:v>
      </x:c>
      <x:c r="C183" s="6" t="n">
        <x:v>0</x:v>
      </x:c>
      <x:c r="D183" s="6" t="n">
        <x:v>7</x:v>
      </x:c>
      <x:c r="E183" s="15" t="n">
        <x:v>0</x:v>
      </x:c>
      <x:c r="F183" s="16" t="n">
        <x:v>12.57</x:v>
      </x:c>
    </x:row>
    <x:row r="184" ht="32" customHeight="1">
      <x:c r="A184" s="6" t="str">
        <x:v>Countries</x:v>
      </x:c>
      <x:c r="B184" s="6" t="str">
        <x:v>Uganda</x:v>
      </x:c>
      <x:c r="C184" s="6" t="n">
        <x:v>0</x:v>
      </x:c>
      <x:c r="D184" s="6" t="n">
        <x:v>6</x:v>
      </x:c>
      <x:c r="E184" s="15" t="n">
        <x:v>0</x:v>
      </x:c>
      <x:c r="F184" s="16" t="n">
        <x:v>4.5</x:v>
      </x:c>
    </x:row>
    <x:row r="185" ht="32" customHeight="1">
      <x:c r="A185" s="6" t="str">
        <x:v>Countries</x:v>
      </x:c>
      <x:c r="B185" s="6" t="str">
        <x:v>Kosovo</x:v>
      </x:c>
      <x:c r="C185" s="6" t="n">
        <x:v>0</x:v>
      </x:c>
      <x:c r="D185" s="6" t="n">
        <x:v>6</x:v>
      </x:c>
      <x:c r="E185" s="15" t="n">
        <x:v>0</x:v>
      </x:c>
      <x:c r="F185" s="16" t="n">
        <x:v>7.17</x:v>
      </x:c>
    </x:row>
    <x:row r="186" ht="32" customHeight="1">
      <x:c r="A186" s="6" t="str">
        <x:v>Countries</x:v>
      </x:c>
      <x:c r="B186" s="6" t="str">
        <x:v>Chile</x:v>
      </x:c>
      <x:c r="C186" s="6" t="n">
        <x:v>0</x:v>
      </x:c>
      <x:c r="D186" s="6" t="n">
        <x:v>6</x:v>
      </x:c>
      <x:c r="E186" s="15" t="n">
        <x:v>0</x:v>
      </x:c>
      <x:c r="F186" s="16" t="n">
        <x:v>8.5</x:v>
      </x:c>
    </x:row>
    <x:row r="187" ht="32" customHeight="1">
      <x:c r="A187" s="6" t="str">
        <x:v>Countries</x:v>
      </x:c>
      <x:c r="B187" s="6" t="str">
        <x:v>Venezuela</x:v>
      </x:c>
      <x:c r="C187" s="6" t="n">
        <x:v>0</x:v>
      </x:c>
      <x:c r="D187" s="6" t="n">
        <x:v>6</x:v>
      </x:c>
      <x:c r="E187" s="15" t="n">
        <x:v>0</x:v>
      </x:c>
      <x:c r="F187" s="16" t="n">
        <x:v>14</x:v>
      </x:c>
    </x:row>
    <x:row r="188" ht="32" customHeight="1">
      <x:c r="A188" s="6" t="str">
        <x:v>Countries</x:v>
      </x:c>
      <x:c r="B188" s="6" t="str">
        <x:v>Finland</x:v>
      </x:c>
      <x:c r="C188" s="6" t="n">
        <x:v>0</x:v>
      </x:c>
      <x:c r="D188" s="6" t="n">
        <x:v>6</x:v>
      </x:c>
      <x:c r="E188" s="15" t="n">
        <x:v>0</x:v>
      </x:c>
      <x:c r="F188" s="16" t="n">
        <x:v>15.5</x:v>
      </x:c>
    </x:row>
    <x:row r="189" ht="32" customHeight="1">
      <x:c r="A189" s="6" t="str">
        <x:v>Countries</x:v>
      </x:c>
      <x:c r="B189" s="6" t="str">
        <x:v>Paraguay</x:v>
      </x:c>
      <x:c r="C189" s="6" t="n">
        <x:v>0</x:v>
      </x:c>
      <x:c r="D189" s="6" t="n">
        <x:v>6</x:v>
      </x:c>
      <x:c r="E189" s="15" t="n">
        <x:v>0</x:v>
      </x:c>
      <x:c r="F189" s="16" t="n">
        <x:v>15.67</x:v>
      </x:c>
    </x:row>
    <x:row r="190" ht="32" customHeight="1">
      <x:c r="A190" s="6" t="str">
        <x:v>Countries</x:v>
      </x:c>
      <x:c r="B190" s="6" t="str">
        <x:v>Tanzania</x:v>
      </x:c>
      <x:c r="C190" s="6" t="n">
        <x:v>0</x:v>
      </x:c>
      <x:c r="D190" s="6" t="n">
        <x:v>5</x:v>
      </x:c>
      <x:c r="E190" s="15" t="n">
        <x:v>0</x:v>
      </x:c>
      <x:c r="F190" s="16" t="n">
        <x:v>4.8</x:v>
      </x:c>
    </x:row>
    <x:row r="191" ht="32" customHeight="1">
      <x:c r="A191" s="6" t="str">
        <x:v>Countries</x:v>
      </x:c>
      <x:c r="B191" s="6" t="str">
        <x:v>Niger</x:v>
      </x:c>
      <x:c r="C191" s="6" t="n">
        <x:v>0</x:v>
      </x:c>
      <x:c r="D191" s="6" t="n">
        <x:v>5</x:v>
      </x:c>
      <x:c r="E191" s="15" t="n">
        <x:v>0</x:v>
      </x:c>
      <x:c r="F191" s="16" t="n">
        <x:v>5</x:v>
      </x:c>
    </x:row>
    <x:row r="192" ht="32" customHeight="1">
      <x:c r="A192" s="6" t="str">
        <x:v>Countries</x:v>
      </x:c>
      <x:c r="B192" s="6" t="str">
        <x:v>San Marino</x:v>
      </x:c>
      <x:c r="C192" s="6" t="n">
        <x:v>0</x:v>
      </x:c>
      <x:c r="D192" s="6" t="n">
        <x:v>5</x:v>
      </x:c>
      <x:c r="E192" s="15" t="n">
        <x:v>0</x:v>
      </x:c>
      <x:c r="F192" s="16" t="n">
        <x:v>6</x:v>
      </x:c>
    </x:row>
    <x:row r="193" ht="32" customHeight="1">
      <x:c r="A193" s="6" t="str">
        <x:v>Countries</x:v>
      </x:c>
      <x:c r="B193" s="6" t="str">
        <x:v>Estonia</x:v>
      </x:c>
      <x:c r="C193" s="6" t="n">
        <x:v>0</x:v>
      </x:c>
      <x:c r="D193" s="6" t="n">
        <x:v>5</x:v>
      </x:c>
      <x:c r="E193" s="15" t="n">
        <x:v>0</x:v>
      </x:c>
      <x:c r="F193" s="16" t="n">
        <x:v>6.4</x:v>
      </x:c>
    </x:row>
    <x:row r="194" ht="32" customHeight="1">
      <x:c r="A194" s="6" t="str">
        <x:v>Countries</x:v>
      </x:c>
      <x:c r="B194" s="6" t="str">
        <x:v>Palestine</x:v>
      </x:c>
      <x:c r="C194" s="6" t="n">
        <x:v>0</x:v>
      </x:c>
      <x:c r="D194" s="6" t="n">
        <x:v>5</x:v>
      </x:c>
      <x:c r="E194" s="15" t="n">
        <x:v>0</x:v>
      </x:c>
      <x:c r="F194" s="16" t="n">
        <x:v>8.6</x:v>
      </x:c>
    </x:row>
    <x:row r="195" ht="32" customHeight="1">
      <x:c r="A195" s="6" t="str">
        <x:v>Countries</x:v>
      </x:c>
      <x:c r="B195" s="6" t="str">
        <x:v>Trinidad &amp; Tobago</x:v>
      </x:c>
      <x:c r="C195" s="6" t="n">
        <x:v>0</x:v>
      </x:c>
      <x:c r="D195" s="6" t="n">
        <x:v>5</x:v>
      </x:c>
      <x:c r="E195" s="15" t="n">
        <x:v>0</x:v>
      </x:c>
      <x:c r="F195" s="16" t="n">
        <x:v>10</x:v>
      </x:c>
    </x:row>
    <x:row r="196" ht="32" customHeight="1">
      <x:c r="A196" s="6" t="str">
        <x:v>Countries</x:v>
      </x:c>
      <x:c r="B196" s="6" t="str">
        <x:v>Zambia</x:v>
      </x:c>
      <x:c r="C196" s="6" t="n">
        <x:v>0</x:v>
      </x:c>
      <x:c r="D196" s="6" t="n">
        <x:v>5</x:v>
      </x:c>
      <x:c r="E196" s="15" t="n">
        <x:v>0</x:v>
      </x:c>
      <x:c r="F196" s="16" t="n">
        <x:v>11.4</x:v>
      </x:c>
    </x:row>
    <x:row r="197" ht="32" customHeight="1">
      <x:c r="A197" s="6" t="str">
        <x:v>Countries</x:v>
      </x:c>
      <x:c r="B197" s="6" t="str">
        <x:v>Slovenia</x:v>
      </x:c>
      <x:c r="C197" s="6" t="n">
        <x:v>0</x:v>
      </x:c>
      <x:c r="D197" s="6" t="n">
        <x:v>4</x:v>
      </x:c>
      <x:c r="E197" s="15" t="n">
        <x:v>0</x:v>
      </x:c>
      <x:c r="F197" s="16" t="n">
        <x:v>5.5</x:v>
      </x:c>
    </x:row>
    <x:row r="198" ht="32" customHeight="1">
      <x:c r="A198" s="6" t="str">
        <x:v>Countries</x:v>
      </x:c>
      <x:c r="B198" s="6" t="str">
        <x:v>Belarus</x:v>
      </x:c>
      <x:c r="C198" s="6" t="n">
        <x:v>0</x:v>
      </x:c>
      <x:c r="D198" s="6" t="n">
        <x:v>4</x:v>
      </x:c>
      <x:c r="E198" s="15" t="n">
        <x:v>0</x:v>
      </x:c>
      <x:c r="F198" s="16" t="n">
        <x:v>7.25</x:v>
      </x:c>
    </x:row>
    <x:row r="199" ht="32" customHeight="1">
      <x:c r="A199" s="6" t="str">
        <x:v>Countries</x:v>
      </x:c>
      <x:c r="B199" s="6" t="str">
        <x:v>Cambodia</x:v>
      </x:c>
      <x:c r="C199" s="6" t="n">
        <x:v>0</x:v>
      </x:c>
      <x:c r="D199" s="6" t="n">
        <x:v>4</x:v>
      </x:c>
      <x:c r="E199" s="15" t="n">
        <x:v>0</x:v>
      </x:c>
      <x:c r="F199" s="16" t="n">
        <x:v>7.25</x:v>
      </x:c>
    </x:row>
    <x:row r="200" ht="32" customHeight="1">
      <x:c r="A200" s="6" t="str">
        <x:v>Countries</x:v>
      </x:c>
      <x:c r="B200" s="6" t="str">
        <x:v>Dominican Republic</x:v>
      </x:c>
      <x:c r="C200" s="6" t="n">
        <x:v>0</x:v>
      </x:c>
      <x:c r="D200" s="6" t="n">
        <x:v>4</x:v>
      </x:c>
      <x:c r="E200" s="15" t="n">
        <x:v>0</x:v>
      </x:c>
      <x:c r="F200" s="16" t="n">
        <x:v>7.75</x:v>
      </x:c>
    </x:row>
    <x:row r="201" ht="32" customHeight="1">
      <x:c r="A201" s="6" t="str">
        <x:v>Countries</x:v>
      </x:c>
      <x:c r="B201" s="6" t="str">
        <x:v>St. Vincent &amp; Grenadines</x:v>
      </x:c>
      <x:c r="C201" s="6" t="n">
        <x:v>0</x:v>
      </x:c>
      <x:c r="D201" s="6" t="n">
        <x:v>4</x:v>
      </x:c>
      <x:c r="E201" s="15" t="n">
        <x:v>0</x:v>
      </x:c>
      <x:c r="F201" s="16" t="n">
        <x:v>10.75</x:v>
      </x:c>
    </x:row>
    <x:row r="202" ht="32" customHeight="1">
      <x:c r="A202" s="6" t="str">
        <x:v>Countries</x:v>
      </x:c>
      <x:c r="B202" s="6" t="str">
        <x:v>Nepal</x:v>
      </x:c>
      <x:c r="C202" s="6" t="n">
        <x:v>0</x:v>
      </x:c>
      <x:c r="D202" s="6" t="n">
        <x:v>4</x:v>
      </x:c>
      <x:c r="E202" s="15" t="n">
        <x:v>0</x:v>
      </x:c>
      <x:c r="F202" s="16" t="n">
        <x:v>11.5</x:v>
      </x:c>
    </x:row>
    <x:row r="203" ht="32" customHeight="1">
      <x:c r="A203" s="6" t="str">
        <x:v>Countries</x:v>
      </x:c>
      <x:c r="B203" s="6" t="str">
        <x:v>Latvia</x:v>
      </x:c>
      <x:c r="C203" s="6" t="n">
        <x:v>0</x:v>
      </x:c>
      <x:c r="D203" s="6" t="n">
        <x:v>4</x:v>
      </x:c>
      <x:c r="E203" s="15" t="n">
        <x:v>0</x:v>
      </x:c>
      <x:c r="F203" s="16" t="n">
        <x:v>23.75</x:v>
      </x:c>
    </x:row>
    <x:row r="204" ht="32" customHeight="1">
      <x:c r="A204" s="6" t="str">
        <x:v>Countries</x:v>
      </x:c>
      <x:c r="B204" s="6" t="str">
        <x:v>Maldives</x:v>
      </x:c>
      <x:c r="C204" s="6" t="n">
        <x:v>0</x:v>
      </x:c>
      <x:c r="D204" s="6" t="n">
        <x:v>3</x:v>
      </x:c>
      <x:c r="E204" s="15" t="n">
        <x:v>0</x:v>
      </x:c>
      <x:c r="F204" s="16" t="n">
        <x:v>2.33</x:v>
      </x:c>
    </x:row>
    <x:row r="205" ht="32" customHeight="1">
      <x:c r="A205" s="6" t="str">
        <x:v>Countries</x:v>
      </x:c>
      <x:c r="B205" s="6" t="str">
        <x:v>Angola</x:v>
      </x:c>
      <x:c r="C205" s="6" t="n">
        <x:v>0</x:v>
      </x:c>
      <x:c r="D205" s="6" t="n">
        <x:v>3</x:v>
      </x:c>
      <x:c r="E205" s="15" t="n">
        <x:v>0</x:v>
      </x:c>
      <x:c r="F205" s="16" t="n">
        <x:v>4.33</x:v>
      </x:c>
    </x:row>
    <x:row r="206" ht="32" customHeight="1">
      <x:c r="A206" s="6" t="str">
        <x:v>Countries</x:v>
      </x:c>
      <x:c r="B206" s="6" t="str">
        <x:v>Macedonia</x:v>
      </x:c>
      <x:c r="C206" s="6" t="n">
        <x:v>0</x:v>
      </x:c>
      <x:c r="D206" s="6" t="n">
        <x:v>3</x:v>
      </x:c>
      <x:c r="E206" s="15" t="n">
        <x:v>0</x:v>
      </x:c>
      <x:c r="F206" s="16" t="n">
        <x:v>5.67</x:v>
      </x:c>
    </x:row>
    <x:row r="207" ht="32" customHeight="1">
      <x:c r="A207" s="6" t="str">
        <x:v>Countries</x:v>
      </x:c>
      <x:c r="B207" s="6" t="str">
        <x:v>Moldova</x:v>
      </x:c>
      <x:c r="C207" s="6" t="n">
        <x:v>0</x:v>
      </x:c>
      <x:c r="D207" s="6" t="n">
        <x:v>3</x:v>
      </x:c>
      <x:c r="E207" s="15" t="n">
        <x:v>0</x:v>
      </x:c>
      <x:c r="F207" s="16" t="n">
        <x:v>6</x:v>
      </x:c>
    </x:row>
    <x:row r="208" ht="32" customHeight="1">
      <x:c r="A208" s="6" t="str">
        <x:v>Countries</x:v>
      </x:c>
      <x:c r="B208" s="6" t="str">
        <x:v>Jamaica</x:v>
      </x:c>
      <x:c r="C208" s="6" t="n">
        <x:v>0</x:v>
      </x:c>
      <x:c r="D208" s="6" t="n">
        <x:v>3</x:v>
      </x:c>
      <x:c r="E208" s="15" t="n">
        <x:v>0</x:v>
      </x:c>
      <x:c r="F208" s="16" t="n">
        <x:v>6.33</x:v>
      </x:c>
    </x:row>
    <x:row r="209" ht="32" customHeight="1">
      <x:c r="A209" s="6" t="str">
        <x:v>Countries</x:v>
      </x:c>
      <x:c r="B209" s="6" t="str">
        <x:v>Congo - Brazzaville</x:v>
      </x:c>
      <x:c r="C209" s="6" t="n">
        <x:v>0</x:v>
      </x:c>
      <x:c r="D209" s="6" t="n">
        <x:v>3</x:v>
      </x:c>
      <x:c r="E209" s="15" t="n">
        <x:v>0</x:v>
      </x:c>
      <x:c r="F209" s="16" t="n">
        <x:v>7.67</x:v>
      </x:c>
    </x:row>
    <x:row r="210" ht="32" customHeight="1">
      <x:c r="A210" s="6" t="str">
        <x:v>Countries</x:v>
      </x:c>
      <x:c r="B210" s="6" t="str">
        <x:v>Tajikistan</x:v>
      </x:c>
      <x:c r="C210" s="6" t="n">
        <x:v>0</x:v>
      </x:c>
      <x:c r="D210" s="6" t="n">
        <x:v>3</x:v>
      </x:c>
      <x:c r="E210" s="15" t="n">
        <x:v>0</x:v>
      </x:c>
      <x:c r="F210" s="16" t="n">
        <x:v>7.67</x:v>
      </x:c>
    </x:row>
    <x:row r="211" ht="32" customHeight="1">
      <x:c r="A211" s="6" t="str">
        <x:v>Countries</x:v>
      </x:c>
      <x:c r="B211" s="6" t="str">
        <x:v>Cameroon</x:v>
      </x:c>
      <x:c r="C211" s="6" t="n">
        <x:v>0</x:v>
      </x:c>
      <x:c r="D211" s="6" t="n">
        <x:v>3</x:v>
      </x:c>
      <x:c r="E211" s="15" t="n">
        <x:v>0</x:v>
      </x:c>
      <x:c r="F211" s="16" t="n">
        <x:v>9.67</x:v>
      </x:c>
    </x:row>
    <x:row r="212" ht="32" customHeight="1">
      <x:c r="A212" s="6" t="str">
        <x:v>Countries</x:v>
      </x:c>
      <x:c r="B212" s="6" t="str">
        <x:v>Luxembourg</x:v>
      </x:c>
      <x:c r="C212" s="6" t="n">
        <x:v>0</x:v>
      </x:c>
      <x:c r="D212" s="6" t="n">
        <x:v>3</x:v>
      </x:c>
      <x:c r="E212" s="15" t="n">
        <x:v>0</x:v>
      </x:c>
      <x:c r="F212" s="16" t="n">
        <x:v>10</x:v>
      </x:c>
    </x:row>
    <x:row r="213" ht="32" customHeight="1">
      <x:c r="A213" s="6" t="str">
        <x:v>Countries</x:v>
      </x:c>
      <x:c r="B213" s="6" t="str">
        <x:v>Afghanistan</x:v>
      </x:c>
      <x:c r="C213" s="6" t="n">
        <x:v>0</x:v>
      </x:c>
      <x:c r="D213" s="6" t="n">
        <x:v>3</x:v>
      </x:c>
      <x:c r="E213" s="15" t="n">
        <x:v>0</x:v>
      </x:c>
      <x:c r="F213" s="16" t="n">
        <x:v>55</x:v>
      </x:c>
    </x:row>
    <x:row r="214" ht="32" customHeight="1">
      <x:c r="A214" s="6" t="str">
        <x:v>Countries</x:v>
      </x:c>
      <x:c r="B214" s="6" t="str">
        <x:v>South Sudan</x:v>
      </x:c>
      <x:c r="C214" s="6" t="n">
        <x:v>0</x:v>
      </x:c>
      <x:c r="D214" s="6" t="n">
        <x:v>2</x:v>
      </x:c>
      <x:c r="E214" s="15" t="n">
        <x:v>0</x:v>
      </x:c>
      <x:c r="F214" s="16" t="n">
        <x:v>1</x:v>
      </x:c>
    </x:row>
    <x:row r="215" ht="32" customHeight="1">
      <x:c r="A215" s="6" t="str">
        <x:v>Countries</x:v>
      </x:c>
      <x:c r="B215" s="6" t="str">
        <x:v>Kyrgyzstan</x:v>
      </x:c>
      <x:c r="C215" s="6" t="n">
        <x:v>0</x:v>
      </x:c>
      <x:c r="D215" s="6" t="n">
        <x:v>2</x:v>
      </x:c>
      <x:c r="E215" s="15" t="n">
        <x:v>0</x:v>
      </x:c>
      <x:c r="F215" s="16" t="n">
        <x:v>4</x:v>
      </x:c>
    </x:row>
    <x:row r="216" ht="32" customHeight="1">
      <x:c r="A216" s="6" t="str">
        <x:v>Countries</x:v>
      </x:c>
      <x:c r="B216" s="6" t="str">
        <x:v>Malawi</x:v>
      </x:c>
      <x:c r="C216" s="6" t="n">
        <x:v>0</x:v>
      </x:c>
      <x:c r="D216" s="6" t="n">
        <x:v>2</x:v>
      </x:c>
      <x:c r="E216" s="15" t="n">
        <x:v>0</x:v>
      </x:c>
      <x:c r="F216" s="16" t="n">
        <x:v>4</x:v>
      </x:c>
    </x:row>
    <x:row r="217" ht="32" customHeight="1">
      <x:c r="A217" s="6" t="str">
        <x:v>Countries</x:v>
      </x:c>
      <x:c r="B217" s="6" t="str">
        <x:v>Panama</x:v>
      </x:c>
      <x:c r="C217" s="6" t="n">
        <x:v>0</x:v>
      </x:c>
      <x:c r="D217" s="6" t="n">
        <x:v>2</x:v>
      </x:c>
      <x:c r="E217" s="15" t="n">
        <x:v>0</x:v>
      </x:c>
      <x:c r="F217" s="16" t="n">
        <x:v>4.5</x:v>
      </x:c>
    </x:row>
    <x:row r="218" ht="32" customHeight="1">
      <x:c r="A218" s="6" t="str">
        <x:v>Countries</x:v>
      </x:c>
      <x:c r="B218" s="6" t="str">
        <x:v>Botswana</x:v>
      </x:c>
      <x:c r="C218" s="6" t="n">
        <x:v>0</x:v>
      </x:c>
      <x:c r="D218" s="6" t="n">
        <x:v>2</x:v>
      </x:c>
      <x:c r="E218" s="15" t="n">
        <x:v>0</x:v>
      </x:c>
      <x:c r="F218" s="16" t="n">
        <x:v>5</x:v>
      </x:c>
    </x:row>
    <x:row r="219" ht="32" customHeight="1">
      <x:c r="A219" s="6" t="str">
        <x:v>Countries</x:v>
      </x:c>
      <x:c r="B219" s="6" t="str">
        <x:v>Congo - Kinshasa</x:v>
      </x:c>
      <x:c r="C219" s="6" t="n">
        <x:v>0</x:v>
      </x:c>
      <x:c r="D219" s="6" t="n">
        <x:v>2</x:v>
      </x:c>
      <x:c r="E219" s="15" t="n">
        <x:v>0</x:v>
      </x:c>
      <x:c r="F219" s="16" t="n">
        <x:v>5.5</x:v>
      </x:c>
    </x:row>
    <x:row r="220" ht="32" customHeight="1">
      <x:c r="A220" s="6" t="str">
        <x:v>Countries</x:v>
      </x:c>
      <x:c r="B220" s="6" t="str">
        <x:v>Suriname</x:v>
      </x:c>
      <x:c r="C220" s="6" t="n">
        <x:v>0</x:v>
      </x:c>
      <x:c r="D220" s="6" t="n">
        <x:v>2</x:v>
      </x:c>
      <x:c r="E220" s="15" t="n">
        <x:v>0</x:v>
      </x:c>
      <x:c r="F220" s="16" t="n">
        <x:v>5.5</x:v>
      </x:c>
    </x:row>
    <x:row r="221" ht="32" customHeight="1">
      <x:c r="A221" s="6" t="str">
        <x:v>Countries</x:v>
      </x:c>
      <x:c r="B221" s="6" t="str">
        <x:v>Madagascar</x:v>
      </x:c>
      <x:c r="C221" s="6" t="n">
        <x:v>0</x:v>
      </x:c>
      <x:c r="D221" s="6" t="n">
        <x:v>2</x:v>
      </x:c>
      <x:c r="E221" s="15" t="n">
        <x:v>0</x:v>
      </x:c>
      <x:c r="F221" s="16" t="n">
        <x:v>6</x:v>
      </x:c>
    </x:row>
    <x:row r="222" ht="32" customHeight="1">
      <x:c r="A222" s="6" t="str">
        <x:v>Countries</x:v>
      </x:c>
      <x:c r="B222" s="6" t="str">
        <x:v>Puerto Rico</x:v>
      </x:c>
      <x:c r="C222" s="6" t="n">
        <x:v>0</x:v>
      </x:c>
      <x:c r="D222" s="6" t="n">
        <x:v>2</x:v>
      </x:c>
      <x:c r="E222" s="15" t="n">
        <x:v>0</x:v>
      </x:c>
      <x:c r="F222" s="16" t="n">
        <x:v>6.5</x:v>
      </x:c>
    </x:row>
    <x:row r="223" ht="32" customHeight="1">
      <x:c r="A223" s="6" t="str">
        <x:v>Countries</x:v>
      </x:c>
      <x:c r="B223" s="6" t="str">
        <x:v>Burundi</x:v>
      </x:c>
      <x:c r="C223" s="6" t="n">
        <x:v>0</x:v>
      </x:c>
      <x:c r="D223" s="6" t="n">
        <x:v>2</x:v>
      </x:c>
      <x:c r="E223" s="15" t="n">
        <x:v>0</x:v>
      </x:c>
      <x:c r="F223" s="16" t="n">
        <x:v>7.5</x:v>
      </x:c>
    </x:row>
    <x:row r="224" ht="32" customHeight="1">
      <x:c r="A224" s="6" t="str">
        <x:v>Countries</x:v>
      </x:c>
      <x:c r="B224" s="6" t="str">
        <x:v>Benin</x:v>
      </x:c>
      <x:c r="C224" s="6" t="n">
        <x:v>0</x:v>
      </x:c>
      <x:c r="D224" s="6" t="n">
        <x:v>2</x:v>
      </x:c>
      <x:c r="E224" s="15" t="n">
        <x:v>0</x:v>
      </x:c>
      <x:c r="F224" s="16" t="n">
        <x:v>7.5</x:v>
      </x:c>
    </x:row>
    <x:row r="225" ht="32" customHeight="1">
      <x:c r="A225" s="6" t="str">
        <x:v>Countries</x:v>
      </x:c>
      <x:c r="B225" s="6" t="str">
        <x:v>Brunei</x:v>
      </x:c>
      <x:c r="C225" s="6" t="n">
        <x:v>0</x:v>
      </x:c>
      <x:c r="D225" s="6" t="n">
        <x:v>2</x:v>
      </x:c>
      <x:c r="E225" s="15" t="n">
        <x:v>0</x:v>
      </x:c>
      <x:c r="F225" s="16" t="n">
        <x:v>8</x:v>
      </x:c>
    </x:row>
    <x:row r="226" ht="32" customHeight="1">
      <x:c r="A226" s="6" t="str">
        <x:v>Countries</x:v>
      </x:c>
      <x:c r="B226" s="6" t="str">
        <x:v>Côte d’Ivoire</x:v>
      </x:c>
      <x:c r="C226" s="6" t="n">
        <x:v>0</x:v>
      </x:c>
      <x:c r="D226" s="6" t="n">
        <x:v>2</x:v>
      </x:c>
      <x:c r="E226" s="15" t="n">
        <x:v>0</x:v>
      </x:c>
      <x:c r="F226" s="16" t="n">
        <x:v>8.5</x:v>
      </x:c>
    </x:row>
    <x:row r="227" ht="32" customHeight="1">
      <x:c r="A227" s="6" t="str">
        <x:v>Countries</x:v>
      </x:c>
      <x:c r="B227" s="6" t="str">
        <x:v>Togo</x:v>
      </x:c>
      <x:c r="C227" s="6" t="n">
        <x:v>0</x:v>
      </x:c>
      <x:c r="D227" s="6" t="n">
        <x:v>2</x:v>
      </x:c>
      <x:c r="E227" s="15" t="n">
        <x:v>0</x:v>
      </x:c>
      <x:c r="F227" s="16" t="n">
        <x:v>8.5</x:v>
      </x:c>
    </x:row>
    <x:row r="228" ht="32" customHeight="1">
      <x:c r="A228" s="6" t="str">
        <x:v>Countries</x:v>
      </x:c>
      <x:c r="B228" s="6" t="str">
        <x:v>Peru</x:v>
      </x:c>
      <x:c r="C228" s="6" t="n">
        <x:v>0</x:v>
      </x:c>
      <x:c r="D228" s="6" t="n">
        <x:v>2</x:v>
      </x:c>
      <x:c r="E228" s="15" t="n">
        <x:v>0</x:v>
      </x:c>
      <x:c r="F228" s="16" t="n">
        <x:v>12</x:v>
      </x:c>
    </x:row>
    <x:row r="229" ht="32" customHeight="1">
      <x:c r="A229" s="6" t="str">
        <x:v>Countries</x:v>
      </x:c>
      <x:c r="B229" s="6" t="str">
        <x:v>Seychelles</x:v>
      </x:c>
      <x:c r="C229" s="6" t="n">
        <x:v>0</x:v>
      </x:c>
      <x:c r="D229" s="6" t="n">
        <x:v>2</x:v>
      </x:c>
      <x:c r="E229" s="15" t="n">
        <x:v>0</x:v>
      </x:c>
      <x:c r="F229" s="16" t="n">
        <x:v>16</x:v>
      </x:c>
    </x:row>
    <x:row r="230" ht="32" customHeight="1">
      <x:c r="A230" s="6" t="str">
        <x:v>Countries</x:v>
      </x:c>
      <x:c r="B230" s="6" t="str">
        <x:v>Liberia</x:v>
      </x:c>
      <x:c r="C230" s="6" t="n">
        <x:v>0</x:v>
      </x:c>
      <x:c r="D230" s="6" t="n">
        <x:v>1</x:v>
      </x:c>
      <x:c r="E230" s="15" t="n">
        <x:v>0</x:v>
      </x:c>
      <x:c r="F230" s="16" t="n">
        <x:v>1</x:v>
      </x:c>
    </x:row>
    <x:row r="231" ht="32" customHeight="1">
      <x:c r="A231" s="6" t="str">
        <x:v>Countries</x:v>
      </x:c>
      <x:c r="B231" s="6" t="str">
        <x:v>Malta</x:v>
      </x:c>
      <x:c r="C231" s="6" t="n">
        <x:v>0</x:v>
      </x:c>
      <x:c r="D231" s="6" t="n">
        <x:v>1</x:v>
      </x:c>
      <x:c r="E231" s="15" t="n">
        <x:v>0</x:v>
      </x:c>
      <x:c r="F231" s="16" t="n">
        <x:v>1</x:v>
      </x:c>
    </x:row>
    <x:row r="232" ht="32" customHeight="1">
      <x:c r="A232" s="6" t="str">
        <x:v>Countries</x:v>
      </x:c>
      <x:c r="B232" s="6" t="str">
        <x:v>Costa Rica</x:v>
      </x:c>
      <x:c r="C232" s="6" t="n">
        <x:v>0</x:v>
      </x:c>
      <x:c r="D232" s="6" t="n">
        <x:v>1</x:v>
      </x:c>
      <x:c r="E232" s="15" t="n">
        <x:v>0</x:v>
      </x:c>
      <x:c r="F232" s="16" t="n">
        <x:v>3</x:v>
      </x:c>
    </x:row>
    <x:row r="233" ht="32" customHeight="1">
      <x:c r="A233" s="6" t="str">
        <x:v>Countries</x:v>
      </x:c>
      <x:c r="B233" s="6" t="str">
        <x:v>Andorra</x:v>
      </x:c>
      <x:c r="C233" s="6" t="n">
        <x:v>0</x:v>
      </x:c>
      <x:c r="D233" s="6" t="n">
        <x:v>1</x:v>
      </x:c>
      <x:c r="E233" s="15" t="n">
        <x:v>0</x:v>
      </x:c>
      <x:c r="F233" s="16" t="n">
        <x:v>5</x:v>
      </x:c>
    </x:row>
    <x:row r="234" ht="32" customHeight="1">
      <x:c r="A234" s="6" t="str">
        <x:v>Countries</x:v>
      </x:c>
      <x:c r="B234" s="6" t="str">
        <x:v>Uruguay</x:v>
      </x:c>
      <x:c r="C234" s="6" t="n">
        <x:v>0</x:v>
      </x:c>
      <x:c r="D234" s="6" t="n">
        <x:v>1</x:v>
      </x:c>
      <x:c r="E234" s="15" t="n">
        <x:v>0</x:v>
      </x:c>
      <x:c r="F234" s="16" t="n">
        <x:v>5</x:v>
      </x:c>
    </x:row>
    <x:row r="235" ht="32" customHeight="1">
      <x:c r="A235" s="6" t="str">
        <x:v>Countries</x:v>
      </x:c>
      <x:c r="B235" s="6" t="str">
        <x:v>Bolivia</x:v>
      </x:c>
      <x:c r="C235" s="6" t="n">
        <x:v>0</x:v>
      </x:c>
      <x:c r="D235" s="6" t="n">
        <x:v>1</x:v>
      </x:c>
      <x:c r="E235" s="15" t="n">
        <x:v>0</x:v>
      </x:c>
      <x:c r="F235" s="16" t="n">
        <x:v>6</x:v>
      </x:c>
    </x:row>
    <x:row r="236" ht="32" customHeight="1">
      <x:c r="A236" s="6" t="str">
        <x:v>Countries</x:v>
      </x:c>
      <x:c r="B236" s="6" t="str">
        <x:v>Comoros</x:v>
      </x:c>
      <x:c r="C236" s="6" t="n">
        <x:v>0</x:v>
      </x:c>
      <x:c r="D236" s="6" t="n">
        <x:v>1</x:v>
      </x:c>
      <x:c r="E236" s="15" t="n">
        <x:v>0</x:v>
      </x:c>
      <x:c r="F236" s="16" t="n">
        <x:v>6</x:v>
      </x:c>
    </x:row>
    <x:row r="237" ht="32" customHeight="1">
      <x:c r="A237" s="6" t="str">
        <x:v>Countries</x:v>
      </x:c>
      <x:c r="B237" s="6" t="str">
        <x:v>Montenegro</x:v>
      </x:c>
      <x:c r="C237" s="6" t="n">
        <x:v>0</x:v>
      </x:c>
      <x:c r="D237" s="6" t="n">
        <x:v>1</x:v>
      </x:c>
      <x:c r="E237" s="15" t="n">
        <x:v>0</x:v>
      </x:c>
      <x:c r="F237" s="16" t="n">
        <x:v>6</x:v>
      </x:c>
    </x:row>
    <x:row r="238" ht="32" customHeight="1">
      <x:c r="A238" s="6" t="str">
        <x:v>Countries</x:v>
      </x:c>
      <x:c r="B238" s="6" t="str">
        <x:v>Sierra Leone</x:v>
      </x:c>
      <x:c r="C238" s="6" t="n">
        <x:v>0</x:v>
      </x:c>
      <x:c r="D238" s="6" t="n">
        <x:v>1</x:v>
      </x:c>
      <x:c r="E238" s="15" t="n">
        <x:v>0</x:v>
      </x:c>
      <x:c r="F238" s="16" t="n">
        <x:v>6</x:v>
      </x:c>
    </x:row>
    <x:row r="239" ht="32" customHeight="1">
      <x:c r="A239" s="6" t="str">
        <x:v>Countries</x:v>
      </x:c>
      <x:c r="B239" s="6" t="str">
        <x:v>St. Martin</x:v>
      </x:c>
      <x:c r="C239" s="6" t="n">
        <x:v>0</x:v>
      </x:c>
      <x:c r="D239" s="6" t="n">
        <x:v>1</x:v>
      </x:c>
      <x:c r="E239" s="15" t="n">
        <x:v>0</x:v>
      </x:c>
      <x:c r="F239" s="16" t="n">
        <x:v>8</x:v>
      </x:c>
    </x:row>
    <x:row r="240" ht="32" customHeight="1">
      <x:c r="A240" s="6" t="str">
        <x:v>Countries</x:v>
      </x:c>
      <x:c r="B240" s="6" t="str">
        <x:v>Cuba</x:v>
      </x:c>
      <x:c r="C240" s="6" t="n">
        <x:v>0</x:v>
      </x:c>
      <x:c r="D240" s="6" t="n">
        <x:v>1</x:v>
      </x:c>
      <x:c r="E240" s="15" t="n">
        <x:v>0</x:v>
      </x:c>
      <x:c r="F240" s="16" t="n">
        <x:v>10</x:v>
      </x:c>
    </x:row>
    <x:row r="241" ht="32" customHeight="1">
      <x:c r="A241" s="6" t="str">
        <x:v>Countries</x:v>
      </x:c>
      <x:c r="B241" s="6" t="str">
        <x:v>Gibraltar</x:v>
      </x:c>
      <x:c r="C241" s="6" t="n">
        <x:v>0</x:v>
      </x:c>
      <x:c r="D241" s="6" t="n">
        <x:v>1</x:v>
      </x:c>
      <x:c r="E241" s="15" t="n">
        <x:v>0</x:v>
      </x:c>
      <x:c r="F241" s="16" t="n">
        <x:v>10</x:v>
      </x:c>
    </x:row>
    <x:row r="242" ht="32" customHeight="1">
      <x:c r="A242" s="6" t="str">
        <x:v>Countries</x:v>
      </x:c>
      <x:c r="B242" s="6" t="str">
        <x:v>El Salvador</x:v>
      </x:c>
      <x:c r="C242" s="6" t="n">
        <x:v>0</x:v>
      </x:c>
      <x:c r="D242" s="6" t="n">
        <x:v>1</x:v>
      </x:c>
      <x:c r="E242" s="15" t="n">
        <x:v>0</x:v>
      </x:c>
      <x:c r="F242" s="16" t="n">
        <x:v>10</x:v>
      </x:c>
    </x:row>
    <x:row r="243" ht="32" customHeight="1">
      <x:c r="A243" s="6" t="str">
        <x:v>Countries</x:v>
      </x:c>
      <x:c r="B243" s="6" t="str">
        <x:v>Yemen</x:v>
      </x:c>
      <x:c r="C243" s="6" t="n">
        <x:v>0</x:v>
      </x:c>
      <x:c r="D243" s="6" t="n">
        <x:v>1</x:v>
      </x:c>
      <x:c r="E243" s="15" t="n">
        <x:v>0</x:v>
      </x:c>
      <x:c r="F243" s="16" t="n">
        <x:v>10</x:v>
      </x:c>
    </x:row>
    <x:row r="244" ht="32" customHeight="1">
      <x:c r="A244" s="6" t="str">
        <x:v>Countries</x:v>
      </x:c>
      <x:c r="B244" s="6" t="str">
        <x:v>Jersey</x:v>
      </x:c>
      <x:c r="C244" s="6" t="n">
        <x:v>0</x:v>
      </x:c>
      <x:c r="D244" s="6" t="n">
        <x:v>1</x:v>
      </x:c>
      <x:c r="E244" s="15" t="n">
        <x:v>0</x:v>
      </x:c>
      <x:c r="F244" s="16" t="n">
        <x:v>15</x:v>
      </x:c>
    </x:row>
    <x:row r="245" ht="32" customHeight="1">
      <x:c r="A245" s="6" t="str">
        <x:v>Countries</x:v>
      </x:c>
      <x:c r="B245" s="6" t="str">
        <x:v>Liechtenstein</x:v>
      </x:c>
      <x:c r="C245" s="6" t="n">
        <x:v>0</x:v>
      </x:c>
      <x:c r="D245" s="6" t="n">
        <x:v>1</x:v>
      </x:c>
      <x:c r="E245" s="15" t="n">
        <x:v>0</x:v>
      </x:c>
      <x:c r="F245" s="16" t="n">
        <x:v>15</x:v>
      </x:c>
    </x:row>
    <x:row r="246" ht="32" customHeight="1">
      <x:c r="A246" s="6" t="str">
        <x:v>Countries</x:v>
      </x:c>
      <x:c r="B246" s="6" t="str">
        <x:v>São Tomé &amp; Príncipe</x:v>
      </x:c>
      <x:c r="C246" s="6" t="n">
        <x:v>0</x:v>
      </x:c>
      <x:c r="D246" s="6" t="n">
        <x:v>1</x:v>
      </x:c>
      <x:c r="E246" s="15" t="n">
        <x:v>0</x:v>
      </x:c>
      <x:c r="F246" s="16" t="n">
        <x:v>20</x:v>
      </x:c>
    </x:row>
    <x:row r="247" ht="32" customHeight="1">
      <x:c r="A247" s="6" t="str">
        <x:v>Devices</x:v>
      </x:c>
      <x:c r="B247" s="6" t="str">
        <x:v>Mobile</x:v>
      </x:c>
      <x:c r="C247" s="6" t="n">
        <x:v>223</x:v>
      </x:c>
      <x:c r="D247" s="6" t="n">
        <x:v>25396</x:v>
      </x:c>
      <x:c r="E247" s="15" t="n">
        <x:v>0.0088</x:v>
      </x:c>
      <x:c r="F247" s="16" t="n">
        <x:v>16.2</x:v>
      </x:c>
    </x:row>
    <x:row r="248" ht="32" customHeight="1">
      <x:c r="A248" s="6" t="str">
        <x:v>Devices</x:v>
      </x:c>
      <x:c r="B248" s="6" t="str">
        <x:v>Desktop</x:v>
      </x:c>
      <x:c r="C248" s="6" t="n">
        <x:v>162</x:v>
      </x:c>
      <x:c r="D248" s="6" t="n">
        <x:v>55306</x:v>
      </x:c>
      <x:c r="E248" s="15" t="n">
        <x:v>0.0029</x:v>
      </x:c>
      <x:c r="F248" s="16" t="n">
        <x:v>29.82</x:v>
      </x:c>
    </x:row>
    <x:row r="249" ht="42" customHeight="1">
      <x:c r="A249" s="6" t="str">
        <x:v>Devices</x:v>
      </x:c>
      <x:c r="B249" s="6" t="str">
        <x:v>Tablet</x:v>
      </x:c>
      <x:c r="C249" s="6" t="n">
        <x:v>2</x:v>
      </x:c>
      <x:c r="D249" s="6" t="n">
        <x:v>582</x:v>
      </x:c>
      <x:c r="E249" s="15" t="n">
        <x:v>0.0034000000000000002</x:v>
      </x:c>
      <x:c r="F249" s="16" t="n">
        <x:v>29.57</x:v>
      </x:c>
    </x:row>
  </x:sheetData>
  <x:pageMargins left="0.7" right="0.7" top="0.75" bottom="0.75" header="0.3" footer="0.3"/>
  <x:tableParts count="1">
    <x:tablePart xmlns:r="http://schemas.openxmlformats.org/officeDocument/2006/relationships" r:id="R49d6dc350b5e4db1"/>
  </x:tableParts>
</x:worksheet>
</file>